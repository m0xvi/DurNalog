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&amp;2" sheetId="1" state="visible" r:id="rId1"/>
    <sheet name="нет корпуса" sheetId="2" state="visible" r:id="rId2"/>
    <sheet name="1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yyyy-mm-dd h:mm:ss"/>
    <numFmt numFmtId="166" formatCode="DD.MM.YY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8" customWidth="1" min="4" max="4"/>
    <col width="10" customWidth="1" min="5" max="5"/>
    <col width="32" customWidth="1" min="6" max="6"/>
    <col width="20" customWidth="1" min="7" max="7"/>
    <col width="16" customWidth="1" min="8" max="8"/>
    <col width="24" customWidth="1" min="9" max="9"/>
    <col width="48" customWidth="1" min="10" max="10"/>
    <col width="12" customWidth="1" min="11" max="11"/>
    <col width="10" customWidth="1" min="12" max="12"/>
    <col width="16" customWidth="1" min="13" max="13"/>
    <col width="12" customWidth="1" min="14" max="14"/>
    <col width="12" customWidth="1" min="15" max="15"/>
    <col width="12" customWidth="1" min="16" max="16"/>
    <col width="25" customWidth="1" min="17" max="17"/>
    <col width="30" customWidth="1" min="18" max="18"/>
    <col width="10" customWidth="1" min="19" max="19"/>
    <col width="8" customWidth="1" min="20" max="20"/>
    <col width="45" customWidth="1" min="21" max="21"/>
    <col width="20" customWidth="1" min="22" max="22"/>
    <col width="20" customWidth="1" min="23" max="23"/>
    <col width="16" customWidth="1" min="24" max="24"/>
    <col width="20" customWidth="1" min="25" max="25"/>
    <col width="20" customWidth="1" min="26" max="26"/>
    <col width="16" customWidth="1" min="27" max="27"/>
    <col width="20" customWidth="1" min="28" max="28"/>
    <col width="48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Допуслуги</t>
        </is>
      </c>
      <c r="I1" s="1" t="inlineStr">
        <is>
          <t>Стоимость для налога</t>
        </is>
      </c>
      <c r="J1" s="1" t="inlineStr">
        <is>
          <t>Наименование допуслуг</t>
        </is>
      </c>
      <c r="K1" s="1" t="inlineStr">
        <is>
          <t>Заезд</t>
        </is>
      </c>
      <c r="L1" s="1" t="inlineStr">
        <is>
          <t>Ночей</t>
        </is>
      </c>
      <c r="M1" s="1" t="inlineStr">
        <is>
          <t>Сут.ставка</t>
        </is>
      </c>
      <c r="N1" s="1" t="inlineStr">
        <is>
          <t>Метод</t>
        </is>
      </c>
      <c r="O1" s="1" t="inlineStr">
        <is>
          <t>Налог</t>
        </is>
      </c>
      <c r="P1" s="1" t="inlineStr">
        <is>
          <t>Выезд</t>
        </is>
      </c>
      <c r="Q1" s="1" t="inlineStr">
        <is>
          <t>Источник</t>
        </is>
      </c>
      <c r="R1" s="1" t="inlineStr">
        <is>
          <t>Категория номера</t>
        </is>
      </c>
      <c r="S1" s="1" t="inlineStr">
        <is>
          <t>№ комнаты</t>
        </is>
      </c>
      <c r="T1" s="1" t="inlineStr">
        <is>
          <t>корпус</t>
        </is>
      </c>
      <c r="U1" s="1" t="inlineStr">
        <is>
          <t>Примечание</t>
        </is>
      </c>
      <c r="V1" s="1" t="inlineStr">
        <is>
          <t>Тариф</t>
        </is>
      </c>
      <c r="W1" s="1" t="inlineStr">
        <is>
          <t>Итог брони</t>
        </is>
      </c>
      <c r="X1" s="1" t="inlineStr">
        <is>
          <t>Скидка TravelLine, ₽</t>
        </is>
      </c>
      <c r="Y1" s="1" t="inlineStr">
        <is>
          <t>Процент скидки TravelLine</t>
        </is>
      </c>
      <c r="Z1" s="1" t="inlineStr">
        <is>
          <t>Предполагаемые ночи со скидкой TravelLine</t>
        </is>
      </c>
      <c r="AA1" s="1" t="inlineStr">
        <is>
          <t>Сумма dailyRates</t>
        </is>
      </c>
      <c r="AB1" s="1" t="inlineStr">
        <is>
          <t>Сверка dailyRates</t>
        </is>
      </c>
      <c r="AC1" s="1" t="inlineStr">
        <is>
          <t>Название скидки/кампании TravelLine</t>
        </is>
      </c>
      <c r="AD1" s="1" t="inlineStr">
        <is>
          <t>Скидка добавлена к налоговой базе, ₽</t>
        </is>
      </c>
      <c r="AE1" s="1" t="inlineStr">
        <is>
          <t>Скидка сохранена в базе, ₽</t>
        </is>
      </c>
      <c r="AF1" s="1" t="inlineStr">
        <is>
          <t>Правило скидки TravelLine</t>
        </is>
      </c>
      <c r="AG1" s="1" t="inlineStr">
        <is>
          <t>Налоговая база TravelLine, ₽</t>
        </is>
      </c>
      <c r="AH1" s="1" t="inlineStr">
        <is>
          <t>Стоимость проживания за выбранный период TravelLine, ₽</t>
        </is>
      </c>
      <c r="AI1" s="1" t="inlineStr">
        <is>
          <t>Распределение по периоду TravelLine</t>
        </is>
      </c>
    </row>
    <row r="2">
      <c r="A2" t="inlineStr">
        <is>
          <t>20260701-8186-446674393</t>
        </is>
      </c>
      <c r="B2" t="n">
        <v>1</v>
      </c>
      <c r="C2" s="2" t="inlineStr">
        <is>
          <t>55 САВОЧКИН</t>
        </is>
      </c>
      <c r="D2" s="3" t="n">
        <v>10900</v>
      </c>
      <c r="E2" s="4" t="n">
        <v>0</v>
      </c>
      <c r="F2" t="inlineStr">
        <is>
          <t>Прямые бронирования (стойка) [Чайковский]</t>
        </is>
      </c>
      <c r="G2" s="3">
        <f>ROUND(D2/(100-E2)*100,2)</f>
        <v/>
      </c>
      <c r="H2" s="3" t="n">
        <v>0</v>
      </c>
      <c r="I2" s="3">
        <f>ROUND(IF(ISNUMBER(AG2),AG2,G2)+H2,2)</f>
        <v/>
      </c>
      <c r="J2" s="2" t="inlineStr"/>
      <c r="K2" s="5" t="n">
        <v>46204.58333333334</v>
      </c>
      <c r="L2" t="n">
        <v>1</v>
      </c>
      <c r="M2" s="3">
        <f>I2/L2</f>
        <v/>
      </c>
      <c r="N2">
        <f>IF(M2&gt;=5100,"ставка","мин.ставка")</f>
        <v/>
      </c>
      <c r="O2" s="3">
        <f>ROUND(IF(N2="мин.ставка",L2*100,I2/102*2),2)</f>
        <v/>
      </c>
      <c r="P2" s="5" t="n">
        <v>46205.5</v>
      </c>
      <c r="Q2" t="inlineStr">
        <is>
          <t>TravelLine ресепшен</t>
        </is>
      </c>
      <c r="R2" s="2" t="inlineStr">
        <is>
          <t>УЛУЧШЕННЫЙ ДВУХМЕСТНЫЙ НОМЕР</t>
        </is>
      </c>
      <c r="S2" t="n">
        <v>59</v>
      </c>
      <c r="T2" t="n">
        <v>2</v>
      </c>
      <c r="U2" t="inlineStr"/>
      <c r="V2" t="inlineStr">
        <is>
          <t>Основной тариф без завтрака</t>
        </is>
      </c>
      <c r="W2" t="n">
        <v>10900</v>
      </c>
      <c r="X2" s="3" t="n">
        <v>0</v>
      </c>
      <c r="Y2" t="inlineStr"/>
      <c r="Z2" t="inlineStr"/>
      <c r="AA2" s="3" t="n">
        <v>10900</v>
      </c>
      <c r="AB2" t="inlineStr">
        <is>
          <t>Сошлось по ночным тарифам</t>
        </is>
      </c>
      <c r="AC2" s="2" t="inlineStr"/>
      <c r="AD2" t="n">
        <v>0</v>
      </c>
      <c r="AE2" t="n">
        <v>0</v>
      </c>
      <c r="AF2" t="inlineStr">
        <is>
          <t>Скидки нет</t>
        </is>
      </c>
      <c r="AG2" t="n">
        <v>10900</v>
      </c>
      <c r="AH2" t="n">
        <v>10900</v>
      </c>
      <c r="AI2" t="inlineStr">
        <is>
          <t>Полное проживание в выбранном периоде</t>
        </is>
      </c>
    </row>
    <row r="3">
      <c r="A3" t="inlineStr">
        <is>
          <t>20260720-8186-450480368</t>
        </is>
      </c>
      <c r="B3" t="n">
        <v>1</v>
      </c>
      <c r="C3" s="2" t="inlineStr">
        <is>
          <t>ADAM GASTAN</t>
        </is>
      </c>
      <c r="D3" s="3" t="n">
        <v>26800</v>
      </c>
      <c r="E3" s="4" t="n">
        <v>0</v>
      </c>
      <c r="F3" t="inlineStr">
        <is>
          <t>Прямые бронирования (стойка) [Чайковский]</t>
        </is>
      </c>
      <c r="G3" s="3">
        <f>ROUND(D3/(100-E3)*100,2)</f>
        <v/>
      </c>
      <c r="H3" s="3" t="n">
        <v>0</v>
      </c>
      <c r="I3" s="3">
        <f>ROUND(IF(ISNUMBER(AG3),AG3,G3)+H3,2)</f>
        <v/>
      </c>
      <c r="J3" s="2" t="inlineStr">
        <is>
          <t>Завтрак "Шведский стол"</t>
        </is>
      </c>
      <c r="K3" s="5" t="n">
        <v>46223.58333333334</v>
      </c>
      <c r="L3" t="n">
        <v>2</v>
      </c>
      <c r="M3" s="3">
        <f>I3/L3</f>
        <v/>
      </c>
      <c r="N3">
        <f>IF(M3&gt;=5100,"ставка","мин.ставка")</f>
        <v/>
      </c>
      <c r="O3" s="3">
        <f>ROUND(IF(N3="мин.ставка",L3*100,I3/102*2),2)</f>
        <v/>
      </c>
      <c r="P3" s="5" t="n">
        <v>46225.5</v>
      </c>
      <c r="Q3" t="inlineStr">
        <is>
          <t>TravelLine ресепшен</t>
        </is>
      </c>
      <c r="R3" s="2" t="inlineStr">
        <is>
          <t>УЛУЧШЕННЫЙ ДВУХМЕСТНЫЙ НОМЕР</t>
        </is>
      </c>
      <c r="S3" t="n">
        <v>59</v>
      </c>
      <c r="T3" t="n">
        <v>2</v>
      </c>
      <c r="U3" t="inlineStr"/>
      <c r="V3" t="inlineStr">
        <is>
          <t>Тариф с завтраком</t>
        </is>
      </c>
      <c r="W3" t="n">
        <v>26800</v>
      </c>
      <c r="X3" s="3" t="n">
        <v>0</v>
      </c>
      <c r="Y3" t="inlineStr"/>
      <c r="Z3" t="inlineStr"/>
      <c r="AA3" s="3" t="n">
        <v>26800</v>
      </c>
      <c r="AB3" t="inlineStr">
        <is>
          <t>Сошлось по ночным тарифам</t>
        </is>
      </c>
      <c r="AC3" s="2" t="inlineStr"/>
      <c r="AD3" t="n">
        <v>0</v>
      </c>
      <c r="AE3" t="n">
        <v>0</v>
      </c>
      <c r="AF3" t="inlineStr">
        <is>
          <t>Скидки нет</t>
        </is>
      </c>
      <c r="AG3" t="n">
        <v>26800</v>
      </c>
      <c r="AH3" t="n">
        <v>26800</v>
      </c>
      <c r="AI3" t="inlineStr">
        <is>
          <t>Полное проживание в выбранном периоде</t>
        </is>
      </c>
    </row>
    <row r="4">
      <c r="A4" t="inlineStr">
        <is>
          <t>20260825-8186-461137645</t>
        </is>
      </c>
      <c r="B4" t="n">
        <v>1</v>
      </c>
      <c r="C4" s="2" t="inlineStr">
        <is>
          <t>ALEKSEJS VAZENINS</t>
        </is>
      </c>
      <c r="D4" s="3" t="n">
        <v>13860</v>
      </c>
      <c r="E4" s="4" t="n">
        <v>0</v>
      </c>
      <c r="F4" t="inlineStr">
        <is>
          <t>Прямые бронирования (стойка) [Чайковский]</t>
        </is>
      </c>
      <c r="G4" s="3">
        <f>ROUND(D4/(100-E4)*100,2)</f>
        <v/>
      </c>
      <c r="H4" s="3" t="n">
        <v>0</v>
      </c>
      <c r="I4" s="3">
        <f>ROUND(IF(ISNUMBER(AG4),AG4,G4)+H4,2)</f>
        <v/>
      </c>
      <c r="J4" s="2" t="inlineStr">
        <is>
          <t>Завтрак "Шведский стол"</t>
        </is>
      </c>
      <c r="K4" s="5" t="n">
        <v>46259.58333333334</v>
      </c>
      <c r="L4" t="n">
        <v>1</v>
      </c>
      <c r="M4" s="3">
        <f>I4/L4</f>
        <v/>
      </c>
      <c r="N4">
        <f>IF(M4&gt;=5100,"ставка","мин.ставка")</f>
        <v/>
      </c>
      <c r="O4" s="3">
        <f>ROUND(IF(N4="мин.ставка",L4*100,I4/102*2),2)</f>
        <v/>
      </c>
      <c r="P4" s="5" t="n">
        <v>46260.5</v>
      </c>
      <c r="Q4" t="inlineStr">
        <is>
          <t>TravelLine ресепшен</t>
        </is>
      </c>
      <c r="R4" s="2" t="inlineStr">
        <is>
          <t>УЛУЧШЕННЫЙ ДВУХМЕСТНЫЙ НОМЕР</t>
        </is>
      </c>
      <c r="S4" t="n">
        <v>21</v>
      </c>
      <c r="T4" t="n">
        <v>1</v>
      </c>
      <c r="U4" t="inlineStr"/>
      <c r="V4" t="inlineStr">
        <is>
          <t>Тариф с завтраком</t>
        </is>
      </c>
      <c r="W4" t="n">
        <v>13860</v>
      </c>
      <c r="X4" s="3" t="n">
        <v>1540</v>
      </c>
      <c r="Y4" t="inlineStr">
        <is>
          <t>10%</t>
        </is>
      </c>
      <c r="Z4" t="inlineStr">
        <is>
          <t>2026-08-25</t>
        </is>
      </c>
      <c r="AA4" s="3" t="n">
        <v>13860</v>
      </c>
      <c r="AB4" t="inlineStr">
        <is>
          <t>Сошлось по ночным тарифам</t>
        </is>
      </c>
      <c r="AC4" s="2" t="inlineStr"/>
      <c r="AD4" t="n">
        <v>1540</v>
      </c>
      <c r="AE4" t="n">
        <v>0</v>
      </c>
      <c r="AF4" t="inlineStr">
        <is>
          <t>Скидка добавлена к налоговой базе</t>
        </is>
      </c>
      <c r="AG4" t="n">
        <v>15400</v>
      </c>
      <c r="AH4" t="n">
        <v>13860</v>
      </c>
      <c r="AI4" t="inlineStr">
        <is>
          <t>Полное проживание в выбранном периоде</t>
        </is>
      </c>
    </row>
    <row r="5">
      <c r="A5" t="inlineStr">
        <is>
          <t>20260807-8186-433561161</t>
        </is>
      </c>
      <c r="B5" t="n">
        <v>1</v>
      </c>
      <c r="C5" s="2" t="inlineStr">
        <is>
          <t>ALEXANDER SCHNEIDER, Кристина Винтер</t>
        </is>
      </c>
      <c r="D5" s="3" t="n">
        <v>7920</v>
      </c>
      <c r="E5" s="4" t="n">
        <v>18</v>
      </c>
      <c r="F5" t="inlineStr">
        <is>
          <t>Яндекс.Путешествия [Чайковский]</t>
        </is>
      </c>
      <c r="G5" s="3">
        <f>ROUND(D5/(100-E5)*100,2)</f>
        <v/>
      </c>
      <c r="H5" s="3" t="n">
        <v>0</v>
      </c>
      <c r="I5" s="3">
        <f>ROUND(IF(ISNUMBER(AG5),AG5,G5)+H5,2)</f>
        <v/>
      </c>
      <c r="J5" s="2" t="inlineStr">
        <is>
          <t>Завтрак "Шведский стол"</t>
        </is>
      </c>
      <c r="K5" s="5" t="n">
        <v>46241.58333333334</v>
      </c>
      <c r="L5" t="n">
        <v>1</v>
      </c>
      <c r="M5" s="3">
        <f>I5/L5</f>
        <v/>
      </c>
      <c r="N5">
        <f>IF(M5&gt;=5100,"ставка","мин.ставка")</f>
        <v/>
      </c>
      <c r="O5" s="3">
        <f>ROUND(IF(N5="мин.ставка",L5*100,I5/102*2),2)</f>
        <v/>
      </c>
      <c r="P5" s="5" t="n">
        <v>46242.5</v>
      </c>
      <c r="Q5" t="inlineStr">
        <is>
          <t>TravelLine YAX</t>
        </is>
      </c>
      <c r="R5" s="2" t="inlineStr">
        <is>
          <t>СТАНДАРТНЫЙ ДВУХМЕСТНЫЙ НОМЕР (МАНСАРДА)</t>
        </is>
      </c>
      <c r="S5" t="n">
        <v>47</v>
      </c>
      <c r="T5" t="n">
        <v>1</v>
      </c>
      <c r="U5" t="inlineStr"/>
      <c r="V5" t="inlineStr">
        <is>
          <t>Тариф с завтраком</t>
        </is>
      </c>
      <c r="W5" t="n">
        <v>7920</v>
      </c>
      <c r="X5" s="3" t="n">
        <v>1980</v>
      </c>
      <c r="Y5" t="inlineStr">
        <is>
          <t>20%</t>
        </is>
      </c>
      <c r="Z5" t="inlineStr">
        <is>
          <t>2026-08-07</t>
        </is>
      </c>
      <c r="AA5" s="3" t="n">
        <v>7920</v>
      </c>
      <c r="AB5" t="inlineStr">
        <is>
          <t>Сошлось по ночным тарифам</t>
        </is>
      </c>
      <c r="AC5" s="2" t="inlineStr"/>
      <c r="AD5" t="n">
        <v>1980</v>
      </c>
      <c r="AE5" t="n">
        <v>0</v>
      </c>
      <c r="AF5" t="inlineStr">
        <is>
          <t>Скидка добавлена к налоговой базе</t>
        </is>
      </c>
      <c r="AG5" t="n">
        <v>9900</v>
      </c>
      <c r="AH5" t="n">
        <v>7920</v>
      </c>
      <c r="AI5" t="inlineStr">
        <is>
          <t>Полное проживание в выбранном периоде</t>
        </is>
      </c>
    </row>
    <row r="6">
      <c r="A6" t="inlineStr">
        <is>
          <t>20260717-8186-393996392</t>
        </is>
      </c>
      <c r="B6" t="n">
        <v>1</v>
      </c>
      <c r="C6" s="2" t="inlineStr">
        <is>
          <t>Anastasiya Chumanova, Михаил Сагаев</t>
        </is>
      </c>
      <c r="D6" s="3" t="n">
        <v>15130</v>
      </c>
      <c r="E6" s="4" t="n">
        <v>15</v>
      </c>
      <c r="F6" t="inlineStr">
        <is>
          <t>ООО "БРОНИРОВАНИЕ ГОСТИНИЦ" (OSTROVOK) [Чайковский]</t>
        </is>
      </c>
      <c r="G6" s="3">
        <f>ROUND(D6/(100-E6)*100,2)</f>
        <v/>
      </c>
      <c r="H6" s="3" t="n">
        <v>0</v>
      </c>
      <c r="I6" s="3">
        <f>ROUND(IF(ISNUMBER(AG6),AG6,G6)+H6,2)</f>
        <v/>
      </c>
      <c r="J6" s="2" t="inlineStr">
        <is>
          <t>Завтрак "Шведский стол"</t>
        </is>
      </c>
      <c r="K6" s="5" t="n">
        <v>46220.58333333334</v>
      </c>
      <c r="L6" t="n">
        <v>1</v>
      </c>
      <c r="M6" s="3">
        <f>I6/L6</f>
        <v/>
      </c>
      <c r="N6">
        <f>IF(M6&gt;=5100,"ставка","мин.ставка")</f>
        <v/>
      </c>
      <c r="O6" s="3">
        <f>ROUND(IF(N6="мин.ставка",L6*100,I6/102*2),2)</f>
        <v/>
      </c>
      <c r="P6" s="5" t="n">
        <v>46221.5</v>
      </c>
      <c r="Q6" t="inlineStr">
        <is>
          <t>TravelLine OTK</t>
        </is>
      </c>
      <c r="R6" s="2" t="inlineStr">
        <is>
          <t>ЛЮКС</t>
        </is>
      </c>
      <c r="S6" t="n">
        <v>53</v>
      </c>
      <c r="T6" t="n">
        <v>2</v>
      </c>
      <c r="U6" t="inlineStr"/>
      <c r="V6" t="inlineStr">
        <is>
          <t>Тариф с завтраком</t>
        </is>
      </c>
      <c r="W6" t="n">
        <v>15130</v>
      </c>
      <c r="X6" s="3" t="n">
        <v>2670</v>
      </c>
      <c r="Y6" t="inlineStr">
        <is>
          <t>15%</t>
        </is>
      </c>
      <c r="Z6" t="inlineStr">
        <is>
          <t>2026-07-17</t>
        </is>
      </c>
      <c r="AA6" s="3" t="n">
        <v>15130</v>
      </c>
      <c r="AB6" t="inlineStr">
        <is>
          <t>Сошлось по ночным тарифам</t>
        </is>
      </c>
      <c r="AC6" s="2" t="inlineStr"/>
      <c r="AD6" t="n">
        <v>2670</v>
      </c>
      <c r="AE6" t="n">
        <v>0</v>
      </c>
      <c r="AF6" t="inlineStr">
        <is>
          <t>Скидка добавлена к налоговой базе</t>
        </is>
      </c>
      <c r="AG6" t="n">
        <v>17800</v>
      </c>
      <c r="AH6" t="n">
        <v>15130</v>
      </c>
      <c r="AI6" t="inlineStr">
        <is>
          <t>Полное проживание в выбранном периоде</t>
        </is>
      </c>
    </row>
    <row r="7">
      <c r="A7" t="inlineStr">
        <is>
          <t>20260708-8186-448665817</t>
        </is>
      </c>
      <c r="B7" t="n">
        <v>1</v>
      </c>
      <c r="C7" s="2" t="inlineStr">
        <is>
          <t>Anastassiya Dobrovolskaya</t>
        </is>
      </c>
      <c r="D7" s="3" t="n">
        <v>7866</v>
      </c>
      <c r="E7" s="4" t="n">
        <v>18</v>
      </c>
      <c r="F7" t="inlineStr">
        <is>
          <t>Яндекс.Путешествия [Чайковский]</t>
        </is>
      </c>
      <c r="G7" s="3">
        <f>ROUND(D7/(100-E7)*100,2)</f>
        <v/>
      </c>
      <c r="H7" s="3" t="n">
        <v>0</v>
      </c>
      <c r="I7" s="3">
        <f>ROUND(IF(ISNUMBER(AG7),AG7,G7)+H7,2)</f>
        <v/>
      </c>
      <c r="J7" s="2" t="inlineStr">
        <is>
          <t>Завтрак "Шведский стол"</t>
        </is>
      </c>
      <c r="K7" s="5" t="n">
        <v>46211.58333333334</v>
      </c>
      <c r="L7" t="n">
        <v>1</v>
      </c>
      <c r="M7" s="3">
        <f>I7/L7</f>
        <v/>
      </c>
      <c r="N7">
        <f>IF(M7&gt;=5100,"ставка","мин.ставка")</f>
        <v/>
      </c>
      <c r="O7" s="3">
        <f>ROUND(IF(N7="мин.ставка",L7*100,I7/102*2),2)</f>
        <v/>
      </c>
      <c r="P7" s="5" t="n">
        <v>46212.5</v>
      </c>
      <c r="Q7" t="inlineStr">
        <is>
          <t>TravelLine YAX</t>
        </is>
      </c>
      <c r="R7" s="2" t="inlineStr">
        <is>
          <t>СТАНДАРТНЫЙ ДВУХМЕСТНЫЙ НОМЕР</t>
        </is>
      </c>
      <c r="S7" t="n">
        <v>52</v>
      </c>
      <c r="T7" t="n">
        <v>2</v>
      </c>
      <c r="U7" t="inlineStr"/>
      <c r="V7" t="inlineStr">
        <is>
          <t>Тариф с завтраком</t>
        </is>
      </c>
      <c r="W7" t="n">
        <v>7866</v>
      </c>
      <c r="X7" s="3" t="n">
        <v>0</v>
      </c>
      <c r="Y7" t="inlineStr"/>
      <c r="Z7" t="inlineStr"/>
      <c r="AA7" s="3" t="n">
        <v>7866</v>
      </c>
      <c r="AB7" t="inlineStr">
        <is>
          <t>Сошлось по ночным тарифам</t>
        </is>
      </c>
      <c r="AC7" s="2" t="inlineStr"/>
      <c r="AD7" t="n">
        <v>0</v>
      </c>
      <c r="AE7" t="n">
        <v>0</v>
      </c>
      <c r="AF7" t="inlineStr">
        <is>
          <t>Скидки нет</t>
        </is>
      </c>
      <c r="AG7" t="n">
        <v>7866</v>
      </c>
      <c r="AH7" t="n">
        <v>7866</v>
      </c>
      <c r="AI7" t="inlineStr">
        <is>
          <t>Полное проживание в выбранном периоде</t>
        </is>
      </c>
    </row>
    <row r="8">
      <c r="A8" t="inlineStr">
        <is>
          <t>20260712-8186-449535323</t>
        </is>
      </c>
      <c r="B8" t="n">
        <v>1</v>
      </c>
      <c r="C8" s="2" t="inlineStr">
        <is>
          <t>ANDREAS POPP</t>
        </is>
      </c>
      <c r="D8" s="3" t="n">
        <v>6557</v>
      </c>
      <c r="E8" s="4" t="n">
        <v>0</v>
      </c>
      <c r="F8" t="inlineStr">
        <is>
          <t>Прямые бронирования (стойка) [Чайковский]</t>
        </is>
      </c>
      <c r="G8" s="3">
        <f>ROUND(D8/(100-E8)*100,2)</f>
        <v/>
      </c>
      <c r="H8" s="3" t="n">
        <v>0</v>
      </c>
      <c r="I8" s="3">
        <f>ROUND(IF(ISNUMBER(AG8),AG8,G8)+H8,2)</f>
        <v/>
      </c>
      <c r="J8" s="2" t="inlineStr">
        <is>
          <t>Завтрак "Шведский стол"</t>
        </is>
      </c>
      <c r="K8" s="5" t="n">
        <v>46215.58333333334</v>
      </c>
      <c r="L8" t="n">
        <v>1</v>
      </c>
      <c r="M8" s="3">
        <f>I8/L8</f>
        <v/>
      </c>
      <c r="N8">
        <f>IF(M8&gt;=5100,"ставка","мин.ставка")</f>
        <v/>
      </c>
      <c r="O8" s="3">
        <f>ROUND(IF(N8="мин.ставка",L8*100,I8/102*2),2)</f>
        <v/>
      </c>
      <c r="P8" s="5" t="n">
        <v>46216.5</v>
      </c>
      <c r="Q8" t="inlineStr">
        <is>
          <t>TravelLine CMB</t>
        </is>
      </c>
      <c r="R8" s="2" t="inlineStr">
        <is>
          <t>СТАНДАРТНЫЙ ДВУХМЕСТНЫЙ НОМЕР (МАНСАРДА)</t>
        </is>
      </c>
      <c r="S8" t="n">
        <v>45</v>
      </c>
      <c r="T8" t="n">
        <v>1</v>
      </c>
      <c r="U8" t="inlineStr"/>
      <c r="V8" t="inlineStr">
        <is>
          <t>Тариф с завтраком</t>
        </is>
      </c>
      <c r="W8" t="n">
        <v>6557</v>
      </c>
      <c r="X8" s="3" t="n">
        <v>1343</v>
      </c>
      <c r="Y8" t="inlineStr">
        <is>
          <t>17%</t>
        </is>
      </c>
      <c r="Z8" t="inlineStr">
        <is>
          <t>2026-07-12</t>
        </is>
      </c>
      <c r="AA8" s="3" t="n">
        <v>6557</v>
      </c>
      <c r="AB8" t="inlineStr">
        <is>
          <t>Сошлось по ночным тарифам</t>
        </is>
      </c>
      <c r="AC8" s="2" t="inlineStr"/>
      <c r="AD8" t="n">
        <v>1343</v>
      </c>
      <c r="AE8" t="n">
        <v>0</v>
      </c>
      <c r="AF8" t="inlineStr">
        <is>
          <t>Скидка добавлена к налоговой базе</t>
        </is>
      </c>
      <c r="AG8" t="n">
        <v>7900</v>
      </c>
      <c r="AH8" t="n">
        <v>6557</v>
      </c>
      <c r="AI8" t="inlineStr">
        <is>
          <t>Полное проживание в выбранном периоде</t>
        </is>
      </c>
    </row>
    <row r="9">
      <c r="A9" t="inlineStr">
        <is>
          <t>20260724-8186-452456263</t>
        </is>
      </c>
      <c r="B9" t="n">
        <v>1</v>
      </c>
      <c r="C9" s="2" t="inlineStr">
        <is>
          <t>Andrei Lukashenko</t>
        </is>
      </c>
      <c r="D9" s="3" t="n">
        <v>24310</v>
      </c>
      <c r="E9" s="4" t="n">
        <v>15</v>
      </c>
      <c r="F9" t="inlineStr">
        <is>
          <t>ООО "БРОНИРОВАНИЕ ГОСТИНИЦ" (OSTROVOK) [Чайковский]</t>
        </is>
      </c>
      <c r="G9" s="3">
        <f>ROUND(D9/(100-E9)*100,2)</f>
        <v/>
      </c>
      <c r="H9" s="3" t="n">
        <v>0</v>
      </c>
      <c r="I9" s="3">
        <f>ROUND(IF(ISNUMBER(AG9),AG9,G9)+H9,2)</f>
        <v/>
      </c>
      <c r="J9" s="2" t="inlineStr"/>
      <c r="K9" s="5" t="n">
        <v>46227.58333333334</v>
      </c>
      <c r="L9" t="n">
        <v>2</v>
      </c>
      <c r="M9" s="3">
        <f>I9/L9</f>
        <v/>
      </c>
      <c r="N9">
        <f>IF(M9&gt;=5100,"ставка","мин.ставка")</f>
        <v/>
      </c>
      <c r="O9" s="3">
        <f>ROUND(IF(N9="мин.ставка",L9*100,I9/102*2),2)</f>
        <v/>
      </c>
      <c r="P9" s="5" t="n">
        <v>46229.5</v>
      </c>
      <c r="Q9" t="inlineStr">
        <is>
          <t>TravelLine OTK</t>
        </is>
      </c>
      <c r="R9" s="2" t="inlineStr">
        <is>
          <t>ЛЮКС ВТОРОЙ КОРПУС</t>
        </is>
      </c>
      <c r="S9" t="n">
        <v>54</v>
      </c>
      <c r="T9" t="n">
        <v>2</v>
      </c>
      <c r="U9" t="inlineStr"/>
      <c r="V9" t="inlineStr">
        <is>
          <t>Основной тариф без завтрака</t>
        </is>
      </c>
      <c r="W9" t="n">
        <v>24310</v>
      </c>
      <c r="X9" s="3" t="n">
        <v>4290</v>
      </c>
      <c r="Y9" t="inlineStr">
        <is>
          <t>15%</t>
        </is>
      </c>
      <c r="Z9" t="inlineStr">
        <is>
          <t>2026-07-24, 2026-07-25</t>
        </is>
      </c>
      <c r="AA9" s="3" t="n">
        <v>24310</v>
      </c>
      <c r="AB9" t="inlineStr">
        <is>
          <t>Сошлось по ночным тарифам</t>
        </is>
      </c>
      <c r="AC9" s="2" t="inlineStr"/>
      <c r="AD9" t="n">
        <v>4290</v>
      </c>
      <c r="AE9" t="n">
        <v>0</v>
      </c>
      <c r="AF9" t="inlineStr">
        <is>
          <t>Скидка добавлена к налоговой базе</t>
        </is>
      </c>
      <c r="AG9" t="n">
        <v>28600</v>
      </c>
      <c r="AH9" t="n">
        <v>24310</v>
      </c>
      <c r="AI9" t="inlineStr">
        <is>
          <t>Полное проживание в выбранном периоде</t>
        </is>
      </c>
    </row>
    <row r="10">
      <c r="A10" t="inlineStr">
        <is>
          <t>20260823-8186-458773575</t>
        </is>
      </c>
      <c r="B10" t="n">
        <v>1</v>
      </c>
      <c r="C10" s="2" t="inlineStr">
        <is>
          <t>ANDREJS ANOSKO, LUCIJA ANOSKO</t>
        </is>
      </c>
      <c r="D10" s="3" t="n">
        <v>39600</v>
      </c>
      <c r="E10" s="4" t="n">
        <v>20</v>
      </c>
      <c r="F10" t="inlineStr">
        <is>
          <t>ООО "КОМПАНИЯ БРОНЕВИК" [Чайковский]</t>
        </is>
      </c>
      <c r="G10" s="3">
        <f>ROUND(D10/(100-E10)*100,2)</f>
        <v/>
      </c>
      <c r="H10" s="3" t="n">
        <v>0</v>
      </c>
      <c r="I10" s="3">
        <f>ROUND(IF(ISNUMBER(AG10),AG10,G10)+H10,2)</f>
        <v/>
      </c>
      <c r="J10" s="2" t="inlineStr">
        <is>
          <t>Завтрак "Шведский стол"</t>
        </is>
      </c>
      <c r="K10" s="5" t="n">
        <v>46257.58333333334</v>
      </c>
      <c r="L10" t="n">
        <v>3</v>
      </c>
      <c r="M10" s="3">
        <f>I10/L10</f>
        <v/>
      </c>
      <c r="N10">
        <f>IF(M10&gt;=5100,"ставка","мин.ставка")</f>
        <v/>
      </c>
      <c r="O10" s="3">
        <f>ROUND(IF(N10="мин.ставка",L10*100,I10/102*2),2)</f>
        <v/>
      </c>
      <c r="P10" s="5" t="n">
        <v>46260.5</v>
      </c>
      <c r="Q10" t="inlineStr">
        <is>
          <t>TravelLine BR2</t>
        </is>
      </c>
      <c r="R10" s="2" t="inlineStr">
        <is>
          <t>ПОЛУЛЮКС</t>
        </is>
      </c>
      <c r="S10" t="n">
        <v>35</v>
      </c>
      <c r="T10" t="n">
        <v>1</v>
      </c>
      <c r="U10" t="inlineStr"/>
      <c r="V10" t="inlineStr">
        <is>
          <t>Тариф с завтраком</t>
        </is>
      </c>
      <c r="W10" t="n">
        <v>39600</v>
      </c>
      <c r="X10" s="3" t="n">
        <v>0</v>
      </c>
      <c r="Y10" t="inlineStr"/>
      <c r="Z10" t="inlineStr"/>
      <c r="AA10" s="3" t="n">
        <v>39600</v>
      </c>
      <c r="AB10" t="inlineStr">
        <is>
          <t>Сошлось по ночным тарифам</t>
        </is>
      </c>
      <c r="AC10" s="2" t="inlineStr"/>
      <c r="AD10" t="n">
        <v>0</v>
      </c>
      <c r="AE10" t="n">
        <v>0</v>
      </c>
      <c r="AF10" t="inlineStr">
        <is>
          <t>Скидки нет</t>
        </is>
      </c>
      <c r="AG10" t="n">
        <v>39600</v>
      </c>
      <c r="AH10" t="n">
        <v>39600</v>
      </c>
      <c r="AI10" t="inlineStr">
        <is>
          <t>Полное проживание в выбранном периоде</t>
        </is>
      </c>
    </row>
    <row r="11">
      <c r="A11" t="inlineStr">
        <is>
          <t>20260702-8186-441737998</t>
        </is>
      </c>
      <c r="B11" t="n">
        <v>1</v>
      </c>
      <c r="C11" s="2" t="inlineStr">
        <is>
          <t>ANDREJS VOLKOVS, Мария Волкова</t>
        </is>
      </c>
      <c r="D11" s="3" t="n">
        <v>22695</v>
      </c>
      <c r="E11" s="4" t="n">
        <v>15</v>
      </c>
      <c r="F11" t="inlineStr">
        <is>
          <t>ООО Тинькофф Путешествия [Чайковский]</t>
        </is>
      </c>
      <c r="G11" s="3">
        <f>ROUND(D11/(100-E11)*100,2)</f>
        <v/>
      </c>
      <c r="H11" s="3" t="n">
        <v>0</v>
      </c>
      <c r="I11" s="3">
        <f>ROUND(IF(ISNUMBER(AG11),AG11,G11)+H11,2)</f>
        <v/>
      </c>
      <c r="J11" s="2" t="inlineStr">
        <is>
          <t>Завтрак "Шведский стол"</t>
        </is>
      </c>
      <c r="K11" s="5" t="n">
        <v>46205.58333333334</v>
      </c>
      <c r="L11" t="n">
        <v>2</v>
      </c>
      <c r="M11" s="3">
        <f>I11/L11</f>
        <v/>
      </c>
      <c r="N11">
        <f>IF(M11&gt;=5100,"ставка","мин.ставка")</f>
        <v/>
      </c>
      <c r="O11" s="3">
        <f>ROUND(IF(N11="мин.ставка",L11*100,I11/102*2),2)</f>
        <v/>
      </c>
      <c r="P11" s="5" t="n">
        <v>46207.5</v>
      </c>
      <c r="Q11" t="inlineStr">
        <is>
          <t>TravelLine TNK</t>
        </is>
      </c>
      <c r="R11" s="2" t="inlineStr">
        <is>
          <t>СТАНДАРТНЫЙ ДВУХМЕСТНЫЙ НОМЕР</t>
        </is>
      </c>
      <c r="S11" t="n">
        <v>26</v>
      </c>
      <c r="T11" t="n">
        <v>1</v>
      </c>
      <c r="U11" t="inlineStr"/>
      <c r="V11" t="inlineStr">
        <is>
          <t>Тариф с завтраком</t>
        </is>
      </c>
      <c r="W11" t="n">
        <v>22695</v>
      </c>
      <c r="X11" s="3" t="n">
        <v>4005</v>
      </c>
      <c r="Y11" t="inlineStr">
        <is>
          <t>15%</t>
        </is>
      </c>
      <c r="Z11" t="inlineStr">
        <is>
          <t>2026-07-02, 2026-07-03</t>
        </is>
      </c>
      <c r="AA11" s="3" t="n">
        <v>22695</v>
      </c>
      <c r="AB11" t="inlineStr">
        <is>
          <t>Сошлось по ночным тарифам</t>
        </is>
      </c>
      <c r="AC11" s="2" t="inlineStr"/>
      <c r="AD11" t="n">
        <v>4005</v>
      </c>
      <c r="AE11" t="n">
        <v>0</v>
      </c>
      <c r="AF11" t="inlineStr">
        <is>
          <t>Скидка добавлена к налоговой базе</t>
        </is>
      </c>
      <c r="AG11" t="n">
        <v>26700</v>
      </c>
      <c r="AH11" t="n">
        <v>22695</v>
      </c>
      <c r="AI11" t="inlineStr">
        <is>
          <t>Полное проживание в выбранном периоде</t>
        </is>
      </c>
    </row>
    <row r="12">
      <c r="A12" t="inlineStr">
        <is>
          <t>20260924-8186-466763458</t>
        </is>
      </c>
      <c r="B12" t="n">
        <v>1</v>
      </c>
      <c r="C12" s="2" t="inlineStr">
        <is>
          <t>Annerose HILDA DORA Bannach</t>
        </is>
      </c>
      <c r="D12" s="3" t="n">
        <v>87112.5</v>
      </c>
      <c r="E12" s="4" t="n">
        <v>4</v>
      </c>
      <c r="F12" t="inlineStr">
        <is>
          <t>TravelLine Booking Engine [Чайковский]</t>
        </is>
      </c>
      <c r="G12" s="3">
        <f>ROUND(D12/(100-E12)*100,2)</f>
        <v/>
      </c>
      <c r="H12" s="3" t="n">
        <v>0</v>
      </c>
      <c r="I12" s="3">
        <f>ROUND(IF(ISNUMBER(AG12),AG12,G12)+H12,2)</f>
        <v/>
      </c>
      <c r="J12" s="2" t="inlineStr"/>
      <c r="K12" s="5" t="n">
        <v>46289.58333333334</v>
      </c>
      <c r="L12" t="n">
        <v>7</v>
      </c>
      <c r="M12" s="3">
        <f>I12/L12</f>
        <v/>
      </c>
      <c r="N12">
        <f>IF(M12&gt;=5100,"ставка","мин.ставка")</f>
        <v/>
      </c>
      <c r="O12" s="3">
        <f>ROUND(IF(N12="мин.ставка",L12*100,I12/102*2),2)</f>
        <v/>
      </c>
      <c r="P12" s="5" t="n">
        <v>46296.5</v>
      </c>
      <c r="Q12" t="inlineStr">
        <is>
          <t>TravelLine сайт</t>
        </is>
      </c>
      <c r="R12" s="2" t="inlineStr">
        <is>
          <t>ЛЮКС ВТОРОЙ КОРПУС</t>
        </is>
      </c>
      <c r="S12" t="n">
        <v>57</v>
      </c>
      <c r="T12" t="n">
        <v>2</v>
      </c>
      <c r="U12" t="inlineStr"/>
      <c r="V12" t="inlineStr">
        <is>
          <t>Основной тариф без завтрака</t>
        </is>
      </c>
      <c r="W12" t="n">
        <v>87112.5</v>
      </c>
      <c r="X12" s="3" t="n">
        <v>387.5</v>
      </c>
      <c r="Y12" t="inlineStr">
        <is>
          <t>3.1%</t>
        </is>
      </c>
      <c r="Z12" t="inlineStr">
        <is>
          <t>2026-09-24</t>
        </is>
      </c>
      <c r="AA12" s="3" t="n">
        <v>87112.5</v>
      </c>
      <c r="AB12" t="inlineStr">
        <is>
          <t>Сошлось по ночным тарифам</t>
        </is>
      </c>
      <c r="AC12" s="2" t="inlineStr"/>
      <c r="AD12" t="n">
        <v>387.5</v>
      </c>
      <c r="AE12" t="n">
        <v>0</v>
      </c>
      <c r="AF12" t="inlineStr">
        <is>
          <t>Скидка добавлена к налоговой базе</t>
        </is>
      </c>
      <c r="AG12" t="n">
        <v>87500</v>
      </c>
      <c r="AH12" t="n">
        <v>87112.5</v>
      </c>
      <c r="AI12" t="inlineStr">
        <is>
          <t>Полное проживание в выбранном периоде</t>
        </is>
      </c>
    </row>
    <row r="13">
      <c r="A13" t="inlineStr">
        <is>
          <t>20260727-8186-452690380</t>
        </is>
      </c>
      <c r="B13" t="n">
        <v>1</v>
      </c>
      <c r="C13" s="2" t="inlineStr">
        <is>
          <t>ARKADIUSZ PLEWA</t>
        </is>
      </c>
      <c r="D13" s="3" t="n">
        <v>7700</v>
      </c>
      <c r="E13" s="4" t="n">
        <v>0</v>
      </c>
      <c r="F13" t="inlineStr">
        <is>
          <t>Прямые бронирования (стойка) [Чайковский]</t>
        </is>
      </c>
      <c r="G13" s="3">
        <f>ROUND(D13/(100-E13)*100,2)</f>
        <v/>
      </c>
      <c r="H13" s="3" t="n">
        <v>0</v>
      </c>
      <c r="I13" s="3">
        <f>ROUND(IF(ISNUMBER(AG13),AG13,G13)+H13,2)</f>
        <v/>
      </c>
      <c r="J13" s="2" t="inlineStr">
        <is>
          <t>Завтрак "Шведский стол"</t>
        </is>
      </c>
      <c r="K13" s="5" t="n">
        <v>46230.58333333334</v>
      </c>
      <c r="L13" t="n">
        <v>1</v>
      </c>
      <c r="M13" s="3">
        <f>I13/L13</f>
        <v/>
      </c>
      <c r="N13">
        <f>IF(M13&gt;=5100,"ставка","мин.ставка")</f>
        <v/>
      </c>
      <c r="O13" s="3">
        <f>ROUND(IF(N13="мин.ставка",L13*100,I13/102*2),2)</f>
        <v/>
      </c>
      <c r="P13" s="5" t="n">
        <v>46231.5</v>
      </c>
      <c r="Q13" t="inlineStr">
        <is>
          <t>TravelLine ресепшен</t>
        </is>
      </c>
      <c r="R13" s="2" t="inlineStr">
        <is>
          <t>СТАНДАРТНЫЙ ОДНОМЕСТНЫЙ НОМЕР</t>
        </is>
      </c>
      <c r="S13" t="n">
        <v>34</v>
      </c>
      <c r="T13" t="n">
        <v>1</v>
      </c>
      <c r="U13" t="inlineStr"/>
      <c r="V13" t="inlineStr">
        <is>
          <t>Тариф с завтраком</t>
        </is>
      </c>
      <c r="W13" t="n">
        <v>7700</v>
      </c>
      <c r="X13" s="3" t="n">
        <v>0</v>
      </c>
      <c r="Y13" t="inlineStr"/>
      <c r="Z13" t="inlineStr"/>
      <c r="AA13" s="3" t="n">
        <v>7700</v>
      </c>
      <c r="AB13" t="inlineStr">
        <is>
          <t>Сошлось по ночным тарифам</t>
        </is>
      </c>
      <c r="AC13" s="2" t="inlineStr"/>
      <c r="AD13" t="n">
        <v>0</v>
      </c>
      <c r="AE13" t="n">
        <v>0</v>
      </c>
      <c r="AF13" t="inlineStr">
        <is>
          <t>Скидки нет</t>
        </is>
      </c>
      <c r="AG13" t="n">
        <v>7700</v>
      </c>
      <c r="AH13" t="n">
        <v>7700</v>
      </c>
      <c r="AI13" t="inlineStr">
        <is>
          <t>Полное проживание в выбранном периоде</t>
        </is>
      </c>
    </row>
    <row r="14">
      <c r="A14" t="inlineStr">
        <is>
          <t>20260720-8186-451844710</t>
        </is>
      </c>
      <c r="B14" t="n">
        <v>1</v>
      </c>
      <c r="C14" s="2" t="inlineStr">
        <is>
          <t>ARTUR SWIESZEK</t>
        </is>
      </c>
      <c r="D14" s="3" t="n">
        <v>7900</v>
      </c>
      <c r="E14" s="4" t="n">
        <v>0</v>
      </c>
      <c r="F14" t="inlineStr">
        <is>
          <t>Прямые бронирования (стойка) [Чайковский]</t>
        </is>
      </c>
      <c r="G14" s="3">
        <f>ROUND(D14/(100-E14)*100,2)</f>
        <v/>
      </c>
      <c r="H14" s="3" t="n">
        <v>0</v>
      </c>
      <c r="I14" s="3">
        <f>ROUND(IF(ISNUMBER(AG14),AG14,G14)+H14,2)</f>
        <v/>
      </c>
      <c r="J14" s="2" t="inlineStr">
        <is>
          <t>Завтрак "Шведский стол"</t>
        </is>
      </c>
      <c r="K14" s="5" t="n">
        <v>46223.58333333334</v>
      </c>
      <c r="L14" t="n">
        <v>1</v>
      </c>
      <c r="M14" s="3">
        <f>I14/L14</f>
        <v/>
      </c>
      <c r="N14">
        <f>IF(M14&gt;=5100,"ставка","мин.ставка")</f>
        <v/>
      </c>
      <c r="O14" s="3">
        <f>ROUND(IF(N14="мин.ставка",L14*100,I14/102*2),2)</f>
        <v/>
      </c>
      <c r="P14" s="5" t="n">
        <v>46224.5</v>
      </c>
      <c r="Q14" t="inlineStr">
        <is>
          <t>TravelLine ресепшен</t>
        </is>
      </c>
      <c r="R14" s="2" t="inlineStr">
        <is>
          <t>СТАНДАРТНЫЙ ДВУХМЕСТНЫЙ НОМЕР</t>
        </is>
      </c>
      <c r="S14" t="n">
        <v>36</v>
      </c>
      <c r="T14" t="n">
        <v>1</v>
      </c>
      <c r="U14" t="inlineStr"/>
      <c r="V14" t="inlineStr">
        <is>
          <t>Тариф с завтраком</t>
        </is>
      </c>
      <c r="W14" t="n">
        <v>7900</v>
      </c>
      <c r="X14" s="3" t="n">
        <v>0</v>
      </c>
      <c r="Y14" t="inlineStr"/>
      <c r="Z14" t="inlineStr"/>
      <c r="AA14" s="3" t="n">
        <v>7900</v>
      </c>
      <c r="AB14" t="inlineStr">
        <is>
          <t>Сошлось по ночным тарифам</t>
        </is>
      </c>
      <c r="AC14" s="2" t="inlineStr"/>
      <c r="AD14" t="n">
        <v>0</v>
      </c>
      <c r="AE14" t="n">
        <v>0</v>
      </c>
      <c r="AF14" t="inlineStr">
        <is>
          <t>Скидки нет</t>
        </is>
      </c>
      <c r="AG14" t="n">
        <v>7900</v>
      </c>
      <c r="AH14" t="n">
        <v>7900</v>
      </c>
      <c r="AI14" t="inlineStr">
        <is>
          <t>Полное проживание в выбранном периоде</t>
        </is>
      </c>
    </row>
    <row r="15">
      <c r="A15" t="inlineStr">
        <is>
          <t>20260817-8186-453479249</t>
        </is>
      </c>
      <c r="B15" t="n">
        <v>1</v>
      </c>
      <c r="C15" s="2" t="inlineStr">
        <is>
          <t>ARTUR WLODARCZYK</t>
        </is>
      </c>
      <c r="D15" s="3" t="n">
        <v>11350</v>
      </c>
      <c r="E15" s="4" t="n">
        <v>4</v>
      </c>
      <c r="F15" t="inlineStr">
        <is>
          <t>TravelLine Booking Engine [Чайковский]</t>
        </is>
      </c>
      <c r="G15" s="3">
        <f>ROUND(D15/(100-E15)*100,2)</f>
        <v/>
      </c>
      <c r="H15" s="3" t="n">
        <v>0</v>
      </c>
      <c r="I15" s="3">
        <f>ROUND(IF(ISNUMBER(AG15),AG15,G15)+H15,2)</f>
        <v/>
      </c>
      <c r="J15" s="2" t="inlineStr">
        <is>
          <t>Завтрак "Шведский стол"</t>
        </is>
      </c>
      <c r="K15" s="5" t="n">
        <v>46251.58333333334</v>
      </c>
      <c r="L15" t="n">
        <v>1</v>
      </c>
      <c r="M15" s="3">
        <f>I15/L15</f>
        <v/>
      </c>
      <c r="N15">
        <f>IF(M15&gt;=5100,"ставка","мин.ставка")</f>
        <v/>
      </c>
      <c r="O15" s="3">
        <f>ROUND(IF(N15="мин.ставка",L15*100,I15/102*2),2)</f>
        <v/>
      </c>
      <c r="P15" s="5" t="n">
        <v>46252.5</v>
      </c>
      <c r="Q15" t="inlineStr">
        <is>
          <t>TravelLine сайт</t>
        </is>
      </c>
      <c r="R15" s="2" t="inlineStr">
        <is>
          <t>СТАНДАРТНЫЙ ДВУХМЕСТНЫЙ НОМЕР</t>
        </is>
      </c>
      <c r="S15" t="n">
        <v>55</v>
      </c>
      <c r="T15" t="n">
        <v>2</v>
      </c>
      <c r="U15" t="inlineStr"/>
      <c r="V15" t="inlineStr">
        <is>
          <t>Тариф с завтраком</t>
        </is>
      </c>
      <c r="W15" t="n">
        <v>11350</v>
      </c>
      <c r="X15" s="3" t="n">
        <v>0</v>
      </c>
      <c r="Y15" t="inlineStr"/>
      <c r="Z15" t="inlineStr"/>
      <c r="AA15" s="3" t="n">
        <v>11350</v>
      </c>
      <c r="AB15" t="inlineStr">
        <is>
          <t>Сошлось по ночным тарифам</t>
        </is>
      </c>
      <c r="AC15" s="2" t="inlineStr"/>
      <c r="AD15" t="n">
        <v>0</v>
      </c>
      <c r="AE15" t="n">
        <v>0</v>
      </c>
      <c r="AF15" t="inlineStr">
        <is>
          <t>Скидки нет</t>
        </is>
      </c>
      <c r="AG15" t="n">
        <v>11350</v>
      </c>
      <c r="AH15" t="n">
        <v>11350</v>
      </c>
      <c r="AI15" t="inlineStr">
        <is>
          <t>Полное проживание в выбранном периоде</t>
        </is>
      </c>
    </row>
    <row r="16">
      <c r="A16" t="inlineStr">
        <is>
          <t>20260715-8186-450135316</t>
        </is>
      </c>
      <c r="B16" t="n">
        <v>1</v>
      </c>
      <c r="C16" s="2" t="inlineStr">
        <is>
          <t>BARIS OTYAKMAZ</t>
        </is>
      </c>
      <c r="D16" s="3" t="n">
        <v>29000</v>
      </c>
      <c r="E16" s="4" t="n">
        <v>0</v>
      </c>
      <c r="F16" t="inlineStr">
        <is>
          <t>Прямые бронирования (стойка) [Чайковский]</t>
        </is>
      </c>
      <c r="G16" s="3">
        <f>ROUND(D16/(100-E16)*100,2)</f>
        <v/>
      </c>
      <c r="H16" s="3" t="n">
        <v>0</v>
      </c>
      <c r="I16" s="3">
        <f>ROUND(IF(ISNUMBER(AG16),AG16,G16)+H16,2)</f>
        <v/>
      </c>
      <c r="J16" s="2" t="inlineStr">
        <is>
          <t>Завтрак "Шведский стол"</t>
        </is>
      </c>
      <c r="K16" s="5" t="n">
        <v>46218.58333333334</v>
      </c>
      <c r="L16" t="n">
        <v>2</v>
      </c>
      <c r="M16" s="3">
        <f>I16/L16</f>
        <v/>
      </c>
      <c r="N16">
        <f>IF(M16&gt;=5100,"ставка","мин.ставка")</f>
        <v/>
      </c>
      <c r="O16" s="3">
        <f>ROUND(IF(N16="мин.ставка",L16*100,I16/102*2),2)</f>
        <v/>
      </c>
      <c r="P16" s="5" t="n">
        <v>46220.5</v>
      </c>
      <c r="Q16" t="inlineStr">
        <is>
          <t>TravelLine ресепшен</t>
        </is>
      </c>
      <c r="R16" s="2" t="inlineStr">
        <is>
          <t>ПОЛУЛЮКС</t>
        </is>
      </c>
      <c r="S16" t="n">
        <v>11</v>
      </c>
      <c r="T16" t="n">
        <v>1</v>
      </c>
      <c r="U16" t="inlineStr"/>
      <c r="V16" t="inlineStr">
        <is>
          <t>Тариф с завтраком</t>
        </is>
      </c>
      <c r="W16" t="n">
        <v>29000</v>
      </c>
      <c r="X16" s="3" t="n">
        <v>0</v>
      </c>
      <c r="Y16" t="inlineStr"/>
      <c r="Z16" t="inlineStr"/>
      <c r="AA16" s="3" t="n">
        <v>29000</v>
      </c>
      <c r="AB16" t="inlineStr">
        <is>
          <t>Сошлось по ночным тарифам</t>
        </is>
      </c>
      <c r="AC16" s="2" t="inlineStr"/>
      <c r="AD16" t="n">
        <v>0</v>
      </c>
      <c r="AE16" t="n">
        <v>0</v>
      </c>
      <c r="AF16" t="inlineStr">
        <is>
          <t>Скидки нет</t>
        </is>
      </c>
      <c r="AG16" t="n">
        <v>29000</v>
      </c>
      <c r="AH16" t="n">
        <v>29000</v>
      </c>
      <c r="AI16" t="inlineStr">
        <is>
          <t>Полное проживание в выбранном периоде</t>
        </is>
      </c>
    </row>
    <row r="17">
      <c r="A17" t="inlineStr">
        <is>
          <t>20260813-8186-458193673</t>
        </is>
      </c>
      <c r="B17" t="n">
        <v>1</v>
      </c>
      <c r="C17" s="2" t="inlineStr">
        <is>
          <t>Dmitrij Serov</t>
        </is>
      </c>
      <c r="D17" s="3" t="n">
        <v>9534</v>
      </c>
      <c r="E17" s="4" t="n">
        <v>16</v>
      </c>
      <c r="F17" t="inlineStr">
        <is>
          <t>ООО "БРОНИРОВАНИЕ ГОСТИНИЦ" (OSTROVOK) [Чайковский]</t>
        </is>
      </c>
      <c r="G17" s="3">
        <f>ROUND(D17/(100-E17)*100,2)</f>
        <v/>
      </c>
      <c r="H17" s="3" t="n">
        <v>0</v>
      </c>
      <c r="I17" s="3">
        <f>ROUND(IF(ISNUMBER(AG17),AG17,G17)+H17,2)</f>
        <v/>
      </c>
      <c r="J17" s="2" t="inlineStr">
        <is>
          <t>Завтрак "Шведский стол"</t>
        </is>
      </c>
      <c r="K17" s="5" t="n">
        <v>46247.58333333334</v>
      </c>
      <c r="L17" t="n">
        <v>1</v>
      </c>
      <c r="M17" s="3">
        <f>I17/L17</f>
        <v/>
      </c>
      <c r="N17">
        <f>IF(M17&gt;=5100,"ставка","мин.ставка")</f>
        <v/>
      </c>
      <c r="O17" s="3">
        <f>ROUND(IF(N17="мин.ставка",L17*100,I17/102*2),2)</f>
        <v/>
      </c>
      <c r="P17" s="5" t="n">
        <v>46248.5</v>
      </c>
      <c r="Q17" t="inlineStr">
        <is>
          <t>TravelLine OTK</t>
        </is>
      </c>
      <c r="R17" s="2" t="inlineStr">
        <is>
          <t>СТАНДАРТНЫЙ ДВУХМЕСТНЫЙ НОМЕР</t>
        </is>
      </c>
      <c r="S17" t="n">
        <v>36</v>
      </c>
      <c r="T17" t="n">
        <v>1</v>
      </c>
      <c r="U17" t="inlineStr"/>
      <c r="V17" t="inlineStr">
        <is>
          <t>Тариф с завтраком</t>
        </is>
      </c>
      <c r="W17" t="n">
        <v>9534</v>
      </c>
      <c r="X17" s="3" t="n">
        <v>1816</v>
      </c>
      <c r="Y17" t="inlineStr">
        <is>
          <t>16%</t>
        </is>
      </c>
      <c r="Z17" t="inlineStr">
        <is>
          <t>2026-08-13</t>
        </is>
      </c>
      <c r="AA17" s="3" t="n">
        <v>9534</v>
      </c>
      <c r="AB17" t="inlineStr">
        <is>
          <t>Сошлось по ночным тарифам</t>
        </is>
      </c>
      <c r="AC17" s="2" t="inlineStr"/>
      <c r="AD17" t="n">
        <v>1816</v>
      </c>
      <c r="AE17" t="n">
        <v>0</v>
      </c>
      <c r="AF17" t="inlineStr">
        <is>
          <t>Скидка добавлена к налоговой базе</t>
        </is>
      </c>
      <c r="AG17" t="n">
        <v>11350</v>
      </c>
      <c r="AH17" t="n">
        <v>9534</v>
      </c>
      <c r="AI17" t="inlineStr">
        <is>
          <t>Полное проживание в выбранном периоде</t>
        </is>
      </c>
    </row>
    <row r="18">
      <c r="A18" t="inlineStr">
        <is>
          <t>20260929-8186-467430618</t>
        </is>
      </c>
      <c r="B18" t="n">
        <v>1</v>
      </c>
      <c r="C18" s="2" t="inlineStr">
        <is>
          <t>Giovanni Peressoni</t>
        </is>
      </c>
      <c r="D18" s="3" t="n">
        <v>8086.87</v>
      </c>
      <c r="E18" s="4" t="n">
        <v>18</v>
      </c>
      <c r="F18" t="inlineStr">
        <is>
          <t>Яндекс.Путешествия [Чайковский]</t>
        </is>
      </c>
      <c r="G18" s="3">
        <f>ROUND(D18/(100-E18)*100,2)</f>
        <v/>
      </c>
      <c r="H18" s="3" t="n">
        <v>0</v>
      </c>
      <c r="I18" s="3">
        <f>ROUND(IF(ISNUMBER(AG18),AG18,G18)+H18,2)</f>
        <v/>
      </c>
      <c r="J18" s="2" t="inlineStr">
        <is>
          <t>Завтрак "Шведский стол"</t>
        </is>
      </c>
      <c r="K18" s="5" t="n">
        <v>46294.58333333334</v>
      </c>
      <c r="L18" t="n">
        <v>1</v>
      </c>
      <c r="M18" s="3">
        <f>I18/L18</f>
        <v/>
      </c>
      <c r="N18">
        <f>IF(M18&gt;=5100,"ставка","мин.ставка")</f>
        <v/>
      </c>
      <c r="O18" s="3">
        <f>ROUND(IF(N18="мин.ставка",L18*100,I18/102*2),2)</f>
        <v/>
      </c>
      <c r="P18" s="5" t="n">
        <v>46295.5</v>
      </c>
      <c r="Q18" t="inlineStr">
        <is>
          <t>TravelLine YAX</t>
        </is>
      </c>
      <c r="R18" s="2" t="inlineStr">
        <is>
          <t>СТАНДАРТНЫЙ ДВУХМЕСТНЫЙ НОМЕР</t>
        </is>
      </c>
      <c r="S18" t="n">
        <v>22</v>
      </c>
      <c r="T18" t="n">
        <v>1</v>
      </c>
      <c r="U18" t="inlineStr"/>
      <c r="V18" t="inlineStr">
        <is>
          <t>Тариф с завтраком</t>
        </is>
      </c>
      <c r="W18" t="n">
        <v>8086.87</v>
      </c>
      <c r="X18" s="3" t="n">
        <v>0</v>
      </c>
      <c r="Y18" t="inlineStr"/>
      <c r="Z18" t="inlineStr"/>
      <c r="AA18" s="3" t="n">
        <v>8086.87</v>
      </c>
      <c r="AB18" t="inlineStr">
        <is>
          <t>Сошлось по ночным тарифам</t>
        </is>
      </c>
      <c r="AC18" s="2" t="inlineStr"/>
      <c r="AD18" t="n">
        <v>0</v>
      </c>
      <c r="AE18" t="n">
        <v>0</v>
      </c>
      <c r="AF18" t="inlineStr">
        <is>
          <t>Скидки нет</t>
        </is>
      </c>
      <c r="AG18" t="n">
        <v>8086.87</v>
      </c>
      <c r="AH18" t="n">
        <v>8086.87</v>
      </c>
      <c r="AI18" t="inlineStr">
        <is>
          <t>Полное проживание в выбранном периоде</t>
        </is>
      </c>
    </row>
    <row r="19">
      <c r="A19" t="inlineStr">
        <is>
          <t>20260706-8186-447611282</t>
        </is>
      </c>
      <c r="B19" t="n">
        <v>1</v>
      </c>
      <c r="C19" s="2" t="inlineStr">
        <is>
          <t>GREGOIRE PIERRE ALAIN FOREST</t>
        </is>
      </c>
      <c r="D19" s="3" t="n">
        <v>23035</v>
      </c>
      <c r="E19" s="4" t="n">
        <v>15</v>
      </c>
      <c r="F19" t="inlineStr">
        <is>
          <t>ООО "БРОНИРОВАНИЕ ГОСТИНИЦ" (OSTROVOK) [Чайковский]</t>
        </is>
      </c>
      <c r="G19" s="3">
        <f>ROUND(D19/(100-E19)*100,2)</f>
        <v/>
      </c>
      <c r="H19" s="3" t="n">
        <v>0</v>
      </c>
      <c r="I19" s="3">
        <f>ROUND(IF(ISNUMBER(AG19),AG19,G19)+H19,2)</f>
        <v/>
      </c>
      <c r="J19" s="2" t="inlineStr">
        <is>
          <t>Завтрак "Шведский стол"</t>
        </is>
      </c>
      <c r="K19" s="5" t="n">
        <v>46209.58333333334</v>
      </c>
      <c r="L19" t="n">
        <v>2</v>
      </c>
      <c r="M19" s="3">
        <f>I19/L19</f>
        <v/>
      </c>
      <c r="N19">
        <f>IF(M19&gt;=5100,"ставка","мин.ставка")</f>
        <v/>
      </c>
      <c r="O19" s="3">
        <f>ROUND(IF(N19="мин.ставка",L19*100,I19/102*2),2)</f>
        <v/>
      </c>
      <c r="P19" s="5" t="n">
        <v>46211.5</v>
      </c>
      <c r="Q19" t="inlineStr">
        <is>
          <t>TravelLine OTK</t>
        </is>
      </c>
      <c r="R19" s="2" t="inlineStr">
        <is>
          <t>ПОЛУЛЮКС</t>
        </is>
      </c>
      <c r="S19" t="n">
        <v>25</v>
      </c>
      <c r="T19" t="n">
        <v>1</v>
      </c>
      <c r="U19" t="inlineStr"/>
      <c r="V19" t="inlineStr">
        <is>
          <t>Тариф с завтраком</t>
        </is>
      </c>
      <c r="W19" t="n">
        <v>23035</v>
      </c>
      <c r="X19" s="3" t="n">
        <v>4065</v>
      </c>
      <c r="Y19" t="inlineStr">
        <is>
          <t>15%</t>
        </is>
      </c>
      <c r="Z19" t="inlineStr">
        <is>
          <t>2026-07-06, 2026-07-07</t>
        </is>
      </c>
      <c r="AA19" s="3" t="n">
        <v>23035</v>
      </c>
      <c r="AB19" t="inlineStr">
        <is>
          <t>Сошлось по ночным тарифам</t>
        </is>
      </c>
      <c r="AC19" s="2" t="inlineStr"/>
      <c r="AD19" t="n">
        <v>4065</v>
      </c>
      <c r="AE19" t="n">
        <v>0</v>
      </c>
      <c r="AF19" t="inlineStr">
        <is>
          <t>Скидка добавлена к налоговой базе</t>
        </is>
      </c>
      <c r="AG19" t="n">
        <v>27100</v>
      </c>
      <c r="AH19" t="n">
        <v>23035</v>
      </c>
      <c r="AI19" t="inlineStr">
        <is>
          <t>Полное проживание в выбранном периоде</t>
        </is>
      </c>
    </row>
    <row r="20">
      <c r="A20" t="inlineStr">
        <is>
          <t>20260906-8186-464012359</t>
        </is>
      </c>
      <c r="B20" t="n">
        <v>1</v>
      </c>
      <c r="C20" s="2" t="inlineStr">
        <is>
          <t>Hao Wang</t>
        </is>
      </c>
      <c r="D20" s="3" t="n">
        <v>6545</v>
      </c>
      <c r="E20" s="4" t="n">
        <v>15</v>
      </c>
      <c r="F20" t="inlineStr">
        <is>
          <t>Trip.com Group [Чайковский]</t>
        </is>
      </c>
      <c r="G20" s="3">
        <f>ROUND(D20/(100-E20)*100,2)</f>
        <v/>
      </c>
      <c r="H20" s="3" t="n">
        <v>0</v>
      </c>
      <c r="I20" s="3">
        <f>ROUND(IF(ISNUMBER(AG20),AG20,G20)+H20,2)</f>
        <v/>
      </c>
      <c r="J20" s="2" t="inlineStr">
        <is>
          <t>Завтрак "Шведский стол"</t>
        </is>
      </c>
      <c r="K20" s="5" t="n">
        <v>46271.58333333334</v>
      </c>
      <c r="L20" t="n">
        <v>1</v>
      </c>
      <c r="M20" s="3">
        <f>I20/L20</f>
        <v/>
      </c>
      <c r="N20">
        <f>IF(M20&gt;=5100,"ставка","мин.ставка")</f>
        <v/>
      </c>
      <c r="O20" s="3">
        <f>ROUND(IF(N20="мин.ставка",L20*100,I20/102*2),2)</f>
        <v/>
      </c>
      <c r="P20" s="5" t="n">
        <v>46272.5</v>
      </c>
      <c r="Q20" t="inlineStr">
        <is>
          <t>TravelLine CTP</t>
        </is>
      </c>
      <c r="R20" s="2" t="inlineStr">
        <is>
          <t>СТАНДАРТНЫЙ ОДНОМЕСТНЫЙ НОМЕР</t>
        </is>
      </c>
      <c r="S20" t="n">
        <v>24</v>
      </c>
      <c r="T20" t="n">
        <v>1</v>
      </c>
      <c r="U20" t="inlineStr"/>
      <c r="V20" t="inlineStr">
        <is>
          <t>Тариф с завтраком</t>
        </is>
      </c>
      <c r="W20" t="n">
        <v>6545</v>
      </c>
      <c r="X20" s="3" t="n">
        <v>0</v>
      </c>
      <c r="Y20" t="inlineStr"/>
      <c r="Z20" t="inlineStr"/>
      <c r="AA20" s="3" t="n">
        <v>6545</v>
      </c>
      <c r="AB20" t="inlineStr">
        <is>
          <t>Сошлось по ночным тарифам</t>
        </is>
      </c>
      <c r="AC20" s="2" t="inlineStr"/>
      <c r="AD20" t="n">
        <v>0</v>
      </c>
      <c r="AE20" t="n">
        <v>0</v>
      </c>
      <c r="AF20" t="inlineStr">
        <is>
          <t>Скидки нет</t>
        </is>
      </c>
      <c r="AG20" t="n">
        <v>6545</v>
      </c>
      <c r="AH20" t="n">
        <v>6545</v>
      </c>
      <c r="AI20" t="inlineStr">
        <is>
          <t>Полное проживание в выбранном периоде</t>
        </is>
      </c>
    </row>
    <row r="21">
      <c r="A21" t="inlineStr">
        <is>
          <t>20260904-8186-462864579</t>
        </is>
      </c>
      <c r="B21" t="n">
        <v>1</v>
      </c>
      <c r="C21" s="2" t="inlineStr">
        <is>
          <t>IRENE PREDIGER, EUGEN PREDIGER</t>
        </is>
      </c>
      <c r="D21" s="3" t="n">
        <v>30800</v>
      </c>
      <c r="E21" s="4" t="n">
        <v>0</v>
      </c>
      <c r="F21" t="inlineStr">
        <is>
          <t>Прямые бронирования (стойка) [Чайковский]</t>
        </is>
      </c>
      <c r="G21" s="3">
        <f>ROUND(D21/(100-E21)*100,2)</f>
        <v/>
      </c>
      <c r="H21" s="3" t="n">
        <v>0</v>
      </c>
      <c r="I21" s="3">
        <f>ROUND(IF(ISNUMBER(AG21),AG21,G21)+H21,2)</f>
        <v/>
      </c>
      <c r="J21" s="2" t="inlineStr">
        <is>
          <t>Завтрак "Шведский стол"</t>
        </is>
      </c>
      <c r="K21" s="5" t="n">
        <v>46269.58333333334</v>
      </c>
      <c r="L21" t="n">
        <v>2</v>
      </c>
      <c r="M21" s="3">
        <f>I21/L21</f>
        <v/>
      </c>
      <c r="N21">
        <f>IF(M21&gt;=5100,"ставка","мин.ставка")</f>
        <v/>
      </c>
      <c r="O21" s="3">
        <f>ROUND(IF(N21="мин.ставка",L21*100,I21/102*2),2)</f>
        <v/>
      </c>
      <c r="P21" s="5" t="n">
        <v>46271.5</v>
      </c>
      <c r="Q21" t="inlineStr">
        <is>
          <t>TravelLine ресепшен</t>
        </is>
      </c>
      <c r="R21" s="2" t="inlineStr">
        <is>
          <t>УЛУЧШЕННЫЙ ДВУХМЕСТНЫЙ НОМЕР</t>
        </is>
      </c>
      <c r="S21" t="n">
        <v>59</v>
      </c>
      <c r="T21" t="n">
        <v>2</v>
      </c>
      <c r="U21" t="inlineStr"/>
      <c r="V21" t="inlineStr">
        <is>
          <t>Тариф с завтраком</t>
        </is>
      </c>
      <c r="W21" t="n">
        <v>30800</v>
      </c>
      <c r="X21" s="3" t="n">
        <v>0</v>
      </c>
      <c r="Y21" t="inlineStr"/>
      <c r="Z21" t="inlineStr"/>
      <c r="AA21" s="3" t="n">
        <v>30800</v>
      </c>
      <c r="AB21" t="inlineStr">
        <is>
          <t>Сошлось по ночным тарифам</t>
        </is>
      </c>
      <c r="AC21" s="2" t="inlineStr"/>
      <c r="AD21" t="n">
        <v>0</v>
      </c>
      <c r="AE21" t="n">
        <v>0</v>
      </c>
      <c r="AF21" t="inlineStr">
        <is>
          <t>Скидки нет</t>
        </is>
      </c>
      <c r="AG21" t="n">
        <v>30800</v>
      </c>
      <c r="AH21" t="n">
        <v>30800</v>
      </c>
      <c r="AI21" t="inlineStr">
        <is>
          <t>Полное проживание в выбранном периоде</t>
        </is>
      </c>
    </row>
    <row r="22">
      <c r="A22" t="inlineStr">
        <is>
          <t>20260922-8186-467631558</t>
        </is>
      </c>
      <c r="B22" t="n">
        <v>1</v>
      </c>
      <c r="C22" s="2" t="inlineStr">
        <is>
          <t>IRYNA KOZLOVA</t>
        </is>
      </c>
      <c r="D22" s="3" t="n">
        <v>10215</v>
      </c>
      <c r="E22" s="4" t="n">
        <v>0</v>
      </c>
      <c r="F22" t="inlineStr">
        <is>
          <t>Прямые бронирования (стойка) [Чайковский]</t>
        </is>
      </c>
      <c r="G22" s="3">
        <f>ROUND(D22/(100-E22)*100,2)</f>
        <v/>
      </c>
      <c r="H22" s="3" t="n">
        <v>0</v>
      </c>
      <c r="I22" s="3">
        <f>ROUND(IF(ISNUMBER(AG22),AG22,G22)+H22,2)</f>
        <v/>
      </c>
      <c r="J22" s="2" t="inlineStr">
        <is>
          <t>Завтрак "Шведский стол"</t>
        </is>
      </c>
      <c r="K22" s="5" t="n">
        <v>46287.58333333334</v>
      </c>
      <c r="L22" t="n">
        <v>1</v>
      </c>
      <c r="M22" s="3">
        <f>I22/L22</f>
        <v/>
      </c>
      <c r="N22">
        <f>IF(M22&gt;=5100,"ставка","мин.ставка")</f>
        <v/>
      </c>
      <c r="O22" s="3">
        <f>ROUND(IF(N22="мин.ставка",L22*100,I22/102*2),2)</f>
        <v/>
      </c>
      <c r="P22" s="5" t="n">
        <v>46288.5</v>
      </c>
      <c r="Q22" t="inlineStr">
        <is>
          <t>TravelLine ресепшен</t>
        </is>
      </c>
      <c r="R22" s="2" t="inlineStr">
        <is>
          <t>СТАНДАРТНЫЙ ДВУХМЕСТНЫЙ НОМЕР</t>
        </is>
      </c>
      <c r="S22" t="n">
        <v>36</v>
      </c>
      <c r="T22" t="n">
        <v>1</v>
      </c>
      <c r="U22" t="inlineStr"/>
      <c r="V22" t="inlineStr">
        <is>
          <t>Тариф с завтраком</t>
        </is>
      </c>
      <c r="W22" t="n">
        <v>10215</v>
      </c>
      <c r="X22" s="3" t="n">
        <v>1135</v>
      </c>
      <c r="Y22" t="inlineStr">
        <is>
          <t>10%</t>
        </is>
      </c>
      <c r="Z22" t="inlineStr">
        <is>
          <t>2026-09-22</t>
        </is>
      </c>
      <c r="AA22" s="3" t="n">
        <v>10215</v>
      </c>
      <c r="AB22" t="inlineStr">
        <is>
          <t>Сошлось по ночным тарифам</t>
        </is>
      </c>
      <c r="AC22" s="2" t="inlineStr"/>
      <c r="AD22" t="n">
        <v>1135</v>
      </c>
      <c r="AE22" t="n">
        <v>0</v>
      </c>
      <c r="AF22" t="inlineStr">
        <is>
          <t>Скидка добавлена к налоговой базе</t>
        </is>
      </c>
      <c r="AG22" t="n">
        <v>11350</v>
      </c>
      <c r="AH22" t="n">
        <v>10215</v>
      </c>
      <c r="AI22" t="inlineStr">
        <is>
          <t>Полное проживание в выбранном периоде</t>
        </is>
      </c>
    </row>
    <row r="23">
      <c r="A23" t="inlineStr">
        <is>
          <t>20260917-8186-463133098</t>
        </is>
      </c>
      <c r="B23" t="n">
        <v>1</v>
      </c>
      <c r="C23" s="2" t="inlineStr">
        <is>
          <t>IRYNA KOZLOVA, MARYIA PECHKUROVA</t>
        </is>
      </c>
      <c r="D23" s="3" t="n">
        <v>47670</v>
      </c>
      <c r="E23" s="4" t="n">
        <v>16</v>
      </c>
      <c r="F23" t="inlineStr">
        <is>
          <t>ООО "БРОНИРОВАНИЕ ГОСТИНИЦ" (OSTROVOK) [Чайковский]</t>
        </is>
      </c>
      <c r="G23" s="3">
        <f>ROUND(D23/(100-E23)*100,2)</f>
        <v/>
      </c>
      <c r="H23" s="3" t="n">
        <v>8000</v>
      </c>
      <c r="I23" s="3">
        <f>ROUND(IF(ISNUMBER(AG23),AG23,G23)+H23,2)</f>
        <v/>
      </c>
      <c r="J23" s="2" t="inlineStr">
        <is>
          <t>продление номера — 8 000,00 ₽; Завтрак "Шведский стол"</t>
        </is>
      </c>
      <c r="K23" s="5" t="n">
        <v>46282.58333333334</v>
      </c>
      <c r="L23" t="n">
        <v>5</v>
      </c>
      <c r="M23" s="3">
        <f>I23/L23</f>
        <v/>
      </c>
      <c r="N23">
        <f>IF(M23&gt;=5100,"ставка","мин.ставка")</f>
        <v/>
      </c>
      <c r="O23" s="3">
        <f>ROUND(IF(N23="мин.ставка",L23*100,I23/102*2),2)</f>
        <v/>
      </c>
      <c r="P23" s="5" t="n">
        <v>46287.5</v>
      </c>
      <c r="Q23" t="inlineStr">
        <is>
          <t>TravelLine OTK</t>
        </is>
      </c>
      <c r="R23" s="2" t="inlineStr">
        <is>
          <t>СТАНДАРТНЫЙ ДВУХМЕСТНЫЙ НОМЕР</t>
        </is>
      </c>
      <c r="S23" t="n">
        <v>42</v>
      </c>
      <c r="T23" t="n">
        <v>1</v>
      </c>
      <c r="U23" t="inlineStr"/>
      <c r="V23" t="inlineStr">
        <is>
          <t>Тариф с завтраком</t>
        </is>
      </c>
      <c r="W23" t="n">
        <v>55670</v>
      </c>
      <c r="X23" s="3" t="n">
        <v>9080</v>
      </c>
      <c r="Y23" t="inlineStr">
        <is>
          <t>16%</t>
        </is>
      </c>
      <c r="Z23" t="inlineStr">
        <is>
          <t>2026-09-17, 2026-09-18, 2026-09-19, 2026-09-20, 2026-09-21</t>
        </is>
      </c>
      <c r="AA23" s="3" t="n">
        <v>47670</v>
      </c>
      <c r="AB23" t="inlineStr">
        <is>
          <t>Сошлось с услугами</t>
        </is>
      </c>
      <c r="AC23" s="2" t="inlineStr"/>
      <c r="AD23" t="n">
        <v>9080</v>
      </c>
      <c r="AE23" t="n">
        <v>0</v>
      </c>
      <c r="AF23" t="inlineStr">
        <is>
          <t>Скидка добавлена к налоговой базе</t>
        </is>
      </c>
      <c r="AG23" t="n">
        <v>56750</v>
      </c>
      <c r="AH23" t="n">
        <v>47670</v>
      </c>
      <c r="AI23" t="inlineStr">
        <is>
          <t>Полное проживание в выбранном периоде</t>
        </is>
      </c>
    </row>
    <row r="24">
      <c r="A24" t="inlineStr">
        <is>
          <t>20260905-8186-463904028</t>
        </is>
      </c>
      <c r="B24" t="n">
        <v>1</v>
      </c>
      <c r="C24" s="2" t="inlineStr">
        <is>
          <t>JACOBUS SCHONEVELD, WIKANDA SCHONEVELD</t>
        </is>
      </c>
      <c r="D24" s="3" t="n">
        <v>32040</v>
      </c>
      <c r="E24" s="4" t="n">
        <v>0</v>
      </c>
      <c r="F24" t="inlineStr">
        <is>
          <t>Прямые бронирования (стойка) [Чайковский]</t>
        </is>
      </c>
      <c r="G24" s="3">
        <f>ROUND(D24/(100-E24)*100,2)</f>
        <v/>
      </c>
      <c r="H24" s="3" t="n">
        <v>0</v>
      </c>
      <c r="I24" s="3">
        <f>ROUND(IF(ISNUMBER(AG24),AG24,G24)+H24,2)</f>
        <v/>
      </c>
      <c r="J24" s="2" t="inlineStr">
        <is>
          <t>Завтрак "Шведский стол"</t>
        </is>
      </c>
      <c r="K24" s="5" t="n">
        <v>46270.58333333334</v>
      </c>
      <c r="L24" t="n">
        <v>2</v>
      </c>
      <c r="M24" s="3">
        <f>I24/L24</f>
        <v/>
      </c>
      <c r="N24">
        <f>IF(M24&gt;=5100,"ставка","мин.ставка")</f>
        <v/>
      </c>
      <c r="O24" s="3">
        <f>ROUND(IF(N24="мин.ставка",L24*100,I24/102*2),2)</f>
        <v/>
      </c>
      <c r="P24" s="5" t="n">
        <v>46272.5</v>
      </c>
      <c r="Q24" t="inlineStr">
        <is>
          <t>TravelLine ресепшен</t>
        </is>
      </c>
      <c r="R24" s="2" t="inlineStr">
        <is>
          <t>ЛЮКС ВТОРОЙ КОРПУС</t>
        </is>
      </c>
      <c r="S24" t="n">
        <v>53</v>
      </c>
      <c r="T24" t="n">
        <v>2</v>
      </c>
      <c r="U24" t="inlineStr"/>
      <c r="V24" t="inlineStr">
        <is>
          <t>Тариф с завтраком</t>
        </is>
      </c>
      <c r="W24" t="n">
        <v>32040</v>
      </c>
      <c r="X24" s="3" t="n">
        <v>3560</v>
      </c>
      <c r="Y24" t="inlineStr">
        <is>
          <t>10%</t>
        </is>
      </c>
      <c r="Z24" t="inlineStr">
        <is>
          <t>2026-09-05, 2026-09-06</t>
        </is>
      </c>
      <c r="AA24" s="3" t="n">
        <v>32040</v>
      </c>
      <c r="AB24" t="inlineStr">
        <is>
          <t>Сошлось по ночным тарифам</t>
        </is>
      </c>
      <c r="AC24" s="2" t="inlineStr"/>
      <c r="AD24" t="n">
        <v>3560</v>
      </c>
      <c r="AE24" t="n">
        <v>0</v>
      </c>
      <c r="AF24" t="inlineStr">
        <is>
          <t>Скидка добавлена к налоговой базе</t>
        </is>
      </c>
      <c r="AG24" t="n">
        <v>35600</v>
      </c>
      <c r="AH24" t="n">
        <v>32040</v>
      </c>
      <c r="AI24" t="inlineStr">
        <is>
          <t>Полное проживание в выбранном периоде</t>
        </is>
      </c>
    </row>
    <row r="25">
      <c r="A25" t="inlineStr">
        <is>
          <t>20260706-8186-438572019</t>
        </is>
      </c>
      <c r="B25" t="n">
        <v>1</v>
      </c>
      <c r="C25" s="2" t="inlineStr">
        <is>
          <t>KANTEERA CHAINUAL, Евгений Ханнанов</t>
        </is>
      </c>
      <c r="D25" s="3" t="n">
        <v>30322.6</v>
      </c>
      <c r="E25" s="4" t="n">
        <v>4</v>
      </c>
      <c r="F25" t="inlineStr">
        <is>
          <t>TravelLine Booking Engine [Чайковский]</t>
        </is>
      </c>
      <c r="G25" s="3">
        <f>ROUND(D25/(100-E25)*100,2)</f>
        <v/>
      </c>
      <c r="H25" s="3" t="n">
        <v>0</v>
      </c>
      <c r="I25" s="3">
        <f>ROUND(IF(ISNUMBER(AG25),AG25,G25)+H25,2)</f>
        <v/>
      </c>
      <c r="J25" s="2" t="inlineStr">
        <is>
          <t>Завтрак "Шведский стол"</t>
        </is>
      </c>
      <c r="K25" s="5" t="n">
        <v>46209.58333333334</v>
      </c>
      <c r="L25" t="n">
        <v>2</v>
      </c>
      <c r="M25" s="3">
        <f>I25/L25</f>
        <v/>
      </c>
      <c r="N25">
        <f>IF(M25&gt;=5100,"ставка","мин.ставка")</f>
        <v/>
      </c>
      <c r="O25" s="3">
        <f>ROUND(IF(N25="мин.ставка",L25*100,I25/102*2),2)</f>
        <v/>
      </c>
      <c r="P25" s="5" t="n">
        <v>46211.5</v>
      </c>
      <c r="Q25" t="inlineStr">
        <is>
          <t>TravelLine сайт</t>
        </is>
      </c>
      <c r="R25" s="2" t="inlineStr">
        <is>
          <t>УЛУЧШЕННЫЙ ДВУХМЕСТНЫЙ НОМЕР</t>
        </is>
      </c>
      <c r="S25" t="n">
        <v>21</v>
      </c>
      <c r="T25" t="n">
        <v>1</v>
      </c>
      <c r="U25" t="inlineStr"/>
      <c r="V25" t="inlineStr">
        <is>
          <t>Тариф с завтраком</t>
        </is>
      </c>
      <c r="W25" t="n">
        <v>30322.6</v>
      </c>
      <c r="X25" s="3" t="n">
        <v>477.4</v>
      </c>
      <c r="Y25" t="inlineStr">
        <is>
          <t>3.1%</t>
        </is>
      </c>
      <c r="Z25" t="inlineStr">
        <is>
          <t>2026-07-06</t>
        </is>
      </c>
      <c r="AA25" s="3" t="n">
        <v>30322.6</v>
      </c>
      <c r="AB25" t="inlineStr">
        <is>
          <t>Сошлось по ночным тарифам</t>
        </is>
      </c>
      <c r="AC25" s="2" t="inlineStr"/>
      <c r="AD25" t="n">
        <v>477.4</v>
      </c>
      <c r="AE25" t="n">
        <v>0</v>
      </c>
      <c r="AF25" t="inlineStr">
        <is>
          <t>Скидка добавлена к налоговой базе</t>
        </is>
      </c>
      <c r="AG25" t="n">
        <v>30800</v>
      </c>
      <c r="AH25" t="n">
        <v>30322.6</v>
      </c>
      <c r="AI25" t="inlineStr">
        <is>
          <t>Полное проживание в выбранном периоде</t>
        </is>
      </c>
    </row>
    <row r="26">
      <c r="A26" t="inlineStr">
        <is>
          <t>20260731-8186-454688935</t>
        </is>
      </c>
      <c r="B26" t="n">
        <v>1</v>
      </c>
      <c r="C26" s="2" t="inlineStr">
        <is>
          <t>Kayoko Meguro, Jun Meguro</t>
        </is>
      </c>
      <c r="D26" s="3" t="n">
        <v>43350</v>
      </c>
      <c r="E26" s="4" t="n">
        <v>0</v>
      </c>
      <c r="F26" t="inlineStr">
        <is>
          <t>Прямые бронирования (стойка) [Чайковский]</t>
        </is>
      </c>
      <c r="G26" s="3">
        <f>ROUND(D26/(100-E26)*100,2)</f>
        <v/>
      </c>
      <c r="H26" s="3" t="n">
        <v>0</v>
      </c>
      <c r="I26" s="3">
        <f>ROUND(IF(ISNUMBER(AG26),AG26,G26)+H26,2)</f>
        <v/>
      </c>
      <c r="J26" s="2" t="inlineStr">
        <is>
          <t>Завтрак "Шведский стол"</t>
        </is>
      </c>
      <c r="K26" s="5" t="n">
        <v>46234.58333333334</v>
      </c>
      <c r="L26" t="n">
        <v>3</v>
      </c>
      <c r="M26" s="3">
        <f>I26/L26</f>
        <v/>
      </c>
      <c r="N26">
        <f>IF(M26&gt;=5100,"ставка","мин.ставка")</f>
        <v/>
      </c>
      <c r="O26" s="3">
        <f>ROUND(IF(N26="мин.ставка",L26*100,I26/102*2),2)</f>
        <v/>
      </c>
      <c r="P26" s="5" t="n">
        <v>46237.5</v>
      </c>
      <c r="Q26" t="inlineStr">
        <is>
          <t>TravelLine ресепшен</t>
        </is>
      </c>
      <c r="R26" s="2" t="inlineStr">
        <is>
          <t>СЕМЕЙНЫЙ НОМЕР КАТЕГОРИИ "СТАНДАРТ" ВТОРОЙ КОРПУС</t>
        </is>
      </c>
      <c r="S26" t="n">
        <v>50</v>
      </c>
      <c r="T26" t="n">
        <v>2</v>
      </c>
      <c r="U26" t="inlineStr"/>
      <c r="V26" t="inlineStr">
        <is>
          <t>Тариф с завтраком</t>
        </is>
      </c>
      <c r="W26" t="n">
        <v>43350</v>
      </c>
      <c r="X26" s="3" t="n">
        <v>0</v>
      </c>
      <c r="Y26" t="inlineStr"/>
      <c r="Z26" t="inlineStr"/>
      <c r="AA26" s="3" t="n">
        <v>43350</v>
      </c>
      <c r="AB26" t="inlineStr">
        <is>
          <t>Сошлось по ночным тарифам</t>
        </is>
      </c>
      <c r="AC26" s="2" t="inlineStr"/>
      <c r="AD26" t="n">
        <v>0</v>
      </c>
      <c r="AE26" t="n">
        <v>0</v>
      </c>
      <c r="AF26" t="inlineStr">
        <is>
          <t>Скидки нет</t>
        </is>
      </c>
      <c r="AG26" t="n">
        <v>43350</v>
      </c>
      <c r="AH26" t="n">
        <v>43350</v>
      </c>
      <c r="AI26" t="inlineStr">
        <is>
          <t>Полное проживание в выбранном периоде</t>
        </is>
      </c>
    </row>
    <row r="27">
      <c r="A27" t="inlineStr">
        <is>
          <t>20260904-8186-462864511</t>
        </is>
      </c>
      <c r="B27" t="n">
        <v>1</v>
      </c>
      <c r="C27" s="2" t="inlineStr">
        <is>
          <t>LARISSA PAVLENKO, ANDREJ SCHULEPOW</t>
        </is>
      </c>
      <c r="D27" s="3" t="n">
        <v>26700</v>
      </c>
      <c r="E27" s="4" t="n">
        <v>0</v>
      </c>
      <c r="F27" t="inlineStr">
        <is>
          <t>Прямые бронирования (стойка) [Чайковский]</t>
        </is>
      </c>
      <c r="G27" s="3">
        <f>ROUND(D27/(100-E27)*100,2)</f>
        <v/>
      </c>
      <c r="H27" s="3" t="n">
        <v>0</v>
      </c>
      <c r="I27" s="3">
        <f>ROUND(IF(ISNUMBER(AG27),AG27,G27)+H27,2)</f>
        <v/>
      </c>
      <c r="J27" s="2" t="inlineStr">
        <is>
          <t>Завтрак "Шведский стол"</t>
        </is>
      </c>
      <c r="K27" s="5" t="n">
        <v>46269.58333333334</v>
      </c>
      <c r="L27" t="n">
        <v>2</v>
      </c>
      <c r="M27" s="3">
        <f>I27/L27</f>
        <v/>
      </c>
      <c r="N27">
        <f>IF(M27&gt;=5100,"ставка","мин.ставка")</f>
        <v/>
      </c>
      <c r="O27" s="3">
        <f>ROUND(IF(N27="мин.ставка",L27*100,I27/102*2),2)</f>
        <v/>
      </c>
      <c r="P27" s="5" t="n">
        <v>46271.5</v>
      </c>
      <c r="Q27" t="inlineStr">
        <is>
          <t>TravelLine ресепшен</t>
        </is>
      </c>
      <c r="R27" s="2" t="inlineStr">
        <is>
          <t>СТАНДАРТНЫЙ ДВУХМЕСТНЫЙ НОМЕР</t>
        </is>
      </c>
      <c r="S27" t="n">
        <v>52</v>
      </c>
      <c r="T27" t="n">
        <v>2</v>
      </c>
      <c r="U27" t="inlineStr"/>
      <c r="V27" t="inlineStr">
        <is>
          <t>Тариф с завтраком</t>
        </is>
      </c>
      <c r="W27" t="n">
        <v>26700</v>
      </c>
      <c r="X27" s="3" t="n">
        <v>0</v>
      </c>
      <c r="Y27" t="inlineStr"/>
      <c r="Z27" t="inlineStr"/>
      <c r="AA27" s="3" t="n">
        <v>26700</v>
      </c>
      <c r="AB27" t="inlineStr">
        <is>
          <t>Сошлось по ночным тарифам</t>
        </is>
      </c>
      <c r="AC27" s="2" t="inlineStr"/>
      <c r="AD27" t="n">
        <v>0</v>
      </c>
      <c r="AE27" t="n">
        <v>0</v>
      </c>
      <c r="AF27" t="inlineStr">
        <is>
          <t>Скидки нет</t>
        </is>
      </c>
      <c r="AG27" t="n">
        <v>26700</v>
      </c>
      <c r="AH27" t="n">
        <v>26700</v>
      </c>
      <c r="AI27" t="inlineStr">
        <is>
          <t>Полное проживание в выбранном периоде</t>
        </is>
      </c>
    </row>
    <row r="28">
      <c r="A28" t="inlineStr">
        <is>
          <t>20260708-8186-448570692</t>
        </is>
      </c>
      <c r="B28" t="n">
        <v>1</v>
      </c>
      <c r="C28" s="2" t="inlineStr">
        <is>
          <t>Lian Li</t>
        </is>
      </c>
      <c r="D28" s="3" t="n">
        <v>28560</v>
      </c>
      <c r="E28" s="4" t="n">
        <v>18</v>
      </c>
      <c r="F28" t="inlineStr">
        <is>
          <t>Яндекс.Путешествия [Чайковский]</t>
        </is>
      </c>
      <c r="G28" s="3">
        <f>ROUND(D28/(100-E28)*100,2)</f>
        <v/>
      </c>
      <c r="H28" s="3" t="n">
        <v>0</v>
      </c>
      <c r="I28" s="3">
        <f>ROUND(IF(ISNUMBER(AG28),AG28,G28)+H28,2)</f>
        <v/>
      </c>
      <c r="J28" s="2" t="inlineStr"/>
      <c r="K28" s="5" t="n">
        <v>46211.58333333334</v>
      </c>
      <c r="L28" t="n">
        <v>3</v>
      </c>
      <c r="M28" s="3">
        <f>I28/L28</f>
        <v/>
      </c>
      <c r="N28">
        <f>IF(M28&gt;=5100,"ставка","мин.ставка")</f>
        <v/>
      </c>
      <c r="O28" s="3">
        <f>ROUND(IF(N28="мин.ставка",L28*100,I28/102*2),2)</f>
        <v/>
      </c>
      <c r="P28" s="5" t="n">
        <v>46214.5</v>
      </c>
      <c r="Q28" t="inlineStr">
        <is>
          <t>TravelLine YAX</t>
        </is>
      </c>
      <c r="R28" s="2" t="inlineStr">
        <is>
          <t>УЛУЧШЕННЫЙ ДВУХМЕСТНЫЙ НОМЕР</t>
        </is>
      </c>
      <c r="S28" t="n">
        <v>31</v>
      </c>
      <c r="T28" t="n">
        <v>1</v>
      </c>
      <c r="U28" t="inlineStr"/>
      <c r="V28" t="inlineStr">
        <is>
          <t>Основной тариф без завтрака</t>
        </is>
      </c>
      <c r="W28" t="n">
        <v>28560</v>
      </c>
      <c r="X28" s="3" t="n">
        <v>7140</v>
      </c>
      <c r="Y28" t="inlineStr">
        <is>
          <t>20%</t>
        </is>
      </c>
      <c r="Z28" t="inlineStr">
        <is>
          <t>2026-07-08, 2026-07-09, 2026-07-10</t>
        </is>
      </c>
      <c r="AA28" s="3" t="n">
        <v>28560</v>
      </c>
      <c r="AB28" t="inlineStr">
        <is>
          <t>Сошлось по ночным тарифам</t>
        </is>
      </c>
      <c r="AC28" s="2" t="inlineStr"/>
      <c r="AD28" t="n">
        <v>7140</v>
      </c>
      <c r="AE28" t="n">
        <v>0</v>
      </c>
      <c r="AF28" t="inlineStr">
        <is>
          <t>Скидка добавлена к налоговой базе</t>
        </is>
      </c>
      <c r="AG28" t="n">
        <v>35700</v>
      </c>
      <c r="AH28" t="n">
        <v>28560</v>
      </c>
      <c r="AI28" t="inlineStr">
        <is>
          <t>Полное проживание в выбранном периоде</t>
        </is>
      </c>
    </row>
    <row r="29">
      <c r="A29" t="inlineStr">
        <is>
          <t>20260726-8186-453460339</t>
        </is>
      </c>
      <c r="B29" t="n">
        <v>1</v>
      </c>
      <c r="C29" s="2" t="inlineStr">
        <is>
          <t>LIYA VINOGRADOVA</t>
        </is>
      </c>
      <c r="D29" s="3" t="n">
        <v>8900</v>
      </c>
      <c r="E29" s="4" t="n">
        <v>0</v>
      </c>
      <c r="F29" t="inlineStr">
        <is>
          <t>Прямые бронирования (стойка) [Чайковский]</t>
        </is>
      </c>
      <c r="G29" s="3">
        <f>ROUND(D29/(100-E29)*100,2)</f>
        <v/>
      </c>
      <c r="H29" s="3" t="n">
        <v>0</v>
      </c>
      <c r="I29" s="3">
        <f>ROUND(IF(ISNUMBER(AG29),AG29,G29)+H29,2)</f>
        <v/>
      </c>
      <c r="J29" s="2" t="inlineStr">
        <is>
          <t>Завтрак "Шведский стол"</t>
        </is>
      </c>
      <c r="K29" s="5" t="n">
        <v>46229.58333333334</v>
      </c>
      <c r="L29" t="n">
        <v>1</v>
      </c>
      <c r="M29" s="3">
        <f>I29/L29</f>
        <v/>
      </c>
      <c r="N29">
        <f>IF(M29&gt;=5100,"ставка","мин.ставка")</f>
        <v/>
      </c>
      <c r="O29" s="3">
        <f>ROUND(IF(N29="мин.ставка",L29*100,I29/102*2),2)</f>
        <v/>
      </c>
      <c r="P29" s="5" t="n">
        <v>46230.5</v>
      </c>
      <c r="Q29" t="inlineStr">
        <is>
          <t>TravelLine ресепшен</t>
        </is>
      </c>
      <c r="R29" s="2" t="inlineStr">
        <is>
          <t>СТАНДАРТНЫЙ ДВУХМЕСТНЫЙ НОМЕР</t>
        </is>
      </c>
      <c r="S29" t="n">
        <v>23</v>
      </c>
      <c r="T29" t="n">
        <v>1</v>
      </c>
      <c r="U29" t="inlineStr"/>
      <c r="V29" t="inlineStr">
        <is>
          <t>Тариф с завтраком</t>
        </is>
      </c>
      <c r="W29" t="n">
        <v>8900</v>
      </c>
      <c r="X29" s="3" t="n">
        <v>0</v>
      </c>
      <c r="Y29" t="inlineStr"/>
      <c r="Z29" t="inlineStr"/>
      <c r="AA29" s="3" t="n">
        <v>8900</v>
      </c>
      <c r="AB29" t="inlineStr">
        <is>
          <t>Сошлось по ночным тарифам</t>
        </is>
      </c>
      <c r="AC29" s="2" t="inlineStr"/>
      <c r="AD29" t="n">
        <v>0</v>
      </c>
      <c r="AE29" t="n">
        <v>0</v>
      </c>
      <c r="AF29" t="inlineStr">
        <is>
          <t>Скидки нет</t>
        </is>
      </c>
      <c r="AG29" t="n">
        <v>8900</v>
      </c>
      <c r="AH29" t="n">
        <v>8900</v>
      </c>
      <c r="AI29" t="inlineStr">
        <is>
          <t>Полное проживание в выбранном периоде</t>
        </is>
      </c>
    </row>
    <row r="30">
      <c r="A30" t="inlineStr">
        <is>
          <t>20260727-8186-453517212</t>
        </is>
      </c>
      <c r="B30" t="n">
        <v>1</v>
      </c>
      <c r="C30" s="2" t="inlineStr">
        <is>
          <t>LIYA VINOGRADOVA</t>
        </is>
      </c>
      <c r="D30" s="3" t="n">
        <v>8900</v>
      </c>
      <c r="E30" s="4" t="n">
        <v>0</v>
      </c>
      <c r="F30" t="inlineStr">
        <is>
          <t>Прямые бронирования (стойка) [Чайковский]</t>
        </is>
      </c>
      <c r="G30" s="3">
        <f>ROUND(D30/(100-E30)*100,2)</f>
        <v/>
      </c>
      <c r="H30" s="3" t="n">
        <v>0</v>
      </c>
      <c r="I30" s="3">
        <f>ROUND(IF(ISNUMBER(AG30),AG30,G30)+H30,2)</f>
        <v/>
      </c>
      <c r="J30" s="2" t="inlineStr">
        <is>
          <t>Завтрак "Шведский стол"</t>
        </is>
      </c>
      <c r="K30" s="5" t="n">
        <v>46230.58333333334</v>
      </c>
      <c r="L30" t="n">
        <v>1</v>
      </c>
      <c r="M30" s="3">
        <f>I30/L30</f>
        <v/>
      </c>
      <c r="N30">
        <f>IF(M30&gt;=5100,"ставка","мин.ставка")</f>
        <v/>
      </c>
      <c r="O30" s="3">
        <f>ROUND(IF(N30="мин.ставка",L30*100,I30/102*2),2)</f>
        <v/>
      </c>
      <c r="P30" s="5" t="n">
        <v>46231.5</v>
      </c>
      <c r="Q30" t="inlineStr">
        <is>
          <t>TravelLine ресепшен</t>
        </is>
      </c>
      <c r="R30" s="2" t="inlineStr">
        <is>
          <t>СТАНДАРТНЫЙ ДВУХМЕСТНЫЙ НОМЕР</t>
        </is>
      </c>
      <c r="S30" t="n">
        <v>52</v>
      </c>
      <c r="T30" t="n">
        <v>2</v>
      </c>
      <c r="U30" t="inlineStr"/>
      <c r="V30" t="inlineStr">
        <is>
          <t>Тариф с завтраком</t>
        </is>
      </c>
      <c r="W30" t="n">
        <v>8900</v>
      </c>
      <c r="X30" s="3" t="n">
        <v>0</v>
      </c>
      <c r="Y30" t="inlineStr"/>
      <c r="Z30" t="inlineStr"/>
      <c r="AA30" s="3" t="n">
        <v>8900</v>
      </c>
      <c r="AB30" t="inlineStr">
        <is>
          <t>Сошлось по ночным тарифам</t>
        </is>
      </c>
      <c r="AC30" s="2" t="inlineStr"/>
      <c r="AD30" t="n">
        <v>0</v>
      </c>
      <c r="AE30" t="n">
        <v>0</v>
      </c>
      <c r="AF30" t="inlineStr">
        <is>
          <t>Скидки нет</t>
        </is>
      </c>
      <c r="AG30" t="n">
        <v>8900</v>
      </c>
      <c r="AH30" t="n">
        <v>8900</v>
      </c>
      <c r="AI30" t="inlineStr">
        <is>
          <t>Полное проживание в выбранном периоде</t>
        </is>
      </c>
    </row>
    <row r="31">
      <c r="A31" t="inlineStr">
        <is>
          <t>20260715-8186-415978195</t>
        </is>
      </c>
      <c r="B31" t="n">
        <v>1</v>
      </c>
      <c r="C31" s="2" t="inlineStr">
        <is>
          <t>Manfred Kemmer, Алла Мальгина</t>
        </is>
      </c>
      <c r="D31" s="3" t="n">
        <v>45390</v>
      </c>
      <c r="E31" s="4" t="n">
        <v>15</v>
      </c>
      <c r="F31" t="inlineStr">
        <is>
          <t>ООО "БРОНИРОВАНИЕ ГОСТИНИЦ" (OSTROVOK) [Чайковский]</t>
        </is>
      </c>
      <c r="G31" s="3">
        <f>ROUND(D31/(100-E31)*100,2)</f>
        <v/>
      </c>
      <c r="H31" s="3" t="n">
        <v>0</v>
      </c>
      <c r="I31" s="3">
        <f>ROUND(IF(ISNUMBER(AG31),AG31,G31)+H31,2)</f>
        <v/>
      </c>
      <c r="J31" s="2" t="inlineStr">
        <is>
          <t>Завтрак "Шведский стол"</t>
        </is>
      </c>
      <c r="K31" s="5" t="n">
        <v>46218.58333333334</v>
      </c>
      <c r="L31" t="n">
        <v>4</v>
      </c>
      <c r="M31" s="3">
        <f>I31/L31</f>
        <v/>
      </c>
      <c r="N31">
        <f>IF(M31&gt;=5100,"ставка","мин.ставка")</f>
        <v/>
      </c>
      <c r="O31" s="3">
        <f>ROUND(IF(N31="мин.ставка",L31*100,I31/102*2),2)</f>
        <v/>
      </c>
      <c r="P31" s="5" t="n">
        <v>46222.5</v>
      </c>
      <c r="Q31" t="inlineStr">
        <is>
          <t>TravelLine OTK</t>
        </is>
      </c>
      <c r="R31" s="2" t="inlineStr">
        <is>
          <t>СТАНДАРТНЫЙ ДВУХМЕСТНЫЙ НОМЕР</t>
        </is>
      </c>
      <c r="S31" t="n">
        <v>22</v>
      </c>
      <c r="T31" t="n">
        <v>1</v>
      </c>
      <c r="U31" t="inlineStr"/>
      <c r="V31" t="inlineStr">
        <is>
          <t>Тариф с завтраком</t>
        </is>
      </c>
      <c r="W31" t="n">
        <v>45390</v>
      </c>
      <c r="X31" s="3" t="n">
        <v>8010</v>
      </c>
      <c r="Y31" t="inlineStr">
        <is>
          <t>15%</t>
        </is>
      </c>
      <c r="Z31" t="inlineStr">
        <is>
          <t>2026-07-15, 2026-07-16, 2026-07-17, 2026-07-18</t>
        </is>
      </c>
      <c r="AA31" s="3" t="n">
        <v>45390</v>
      </c>
      <c r="AB31" t="inlineStr">
        <is>
          <t>Сошлось по ночным тарифам</t>
        </is>
      </c>
      <c r="AC31" s="2" t="inlineStr"/>
      <c r="AD31" t="n">
        <v>8010</v>
      </c>
      <c r="AE31" t="n">
        <v>0</v>
      </c>
      <c r="AF31" t="inlineStr">
        <is>
          <t>Скидка добавлена к налоговой базе</t>
        </is>
      </c>
      <c r="AG31" t="n">
        <v>53400</v>
      </c>
      <c r="AH31" t="n">
        <v>45390</v>
      </c>
      <c r="AI31" t="inlineStr">
        <is>
          <t>Полное проживание в выбранном периоде</t>
        </is>
      </c>
    </row>
    <row r="32">
      <c r="A32" t="inlineStr">
        <is>
          <t>20260712-8186-449646004</t>
        </is>
      </c>
      <c r="B32" t="n">
        <v>1</v>
      </c>
      <c r="C32" s="2" t="inlineStr">
        <is>
          <t>ozon сухоруков штраф</t>
        </is>
      </c>
      <c r="D32" s="3" t="n">
        <v>11371</v>
      </c>
      <c r="E32" s="4" t="n">
        <v>0</v>
      </c>
      <c r="F32" t="inlineStr">
        <is>
          <t>Прямые бронирования (стойка) [Чайковский]</t>
        </is>
      </c>
      <c r="G32" s="3">
        <f>ROUND(D32/(100-E32)*100,2)</f>
        <v/>
      </c>
      <c r="H32" s="3" t="n">
        <v>0</v>
      </c>
      <c r="I32" s="3">
        <f>ROUND(IF(ISNUMBER(AG32),AG32,G32)+H32,2)</f>
        <v/>
      </c>
      <c r="J32" s="2" t="inlineStr">
        <is>
          <t>Завтрак "Шведский стол"</t>
        </is>
      </c>
      <c r="K32" s="5" t="n">
        <v>46215.58333333334</v>
      </c>
      <c r="L32" t="n">
        <v>1</v>
      </c>
      <c r="M32" s="3">
        <f>I32/L32</f>
        <v/>
      </c>
      <c r="N32">
        <f>IF(M32&gt;=5100,"ставка","мин.ставка")</f>
        <v/>
      </c>
      <c r="O32" s="3">
        <f>ROUND(IF(N32="мин.ставка",L32*100,I32/102*2),2)</f>
        <v/>
      </c>
      <c r="P32" s="5" t="n">
        <v>46216.5</v>
      </c>
      <c r="Q32" t="inlineStr">
        <is>
          <t>TravelLine ресепшен</t>
        </is>
      </c>
      <c r="R32" s="2" t="inlineStr">
        <is>
          <t>СЕМЕЙНЫЙ НОМЕР КАТЕГОРИИ "СТАНДАРТ" ВТОРОЙ КОРПУС</t>
        </is>
      </c>
      <c r="S32" t="n">
        <v>51</v>
      </c>
      <c r="T32" t="n">
        <v>2</v>
      </c>
      <c r="U32" t="inlineStr"/>
      <c r="V32" t="inlineStr">
        <is>
          <t>Тариф с завтраком</t>
        </is>
      </c>
      <c r="W32" t="n">
        <v>11371</v>
      </c>
      <c r="X32" s="3" t="n">
        <v>0</v>
      </c>
      <c r="Y32" t="inlineStr"/>
      <c r="Z32" t="inlineStr"/>
      <c r="AA32" s="3" t="n">
        <v>11371</v>
      </c>
      <c r="AB32" t="inlineStr">
        <is>
          <t>Сошлось по ночным тарифам</t>
        </is>
      </c>
      <c r="AC32" s="2" t="inlineStr"/>
      <c r="AD32" t="n">
        <v>0</v>
      </c>
      <c r="AE32" t="n">
        <v>0</v>
      </c>
      <c r="AF32" t="inlineStr">
        <is>
          <t>Скидки нет</t>
        </is>
      </c>
      <c r="AG32" t="n">
        <v>11371</v>
      </c>
      <c r="AH32" t="n">
        <v>11371</v>
      </c>
      <c r="AI32" t="inlineStr">
        <is>
          <t>Полное проживание в выбранном периоде</t>
        </is>
      </c>
    </row>
    <row r="33">
      <c r="A33" t="inlineStr">
        <is>
          <t>20260908-8186-463674253</t>
        </is>
      </c>
      <c r="B33" t="n">
        <v>1</v>
      </c>
      <c r="C33" s="2" t="inlineStr">
        <is>
          <t>Piotr ANATOL Wilk</t>
        </is>
      </c>
      <c r="D33" s="3" t="n">
        <v>15800</v>
      </c>
      <c r="E33" s="4" t="n">
        <v>0</v>
      </c>
      <c r="F33" t="inlineStr">
        <is>
          <t>Прямые бронирования (стойка) [Чайковский]</t>
        </is>
      </c>
      <c r="G33" s="3">
        <f>ROUND(D33/(100-E33)*100,2)</f>
        <v/>
      </c>
      <c r="H33" s="3" t="n">
        <v>0</v>
      </c>
      <c r="I33" s="3">
        <f>ROUND(IF(ISNUMBER(AG33),AG33,G33)+H33,2)</f>
        <v/>
      </c>
      <c r="J33" s="2" t="inlineStr">
        <is>
          <t>Завтрак "Шведский стол"</t>
        </is>
      </c>
      <c r="K33" s="5" t="n">
        <v>46273.58333333334</v>
      </c>
      <c r="L33" t="n">
        <v>2</v>
      </c>
      <c r="M33" s="3">
        <f>I33/L33</f>
        <v/>
      </c>
      <c r="N33">
        <f>IF(M33&gt;=5100,"ставка","мин.ставка")</f>
        <v/>
      </c>
      <c r="O33" s="3">
        <f>ROUND(IF(N33="мин.ставка",L33*100,I33/102*2),2)</f>
        <v/>
      </c>
      <c r="P33" s="5" t="n">
        <v>46275.5</v>
      </c>
      <c r="Q33" t="inlineStr">
        <is>
          <t>TravelLine ресепшен</t>
        </is>
      </c>
      <c r="R33" s="2" t="inlineStr">
        <is>
          <t>СТАНДАРТНЫЙ ДВУХМЕСТНЫЙ НОМЕР (МАНСАРДА)</t>
        </is>
      </c>
      <c r="S33" t="n">
        <v>47</v>
      </c>
      <c r="T33" t="n">
        <v>1</v>
      </c>
      <c r="U33" t="inlineStr"/>
      <c r="V33" t="inlineStr">
        <is>
          <t>Тариф с завтраком</t>
        </is>
      </c>
      <c r="W33" t="n">
        <v>15800</v>
      </c>
      <c r="X33" s="3" t="n">
        <v>0</v>
      </c>
      <c r="Y33" t="inlineStr"/>
      <c r="Z33" t="inlineStr"/>
      <c r="AA33" s="3" t="n">
        <v>15800</v>
      </c>
      <c r="AB33" t="inlineStr">
        <is>
          <t>Сошлось по ночным тарифам</t>
        </is>
      </c>
      <c r="AC33" s="2" t="inlineStr"/>
      <c r="AD33" t="n">
        <v>0</v>
      </c>
      <c r="AE33" t="n">
        <v>0</v>
      </c>
      <c r="AF33" t="inlineStr">
        <is>
          <t>Скидки нет</t>
        </is>
      </c>
      <c r="AG33" t="n">
        <v>15800</v>
      </c>
      <c r="AH33" t="n">
        <v>15800</v>
      </c>
      <c r="AI33" t="inlineStr">
        <is>
          <t>Полное проживание в выбранном периоде</t>
        </is>
      </c>
    </row>
    <row r="34">
      <c r="A34" t="inlineStr">
        <is>
          <t>20260716-8186-450486693</t>
        </is>
      </c>
      <c r="B34" t="n">
        <v>1</v>
      </c>
      <c r="C34" s="2" t="inlineStr">
        <is>
          <t>SERGEI SALTYKOV</t>
        </is>
      </c>
      <c r="D34" s="3" t="n">
        <v>9080</v>
      </c>
      <c r="E34" s="4" t="n">
        <v>20</v>
      </c>
      <c r="F34" t="inlineStr">
        <is>
          <t>ООО "ХБ-ПРО" [Чайковский]</t>
        </is>
      </c>
      <c r="G34" s="3">
        <f>ROUND(D34/(100-E34)*100,2)</f>
        <v/>
      </c>
      <c r="H34" s="3" t="n">
        <v>0</v>
      </c>
      <c r="I34" s="3">
        <f>ROUND(IF(ISNUMBER(AG34),AG34,G34)+H34,2)</f>
        <v/>
      </c>
      <c r="J34" s="2" t="inlineStr">
        <is>
          <t>Завтрак "Шведский стол"</t>
        </is>
      </c>
      <c r="K34" s="5" t="n">
        <v>46219.58333333334</v>
      </c>
      <c r="L34" t="n">
        <v>1</v>
      </c>
      <c r="M34" s="3">
        <f>I34/L34</f>
        <v/>
      </c>
      <c r="N34">
        <f>IF(M34&gt;=5100,"ставка","мин.ставка")</f>
        <v/>
      </c>
      <c r="O34" s="3">
        <f>ROUND(IF(N34="мин.ставка",L34*100,I34/102*2),2)</f>
        <v/>
      </c>
      <c r="P34" s="5" t="n">
        <v>46220.5</v>
      </c>
      <c r="Q34" t="inlineStr">
        <is>
          <t>TravelLine UTS</t>
        </is>
      </c>
      <c r="R34" s="2" t="inlineStr">
        <is>
          <t>СТАНДАРТНЫЙ ДВУХМЕСТНЫЙ НОМЕР</t>
        </is>
      </c>
      <c r="S34" t="n">
        <v>46</v>
      </c>
      <c r="T34" t="n">
        <v>1</v>
      </c>
      <c r="U34" t="inlineStr"/>
      <c r="V34" t="inlineStr">
        <is>
          <t>Тариф с завтраком</t>
        </is>
      </c>
      <c r="W34" t="n">
        <v>9080</v>
      </c>
      <c r="X34" s="3" t="n">
        <v>0</v>
      </c>
      <c r="Y34" t="inlineStr"/>
      <c r="Z34" t="inlineStr"/>
      <c r="AA34" s="3" t="n">
        <v>9080</v>
      </c>
      <c r="AB34" t="inlineStr">
        <is>
          <t>Сошлось по ночным тарифам</t>
        </is>
      </c>
      <c r="AC34" s="2" t="inlineStr"/>
      <c r="AD34" t="n">
        <v>0</v>
      </c>
      <c r="AE34" t="n">
        <v>0</v>
      </c>
      <c r="AF34" t="inlineStr">
        <is>
          <t>Скидки нет</t>
        </is>
      </c>
      <c r="AG34" t="n">
        <v>9080</v>
      </c>
      <c r="AH34" t="n">
        <v>9080</v>
      </c>
      <c r="AI34" t="inlineStr">
        <is>
          <t>Полное проживание в выбранном периоде</t>
        </is>
      </c>
    </row>
    <row r="35">
      <c r="A35" t="inlineStr">
        <is>
          <t>20260823-8186-408908207</t>
        </is>
      </c>
      <c r="B35" t="n">
        <v>1</v>
      </c>
      <c r="C35" s="2" t="inlineStr">
        <is>
          <t>SIARHEI HRECHKA</t>
        </is>
      </c>
      <c r="D35" s="3" t="n">
        <v>7110</v>
      </c>
      <c r="E35" s="4" t="n">
        <v>0</v>
      </c>
      <c r="F35" t="inlineStr">
        <is>
          <t>Прямые бронирования (стойка) [Чайковский]</t>
        </is>
      </c>
      <c r="G35" s="3">
        <f>ROUND(D35/(100-E35)*100,2)</f>
        <v/>
      </c>
      <c r="H35" s="3" t="n">
        <v>0</v>
      </c>
      <c r="I35" s="3">
        <f>ROUND(IF(ISNUMBER(AG35),AG35,G35)+H35,2)</f>
        <v/>
      </c>
      <c r="J35" s="2" t="inlineStr">
        <is>
          <t>Завтрак "Шведский стол"</t>
        </is>
      </c>
      <c r="K35" s="5" t="n">
        <v>46257.58333333334</v>
      </c>
      <c r="L35" t="n">
        <v>1</v>
      </c>
      <c r="M35" s="3">
        <f>I35/L35</f>
        <v/>
      </c>
      <c r="N35">
        <f>IF(M35&gt;=5100,"ставка","мин.ставка")</f>
        <v/>
      </c>
      <c r="O35" s="3">
        <f>ROUND(IF(N35="мин.ставка",L35*100,I35/102*2),2)</f>
        <v/>
      </c>
      <c r="P35" s="5" t="n">
        <v>46258.58333333334</v>
      </c>
      <c r="Q35" t="inlineStr">
        <is>
          <t>TravelLine ресепшен</t>
        </is>
      </c>
      <c r="R35" s="2" t="inlineStr">
        <is>
          <t>СТАНДАРТНЫЙ ДВУХМЕСТНЫЙ НОМЕР (МАНСАРДА)</t>
        </is>
      </c>
      <c r="S35" t="n">
        <v>45</v>
      </c>
      <c r="T35" t="n">
        <v>1</v>
      </c>
      <c r="U35" t="inlineStr"/>
      <c r="V35" t="inlineStr">
        <is>
          <t>Тариф с завтраком</t>
        </is>
      </c>
      <c r="W35" t="n">
        <v>28440</v>
      </c>
      <c r="X35" s="3" t="n">
        <v>790</v>
      </c>
      <c r="Y35" t="inlineStr">
        <is>
          <t>10%</t>
        </is>
      </c>
      <c r="Z35" t="inlineStr">
        <is>
          <t>2026-08-23</t>
        </is>
      </c>
      <c r="AA35" s="3" t="n">
        <v>7110</v>
      </c>
      <c r="AB35" t="inlineStr">
        <is>
          <t>Сошлось по ночным тарифам</t>
        </is>
      </c>
      <c r="AC35" s="2" t="inlineStr"/>
      <c r="AD35" t="n">
        <v>790</v>
      </c>
      <c r="AE35" t="n">
        <v>0</v>
      </c>
      <c r="AF35" t="inlineStr">
        <is>
          <t>Скидка добавлена к налоговой базе</t>
        </is>
      </c>
      <c r="AG35" t="n">
        <v>7900</v>
      </c>
      <c r="AH35" t="n">
        <v>7110</v>
      </c>
      <c r="AI35" t="inlineStr">
        <is>
          <t>Полное проживание в выбранном периоде</t>
        </is>
      </c>
    </row>
    <row r="36">
      <c r="A36" t="inlineStr">
        <is>
          <t>20260823-8186-408908207</t>
        </is>
      </c>
      <c r="B36" t="n">
        <v>1</v>
      </c>
      <c r="C36" s="2" t="inlineStr">
        <is>
          <t>SIARHEI HRECHKA</t>
        </is>
      </c>
      <c r="D36" s="3" t="n">
        <v>21330</v>
      </c>
      <c r="E36" s="4" t="n">
        <v>0</v>
      </c>
      <c r="F36" t="inlineStr">
        <is>
          <t>Прямые бронирования (стойка) [Чайковский]</t>
        </is>
      </c>
      <c r="G36" s="3">
        <f>ROUND(D36/(100-E36)*100,2)</f>
        <v/>
      </c>
      <c r="H36" s="3" t="n">
        <v>0</v>
      </c>
      <c r="I36" s="3">
        <f>ROUND(IF(ISNUMBER(AG36),AG36,G36)+H36,2)</f>
        <v/>
      </c>
      <c r="J36" s="2" t="inlineStr">
        <is>
          <t>Завтрак "Шведский стол"</t>
        </is>
      </c>
      <c r="K36" s="5" t="n">
        <v>46258.58333333334</v>
      </c>
      <c r="L36" t="n">
        <v>3</v>
      </c>
      <c r="M36" s="3">
        <f>I36/L36</f>
        <v/>
      </c>
      <c r="N36">
        <f>IF(M36&gt;=5100,"ставка","мин.ставка")</f>
        <v/>
      </c>
      <c r="O36" s="3">
        <f>ROUND(IF(N36="мин.ставка",L36*100,I36/102*2),2)</f>
        <v/>
      </c>
      <c r="P36" s="5" t="n">
        <v>46261.5</v>
      </c>
      <c r="Q36" t="inlineStr">
        <is>
          <t>TravelLine ресепшен</t>
        </is>
      </c>
      <c r="R36" s="2" t="inlineStr">
        <is>
          <t>УЛУЧШЕННЫЙ ДВУХМЕСТНЫЙ НОМЕР</t>
        </is>
      </c>
      <c r="S36" t="n">
        <v>31</v>
      </c>
      <c r="T36" t="n">
        <v>1</v>
      </c>
      <c r="U36" t="inlineStr"/>
      <c r="V36" t="inlineStr">
        <is>
          <t>Тариф с завтраком</t>
        </is>
      </c>
      <c r="W36" t="n">
        <v>28440</v>
      </c>
      <c r="X36" s="3" t="n">
        <v>2370</v>
      </c>
      <c r="Y36" t="inlineStr">
        <is>
          <t>10%</t>
        </is>
      </c>
      <c r="Z36" t="inlineStr">
        <is>
          <t>2026-08-24, 2026-08-25, 2026-08-26</t>
        </is>
      </c>
      <c r="AA36" s="3" t="n">
        <v>21330</v>
      </c>
      <c r="AB36" t="inlineStr">
        <is>
          <t>Сошлось по ночным тарифам</t>
        </is>
      </c>
      <c r="AC36" s="2" t="inlineStr"/>
      <c r="AD36" t="n">
        <v>2370</v>
      </c>
      <c r="AE36" t="n">
        <v>0</v>
      </c>
      <c r="AF36" t="inlineStr">
        <is>
          <t>Скидка добавлена к налоговой базе</t>
        </is>
      </c>
      <c r="AG36" t="n">
        <v>23700</v>
      </c>
      <c r="AH36" t="n">
        <v>21330</v>
      </c>
      <c r="AI36" t="inlineStr">
        <is>
          <t>Полное проживание в выбранном периоде</t>
        </is>
      </c>
    </row>
    <row r="37">
      <c r="A37" t="inlineStr">
        <is>
          <t>20260720-8186-450480260</t>
        </is>
      </c>
      <c r="B37" t="n">
        <v>1</v>
      </c>
      <c r="C37" s="2" t="inlineStr">
        <is>
          <t>TELMAN MUSAYEV</t>
        </is>
      </c>
      <c r="D37" s="3" t="n">
        <v>22700</v>
      </c>
      <c r="E37" s="4" t="n">
        <v>0</v>
      </c>
      <c r="F37" t="inlineStr">
        <is>
          <t>Прямые бронирования (стойка) [Чайковский]</t>
        </is>
      </c>
      <c r="G37" s="3">
        <f>ROUND(D37/(100-E37)*100,2)</f>
        <v/>
      </c>
      <c r="H37" s="3" t="n">
        <v>0</v>
      </c>
      <c r="I37" s="3">
        <f>ROUND(IF(ISNUMBER(AG37),AG37,G37)+H37,2)</f>
        <v/>
      </c>
      <c r="J37" s="2" t="inlineStr">
        <is>
          <t>Завтрак "Шведский стол"</t>
        </is>
      </c>
      <c r="K37" s="5" t="n">
        <v>46223.58333333334</v>
      </c>
      <c r="L37" t="n">
        <v>2</v>
      </c>
      <c r="M37" s="3">
        <f>I37/L37</f>
        <v/>
      </c>
      <c r="N37">
        <f>IF(M37&gt;=5100,"ставка","мин.ставка")</f>
        <v/>
      </c>
      <c r="O37" s="3">
        <f>ROUND(IF(N37="мин.ставка",L37*100,I37/102*2),2)</f>
        <v/>
      </c>
      <c r="P37" s="5" t="n">
        <v>46225.5</v>
      </c>
      <c r="Q37" t="inlineStr">
        <is>
          <t>TravelLine ресепшен</t>
        </is>
      </c>
      <c r="R37" s="2" t="inlineStr">
        <is>
          <t>СТАНДАРТНЫЙ ДВУХМЕСТНЫЙ НОМЕР</t>
        </is>
      </c>
      <c r="S37" t="n">
        <v>55</v>
      </c>
      <c r="T37" t="n">
        <v>2</v>
      </c>
      <c r="U37" t="inlineStr"/>
      <c r="V37" t="inlineStr">
        <is>
          <t>Тариф с завтраком</t>
        </is>
      </c>
      <c r="W37" t="n">
        <v>22700</v>
      </c>
      <c r="X37" s="3" t="n">
        <v>0</v>
      </c>
      <c r="Y37" t="inlineStr"/>
      <c r="Z37" t="inlineStr"/>
      <c r="AA37" s="3" t="n">
        <v>22700</v>
      </c>
      <c r="AB37" t="inlineStr">
        <is>
          <t>Сошлось по ночным тарифам</t>
        </is>
      </c>
      <c r="AC37" s="2" t="inlineStr"/>
      <c r="AD37" t="n">
        <v>0</v>
      </c>
      <c r="AE37" t="n">
        <v>0</v>
      </c>
      <c r="AF37" t="inlineStr">
        <is>
          <t>Скидки нет</t>
        </is>
      </c>
      <c r="AG37" t="n">
        <v>22700</v>
      </c>
      <c r="AH37" t="n">
        <v>22700</v>
      </c>
      <c r="AI37" t="inlineStr">
        <is>
          <t>Полное проживание в выбранном периоде</t>
        </is>
      </c>
    </row>
    <row r="38">
      <c r="A38" t="inlineStr">
        <is>
          <t>20260920-8186-464587353</t>
        </is>
      </c>
      <c r="B38" t="n">
        <v>1</v>
      </c>
      <c r="C38" s="2" t="inlineStr">
        <is>
          <t>TOMASZ MIKOS</t>
        </is>
      </c>
      <c r="D38" s="3" t="n">
        <v>12325</v>
      </c>
      <c r="E38" s="4" t="n">
        <v>15</v>
      </c>
      <c r="F38" t="inlineStr">
        <is>
          <t>ООО «СБО» (Ростелеком) [Чайковский]</t>
        </is>
      </c>
      <c r="G38" s="3">
        <f>ROUND(D38/(100-E38)*100,2)</f>
        <v/>
      </c>
      <c r="H38" s="3" t="n">
        <v>0</v>
      </c>
      <c r="I38" s="3">
        <f>ROUND(IF(ISNUMBER(AG38),AG38,G38)+H38,2)</f>
        <v/>
      </c>
      <c r="J38" s="2" t="inlineStr">
        <is>
          <t>Завтрак "Шведский стол"</t>
        </is>
      </c>
      <c r="K38" s="5" t="n">
        <v>46285.58333333334</v>
      </c>
      <c r="L38" t="n">
        <v>1</v>
      </c>
      <c r="M38" s="3">
        <f>I38/L38</f>
        <v/>
      </c>
      <c r="N38">
        <f>IF(M38&gt;=5100,"ставка","мин.ставка")</f>
        <v/>
      </c>
      <c r="O38" s="3">
        <f>ROUND(IF(N38="мин.ставка",L38*100,I38/102*2),2)</f>
        <v/>
      </c>
      <c r="P38" s="5" t="n">
        <v>46286.5</v>
      </c>
      <c r="Q38" t="inlineStr">
        <is>
          <t>TravelLine RTT</t>
        </is>
      </c>
      <c r="R38" s="2" t="inlineStr">
        <is>
          <t>ПОЛУЛЮКС</t>
        </is>
      </c>
      <c r="S38" t="n">
        <v>25</v>
      </c>
      <c r="T38" t="n">
        <v>1</v>
      </c>
      <c r="U38" t="inlineStr"/>
      <c r="V38" t="inlineStr">
        <is>
          <t>Тариф с завтраком</t>
        </is>
      </c>
      <c r="W38" t="n">
        <v>12325</v>
      </c>
      <c r="X38" s="3" t="n">
        <v>2175</v>
      </c>
      <c r="Y38" t="inlineStr">
        <is>
          <t>15%</t>
        </is>
      </c>
      <c r="Z38" t="inlineStr">
        <is>
          <t>2026-09-20</t>
        </is>
      </c>
      <c r="AA38" s="3" t="n">
        <v>12325</v>
      </c>
      <c r="AB38" t="inlineStr">
        <is>
          <t>Сошлось по ночным тарифам</t>
        </is>
      </c>
      <c r="AC38" s="2" t="inlineStr"/>
      <c r="AD38" t="n">
        <v>2175</v>
      </c>
      <c r="AE38" t="n">
        <v>0</v>
      </c>
      <c r="AF38" t="inlineStr">
        <is>
          <t>Скидка добавлена к налоговой базе</t>
        </is>
      </c>
      <c r="AG38" t="n">
        <v>14500</v>
      </c>
      <c r="AH38" t="n">
        <v>12325</v>
      </c>
      <c r="AI38" t="inlineStr">
        <is>
          <t>Полное проживание в выбранном периоде</t>
        </is>
      </c>
    </row>
    <row r="39">
      <c r="A39" t="inlineStr">
        <is>
          <t>20260806-8186-448675183</t>
        </is>
      </c>
      <c r="B39" t="n">
        <v>1</v>
      </c>
      <c r="C39" s="2" t="inlineStr">
        <is>
          <t>TOMASZ PIOTR TROJAK</t>
        </is>
      </c>
      <c r="D39" s="3" t="n">
        <v>6160</v>
      </c>
      <c r="E39" s="4" t="n">
        <v>20</v>
      </c>
      <c r="F39" t="inlineStr">
        <is>
          <t>ООО "ХБ-ПРО" [Чайковский]</t>
        </is>
      </c>
      <c r="G39" s="3">
        <f>ROUND(D39/(100-E39)*100,2)</f>
        <v/>
      </c>
      <c r="H39" s="3" t="n">
        <v>0</v>
      </c>
      <c r="I39" s="3">
        <f>ROUND(IF(ISNUMBER(AG39),AG39,G39)+H39,2)</f>
        <v/>
      </c>
      <c r="J39" s="2" t="inlineStr">
        <is>
          <t>Завтрак "Шведский стол"</t>
        </is>
      </c>
      <c r="K39" s="5" t="n">
        <v>46240.58333333334</v>
      </c>
      <c r="L39" t="n">
        <v>1</v>
      </c>
      <c r="M39" s="3">
        <f>I39/L39</f>
        <v/>
      </c>
      <c r="N39">
        <f>IF(M39&gt;=5100,"ставка","мин.ставка")</f>
        <v/>
      </c>
      <c r="O39" s="3">
        <f>ROUND(IF(N39="мин.ставка",L39*100,I39/102*2),2)</f>
        <v/>
      </c>
      <c r="P39" s="5" t="n">
        <v>46241.5</v>
      </c>
      <c r="Q39" t="inlineStr">
        <is>
          <t>TravelLine UTS</t>
        </is>
      </c>
      <c r="R39" s="2" t="inlineStr">
        <is>
          <t>СТАНДАРТНЫЙ ОДНОМЕСТНЫЙ НОМЕР</t>
        </is>
      </c>
      <c r="S39" t="n">
        <v>24</v>
      </c>
      <c r="T39" t="n">
        <v>1</v>
      </c>
      <c r="U39" t="inlineStr"/>
      <c r="V39" t="inlineStr">
        <is>
          <t>Тариф с завтраком</t>
        </is>
      </c>
      <c r="W39" t="n">
        <v>6160</v>
      </c>
      <c r="X39" s="3" t="n">
        <v>0</v>
      </c>
      <c r="Y39" t="inlineStr"/>
      <c r="Z39" t="inlineStr"/>
      <c r="AA39" s="3" t="n">
        <v>6160</v>
      </c>
      <c r="AB39" t="inlineStr">
        <is>
          <t>Сошлось по ночным тарифам</t>
        </is>
      </c>
      <c r="AC39" s="2" t="inlineStr"/>
      <c r="AD39" t="n">
        <v>0</v>
      </c>
      <c r="AE39" t="n">
        <v>0</v>
      </c>
      <c r="AF39" t="inlineStr">
        <is>
          <t>Скидки нет</t>
        </is>
      </c>
      <c r="AG39" t="n">
        <v>6160</v>
      </c>
      <c r="AH39" t="n">
        <v>6160</v>
      </c>
      <c r="AI39" t="inlineStr">
        <is>
          <t>Полное проживание в выбранном периоде</t>
        </is>
      </c>
    </row>
    <row r="40">
      <c r="A40" t="inlineStr">
        <is>
          <t>20260704-8186-447653921</t>
        </is>
      </c>
      <c r="B40" t="n">
        <v>1</v>
      </c>
      <c r="C40" s="2" t="inlineStr">
        <is>
          <t>VADIM JOSAN, MARIANA JOSAN</t>
        </is>
      </c>
      <c r="D40" s="3" t="n">
        <v>10900</v>
      </c>
      <c r="E40" s="4" t="n">
        <v>0</v>
      </c>
      <c r="F40" t="inlineStr">
        <is>
          <t>Прямые бронирования (стойка) [Чайковский]</t>
        </is>
      </c>
      <c r="G40" s="3">
        <f>ROUND(D40/(100-E40)*100,2)</f>
        <v/>
      </c>
      <c r="H40" s="3" t="n">
        <v>5600</v>
      </c>
      <c r="I40" s="3">
        <f>ROUND(IF(ISNUMBER(AG40),AG40,G40)+H40,2)</f>
        <v/>
      </c>
      <c r="J40" s="2" t="inlineStr">
        <is>
          <t>продление номера — 5 600,00 ₽; Завтрак "Шведский стол"</t>
        </is>
      </c>
      <c r="K40" s="5" t="n">
        <v>46207.58333333334</v>
      </c>
      <c r="L40" t="n">
        <v>1</v>
      </c>
      <c r="M40" s="3">
        <f>I40/L40</f>
        <v/>
      </c>
      <c r="N40">
        <f>IF(M40&gt;=5100,"ставка","мин.ставка")</f>
        <v/>
      </c>
      <c r="O40" s="3">
        <f>ROUND(IF(N40="мин.ставка",L40*100,I40/102*2),2)</f>
        <v/>
      </c>
      <c r="P40" s="5" t="n">
        <v>46208.5</v>
      </c>
      <c r="Q40" t="inlineStr">
        <is>
          <t>TravelLine ресепшен</t>
        </is>
      </c>
      <c r="R40" s="2" t="inlineStr">
        <is>
          <t>СЕМЕЙНЫЙ НОМЕР КАТЕГОРИИ "СТАНДАРТ" ВТОРОЙ КОРПУС</t>
        </is>
      </c>
      <c r="S40" t="n">
        <v>51</v>
      </c>
      <c r="T40" t="n">
        <v>2</v>
      </c>
      <c r="U40" t="inlineStr"/>
      <c r="V40" t="inlineStr">
        <is>
          <t>Тариф с завтраком</t>
        </is>
      </c>
      <c r="W40" t="n">
        <v>16500</v>
      </c>
      <c r="X40" s="3" t="n">
        <v>0</v>
      </c>
      <c r="Y40" t="inlineStr"/>
      <c r="Z40" t="inlineStr"/>
      <c r="AA40" s="3" t="n">
        <v>10900</v>
      </c>
      <c r="AB40" t="inlineStr">
        <is>
          <t>Сошлось с услугами</t>
        </is>
      </c>
      <c r="AC40" s="2" t="inlineStr"/>
      <c r="AD40" t="n">
        <v>0</v>
      </c>
      <c r="AE40" t="n">
        <v>0</v>
      </c>
      <c r="AF40" t="inlineStr">
        <is>
          <t>Скидки нет</t>
        </is>
      </c>
      <c r="AG40" t="n">
        <v>10900</v>
      </c>
      <c r="AH40" t="n">
        <v>10900</v>
      </c>
      <c r="AI40" t="inlineStr">
        <is>
          <t>Полное проживание в выбранном периоде</t>
        </is>
      </c>
    </row>
    <row r="41">
      <c r="A41" t="inlineStr">
        <is>
          <t>20260906-8186-449903524</t>
        </is>
      </c>
      <c r="B41" t="n">
        <v>1</v>
      </c>
      <c r="C41" s="2" t="inlineStr">
        <is>
          <t>YUrij Borisenko, Nataliya Burtseva</t>
        </is>
      </c>
      <c r="D41" s="3" t="n">
        <v>22695</v>
      </c>
      <c r="E41" s="4" t="n">
        <v>16</v>
      </c>
      <c r="F41" t="inlineStr">
        <is>
          <t>ООО "БРОНИРОВАНИЕ ГОСТИНИЦ" (OSTROVOK) [Чайковский]</t>
        </is>
      </c>
      <c r="G41" s="3">
        <f>ROUND(D41/(100-E41)*100,2)</f>
        <v/>
      </c>
      <c r="H41" s="3" t="n">
        <v>0</v>
      </c>
      <c r="I41" s="3">
        <f>ROUND(IF(ISNUMBER(AG41),AG41,G41)+H41,2)</f>
        <v/>
      </c>
      <c r="J41" s="2" t="inlineStr">
        <is>
          <t>Завтрак "Шведский стол"</t>
        </is>
      </c>
      <c r="K41" s="5" t="n">
        <v>46271.58333333334</v>
      </c>
      <c r="L41" t="n">
        <v>2</v>
      </c>
      <c r="M41" s="3">
        <f>I41/L41</f>
        <v/>
      </c>
      <c r="N41">
        <f>IF(M41&gt;=5100,"ставка","мин.ставка")</f>
        <v/>
      </c>
      <c r="O41" s="3">
        <f>ROUND(IF(N41="мин.ставка",L41*100,I41/102*2),2)</f>
        <v/>
      </c>
      <c r="P41" s="5" t="n">
        <v>46273.5</v>
      </c>
      <c r="Q41" t="inlineStr">
        <is>
          <t>TravelLine OTK</t>
        </is>
      </c>
      <c r="R41" s="2" t="inlineStr">
        <is>
          <t>СТАНДАРТНЫЙ ДВУХМЕСТНЫЙ НОМЕР</t>
        </is>
      </c>
      <c r="S41" t="n">
        <v>32</v>
      </c>
      <c r="T41" t="n">
        <v>1</v>
      </c>
      <c r="U41" t="inlineStr"/>
      <c r="V41" t="inlineStr">
        <is>
          <t>Тариф с завтраком</t>
        </is>
      </c>
      <c r="W41" t="n">
        <v>22695</v>
      </c>
      <c r="X41" s="3" t="n">
        <v>4005</v>
      </c>
      <c r="Y41" t="inlineStr">
        <is>
          <t>15%</t>
        </is>
      </c>
      <c r="Z41" t="inlineStr">
        <is>
          <t>2026-09-06, 2026-09-07</t>
        </is>
      </c>
      <c r="AA41" s="3" t="n">
        <v>22695</v>
      </c>
      <c r="AB41" t="inlineStr">
        <is>
          <t>Сошлось по ночным тарифам</t>
        </is>
      </c>
      <c r="AC41" s="2" t="inlineStr"/>
      <c r="AD41" t="n">
        <v>4005</v>
      </c>
      <c r="AE41" t="n">
        <v>0</v>
      </c>
      <c r="AF41" t="inlineStr">
        <is>
          <t>Скидка добавлена к налоговой базе</t>
        </is>
      </c>
      <c r="AG41" t="n">
        <v>26700</v>
      </c>
      <c r="AH41" t="n">
        <v>22695</v>
      </c>
      <c r="AI41" t="inlineStr">
        <is>
          <t>Полное проживание в выбранном периоде</t>
        </is>
      </c>
    </row>
    <row r="42">
      <c r="A42" t="inlineStr">
        <is>
          <t>20260703-8186-446990671</t>
        </is>
      </c>
      <c r="B42" t="n">
        <v>1</v>
      </c>
      <c r="C42" s="2" t="inlineStr">
        <is>
          <t>а Аня от ольги Агеевой</t>
        </is>
      </c>
      <c r="D42" s="3" t="n">
        <v>7000</v>
      </c>
      <c r="E42" s="4" t="n">
        <v>0</v>
      </c>
      <c r="F42" t="inlineStr">
        <is>
          <t>Прямые бронирования (стойка) [Чайковский]</t>
        </is>
      </c>
      <c r="G42" s="3">
        <f>ROUND(D42/(100-E42)*100,2)</f>
        <v/>
      </c>
      <c r="H42" s="3" t="n">
        <v>0</v>
      </c>
      <c r="I42" s="3">
        <f>ROUND(IF(ISNUMBER(AG42),AG42,G42)+H42,2)</f>
        <v/>
      </c>
      <c r="J42" s="2" t="inlineStr">
        <is>
          <t>Завтрак "Шведский стол"</t>
        </is>
      </c>
      <c r="K42" s="5" t="n">
        <v>46206.58333333334</v>
      </c>
      <c r="L42" t="n">
        <v>1</v>
      </c>
      <c r="M42" s="3">
        <f>I42/L42</f>
        <v/>
      </c>
      <c r="N42">
        <f>IF(M42&gt;=5100,"ставка","мин.ставка")</f>
        <v/>
      </c>
      <c r="O42" s="3">
        <f>ROUND(IF(N42="мин.ставка",L42*100,I42/102*2),2)</f>
        <v/>
      </c>
      <c r="P42" s="5" t="n">
        <v>46207.5</v>
      </c>
      <c r="Q42" t="inlineStr">
        <is>
          <t>TravelLine ресепшен</t>
        </is>
      </c>
      <c r="R42" s="2" t="inlineStr">
        <is>
          <t>ЛЮКС ВТОРОЙ КОРПУС</t>
        </is>
      </c>
      <c r="S42" t="n">
        <v>53</v>
      </c>
      <c r="T42" t="n">
        <v>2</v>
      </c>
      <c r="U42" t="inlineStr"/>
      <c r="V42" t="inlineStr">
        <is>
          <t>Тариф с завтраком</t>
        </is>
      </c>
      <c r="W42" t="n">
        <v>7000</v>
      </c>
      <c r="X42" s="3" t="n">
        <v>0</v>
      </c>
      <c r="Y42" t="inlineStr"/>
      <c r="Z42" t="inlineStr"/>
      <c r="AA42" s="3" t="n">
        <v>7000</v>
      </c>
      <c r="AB42" t="inlineStr">
        <is>
          <t>Сошлось по ночным тарифам</t>
        </is>
      </c>
      <c r="AC42" s="2" t="inlineStr"/>
      <c r="AD42" t="n">
        <v>0</v>
      </c>
      <c r="AE42" t="n">
        <v>0</v>
      </c>
      <c r="AF42" t="inlineStr">
        <is>
          <t>Скидки нет</t>
        </is>
      </c>
      <c r="AG42" t="n">
        <v>7000</v>
      </c>
      <c r="AH42" t="n">
        <v>7000</v>
      </c>
      <c r="AI42" t="inlineStr">
        <is>
          <t>Полное проживание в выбранном периоде</t>
        </is>
      </c>
    </row>
    <row r="43">
      <c r="A43" t="inlineStr">
        <is>
          <t>20260701-8186-429047315</t>
        </is>
      </c>
      <c r="B43" t="n">
        <v>1</v>
      </c>
      <c r="C43" s="2" t="inlineStr">
        <is>
          <t>Аделя Каримова</t>
        </is>
      </c>
      <c r="D43" s="3" t="n">
        <v>13149.75</v>
      </c>
      <c r="E43" s="4" t="n">
        <v>4</v>
      </c>
      <c r="F43" t="inlineStr">
        <is>
          <t>TravelLine Booking Engine [Чайковский]</t>
        </is>
      </c>
      <c r="G43" s="3">
        <f>ROUND(D43/(100-E43)*100,2)</f>
        <v/>
      </c>
      <c r="H43" s="3" t="n">
        <v>0</v>
      </c>
      <c r="I43" s="3">
        <f>ROUND(IF(ISNUMBER(AG43),AG43,G43)+H43,2)</f>
        <v/>
      </c>
      <c r="J43" s="2" t="inlineStr">
        <is>
          <t>Завтрак "Шведский стол"</t>
        </is>
      </c>
      <c r="K43" s="5" t="n">
        <v>46204.58333333334</v>
      </c>
      <c r="L43" t="n">
        <v>1</v>
      </c>
      <c r="M43" s="3">
        <f>I43/L43</f>
        <v/>
      </c>
      <c r="N43">
        <f>IF(M43&gt;=5100,"ставка","мин.ставка")</f>
        <v/>
      </c>
      <c r="O43" s="3">
        <f>ROUND(IF(N43="мин.ставка",L43*100,I43/102*2),2)</f>
        <v/>
      </c>
      <c r="P43" s="5" t="n">
        <v>46205.5</v>
      </c>
      <c r="Q43" t="inlineStr">
        <is>
          <t>TravelLine сайт</t>
        </is>
      </c>
      <c r="R43" s="2" t="inlineStr">
        <is>
          <t>СТАНДАРТНЫЙ ДВУХМЕСТНЫЙ НОМЕР</t>
        </is>
      </c>
      <c r="S43" t="n">
        <v>55</v>
      </c>
      <c r="T43" t="n">
        <v>2</v>
      </c>
      <c r="U43" t="inlineStr"/>
      <c r="V43" t="inlineStr">
        <is>
          <t>Тариф с завтраком</t>
        </is>
      </c>
      <c r="W43" t="n">
        <v>13149.75</v>
      </c>
      <c r="X43" s="3" t="n">
        <v>200.25</v>
      </c>
      <c r="Y43" t="inlineStr">
        <is>
          <t>1.5%</t>
        </is>
      </c>
      <c r="Z43" t="inlineStr">
        <is>
          <t>2026-07-01</t>
        </is>
      </c>
      <c r="AA43" s="3" t="n">
        <v>13149.75</v>
      </c>
      <c r="AB43" t="inlineStr">
        <is>
          <t>Сошлось по ночным тарифам</t>
        </is>
      </c>
      <c r="AC43" s="2" t="inlineStr"/>
      <c r="AD43" t="n">
        <v>200.25</v>
      </c>
      <c r="AE43" t="n">
        <v>0</v>
      </c>
      <c r="AF43" t="inlineStr">
        <is>
          <t>Скидка добавлена к налоговой базе</t>
        </is>
      </c>
      <c r="AG43" t="n">
        <v>13350</v>
      </c>
      <c r="AH43" t="n">
        <v>13149.75</v>
      </c>
      <c r="AI43" t="inlineStr">
        <is>
          <t>Полное проживание в выбранном периоде</t>
        </is>
      </c>
    </row>
    <row r="44">
      <c r="A44" t="inlineStr">
        <is>
          <t>20260919-8186-463926515</t>
        </is>
      </c>
      <c r="B44" t="n">
        <v>1</v>
      </c>
      <c r="C44" s="2" t="inlineStr">
        <is>
          <t>Аида Щетинина, Валерия Сурич</t>
        </is>
      </c>
      <c r="D44" s="3" t="n">
        <v>39849.75</v>
      </c>
      <c r="E44" s="4" t="n">
        <v>4</v>
      </c>
      <c r="F44" t="inlineStr">
        <is>
          <t>TravelLine Booking Engine [Чайковский]</t>
        </is>
      </c>
      <c r="G44" s="3">
        <f>ROUND(D44/(100-E44)*100,2)</f>
        <v/>
      </c>
      <c r="H44" s="3" t="n">
        <v>0</v>
      </c>
      <c r="I44" s="3">
        <f>ROUND(IF(ISNUMBER(AG44),AG44,G44)+H44,2)</f>
        <v/>
      </c>
      <c r="J44" s="2" t="inlineStr">
        <is>
          <t>Завтрак "Шведский стол"</t>
        </is>
      </c>
      <c r="K44" s="5" t="n">
        <v>46284.58333333334</v>
      </c>
      <c r="L44" t="n">
        <v>3</v>
      </c>
      <c r="M44" s="3">
        <f>I44/L44</f>
        <v/>
      </c>
      <c r="N44">
        <f>IF(M44&gt;=5100,"ставка","мин.ставка")</f>
        <v/>
      </c>
      <c r="O44" s="3">
        <f>ROUND(IF(N44="мин.ставка",L44*100,I44/102*2),2)</f>
        <v/>
      </c>
      <c r="P44" s="5" t="n">
        <v>46287.5</v>
      </c>
      <c r="Q44" t="inlineStr">
        <is>
          <t>TravelLine сайт</t>
        </is>
      </c>
      <c r="R44" s="2" t="inlineStr">
        <is>
          <t>СТАНДАРТНЫЙ ДВУХМЕСТНЫЙ НОМЕР</t>
        </is>
      </c>
      <c r="S44" t="n">
        <v>36</v>
      </c>
      <c r="T44" t="n">
        <v>1</v>
      </c>
      <c r="U44" t="inlineStr"/>
      <c r="V44" t="inlineStr">
        <is>
          <t>Тариф с завтраком</t>
        </is>
      </c>
      <c r="W44" t="n">
        <v>39849.75</v>
      </c>
      <c r="X44" s="3" t="n">
        <v>200.25</v>
      </c>
      <c r="Y44" t="inlineStr">
        <is>
          <t>1.5%</t>
        </is>
      </c>
      <c r="Z44" t="inlineStr">
        <is>
          <t>2026-09-19</t>
        </is>
      </c>
      <c r="AA44" s="3" t="n">
        <v>39849.75</v>
      </c>
      <c r="AB44" t="inlineStr">
        <is>
          <t>Сошлось по ночным тарифам</t>
        </is>
      </c>
      <c r="AC44" s="2" t="inlineStr"/>
      <c r="AD44" t="n">
        <v>200.25</v>
      </c>
      <c r="AE44" t="n">
        <v>0</v>
      </c>
      <c r="AF44" t="inlineStr">
        <is>
          <t>Скидка добавлена к налоговой базе</t>
        </is>
      </c>
      <c r="AG44" t="n">
        <v>40050</v>
      </c>
      <c r="AH44" t="n">
        <v>39849.75</v>
      </c>
      <c r="AI44" t="inlineStr">
        <is>
          <t>Полное проживание в выбранном периоде</t>
        </is>
      </c>
    </row>
    <row r="45">
      <c r="A45" t="inlineStr">
        <is>
          <t>20260805-8186-449311826</t>
        </is>
      </c>
      <c r="B45" t="n">
        <v>1</v>
      </c>
      <c r="C45" s="2" t="inlineStr">
        <is>
          <t>Александр Березин, ВАЛЕНТИНА БЕРЕЗИНА</t>
        </is>
      </c>
      <c r="D45" s="3" t="n">
        <v>26499.75</v>
      </c>
      <c r="E45" s="4" t="n">
        <v>4</v>
      </c>
      <c r="F45" t="inlineStr">
        <is>
          <t>TravelLine Booking Engine [Чайковский]</t>
        </is>
      </c>
      <c r="G45" s="3">
        <f>ROUND(D45/(100-E45)*100,2)</f>
        <v/>
      </c>
      <c r="H45" s="3" t="n">
        <v>0</v>
      </c>
      <c r="I45" s="3">
        <f>ROUND(IF(ISNUMBER(AG45),AG45,G45)+H45,2)</f>
        <v/>
      </c>
      <c r="J45" s="2" t="inlineStr">
        <is>
          <t>Завтрак "Шведский стол"</t>
        </is>
      </c>
      <c r="K45" s="5" t="n">
        <v>46239.58333333334</v>
      </c>
      <c r="L45" t="n">
        <v>2</v>
      </c>
      <c r="M45" s="3">
        <f>I45/L45</f>
        <v/>
      </c>
      <c r="N45">
        <f>IF(M45&gt;=5100,"ставка","мин.ставка")</f>
        <v/>
      </c>
      <c r="O45" s="3">
        <f>ROUND(IF(N45="мин.ставка",L45*100,I45/102*2),2)</f>
        <v/>
      </c>
      <c r="P45" s="5" t="n">
        <v>46241.5</v>
      </c>
      <c r="Q45" t="inlineStr">
        <is>
          <t>TravelLine сайт</t>
        </is>
      </c>
      <c r="R45" s="2" t="inlineStr">
        <is>
          <t>СТАНДАРТНЫЙ ДВУХМЕСТНЫЙ НОМЕР</t>
        </is>
      </c>
      <c r="S45" t="n">
        <v>58</v>
      </c>
      <c r="T45" t="n">
        <v>2</v>
      </c>
      <c r="U45" t="inlineStr"/>
      <c r="V45" t="inlineStr">
        <is>
          <t>Тариф с завтраком</t>
        </is>
      </c>
      <c r="W45" t="n">
        <v>26499.75</v>
      </c>
      <c r="X45" s="3" t="n">
        <v>200.25</v>
      </c>
      <c r="Y45" t="inlineStr">
        <is>
          <t>1.5%</t>
        </is>
      </c>
      <c r="Z45" t="inlineStr">
        <is>
          <t>2026-08-05</t>
        </is>
      </c>
      <c r="AA45" s="3" t="n">
        <v>26499.75</v>
      </c>
      <c r="AB45" t="inlineStr">
        <is>
          <t>Сошлось по ночным тарифам</t>
        </is>
      </c>
      <c r="AC45" s="2" t="inlineStr"/>
      <c r="AD45" t="n">
        <v>200.25</v>
      </c>
      <c r="AE45" t="n">
        <v>0</v>
      </c>
      <c r="AF45" t="inlineStr">
        <is>
          <t>Скидка добавлена к налоговой базе</t>
        </is>
      </c>
      <c r="AG45" t="n">
        <v>26700</v>
      </c>
      <c r="AH45" t="n">
        <v>26499.75</v>
      </c>
      <c r="AI45" t="inlineStr">
        <is>
          <t>Полное проживание в выбранном периоде</t>
        </is>
      </c>
    </row>
    <row r="46">
      <c r="A46" t="inlineStr">
        <is>
          <t>20260919-8186-458495849</t>
        </is>
      </c>
      <c r="B46" t="n">
        <v>1</v>
      </c>
      <c r="C46" s="2" t="inlineStr">
        <is>
          <t>Александр Большаков, ТАТЬЯНА БОЛЬШАКОВА</t>
        </is>
      </c>
      <c r="D46" s="3" t="n">
        <v>48060</v>
      </c>
      <c r="E46" s="4" t="n">
        <v>0</v>
      </c>
      <c r="F46" t="inlineStr">
        <is>
          <t>Прямые бронирования (стойка) [Чайковский]</t>
        </is>
      </c>
      <c r="G46" s="3">
        <f>ROUND(D46/(100-E46)*100,2)</f>
        <v/>
      </c>
      <c r="H46" s="3" t="n">
        <v>0</v>
      </c>
      <c r="I46" s="3">
        <f>ROUND(IF(ISNUMBER(AG46),AG46,G46)+H46,2)</f>
        <v/>
      </c>
      <c r="J46" s="2" t="inlineStr">
        <is>
          <t>Завтрак "Шведский стол"</t>
        </is>
      </c>
      <c r="K46" s="5" t="n">
        <v>46284.58333333334</v>
      </c>
      <c r="L46" t="n">
        <v>3</v>
      </c>
      <c r="M46" s="3">
        <f>I46/L46</f>
        <v/>
      </c>
      <c r="N46">
        <f>IF(M46&gt;=5100,"ставка","мин.ставка")</f>
        <v/>
      </c>
      <c r="O46" s="3">
        <f>ROUND(IF(N46="мин.ставка",L46*100,I46/102*2),2)</f>
        <v/>
      </c>
      <c r="P46" s="5" t="n">
        <v>46287.5</v>
      </c>
      <c r="Q46" t="inlineStr">
        <is>
          <t>TravelLine ресепшен</t>
        </is>
      </c>
      <c r="R46" s="2" t="inlineStr">
        <is>
          <t>ЛЮКС ВТОРОЙ КОРПУС</t>
        </is>
      </c>
      <c r="S46" t="n">
        <v>54</v>
      </c>
      <c r="T46" t="n">
        <v>2</v>
      </c>
      <c r="U46" t="inlineStr"/>
      <c r="V46" t="inlineStr">
        <is>
          <t>Тариф с завтраком</t>
        </is>
      </c>
      <c r="W46" t="n">
        <v>48060</v>
      </c>
      <c r="X46" s="3" t="n">
        <v>5340</v>
      </c>
      <c r="Y46" t="inlineStr">
        <is>
          <t>10%</t>
        </is>
      </c>
      <c r="Z46" t="inlineStr">
        <is>
          <t>2026-09-19, 2026-09-20, 2026-09-21</t>
        </is>
      </c>
      <c r="AA46" s="3" t="n">
        <v>48060</v>
      </c>
      <c r="AB46" t="inlineStr">
        <is>
          <t>Сошлось по ночным тарифам</t>
        </is>
      </c>
      <c r="AC46" s="2" t="inlineStr"/>
      <c r="AD46" t="n">
        <v>5340</v>
      </c>
      <c r="AE46" t="n">
        <v>0</v>
      </c>
      <c r="AF46" t="inlineStr">
        <is>
          <t>Скидка добавлена к налоговой базе</t>
        </is>
      </c>
      <c r="AG46" t="n">
        <v>53400</v>
      </c>
      <c r="AH46" t="n">
        <v>48060</v>
      </c>
      <c r="AI46" t="inlineStr">
        <is>
          <t>Полное проживание в выбранном периоде</t>
        </is>
      </c>
    </row>
    <row r="47">
      <c r="A47" t="inlineStr">
        <is>
          <t>20260709-8186-430393656</t>
        </is>
      </c>
      <c r="B47" t="n">
        <v>1</v>
      </c>
      <c r="C47" s="2" t="inlineStr">
        <is>
          <t>Александр Бугарев, Татьяна Бугарева</t>
        </is>
      </c>
      <c r="D47" s="3" t="n">
        <v>63910</v>
      </c>
      <c r="E47" s="4" t="n">
        <v>17</v>
      </c>
      <c r="F47" t="inlineStr">
        <is>
          <t>ООО «Интернет Трэвел» (OZON) [Чайковский]</t>
        </is>
      </c>
      <c r="G47" s="3">
        <f>ROUND(D47/(100-E47)*100,2)</f>
        <v/>
      </c>
      <c r="H47" s="3" t="n">
        <v>0</v>
      </c>
      <c r="I47" s="3">
        <f>ROUND(IF(ISNUMBER(AG47),AG47,G47)+H47,2)</f>
        <v/>
      </c>
      <c r="J47" s="2" t="inlineStr">
        <is>
          <t>Завтрак "Шведский стол"</t>
        </is>
      </c>
      <c r="K47" s="5" t="n">
        <v>46212.58333333334</v>
      </c>
      <c r="L47" t="n">
        <v>5</v>
      </c>
      <c r="M47" s="3">
        <f>I47/L47</f>
        <v/>
      </c>
      <c r="N47">
        <f>IF(M47&gt;=5100,"ставка","мин.ставка")</f>
        <v/>
      </c>
      <c r="O47" s="3">
        <f>ROUND(IF(N47="мин.ставка",L47*100,I47/102*2),2)</f>
        <v/>
      </c>
      <c r="P47" s="5" t="n">
        <v>46217.5</v>
      </c>
      <c r="Q47" t="inlineStr">
        <is>
          <t>TravelLine OZ2</t>
        </is>
      </c>
      <c r="R47" s="2" t="inlineStr">
        <is>
          <t>УЛУЧШЕННЫЙ ДВУХМЕСТНЫЙ НОМЕР</t>
        </is>
      </c>
      <c r="S47" t="n">
        <v>21</v>
      </c>
      <c r="T47" t="n">
        <v>1</v>
      </c>
      <c r="U47" t="inlineStr"/>
      <c r="V47" t="inlineStr">
        <is>
          <t>Тариф с завтраком</t>
        </is>
      </c>
      <c r="W47" t="n">
        <v>63910</v>
      </c>
      <c r="X47" s="3" t="n">
        <v>13090</v>
      </c>
      <c r="Y47" t="inlineStr">
        <is>
          <t>17%</t>
        </is>
      </c>
      <c r="Z47" t="inlineStr">
        <is>
          <t>2026-07-09, 2026-07-10, 2026-07-11, 2026-07-12, 2026-07-13</t>
        </is>
      </c>
      <c r="AA47" s="3" t="n">
        <v>63910</v>
      </c>
      <c r="AB47" t="inlineStr">
        <is>
          <t>Сошлось по ночным тарифам</t>
        </is>
      </c>
      <c r="AC47" s="2" t="inlineStr"/>
      <c r="AD47" t="n">
        <v>13090</v>
      </c>
      <c r="AE47" t="n">
        <v>0</v>
      </c>
      <c r="AF47" t="inlineStr">
        <is>
          <t>Скидка добавлена к налоговой базе</t>
        </is>
      </c>
      <c r="AG47" t="n">
        <v>77000</v>
      </c>
      <c r="AH47" t="n">
        <v>63910</v>
      </c>
      <c r="AI47" t="inlineStr">
        <is>
          <t>Полное проживание в выбранном периоде</t>
        </is>
      </c>
    </row>
    <row r="48">
      <c r="A48" t="inlineStr">
        <is>
          <t>20260903-8186-463463667</t>
        </is>
      </c>
      <c r="B48" t="n">
        <v>1</v>
      </c>
      <c r="C48" s="2" t="inlineStr">
        <is>
          <t>Александр Бухвалов</t>
        </is>
      </c>
      <c r="D48" s="3" t="n">
        <v>11390</v>
      </c>
      <c r="E48" s="4" t="n">
        <v>0</v>
      </c>
      <c r="F48" t="inlineStr">
        <is>
          <t>Прямые бронирования (стойка) [Чайковский]</t>
        </is>
      </c>
      <c r="G48" s="3">
        <f>ROUND(D48/(100-E48)*100,2)</f>
        <v/>
      </c>
      <c r="H48" s="3" t="n">
        <v>0</v>
      </c>
      <c r="I48" s="3">
        <f>ROUND(IF(ISNUMBER(AG48),AG48,G48)+H48,2)</f>
        <v/>
      </c>
      <c r="J48" s="2" t="inlineStr">
        <is>
          <t>Завтрак "Шведский стол"</t>
        </is>
      </c>
      <c r="K48" s="5" t="n">
        <v>46268.58333333334</v>
      </c>
      <c r="L48" t="n">
        <v>1</v>
      </c>
      <c r="M48" s="3">
        <f>I48/L48</f>
        <v/>
      </c>
      <c r="N48">
        <f>IF(M48&gt;=5100,"ставка","мин.ставка")</f>
        <v/>
      </c>
      <c r="O48" s="3">
        <f>ROUND(IF(N48="мин.ставка",L48*100,I48/102*2),2)</f>
        <v/>
      </c>
      <c r="P48" s="5" t="n">
        <v>46269.5</v>
      </c>
      <c r="Q48" t="inlineStr">
        <is>
          <t>TravelLine ресепшен</t>
        </is>
      </c>
      <c r="R48" s="2" t="inlineStr">
        <is>
          <t>УЛУЧШЕННЫЙ ДВУХМЕСТНЫЙ НОМЕР</t>
        </is>
      </c>
      <c r="S48" t="n">
        <v>56</v>
      </c>
      <c r="T48" t="n">
        <v>2</v>
      </c>
      <c r="U48" t="inlineStr"/>
      <c r="V48" t="inlineStr">
        <is>
          <t>Тариф с завтраком</t>
        </is>
      </c>
      <c r="W48" t="n">
        <v>11390</v>
      </c>
      <c r="X48" s="3" t="n">
        <v>2010</v>
      </c>
      <c r="Y48" t="inlineStr">
        <is>
          <t>15%</t>
        </is>
      </c>
      <c r="Z48" t="inlineStr">
        <is>
          <t>2026-09-03</t>
        </is>
      </c>
      <c r="AA48" s="3" t="n">
        <v>11390</v>
      </c>
      <c r="AB48" t="inlineStr">
        <is>
          <t>Сошлось по ночным тарифам</t>
        </is>
      </c>
      <c r="AC48" s="2" t="inlineStr"/>
      <c r="AD48" t="n">
        <v>2010</v>
      </c>
      <c r="AE48" t="n">
        <v>0</v>
      </c>
      <c r="AF48" t="inlineStr">
        <is>
          <t>Скидка добавлена к налоговой базе</t>
        </is>
      </c>
      <c r="AG48" t="n">
        <v>13400</v>
      </c>
      <c r="AH48" t="n">
        <v>11390</v>
      </c>
      <c r="AI48" t="inlineStr">
        <is>
          <t>Полное проживание в выбранном периоде</t>
        </is>
      </c>
    </row>
    <row r="49">
      <c r="A49" t="inlineStr">
        <is>
          <t>20260806-8186-429215981</t>
        </is>
      </c>
      <c r="B49" t="n">
        <v>1</v>
      </c>
      <c r="C49" s="2" t="inlineStr">
        <is>
          <t>Александр Веретенников, ГАЛИНА ОЖМЕГОВА</t>
        </is>
      </c>
      <c r="D49" s="3" t="n">
        <v>49280</v>
      </c>
      <c r="E49" s="4" t="n">
        <v>18</v>
      </c>
      <c r="F49" t="inlineStr">
        <is>
          <t>Яндекс.Путешествия [Чайковский]</t>
        </is>
      </c>
      <c r="G49" s="3">
        <f>ROUND(D49/(100-E49)*100,2)</f>
        <v/>
      </c>
      <c r="H49" s="3" t="n">
        <v>0</v>
      </c>
      <c r="I49" s="3">
        <f>ROUND(IF(ISNUMBER(AG49),AG49,G49)+H49,2)</f>
        <v/>
      </c>
      <c r="J49" s="2" t="inlineStr">
        <is>
          <t>Завтрак "Шведский стол"</t>
        </is>
      </c>
      <c r="K49" s="5" t="n">
        <v>46240.58333333334</v>
      </c>
      <c r="L49" t="n">
        <v>4</v>
      </c>
      <c r="M49" s="3">
        <f>I49/L49</f>
        <v/>
      </c>
      <c r="N49">
        <f>IF(M49&gt;=5100,"ставка","мин.ставка")</f>
        <v/>
      </c>
      <c r="O49" s="3">
        <f>ROUND(IF(N49="мин.ставка",L49*100,I49/102*2),2)</f>
        <v/>
      </c>
      <c r="P49" s="5" t="n">
        <v>46244.5</v>
      </c>
      <c r="Q49" t="inlineStr">
        <is>
          <t>TravelLine YAX</t>
        </is>
      </c>
      <c r="R49" s="2" t="inlineStr">
        <is>
          <t>УЛУЧШЕННЫЙ ДВУХМЕСТНЫЙ НОМЕР</t>
        </is>
      </c>
      <c r="S49" t="n">
        <v>56</v>
      </c>
      <c r="T49" t="n">
        <v>2</v>
      </c>
      <c r="U49" t="inlineStr"/>
      <c r="V49" t="inlineStr">
        <is>
          <t>Тариф с завтраком</t>
        </is>
      </c>
      <c r="W49" t="n">
        <v>49280</v>
      </c>
      <c r="X49" s="3" t="n">
        <v>12320</v>
      </c>
      <c r="Y49" t="inlineStr">
        <is>
          <t>20%</t>
        </is>
      </c>
      <c r="Z49" t="inlineStr">
        <is>
          <t>2026-08-06, 2026-08-07, 2026-08-08, 2026-08-09</t>
        </is>
      </c>
      <c r="AA49" s="3" t="n">
        <v>49280</v>
      </c>
      <c r="AB49" t="inlineStr">
        <is>
          <t>Сошлось по ночным тарифам</t>
        </is>
      </c>
      <c r="AC49" s="2" t="inlineStr"/>
      <c r="AD49" t="n">
        <v>12320</v>
      </c>
      <c r="AE49" t="n">
        <v>0</v>
      </c>
      <c r="AF49" t="inlineStr">
        <is>
          <t>Скидка добавлена к налоговой базе</t>
        </is>
      </c>
      <c r="AG49" t="n">
        <v>61600</v>
      </c>
      <c r="AH49" t="n">
        <v>49280</v>
      </c>
      <c r="AI49" t="inlineStr">
        <is>
          <t>Полное проживание в выбранном периоде</t>
        </is>
      </c>
    </row>
    <row r="50">
      <c r="A50" t="inlineStr">
        <is>
          <t>20260818-8186-443503370</t>
        </is>
      </c>
      <c r="B50" t="n">
        <v>1</v>
      </c>
      <c r="C50" s="2" t="inlineStr">
        <is>
          <t>АЛЕКСАНДР ВЕРЯСОВ, ЕЛИЗАВЕТА ФЕДОТОВА</t>
        </is>
      </c>
      <c r="D50" s="3" t="n">
        <v>64080</v>
      </c>
      <c r="E50" s="4" t="n">
        <v>20</v>
      </c>
      <c r="F50" t="inlineStr">
        <is>
          <t>ООО "ХБ-ПРО" [Чайковский]</t>
        </is>
      </c>
      <c r="G50" s="3">
        <f>ROUND(D50/(100-E50)*100,2)</f>
        <v/>
      </c>
      <c r="H50" s="3" t="n">
        <v>0</v>
      </c>
      <c r="I50" s="3">
        <f>ROUND(IF(ISNUMBER(AG50),AG50,G50)+H50,2)</f>
        <v/>
      </c>
      <c r="J50" s="2" t="inlineStr">
        <is>
          <t>Завтрак "Шведский стол"</t>
        </is>
      </c>
      <c r="K50" s="5" t="n">
        <v>46252.58333333334</v>
      </c>
      <c r="L50" t="n">
        <v>6</v>
      </c>
      <c r="M50" s="3">
        <f>I50/L50</f>
        <v/>
      </c>
      <c r="N50">
        <f>IF(M50&gt;=5100,"ставка","мин.ставка")</f>
        <v/>
      </c>
      <c r="O50" s="3">
        <f>ROUND(IF(N50="мин.ставка",L50*100,I50/102*2),2)</f>
        <v/>
      </c>
      <c r="P50" s="5" t="n">
        <v>46258.5</v>
      </c>
      <c r="Q50" t="inlineStr">
        <is>
          <t>TravelLine UTS</t>
        </is>
      </c>
      <c r="R50" s="2" t="inlineStr">
        <is>
          <t>СТАНДАРТНЫЙ ДВУХМЕСТНЫЙ НОМЕР</t>
        </is>
      </c>
      <c r="S50" t="n">
        <v>58</v>
      </c>
      <c r="T50" t="n">
        <v>2</v>
      </c>
      <c r="U50" t="inlineStr"/>
      <c r="V50" t="inlineStr">
        <is>
          <t>Тариф с завтраком</t>
        </is>
      </c>
      <c r="W50" t="n">
        <v>64080</v>
      </c>
      <c r="X50" s="3" t="n">
        <v>0</v>
      </c>
      <c r="Y50" t="inlineStr"/>
      <c r="Z50" t="inlineStr"/>
      <c r="AA50" s="3" t="n">
        <v>64080</v>
      </c>
      <c r="AB50" t="inlineStr">
        <is>
          <t>Сошлось по ночным тарифам</t>
        </is>
      </c>
      <c r="AC50" s="2" t="inlineStr"/>
      <c r="AD50" t="n">
        <v>0</v>
      </c>
      <c r="AE50" t="n">
        <v>0</v>
      </c>
      <c r="AF50" t="inlineStr">
        <is>
          <t>Скидки нет</t>
        </is>
      </c>
      <c r="AG50" t="n">
        <v>64080</v>
      </c>
      <c r="AH50" t="n">
        <v>64080</v>
      </c>
      <c r="AI50" t="inlineStr">
        <is>
          <t>Полное проживание в выбранном периоде</t>
        </is>
      </c>
    </row>
    <row r="51">
      <c r="A51" t="inlineStr">
        <is>
          <t>20260703-8186-447191732</t>
        </is>
      </c>
      <c r="B51" t="n">
        <v>1</v>
      </c>
      <c r="C51" s="2" t="inlineStr">
        <is>
          <t>Александр Вилинчук, Татьяна Вилинчук</t>
        </is>
      </c>
      <c r="D51" s="3" t="n">
        <v>26286.15</v>
      </c>
      <c r="E51" s="4" t="n">
        <v>4</v>
      </c>
      <c r="F51" t="inlineStr">
        <is>
          <t>TravelLine Booking Engine [Чайковский]</t>
        </is>
      </c>
      <c r="G51" s="3">
        <f>ROUND(D51/(100-E51)*100,2)</f>
        <v/>
      </c>
      <c r="H51" s="3" t="n">
        <v>0</v>
      </c>
      <c r="I51" s="3">
        <f>ROUND(IF(ISNUMBER(AG51),AG51,G51)+H51,2)</f>
        <v/>
      </c>
      <c r="J51" s="2" t="inlineStr">
        <is>
          <t>Завтрак "Шведский стол"</t>
        </is>
      </c>
      <c r="K51" s="5" t="n">
        <v>46206.58333333334</v>
      </c>
      <c r="L51" t="n">
        <v>2</v>
      </c>
      <c r="M51" s="3">
        <f>I51/L51</f>
        <v/>
      </c>
      <c r="N51">
        <f>IF(M51&gt;=5100,"ставка","мин.ставка")</f>
        <v/>
      </c>
      <c r="O51" s="3">
        <f>ROUND(IF(N51="мин.ставка",L51*100,I51/102*2),2)</f>
        <v/>
      </c>
      <c r="P51" s="5" t="n">
        <v>46208.5</v>
      </c>
      <c r="Q51" t="inlineStr">
        <is>
          <t>TravelLine сайт</t>
        </is>
      </c>
      <c r="R51" s="2" t="inlineStr">
        <is>
          <t>СТАНДАРТНЫЙ ДВУХМЕСТНЫЙ НОМЕР</t>
        </is>
      </c>
      <c r="S51" t="n">
        <v>42</v>
      </c>
      <c r="T51" t="n">
        <v>1</v>
      </c>
      <c r="U51" t="inlineStr"/>
      <c r="V51" t="inlineStr">
        <is>
          <t>Тариф с завтраком</t>
        </is>
      </c>
      <c r="W51" t="n">
        <v>26286.15</v>
      </c>
      <c r="X51" s="3" t="n">
        <v>413.85</v>
      </c>
      <c r="Y51" t="inlineStr">
        <is>
          <t>3.1%</t>
        </is>
      </c>
      <c r="Z51" t="inlineStr">
        <is>
          <t>2026-07-03</t>
        </is>
      </c>
      <c r="AA51" s="3" t="n">
        <v>26286.15</v>
      </c>
      <c r="AB51" t="inlineStr">
        <is>
          <t>Сошлось по ночным тарифам</t>
        </is>
      </c>
      <c r="AC51" s="2" t="inlineStr"/>
      <c r="AD51" t="n">
        <v>413.85</v>
      </c>
      <c r="AE51" t="n">
        <v>0</v>
      </c>
      <c r="AF51" t="inlineStr">
        <is>
          <t>Скидка добавлена к налоговой базе</t>
        </is>
      </c>
      <c r="AG51" t="n">
        <v>26700</v>
      </c>
      <c r="AH51" t="n">
        <v>26286.15</v>
      </c>
      <c r="AI51" t="inlineStr">
        <is>
          <t>Полное проживание в выбранном периоде</t>
        </is>
      </c>
    </row>
    <row r="52">
      <c r="A52" t="inlineStr">
        <is>
          <t>20260728-8186-453732694</t>
        </is>
      </c>
      <c r="B52" t="n">
        <v>1</v>
      </c>
      <c r="C52" s="2" t="inlineStr">
        <is>
          <t>АЛЕКСАНДР ВОЛЕГОВ, ЮЛИЯ ВОЛЕГОВА</t>
        </is>
      </c>
      <c r="D52" s="3" t="n">
        <v>9265</v>
      </c>
      <c r="E52" s="4" t="n">
        <v>15</v>
      </c>
      <c r="F52" t="inlineStr">
        <is>
          <t>ООО "БРОНИРОВАНИЕ ГОСТИНИЦ" (OSTROVOK) [Чайковский]</t>
        </is>
      </c>
      <c r="G52" s="3">
        <f>ROUND(D52/(100-E52)*100,2)</f>
        <v/>
      </c>
      <c r="H52" s="3" t="n">
        <v>0</v>
      </c>
      <c r="I52" s="3">
        <f>ROUND(IF(ISNUMBER(AG52),AG52,G52)+H52,2)</f>
        <v/>
      </c>
      <c r="J52" s="2" t="inlineStr">
        <is>
          <t>Завтрак "Шведский стол"</t>
        </is>
      </c>
      <c r="K52" s="5" t="n">
        <v>46231.58333333334</v>
      </c>
      <c r="L52" t="n">
        <v>1</v>
      </c>
      <c r="M52" s="3">
        <f>I52/L52</f>
        <v/>
      </c>
      <c r="N52">
        <f>IF(M52&gt;=5100,"ставка","мин.ставка")</f>
        <v/>
      </c>
      <c r="O52" s="3">
        <f>ROUND(IF(N52="мин.ставка",L52*100,I52/102*2),2)</f>
        <v/>
      </c>
      <c r="P52" s="5" t="n">
        <v>46232.5</v>
      </c>
      <c r="Q52" t="inlineStr">
        <is>
          <t>TravelLine OTK</t>
        </is>
      </c>
      <c r="R52" s="2" t="inlineStr">
        <is>
          <t>СТАНДАРТНЫЙ ДВУХМЕСТНЫЙ НОМЕР</t>
        </is>
      </c>
      <c r="S52" t="n">
        <v>55</v>
      </c>
      <c r="T52" t="n">
        <v>2</v>
      </c>
      <c r="U52" t="inlineStr"/>
      <c r="V52" t="inlineStr">
        <is>
          <t>Тариф с завтраком</t>
        </is>
      </c>
      <c r="W52" t="n">
        <v>9265</v>
      </c>
      <c r="X52" s="3" t="n">
        <v>1635</v>
      </c>
      <c r="Y52" t="inlineStr">
        <is>
          <t>15%</t>
        </is>
      </c>
      <c r="Z52" t="inlineStr">
        <is>
          <t>2026-07-28</t>
        </is>
      </c>
      <c r="AA52" s="3" t="n">
        <v>9265</v>
      </c>
      <c r="AB52" t="inlineStr">
        <is>
          <t>Сошлось по ночным тарифам</t>
        </is>
      </c>
      <c r="AC52" s="2" t="inlineStr"/>
      <c r="AD52" t="n">
        <v>1635</v>
      </c>
      <c r="AE52" t="n">
        <v>0</v>
      </c>
      <c r="AF52" t="inlineStr">
        <is>
          <t>Скидка добавлена к налоговой базе</t>
        </is>
      </c>
      <c r="AG52" t="n">
        <v>10900</v>
      </c>
      <c r="AH52" t="n">
        <v>9265</v>
      </c>
      <c r="AI52" t="inlineStr">
        <is>
          <t>Полное проживание в выбранном периоде</t>
        </is>
      </c>
    </row>
    <row r="53">
      <c r="A53" t="inlineStr">
        <is>
          <t>20260714-8186-450056814</t>
        </is>
      </c>
      <c r="B53" t="n">
        <v>1</v>
      </c>
      <c r="C53" s="2" t="inlineStr">
        <is>
          <t>Александр Ганин, Ольга Ганина</t>
        </is>
      </c>
      <c r="D53" s="3" t="n">
        <v>11347.5</v>
      </c>
      <c r="E53" s="4" t="n">
        <v>15</v>
      </c>
      <c r="F53" t="inlineStr">
        <is>
          <t>ООО "БРОНИРОВАНИЕ ГОСТИНИЦ" (OSTROVOK) [Чайковский]</t>
        </is>
      </c>
      <c r="G53" s="3">
        <f>ROUND(D53/(100-E53)*100,2)</f>
        <v/>
      </c>
      <c r="H53" s="3" t="n">
        <v>0</v>
      </c>
      <c r="I53" s="3">
        <f>ROUND(IF(ISNUMBER(AG53),AG53,G53)+H53,2)</f>
        <v/>
      </c>
      <c r="J53" s="2" t="inlineStr">
        <is>
          <t>Завтрак "Шведский стол"</t>
        </is>
      </c>
      <c r="K53" s="5" t="n">
        <v>46217.58333333334</v>
      </c>
      <c r="L53" t="n">
        <v>1</v>
      </c>
      <c r="M53" s="3">
        <f>I53/L53</f>
        <v/>
      </c>
      <c r="N53">
        <f>IF(M53&gt;=5100,"ставка","мин.ставка")</f>
        <v/>
      </c>
      <c r="O53" s="3">
        <f>ROUND(IF(N53="мин.ставка",L53*100,I53/102*2),2)</f>
        <v/>
      </c>
      <c r="P53" s="5" t="n">
        <v>46218.5</v>
      </c>
      <c r="Q53" t="inlineStr">
        <is>
          <t>TravelLine OTK</t>
        </is>
      </c>
      <c r="R53" s="2" t="inlineStr">
        <is>
          <t>СТАНДАРТНЫЙ ДВУХМЕСТНЫЙ НОМЕР</t>
        </is>
      </c>
      <c r="S53" t="n">
        <v>42</v>
      </c>
      <c r="T53" t="n">
        <v>1</v>
      </c>
      <c r="U53" t="inlineStr"/>
      <c r="V53" t="inlineStr">
        <is>
          <t>Тариф с завтраком</t>
        </is>
      </c>
      <c r="W53" t="n">
        <v>11347.5</v>
      </c>
      <c r="X53" s="3" t="n">
        <v>2002.5</v>
      </c>
      <c r="Y53" t="inlineStr">
        <is>
          <t>15%</t>
        </is>
      </c>
      <c r="Z53" t="inlineStr">
        <is>
          <t>2026-07-14</t>
        </is>
      </c>
      <c r="AA53" s="3" t="n">
        <v>11347.5</v>
      </c>
      <c r="AB53" t="inlineStr">
        <is>
          <t>Сошлось по ночным тарифам</t>
        </is>
      </c>
      <c r="AC53" s="2" t="inlineStr"/>
      <c r="AD53" t="n">
        <v>2002.5</v>
      </c>
      <c r="AE53" t="n">
        <v>0</v>
      </c>
      <c r="AF53" t="inlineStr">
        <is>
          <t>Скидка добавлена к налоговой базе</t>
        </is>
      </c>
      <c r="AG53" t="n">
        <v>13350</v>
      </c>
      <c r="AH53" t="n">
        <v>11347.5</v>
      </c>
      <c r="AI53" t="inlineStr">
        <is>
          <t>Полное проживание в выбранном периоде</t>
        </is>
      </c>
    </row>
    <row r="54">
      <c r="A54" t="inlineStr">
        <is>
          <t>20260930-8186-467154926</t>
        </is>
      </c>
      <c r="B54" t="n">
        <v>1</v>
      </c>
      <c r="C54" s="2" t="inlineStr">
        <is>
          <t>АЛЕКСАНДР ДЕДКОВ</t>
        </is>
      </c>
      <c r="D54" s="3" t="n">
        <v>17800</v>
      </c>
      <c r="E54" s="4" t="n">
        <v>0</v>
      </c>
      <c r="F54" t="inlineStr">
        <is>
          <t>Прямые бронирования (стойка) [Чайковский]</t>
        </is>
      </c>
      <c r="G54" s="3">
        <f>ROUND(D54/(100-E54)*100,2)</f>
        <v/>
      </c>
      <c r="H54" s="3" t="n">
        <v>0</v>
      </c>
      <c r="I54" s="3">
        <f>ROUND(IF(ISNUMBER(AG54),AG54,G54)+H54,2)</f>
        <v/>
      </c>
      <c r="J54" s="2" t="inlineStr"/>
      <c r="K54" s="5" t="n">
        <v>46295.58333333334</v>
      </c>
      <c r="L54" t="n">
        <v>1</v>
      </c>
      <c r="M54" s="3">
        <f>I54/L54</f>
        <v/>
      </c>
      <c r="N54">
        <f>IF(M54&gt;=5100,"ставка","мин.ставка")</f>
        <v/>
      </c>
      <c r="O54" s="3">
        <f>ROUND(IF(N54="мин.ставка",L54*100,I54/102*2),2)</f>
        <v/>
      </c>
      <c r="P54" s="5" t="n">
        <v>46297.5</v>
      </c>
      <c r="Q54" t="inlineStr">
        <is>
          <t>TravelLine ресепшен</t>
        </is>
      </c>
      <c r="R54" s="2" t="inlineStr">
        <is>
          <t>СТАНДАРТНЫЙ ДВУХМЕСТНЫЙ НОМЕР</t>
        </is>
      </c>
      <c r="S54" t="n">
        <v>55</v>
      </c>
      <c r="T54" t="n">
        <v>2</v>
      </c>
      <c r="U54" t="inlineStr"/>
      <c r="V54" t="inlineStr">
        <is>
          <t>Тариф с завтраком</t>
        </is>
      </c>
      <c r="W54" t="n">
        <v>17800</v>
      </c>
      <c r="X54" s="3" t="n">
        <v>0</v>
      </c>
      <c r="Y54" t="inlineStr"/>
      <c r="Z54" t="inlineStr"/>
      <c r="AA54" s="3" t="n">
        <v>17800</v>
      </c>
      <c r="AB54" t="inlineStr">
        <is>
          <t>Сошлось по ночным тарифам</t>
        </is>
      </c>
      <c r="AC54" s="2" t="inlineStr"/>
      <c r="AD54" t="n">
        <v>0</v>
      </c>
      <c r="AE54" t="n">
        <v>0</v>
      </c>
      <c r="AF54" t="inlineStr">
        <is>
          <t>Скидки нет</t>
        </is>
      </c>
      <c r="AG54" t="n">
        <v>9850</v>
      </c>
      <c r="AH54" t="n">
        <v>9850</v>
      </c>
      <c r="AI54" t="inlineStr">
        <is>
          <t>Частичное проживание распределено по dailyRates</t>
        </is>
      </c>
    </row>
    <row r="55">
      <c r="A55" t="inlineStr">
        <is>
          <t>20260811-8186-456346255</t>
        </is>
      </c>
      <c r="B55" t="n">
        <v>1</v>
      </c>
      <c r="C55" s="2" t="inlineStr">
        <is>
          <t>аЛЕКСАНДР Дмитрук</t>
        </is>
      </c>
      <c r="D55" s="3" t="n">
        <v>9307</v>
      </c>
      <c r="E55" s="4" t="n">
        <v>18</v>
      </c>
      <c r="F55" t="inlineStr">
        <is>
          <t>ООО "Эй энд Эй" [Чайковский]</t>
        </is>
      </c>
      <c r="G55" s="3">
        <f>ROUND(D55/(100-E55)*100,2)</f>
        <v/>
      </c>
      <c r="H55" s="3" t="n">
        <v>0</v>
      </c>
      <c r="I55" s="3">
        <f>ROUND(IF(ISNUMBER(AG55),AG55,G55)+H55,2)</f>
        <v/>
      </c>
      <c r="J55" s="2" t="inlineStr">
        <is>
          <t>Завтрак "Шведский стол"</t>
        </is>
      </c>
      <c r="K55" s="5" t="n">
        <v>46245.58333333334</v>
      </c>
      <c r="L55" t="n">
        <v>1</v>
      </c>
      <c r="M55" s="3">
        <f>I55/L55</f>
        <v/>
      </c>
      <c r="N55">
        <f>IF(M55&gt;=5100,"ставка","мин.ставка")</f>
        <v/>
      </c>
      <c r="O55" s="3">
        <f>ROUND(IF(N55="мин.ставка",L55*100,I55/102*2),2)</f>
        <v/>
      </c>
      <c r="P55" s="5" t="n">
        <v>46246.5</v>
      </c>
      <c r="Q55" t="inlineStr">
        <is>
          <t>TravelLine ANA</t>
        </is>
      </c>
      <c r="R55" s="2" t="inlineStr">
        <is>
          <t>СТАНДАРТНЫЙ ДВУХМЕСТНЫЙ НОМЕР</t>
        </is>
      </c>
      <c r="S55" t="n">
        <v>52</v>
      </c>
      <c r="T55" t="n">
        <v>2</v>
      </c>
      <c r="U55" t="inlineStr"/>
      <c r="V55" t="inlineStr">
        <is>
          <t>Тариф с завтраком</t>
        </is>
      </c>
      <c r="W55" t="n">
        <v>9307</v>
      </c>
      <c r="X55" s="3" t="n">
        <v>2043</v>
      </c>
      <c r="Y55" t="inlineStr">
        <is>
          <t>18%</t>
        </is>
      </c>
      <c r="Z55" t="inlineStr">
        <is>
          <t>2026-08-11</t>
        </is>
      </c>
      <c r="AA55" s="3" t="n">
        <v>9307</v>
      </c>
      <c r="AB55" t="inlineStr">
        <is>
          <t>Сошлось по ночным тарифам</t>
        </is>
      </c>
      <c r="AC55" s="2" t="inlineStr"/>
      <c r="AD55" t="n">
        <v>2043</v>
      </c>
      <c r="AE55" t="n">
        <v>0</v>
      </c>
      <c r="AF55" t="inlineStr">
        <is>
          <t>Скидка добавлена к налоговой базе</t>
        </is>
      </c>
      <c r="AG55" t="n">
        <v>11350</v>
      </c>
      <c r="AH55" t="n">
        <v>9307</v>
      </c>
      <c r="AI55" t="inlineStr">
        <is>
          <t>Полное проживание в выбранном периоде</t>
        </is>
      </c>
    </row>
    <row r="56">
      <c r="A56" t="inlineStr">
        <is>
          <t>20260714-8186-448626753</t>
        </is>
      </c>
      <c r="B56" t="n">
        <v>1</v>
      </c>
      <c r="C56" s="2" t="inlineStr">
        <is>
          <t>Александр Долганов</t>
        </is>
      </c>
      <c r="D56" s="3" t="n">
        <v>6320</v>
      </c>
      <c r="E56" s="4" t="n">
        <v>18</v>
      </c>
      <c r="F56" t="inlineStr">
        <is>
          <t>Яндекс.Путешествия [Чайковский]</t>
        </is>
      </c>
      <c r="G56" s="3">
        <f>ROUND(D56/(100-E56)*100,2)</f>
        <v/>
      </c>
      <c r="H56" s="3" t="n">
        <v>0</v>
      </c>
      <c r="I56" s="3">
        <f>ROUND(IF(ISNUMBER(AG56),AG56,G56)+H56,2)</f>
        <v/>
      </c>
      <c r="J56" s="2" t="inlineStr">
        <is>
          <t>Завтрак "Шведский стол"</t>
        </is>
      </c>
      <c r="K56" s="5" t="n">
        <v>46217.58333333334</v>
      </c>
      <c r="L56" t="n">
        <v>1</v>
      </c>
      <c r="M56" s="3">
        <f>I56/L56</f>
        <v/>
      </c>
      <c r="N56">
        <f>IF(M56&gt;=5100,"ставка","мин.ставка")</f>
        <v/>
      </c>
      <c r="O56" s="3">
        <f>ROUND(IF(N56="мин.ставка",L56*100,I56/102*2),2)</f>
        <v/>
      </c>
      <c r="P56" s="5" t="n">
        <v>46218.5</v>
      </c>
      <c r="Q56" t="inlineStr">
        <is>
          <t>TravelLine YAX</t>
        </is>
      </c>
      <c r="R56" s="2" t="inlineStr">
        <is>
          <t>СТАНДАРТНЫЙ ДВУХМЕСТНЫЙ НОМЕР (МАНСАРДА)</t>
        </is>
      </c>
      <c r="S56" t="n">
        <v>43</v>
      </c>
      <c r="T56" t="n">
        <v>1</v>
      </c>
      <c r="U56" t="inlineStr"/>
      <c r="V56" t="inlineStr">
        <is>
          <t>Тариф с завтраком</t>
        </is>
      </c>
      <c r="W56" t="n">
        <v>6320</v>
      </c>
      <c r="X56" s="3" t="n">
        <v>1580</v>
      </c>
      <c r="Y56" t="inlineStr">
        <is>
          <t>20%</t>
        </is>
      </c>
      <c r="Z56" t="inlineStr">
        <is>
          <t>2026-07-14</t>
        </is>
      </c>
      <c r="AA56" s="3" t="n">
        <v>6320</v>
      </c>
      <c r="AB56" t="inlineStr">
        <is>
          <t>Сошлось по ночным тарифам</t>
        </is>
      </c>
      <c r="AC56" s="2" t="inlineStr"/>
      <c r="AD56" t="n">
        <v>1580</v>
      </c>
      <c r="AE56" t="n">
        <v>0</v>
      </c>
      <c r="AF56" t="inlineStr">
        <is>
          <t>Скидка добавлена к налоговой базе</t>
        </is>
      </c>
      <c r="AG56" t="n">
        <v>7900</v>
      </c>
      <c r="AH56" t="n">
        <v>6320</v>
      </c>
      <c r="AI56" t="inlineStr">
        <is>
          <t>Полное проживание в выбранном периоде</t>
        </is>
      </c>
    </row>
    <row r="57">
      <c r="A57" t="inlineStr">
        <is>
          <t>20260729-8186-454154680</t>
        </is>
      </c>
      <c r="B57" t="n">
        <v>1</v>
      </c>
      <c r="C57" s="2" t="inlineStr">
        <is>
          <t>АЛЕКСАНДР ДОЛГОВ</t>
        </is>
      </c>
      <c r="D57" s="3" t="n">
        <v>23760</v>
      </c>
      <c r="E57" s="4" t="n">
        <v>18</v>
      </c>
      <c r="F57" t="inlineStr">
        <is>
          <t>Яндекс.Путешествия [Чайковский]</t>
        </is>
      </c>
      <c r="G57" s="3">
        <f>ROUND(D57/(100-E57)*100,2)</f>
        <v/>
      </c>
      <c r="H57" s="3" t="n">
        <v>0</v>
      </c>
      <c r="I57" s="3">
        <f>ROUND(IF(ISNUMBER(AG57),AG57,G57)+H57,2)</f>
        <v/>
      </c>
      <c r="J57" s="2" t="inlineStr">
        <is>
          <t>Завтрак "Шведский стол"</t>
        </is>
      </c>
      <c r="K57" s="5" t="n">
        <v>46232.58333333334</v>
      </c>
      <c r="L57" t="n">
        <v>3</v>
      </c>
      <c r="M57" s="3">
        <f>I57/L57</f>
        <v/>
      </c>
      <c r="N57">
        <f>IF(M57&gt;=5100,"ставка","мин.ставка")</f>
        <v/>
      </c>
      <c r="O57" s="3">
        <f>ROUND(IF(N57="мин.ставка",L57*100,I57/102*2),2)</f>
        <v/>
      </c>
      <c r="P57" s="5" t="n">
        <v>46235.5</v>
      </c>
      <c r="Q57" t="inlineStr">
        <is>
          <t>TravelLine YAX</t>
        </is>
      </c>
      <c r="R57" s="2" t="inlineStr">
        <is>
          <t>СТАНДАРТНЫЙ ДВУХМЕСТНЫЙ НОМЕР (МАНСАРДА)</t>
        </is>
      </c>
      <c r="S57" t="n">
        <v>45</v>
      </c>
      <c r="T57" t="n">
        <v>1</v>
      </c>
      <c r="U57" t="inlineStr"/>
      <c r="V57" t="inlineStr">
        <is>
          <t>Тариф с завтраком</t>
        </is>
      </c>
      <c r="W57" t="n">
        <v>23760</v>
      </c>
      <c r="X57" s="3" t="n">
        <v>5940</v>
      </c>
      <c r="Y57" t="inlineStr">
        <is>
          <t>20%</t>
        </is>
      </c>
      <c r="Z57" t="inlineStr">
        <is>
          <t>2026-07-29, 2026-07-30, 2026-07-31</t>
        </is>
      </c>
      <c r="AA57" s="3" t="n">
        <v>23760</v>
      </c>
      <c r="AB57" t="inlineStr">
        <is>
          <t>Сошлось по ночным тарифам</t>
        </is>
      </c>
      <c r="AC57" s="2" t="inlineStr"/>
      <c r="AD57" t="n">
        <v>5940</v>
      </c>
      <c r="AE57" t="n">
        <v>0</v>
      </c>
      <c r="AF57" t="inlineStr">
        <is>
          <t>Скидка добавлена к налоговой базе</t>
        </is>
      </c>
      <c r="AG57" t="n">
        <v>29700</v>
      </c>
      <c r="AH57" t="n">
        <v>23760</v>
      </c>
      <c r="AI57" t="inlineStr">
        <is>
          <t>Полное проживание в выбранном периоде</t>
        </is>
      </c>
    </row>
    <row r="58">
      <c r="A58" t="inlineStr">
        <is>
          <t>20260924-8186-454705739</t>
        </is>
      </c>
      <c r="B58" t="n">
        <v>1</v>
      </c>
      <c r="C58" s="2" t="inlineStr">
        <is>
          <t>Александр Казанников, Ирина Петроченко</t>
        </is>
      </c>
      <c r="D58" s="3" t="n">
        <v>24640</v>
      </c>
      <c r="E58" s="4" t="n">
        <v>18</v>
      </c>
      <c r="F58" t="inlineStr">
        <is>
          <t>Яндекс.Путешествия [Чайковский]</t>
        </is>
      </c>
      <c r="G58" s="3">
        <f>ROUND(D58/(100-E58)*100,2)</f>
        <v/>
      </c>
      <c r="H58" s="3" t="n">
        <v>0</v>
      </c>
      <c r="I58" s="3">
        <f>ROUND(IF(ISNUMBER(AG58),AG58,G58)+H58,2)</f>
        <v/>
      </c>
      <c r="J58" s="2" t="inlineStr">
        <is>
          <t>Завтрак "Шведский стол"</t>
        </is>
      </c>
      <c r="K58" s="5" t="n">
        <v>46289.58333333334</v>
      </c>
      <c r="L58" t="n">
        <v>2</v>
      </c>
      <c r="M58" s="3">
        <f>I58/L58</f>
        <v/>
      </c>
      <c r="N58">
        <f>IF(M58&gt;=5100,"ставка","мин.ставка")</f>
        <v/>
      </c>
      <c r="O58" s="3">
        <f>ROUND(IF(N58="мин.ставка",L58*100,I58/102*2),2)</f>
        <v/>
      </c>
      <c r="P58" s="5" t="n">
        <v>46291.5</v>
      </c>
      <c r="Q58" t="inlineStr">
        <is>
          <t>TravelLine YAX</t>
        </is>
      </c>
      <c r="R58" s="2" t="inlineStr">
        <is>
          <t>УЛУЧШЕННЫЙ ДВУХМЕСТНЫЙ НОМЕР</t>
        </is>
      </c>
      <c r="S58" t="n">
        <v>21</v>
      </c>
      <c r="T58" t="n">
        <v>1</v>
      </c>
      <c r="U58" t="inlineStr"/>
      <c r="V58" t="inlineStr">
        <is>
          <t>Тариф с завтраком</t>
        </is>
      </c>
      <c r="W58" t="n">
        <v>24640</v>
      </c>
      <c r="X58" s="3" t="n">
        <v>6160</v>
      </c>
      <c r="Y58" t="inlineStr">
        <is>
          <t>20%</t>
        </is>
      </c>
      <c r="Z58" t="inlineStr">
        <is>
          <t>2026-09-24, 2026-09-25</t>
        </is>
      </c>
      <c r="AA58" s="3" t="n">
        <v>24640</v>
      </c>
      <c r="AB58" t="inlineStr">
        <is>
          <t>Сошлось по ночным тарифам</t>
        </is>
      </c>
      <c r="AC58" s="2" t="inlineStr"/>
      <c r="AD58" t="n">
        <v>6160</v>
      </c>
      <c r="AE58" t="n">
        <v>0</v>
      </c>
      <c r="AF58" t="inlineStr">
        <is>
          <t>Скидка добавлена к налоговой базе</t>
        </is>
      </c>
      <c r="AG58" t="n">
        <v>30800</v>
      </c>
      <c r="AH58" t="n">
        <v>24640</v>
      </c>
      <c r="AI58" t="inlineStr">
        <is>
          <t>Полное проживание в выбранном периоде</t>
        </is>
      </c>
    </row>
    <row r="59">
      <c r="A59" t="inlineStr">
        <is>
          <t>20260716-8186-421435887</t>
        </is>
      </c>
      <c r="B59" t="n">
        <v>1</v>
      </c>
      <c r="C59" s="2" t="inlineStr">
        <is>
          <t>Александр Клименков, ОЛЬГА ГАВРИЛЕНКО</t>
        </is>
      </c>
      <c r="D59" s="3" t="n">
        <v>49193.1</v>
      </c>
      <c r="E59" s="4" t="n">
        <v>4</v>
      </c>
      <c r="F59" t="inlineStr">
        <is>
          <t>TravelLine Booking Engine [Чайковский]</t>
        </is>
      </c>
      <c r="G59" s="3">
        <f>ROUND(D59/(100-E59)*100,2)</f>
        <v/>
      </c>
      <c r="H59" s="3" t="n">
        <v>0</v>
      </c>
      <c r="I59" s="3">
        <f>ROUND(IF(ISNUMBER(AG59),AG59,G59)+H59,2)</f>
        <v/>
      </c>
      <c r="J59" s="2" t="inlineStr">
        <is>
          <t>Завтрак "Шведский стол"</t>
        </is>
      </c>
      <c r="K59" s="5" t="n">
        <v>46219.58333333334</v>
      </c>
      <c r="L59" t="n">
        <v>5</v>
      </c>
      <c r="M59" s="3">
        <f>I59/L59</f>
        <v/>
      </c>
      <c r="N59">
        <f>IF(M59&gt;=5100,"ставка","мин.ставка")</f>
        <v/>
      </c>
      <c r="O59" s="3">
        <f>ROUND(IF(N59="мин.ставка",L59*100,I59/102*2),2)</f>
        <v/>
      </c>
      <c r="P59" s="5" t="n">
        <v>46224.5</v>
      </c>
      <c r="Q59" t="inlineStr">
        <is>
          <t>TravelLine сайт</t>
        </is>
      </c>
      <c r="R59" s="2" t="inlineStr">
        <is>
          <t>СТАНДАРТНЫЙ ДВУХМЕСТНЫЙ НОМЕР (МАНСАРДА)</t>
        </is>
      </c>
      <c r="S59" t="n">
        <v>41</v>
      </c>
      <c r="T59" t="n">
        <v>1</v>
      </c>
      <c r="U59" t="inlineStr"/>
      <c r="V59" t="inlineStr">
        <is>
          <t>Тариф с завтраком</t>
        </is>
      </c>
      <c r="W59" t="n">
        <v>49193.1</v>
      </c>
      <c r="X59" s="3" t="n">
        <v>306.9</v>
      </c>
      <c r="Y59" t="inlineStr">
        <is>
          <t>3.1%</t>
        </is>
      </c>
      <c r="Z59" t="inlineStr">
        <is>
          <t>2026-07-16</t>
        </is>
      </c>
      <c r="AA59" s="3" t="n">
        <v>49193.1</v>
      </c>
      <c r="AB59" t="inlineStr">
        <is>
          <t>Сошлось по ночным тарифам</t>
        </is>
      </c>
      <c r="AC59" s="2" t="inlineStr"/>
      <c r="AD59" t="n">
        <v>306.9</v>
      </c>
      <c r="AE59" t="n">
        <v>0</v>
      </c>
      <c r="AF59" t="inlineStr">
        <is>
          <t>Скидка добавлена к налоговой базе</t>
        </is>
      </c>
      <c r="AG59" t="n">
        <v>49500</v>
      </c>
      <c r="AH59" t="n">
        <v>49193.1</v>
      </c>
      <c r="AI59" t="inlineStr">
        <is>
          <t>Полное проживание в выбранном периоде</t>
        </is>
      </c>
    </row>
    <row r="60">
      <c r="A60" t="inlineStr">
        <is>
          <t>20260812-8186-451471645</t>
        </is>
      </c>
      <c r="B60" t="n">
        <v>1</v>
      </c>
      <c r="C60" s="2" t="inlineStr">
        <is>
          <t>Александр Кочетов, Ирина Емельянова</t>
        </is>
      </c>
      <c r="D60" s="3" t="n">
        <v>9751.5</v>
      </c>
      <c r="E60" s="4" t="n">
        <v>4</v>
      </c>
      <c r="F60" t="inlineStr">
        <is>
          <t>TravelLine Booking Engine [Чайковский]</t>
        </is>
      </c>
      <c r="G60" s="3">
        <f>ROUND(D60/(100-E60)*100,2)</f>
        <v/>
      </c>
      <c r="H60" s="3" t="n">
        <v>0</v>
      </c>
      <c r="I60" s="3">
        <f>ROUND(IF(ISNUMBER(AG60),AG60,G60)+H60,2)</f>
        <v/>
      </c>
      <c r="J60" s="2" t="inlineStr">
        <is>
          <t>Завтрак "Шведский стол"</t>
        </is>
      </c>
      <c r="K60" s="5" t="n">
        <v>46246.58333333334</v>
      </c>
      <c r="L60" t="n">
        <v>1</v>
      </c>
      <c r="M60" s="3">
        <f>I60/L60</f>
        <v/>
      </c>
      <c r="N60">
        <f>IF(M60&gt;=5100,"ставка","мин.ставка")</f>
        <v/>
      </c>
      <c r="O60" s="3">
        <f>ROUND(IF(N60="мин.ставка",L60*100,I60/102*2),2)</f>
        <v/>
      </c>
      <c r="P60" s="5" t="n">
        <v>46247.5</v>
      </c>
      <c r="Q60" t="inlineStr">
        <is>
          <t>TravelLine сайт</t>
        </is>
      </c>
      <c r="R60" s="2" t="inlineStr">
        <is>
          <t>СТАНДАРТНЫЙ ДВУХМЕСТНЫЙ НОМЕР (МАНСАРДА)</t>
        </is>
      </c>
      <c r="S60" t="n">
        <v>41</v>
      </c>
      <c r="T60" t="n">
        <v>1</v>
      </c>
      <c r="U60" t="inlineStr"/>
      <c r="V60" t="inlineStr">
        <is>
          <t>Тариф с завтраком</t>
        </is>
      </c>
      <c r="W60" t="n">
        <v>9751.5</v>
      </c>
      <c r="X60" s="3" t="n">
        <v>148.5</v>
      </c>
      <c r="Y60" t="inlineStr">
        <is>
          <t>1.5%</t>
        </is>
      </c>
      <c r="Z60" t="inlineStr">
        <is>
          <t>2026-08-12</t>
        </is>
      </c>
      <c r="AA60" s="3" t="n">
        <v>9751.5</v>
      </c>
      <c r="AB60" t="inlineStr">
        <is>
          <t>Сошлось по ночным тарифам</t>
        </is>
      </c>
      <c r="AC60" s="2" t="inlineStr"/>
      <c r="AD60" t="n">
        <v>148.5</v>
      </c>
      <c r="AE60" t="n">
        <v>0</v>
      </c>
      <c r="AF60" t="inlineStr">
        <is>
          <t>Скидка добавлена к налоговой базе</t>
        </is>
      </c>
      <c r="AG60" t="n">
        <v>9900</v>
      </c>
      <c r="AH60" t="n">
        <v>9751.5</v>
      </c>
      <c r="AI60" t="inlineStr">
        <is>
          <t>Полное проживание в выбранном периоде</t>
        </is>
      </c>
    </row>
    <row r="61">
      <c r="A61" t="inlineStr">
        <is>
          <t>20260727-8186-453458144</t>
        </is>
      </c>
      <c r="B61" t="n">
        <v>1</v>
      </c>
      <c r="C61" s="2" t="inlineStr">
        <is>
          <t>Александр Лобанов</t>
        </is>
      </c>
      <c r="D61" s="3" t="n">
        <v>8900</v>
      </c>
      <c r="E61" s="4" t="n">
        <v>0</v>
      </c>
      <c r="F61" t="inlineStr">
        <is>
          <t>Прямые бронирования (стойка) [Чайковский]</t>
        </is>
      </c>
      <c r="G61" s="3">
        <f>ROUND(D61/(100-E61)*100,2)</f>
        <v/>
      </c>
      <c r="H61" s="3" t="n">
        <v>0</v>
      </c>
      <c r="I61" s="3">
        <f>ROUND(IF(ISNUMBER(AG61),AG61,G61)+H61,2)</f>
        <v/>
      </c>
      <c r="J61" s="2" t="inlineStr">
        <is>
          <t>Завтрак "Шведский стол"</t>
        </is>
      </c>
      <c r="K61" s="5" t="n">
        <v>46230.58333333334</v>
      </c>
      <c r="L61" t="n">
        <v>1</v>
      </c>
      <c r="M61" s="3">
        <f>I61/L61</f>
        <v/>
      </c>
      <c r="N61">
        <f>IF(M61&gt;=5100,"ставка","мин.ставка")</f>
        <v/>
      </c>
      <c r="O61" s="3">
        <f>ROUND(IF(N61="мин.ставка",L61*100,I61/102*2),2)</f>
        <v/>
      </c>
      <c r="P61" s="5" t="n">
        <v>46231.5</v>
      </c>
      <c r="Q61" t="inlineStr">
        <is>
          <t>TravelLine ресепшен</t>
        </is>
      </c>
      <c r="R61" s="2" t="inlineStr">
        <is>
          <t>СТАНДАРТНЫЙ ДВУХМЕСТНЫЙ НОМЕР</t>
        </is>
      </c>
      <c r="S61" t="n">
        <v>22</v>
      </c>
      <c r="T61" t="n">
        <v>1</v>
      </c>
      <c r="U61" t="inlineStr"/>
      <c r="V61" t="inlineStr">
        <is>
          <t>Тариф с завтраком</t>
        </is>
      </c>
      <c r="W61" t="n">
        <v>8900</v>
      </c>
      <c r="X61" s="3" t="n">
        <v>0</v>
      </c>
      <c r="Y61" t="inlineStr"/>
      <c r="Z61" t="inlineStr"/>
      <c r="AA61" s="3" t="n">
        <v>8900</v>
      </c>
      <c r="AB61" t="inlineStr">
        <is>
          <t>Сошлось по ночным тарифам</t>
        </is>
      </c>
      <c r="AC61" s="2" t="inlineStr"/>
      <c r="AD61" t="n">
        <v>0</v>
      </c>
      <c r="AE61" t="n">
        <v>0</v>
      </c>
      <c r="AF61" t="inlineStr">
        <is>
          <t>Скидки нет</t>
        </is>
      </c>
      <c r="AG61" t="n">
        <v>8900</v>
      </c>
      <c r="AH61" t="n">
        <v>8900</v>
      </c>
      <c r="AI61" t="inlineStr">
        <is>
          <t>Полное проживание в выбранном периоде</t>
        </is>
      </c>
    </row>
    <row r="62">
      <c r="A62" t="inlineStr">
        <is>
          <t>20260930-8186-469017708</t>
        </is>
      </c>
      <c r="B62" t="n">
        <v>1</v>
      </c>
      <c r="C62" s="2" t="inlineStr">
        <is>
          <t>Александр Лобанов</t>
        </is>
      </c>
      <c r="D62" s="3" t="n">
        <v>13400</v>
      </c>
      <c r="E62" s="4" t="n">
        <v>0</v>
      </c>
      <c r="F62" t="inlineStr">
        <is>
          <t>Прямые бронирования (стойка) [Чайковский]</t>
        </is>
      </c>
      <c r="G62" s="3">
        <f>ROUND(D62/(100-E62)*100,2)</f>
        <v/>
      </c>
      <c r="H62" s="3" t="n">
        <v>0</v>
      </c>
      <c r="I62" s="3">
        <f>ROUND(IF(ISNUMBER(AG62),AG62,G62)+H62,2)</f>
        <v/>
      </c>
      <c r="J62" s="2" t="inlineStr">
        <is>
          <t>Завтрак "Шведский стол"</t>
        </is>
      </c>
      <c r="K62" s="5" t="n">
        <v>46295.58333333334</v>
      </c>
      <c r="L62" t="n">
        <v>1</v>
      </c>
      <c r="M62" s="3">
        <f>I62/L62</f>
        <v/>
      </c>
      <c r="N62">
        <f>IF(M62&gt;=5100,"ставка","мин.ставка")</f>
        <v/>
      </c>
      <c r="O62" s="3">
        <f>ROUND(IF(N62="мин.ставка",L62*100,I62/102*2),2)</f>
        <v/>
      </c>
      <c r="P62" s="5" t="n">
        <v>46296.5</v>
      </c>
      <c r="Q62" t="inlineStr">
        <is>
          <t>TravelLine ресепшен</t>
        </is>
      </c>
      <c r="R62" s="2" t="inlineStr">
        <is>
          <t>УЛУЧШЕННЫЙ ДВУХМЕСТНЫЙ НОМЕР</t>
        </is>
      </c>
      <c r="S62" t="n">
        <v>31</v>
      </c>
      <c r="T62" t="n">
        <v>1</v>
      </c>
      <c r="U62" t="inlineStr"/>
      <c r="V62" t="inlineStr">
        <is>
          <t>Тариф с завтраком</t>
        </is>
      </c>
      <c r="W62" t="n">
        <v>13400</v>
      </c>
      <c r="X62" s="3" t="n">
        <v>0</v>
      </c>
      <c r="Y62" t="inlineStr"/>
      <c r="Z62" t="inlineStr"/>
      <c r="AA62" s="3" t="n">
        <v>13400</v>
      </c>
      <c r="AB62" t="inlineStr">
        <is>
          <t>Сошлось по ночным тарифам</t>
        </is>
      </c>
      <c r="AC62" s="2" t="inlineStr"/>
      <c r="AD62" t="n">
        <v>0</v>
      </c>
      <c r="AE62" t="n">
        <v>0</v>
      </c>
      <c r="AF62" t="inlineStr">
        <is>
          <t>Скидки нет</t>
        </is>
      </c>
      <c r="AG62" t="n">
        <v>13400</v>
      </c>
      <c r="AH62" t="n">
        <v>13400</v>
      </c>
      <c r="AI62" t="inlineStr">
        <is>
          <t>Полное проживание в выбранном периоде</t>
        </is>
      </c>
    </row>
    <row r="63">
      <c r="A63" t="inlineStr">
        <is>
          <t>20260920-8186-467150358</t>
        </is>
      </c>
      <c r="B63" t="n">
        <v>1</v>
      </c>
      <c r="C63" s="2" t="inlineStr">
        <is>
          <t>Александр Ломоносов</t>
        </is>
      </c>
      <c r="D63" s="3" t="n">
        <v>9080</v>
      </c>
      <c r="E63" s="4" t="n">
        <v>20</v>
      </c>
      <c r="F63" t="inlineStr">
        <is>
          <t>ООО "КОМПАНИЯ БРОНЕВИК" [Чайковский]</t>
        </is>
      </c>
      <c r="G63" s="3">
        <f>ROUND(D63/(100-E63)*100,2)</f>
        <v/>
      </c>
      <c r="H63" s="3" t="n">
        <v>5675</v>
      </c>
      <c r="I63" s="3">
        <f>ROUND(IF(ISNUMBER(AG63),AG63,G63)+H63,2)</f>
        <v/>
      </c>
      <c r="J63" s="2" t="inlineStr">
        <is>
          <t>продление номера — 5 675,00 ₽; Завтрак "Шведский стол"</t>
        </is>
      </c>
      <c r="K63" s="5" t="n">
        <v>46285.58333333334</v>
      </c>
      <c r="L63" t="n">
        <v>1</v>
      </c>
      <c r="M63" s="3">
        <f>I63/L63</f>
        <v/>
      </c>
      <c r="N63">
        <f>IF(M63&gt;=5100,"ставка","мин.ставка")</f>
        <v/>
      </c>
      <c r="O63" s="3">
        <f>ROUND(IF(N63="мин.ставка",L63*100,I63/102*2),2)</f>
        <v/>
      </c>
      <c r="P63" s="5" t="n">
        <v>46286.75</v>
      </c>
      <c r="Q63" t="inlineStr">
        <is>
          <t>TravelLine BR2</t>
        </is>
      </c>
      <c r="R63" s="2" t="inlineStr">
        <is>
          <t>СТАНДАРТНЫЙ ДВУХМЕСТНЫЙ НОМЕР</t>
        </is>
      </c>
      <c r="S63" t="n">
        <v>22</v>
      </c>
      <c r="T63" t="n">
        <v>1</v>
      </c>
      <c r="U63" t="inlineStr"/>
      <c r="V63" t="inlineStr">
        <is>
          <t>Тариф с завтраком</t>
        </is>
      </c>
      <c r="W63" t="n">
        <v>14755</v>
      </c>
      <c r="X63" s="3" t="n">
        <v>0</v>
      </c>
      <c r="Y63" t="inlineStr"/>
      <c r="Z63" t="inlineStr"/>
      <c r="AA63" s="3" t="n">
        <v>9080</v>
      </c>
      <c r="AB63" t="inlineStr">
        <is>
          <t>Сошлось с услугами</t>
        </is>
      </c>
      <c r="AC63" s="2" t="inlineStr"/>
      <c r="AD63" t="n">
        <v>0</v>
      </c>
      <c r="AE63" t="n">
        <v>0</v>
      </c>
      <c r="AF63" t="inlineStr">
        <is>
          <t>Скидки нет</t>
        </is>
      </c>
      <c r="AG63" t="n">
        <v>9080</v>
      </c>
      <c r="AH63" t="n">
        <v>9080</v>
      </c>
      <c r="AI63" t="inlineStr">
        <is>
          <t>Полное проживание в выбранном периоде</t>
        </is>
      </c>
    </row>
    <row r="64">
      <c r="A64" t="inlineStr">
        <is>
          <t>20260901-8186-458501210</t>
        </is>
      </c>
      <c r="B64" t="n">
        <v>1</v>
      </c>
      <c r="C64" s="2" t="inlineStr">
        <is>
          <t>Александр Максимов</t>
        </is>
      </c>
      <c r="D64" s="3" t="n">
        <v>27240</v>
      </c>
      <c r="E64" s="4" t="n">
        <v>20</v>
      </c>
      <c r="F64" t="inlineStr">
        <is>
          <t>ООО "КОМПАНИЯ БРОНЕВИК" [Чайковский]</t>
        </is>
      </c>
      <c r="G64" s="3">
        <f>ROUND(D64/(100-E64)*100,2)</f>
        <v/>
      </c>
      <c r="H64" s="3" t="n">
        <v>0</v>
      </c>
      <c r="I64" s="3">
        <f>ROUND(IF(ISNUMBER(AG64),AG64,G64)+H64,2)</f>
        <v/>
      </c>
      <c r="J64" s="2" t="inlineStr">
        <is>
          <t>Завтрак "Шведский стол"</t>
        </is>
      </c>
      <c r="K64" s="5" t="n">
        <v>46266.58333333334</v>
      </c>
      <c r="L64" t="n">
        <v>3</v>
      </c>
      <c r="M64" s="3">
        <f>I64/L64</f>
        <v/>
      </c>
      <c r="N64">
        <f>IF(M64&gt;=5100,"ставка","мин.ставка")</f>
        <v/>
      </c>
      <c r="O64" s="3">
        <f>ROUND(IF(N64="мин.ставка",L64*100,I64/102*2),2)</f>
        <v/>
      </c>
      <c r="P64" s="5" t="n">
        <v>46269.5</v>
      </c>
      <c r="Q64" t="inlineStr">
        <is>
          <t>TravelLine BR2</t>
        </is>
      </c>
      <c r="R64" s="2" t="inlineStr">
        <is>
          <t>СТАНДАРТНЫЙ ДВУХМЕСТНЫЙ НОМЕР</t>
        </is>
      </c>
      <c r="S64" t="n">
        <v>52</v>
      </c>
      <c r="T64" t="n">
        <v>2</v>
      </c>
      <c r="U64" t="inlineStr"/>
      <c r="V64" t="inlineStr">
        <is>
          <t>Тариф с завтраком</t>
        </is>
      </c>
      <c r="W64" t="n">
        <v>27240</v>
      </c>
      <c r="X64" s="3" t="n">
        <v>0</v>
      </c>
      <c r="Y64" t="inlineStr"/>
      <c r="Z64" t="inlineStr"/>
      <c r="AA64" s="3" t="n">
        <v>27240</v>
      </c>
      <c r="AB64" t="inlineStr">
        <is>
          <t>Сошлось по ночным тарифам</t>
        </is>
      </c>
      <c r="AC64" s="2" t="inlineStr"/>
      <c r="AD64" t="n">
        <v>0</v>
      </c>
      <c r="AE64" t="n">
        <v>0</v>
      </c>
      <c r="AF64" t="inlineStr">
        <is>
          <t>Скидки нет</t>
        </is>
      </c>
      <c r="AG64" t="n">
        <v>27240</v>
      </c>
      <c r="AH64" t="n">
        <v>27240</v>
      </c>
      <c r="AI64" t="inlineStr">
        <is>
          <t>Полное проживание в выбранном периоде</t>
        </is>
      </c>
    </row>
    <row r="65">
      <c r="A65" t="inlineStr">
        <is>
          <t>20260719-8186-447014870</t>
        </is>
      </c>
      <c r="B65" t="n">
        <v>1</v>
      </c>
      <c r="C65" s="2" t="inlineStr">
        <is>
          <t>АЛЕКСАНДР МЕЛИХОВ</t>
        </is>
      </c>
      <c r="D65" s="3" t="n">
        <v>28942.5</v>
      </c>
      <c r="E65" s="4" t="n">
        <v>15</v>
      </c>
      <c r="F65" t="inlineStr">
        <is>
          <t>ООО "АКАДЕМ-ОНЛАЙН" [Чайковский]</t>
        </is>
      </c>
      <c r="G65" s="3">
        <f>ROUND(D65/(100-E65)*100,2)</f>
        <v/>
      </c>
      <c r="H65" s="3" t="n">
        <v>0</v>
      </c>
      <c r="I65" s="3">
        <f>ROUND(IF(ISNUMBER(AG65),AG65,G65)+H65,2)</f>
        <v/>
      </c>
      <c r="J65" s="2" t="inlineStr">
        <is>
          <t>Завтрак "Шведский стол"</t>
        </is>
      </c>
      <c r="K65" s="5" t="n">
        <v>46222.58333333334</v>
      </c>
      <c r="L65" t="n">
        <v>3</v>
      </c>
      <c r="M65" s="3">
        <f>I65/L65</f>
        <v/>
      </c>
      <c r="N65">
        <f>IF(M65&gt;=5100,"ставка","мин.ставка")</f>
        <v/>
      </c>
      <c r="O65" s="3">
        <f>ROUND(IF(N65="мин.ставка",L65*100,I65/102*2),2)</f>
        <v/>
      </c>
      <c r="P65" s="5" t="n">
        <v>46225.5</v>
      </c>
      <c r="Q65" t="inlineStr">
        <is>
          <t>TravelLine ACS</t>
        </is>
      </c>
      <c r="R65" s="2" t="inlineStr">
        <is>
          <t>СТАНДАРТНЫЙ ДВУХМЕСТНЫЙ НОМЕР</t>
        </is>
      </c>
      <c r="S65" t="n">
        <v>58</v>
      </c>
      <c r="T65" t="n">
        <v>2</v>
      </c>
      <c r="U65" t="inlineStr"/>
      <c r="V65" t="inlineStr">
        <is>
          <t>Тариф с завтраком</t>
        </is>
      </c>
      <c r="W65" t="n">
        <v>28942.5</v>
      </c>
      <c r="X65" s="3" t="n">
        <v>5107.5</v>
      </c>
      <c r="Y65" t="inlineStr">
        <is>
          <t>15%</t>
        </is>
      </c>
      <c r="Z65" t="inlineStr">
        <is>
          <t>2026-07-19, 2026-07-20, 2026-07-21</t>
        </is>
      </c>
      <c r="AA65" s="3" t="n">
        <v>28942.5</v>
      </c>
      <c r="AB65" t="inlineStr">
        <is>
          <t>Сошлось по ночным тарифам</t>
        </is>
      </c>
      <c r="AC65" s="2" t="inlineStr"/>
      <c r="AD65" t="n">
        <v>5107.5</v>
      </c>
      <c r="AE65" t="n">
        <v>0</v>
      </c>
      <c r="AF65" t="inlineStr">
        <is>
          <t>Скидка добавлена к налоговой базе</t>
        </is>
      </c>
      <c r="AG65" t="n">
        <v>34050</v>
      </c>
      <c r="AH65" t="n">
        <v>28942.5</v>
      </c>
      <c r="AI65" t="inlineStr">
        <is>
          <t>Полное проживание в выбранном периоде</t>
        </is>
      </c>
    </row>
    <row r="66">
      <c r="A66" t="inlineStr">
        <is>
          <t>20260928-8186-464745297</t>
        </is>
      </c>
      <c r="B66" t="n">
        <v>1</v>
      </c>
      <c r="C66" s="2" t="inlineStr">
        <is>
          <t>АЛЕКСАНДР НЕПОМЯЩИЙ</t>
        </is>
      </c>
      <c r="D66" s="3" t="n">
        <v>77137.5</v>
      </c>
      <c r="E66" s="4" t="n">
        <v>15</v>
      </c>
      <c r="F66" t="inlineStr">
        <is>
          <t>ООО "АКАДЕМ-ОНЛАЙН" [Чайковский]</t>
        </is>
      </c>
      <c r="G66" s="3">
        <f>ROUND(D66/(100-E66)*100,2)</f>
        <v/>
      </c>
      <c r="H66" s="3" t="n">
        <v>0</v>
      </c>
      <c r="I66" s="3">
        <f>ROUND(IF(ISNUMBER(AG66),AG66,G66)+H66,2)</f>
        <v/>
      </c>
      <c r="J66" s="2" t="inlineStr"/>
      <c r="K66" s="5" t="n">
        <v>46293.58333333334</v>
      </c>
      <c r="L66" t="n">
        <v>3</v>
      </c>
      <c r="M66" s="3">
        <f>I66/L66</f>
        <v/>
      </c>
      <c r="N66">
        <f>IF(M66&gt;=5100,"ставка","мин.ставка")</f>
        <v/>
      </c>
      <c r="O66" s="3">
        <f>ROUND(IF(N66="мин.ставка",L66*100,I66/102*2),2)</f>
        <v/>
      </c>
      <c r="P66" s="5" t="n">
        <v>46302.5</v>
      </c>
      <c r="Q66" t="inlineStr">
        <is>
          <t>TravelLine ACS</t>
        </is>
      </c>
      <c r="R66" s="2" t="inlineStr">
        <is>
          <t>СЕМЕЙНЫЙ НОМЕР КАТЕГОРИИ "СТАНДАРТ" ВТОРОЙ КОРПУС</t>
        </is>
      </c>
      <c r="S66" t="n">
        <v>50</v>
      </c>
      <c r="T66" t="n">
        <v>2</v>
      </c>
      <c r="U66" t="inlineStr"/>
      <c r="V66" t="inlineStr">
        <is>
          <t>Тариф с завтраком</t>
        </is>
      </c>
      <c r="W66" t="n">
        <v>77137.5</v>
      </c>
      <c r="X66" s="3" t="n">
        <v>13612.5</v>
      </c>
      <c r="Y66" t="inlineStr">
        <is>
          <t>15%</t>
        </is>
      </c>
      <c r="Z66" t="inlineStr">
        <is>
          <t>Не распределена по датам</t>
        </is>
      </c>
      <c r="AA66" s="3" t="n">
        <v>77137.5</v>
      </c>
      <c r="AB66" t="inlineStr">
        <is>
          <t>Сошлось по ночным тарифам</t>
        </is>
      </c>
      <c r="AC66" s="2" t="inlineStr"/>
      <c r="AD66" t="n">
        <v>0</v>
      </c>
      <c r="AE66" t="n">
        <v>0</v>
      </c>
      <c r="AF66" t="inlineStr">
        <is>
          <t>Частичный период: дата агрегированной скидки не определена; скидка не добавлена к базе</t>
        </is>
      </c>
      <c r="AG66" t="n">
        <v>31747.5</v>
      </c>
      <c r="AH66" t="n">
        <v>31747.5</v>
      </c>
      <c r="AI66" t="inlineStr">
        <is>
          <t>Частичное проживание распределено по dailyRates; скидка без даты не восстановлена</t>
        </is>
      </c>
    </row>
    <row r="67">
      <c r="A67" t="inlineStr">
        <is>
          <t>20260802-8186-429074020</t>
        </is>
      </c>
      <c r="B67" t="n">
        <v>1</v>
      </c>
      <c r="C67" s="2" t="inlineStr">
        <is>
          <t>АЛЕКСАНДР НИКОЛАЕВ, ИРИНА КРУПЧАТНИКОВА</t>
        </is>
      </c>
      <c r="D67" s="3" t="n">
        <v>56737.5</v>
      </c>
      <c r="E67" s="4" t="n">
        <v>20</v>
      </c>
      <c r="F67" t="inlineStr">
        <is>
          <t>ООО «Дубль Гис» (OTELLO) [Чайковский]</t>
        </is>
      </c>
      <c r="G67" s="3">
        <f>ROUND(D67/(100-E67)*100,2)</f>
        <v/>
      </c>
      <c r="H67" s="3" t="n">
        <v>0</v>
      </c>
      <c r="I67" s="3">
        <f>ROUND(IF(ISNUMBER(AG67),AG67,G67)+H67,2)</f>
        <v/>
      </c>
      <c r="J67" s="2" t="inlineStr">
        <is>
          <t>Завтрак "Шведский стол"</t>
        </is>
      </c>
      <c r="K67" s="5" t="n">
        <v>46236.58333333334</v>
      </c>
      <c r="L67" t="n">
        <v>5</v>
      </c>
      <c r="M67" s="3">
        <f>I67/L67</f>
        <v/>
      </c>
      <c r="N67">
        <f>IF(M67&gt;=5100,"ставка","мин.ставка")</f>
        <v/>
      </c>
      <c r="O67" s="3">
        <f>ROUND(IF(N67="мин.ставка",L67*100,I67/102*2),2)</f>
        <v/>
      </c>
      <c r="P67" s="5" t="n">
        <v>46241.5</v>
      </c>
      <c r="Q67" t="inlineStr">
        <is>
          <t>TravelLine OL2</t>
        </is>
      </c>
      <c r="R67" s="2" t="inlineStr">
        <is>
          <t>СТАНДАРТНЫЙ ДВУХМЕСТНЫЙ НОМЕР</t>
        </is>
      </c>
      <c r="S67" t="n">
        <v>33</v>
      </c>
      <c r="T67" t="n">
        <v>1</v>
      </c>
      <c r="U67" t="inlineStr"/>
      <c r="V67" t="inlineStr">
        <is>
          <t>Тариф с завтраком</t>
        </is>
      </c>
      <c r="W67" t="n">
        <v>113475</v>
      </c>
      <c r="X67" s="3" t="n">
        <v>10012.5</v>
      </c>
      <c r="Y67" t="inlineStr">
        <is>
          <t>15%</t>
        </is>
      </c>
      <c r="Z67" t="inlineStr">
        <is>
          <t>2026-08-02, 2026-08-03, 2026-08-04, 2026-08-05, 2026-08-06</t>
        </is>
      </c>
      <c r="AA67" s="3" t="n">
        <v>56737.5</v>
      </c>
      <c r="AB67" t="inlineStr">
        <is>
          <t>Сошлось по ночным тарифам</t>
        </is>
      </c>
      <c r="AC67" s="2" t="inlineStr"/>
      <c r="AD67" t="n">
        <v>10012.5</v>
      </c>
      <c r="AE67" t="n">
        <v>0</v>
      </c>
      <c r="AF67" t="inlineStr">
        <is>
          <t>Скидка добавлена к налоговой базе</t>
        </is>
      </c>
      <c r="AG67" t="n">
        <v>66750</v>
      </c>
      <c r="AH67" t="n">
        <v>56737.5</v>
      </c>
      <c r="AI67" t="inlineStr">
        <is>
          <t>Полное проживание в выбранном периоде</t>
        </is>
      </c>
    </row>
    <row r="68">
      <c r="A68" t="inlineStr">
        <is>
          <t>20260920-8186-431075302</t>
        </is>
      </c>
      <c r="B68" t="n">
        <v>1</v>
      </c>
      <c r="C68" s="2" t="inlineStr">
        <is>
          <t>Александр Платицын</t>
        </is>
      </c>
      <c r="D68" s="3" t="n">
        <v>30800</v>
      </c>
      <c r="E68" s="4" t="n">
        <v>18</v>
      </c>
      <c r="F68" t="inlineStr">
        <is>
          <t>Яндекс.Путешествия [Чайковский]</t>
        </is>
      </c>
      <c r="G68" s="3">
        <f>ROUND(D68/(100-E68)*100,2)</f>
        <v/>
      </c>
      <c r="H68" s="3" t="n">
        <v>0</v>
      </c>
      <c r="I68" s="3">
        <f>ROUND(IF(ISNUMBER(AG68),AG68,G68)+H68,2)</f>
        <v/>
      </c>
      <c r="J68" s="2" t="inlineStr">
        <is>
          <t>Завтрак "Шведский стол"</t>
        </is>
      </c>
      <c r="K68" s="5" t="n">
        <v>46285.58333333334</v>
      </c>
      <c r="L68" t="n">
        <v>5</v>
      </c>
      <c r="M68" s="3">
        <f>I68/L68</f>
        <v/>
      </c>
      <c r="N68">
        <f>IF(M68&gt;=5100,"ставка","мин.ставка")</f>
        <v/>
      </c>
      <c r="O68" s="3">
        <f>ROUND(IF(N68="мин.ставка",L68*100,I68/102*2),2)</f>
        <v/>
      </c>
      <c r="P68" s="5" t="n">
        <v>46290.5</v>
      </c>
      <c r="Q68" t="inlineStr">
        <is>
          <t>TravelLine YAX</t>
        </is>
      </c>
      <c r="R68" s="2" t="inlineStr">
        <is>
          <t>СТАНДАРТНЫЙ ОДНОМЕСТНЫЙ НОМЕР</t>
        </is>
      </c>
      <c r="S68" t="n">
        <v>24</v>
      </c>
      <c r="T68" t="n">
        <v>1</v>
      </c>
      <c r="U68" t="inlineStr"/>
      <c r="V68" t="inlineStr">
        <is>
          <t>Тариф с завтраком</t>
        </is>
      </c>
      <c r="W68" t="n">
        <v>30800</v>
      </c>
      <c r="X68" s="3" t="n">
        <v>7700</v>
      </c>
      <c r="Y68" t="inlineStr">
        <is>
          <t>20%</t>
        </is>
      </c>
      <c r="Z68" t="inlineStr">
        <is>
          <t>2026-09-20, 2026-09-21, 2026-09-22, 2026-09-23, 2026-09-24</t>
        </is>
      </c>
      <c r="AA68" s="3" t="n">
        <v>30800</v>
      </c>
      <c r="AB68" t="inlineStr">
        <is>
          <t>Сошлось по ночным тарифам</t>
        </is>
      </c>
      <c r="AC68" s="2" t="inlineStr"/>
      <c r="AD68" t="n">
        <v>7700</v>
      </c>
      <c r="AE68" t="n">
        <v>0</v>
      </c>
      <c r="AF68" t="inlineStr">
        <is>
          <t>Скидка добавлена к налоговой базе</t>
        </is>
      </c>
      <c r="AG68" t="n">
        <v>38500</v>
      </c>
      <c r="AH68" t="n">
        <v>30800</v>
      </c>
      <c r="AI68" t="inlineStr">
        <is>
          <t>Полное проживание в выбранном периоде</t>
        </is>
      </c>
    </row>
    <row r="69">
      <c r="A69" t="inlineStr">
        <is>
          <t>20260831-8186-461884701</t>
        </is>
      </c>
      <c r="B69" t="n">
        <v>1</v>
      </c>
      <c r="C69" s="2" t="inlineStr">
        <is>
          <t>Александр Преснецов, Елизавета Скрябикова</t>
        </is>
      </c>
      <c r="D69" s="3" t="n">
        <v>27556</v>
      </c>
      <c r="E69" s="4" t="n">
        <v>18</v>
      </c>
      <c r="F69" t="inlineStr">
        <is>
          <t>Яндекс.Путешествия [Чайковский]</t>
        </is>
      </c>
      <c r="G69" s="3">
        <f>ROUND(D69/(100-E69)*100,2)</f>
        <v/>
      </c>
      <c r="H69" s="3" t="n">
        <v>0</v>
      </c>
      <c r="I69" s="3">
        <f>ROUND(IF(ISNUMBER(AG69),AG69,G69)+H69,2)</f>
        <v/>
      </c>
      <c r="J69" s="2" t="inlineStr">
        <is>
          <t>Завтрак "Шведский стол"</t>
        </is>
      </c>
      <c r="K69" s="5" t="n">
        <v>46265.58333333334</v>
      </c>
      <c r="L69" t="n">
        <v>2</v>
      </c>
      <c r="M69" s="3">
        <f>I69/L69</f>
        <v/>
      </c>
      <c r="N69">
        <f>IF(M69&gt;=5100,"ставка","мин.ставка")</f>
        <v/>
      </c>
      <c r="O69" s="3">
        <f>ROUND(IF(N69="мин.ставка",L69*100,I69/102*2),2)</f>
        <v/>
      </c>
      <c r="P69" s="5" t="n">
        <v>46267.5</v>
      </c>
      <c r="Q69" t="inlineStr">
        <is>
          <t>TravelLine YAX</t>
        </is>
      </c>
      <c r="R69" s="2" t="inlineStr">
        <is>
          <t>ЛЮКС ВТОРОЙ КОРПУС</t>
        </is>
      </c>
      <c r="S69" t="n">
        <v>57</v>
      </c>
      <c r="T69" t="n">
        <v>2</v>
      </c>
      <c r="U69" t="inlineStr"/>
      <c r="V69" t="inlineStr">
        <is>
          <t>Тариф с завтраком</t>
        </is>
      </c>
      <c r="W69" t="n">
        <v>27556</v>
      </c>
      <c r="X69" s="3" t="n">
        <v>5644</v>
      </c>
      <c r="Y69" t="inlineStr">
        <is>
          <t>17%</t>
        </is>
      </c>
      <c r="Z69" t="inlineStr">
        <is>
          <t>Не распределена по датам</t>
        </is>
      </c>
      <c r="AA69" s="3" t="n">
        <v>27556</v>
      </c>
      <c r="AB69" t="inlineStr">
        <is>
          <t>Сошлось по ночным тарифам</t>
        </is>
      </c>
      <c r="AC69" s="2" t="inlineStr"/>
      <c r="AD69" t="n">
        <v>5644</v>
      </c>
      <c r="AE69" t="n">
        <v>0</v>
      </c>
      <c r="AF69" t="inlineStr">
        <is>
          <t>Скидка добавлена к налоговой базе</t>
        </is>
      </c>
      <c r="AG69" t="n">
        <v>33200</v>
      </c>
      <c r="AH69" t="n">
        <v>27556</v>
      </c>
      <c r="AI69" t="inlineStr">
        <is>
          <t>Полное проживание в выбранном периоде</t>
        </is>
      </c>
    </row>
    <row r="70">
      <c r="A70" t="inlineStr">
        <is>
          <t>20260802-8186-438830698</t>
        </is>
      </c>
      <c r="B70" t="n">
        <v>1</v>
      </c>
      <c r="C70" s="2" t="inlineStr">
        <is>
          <t>АЛЕКСАНДР ПРОСКУРНИН, СЕРГЕЙ ПРОСКУРНИН</t>
        </is>
      </c>
      <c r="D70" s="3" t="n">
        <v>68085</v>
      </c>
      <c r="E70" s="4" t="n">
        <v>0</v>
      </c>
      <c r="F70" t="inlineStr">
        <is>
          <t>ООО "АЛЕАН ОТДЫХ" [Чайковский]</t>
        </is>
      </c>
      <c r="G70" s="3">
        <f>ROUND(D70/(100-E70)*100,2)</f>
        <v/>
      </c>
      <c r="H70" s="3" t="n">
        <v>0</v>
      </c>
      <c r="I70" s="3">
        <f>ROUND(IF(ISNUMBER(AG70),AG70,G70)+H70,2)</f>
        <v/>
      </c>
      <c r="J70" s="2" t="inlineStr">
        <is>
          <t>meal_bf_buffet_1; meal_bf_buffet_1; Завтрак "Шведский стол"</t>
        </is>
      </c>
      <c r="K70" s="5" t="n">
        <v>46236.58333333334</v>
      </c>
      <c r="L70" t="n">
        <v>6</v>
      </c>
      <c r="M70" s="3">
        <f>I70/L70</f>
        <v/>
      </c>
      <c r="N70">
        <f>IF(M70&gt;=5100,"ставка","мин.ставка")</f>
        <v/>
      </c>
      <c r="O70" s="3">
        <f>ROUND(IF(N70="мин.ставка",L70*100,I70/102*2),2)</f>
        <v/>
      </c>
      <c r="P70" s="5" t="n">
        <v>46242.5</v>
      </c>
      <c r="Q70" t="inlineStr">
        <is>
          <t>TravelLine ALN</t>
        </is>
      </c>
      <c r="R70" s="2" t="inlineStr">
        <is>
          <t>СТАНДАРТНЫЙ ДВУХМЕСТНЫЙ НОМЕР</t>
        </is>
      </c>
      <c r="S70" t="n">
        <v>44</v>
      </c>
      <c r="T70" t="n">
        <v>1</v>
      </c>
      <c r="U70" t="inlineStr"/>
      <c r="V70" t="inlineStr">
        <is>
          <t>Тариф с завтраком</t>
        </is>
      </c>
      <c r="W70" t="n">
        <v>68085</v>
      </c>
      <c r="X70" s="3" t="n">
        <v>12015</v>
      </c>
      <c r="Y70" t="inlineStr">
        <is>
          <t>15%</t>
        </is>
      </c>
      <c r="Z70" t="inlineStr">
        <is>
          <t>2026-08-02, 2026-08-03, 2026-08-04, 2026-08-05, 2026-08-06, 2026-08-07</t>
        </is>
      </c>
      <c r="AA70" s="3" t="n">
        <v>68085</v>
      </c>
      <c r="AB70" t="inlineStr">
        <is>
          <t>Сошлось по ночным тарифам</t>
        </is>
      </c>
      <c r="AC70" s="2" t="inlineStr"/>
      <c r="AD70" t="n">
        <v>12015</v>
      </c>
      <c r="AE70" t="n">
        <v>0</v>
      </c>
      <c r="AF70" t="inlineStr">
        <is>
          <t>Скидка добавлена к налоговой базе</t>
        </is>
      </c>
      <c r="AG70" t="n">
        <v>80100</v>
      </c>
      <c r="AH70" t="n">
        <v>68085</v>
      </c>
      <c r="AI70" t="inlineStr">
        <is>
          <t>Полное проживание в выбранном периоде</t>
        </is>
      </c>
    </row>
    <row r="71">
      <c r="A71" t="inlineStr">
        <is>
          <t>20260805-8186-451886641</t>
        </is>
      </c>
      <c r="B71" t="n">
        <v>1</v>
      </c>
      <c r="C71" s="2" t="inlineStr">
        <is>
          <t>Александр Семенов, Ирина Сергеева</t>
        </is>
      </c>
      <c r="D71" s="3" t="n">
        <v>11120</v>
      </c>
      <c r="E71" s="4" t="n">
        <v>18</v>
      </c>
      <c r="F71" t="inlineStr">
        <is>
          <t>Яндекс.Путешествия [Чайковский]</t>
        </is>
      </c>
      <c r="G71" s="3">
        <f>ROUND(D71/(100-E71)*100,2)</f>
        <v/>
      </c>
      <c r="H71" s="3" t="n">
        <v>0</v>
      </c>
      <c r="I71" s="3">
        <f>ROUND(IF(ISNUMBER(AG71),AG71,G71)+H71,2)</f>
        <v/>
      </c>
      <c r="J71" s="2" t="inlineStr"/>
      <c r="K71" s="5" t="n">
        <v>46239.58333333334</v>
      </c>
      <c r="L71" t="n">
        <v>1</v>
      </c>
      <c r="M71" s="3">
        <f>I71/L71</f>
        <v/>
      </c>
      <c r="N71">
        <f>IF(M71&gt;=5100,"ставка","мин.ставка")</f>
        <v/>
      </c>
      <c r="O71" s="3">
        <f>ROUND(IF(N71="мин.ставка",L71*100,I71/102*2),2)</f>
        <v/>
      </c>
      <c r="P71" s="5" t="n">
        <v>46240.5</v>
      </c>
      <c r="Q71" t="inlineStr">
        <is>
          <t>TravelLine YAX</t>
        </is>
      </c>
      <c r="R71" s="2" t="inlineStr">
        <is>
          <t>УЛУЧШЕННЫЙ ДВУХМЕСТНЫЙ НОМЕР</t>
        </is>
      </c>
      <c r="S71" t="n">
        <v>56</v>
      </c>
      <c r="T71" t="n">
        <v>2</v>
      </c>
      <c r="U71" t="inlineStr"/>
      <c r="V71" t="inlineStr">
        <is>
          <t>Основной тариф без завтрака</t>
        </is>
      </c>
      <c r="W71" t="n">
        <v>11120</v>
      </c>
      <c r="X71" s="3" t="n">
        <v>2780</v>
      </c>
      <c r="Y71" t="inlineStr">
        <is>
          <t>20%</t>
        </is>
      </c>
      <c r="Z71" t="inlineStr">
        <is>
          <t>2026-08-05</t>
        </is>
      </c>
      <c r="AA71" s="3" t="n">
        <v>11120</v>
      </c>
      <c r="AB71" t="inlineStr">
        <is>
          <t>Сошлось по ночным тарифам</t>
        </is>
      </c>
      <c r="AC71" s="2" t="inlineStr"/>
      <c r="AD71" t="n">
        <v>2780</v>
      </c>
      <c r="AE71" t="n">
        <v>0</v>
      </c>
      <c r="AF71" t="inlineStr">
        <is>
          <t>Скидка добавлена к налоговой базе</t>
        </is>
      </c>
      <c r="AG71" t="n">
        <v>13900</v>
      </c>
      <c r="AH71" t="n">
        <v>11120</v>
      </c>
      <c r="AI71" t="inlineStr">
        <is>
          <t>Полное проживание в выбранном периоде</t>
        </is>
      </c>
    </row>
    <row r="72">
      <c r="A72" t="inlineStr">
        <is>
          <t>20260714-8186-449199681</t>
        </is>
      </c>
      <c r="B72" t="n">
        <v>1</v>
      </c>
      <c r="C72" s="2" t="inlineStr">
        <is>
          <t>Александр Соломкин</t>
        </is>
      </c>
      <c r="D72" s="3" t="n">
        <v>18160</v>
      </c>
      <c r="E72" s="4" t="n">
        <v>20</v>
      </c>
      <c r="F72" t="inlineStr">
        <is>
          <t>ООО "КОМПАНИЯ БРОНЕВИК" [Чайковский]</t>
        </is>
      </c>
      <c r="G72" s="3">
        <f>ROUND(D72/(100-E72)*100,2)</f>
        <v/>
      </c>
      <c r="H72" s="3" t="n">
        <v>0</v>
      </c>
      <c r="I72" s="3">
        <f>ROUND(IF(ISNUMBER(AG72),AG72,G72)+H72,2)</f>
        <v/>
      </c>
      <c r="J72" s="2" t="inlineStr">
        <is>
          <t>Завтрак "Шведский стол"</t>
        </is>
      </c>
      <c r="K72" s="5" t="n">
        <v>46217.58333333334</v>
      </c>
      <c r="L72" t="n">
        <v>2</v>
      </c>
      <c r="M72" s="3">
        <f>I72/L72</f>
        <v/>
      </c>
      <c r="N72">
        <f>IF(M72&gt;=5100,"ставка","мин.ставка")</f>
        <v/>
      </c>
      <c r="O72" s="3">
        <f>ROUND(IF(N72="мин.ставка",L72*100,I72/102*2),2)</f>
        <v/>
      </c>
      <c r="P72" s="5" t="n">
        <v>46219.5</v>
      </c>
      <c r="Q72" t="inlineStr">
        <is>
          <t>TravelLine BR2</t>
        </is>
      </c>
      <c r="R72" s="2" t="inlineStr">
        <is>
          <t>СЕМЕЙНЫЙ НОМЕР КАТЕГОРИИ "СТАНДАРТ" ВТОРОЙ КОРПУС</t>
        </is>
      </c>
      <c r="S72" t="n">
        <v>50</v>
      </c>
      <c r="T72" t="n">
        <v>2</v>
      </c>
      <c r="U72" t="inlineStr"/>
      <c r="V72" t="inlineStr">
        <is>
          <t>Тариф с завтраком</t>
        </is>
      </c>
      <c r="W72" t="n">
        <v>18160</v>
      </c>
      <c r="X72" s="3" t="n">
        <v>0</v>
      </c>
      <c r="Y72" t="inlineStr"/>
      <c r="Z72" t="inlineStr"/>
      <c r="AA72" s="3" t="n">
        <v>18160</v>
      </c>
      <c r="AB72" t="inlineStr">
        <is>
          <t>Сошлось по ночным тарифам</t>
        </is>
      </c>
      <c r="AC72" s="2" t="inlineStr"/>
      <c r="AD72" t="n">
        <v>0</v>
      </c>
      <c r="AE72" t="n">
        <v>0</v>
      </c>
      <c r="AF72" t="inlineStr">
        <is>
          <t>Скидки нет</t>
        </is>
      </c>
      <c r="AG72" t="n">
        <v>18160</v>
      </c>
      <c r="AH72" t="n">
        <v>18160</v>
      </c>
      <c r="AI72" t="inlineStr">
        <is>
          <t>Полное проживание в выбранном периоде</t>
        </is>
      </c>
    </row>
    <row r="73">
      <c r="A73" t="inlineStr">
        <is>
          <t>20260724-8186-412232961</t>
        </is>
      </c>
      <c r="B73" t="n">
        <v>1</v>
      </c>
      <c r="C73" s="2" t="inlineStr">
        <is>
          <t>АЛЕКСАНДР СПИРИДОНОВ, МАРЬЯНА СПИРИДОНОВА</t>
        </is>
      </c>
      <c r="D73" s="3" t="n">
        <v>25245</v>
      </c>
      <c r="E73" s="4" t="n">
        <v>15</v>
      </c>
      <c r="F73" t="inlineStr">
        <is>
          <t>ООО "АКАДЕМ-ОНЛАЙН" [Чайковский]</t>
        </is>
      </c>
      <c r="G73" s="3">
        <f>ROUND(D73/(100-E73)*100,2)</f>
        <v/>
      </c>
      <c r="H73" s="3" t="n">
        <v>0</v>
      </c>
      <c r="I73" s="3">
        <f>ROUND(IF(ISNUMBER(AG73),AG73,G73)+H73,2)</f>
        <v/>
      </c>
      <c r="J73" s="2" t="inlineStr">
        <is>
          <t>Завтрак "Шведский стол"</t>
        </is>
      </c>
      <c r="K73" s="5" t="n">
        <v>46227.58333333334</v>
      </c>
      <c r="L73" t="n">
        <v>3</v>
      </c>
      <c r="M73" s="3">
        <f>I73/L73</f>
        <v/>
      </c>
      <c r="N73">
        <f>IF(M73&gt;=5100,"ставка","мин.ставка")</f>
        <v/>
      </c>
      <c r="O73" s="3">
        <f>ROUND(IF(N73="мин.ставка",L73*100,I73/102*2),2)</f>
        <v/>
      </c>
      <c r="P73" s="5" t="n">
        <v>46230.5</v>
      </c>
      <c r="Q73" t="inlineStr">
        <is>
          <t>TravelLine ACS</t>
        </is>
      </c>
      <c r="R73" s="2" t="inlineStr">
        <is>
          <t>СТАНДАРТНЫЙ ДВУХМЕСТНЫЙ НОМЕР (МАНСАРДА)</t>
        </is>
      </c>
      <c r="S73" t="n">
        <v>47</v>
      </c>
      <c r="T73" t="n">
        <v>1</v>
      </c>
      <c r="U73" t="inlineStr"/>
      <c r="V73" t="inlineStr">
        <is>
          <t>Тариф с завтраком</t>
        </is>
      </c>
      <c r="W73" t="n">
        <v>25245</v>
      </c>
      <c r="X73" s="3" t="n">
        <v>4455</v>
      </c>
      <c r="Y73" t="inlineStr">
        <is>
          <t>15%</t>
        </is>
      </c>
      <c r="Z73" t="inlineStr">
        <is>
          <t>2026-07-24, 2026-07-25, 2026-07-26</t>
        </is>
      </c>
      <c r="AA73" s="3" t="n">
        <v>25245</v>
      </c>
      <c r="AB73" t="inlineStr">
        <is>
          <t>Сошлось по ночным тарифам</t>
        </is>
      </c>
      <c r="AC73" s="2" t="inlineStr"/>
      <c r="AD73" t="n">
        <v>4455</v>
      </c>
      <c r="AE73" t="n">
        <v>0</v>
      </c>
      <c r="AF73" t="inlineStr">
        <is>
          <t>Скидка добавлена к налоговой базе</t>
        </is>
      </c>
      <c r="AG73" t="n">
        <v>29700</v>
      </c>
      <c r="AH73" t="n">
        <v>25245</v>
      </c>
      <c r="AI73" t="inlineStr">
        <is>
          <t>Полное проживание в выбранном периоде</t>
        </is>
      </c>
    </row>
    <row r="74">
      <c r="A74" t="inlineStr">
        <is>
          <t>20260827-8186-461925646</t>
        </is>
      </c>
      <c r="B74" t="n">
        <v>1</v>
      </c>
      <c r="C74" s="2" t="inlineStr">
        <is>
          <t>Александр Утюжников, Инна Утюжникова</t>
        </is>
      </c>
      <c r="D74" s="3" t="n">
        <v>11080.5</v>
      </c>
      <c r="E74" s="4" t="n">
        <v>17</v>
      </c>
      <c r="F74" t="inlineStr">
        <is>
          <t>ООО «Интернет Трэвел» (OZON) [Чайковский]</t>
        </is>
      </c>
      <c r="G74" s="3">
        <f>ROUND(D74/(100-E74)*100,2)</f>
        <v/>
      </c>
      <c r="H74" s="3" t="n">
        <v>0</v>
      </c>
      <c r="I74" s="3">
        <f>ROUND(IF(ISNUMBER(AG74),AG74,G74)+H74,2)</f>
        <v/>
      </c>
      <c r="J74" s="2" t="inlineStr">
        <is>
          <t>Завтрак "Шведский стол"</t>
        </is>
      </c>
      <c r="K74" s="5" t="n">
        <v>46261.58333333334</v>
      </c>
      <c r="L74" t="n">
        <v>1</v>
      </c>
      <c r="M74" s="3">
        <f>I74/L74</f>
        <v/>
      </c>
      <c r="N74">
        <f>IF(M74&gt;=5100,"ставка","мин.ставка")</f>
        <v/>
      </c>
      <c r="O74" s="3">
        <f>ROUND(IF(N74="мин.ставка",L74*100,I74/102*2),2)</f>
        <v/>
      </c>
      <c r="P74" s="5" t="n">
        <v>46262.5</v>
      </c>
      <c r="Q74" t="inlineStr">
        <is>
          <t>TravelLine OZ2</t>
        </is>
      </c>
      <c r="R74" s="2" t="inlineStr">
        <is>
          <t>ПОЛУЛЮКС</t>
        </is>
      </c>
      <c r="S74" t="n">
        <v>25</v>
      </c>
      <c r="T74" t="n">
        <v>1</v>
      </c>
      <c r="U74" t="inlineStr"/>
      <c r="V74" t="inlineStr">
        <is>
          <t>Тариф с завтраком</t>
        </is>
      </c>
      <c r="W74" t="n">
        <v>11080.5</v>
      </c>
      <c r="X74" s="3" t="n">
        <v>2269.5</v>
      </c>
      <c r="Y74" t="inlineStr">
        <is>
          <t>17%</t>
        </is>
      </c>
      <c r="Z74" t="inlineStr">
        <is>
          <t>2026-08-27</t>
        </is>
      </c>
      <c r="AA74" s="3" t="n">
        <v>11080.5</v>
      </c>
      <c r="AB74" t="inlineStr">
        <is>
          <t>Сошлось по ночным тарифам</t>
        </is>
      </c>
      <c r="AC74" s="2" t="inlineStr"/>
      <c r="AD74" t="n">
        <v>2269.5</v>
      </c>
      <c r="AE74" t="n">
        <v>0</v>
      </c>
      <c r="AF74" t="inlineStr">
        <is>
          <t>Скидка добавлена к налоговой базе</t>
        </is>
      </c>
      <c r="AG74" t="n">
        <v>13350</v>
      </c>
      <c r="AH74" t="n">
        <v>11080.5</v>
      </c>
      <c r="AI74" t="inlineStr">
        <is>
          <t>Полное проживание в выбранном периоде</t>
        </is>
      </c>
    </row>
    <row r="75">
      <c r="A75" t="inlineStr">
        <is>
          <t>20260801-8186-439320336</t>
        </is>
      </c>
      <c r="B75" t="n">
        <v>1</v>
      </c>
      <c r="C75" s="2" t="inlineStr">
        <is>
          <t>АЛЕКСАНДР ЯСТРЕБОВ, Ирина Ястребова</t>
        </is>
      </c>
      <c r="D75" s="3" t="n">
        <v>25564</v>
      </c>
      <c r="E75" s="4" t="n">
        <v>20</v>
      </c>
      <c r="F75" t="inlineStr">
        <is>
          <t>ООО «Дубль Гис» (OTELLO) [Чайковский]</t>
        </is>
      </c>
      <c r="G75" s="3">
        <f>ROUND(D75/(100-E75)*100,2)</f>
        <v/>
      </c>
      <c r="H75" s="3" t="n">
        <v>0</v>
      </c>
      <c r="I75" s="3">
        <f>ROUND(IF(ISNUMBER(AG75),AG75,G75)+H75,2)</f>
        <v/>
      </c>
      <c r="J75" s="2" t="inlineStr">
        <is>
          <t>Завтрак "Шведский стол"</t>
        </is>
      </c>
      <c r="K75" s="5" t="n">
        <v>46235.58333333334</v>
      </c>
      <c r="L75" t="n">
        <v>2</v>
      </c>
      <c r="M75" s="3">
        <f>I75/L75</f>
        <v/>
      </c>
      <c r="N75">
        <f>IF(M75&gt;=5100,"ставка","мин.ставка")</f>
        <v/>
      </c>
      <c r="O75" s="3">
        <f>ROUND(IF(N75="мин.ставка",L75*100,I75/102*2),2)</f>
        <v/>
      </c>
      <c r="P75" s="5" t="n">
        <v>46237.5</v>
      </c>
      <c r="Q75" t="inlineStr">
        <is>
          <t>TravelLine OL2</t>
        </is>
      </c>
      <c r="R75" s="2" t="inlineStr">
        <is>
          <t>УЛУЧШЕННЫЙ ДВУХМЕСТНЫЙ НОМЕР</t>
        </is>
      </c>
      <c r="S75" t="n">
        <v>21</v>
      </c>
      <c r="T75" t="n">
        <v>1</v>
      </c>
      <c r="U75" t="inlineStr"/>
      <c r="V75" t="inlineStr">
        <is>
          <t>Тариф с завтраком</t>
        </is>
      </c>
      <c r="W75" t="n">
        <v>25564</v>
      </c>
      <c r="X75" s="3" t="n">
        <v>5236</v>
      </c>
      <c r="Y75" t="inlineStr">
        <is>
          <t>17%</t>
        </is>
      </c>
      <c r="Z75" t="inlineStr">
        <is>
          <t>2026-08-01, 2026-08-02</t>
        </is>
      </c>
      <c r="AA75" s="3" t="n">
        <v>25564</v>
      </c>
      <c r="AB75" t="inlineStr">
        <is>
          <t>Сошлось по ночным тарифам</t>
        </is>
      </c>
      <c r="AC75" s="2" t="inlineStr"/>
      <c r="AD75" t="n">
        <v>5236</v>
      </c>
      <c r="AE75" t="n">
        <v>0</v>
      </c>
      <c r="AF75" t="inlineStr">
        <is>
          <t>Скидка добавлена к налоговой базе</t>
        </is>
      </c>
      <c r="AG75" t="n">
        <v>30800</v>
      </c>
      <c r="AH75" t="n">
        <v>25564</v>
      </c>
      <c r="AI75" t="inlineStr">
        <is>
          <t>Полное проживание в выбранном периоде</t>
        </is>
      </c>
    </row>
    <row r="76">
      <c r="A76" t="inlineStr">
        <is>
          <t>20260801-8186-432117189</t>
        </is>
      </c>
      <c r="B76" t="n">
        <v>1</v>
      </c>
      <c r="C76" s="2" t="inlineStr">
        <is>
          <t>АЛЕКСАНДРА ЕМЕЛЬЯНЕНКО, ИЛЬЯ ФАДЕЕНКО</t>
        </is>
      </c>
      <c r="D76" s="3" t="n">
        <v>16500</v>
      </c>
      <c r="E76" s="4" t="n">
        <v>0</v>
      </c>
      <c r="F76" t="inlineStr">
        <is>
          <t>Прямые бронирования (стойка) [Чайковский]</t>
        </is>
      </c>
      <c r="G76" s="3">
        <f>ROUND(D76/(100-E76)*100,2)</f>
        <v/>
      </c>
      <c r="H76" s="3" t="n">
        <v>0</v>
      </c>
      <c r="I76" s="3">
        <f>ROUND(IF(ISNUMBER(AG76),AG76,G76)+H76,2)</f>
        <v/>
      </c>
      <c r="J76" s="2" t="inlineStr">
        <is>
          <t>Завтрак "Шведский стол"</t>
        </is>
      </c>
      <c r="K76" s="5" t="n">
        <v>46235.58333333334</v>
      </c>
      <c r="L76" t="n">
        <v>1</v>
      </c>
      <c r="M76" s="3">
        <f>I76/L76</f>
        <v/>
      </c>
      <c r="N76">
        <f>IF(M76&gt;=5100,"ставка","мин.ставка")</f>
        <v/>
      </c>
      <c r="O76" s="3">
        <f>ROUND(IF(N76="мин.ставка",L76*100,I76/102*2),2)</f>
        <v/>
      </c>
      <c r="P76" s="5" t="n">
        <v>46236.5</v>
      </c>
      <c r="Q76" t="inlineStr">
        <is>
          <t>TravelLine ресепшен</t>
        </is>
      </c>
      <c r="R76" s="2" t="inlineStr">
        <is>
          <t>ПОЛУЛЮКС</t>
        </is>
      </c>
      <c r="S76" t="n">
        <v>35</v>
      </c>
      <c r="T76" t="n">
        <v>1</v>
      </c>
      <c r="U76" t="inlineStr"/>
      <c r="V76" t="inlineStr">
        <is>
          <t>Тариф с завтраком</t>
        </is>
      </c>
      <c r="W76" t="n">
        <v>16500</v>
      </c>
      <c r="X76" s="3" t="n">
        <v>0</v>
      </c>
      <c r="Y76" t="inlineStr"/>
      <c r="Z76" t="inlineStr"/>
      <c r="AA76" s="3" t="n">
        <v>16500</v>
      </c>
      <c r="AB76" t="inlineStr">
        <is>
          <t>Сошлось по ночным тарифам</t>
        </is>
      </c>
      <c r="AC76" s="2" t="inlineStr"/>
      <c r="AD76" t="n">
        <v>0</v>
      </c>
      <c r="AE76" t="n">
        <v>0</v>
      </c>
      <c r="AF76" t="inlineStr">
        <is>
          <t>Скидки нет</t>
        </is>
      </c>
      <c r="AG76" t="n">
        <v>16500</v>
      </c>
      <c r="AH76" t="n">
        <v>16500</v>
      </c>
      <c r="AI76" t="inlineStr">
        <is>
          <t>Полное проживание в выбранном периоде</t>
        </is>
      </c>
    </row>
    <row r="77">
      <c r="A77" t="inlineStr">
        <is>
          <t>20260711-8186-439345595</t>
        </is>
      </c>
      <c r="B77" t="n">
        <v>1</v>
      </c>
      <c r="C77" s="2" t="inlineStr">
        <is>
          <t>Александра Заруднева</t>
        </is>
      </c>
      <c r="D77" s="3" t="n">
        <v>32160</v>
      </c>
      <c r="E77" s="4" t="n">
        <v>18</v>
      </c>
      <c r="F77" t="inlineStr">
        <is>
          <t>Яндекс.Путешествия [Чайковский]</t>
        </is>
      </c>
      <c r="G77" s="3">
        <f>ROUND(D77/(100-E77)*100,2)</f>
        <v/>
      </c>
      <c r="H77" s="3" t="n">
        <v>0</v>
      </c>
      <c r="I77" s="3">
        <f>ROUND(IF(ISNUMBER(AG77),AG77,G77)+H77,2)</f>
        <v/>
      </c>
      <c r="J77" s="2" t="inlineStr">
        <is>
          <t>Завтрак "Шведский стол"</t>
        </is>
      </c>
      <c r="K77" s="5" t="n">
        <v>46214.58333333334</v>
      </c>
      <c r="L77" t="n">
        <v>3</v>
      </c>
      <c r="M77" s="3">
        <f>I77/L77</f>
        <v/>
      </c>
      <c r="N77">
        <f>IF(M77&gt;=5100,"ставка","мин.ставка")</f>
        <v/>
      </c>
      <c r="O77" s="3">
        <f>ROUND(IF(N77="мин.ставка",L77*100,I77/102*2),2)</f>
        <v/>
      </c>
      <c r="P77" s="5" t="n">
        <v>46217.5</v>
      </c>
      <c r="Q77" t="inlineStr">
        <is>
          <t>TravelLine YAX</t>
        </is>
      </c>
      <c r="R77" s="2" t="inlineStr">
        <is>
          <t>ПОЛУЛЮКС</t>
        </is>
      </c>
      <c r="S77" t="n">
        <v>11</v>
      </c>
      <c r="T77" t="n">
        <v>1</v>
      </c>
      <c r="U77" t="inlineStr"/>
      <c r="V77" t="inlineStr">
        <is>
          <t>Тариф с завтраком</t>
        </is>
      </c>
      <c r="W77" t="n">
        <v>32160</v>
      </c>
      <c r="X77" s="3" t="n">
        <v>8040</v>
      </c>
      <c r="Y77" t="inlineStr">
        <is>
          <t>20%</t>
        </is>
      </c>
      <c r="Z77" t="inlineStr">
        <is>
          <t>2026-07-11, 2026-07-12, 2026-07-13</t>
        </is>
      </c>
      <c r="AA77" s="3" t="n">
        <v>32160</v>
      </c>
      <c r="AB77" t="inlineStr">
        <is>
          <t>Сошлось по ночным тарифам</t>
        </is>
      </c>
      <c r="AC77" s="2" t="inlineStr"/>
      <c r="AD77" t="n">
        <v>8040</v>
      </c>
      <c r="AE77" t="n">
        <v>0</v>
      </c>
      <c r="AF77" t="inlineStr">
        <is>
          <t>Скидка добавлена к налоговой базе</t>
        </is>
      </c>
      <c r="AG77" t="n">
        <v>40200</v>
      </c>
      <c r="AH77" t="n">
        <v>32160</v>
      </c>
      <c r="AI77" t="inlineStr">
        <is>
          <t>Полное проживание в выбранном периоде</t>
        </is>
      </c>
    </row>
    <row r="78">
      <c r="A78" t="inlineStr">
        <is>
          <t>20260714-8186-449058458</t>
        </is>
      </c>
      <c r="B78" t="n">
        <v>1</v>
      </c>
      <c r="C78" s="2" t="inlineStr">
        <is>
          <t>Александра Краковская</t>
        </is>
      </c>
      <c r="D78" s="3" t="n">
        <v>6160</v>
      </c>
      <c r="E78" s="4" t="n">
        <v>20</v>
      </c>
      <c r="F78" t="inlineStr">
        <is>
          <t>ООО "КОМПАНИЯ БРОНЕВИК" [Чайковский]</t>
        </is>
      </c>
      <c r="G78" s="3">
        <f>ROUND(D78/(100-E78)*100,2)</f>
        <v/>
      </c>
      <c r="H78" s="3" t="n">
        <v>0</v>
      </c>
      <c r="I78" s="3">
        <f>ROUND(IF(ISNUMBER(AG78),AG78,G78)+H78,2)</f>
        <v/>
      </c>
      <c r="J78" s="2" t="inlineStr">
        <is>
          <t>Завтрак "Шведский стол"</t>
        </is>
      </c>
      <c r="K78" s="5" t="n">
        <v>46217.58333333334</v>
      </c>
      <c r="L78" t="n">
        <v>1</v>
      </c>
      <c r="M78" s="3">
        <f>I78/L78</f>
        <v/>
      </c>
      <c r="N78">
        <f>IF(M78&gt;=5100,"ставка","мин.ставка")</f>
        <v/>
      </c>
      <c r="O78" s="3">
        <f>ROUND(IF(N78="мин.ставка",L78*100,I78/102*2),2)</f>
        <v/>
      </c>
      <c r="P78" s="5" t="n">
        <v>46218.5</v>
      </c>
      <c r="Q78" t="inlineStr">
        <is>
          <t>TravelLine BR2</t>
        </is>
      </c>
      <c r="R78" s="2" t="inlineStr">
        <is>
          <t>СТАНДАРТНЫЙ ОДНОМЕСТНЫЙ НОМЕР</t>
        </is>
      </c>
      <c r="S78" t="n">
        <v>34</v>
      </c>
      <c r="T78" t="n">
        <v>1</v>
      </c>
      <c r="U78" t="inlineStr"/>
      <c r="V78" t="inlineStr">
        <is>
          <t>Тариф с завтраком</t>
        </is>
      </c>
      <c r="W78" t="n">
        <v>6160</v>
      </c>
      <c r="X78" s="3" t="n">
        <v>0</v>
      </c>
      <c r="Y78" t="inlineStr"/>
      <c r="Z78" t="inlineStr"/>
      <c r="AA78" s="3" t="n">
        <v>6160</v>
      </c>
      <c r="AB78" t="inlineStr">
        <is>
          <t>Сошлось по ночным тарифам</t>
        </is>
      </c>
      <c r="AC78" s="2" t="inlineStr"/>
      <c r="AD78" t="n">
        <v>0</v>
      </c>
      <c r="AE78" t="n">
        <v>0</v>
      </c>
      <c r="AF78" t="inlineStr">
        <is>
          <t>Скидки нет</t>
        </is>
      </c>
      <c r="AG78" t="n">
        <v>6160</v>
      </c>
      <c r="AH78" t="n">
        <v>6160</v>
      </c>
      <c r="AI78" t="inlineStr">
        <is>
          <t>Полное проживание в выбранном периоде</t>
        </is>
      </c>
    </row>
    <row r="79">
      <c r="A79" t="inlineStr">
        <is>
          <t>20260808-8186-449681859</t>
        </is>
      </c>
      <c r="B79" t="n">
        <v>1</v>
      </c>
      <c r="C79" s="2" t="inlineStr">
        <is>
          <t>Александра Крафт</t>
        </is>
      </c>
      <c r="D79" s="3" t="n">
        <v>13430</v>
      </c>
      <c r="E79" s="4" t="n">
        <v>16</v>
      </c>
      <c r="F79" t="inlineStr">
        <is>
          <t>ООО "БРОНИРОВАНИЕ ГОСТИНИЦ" (OSTROVOK) [Чайковский]</t>
        </is>
      </c>
      <c r="G79" s="3">
        <f>ROUND(D79/(100-E79)*100,2)</f>
        <v/>
      </c>
      <c r="H79" s="3" t="n">
        <v>0</v>
      </c>
      <c r="I79" s="3">
        <f>ROUND(IF(ISNUMBER(AG79),AG79,G79)+H79,2)</f>
        <v/>
      </c>
      <c r="J79" s="2" t="inlineStr">
        <is>
          <t>Завтрак "Шведский стол"</t>
        </is>
      </c>
      <c r="K79" s="5" t="n">
        <v>46242.58333333334</v>
      </c>
      <c r="L79" t="n">
        <v>1</v>
      </c>
      <c r="M79" s="3">
        <f>I79/L79</f>
        <v/>
      </c>
      <c r="N79">
        <f>IF(M79&gt;=5100,"ставка","мин.ставка")</f>
        <v/>
      </c>
      <c r="O79" s="3">
        <f>ROUND(IF(N79="мин.ставка",L79*100,I79/102*2),2)</f>
        <v/>
      </c>
      <c r="P79" s="5" t="n">
        <v>46243.5</v>
      </c>
      <c r="Q79" t="inlineStr">
        <is>
          <t>TravelLine OTK</t>
        </is>
      </c>
      <c r="R79" s="2" t="inlineStr">
        <is>
          <t>ЛЮКС ВТОРОЙ КОРПУС</t>
        </is>
      </c>
      <c r="S79" t="n">
        <v>54</v>
      </c>
      <c r="T79" t="n">
        <v>2</v>
      </c>
      <c r="U79" t="inlineStr"/>
      <c r="V79" t="inlineStr">
        <is>
          <t>Тариф с завтраком</t>
        </is>
      </c>
      <c r="W79" t="n">
        <v>13430</v>
      </c>
      <c r="X79" s="3" t="n">
        <v>2370</v>
      </c>
      <c r="Y79" t="inlineStr">
        <is>
          <t>15%</t>
        </is>
      </c>
      <c r="Z79" t="inlineStr">
        <is>
          <t>2026-08-08</t>
        </is>
      </c>
      <c r="AA79" s="3" t="n">
        <v>13430</v>
      </c>
      <c r="AB79" t="inlineStr">
        <is>
          <t>Сошлось по ночным тарифам</t>
        </is>
      </c>
      <c r="AC79" s="2" t="inlineStr"/>
      <c r="AD79" t="n">
        <v>2370</v>
      </c>
      <c r="AE79" t="n">
        <v>0</v>
      </c>
      <c r="AF79" t="inlineStr">
        <is>
          <t>Скидка добавлена к налоговой базе</t>
        </is>
      </c>
      <c r="AG79" t="n">
        <v>15800</v>
      </c>
      <c r="AH79" t="n">
        <v>13430</v>
      </c>
      <c r="AI79" t="inlineStr">
        <is>
          <t>Полное проживание в выбранном периоде</t>
        </is>
      </c>
    </row>
    <row r="80">
      <c r="A80" t="inlineStr">
        <is>
          <t>20260801-8186-427298055</t>
        </is>
      </c>
      <c r="B80" t="n">
        <v>1</v>
      </c>
      <c r="C80" s="2" t="inlineStr">
        <is>
          <t>Александра Пилипенко</t>
        </is>
      </c>
      <c r="D80" s="3" t="n">
        <v>79279.75</v>
      </c>
      <c r="E80" s="4" t="n">
        <v>4</v>
      </c>
      <c r="F80" t="inlineStr">
        <is>
          <t>TravelLine Booking Engine [Чайковский]</t>
        </is>
      </c>
      <c r="G80" s="3">
        <f>ROUND(D80/(100-E80)*100,2)</f>
        <v/>
      </c>
      <c r="H80" s="3" t="n">
        <v>0</v>
      </c>
      <c r="I80" s="3">
        <f>ROUND(IF(ISNUMBER(AG80),AG80,G80)+H80,2)</f>
        <v/>
      </c>
      <c r="J80" s="2" t="inlineStr">
        <is>
          <t>Завтрак "Шведский стол"</t>
        </is>
      </c>
      <c r="K80" s="5" t="n">
        <v>46235.58333333334</v>
      </c>
      <c r="L80" t="n">
        <v>7</v>
      </c>
      <c r="M80" s="3">
        <f>I80/L80</f>
        <v/>
      </c>
      <c r="N80">
        <f>IF(M80&gt;=5100,"ставка","мин.ставка")</f>
        <v/>
      </c>
      <c r="O80" s="3">
        <f>ROUND(IF(N80="мин.ставка",L80*100,I80/102*2),2)</f>
        <v/>
      </c>
      <c r="P80" s="5" t="n">
        <v>46242.5</v>
      </c>
      <c r="Q80" t="inlineStr">
        <is>
          <t>TravelLine сайт</t>
        </is>
      </c>
      <c r="R80" s="2" t="inlineStr">
        <is>
          <t>СТАНДАРТНЫЙ ДВУХМЕСТНЫЙ НОМЕР</t>
        </is>
      </c>
      <c r="S80" t="n">
        <v>26</v>
      </c>
      <c r="T80" t="n">
        <v>1</v>
      </c>
      <c r="U80" t="inlineStr"/>
      <c r="V80" t="inlineStr">
        <is>
          <t>Тариф с завтраком</t>
        </is>
      </c>
      <c r="W80" t="n">
        <v>79279.75</v>
      </c>
      <c r="X80" s="3" t="n">
        <v>170.25</v>
      </c>
      <c r="Y80" t="inlineStr">
        <is>
          <t>1.5%</t>
        </is>
      </c>
      <c r="Z80" t="inlineStr">
        <is>
          <t>2026-08-01</t>
        </is>
      </c>
      <c r="AA80" s="3" t="n">
        <v>79279.75</v>
      </c>
      <c r="AB80" t="inlineStr">
        <is>
          <t>Сошлось по ночным тарифам</t>
        </is>
      </c>
      <c r="AC80" s="2" t="inlineStr"/>
      <c r="AD80" t="n">
        <v>170.25</v>
      </c>
      <c r="AE80" t="n">
        <v>0</v>
      </c>
      <c r="AF80" t="inlineStr">
        <is>
          <t>Скидка добавлена к налоговой базе</t>
        </is>
      </c>
      <c r="AG80" t="n">
        <v>79450</v>
      </c>
      <c r="AH80" t="n">
        <v>79279.75</v>
      </c>
      <c r="AI80" t="inlineStr">
        <is>
          <t>Полное проживание в выбранном периоде</t>
        </is>
      </c>
    </row>
    <row r="81">
      <c r="A81" t="inlineStr">
        <is>
          <t>20260924-8186-468296119</t>
        </is>
      </c>
      <c r="B81" t="n">
        <v>1</v>
      </c>
      <c r="C81" s="2" t="inlineStr">
        <is>
          <t>Александра Реброва</t>
        </is>
      </c>
      <c r="D81" s="3" t="n">
        <v>9702.25</v>
      </c>
      <c r="E81" s="4" t="n">
        <v>4</v>
      </c>
      <c r="F81" t="inlineStr">
        <is>
          <t>TravelLine Booking Engine [Чайковский]</t>
        </is>
      </c>
      <c r="G81" s="3">
        <f>ROUND(D81/(100-E81)*100,2)</f>
        <v/>
      </c>
      <c r="H81" s="3" t="n">
        <v>0</v>
      </c>
      <c r="I81" s="3">
        <f>ROUND(IF(ISNUMBER(AG81),AG81,G81)+H81,2)</f>
        <v/>
      </c>
      <c r="J81" s="2" t="inlineStr"/>
      <c r="K81" s="5" t="n">
        <v>46289.66666666666</v>
      </c>
      <c r="L81" t="n">
        <v>1</v>
      </c>
      <c r="M81" s="3">
        <f>I81/L81</f>
        <v/>
      </c>
      <c r="N81">
        <f>IF(M81&gt;=5100,"ставка","мин.ставка")</f>
        <v/>
      </c>
      <c r="O81" s="3">
        <f>ROUND(IF(N81="мин.ставка",L81*100,I81/102*2),2)</f>
        <v/>
      </c>
      <c r="P81" s="5" t="n">
        <v>46290.5</v>
      </c>
      <c r="Q81" t="inlineStr">
        <is>
          <t>TravelLine сайт</t>
        </is>
      </c>
      <c r="R81" s="2" t="inlineStr">
        <is>
          <t>СТАНДАРТНЫЙ ДВУХМЕСТНЫЙ НОМЕР</t>
        </is>
      </c>
      <c r="S81" t="n">
        <v>52</v>
      </c>
      <c r="T81" t="n">
        <v>2</v>
      </c>
      <c r="U81" t="inlineStr"/>
      <c r="V81" t="inlineStr">
        <is>
          <t>Основной тариф без завтрака</t>
        </is>
      </c>
      <c r="W81" t="n">
        <v>9702.25</v>
      </c>
      <c r="X81" s="3" t="n">
        <v>147.75</v>
      </c>
      <c r="Y81" t="inlineStr">
        <is>
          <t>1.5%</t>
        </is>
      </c>
      <c r="Z81" t="inlineStr">
        <is>
          <t>2026-09-24</t>
        </is>
      </c>
      <c r="AA81" s="3" t="n">
        <v>9702.25</v>
      </c>
      <c r="AB81" t="inlineStr">
        <is>
          <t>Сошлось по ночным тарифам</t>
        </is>
      </c>
      <c r="AC81" s="2" t="inlineStr"/>
      <c r="AD81" t="n">
        <v>147.75</v>
      </c>
      <c r="AE81" t="n">
        <v>0</v>
      </c>
      <c r="AF81" t="inlineStr">
        <is>
          <t>Скидка добавлена к налоговой базе</t>
        </is>
      </c>
      <c r="AG81" t="n">
        <v>9850</v>
      </c>
      <c r="AH81" t="n">
        <v>9702.25</v>
      </c>
      <c r="AI81" t="inlineStr">
        <is>
          <t>Полное проживание в выбранном периоде</t>
        </is>
      </c>
    </row>
    <row r="82">
      <c r="A82" t="inlineStr">
        <is>
          <t>20260725-8186-413407903</t>
        </is>
      </c>
      <c r="B82" t="n">
        <v>1</v>
      </c>
      <c r="C82" s="2" t="inlineStr">
        <is>
          <t>Александра Шевелева</t>
        </is>
      </c>
      <c r="D82" s="3" t="n">
        <v>53661.3</v>
      </c>
      <c r="E82" s="4" t="n">
        <v>4</v>
      </c>
      <c r="F82" t="inlineStr">
        <is>
          <t>TravelLine Booking Engine [Чайковский]</t>
        </is>
      </c>
      <c r="G82" s="3">
        <f>ROUND(D82/(100-E82)*100,2)</f>
        <v/>
      </c>
      <c r="H82" s="3" t="n">
        <v>0</v>
      </c>
      <c r="I82" s="3">
        <f>ROUND(IF(ISNUMBER(AG82),AG82,G82)+H82,2)</f>
        <v/>
      </c>
      <c r="J82" s="2" t="inlineStr">
        <is>
          <t>Завтрак "Шведский стол"</t>
        </is>
      </c>
      <c r="K82" s="5" t="n">
        <v>46228.66666666666</v>
      </c>
      <c r="L82" t="n">
        <v>7</v>
      </c>
      <c r="M82" s="3">
        <f>I82/L82</f>
        <v/>
      </c>
      <c r="N82">
        <f>IF(M82&gt;=5100,"ставка","мин.ставка")</f>
        <v/>
      </c>
      <c r="O82" s="3">
        <f>ROUND(IF(N82="мин.ставка",L82*100,I82/102*2),2)</f>
        <v/>
      </c>
      <c r="P82" s="5" t="n">
        <v>46235.375</v>
      </c>
      <c r="Q82" t="inlineStr">
        <is>
          <t>TravelLine сайт</t>
        </is>
      </c>
      <c r="R82" s="2" t="inlineStr">
        <is>
          <t>СТАНДАРТНЫЙ ОДНОМЕСТНЫЙ НОМЕР</t>
        </is>
      </c>
      <c r="S82" t="n">
        <v>24</v>
      </c>
      <c r="T82" t="n">
        <v>1</v>
      </c>
      <c r="U82" t="inlineStr"/>
      <c r="V82" t="inlineStr">
        <is>
          <t>Тариф с завтраком</t>
        </is>
      </c>
      <c r="W82" t="n">
        <v>53661.3</v>
      </c>
      <c r="X82" s="3" t="n">
        <v>238.7</v>
      </c>
      <c r="Y82" t="inlineStr">
        <is>
          <t>3.1%</t>
        </is>
      </c>
      <c r="Z82" t="inlineStr">
        <is>
          <t>2026-07-25</t>
        </is>
      </c>
      <c r="AA82" s="3" t="n">
        <v>53661.3</v>
      </c>
      <c r="AB82" t="inlineStr">
        <is>
          <t>Сошлось по ночным тарифам</t>
        </is>
      </c>
      <c r="AC82" s="2" t="inlineStr"/>
      <c r="AD82" t="n">
        <v>238.7</v>
      </c>
      <c r="AE82" t="n">
        <v>0</v>
      </c>
      <c r="AF82" t="inlineStr">
        <is>
          <t>Скидка добавлена к налоговой базе</t>
        </is>
      </c>
      <c r="AG82" t="n">
        <v>53900</v>
      </c>
      <c r="AH82" t="n">
        <v>53661.3</v>
      </c>
      <c r="AI82" t="inlineStr">
        <is>
          <t>Полное проживание в выбранном периоде</t>
        </is>
      </c>
    </row>
    <row r="83">
      <c r="A83" t="inlineStr">
        <is>
          <t>20260909-8186-464877594</t>
        </is>
      </c>
      <c r="B83" t="n">
        <v>1</v>
      </c>
      <c r="C83" s="2" t="inlineStr">
        <is>
          <t>Алексей Анисимов</t>
        </is>
      </c>
      <c r="D83" s="3" t="n">
        <v>13050</v>
      </c>
      <c r="E83" s="4" t="n">
        <v>0</v>
      </c>
      <c r="F83" t="inlineStr">
        <is>
          <t>Прямые бронирования (стойка) [Чайковский]</t>
        </is>
      </c>
      <c r="G83" s="3">
        <f>ROUND(D83/(100-E83)*100,2)</f>
        <v/>
      </c>
      <c r="H83" s="3" t="n">
        <v>0</v>
      </c>
      <c r="I83" s="3">
        <f>ROUND(IF(ISNUMBER(AG83),AG83,G83)+H83,2)</f>
        <v/>
      </c>
      <c r="J83" s="2" t="inlineStr">
        <is>
          <t>Завтрак "Шведский стол"</t>
        </is>
      </c>
      <c r="K83" s="5" t="n">
        <v>46274.58333333334</v>
      </c>
      <c r="L83" t="n">
        <v>1</v>
      </c>
      <c r="M83" s="3">
        <f>I83/L83</f>
        <v/>
      </c>
      <c r="N83">
        <f>IF(M83&gt;=5100,"ставка","мин.ставка")</f>
        <v/>
      </c>
      <c r="O83" s="3">
        <f>ROUND(IF(N83="мин.ставка",L83*100,I83/102*2),2)</f>
        <v/>
      </c>
      <c r="P83" s="5" t="n">
        <v>46275.5</v>
      </c>
      <c r="Q83" t="inlineStr">
        <is>
          <t>TravelLine ресепшен</t>
        </is>
      </c>
      <c r="R83" s="2" t="inlineStr">
        <is>
          <t>ПОЛУЛЮКС</t>
        </is>
      </c>
      <c r="S83" t="n">
        <v>25</v>
      </c>
      <c r="T83" t="n">
        <v>1</v>
      </c>
      <c r="U83" t="inlineStr"/>
      <c r="V83" t="inlineStr">
        <is>
          <t>Тариф с завтраком</t>
        </is>
      </c>
      <c r="W83" t="n">
        <v>13050</v>
      </c>
      <c r="X83" s="3" t="n">
        <v>1450</v>
      </c>
      <c r="Y83" t="inlineStr">
        <is>
          <t>10%</t>
        </is>
      </c>
      <c r="Z83" t="inlineStr">
        <is>
          <t>2026-09-09</t>
        </is>
      </c>
      <c r="AA83" s="3" t="n">
        <v>13050</v>
      </c>
      <c r="AB83" t="inlineStr">
        <is>
          <t>Сошлось по ночным тарифам</t>
        </is>
      </c>
      <c r="AC83" s="2" t="inlineStr"/>
      <c r="AD83" t="n">
        <v>1450</v>
      </c>
      <c r="AE83" t="n">
        <v>0</v>
      </c>
      <c r="AF83" t="inlineStr">
        <is>
          <t>Скидка добавлена к налоговой базе</t>
        </is>
      </c>
      <c r="AG83" t="n">
        <v>14500</v>
      </c>
      <c r="AH83" t="n">
        <v>13050</v>
      </c>
      <c r="AI83" t="inlineStr">
        <is>
          <t>Полное проживание в выбранном периоде</t>
        </is>
      </c>
    </row>
    <row r="84">
      <c r="A84" t="inlineStr">
        <is>
          <t>20260921-8186-446871466</t>
        </is>
      </c>
      <c r="B84" t="n">
        <v>1</v>
      </c>
      <c r="C84" s="2" t="inlineStr">
        <is>
          <t>Алексей Бавтрукевич</t>
        </is>
      </c>
      <c r="D84" s="3" t="n">
        <v>31481.5</v>
      </c>
      <c r="E84" s="4" t="n">
        <v>4</v>
      </c>
      <c r="F84" t="inlineStr">
        <is>
          <t>TravelLine Booking Engine [Чайковский]</t>
        </is>
      </c>
      <c r="G84" s="3">
        <f>ROUND(D84/(100-E84)*100,2)</f>
        <v/>
      </c>
      <c r="H84" s="3" t="n">
        <v>0</v>
      </c>
      <c r="I84" s="3">
        <f>ROUND(IF(ISNUMBER(AG84),AG84,G84)+H84,2)</f>
        <v/>
      </c>
      <c r="J84" s="2" t="inlineStr">
        <is>
          <t>Завтрак "Шведский стол"</t>
        </is>
      </c>
      <c r="K84" s="5" t="n">
        <v>46286.58333333334</v>
      </c>
      <c r="L84" t="n">
        <v>4</v>
      </c>
      <c r="M84" s="3">
        <f>I84/L84</f>
        <v/>
      </c>
      <c r="N84">
        <f>IF(M84&gt;=5100,"ставка","мин.ставка")</f>
        <v/>
      </c>
      <c r="O84" s="3">
        <f>ROUND(IF(N84="мин.ставка",L84*100,I84/102*2),2)</f>
        <v/>
      </c>
      <c r="P84" s="5" t="n">
        <v>46290.5</v>
      </c>
      <c r="Q84" t="inlineStr">
        <is>
          <t>TravelLine сайт</t>
        </is>
      </c>
      <c r="R84" s="2" t="inlineStr">
        <is>
          <t>СТАНДАРТНЫЙ ДВУХМЕСТНЫЙ НОМЕР (МАНСАРДА)</t>
        </is>
      </c>
      <c r="S84" t="n">
        <v>45</v>
      </c>
      <c r="T84" t="n">
        <v>1</v>
      </c>
      <c r="U84" t="inlineStr"/>
      <c r="V84" t="inlineStr">
        <is>
          <t>Тариф с завтраком</t>
        </is>
      </c>
      <c r="W84" t="n">
        <v>31481.5</v>
      </c>
      <c r="X84" s="3" t="n">
        <v>118.5</v>
      </c>
      <c r="Y84" t="inlineStr">
        <is>
          <t>1.5%</t>
        </is>
      </c>
      <c r="Z84" t="inlineStr">
        <is>
          <t>2026-09-21</t>
        </is>
      </c>
      <c r="AA84" s="3" t="n">
        <v>31481.5</v>
      </c>
      <c r="AB84" t="inlineStr">
        <is>
          <t>Сошлось по ночным тарифам</t>
        </is>
      </c>
      <c r="AC84" s="2" t="inlineStr"/>
      <c r="AD84" t="n">
        <v>118.5</v>
      </c>
      <c r="AE84" t="n">
        <v>0</v>
      </c>
      <c r="AF84" t="inlineStr">
        <is>
          <t>Скидка добавлена к налоговой базе</t>
        </is>
      </c>
      <c r="AG84" t="n">
        <v>31600</v>
      </c>
      <c r="AH84" t="n">
        <v>31481.5</v>
      </c>
      <c r="AI84" t="inlineStr">
        <is>
          <t>Полное проживание в выбранном периоде</t>
        </is>
      </c>
    </row>
    <row r="85">
      <c r="A85" t="inlineStr">
        <is>
          <t>20260918-8186-411171666</t>
        </is>
      </c>
      <c r="B85" t="n">
        <v>1</v>
      </c>
      <c r="C85" s="2" t="inlineStr">
        <is>
          <t>Алексей Бобров, Мария Боброва</t>
        </is>
      </c>
      <c r="D85" s="3" t="n">
        <v>16830</v>
      </c>
      <c r="E85" s="4" t="n">
        <v>15</v>
      </c>
      <c r="F85" t="inlineStr">
        <is>
          <t>ООО Тинькофф Путешествия [Чайковский]</t>
        </is>
      </c>
      <c r="G85" s="3">
        <f>ROUND(D85/(100-E85)*100,2)</f>
        <v/>
      </c>
      <c r="H85" s="3" t="n">
        <v>0</v>
      </c>
      <c r="I85" s="3">
        <f>ROUND(IF(ISNUMBER(AG85),AG85,G85)+H85,2)</f>
        <v/>
      </c>
      <c r="J85" s="2" t="inlineStr">
        <is>
          <t>Завтрак "Шведский стол"</t>
        </is>
      </c>
      <c r="K85" s="5" t="n">
        <v>46283.91666666666</v>
      </c>
      <c r="L85" t="n">
        <v>2</v>
      </c>
      <c r="M85" s="3">
        <f>I85/L85</f>
        <v/>
      </c>
      <c r="N85">
        <f>IF(M85&gt;=5100,"ставка","мин.ставка")</f>
        <v/>
      </c>
      <c r="O85" s="3">
        <f>ROUND(IF(N85="мин.ставка",L85*100,I85/102*2),2)</f>
        <v/>
      </c>
      <c r="P85" s="5" t="n">
        <v>46285.5</v>
      </c>
      <c r="Q85" t="inlineStr">
        <is>
          <t>TravelLine TNK</t>
        </is>
      </c>
      <c r="R85" s="2" t="inlineStr">
        <is>
          <t>СТАНДАРТНЫЙ ДВУХМЕСТНЫЙ НОМЕР (МАНСАРДА)</t>
        </is>
      </c>
      <c r="S85" t="n">
        <v>41</v>
      </c>
      <c r="T85" t="n">
        <v>1</v>
      </c>
      <c r="U85" t="inlineStr"/>
      <c r="V85" t="inlineStr">
        <is>
          <t>Тариф с завтраком</t>
        </is>
      </c>
      <c r="W85" t="n">
        <v>16830</v>
      </c>
      <c r="X85" s="3" t="n">
        <v>2970</v>
      </c>
      <c r="Y85" t="inlineStr">
        <is>
          <t>15%</t>
        </is>
      </c>
      <c r="Z85" t="inlineStr">
        <is>
          <t>2026-09-18, 2026-09-19</t>
        </is>
      </c>
      <c r="AA85" s="3" t="n">
        <v>16830</v>
      </c>
      <c r="AB85" t="inlineStr">
        <is>
          <t>Сошлось по ночным тарифам</t>
        </is>
      </c>
      <c r="AC85" s="2" t="inlineStr"/>
      <c r="AD85" t="n">
        <v>2970</v>
      </c>
      <c r="AE85" t="n">
        <v>0</v>
      </c>
      <c r="AF85" t="inlineStr">
        <is>
          <t>Скидка добавлена к налоговой базе</t>
        </is>
      </c>
      <c r="AG85" t="n">
        <v>19800</v>
      </c>
      <c r="AH85" t="n">
        <v>16830</v>
      </c>
      <c r="AI85" t="inlineStr">
        <is>
          <t>Полное проживание в выбранном периоде</t>
        </is>
      </c>
    </row>
    <row r="86">
      <c r="A86" t="inlineStr">
        <is>
          <t>20260905-8186-463872786</t>
        </is>
      </c>
      <c r="B86" t="n">
        <v>1</v>
      </c>
      <c r="C86" s="2" t="inlineStr">
        <is>
          <t>Алексей Буланцев, Алла Гейслер</t>
        </is>
      </c>
      <c r="D86" s="3" t="n">
        <v>10012.5</v>
      </c>
      <c r="E86" s="4" t="n">
        <v>18</v>
      </c>
      <c r="F86" t="inlineStr">
        <is>
          <t>Яндекс.Путешествия [Чайковский]</t>
        </is>
      </c>
      <c r="G86" s="3">
        <f>ROUND(D86/(100-E86)*100,2)</f>
        <v/>
      </c>
      <c r="H86" s="3" t="n">
        <v>0</v>
      </c>
      <c r="I86" s="3">
        <f>ROUND(IF(ISNUMBER(AG86),AG86,G86)+H86,2)</f>
        <v/>
      </c>
      <c r="J86" s="2" t="inlineStr">
        <is>
          <t>Завтрак "Шведский стол"</t>
        </is>
      </c>
      <c r="K86" s="5" t="n">
        <v>46270.58333333334</v>
      </c>
      <c r="L86" t="n">
        <v>1</v>
      </c>
      <c r="M86" s="3">
        <f>I86/L86</f>
        <v/>
      </c>
      <c r="N86">
        <f>IF(M86&gt;=5100,"ставка","мин.ставка")</f>
        <v/>
      </c>
      <c r="O86" s="3">
        <f>ROUND(IF(N86="мин.ставка",L86*100,I86/102*2),2)</f>
        <v/>
      </c>
      <c r="P86" s="5" t="n">
        <v>46271.5</v>
      </c>
      <c r="Q86" t="inlineStr">
        <is>
          <t>TravelLine YAX</t>
        </is>
      </c>
      <c r="R86" s="2" t="inlineStr">
        <is>
          <t>СТАНДАРТНЫЙ ДВУХМЕСТНЫЙ НОМЕР</t>
        </is>
      </c>
      <c r="S86" t="n">
        <v>26</v>
      </c>
      <c r="T86" t="n">
        <v>1</v>
      </c>
      <c r="U86" t="inlineStr"/>
      <c r="V86" t="inlineStr">
        <is>
          <t>Тариф с завтраком</t>
        </is>
      </c>
      <c r="W86" t="n">
        <v>10012.5</v>
      </c>
      <c r="X86" s="3" t="n">
        <v>3337.5</v>
      </c>
      <c r="Y86" t="inlineStr">
        <is>
          <t>25%</t>
        </is>
      </c>
      <c r="Z86" t="inlineStr">
        <is>
          <t>2026-09-05</t>
        </is>
      </c>
      <c r="AA86" s="3" t="n">
        <v>10012.5</v>
      </c>
      <c r="AB86" t="inlineStr">
        <is>
          <t>Сошлось по ночным тарифам</t>
        </is>
      </c>
      <c r="AC86" s="2" t="inlineStr"/>
      <c r="AD86" t="n">
        <v>3337.5</v>
      </c>
      <c r="AE86" t="n">
        <v>0</v>
      </c>
      <c r="AF86" t="inlineStr">
        <is>
          <t>Скидка добавлена к налоговой базе</t>
        </is>
      </c>
      <c r="AG86" t="n">
        <v>13350</v>
      </c>
      <c r="AH86" t="n">
        <v>10012.5</v>
      </c>
      <c r="AI86" t="inlineStr">
        <is>
          <t>Полное проживание в выбранном периоде</t>
        </is>
      </c>
    </row>
    <row r="87">
      <c r="A87" t="inlineStr">
        <is>
          <t>20260814-8186-445727724</t>
        </is>
      </c>
      <c r="B87" t="n">
        <v>1</v>
      </c>
      <c r="C87" s="2" t="inlineStr">
        <is>
          <t>Алексей Быков</t>
        </is>
      </c>
      <c r="D87" s="3" t="n">
        <v>86827.5</v>
      </c>
      <c r="E87" s="4" t="n">
        <v>16</v>
      </c>
      <c r="F87" t="inlineStr">
        <is>
          <t>ООО "БРОНИРОВАНИЕ ГОСТИНИЦ" (OSTROVOK) [Чайковский]</t>
        </is>
      </c>
      <c r="G87" s="3">
        <f>ROUND(D87/(100-E87)*100,2)</f>
        <v/>
      </c>
      <c r="H87" s="3" t="n">
        <v>0</v>
      </c>
      <c r="I87" s="3">
        <f>ROUND(IF(ISNUMBER(AG87),AG87,G87)+H87,2)</f>
        <v/>
      </c>
      <c r="J87" s="2" t="inlineStr">
        <is>
          <t>Завтрак "Шведский стол"</t>
        </is>
      </c>
      <c r="K87" s="5" t="n">
        <v>46249.58333333334</v>
      </c>
      <c r="L87" t="n">
        <v>9</v>
      </c>
      <c r="M87" s="3">
        <f>I87/L87</f>
        <v/>
      </c>
      <c r="N87">
        <f>IF(M87&gt;=5100,"ставка","мин.ставка")</f>
        <v/>
      </c>
      <c r="O87" s="3">
        <f>ROUND(IF(N87="мин.ставка",L87*100,I87/102*2),2)</f>
        <v/>
      </c>
      <c r="P87" s="5" t="n">
        <v>46258.5</v>
      </c>
      <c r="Q87" t="inlineStr">
        <is>
          <t>TravelLine OTK</t>
        </is>
      </c>
      <c r="R87" s="2" t="inlineStr">
        <is>
          <t>СТАНДАРТНЫЙ ДВУХМЕСТНЫЙ НОМЕР</t>
        </is>
      </c>
      <c r="S87" t="n">
        <v>32</v>
      </c>
      <c r="T87" t="n">
        <v>1</v>
      </c>
      <c r="U87" t="inlineStr"/>
      <c r="V87" t="inlineStr">
        <is>
          <t>Тариф с завтраком</t>
        </is>
      </c>
      <c r="W87" t="n">
        <v>86827.5</v>
      </c>
      <c r="X87" s="3" t="n">
        <v>15322.5</v>
      </c>
      <c r="Y87" t="inlineStr">
        <is>
          <t>15%</t>
        </is>
      </c>
      <c r="Z87" t="inlineStr">
        <is>
          <t>2026-08-15, 2026-08-16, 2026-08-17, 2026-08-18, 2026-08-19, 2026-08-20, 2026-08-21, 2026-08-22, 2026-08-23</t>
        </is>
      </c>
      <c r="AA87" s="3" t="n">
        <v>86827.5</v>
      </c>
      <c r="AB87" t="inlineStr">
        <is>
          <t>Сошлось по ночным тарифам</t>
        </is>
      </c>
      <c r="AC87" s="2" t="inlineStr"/>
      <c r="AD87" t="n">
        <v>15322.5</v>
      </c>
      <c r="AE87" t="n">
        <v>0</v>
      </c>
      <c r="AF87" t="inlineStr">
        <is>
          <t>Скидка добавлена к налоговой базе</t>
        </is>
      </c>
      <c r="AG87" t="n">
        <v>102150</v>
      </c>
      <c r="AH87" t="n">
        <v>86827.5</v>
      </c>
      <c r="AI87" t="inlineStr">
        <is>
          <t>Полное проживание в выбранном периоде</t>
        </is>
      </c>
    </row>
    <row r="88">
      <c r="A88" t="inlineStr">
        <is>
          <t>20260928-8186-468491445</t>
        </is>
      </c>
      <c r="B88" t="n">
        <v>1</v>
      </c>
      <c r="C88" s="2" t="inlineStr">
        <is>
          <t>Алексей Власов</t>
        </is>
      </c>
      <c r="D88" s="3" t="n">
        <v>27921</v>
      </c>
      <c r="E88" s="4" t="n">
        <v>18</v>
      </c>
      <c r="F88" t="inlineStr">
        <is>
          <t>ООО "Эй энд Эй" [Чайковский]</t>
        </is>
      </c>
      <c r="G88" s="3">
        <f>ROUND(D88/(100-E88)*100,2)</f>
        <v/>
      </c>
      <c r="H88" s="3" t="n">
        <v>0</v>
      </c>
      <c r="I88" s="3">
        <f>ROUND(IF(ISNUMBER(AG88),AG88,G88)+H88,2)</f>
        <v/>
      </c>
      <c r="J88" s="2" t="inlineStr">
        <is>
          <t>Завтрак "Шведский стол"</t>
        </is>
      </c>
      <c r="K88" s="5" t="n">
        <v>46293.58333333334</v>
      </c>
      <c r="L88" t="n">
        <v>3</v>
      </c>
      <c r="M88" s="3">
        <f>I88/L88</f>
        <v/>
      </c>
      <c r="N88">
        <f>IF(M88&gt;=5100,"ставка","мин.ставка")</f>
        <v/>
      </c>
      <c r="O88" s="3">
        <f>ROUND(IF(N88="мин.ставка",L88*100,I88/102*2),2)</f>
        <v/>
      </c>
      <c r="P88" s="5" t="n">
        <v>46296.5</v>
      </c>
      <c r="Q88" t="inlineStr">
        <is>
          <t>TravelLine ANA</t>
        </is>
      </c>
      <c r="R88" s="2" t="inlineStr">
        <is>
          <t>СТАНДАРТНЫЙ ДВУХМЕСТНЫЙ НОМЕР</t>
        </is>
      </c>
      <c r="S88" t="n">
        <v>58</v>
      </c>
      <c r="T88" t="n">
        <v>2</v>
      </c>
      <c r="U88" t="inlineStr"/>
      <c r="V88" t="inlineStr">
        <is>
          <t>Тариф с завтраком</t>
        </is>
      </c>
      <c r="W88" t="n">
        <v>27921</v>
      </c>
      <c r="X88" s="3" t="n">
        <v>6129</v>
      </c>
      <c r="Y88" t="inlineStr">
        <is>
          <t>18%</t>
        </is>
      </c>
      <c r="Z88" t="inlineStr">
        <is>
          <t>2026-09-28, 2026-09-29, 2026-09-30</t>
        </is>
      </c>
      <c r="AA88" s="3" t="n">
        <v>27921</v>
      </c>
      <c r="AB88" t="inlineStr">
        <is>
          <t>Сошлось по ночным тарифам</t>
        </is>
      </c>
      <c r="AC88" s="2" t="inlineStr"/>
      <c r="AD88" t="n">
        <v>6129</v>
      </c>
      <c r="AE88" t="n">
        <v>0</v>
      </c>
      <c r="AF88" t="inlineStr">
        <is>
          <t>Скидка добавлена к налоговой базе</t>
        </is>
      </c>
      <c r="AG88" t="n">
        <v>34050</v>
      </c>
      <c r="AH88" t="n">
        <v>27921</v>
      </c>
      <c r="AI88" t="inlineStr">
        <is>
          <t>Полное проживание в выбранном периоде</t>
        </is>
      </c>
    </row>
    <row r="89">
      <c r="A89" t="inlineStr">
        <is>
          <t>20260801-8186-451401822</t>
        </is>
      </c>
      <c r="B89" t="n">
        <v>1</v>
      </c>
      <c r="C89" s="2" t="inlineStr">
        <is>
          <t>Алексей Гладков, ОЛЬГА Михальченко</t>
        </is>
      </c>
      <c r="D89" s="3" t="n">
        <v>15840</v>
      </c>
      <c r="E89" s="4" t="n">
        <v>18</v>
      </c>
      <c r="F89" t="inlineStr">
        <is>
          <t>Яндекс.Путешествия [Чайковский]</t>
        </is>
      </c>
      <c r="G89" s="3">
        <f>ROUND(D89/(100-E89)*100,2)</f>
        <v/>
      </c>
      <c r="H89" s="3" t="n">
        <v>0</v>
      </c>
      <c r="I89" s="3">
        <f>ROUND(IF(ISNUMBER(AG89),AG89,G89)+H89,2)</f>
        <v/>
      </c>
      <c r="J89" s="2" t="inlineStr">
        <is>
          <t>Завтрак "Шведский стол"</t>
        </is>
      </c>
      <c r="K89" s="5" t="n">
        <v>46235.58333333334</v>
      </c>
      <c r="L89" t="n">
        <v>2</v>
      </c>
      <c r="M89" s="3">
        <f>I89/L89</f>
        <v/>
      </c>
      <c r="N89">
        <f>IF(M89&gt;=5100,"ставка","мин.ставка")</f>
        <v/>
      </c>
      <c r="O89" s="3">
        <f>ROUND(IF(N89="мин.ставка",L89*100,I89/102*2),2)</f>
        <v/>
      </c>
      <c r="P89" s="5" t="n">
        <v>46237.5</v>
      </c>
      <c r="Q89" t="inlineStr">
        <is>
          <t>TravelLine YAX</t>
        </is>
      </c>
      <c r="R89" s="2" t="inlineStr">
        <is>
          <t>СТАНДАРТНЫЙ ДВУХМЕСТНЫЙ НОМЕР (МАНСАРДА)</t>
        </is>
      </c>
      <c r="S89" t="n">
        <v>47</v>
      </c>
      <c r="T89" t="n">
        <v>1</v>
      </c>
      <c r="U89" t="inlineStr"/>
      <c r="V89" t="inlineStr">
        <is>
          <t>Тариф с завтраком</t>
        </is>
      </c>
      <c r="W89" t="n">
        <v>15840</v>
      </c>
      <c r="X89" s="3" t="n">
        <v>3960</v>
      </c>
      <c r="Y89" t="inlineStr">
        <is>
          <t>20%</t>
        </is>
      </c>
      <c r="Z89" t="inlineStr">
        <is>
          <t>2026-08-01, 2026-08-02</t>
        </is>
      </c>
      <c r="AA89" s="3" t="n">
        <v>15840</v>
      </c>
      <c r="AB89" t="inlineStr">
        <is>
          <t>Сошлось по ночным тарифам</t>
        </is>
      </c>
      <c r="AC89" s="2" t="inlineStr"/>
      <c r="AD89" t="n">
        <v>3960</v>
      </c>
      <c r="AE89" t="n">
        <v>0</v>
      </c>
      <c r="AF89" t="inlineStr">
        <is>
          <t>Скидка добавлена к налоговой базе</t>
        </is>
      </c>
      <c r="AG89" t="n">
        <v>19800</v>
      </c>
      <c r="AH89" t="n">
        <v>15840</v>
      </c>
      <c r="AI89" t="inlineStr">
        <is>
          <t>Полное проживание в выбранном периоде</t>
        </is>
      </c>
    </row>
    <row r="90">
      <c r="A90" t="inlineStr">
        <is>
          <t>20260708-8186-445371668</t>
        </is>
      </c>
      <c r="B90" t="n">
        <v>1</v>
      </c>
      <c r="C90" s="2" t="inlineStr">
        <is>
          <t>Алексей Грахов</t>
        </is>
      </c>
      <c r="D90" s="3" t="n">
        <v>19295</v>
      </c>
      <c r="E90" s="4" t="n">
        <v>15</v>
      </c>
      <c r="F90" t="inlineStr">
        <is>
          <t>ООО «СБО» (Ростелеком) [Чайковский]</t>
        </is>
      </c>
      <c r="G90" s="3">
        <f>ROUND(D90/(100-E90)*100,2)</f>
        <v/>
      </c>
      <c r="H90" s="3" t="n">
        <v>0</v>
      </c>
      <c r="I90" s="3">
        <f>ROUND(IF(ISNUMBER(AG90),AG90,G90)+H90,2)</f>
        <v/>
      </c>
      <c r="J90" s="2" t="inlineStr">
        <is>
          <t>Завтрак "Шведский стол"</t>
        </is>
      </c>
      <c r="K90" s="5" t="n">
        <v>46211.58333333334</v>
      </c>
      <c r="L90" t="n">
        <v>2</v>
      </c>
      <c r="M90" s="3">
        <f>I90/L90</f>
        <v/>
      </c>
      <c r="N90">
        <f>IF(M90&gt;=5100,"ставка","мин.ставка")</f>
        <v/>
      </c>
      <c r="O90" s="3">
        <f>ROUND(IF(N90="мин.ставка",L90*100,I90/102*2),2)</f>
        <v/>
      </c>
      <c r="P90" s="5" t="n">
        <v>46213.5</v>
      </c>
      <c r="Q90" t="inlineStr">
        <is>
          <t>TravelLine RTT</t>
        </is>
      </c>
      <c r="R90" s="2" t="inlineStr">
        <is>
          <t>СТАНДАРТНЫЙ ДВУХМЕСТНЫЙ НОМЕР</t>
        </is>
      </c>
      <c r="S90" t="n">
        <v>36</v>
      </c>
      <c r="T90" t="n">
        <v>1</v>
      </c>
      <c r="U90" t="inlineStr"/>
      <c r="V90" t="inlineStr">
        <is>
          <t>Тариф с завтраком</t>
        </is>
      </c>
      <c r="W90" t="n">
        <v>19295</v>
      </c>
      <c r="X90" s="3" t="n">
        <v>3405</v>
      </c>
      <c r="Y90" t="inlineStr">
        <is>
          <t>15%</t>
        </is>
      </c>
      <c r="Z90" t="inlineStr">
        <is>
          <t>2026-07-08, 2026-07-09</t>
        </is>
      </c>
      <c r="AA90" s="3" t="n">
        <v>19295</v>
      </c>
      <c r="AB90" t="inlineStr">
        <is>
          <t>Сошлось по ночным тарифам</t>
        </is>
      </c>
      <c r="AC90" s="2" t="inlineStr"/>
      <c r="AD90" t="n">
        <v>3405</v>
      </c>
      <c r="AE90" t="n">
        <v>0</v>
      </c>
      <c r="AF90" t="inlineStr">
        <is>
          <t>Скидка добавлена к налоговой базе</t>
        </is>
      </c>
      <c r="AG90" t="n">
        <v>22700</v>
      </c>
      <c r="AH90" t="n">
        <v>19295</v>
      </c>
      <c r="AI90" t="inlineStr">
        <is>
          <t>Полное проживание в выбранном периоде</t>
        </is>
      </c>
    </row>
    <row r="91">
      <c r="A91" t="inlineStr">
        <is>
          <t>20260715-8186-450339541</t>
        </is>
      </c>
      <c r="B91" t="n">
        <v>1</v>
      </c>
      <c r="C91" s="2" t="inlineStr">
        <is>
          <t>Алексей Дегтярёв, Екатерина Дегтярёва, Олеся Дегтярёва</t>
        </is>
      </c>
      <c r="D91" s="3" t="n">
        <v>13275.3</v>
      </c>
      <c r="E91" s="4" t="n">
        <v>4</v>
      </c>
      <c r="F91" t="inlineStr">
        <is>
          <t>TravelLine Booking Engine [Чайковский]</t>
        </is>
      </c>
      <c r="G91" s="3">
        <f>ROUND(D91/(100-E91)*100,2)</f>
        <v/>
      </c>
      <c r="H91" s="3" t="n">
        <v>0</v>
      </c>
      <c r="I91" s="3">
        <f>ROUND(IF(ISNUMBER(AG91),AG91,G91)+H91,2)</f>
        <v/>
      </c>
      <c r="J91" s="2" t="inlineStr">
        <is>
          <t>Завтрак "Шведский стол"</t>
        </is>
      </c>
      <c r="K91" s="5" t="n">
        <v>46218.83333333334</v>
      </c>
      <c r="L91" t="n">
        <v>1</v>
      </c>
      <c r="M91" s="3">
        <f>I91/L91</f>
        <v/>
      </c>
      <c r="N91">
        <f>IF(M91&gt;=5100,"ставка","мин.ставка")</f>
        <v/>
      </c>
      <c r="O91" s="3">
        <f>ROUND(IF(N91="мин.ставка",L91*100,I91/102*2),2)</f>
        <v/>
      </c>
      <c r="P91" s="5" t="n">
        <v>46219.5</v>
      </c>
      <c r="Q91" t="inlineStr">
        <is>
          <t>TravelLine сайт</t>
        </is>
      </c>
      <c r="R91" s="2" t="inlineStr">
        <is>
          <t>СЕМЕЙНЫЙ НОМЕР КАТЕГОРИИ "СТАНДАРТ" ВТОРОЙ КОРПУС</t>
        </is>
      </c>
      <c r="S91" t="n">
        <v>51</v>
      </c>
      <c r="T91" t="n">
        <v>2</v>
      </c>
      <c r="U91" t="inlineStr"/>
      <c r="V91" t="inlineStr">
        <is>
          <t>Тариф с завтраком</t>
        </is>
      </c>
      <c r="W91" t="n">
        <v>13275.3</v>
      </c>
      <c r="X91" s="3" t="n">
        <v>424.7</v>
      </c>
      <c r="Y91" t="inlineStr">
        <is>
          <t>3.1%</t>
        </is>
      </c>
      <c r="Z91" t="inlineStr">
        <is>
          <t>2026-07-15</t>
        </is>
      </c>
      <c r="AA91" s="3" t="n">
        <v>13275.3</v>
      </c>
      <c r="AB91" t="inlineStr">
        <is>
          <t>Сошлось по ночным тарифам</t>
        </is>
      </c>
      <c r="AC91" s="2" t="inlineStr"/>
      <c r="AD91" t="n">
        <v>424.7</v>
      </c>
      <c r="AE91" t="n">
        <v>0</v>
      </c>
      <c r="AF91" t="inlineStr">
        <is>
          <t>Скидка добавлена к налоговой базе</t>
        </is>
      </c>
      <c r="AG91" t="n">
        <v>13700</v>
      </c>
      <c r="AH91" t="n">
        <v>13275.3</v>
      </c>
      <c r="AI91" t="inlineStr">
        <is>
          <t>Полное проживание в выбранном периоде</t>
        </is>
      </c>
    </row>
    <row r="92">
      <c r="A92" t="inlineStr">
        <is>
          <t>20260713-8186-448221235</t>
        </is>
      </c>
      <c r="B92" t="n">
        <v>1</v>
      </c>
      <c r="C92" s="2" t="inlineStr">
        <is>
          <t>Алексей Косарев</t>
        </is>
      </c>
      <c r="D92" s="3" t="n">
        <v>45400</v>
      </c>
      <c r="E92" s="4" t="n">
        <v>4</v>
      </c>
      <c r="F92" t="inlineStr">
        <is>
          <t>TravelLine Booking Engine [Чайковский]</t>
        </is>
      </c>
      <c r="G92" s="3">
        <f>ROUND(D92/(100-E92)*100,2)</f>
        <v/>
      </c>
      <c r="H92" s="3" t="n">
        <v>0</v>
      </c>
      <c r="I92" s="3">
        <f>ROUND(IF(ISNUMBER(AG92),AG92,G92)+H92,2)</f>
        <v/>
      </c>
      <c r="J92" s="2" t="inlineStr">
        <is>
          <t>Завтрак "Шведский стол"</t>
        </is>
      </c>
      <c r="K92" s="5" t="n">
        <v>46216.58333333334</v>
      </c>
      <c r="L92" t="n">
        <v>4</v>
      </c>
      <c r="M92" s="3">
        <f>I92/L92</f>
        <v/>
      </c>
      <c r="N92">
        <f>IF(M92&gt;=5100,"ставка","мин.ставка")</f>
        <v/>
      </c>
      <c r="O92" s="3">
        <f>ROUND(IF(N92="мин.ставка",L92*100,I92/102*2),2)</f>
        <v/>
      </c>
      <c r="P92" s="5" t="n">
        <v>46220.5</v>
      </c>
      <c r="Q92" t="inlineStr">
        <is>
          <t>TravelLine сайт</t>
        </is>
      </c>
      <c r="R92" s="2" t="inlineStr">
        <is>
          <t>СТАНДАРТНЫЙ ДВУХМЕСТНЫЙ НОМЕР</t>
        </is>
      </c>
      <c r="S92" t="n">
        <v>52</v>
      </c>
      <c r="T92" t="n">
        <v>2</v>
      </c>
      <c r="U92" t="inlineStr"/>
      <c r="V92" t="inlineStr">
        <is>
          <t>Тариф с завтраком</t>
        </is>
      </c>
      <c r="W92" t="n">
        <v>90800</v>
      </c>
      <c r="X92" s="3" t="n">
        <v>0</v>
      </c>
      <c r="Y92" t="inlineStr"/>
      <c r="Z92" t="inlineStr"/>
      <c r="AA92" s="3" t="n">
        <v>45400</v>
      </c>
      <c r="AB92" t="inlineStr">
        <is>
          <t>Сошлось по ночным тарифам</t>
        </is>
      </c>
      <c r="AC92" s="2" t="inlineStr"/>
      <c r="AD92" t="n">
        <v>0</v>
      </c>
      <c r="AE92" t="n">
        <v>0</v>
      </c>
      <c r="AF92" t="inlineStr">
        <is>
          <t>Скидки нет</t>
        </is>
      </c>
      <c r="AG92" t="n">
        <v>45400</v>
      </c>
      <c r="AH92" t="n">
        <v>45400</v>
      </c>
      <c r="AI92" t="inlineStr">
        <is>
          <t>Полное проживание в выбранном периоде</t>
        </is>
      </c>
    </row>
    <row r="93">
      <c r="A93" t="inlineStr">
        <is>
          <t>20260712-8186-449256550</t>
        </is>
      </c>
      <c r="B93" t="n">
        <v>1</v>
      </c>
      <c r="C93" s="2" t="inlineStr">
        <is>
          <t>алексей красоцкий, ольга красоцкая</t>
        </is>
      </c>
      <c r="D93" s="3" t="n">
        <v>8720</v>
      </c>
      <c r="E93" s="4" t="n">
        <v>20</v>
      </c>
      <c r="F93" t="inlineStr">
        <is>
          <t>ООО "КОМПАНИЯ БРОНЕВИК" [Чайковский]</t>
        </is>
      </c>
      <c r="G93" s="3">
        <f>ROUND(D93/(100-E93)*100,2)</f>
        <v/>
      </c>
      <c r="H93" s="3" t="n">
        <v>0</v>
      </c>
      <c r="I93" s="3">
        <f>ROUND(IF(ISNUMBER(AG93),AG93,G93)+H93,2)</f>
        <v/>
      </c>
      <c r="J93" s="2" t="inlineStr">
        <is>
          <t>Завтрак "Шведский стол"</t>
        </is>
      </c>
      <c r="K93" s="5" t="n">
        <v>46215.58333333334</v>
      </c>
      <c r="L93" t="n">
        <v>1</v>
      </c>
      <c r="M93" s="3">
        <f>I93/L93</f>
        <v/>
      </c>
      <c r="N93">
        <f>IF(M93&gt;=5100,"ставка","мин.ставка")</f>
        <v/>
      </c>
      <c r="O93" s="3">
        <f>ROUND(IF(N93="мин.ставка",L93*100,I93/102*2),2)</f>
        <v/>
      </c>
      <c r="P93" s="5" t="n">
        <v>46216.5</v>
      </c>
      <c r="Q93" t="inlineStr">
        <is>
          <t>TravelLine BR2</t>
        </is>
      </c>
      <c r="R93" s="2" t="inlineStr">
        <is>
          <t>СЕМЕЙНЫЙ НОМЕР КАТЕГОРИИ "СТАНДАРТ" ВТОРОЙ КОРПУС</t>
        </is>
      </c>
      <c r="S93" t="n">
        <v>50</v>
      </c>
      <c r="T93" t="n">
        <v>2</v>
      </c>
      <c r="U93" t="inlineStr"/>
      <c r="V93" t="inlineStr">
        <is>
          <t>Тариф с завтраком</t>
        </is>
      </c>
      <c r="W93" t="n">
        <v>8720</v>
      </c>
      <c r="X93" s="3" t="n">
        <v>0</v>
      </c>
      <c r="Y93" t="inlineStr"/>
      <c r="Z93" t="inlineStr"/>
      <c r="AA93" s="3" t="n">
        <v>8720</v>
      </c>
      <c r="AB93" t="inlineStr">
        <is>
          <t>Сошлось по ночным тарифам</t>
        </is>
      </c>
      <c r="AC93" s="2" t="inlineStr"/>
      <c r="AD93" t="n">
        <v>0</v>
      </c>
      <c r="AE93" t="n">
        <v>0</v>
      </c>
      <c r="AF93" t="inlineStr">
        <is>
          <t>Скидки нет</t>
        </is>
      </c>
      <c r="AG93" t="n">
        <v>8720</v>
      </c>
      <c r="AH93" t="n">
        <v>8720</v>
      </c>
      <c r="AI93" t="inlineStr">
        <is>
          <t>Полное проживание в выбранном периоде</t>
        </is>
      </c>
    </row>
    <row r="94">
      <c r="A94" t="inlineStr">
        <is>
          <t>20260720-8186-451892506</t>
        </is>
      </c>
      <c r="B94" t="n">
        <v>1</v>
      </c>
      <c r="C94" s="2" t="inlineStr">
        <is>
          <t>Алексей Манин</t>
        </is>
      </c>
      <c r="D94" s="3" t="n">
        <v>8217</v>
      </c>
      <c r="E94" s="4" t="n">
        <v>17</v>
      </c>
      <c r="F94" t="inlineStr">
        <is>
          <t>ООО «Дубль Гис» (OTELLO) [Чайковский]</t>
        </is>
      </c>
      <c r="G94" s="3">
        <f>ROUND(D94/(100-E94)*100,2)</f>
        <v/>
      </c>
      <c r="H94" s="3" t="n">
        <v>0</v>
      </c>
      <c r="I94" s="3">
        <f>ROUND(IF(ISNUMBER(AG94),AG94,G94)+H94,2)</f>
        <v/>
      </c>
      <c r="J94" s="2" t="inlineStr">
        <is>
          <t>Завтрак "Шведский стол"</t>
        </is>
      </c>
      <c r="K94" s="5" t="n">
        <v>46223.58333333334</v>
      </c>
      <c r="L94" t="n">
        <v>1</v>
      </c>
      <c r="M94" s="3">
        <f>I94/L94</f>
        <v/>
      </c>
      <c r="N94">
        <f>IF(M94&gt;=5100,"ставка","мин.ставка")</f>
        <v/>
      </c>
      <c r="O94" s="3">
        <f>ROUND(IF(N94="мин.ставка",L94*100,I94/102*2),2)</f>
        <v/>
      </c>
      <c r="P94" s="5" t="n">
        <v>46224.5</v>
      </c>
      <c r="Q94" t="inlineStr">
        <is>
          <t>TravelLine OL2</t>
        </is>
      </c>
      <c r="R94" s="2" t="inlineStr">
        <is>
          <t>СТАНДАРТНЫЙ ДВУХМЕСТНЫЙ НОМЕР</t>
        </is>
      </c>
      <c r="S94" t="n">
        <v>44</v>
      </c>
      <c r="T94" t="n">
        <v>1</v>
      </c>
      <c r="U94" t="inlineStr"/>
      <c r="V94" t="inlineStr">
        <is>
          <t>Тариф с завтраком</t>
        </is>
      </c>
      <c r="W94" t="n">
        <v>8217</v>
      </c>
      <c r="X94" s="3" t="n">
        <v>1683</v>
      </c>
      <c r="Y94" t="inlineStr">
        <is>
          <t>17%</t>
        </is>
      </c>
      <c r="Z94" t="inlineStr">
        <is>
          <t>2026-07-20</t>
        </is>
      </c>
      <c r="AA94" s="3" t="n">
        <v>8217</v>
      </c>
      <c r="AB94" t="inlineStr">
        <is>
          <t>Сошлось по ночным тарифам</t>
        </is>
      </c>
      <c r="AC94" s="2" t="inlineStr"/>
      <c r="AD94" t="n">
        <v>1683</v>
      </c>
      <c r="AE94" t="n">
        <v>0</v>
      </c>
      <c r="AF94" t="inlineStr">
        <is>
          <t>Скидка добавлена к налоговой базе</t>
        </is>
      </c>
      <c r="AG94" t="n">
        <v>9900</v>
      </c>
      <c r="AH94" t="n">
        <v>8217</v>
      </c>
      <c r="AI94" t="inlineStr">
        <is>
          <t>Полное проживание в выбранном периоде</t>
        </is>
      </c>
    </row>
    <row r="95">
      <c r="A95" t="inlineStr">
        <is>
          <t>20260718-8186-451155669</t>
        </is>
      </c>
      <c r="B95" t="n">
        <v>1</v>
      </c>
      <c r="C95" s="2" t="inlineStr">
        <is>
          <t>Алексей Манин, Наталья Манина</t>
        </is>
      </c>
      <c r="D95" s="3" t="n">
        <v>11080.5</v>
      </c>
      <c r="E95" s="4" t="n">
        <v>17</v>
      </c>
      <c r="F95" t="inlineStr">
        <is>
          <t>ООО «Дубль Гис» (OTELLO) [Чайковский]</t>
        </is>
      </c>
      <c r="G95" s="3">
        <f>ROUND(D95/(100-E95)*100,2)</f>
        <v/>
      </c>
      <c r="H95" s="3" t="n">
        <v>0</v>
      </c>
      <c r="I95" s="3">
        <f>ROUND(IF(ISNUMBER(AG95),AG95,G95)+H95,2)</f>
        <v/>
      </c>
      <c r="J95" s="2" t="inlineStr">
        <is>
          <t>Завтрак "Шведский стол"</t>
        </is>
      </c>
      <c r="K95" s="5" t="n">
        <v>46221.58333333334</v>
      </c>
      <c r="L95" t="n">
        <v>1</v>
      </c>
      <c r="M95" s="3">
        <f>I95/L95</f>
        <v/>
      </c>
      <c r="N95">
        <f>IF(M95&gt;=5100,"ставка","мин.ставка")</f>
        <v/>
      </c>
      <c r="O95" s="3">
        <f>ROUND(IF(N95="мин.ставка",L95*100,I95/102*2),2)</f>
        <v/>
      </c>
      <c r="P95" s="5" t="n">
        <v>46222.5</v>
      </c>
      <c r="Q95" t="inlineStr">
        <is>
          <t>TravelLine OL2</t>
        </is>
      </c>
      <c r="R95" s="2" t="inlineStr">
        <is>
          <t>УЛУЧШЕННЫЙ ДВУХМЕСТНЫЙ НОМЕР</t>
        </is>
      </c>
      <c r="S95" t="n">
        <v>21</v>
      </c>
      <c r="T95" t="n">
        <v>1</v>
      </c>
      <c r="U95" t="inlineStr"/>
      <c r="V95" t="inlineStr">
        <is>
          <t>Тариф с завтраком</t>
        </is>
      </c>
      <c r="W95" t="n">
        <v>11080.5</v>
      </c>
      <c r="X95" s="3" t="n">
        <v>2269.5</v>
      </c>
      <c r="Y95" t="inlineStr">
        <is>
          <t>17%</t>
        </is>
      </c>
      <c r="Z95" t="inlineStr">
        <is>
          <t>2026-07-18</t>
        </is>
      </c>
      <c r="AA95" s="3" t="n">
        <v>11080.5</v>
      </c>
      <c r="AB95" t="inlineStr">
        <is>
          <t>Сошлось по ночным тарифам</t>
        </is>
      </c>
      <c r="AC95" s="2" t="inlineStr"/>
      <c r="AD95" t="n">
        <v>2269.5</v>
      </c>
      <c r="AE95" t="n">
        <v>0</v>
      </c>
      <c r="AF95" t="inlineStr">
        <is>
          <t>Скидка добавлена к налоговой базе</t>
        </is>
      </c>
      <c r="AG95" t="n">
        <v>13350</v>
      </c>
      <c r="AH95" t="n">
        <v>11080.5</v>
      </c>
      <c r="AI95" t="inlineStr">
        <is>
          <t>Полное проживание в выбранном периоде</t>
        </is>
      </c>
    </row>
    <row r="96">
      <c r="A96" t="inlineStr">
        <is>
          <t>20260718-8186-448944338</t>
        </is>
      </c>
      <c r="B96" t="n">
        <v>1</v>
      </c>
      <c r="C96" s="2" t="inlineStr">
        <is>
          <t>Алексей Митрохин</t>
        </is>
      </c>
      <c r="D96" s="3" t="n">
        <v>56960</v>
      </c>
      <c r="E96" s="4" t="n">
        <v>20</v>
      </c>
      <c r="F96" t="inlineStr">
        <is>
          <t>ООО "КОМПАНИЯ БРОНЕВИК" [Чайковский]</t>
        </is>
      </c>
      <c r="G96" s="3">
        <f>ROUND(D96/(100-E96)*100,2)</f>
        <v/>
      </c>
      <c r="H96" s="3" t="n">
        <v>0</v>
      </c>
      <c r="I96" s="3">
        <f>ROUND(IF(ISNUMBER(AG96),AG96,G96)+H96,2)</f>
        <v/>
      </c>
      <c r="J96" s="2" t="inlineStr">
        <is>
          <t>Завтрак "Шведский стол"</t>
        </is>
      </c>
      <c r="K96" s="5" t="n">
        <v>46221.58333333334</v>
      </c>
      <c r="L96" t="n">
        <v>8</v>
      </c>
      <c r="M96" s="3">
        <f>I96/L96</f>
        <v/>
      </c>
      <c r="N96">
        <f>IF(M96&gt;=5100,"ставка","мин.ставка")</f>
        <v/>
      </c>
      <c r="O96" s="3">
        <f>ROUND(IF(N96="мин.ставка",L96*100,I96/102*2),2)</f>
        <v/>
      </c>
      <c r="P96" s="5" t="n">
        <v>46229.5</v>
      </c>
      <c r="Q96" t="inlineStr">
        <is>
          <t>TravelLine BR2</t>
        </is>
      </c>
      <c r="R96" s="2" t="inlineStr">
        <is>
          <t>СЕМЕЙНЫЙ НОМЕР КАТЕГОРИИ "СТАНДАРТ" ВТОРОЙ КОРПУС</t>
        </is>
      </c>
      <c r="S96" t="n">
        <v>50</v>
      </c>
      <c r="T96" t="n">
        <v>2</v>
      </c>
      <c r="U96" t="inlineStr"/>
      <c r="V96" t="inlineStr">
        <is>
          <t>Тариф с завтраком</t>
        </is>
      </c>
      <c r="W96" t="n">
        <v>56960</v>
      </c>
      <c r="X96" s="3" t="n">
        <v>0</v>
      </c>
      <c r="Y96" t="inlineStr"/>
      <c r="Z96" t="inlineStr"/>
      <c r="AA96" s="3" t="n">
        <v>56960</v>
      </c>
      <c r="AB96" t="inlineStr">
        <is>
          <t>Сошлось по ночным тарифам</t>
        </is>
      </c>
      <c r="AC96" s="2" t="inlineStr"/>
      <c r="AD96" t="n">
        <v>0</v>
      </c>
      <c r="AE96" t="n">
        <v>0</v>
      </c>
      <c r="AF96" t="inlineStr">
        <is>
          <t>Скидки нет</t>
        </is>
      </c>
      <c r="AG96" t="n">
        <v>56960</v>
      </c>
      <c r="AH96" t="n">
        <v>56960</v>
      </c>
      <c r="AI96" t="inlineStr">
        <is>
          <t>Полное проживание в выбранном периоде</t>
        </is>
      </c>
    </row>
    <row r="97">
      <c r="A97" t="inlineStr">
        <is>
          <t>20260907-8186-463206260</t>
        </is>
      </c>
      <c r="B97" t="n">
        <v>1</v>
      </c>
      <c r="C97" s="2" t="inlineStr">
        <is>
          <t>Алексей Моисеев</t>
        </is>
      </c>
      <c r="D97" s="3" t="n">
        <v>18160</v>
      </c>
      <c r="E97" s="4" t="n">
        <v>20</v>
      </c>
      <c r="F97" t="inlineStr">
        <is>
          <t>ООО "КОМПАНИЯ БРОНЕВИК" [Чайковский]</t>
        </is>
      </c>
      <c r="G97" s="3">
        <f>ROUND(D97/(100-E97)*100,2)</f>
        <v/>
      </c>
      <c r="H97" s="3" t="n">
        <v>0</v>
      </c>
      <c r="I97" s="3">
        <f>ROUND(IF(ISNUMBER(AG97),AG97,G97)+H97,2)</f>
        <v/>
      </c>
      <c r="J97" s="2" t="inlineStr">
        <is>
          <t>Завтрак "Шведский стол"</t>
        </is>
      </c>
      <c r="K97" s="5" t="n">
        <v>46272.58333333334</v>
      </c>
      <c r="L97" t="n">
        <v>2</v>
      </c>
      <c r="M97" s="3">
        <f>I97/L97</f>
        <v/>
      </c>
      <c r="N97">
        <f>IF(M97&gt;=5100,"ставка","мин.ставка")</f>
        <v/>
      </c>
      <c r="O97" s="3">
        <f>ROUND(IF(N97="мин.ставка",L97*100,I97/102*2),2)</f>
        <v/>
      </c>
      <c r="P97" s="5" t="n">
        <v>46274.5</v>
      </c>
      <c r="Q97" t="inlineStr">
        <is>
          <t>TravelLine BR2</t>
        </is>
      </c>
      <c r="R97" s="2" t="inlineStr">
        <is>
          <t>СТАНДАРТНЫЙ ДВУХМЕСТНЫЙ НОМЕР</t>
        </is>
      </c>
      <c r="S97" t="n">
        <v>22</v>
      </c>
      <c r="T97" t="n">
        <v>1</v>
      </c>
      <c r="U97" t="inlineStr"/>
      <c r="V97" t="inlineStr">
        <is>
          <t>Тариф с завтраком</t>
        </is>
      </c>
      <c r="W97" t="n">
        <v>18160</v>
      </c>
      <c r="X97" s="3" t="n">
        <v>0</v>
      </c>
      <c r="Y97" t="inlineStr"/>
      <c r="Z97" t="inlineStr"/>
      <c r="AA97" s="3" t="n">
        <v>18160</v>
      </c>
      <c r="AB97" t="inlineStr">
        <is>
          <t>Сошлось по ночным тарифам</t>
        </is>
      </c>
      <c r="AC97" s="2" t="inlineStr"/>
      <c r="AD97" t="n">
        <v>0</v>
      </c>
      <c r="AE97" t="n">
        <v>0</v>
      </c>
      <c r="AF97" t="inlineStr">
        <is>
          <t>Скидки нет</t>
        </is>
      </c>
      <c r="AG97" t="n">
        <v>18160</v>
      </c>
      <c r="AH97" t="n">
        <v>18160</v>
      </c>
      <c r="AI97" t="inlineStr">
        <is>
          <t>Полное проживание в выбранном периоде</t>
        </is>
      </c>
    </row>
    <row r="98">
      <c r="A98" t="inlineStr">
        <is>
          <t>20260823-8186-458220929</t>
        </is>
      </c>
      <c r="B98" t="n">
        <v>1</v>
      </c>
      <c r="C98" s="2" t="inlineStr">
        <is>
          <t>АЛЕКСЕЙ МОСКВИН</t>
        </is>
      </c>
      <c r="D98" s="3" t="n">
        <v>28942.5</v>
      </c>
      <c r="E98" s="4" t="n">
        <v>15</v>
      </c>
      <c r="F98" t="inlineStr">
        <is>
          <t>ООО "АКАДЕМ-ОНЛАЙН" [Чайковский]</t>
        </is>
      </c>
      <c r="G98" s="3">
        <f>ROUND(D98/(100-E98)*100,2)</f>
        <v/>
      </c>
      <c r="H98" s="3" t="n">
        <v>0</v>
      </c>
      <c r="I98" s="3">
        <f>ROUND(IF(ISNUMBER(AG98),AG98,G98)+H98,2)</f>
        <v/>
      </c>
      <c r="J98" s="2" t="inlineStr">
        <is>
          <t>Завтрак "Шведский стол"</t>
        </is>
      </c>
      <c r="K98" s="5" t="n">
        <v>46257.58333333334</v>
      </c>
      <c r="L98" t="n">
        <v>3</v>
      </c>
      <c r="M98" s="3">
        <f>I98/L98</f>
        <v/>
      </c>
      <c r="N98">
        <f>IF(M98&gt;=5100,"ставка","мин.ставка")</f>
        <v/>
      </c>
      <c r="O98" s="3">
        <f>ROUND(IF(N98="мин.ставка",L98*100,I98/102*2),2)</f>
        <v/>
      </c>
      <c r="P98" s="5" t="n">
        <v>46260.5</v>
      </c>
      <c r="Q98" t="inlineStr">
        <is>
          <t>TravelLine ACS</t>
        </is>
      </c>
      <c r="R98" s="2" t="inlineStr">
        <is>
          <t>СТАНДАРТНЫЙ ДВУХМЕСТНЫЙ НОМЕР</t>
        </is>
      </c>
      <c r="S98" t="n">
        <v>44</v>
      </c>
      <c r="T98" t="n">
        <v>1</v>
      </c>
      <c r="U98" t="inlineStr"/>
      <c r="V98" t="inlineStr">
        <is>
          <t>Тариф с завтраком</t>
        </is>
      </c>
      <c r="W98" t="n">
        <v>28942.5</v>
      </c>
      <c r="X98" s="3" t="n">
        <v>5107.5</v>
      </c>
      <c r="Y98" t="inlineStr">
        <is>
          <t>15%</t>
        </is>
      </c>
      <c r="Z98" t="inlineStr">
        <is>
          <t>2026-08-23, 2026-08-24, 2026-08-25</t>
        </is>
      </c>
      <c r="AA98" s="3" t="n">
        <v>28942.5</v>
      </c>
      <c r="AB98" t="inlineStr">
        <is>
          <t>Сошлось по ночным тарифам</t>
        </is>
      </c>
      <c r="AC98" s="2" t="inlineStr"/>
      <c r="AD98" t="n">
        <v>5107.5</v>
      </c>
      <c r="AE98" t="n">
        <v>0</v>
      </c>
      <c r="AF98" t="inlineStr">
        <is>
          <t>Скидка добавлена к налоговой базе</t>
        </is>
      </c>
      <c r="AG98" t="n">
        <v>34050</v>
      </c>
      <c r="AH98" t="n">
        <v>28942.5</v>
      </c>
      <c r="AI98" t="inlineStr">
        <is>
          <t>Полное проживание в выбранном периоде</t>
        </is>
      </c>
    </row>
    <row r="99">
      <c r="A99" t="inlineStr">
        <is>
          <t>20260709-8186-415694395</t>
        </is>
      </c>
      <c r="B99" t="n">
        <v>1</v>
      </c>
      <c r="C99" s="2" t="inlineStr">
        <is>
          <t>Алексей Остроумов</t>
        </is>
      </c>
      <c r="D99" s="3" t="n">
        <v>25878</v>
      </c>
      <c r="E99" s="4" t="n">
        <v>18</v>
      </c>
      <c r="F99" t="inlineStr">
        <is>
          <t>Яндекс.Путешествия [Чайковский]</t>
        </is>
      </c>
      <c r="G99" s="3">
        <f>ROUND(D99/(100-E99)*100,2)</f>
        <v/>
      </c>
      <c r="H99" s="3" t="n">
        <v>0</v>
      </c>
      <c r="I99" s="3">
        <f>ROUND(IF(ISNUMBER(AG99),AG99,G99)+H99,2)</f>
        <v/>
      </c>
      <c r="J99" s="2" t="inlineStr">
        <is>
          <t>Завтрак "Шведский стол"</t>
        </is>
      </c>
      <c r="K99" s="5" t="n">
        <v>46212.58333333334</v>
      </c>
      <c r="L99" t="n">
        <v>3</v>
      </c>
      <c r="M99" s="3">
        <f>I99/L99</f>
        <v/>
      </c>
      <c r="N99">
        <f>IF(M99&gt;=5100,"ставка","мин.ставка")</f>
        <v/>
      </c>
      <c r="O99" s="3">
        <f>ROUND(IF(N99="мин.ставка",L99*100,I99/102*2),2)</f>
        <v/>
      </c>
      <c r="P99" s="5" t="n">
        <v>46215.5</v>
      </c>
      <c r="Q99" t="inlineStr">
        <is>
          <t>TravelLine YAX</t>
        </is>
      </c>
      <c r="R99" s="2" t="inlineStr">
        <is>
          <t>СТАНДАРТНЫЙ ДВУХМЕСТНЫЙ НОМЕР</t>
        </is>
      </c>
      <c r="S99" t="n">
        <v>22</v>
      </c>
      <c r="T99" t="n">
        <v>1</v>
      </c>
      <c r="U99" t="inlineStr"/>
      <c r="V99" t="inlineStr">
        <is>
          <t>Тариф с завтраком</t>
        </is>
      </c>
      <c r="W99" t="n">
        <v>25878</v>
      </c>
      <c r="X99" s="3" t="n">
        <v>6469.5</v>
      </c>
      <c r="Y99" t="inlineStr">
        <is>
          <t>20%</t>
        </is>
      </c>
      <c r="Z99" t="inlineStr">
        <is>
          <t>2026-07-09, 2026-07-10, 2026-07-11</t>
        </is>
      </c>
      <c r="AA99" s="3" t="n">
        <v>25878</v>
      </c>
      <c r="AB99" t="inlineStr">
        <is>
          <t>Сошлось по ночным тарифам</t>
        </is>
      </c>
      <c r="AC99" s="2" t="inlineStr"/>
      <c r="AD99" t="n">
        <v>6469.5</v>
      </c>
      <c r="AE99" t="n">
        <v>0</v>
      </c>
      <c r="AF99" t="inlineStr">
        <is>
          <t>Скидка добавлена к налоговой базе</t>
        </is>
      </c>
      <c r="AG99" t="n">
        <v>32347.5</v>
      </c>
      <c r="AH99" t="n">
        <v>25878</v>
      </c>
      <c r="AI99" t="inlineStr">
        <is>
          <t>Полное проживание в выбранном периоде</t>
        </is>
      </c>
    </row>
    <row r="100">
      <c r="A100" t="inlineStr">
        <is>
          <t>20260720-8186-451788457</t>
        </is>
      </c>
      <c r="B100" t="n">
        <v>1</v>
      </c>
      <c r="C100" s="2" t="inlineStr">
        <is>
          <t>Алексей Познокос, МАРИАННА ГНЕЗДИЛОВА</t>
        </is>
      </c>
      <c r="D100" s="3" t="n">
        <v>16020</v>
      </c>
      <c r="E100" s="4" t="n">
        <v>0</v>
      </c>
      <c r="F100" t="inlineStr">
        <is>
          <t>Прямые бронирования (стойка) [Чайковский]</t>
        </is>
      </c>
      <c r="G100" s="3">
        <f>ROUND(D100/(100-E100)*100,2)</f>
        <v/>
      </c>
      <c r="H100" s="3" t="n">
        <v>3338</v>
      </c>
      <c r="I100" s="3">
        <f>ROUND(IF(ISNUMBER(AG100),AG100,G100)+H100,2)</f>
        <v/>
      </c>
      <c r="J100" s="2" t="inlineStr">
        <is>
          <t>Завтрак "Шведский стол"; Поздний выезд — 3 338,00 ₽</t>
        </is>
      </c>
      <c r="K100" s="5" t="n">
        <v>46223.66666666666</v>
      </c>
      <c r="L100" t="n">
        <v>1</v>
      </c>
      <c r="M100" s="3">
        <f>I100/L100</f>
        <v/>
      </c>
      <c r="N100">
        <f>IF(M100&gt;=5100,"ставка","мин.ставка")</f>
        <v/>
      </c>
      <c r="O100" s="3">
        <f>ROUND(IF(N100="мин.ставка",L100*100,I100/102*2),2)</f>
        <v/>
      </c>
      <c r="P100" s="5" t="n">
        <v>46224.70833333334</v>
      </c>
      <c r="Q100" t="inlineStr">
        <is>
          <t>TravelLine ресепшен</t>
        </is>
      </c>
      <c r="R100" s="2" t="inlineStr">
        <is>
          <t>ЛЮКС ВТОРОЙ КОРПУС</t>
        </is>
      </c>
      <c r="S100" t="n">
        <v>54</v>
      </c>
      <c r="T100" t="n">
        <v>2</v>
      </c>
      <c r="U100" t="inlineStr"/>
      <c r="V100" t="inlineStr">
        <is>
          <t>Тариф с завтраком</t>
        </is>
      </c>
      <c r="W100" t="n">
        <v>19358</v>
      </c>
      <c r="X100" s="3" t="n">
        <v>1780</v>
      </c>
      <c r="Y100" t="inlineStr">
        <is>
          <t>10%</t>
        </is>
      </c>
      <c r="Z100" t="inlineStr">
        <is>
          <t>2026-07-20</t>
        </is>
      </c>
      <c r="AA100" s="3" t="n">
        <v>16020</v>
      </c>
      <c r="AB100" t="inlineStr">
        <is>
          <t>Расхождение -3338.00 ₽</t>
        </is>
      </c>
      <c r="AC100" s="2" t="inlineStr"/>
      <c r="AD100" t="n">
        <v>1780</v>
      </c>
      <c r="AE100" t="n">
        <v>0</v>
      </c>
      <c r="AF100" t="inlineStr">
        <is>
          <t>Скидка добавлена к налоговой базе</t>
        </is>
      </c>
      <c r="AG100" t="n">
        <v>17800</v>
      </c>
      <c r="AH100" t="n">
        <v>16020</v>
      </c>
      <c r="AI100" t="inlineStr">
        <is>
          <t>Полное проживание в выбранном периоде</t>
        </is>
      </c>
    </row>
    <row r="101">
      <c r="A101" t="inlineStr">
        <is>
          <t>20260807-8186-452013498</t>
        </is>
      </c>
      <c r="B101" t="n">
        <v>1</v>
      </c>
      <c r="C101" s="2" t="inlineStr">
        <is>
          <t>Алексей Поминов, Екатерина Карчевская</t>
        </is>
      </c>
      <c r="D101" s="3" t="n">
        <v>45390</v>
      </c>
      <c r="E101" s="4" t="n">
        <v>0</v>
      </c>
      <c r="F101" t="inlineStr">
        <is>
          <t>ООО «ХОМЛИН ЛЭНД» (ПЕГАС) [Чайковский]</t>
        </is>
      </c>
      <c r="G101" s="3">
        <f>ROUND(D101/(100-E101)*100,2)</f>
        <v/>
      </c>
      <c r="H101" s="3" t="n">
        <v>0</v>
      </c>
      <c r="I101" s="3">
        <f>ROUND(IF(ISNUMBER(AG101),AG101,G101)+H101,2)</f>
        <v/>
      </c>
      <c r="J101" s="2" t="inlineStr">
        <is>
          <t>Завтрак "Шведский стол"</t>
        </is>
      </c>
      <c r="K101" s="5" t="n">
        <v>46241.58333333334</v>
      </c>
      <c r="L101" t="n">
        <v>4</v>
      </c>
      <c r="M101" s="3">
        <f>I101/L101</f>
        <v/>
      </c>
      <c r="N101">
        <f>IF(M101&gt;=5100,"ставка","мин.ставка")</f>
        <v/>
      </c>
      <c r="O101" s="3">
        <f>ROUND(IF(N101="мин.ставка",L101*100,I101/102*2),2)</f>
        <v/>
      </c>
      <c r="P101" s="5" t="n">
        <v>46245.5</v>
      </c>
      <c r="Q101" t="inlineStr">
        <is>
          <t>TravelLine PGS</t>
        </is>
      </c>
      <c r="R101" s="2" t="inlineStr">
        <is>
          <t>СТАНДАРТНЫЙ ДВУХМЕСТНЫЙ НОМЕР</t>
        </is>
      </c>
      <c r="S101" t="n">
        <v>32</v>
      </c>
      <c r="T101" t="n">
        <v>1</v>
      </c>
      <c r="U101" t="inlineStr"/>
      <c r="V101" t="inlineStr">
        <is>
          <t>Тариф с завтраком</t>
        </is>
      </c>
      <c r="W101" t="n">
        <v>45390</v>
      </c>
      <c r="X101" s="3" t="n">
        <v>8010</v>
      </c>
      <c r="Y101" t="inlineStr">
        <is>
          <t>15%</t>
        </is>
      </c>
      <c r="Z101" t="inlineStr">
        <is>
          <t>2026-08-07, 2026-08-08, 2026-08-09, 2026-08-10</t>
        </is>
      </c>
      <c r="AA101" s="3" t="n">
        <v>45390</v>
      </c>
      <c r="AB101" t="inlineStr">
        <is>
          <t>Сошлось по ночным тарифам</t>
        </is>
      </c>
      <c r="AC101" s="2" t="inlineStr"/>
      <c r="AD101" t="n">
        <v>8010</v>
      </c>
      <c r="AE101" t="n">
        <v>0</v>
      </c>
      <c r="AF101" t="inlineStr">
        <is>
          <t>Скидка добавлена к налоговой базе</t>
        </is>
      </c>
      <c r="AG101" t="n">
        <v>53400</v>
      </c>
      <c r="AH101" t="n">
        <v>45390</v>
      </c>
      <c r="AI101" t="inlineStr">
        <is>
          <t>Полное проживание в выбранном периоде</t>
        </is>
      </c>
    </row>
    <row r="102">
      <c r="A102" t="inlineStr">
        <is>
          <t>20260901-8186-460163932</t>
        </is>
      </c>
      <c r="B102" t="n">
        <v>1</v>
      </c>
      <c r="C102" s="2" t="inlineStr">
        <is>
          <t>Алексей Редькин</t>
        </is>
      </c>
      <c r="D102" s="3" t="n">
        <v>9307</v>
      </c>
      <c r="E102" s="4" t="n">
        <v>18</v>
      </c>
      <c r="F102" t="inlineStr">
        <is>
          <t>ООО "ТРИВИО СЕРВИС" [Чайковский]</t>
        </is>
      </c>
      <c r="G102" s="3">
        <f>ROUND(D102/(100-E102)*100,2)</f>
        <v/>
      </c>
      <c r="H102" s="3" t="n">
        <v>0</v>
      </c>
      <c r="I102" s="3">
        <f>ROUND(IF(ISNUMBER(AG102),AG102,G102)+H102,2)</f>
        <v/>
      </c>
      <c r="J102" s="2" t="inlineStr">
        <is>
          <t>Завтрак "Шведский стол"</t>
        </is>
      </c>
      <c r="K102" s="5" t="n">
        <v>46266.58333333334</v>
      </c>
      <c r="L102" t="n">
        <v>1</v>
      </c>
      <c r="M102" s="3">
        <f>I102/L102</f>
        <v/>
      </c>
      <c r="N102">
        <f>IF(M102&gt;=5100,"ставка","мин.ставка")</f>
        <v/>
      </c>
      <c r="O102" s="3">
        <f>ROUND(IF(N102="мин.ставка",L102*100,I102/102*2),2)</f>
        <v/>
      </c>
      <c r="P102" s="5" t="n">
        <v>46267.5</v>
      </c>
      <c r="Q102" t="inlineStr">
        <is>
          <t>TravelLine TIO</t>
        </is>
      </c>
      <c r="R102" s="2" t="inlineStr">
        <is>
          <t>СТАНДАРТНЫЙ ДВУХМЕСТНЫЙ НОМЕР</t>
        </is>
      </c>
      <c r="S102" t="n">
        <v>32</v>
      </c>
      <c r="T102" t="n">
        <v>1</v>
      </c>
      <c r="U102" t="inlineStr"/>
      <c r="V102" t="inlineStr">
        <is>
          <t>Тариф с завтраком</t>
        </is>
      </c>
      <c r="W102" t="n">
        <v>9307</v>
      </c>
      <c r="X102" s="3" t="n">
        <v>2043</v>
      </c>
      <c r="Y102" t="inlineStr">
        <is>
          <t>18%</t>
        </is>
      </c>
      <c r="Z102" t="inlineStr">
        <is>
          <t>2026-09-01</t>
        </is>
      </c>
      <c r="AA102" s="3" t="n">
        <v>9307</v>
      </c>
      <c r="AB102" t="inlineStr">
        <is>
          <t>Сошлось по ночным тарифам</t>
        </is>
      </c>
      <c r="AC102" s="2" t="inlineStr"/>
      <c r="AD102" t="n">
        <v>2043</v>
      </c>
      <c r="AE102" t="n">
        <v>0</v>
      </c>
      <c r="AF102" t="inlineStr">
        <is>
          <t>Скидка добавлена к налоговой базе</t>
        </is>
      </c>
      <c r="AG102" t="n">
        <v>11350</v>
      </c>
      <c r="AH102" t="n">
        <v>9307</v>
      </c>
      <c r="AI102" t="inlineStr">
        <is>
          <t>Полное проживание в выбранном периоде</t>
        </is>
      </c>
    </row>
    <row r="103">
      <c r="A103" t="inlineStr">
        <is>
          <t>20260913-8186-465050972</t>
        </is>
      </c>
      <c r="B103" t="n">
        <v>1</v>
      </c>
      <c r="C103" s="2" t="inlineStr">
        <is>
          <t>Алексей Свистунов, Анна Киселёва</t>
        </is>
      </c>
      <c r="D103" s="3" t="n">
        <v>8415</v>
      </c>
      <c r="E103" s="4" t="n">
        <v>15</v>
      </c>
      <c r="F103" t="inlineStr">
        <is>
          <t>ООО Тинькофф Путешествия [Чайковский]</t>
        </is>
      </c>
      <c r="G103" s="3">
        <f>ROUND(D103/(100-E103)*100,2)</f>
        <v/>
      </c>
      <c r="H103" s="3" t="n">
        <v>0</v>
      </c>
      <c r="I103" s="3">
        <f>ROUND(IF(ISNUMBER(AG103),AG103,G103)+H103,2)</f>
        <v/>
      </c>
      <c r="J103" s="2" t="inlineStr">
        <is>
          <t>Завтрак "Шведский стол"</t>
        </is>
      </c>
      <c r="K103" s="5" t="n">
        <v>46278.58333333334</v>
      </c>
      <c r="L103" t="n">
        <v>1</v>
      </c>
      <c r="M103" s="3">
        <f>I103/L103</f>
        <v/>
      </c>
      <c r="N103">
        <f>IF(M103&gt;=5100,"ставка","мин.ставка")</f>
        <v/>
      </c>
      <c r="O103" s="3">
        <f>ROUND(IF(N103="мин.ставка",L103*100,I103/102*2),2)</f>
        <v/>
      </c>
      <c r="P103" s="5" t="n">
        <v>46279.5</v>
      </c>
      <c r="Q103" t="inlineStr">
        <is>
          <t>TravelLine TNK</t>
        </is>
      </c>
      <c r="R103" s="2" t="inlineStr">
        <is>
          <t>СТАНДАРТНЫЙ ДВУХМЕСТНЫЙ НОМЕР (МАНСАРДА)</t>
        </is>
      </c>
      <c r="S103" t="n">
        <v>43</v>
      </c>
      <c r="T103" t="n">
        <v>1</v>
      </c>
      <c r="U103" t="inlineStr"/>
      <c r="V103" t="inlineStr">
        <is>
          <t>Тариф с завтраком</t>
        </is>
      </c>
      <c r="W103" t="n">
        <v>8415</v>
      </c>
      <c r="X103" s="3" t="n">
        <v>1485</v>
      </c>
      <c r="Y103" t="inlineStr">
        <is>
          <t>15%</t>
        </is>
      </c>
      <c r="Z103" t="inlineStr">
        <is>
          <t>2026-09-13</t>
        </is>
      </c>
      <c r="AA103" s="3" t="n">
        <v>8415</v>
      </c>
      <c r="AB103" t="inlineStr">
        <is>
          <t>Сошлось по ночным тарифам</t>
        </is>
      </c>
      <c r="AC103" s="2" t="inlineStr"/>
      <c r="AD103" t="n">
        <v>1485</v>
      </c>
      <c r="AE103" t="n">
        <v>0</v>
      </c>
      <c r="AF103" t="inlineStr">
        <is>
          <t>Скидка добавлена к налоговой базе</t>
        </is>
      </c>
      <c r="AG103" t="n">
        <v>9900</v>
      </c>
      <c r="AH103" t="n">
        <v>8415</v>
      </c>
      <c r="AI103" t="inlineStr">
        <is>
          <t>Полное проживание в выбранном периоде</t>
        </is>
      </c>
    </row>
    <row r="104">
      <c r="A104" t="inlineStr">
        <is>
          <t>20260630-8186-444837610</t>
        </is>
      </c>
      <c r="B104" t="n">
        <v>1</v>
      </c>
      <c r="C104" s="2" t="inlineStr">
        <is>
          <t>АЛЕКСЕЙ СПИТЧЕНКО</t>
        </is>
      </c>
      <c r="D104" s="3" t="n">
        <v>19295</v>
      </c>
      <c r="E104" s="4" t="n">
        <v>15</v>
      </c>
      <c r="F104" t="inlineStr">
        <is>
          <t>ООО "АКАДЕМ-ОНЛАЙН" [Чайковский]</t>
        </is>
      </c>
      <c r="G104" s="3">
        <f>ROUND(D104/(100-E104)*100,2)</f>
        <v/>
      </c>
      <c r="H104" s="3" t="n">
        <v>0</v>
      </c>
      <c r="I104" s="3">
        <f>ROUND(IF(ISNUMBER(AG104),AG104,G104)+H104,2)</f>
        <v/>
      </c>
      <c r="J104" s="2" t="inlineStr"/>
      <c r="K104" s="5" t="n">
        <v>46203.58333333334</v>
      </c>
      <c r="L104" t="n">
        <v>1</v>
      </c>
      <c r="M104" s="3">
        <f>I104/L104</f>
        <v/>
      </c>
      <c r="N104">
        <f>IF(M104&gt;=5100,"ставка","мин.ставка")</f>
        <v/>
      </c>
      <c r="O104" s="3">
        <f>ROUND(IF(N104="мин.ставка",L104*100,I104/102*2),2)</f>
        <v/>
      </c>
      <c r="P104" s="5" t="n">
        <v>46205.5</v>
      </c>
      <c r="Q104" t="inlineStr">
        <is>
          <t>TravelLine ACS</t>
        </is>
      </c>
      <c r="R104" s="2" t="inlineStr">
        <is>
          <t>СТАНДАРТНЫЙ ДВУХМЕСТНЫЙ НОМЕР</t>
        </is>
      </c>
      <c r="S104" t="n">
        <v>23</v>
      </c>
      <c r="T104" t="n">
        <v>1</v>
      </c>
      <c r="U104" t="inlineStr"/>
      <c r="V104" t="inlineStr">
        <is>
          <t>Тариф с завтраком</t>
        </is>
      </c>
      <c r="W104" t="n">
        <v>19295</v>
      </c>
      <c r="X104" s="3" t="n">
        <v>3405</v>
      </c>
      <c r="Y104" t="inlineStr">
        <is>
          <t>15%</t>
        </is>
      </c>
      <c r="Z104" t="inlineStr">
        <is>
          <t>2026-06-30, 2026-07-01</t>
        </is>
      </c>
      <c r="AA104" s="3" t="n">
        <v>19295</v>
      </c>
      <c r="AB104" t="inlineStr">
        <is>
          <t>Сошлось по ночным тарифам</t>
        </is>
      </c>
      <c r="AC104" s="2" t="inlineStr"/>
      <c r="AD104" t="n">
        <v>1702.5</v>
      </c>
      <c r="AE104" t="n">
        <v>0</v>
      </c>
      <c r="AF104" t="inlineStr">
        <is>
          <t>Ночи скидки определены по dailyRates; в базу добавлена только часть выбранного периода</t>
        </is>
      </c>
      <c r="AG104" t="n">
        <v>11350</v>
      </c>
      <c r="AH104" t="n">
        <v>9647.5</v>
      </c>
      <c r="AI104" t="inlineStr">
        <is>
          <t>Частичное проживание распределено по dailyRates</t>
        </is>
      </c>
    </row>
    <row r="105">
      <c r="A105" t="inlineStr">
        <is>
          <t>20260708-8186-448591389</t>
        </is>
      </c>
      <c r="B105" t="n">
        <v>1</v>
      </c>
      <c r="C105" s="2" t="inlineStr">
        <is>
          <t>АЛЕКСЕЙ ТАРАСЕНКО</t>
        </is>
      </c>
      <c r="D105" s="3" t="n">
        <v>17181</v>
      </c>
      <c r="E105" s="4" t="n">
        <v>0</v>
      </c>
      <c r="F105" t="inlineStr">
        <is>
          <t>Прямые бронирования (стойка) [Чайковский]</t>
        </is>
      </c>
      <c r="G105" s="3">
        <f>ROUND(D105/(100-E105)*100,2)</f>
        <v/>
      </c>
      <c r="H105" s="3" t="n">
        <v>0</v>
      </c>
      <c r="I105" s="3">
        <f>ROUND(IF(ISNUMBER(AG105),AG105,G105)+H105,2)</f>
        <v/>
      </c>
      <c r="J105" s="2" t="inlineStr">
        <is>
          <t>Завтрак "Шведский стол"</t>
        </is>
      </c>
      <c r="K105" s="5" t="n">
        <v>46211.58333333334</v>
      </c>
      <c r="L105" t="n">
        <v>2</v>
      </c>
      <c r="M105" s="3">
        <f>I105/L105</f>
        <v/>
      </c>
      <c r="N105">
        <f>IF(M105&gt;=5100,"ставка","мин.ставка")</f>
        <v/>
      </c>
      <c r="O105" s="3">
        <f>ROUND(IF(N105="мин.ставка",L105*100,I105/102*2),2)</f>
        <v/>
      </c>
      <c r="P105" s="5" t="n">
        <v>46213.5</v>
      </c>
      <c r="Q105" t="inlineStr">
        <is>
          <t>TravelLine CMB</t>
        </is>
      </c>
      <c r="R105" s="2" t="inlineStr">
        <is>
          <t>СТАНДАРТНЫЙ ДВУХМЕСТНЫЙ НОМЕР</t>
        </is>
      </c>
      <c r="S105" t="n">
        <v>58</v>
      </c>
      <c r="T105" t="n">
        <v>2</v>
      </c>
      <c r="U105" t="inlineStr"/>
      <c r="V105" t="inlineStr">
        <is>
          <t>Тариф с завтраком</t>
        </is>
      </c>
      <c r="W105" t="n">
        <v>17181</v>
      </c>
      <c r="X105" s="3" t="n">
        <v>3519</v>
      </c>
      <c r="Y105" t="inlineStr">
        <is>
          <t>17%</t>
        </is>
      </c>
      <c r="Z105" t="inlineStr">
        <is>
          <t>2026-07-08, 2026-07-09</t>
        </is>
      </c>
      <c r="AA105" s="3" t="n">
        <v>17181</v>
      </c>
      <c r="AB105" t="inlineStr">
        <is>
          <t>Сошлось по ночным тарифам</t>
        </is>
      </c>
      <c r="AC105" s="2" t="inlineStr"/>
      <c r="AD105" t="n">
        <v>3519</v>
      </c>
      <c r="AE105" t="n">
        <v>0</v>
      </c>
      <c r="AF105" t="inlineStr">
        <is>
          <t>Скидка добавлена к налоговой базе</t>
        </is>
      </c>
      <c r="AG105" t="n">
        <v>20700</v>
      </c>
      <c r="AH105" t="n">
        <v>17181</v>
      </c>
      <c r="AI105" t="inlineStr">
        <is>
          <t>Полное проживание в выбранном периоде</t>
        </is>
      </c>
    </row>
    <row r="106">
      <c r="A106" t="inlineStr">
        <is>
          <t>20260815-8186-445668091</t>
        </is>
      </c>
      <c r="B106" t="n">
        <v>1</v>
      </c>
      <c r="C106" s="2" t="inlineStr">
        <is>
          <t>Алексей Теребилов, Илона Теребилова</t>
        </is>
      </c>
      <c r="D106" s="3" t="n">
        <v>68085</v>
      </c>
      <c r="E106" s="4" t="n">
        <v>15</v>
      </c>
      <c r="F106" t="inlineStr">
        <is>
          <t>Trip.com Group [Чайковский]</t>
        </is>
      </c>
      <c r="G106" s="3">
        <f>ROUND(D106/(100-E106)*100,2)</f>
        <v/>
      </c>
      <c r="H106" s="3" t="n">
        <v>0</v>
      </c>
      <c r="I106" s="3">
        <f>ROUND(IF(ISNUMBER(AG106),AG106,G106)+H106,2)</f>
        <v/>
      </c>
      <c r="J106" s="2" t="inlineStr">
        <is>
          <t>Завтрак "Шведский стол"</t>
        </is>
      </c>
      <c r="K106" s="5" t="n">
        <v>46249.58333333334</v>
      </c>
      <c r="L106" t="n">
        <v>6</v>
      </c>
      <c r="M106" s="3">
        <f>I106/L106</f>
        <v/>
      </c>
      <c r="N106">
        <f>IF(M106&gt;=5100,"ставка","мин.ставка")</f>
        <v/>
      </c>
      <c r="O106" s="3">
        <f>ROUND(IF(N106="мин.ставка",L106*100,I106/102*2),2)</f>
        <v/>
      </c>
      <c r="P106" s="5" t="n">
        <v>46255.5</v>
      </c>
      <c r="Q106" t="inlineStr">
        <is>
          <t>TravelLine CTP</t>
        </is>
      </c>
      <c r="R106" s="2" t="inlineStr">
        <is>
          <t>СТАНДАРТНЫЙ ДВУХМЕСТНЫЙ НОМЕР</t>
        </is>
      </c>
      <c r="S106" t="n">
        <v>42</v>
      </c>
      <c r="T106" t="n">
        <v>1</v>
      </c>
      <c r="U106" t="inlineStr"/>
      <c r="V106" t="inlineStr">
        <is>
          <t>Тариф с завтраком</t>
        </is>
      </c>
      <c r="W106" t="n">
        <v>68085</v>
      </c>
      <c r="X106" s="3" t="n">
        <v>12015</v>
      </c>
      <c r="Y106" t="inlineStr">
        <is>
          <t>15%</t>
        </is>
      </c>
      <c r="Z106" t="inlineStr">
        <is>
          <t>2026-08-15, 2026-08-16, 2026-08-17, 2026-08-18, 2026-08-19, 2026-08-20</t>
        </is>
      </c>
      <c r="AA106" s="3" t="n">
        <v>68085</v>
      </c>
      <c r="AB106" t="inlineStr">
        <is>
          <t>Сошлось по ночным тарифам</t>
        </is>
      </c>
      <c r="AC106" s="2" t="inlineStr"/>
      <c r="AD106" t="n">
        <v>12015</v>
      </c>
      <c r="AE106" t="n">
        <v>0</v>
      </c>
      <c r="AF106" t="inlineStr">
        <is>
          <t>Скидка добавлена к налоговой базе</t>
        </is>
      </c>
      <c r="AG106" t="n">
        <v>80100</v>
      </c>
      <c r="AH106" t="n">
        <v>68085</v>
      </c>
      <c r="AI106" t="inlineStr">
        <is>
          <t>Полное проживание в выбранном периоде</t>
        </is>
      </c>
    </row>
    <row r="107">
      <c r="A107" t="inlineStr">
        <is>
          <t>20260808-8186-437797250</t>
        </is>
      </c>
      <c r="B107" t="n">
        <v>1</v>
      </c>
      <c r="C107" s="2" t="inlineStr">
        <is>
          <t>Алексей Тихонов, Александра Тихонова</t>
        </is>
      </c>
      <c r="D107" s="3" t="n">
        <v>53400</v>
      </c>
      <c r="E107" s="4" t="n">
        <v>20</v>
      </c>
      <c r="F107" t="inlineStr">
        <is>
          <t>ООО "ХБ-ПРО" [Чайковский]</t>
        </is>
      </c>
      <c r="G107" s="3">
        <f>ROUND(D107/(100-E107)*100,2)</f>
        <v/>
      </c>
      <c r="H107" s="3" t="n">
        <v>0</v>
      </c>
      <c r="I107" s="3">
        <f>ROUND(IF(ISNUMBER(AG107),AG107,G107)+H107,2)</f>
        <v/>
      </c>
      <c r="J107" s="2" t="inlineStr">
        <is>
          <t>Завтрак "Шведский стол"</t>
        </is>
      </c>
      <c r="K107" s="5" t="n">
        <v>46242.58333333334</v>
      </c>
      <c r="L107" t="n">
        <v>5</v>
      </c>
      <c r="M107" s="3">
        <f>I107/L107</f>
        <v/>
      </c>
      <c r="N107">
        <f>IF(M107&gt;=5100,"ставка","мин.ставка")</f>
        <v/>
      </c>
      <c r="O107" s="3">
        <f>ROUND(IF(N107="мин.ставка",L107*100,I107/102*2),2)</f>
        <v/>
      </c>
      <c r="P107" s="5" t="n">
        <v>46247.5</v>
      </c>
      <c r="Q107" t="inlineStr">
        <is>
          <t>TravelLine UTS</t>
        </is>
      </c>
      <c r="R107" s="2" t="inlineStr">
        <is>
          <t>СТАНДАРТНЫЙ ДВУХМЕСТНЫЙ НОМЕР</t>
        </is>
      </c>
      <c r="S107" t="n">
        <v>36</v>
      </c>
      <c r="T107" t="n">
        <v>1</v>
      </c>
      <c r="U107" t="inlineStr"/>
      <c r="V107" t="inlineStr">
        <is>
          <t>Тариф с завтраком</t>
        </is>
      </c>
      <c r="W107" t="n">
        <v>53400</v>
      </c>
      <c r="X107" s="3" t="n">
        <v>0</v>
      </c>
      <c r="Y107" t="inlineStr"/>
      <c r="Z107" t="inlineStr"/>
      <c r="AA107" s="3" t="n">
        <v>53400</v>
      </c>
      <c r="AB107" t="inlineStr">
        <is>
          <t>Сошлось по ночным тарифам</t>
        </is>
      </c>
      <c r="AC107" s="2" t="inlineStr"/>
      <c r="AD107" t="n">
        <v>0</v>
      </c>
      <c r="AE107" t="n">
        <v>0</v>
      </c>
      <c r="AF107" t="inlineStr">
        <is>
          <t>Скидки нет</t>
        </is>
      </c>
      <c r="AG107" t="n">
        <v>53400</v>
      </c>
      <c r="AH107" t="n">
        <v>53400</v>
      </c>
      <c r="AI107" t="inlineStr">
        <is>
          <t>Полное проживание в выбранном периоде</t>
        </is>
      </c>
    </row>
    <row r="108">
      <c r="A108" t="inlineStr">
        <is>
          <t>20260921-8186-459405487</t>
        </is>
      </c>
      <c r="B108" t="n">
        <v>1</v>
      </c>
      <c r="C108" s="2" t="inlineStr">
        <is>
          <t>Алена Полосенко</t>
        </is>
      </c>
      <c r="D108" s="3" t="n">
        <v>13272</v>
      </c>
      <c r="E108" s="4" t="n">
        <v>16</v>
      </c>
      <c r="F108" t="inlineStr">
        <is>
          <t>ООО "БРОНИРОВАНИЕ ГОСТИНИЦ" (OSTROVOK) [Чайковский]</t>
        </is>
      </c>
      <c r="G108" s="3">
        <f>ROUND(D108/(100-E108)*100,2)</f>
        <v/>
      </c>
      <c r="H108" s="3" t="n">
        <v>0</v>
      </c>
      <c r="I108" s="3">
        <f>ROUND(IF(ISNUMBER(AG108),AG108,G108)+H108,2)</f>
        <v/>
      </c>
      <c r="J108" s="2" t="inlineStr">
        <is>
          <t>Завтрак "Шведский стол"</t>
        </is>
      </c>
      <c r="K108" s="5" t="n">
        <v>46286.58333333334</v>
      </c>
      <c r="L108" t="n">
        <v>2</v>
      </c>
      <c r="M108" s="3">
        <f>I108/L108</f>
        <v/>
      </c>
      <c r="N108">
        <f>IF(M108&gt;=5100,"ставка","мин.ставка")</f>
        <v/>
      </c>
      <c r="O108" s="3">
        <f>ROUND(IF(N108="мин.ставка",L108*100,I108/102*2),2)</f>
        <v/>
      </c>
      <c r="P108" s="5" t="n">
        <v>46288.5</v>
      </c>
      <c r="Q108" t="inlineStr">
        <is>
          <t>TravelLine OTK</t>
        </is>
      </c>
      <c r="R108" s="2" t="inlineStr">
        <is>
          <t>СТАНДАРТНЫЙ ДВУХМЕСТНЫЙ НОМЕР (МАНСАРДА)</t>
        </is>
      </c>
      <c r="S108" t="n">
        <v>41</v>
      </c>
      <c r="T108" t="n">
        <v>1</v>
      </c>
      <c r="U108" t="inlineStr"/>
      <c r="V108" t="inlineStr">
        <is>
          <t>Тариф с завтраком</t>
        </is>
      </c>
      <c r="W108" t="n">
        <v>13272</v>
      </c>
      <c r="X108" s="3" t="n">
        <v>2528</v>
      </c>
      <c r="Y108" t="inlineStr">
        <is>
          <t>16%</t>
        </is>
      </c>
      <c r="Z108" t="inlineStr">
        <is>
          <t>2026-09-21, 2026-09-22</t>
        </is>
      </c>
      <c r="AA108" s="3" t="n">
        <v>13272</v>
      </c>
      <c r="AB108" t="inlineStr">
        <is>
          <t>Сошлось по ночным тарифам</t>
        </is>
      </c>
      <c r="AC108" s="2" t="inlineStr"/>
      <c r="AD108" t="n">
        <v>2528</v>
      </c>
      <c r="AE108" t="n">
        <v>0</v>
      </c>
      <c r="AF108" t="inlineStr">
        <is>
          <t>Скидка добавлена к налоговой базе</t>
        </is>
      </c>
      <c r="AG108" t="n">
        <v>15800</v>
      </c>
      <c r="AH108" t="n">
        <v>13272</v>
      </c>
      <c r="AI108" t="inlineStr">
        <is>
          <t>Полное проживание в выбранном периоде</t>
        </is>
      </c>
    </row>
    <row r="109">
      <c r="A109" t="inlineStr">
        <is>
          <t>20260917-8186-447353486</t>
        </is>
      </c>
      <c r="B109" t="n">
        <v>1</v>
      </c>
      <c r="C109" s="2" t="inlineStr">
        <is>
          <t>АЛИНА ХОМЕНКО</t>
        </is>
      </c>
      <c r="D109" s="3" t="n">
        <v>12008</v>
      </c>
      <c r="E109" s="4" t="n">
        <v>18</v>
      </c>
      <c r="F109" t="inlineStr">
        <is>
          <t>Яндекс.Путешествия [Чайковский]</t>
        </is>
      </c>
      <c r="G109" s="3">
        <f>ROUND(D109/(100-E109)*100,2)</f>
        <v/>
      </c>
      <c r="H109" s="3" t="n">
        <v>0</v>
      </c>
      <c r="I109" s="3">
        <f>ROUND(IF(ISNUMBER(AG109),AG109,G109)+H109,2)</f>
        <v/>
      </c>
      <c r="J109" s="2" t="inlineStr">
        <is>
          <t>Завтрак "Шведский стол"</t>
        </is>
      </c>
      <c r="K109" s="5" t="n">
        <v>46282.58333333334</v>
      </c>
      <c r="L109" t="n">
        <v>2</v>
      </c>
      <c r="M109" s="3">
        <f>I109/L109</f>
        <v/>
      </c>
      <c r="N109">
        <f>IF(M109&gt;=5100,"ставка","мин.ставка")</f>
        <v/>
      </c>
      <c r="O109" s="3">
        <f>ROUND(IF(N109="мин.ставка",L109*100,I109/102*2),2)</f>
        <v/>
      </c>
      <c r="P109" s="5" t="n">
        <v>46284.5</v>
      </c>
      <c r="Q109" t="inlineStr">
        <is>
          <t>TravelLine YAX</t>
        </is>
      </c>
      <c r="R109" s="2" t="inlineStr">
        <is>
          <t>СТАНДАРТНЫЙ ДВУХМЕСТНЫЙ НОМЕР (МАНСАРДА)</t>
        </is>
      </c>
      <c r="S109" t="n">
        <v>47</v>
      </c>
      <c r="T109" t="n">
        <v>1</v>
      </c>
      <c r="U109" t="inlineStr"/>
      <c r="V109" t="inlineStr">
        <is>
          <t>Тариф с завтраком</t>
        </is>
      </c>
      <c r="W109" t="n">
        <v>12008</v>
      </c>
      <c r="X109" s="3" t="n">
        <v>3002</v>
      </c>
      <c r="Y109" t="inlineStr">
        <is>
          <t>20%</t>
        </is>
      </c>
      <c r="Z109" t="inlineStr">
        <is>
          <t>2026-09-17, 2026-09-18</t>
        </is>
      </c>
      <c r="AA109" s="3" t="n">
        <v>12008</v>
      </c>
      <c r="AB109" t="inlineStr">
        <is>
          <t>Сошлось по ночным тарифам</t>
        </is>
      </c>
      <c r="AC109" s="2" t="inlineStr"/>
      <c r="AD109" t="n">
        <v>3002</v>
      </c>
      <c r="AE109" t="n">
        <v>0</v>
      </c>
      <c r="AF109" t="inlineStr">
        <is>
          <t>Скидка добавлена к налоговой базе</t>
        </is>
      </c>
      <c r="AG109" t="n">
        <v>15010</v>
      </c>
      <c r="AH109" t="n">
        <v>12008</v>
      </c>
      <c r="AI109" t="inlineStr">
        <is>
          <t>Полное проживание в выбранном периоде</t>
        </is>
      </c>
    </row>
    <row r="110">
      <c r="A110" t="inlineStr">
        <is>
          <t>20260828-8186-456087582</t>
        </is>
      </c>
      <c r="B110" t="n">
        <v>1</v>
      </c>
      <c r="C110" s="2" t="inlineStr">
        <is>
          <t>Алиса Лосс</t>
        </is>
      </c>
      <c r="D110" s="3" t="n">
        <v>10998.15</v>
      </c>
      <c r="E110" s="4" t="n">
        <v>4</v>
      </c>
      <c r="F110" t="inlineStr">
        <is>
          <t>TravelLine Booking Engine [Чайковский]</t>
        </is>
      </c>
      <c r="G110" s="3">
        <f>ROUND(D110/(100-E110)*100,2)</f>
        <v/>
      </c>
      <c r="H110" s="3" t="n">
        <v>0</v>
      </c>
      <c r="I110" s="3">
        <f>ROUND(IF(ISNUMBER(AG110),AG110,G110)+H110,2)</f>
        <v/>
      </c>
      <c r="J110" s="2" t="inlineStr">
        <is>
          <t>Завтрак "Шведский стол"</t>
        </is>
      </c>
      <c r="K110" s="5" t="n">
        <v>46262.58333333334</v>
      </c>
      <c r="L110" t="n">
        <v>1</v>
      </c>
      <c r="M110" s="3">
        <f>I110/L110</f>
        <v/>
      </c>
      <c r="N110">
        <f>IF(M110&gt;=5100,"ставка","мин.ставка")</f>
        <v/>
      </c>
      <c r="O110" s="3">
        <f>ROUND(IF(N110="мин.ставка",L110*100,I110/102*2),2)</f>
        <v/>
      </c>
      <c r="P110" s="5" t="n">
        <v>46263.5</v>
      </c>
      <c r="Q110" t="inlineStr">
        <is>
          <t>TravelLine сайт</t>
        </is>
      </c>
      <c r="R110" s="2" t="inlineStr">
        <is>
          <t>СТАНДАРТНЫЙ ДВУХМЕСТНЫЙ НОМЕР</t>
        </is>
      </c>
      <c r="S110" t="n">
        <v>23</v>
      </c>
      <c r="T110" t="n">
        <v>1</v>
      </c>
      <c r="U110" t="inlineStr"/>
      <c r="V110" t="inlineStr">
        <is>
          <t>Тариф с завтраком</t>
        </is>
      </c>
      <c r="W110" t="n">
        <v>10998.15</v>
      </c>
      <c r="X110" s="3" t="n">
        <v>351.85</v>
      </c>
      <c r="Y110" t="inlineStr">
        <is>
          <t>3.1%</t>
        </is>
      </c>
      <c r="Z110" t="inlineStr">
        <is>
          <t>2026-08-28</t>
        </is>
      </c>
      <c r="AA110" s="3" t="n">
        <v>10998.15</v>
      </c>
      <c r="AB110" t="inlineStr">
        <is>
          <t>Сошлось по ночным тарифам</t>
        </is>
      </c>
      <c r="AC110" s="2" t="inlineStr"/>
      <c r="AD110" t="n">
        <v>351.85</v>
      </c>
      <c r="AE110" t="n">
        <v>0</v>
      </c>
      <c r="AF110" t="inlineStr">
        <is>
          <t>Скидка добавлена к налоговой базе</t>
        </is>
      </c>
      <c r="AG110" t="n">
        <v>11350</v>
      </c>
      <c r="AH110" t="n">
        <v>10998.15</v>
      </c>
      <c r="AI110" t="inlineStr">
        <is>
          <t>Полное проживание в выбранном периоде</t>
        </is>
      </c>
    </row>
    <row r="111">
      <c r="A111" t="inlineStr">
        <is>
          <t>20260910-8186-427551341</t>
        </is>
      </c>
      <c r="B111" t="n">
        <v>1</v>
      </c>
      <c r="C111" s="2" t="inlineStr">
        <is>
          <t>АЛИЯ ПОПОВА, Оксана Евсейкина</t>
        </is>
      </c>
      <c r="D111" s="3" t="n">
        <v>36045</v>
      </c>
      <c r="E111" s="4" t="n">
        <v>0</v>
      </c>
      <c r="F111" t="inlineStr">
        <is>
          <t>Прямые бронирования (стойка) [Чайковский]</t>
        </is>
      </c>
      <c r="G111" s="3">
        <f>ROUND(D111/(100-E111)*100,2)</f>
        <v/>
      </c>
      <c r="H111" s="3" t="n">
        <v>0</v>
      </c>
      <c r="I111" s="3">
        <f>ROUND(IF(ISNUMBER(AG111),AG111,G111)+H111,2)</f>
        <v/>
      </c>
      <c r="J111" s="2" t="inlineStr">
        <is>
          <t>Завтрак "Шведский стол"</t>
        </is>
      </c>
      <c r="K111" s="5" t="n">
        <v>46275.58333333334</v>
      </c>
      <c r="L111" t="n">
        <v>3</v>
      </c>
      <c r="M111" s="3">
        <f>I111/L111</f>
        <v/>
      </c>
      <c r="N111">
        <f>IF(M111&gt;=5100,"ставка","мин.ставка")</f>
        <v/>
      </c>
      <c r="O111" s="3">
        <f>ROUND(IF(N111="мин.ставка",L111*100,I111/102*2),2)</f>
        <v/>
      </c>
      <c r="P111" s="5" t="n">
        <v>46278.5</v>
      </c>
      <c r="Q111" t="inlineStr">
        <is>
          <t>TravelLine ресепшен</t>
        </is>
      </c>
      <c r="R111" s="2" t="inlineStr">
        <is>
          <t>СТАНДАРТНЫЙ ДВУХМЕСТНЫЙ НОМЕР</t>
        </is>
      </c>
      <c r="S111" t="n">
        <v>22</v>
      </c>
      <c r="T111" t="n">
        <v>1</v>
      </c>
      <c r="U111" t="inlineStr"/>
      <c r="V111" t="inlineStr">
        <is>
          <t>Тариф с завтраком</t>
        </is>
      </c>
      <c r="W111" t="n">
        <v>216270</v>
      </c>
      <c r="X111" s="3" t="n">
        <v>4005</v>
      </c>
      <c r="Y111" t="inlineStr">
        <is>
          <t>10%</t>
        </is>
      </c>
      <c r="Z111" t="inlineStr">
        <is>
          <t>2026-09-10, 2026-09-11, 2026-09-12</t>
        </is>
      </c>
      <c r="AA111" s="3" t="n">
        <v>36045</v>
      </c>
      <c r="AB111" t="inlineStr">
        <is>
          <t>Сошлось по ночным тарифам</t>
        </is>
      </c>
      <c r="AC111" s="2" t="inlineStr"/>
      <c r="AD111" t="n">
        <v>4005</v>
      </c>
      <c r="AE111" t="n">
        <v>0</v>
      </c>
      <c r="AF111" t="inlineStr">
        <is>
          <t>Скидка добавлена к налоговой базе</t>
        </is>
      </c>
      <c r="AG111" t="n">
        <v>40050</v>
      </c>
      <c r="AH111" t="n">
        <v>36045</v>
      </c>
      <c r="AI111" t="inlineStr">
        <is>
          <t>Полное проживание в выбранном периоде</t>
        </is>
      </c>
    </row>
    <row r="112">
      <c r="A112" t="inlineStr">
        <is>
          <t>20260715-8186-410045902</t>
        </is>
      </c>
      <c r="B112" t="n">
        <v>1</v>
      </c>
      <c r="C112" s="2" t="inlineStr">
        <is>
          <t>Алла Соловьева, Александра Хрусталева</t>
        </is>
      </c>
      <c r="D112" s="3" t="n">
        <v>59400</v>
      </c>
      <c r="E112" s="4" t="n">
        <v>0</v>
      </c>
      <c r="F112" t="inlineStr">
        <is>
          <t>Прямые бронирования (стойка) [Чайковский]</t>
        </is>
      </c>
      <c r="G112" s="3">
        <f>ROUND(D112/(100-E112)*100,2)</f>
        <v/>
      </c>
      <c r="H112" s="3" t="n">
        <v>0</v>
      </c>
      <c r="I112" s="3">
        <f>ROUND(IF(ISNUMBER(AG112),AG112,G112)+H112,2)</f>
        <v/>
      </c>
      <c r="J112" s="2" t="inlineStr">
        <is>
          <t>Завтрак "Шведский стол"</t>
        </is>
      </c>
      <c r="K112" s="5" t="n">
        <v>46218.58333333334</v>
      </c>
      <c r="L112" t="n">
        <v>4</v>
      </c>
      <c r="M112" s="3">
        <f>I112/L112</f>
        <v/>
      </c>
      <c r="N112">
        <f>IF(M112&gt;=5100,"ставка","мин.ставка")</f>
        <v/>
      </c>
      <c r="O112" s="3">
        <f>ROUND(IF(N112="мин.ставка",L112*100,I112/102*2),2)</f>
        <v/>
      </c>
      <c r="P112" s="5" t="n">
        <v>46222.5</v>
      </c>
      <c r="Q112" t="inlineStr">
        <is>
          <t>TravelLine ресепшен</t>
        </is>
      </c>
      <c r="R112" s="2" t="inlineStr">
        <is>
          <t>ПОЛУЛЮКС</t>
        </is>
      </c>
      <c r="S112" t="n">
        <v>25</v>
      </c>
      <c r="T112" t="n">
        <v>1</v>
      </c>
      <c r="U112" t="inlineStr"/>
      <c r="V112" t="inlineStr">
        <is>
          <t>Тариф с завтраком</t>
        </is>
      </c>
      <c r="W112" t="n">
        <v>59400</v>
      </c>
      <c r="X112" s="3" t="n">
        <v>6600</v>
      </c>
      <c r="Y112" t="inlineStr">
        <is>
          <t>10%</t>
        </is>
      </c>
      <c r="Z112" t="inlineStr">
        <is>
          <t>2026-07-15, 2026-07-16, 2026-07-17, 2026-07-18</t>
        </is>
      </c>
      <c r="AA112" s="3" t="n">
        <v>59400</v>
      </c>
      <c r="AB112" t="inlineStr">
        <is>
          <t>Сошлось по ночным тарифам</t>
        </is>
      </c>
      <c r="AC112" s="2" t="inlineStr"/>
      <c r="AD112" t="n">
        <v>6600</v>
      </c>
      <c r="AE112" t="n">
        <v>0</v>
      </c>
      <c r="AF112" t="inlineStr">
        <is>
          <t>Скидка добавлена к налоговой базе</t>
        </is>
      </c>
      <c r="AG112" t="n">
        <v>66000</v>
      </c>
      <c r="AH112" t="n">
        <v>59400</v>
      </c>
      <c r="AI112" t="inlineStr">
        <is>
          <t>Полное проживание в выбранном периоде</t>
        </is>
      </c>
    </row>
    <row r="113">
      <c r="A113" t="inlineStr">
        <is>
          <t>20260910-8186-427551341</t>
        </is>
      </c>
      <c r="B113" t="n">
        <v>1</v>
      </c>
      <c r="C113" s="2" t="inlineStr">
        <is>
          <t>Алла Шмеркевич, Татьяна Хорошко</t>
        </is>
      </c>
      <c r="D113" s="3" t="n">
        <v>36045</v>
      </c>
      <c r="E113" s="4" t="n">
        <v>0</v>
      </c>
      <c r="F113" t="inlineStr">
        <is>
          <t>Прямые бронирования (стойка) [Чайковский]</t>
        </is>
      </c>
      <c r="G113" s="3">
        <f>ROUND(D113/(100-E113)*100,2)</f>
        <v/>
      </c>
      <c r="H113" s="3" t="n">
        <v>0</v>
      </c>
      <c r="I113" s="3">
        <f>ROUND(IF(ISNUMBER(AG113),AG113,G113)+H113,2)</f>
        <v/>
      </c>
      <c r="J113" s="2" t="inlineStr">
        <is>
          <t>Завтрак "Шведский стол"</t>
        </is>
      </c>
      <c r="K113" s="5" t="n">
        <v>46275.58333333334</v>
      </c>
      <c r="L113" t="n">
        <v>3</v>
      </c>
      <c r="M113" s="3">
        <f>I113/L113</f>
        <v/>
      </c>
      <c r="N113">
        <f>IF(M113&gt;=5100,"ставка","мин.ставка")</f>
        <v/>
      </c>
      <c r="O113" s="3">
        <f>ROUND(IF(N113="мин.ставка",L113*100,I113/102*2),2)</f>
        <v/>
      </c>
      <c r="P113" s="5" t="n">
        <v>46278.5</v>
      </c>
      <c r="Q113" t="inlineStr">
        <is>
          <t>TravelLine ресепшен</t>
        </is>
      </c>
      <c r="R113" s="2" t="inlineStr">
        <is>
          <t>СТАНДАРТНЫЙ ДВУХМЕСТНЫЙ НОМЕР</t>
        </is>
      </c>
      <c r="S113" t="n">
        <v>33</v>
      </c>
      <c r="T113" t="n">
        <v>1</v>
      </c>
      <c r="U113" t="inlineStr"/>
      <c r="V113" t="inlineStr">
        <is>
          <t>Тариф с завтраком</t>
        </is>
      </c>
      <c r="W113" t="n">
        <v>216270</v>
      </c>
      <c r="X113" s="3" t="n">
        <v>4005</v>
      </c>
      <c r="Y113" t="inlineStr">
        <is>
          <t>10%</t>
        </is>
      </c>
      <c r="Z113" t="inlineStr">
        <is>
          <t>2026-09-10, 2026-09-11, 2026-09-12</t>
        </is>
      </c>
      <c r="AA113" s="3" t="n">
        <v>36045</v>
      </c>
      <c r="AB113" t="inlineStr">
        <is>
          <t>Сошлось по ночным тарифам</t>
        </is>
      </c>
      <c r="AC113" s="2" t="inlineStr"/>
      <c r="AD113" t="n">
        <v>4005</v>
      </c>
      <c r="AE113" t="n">
        <v>0</v>
      </c>
      <c r="AF113" t="inlineStr">
        <is>
          <t>Скидка добавлена к налоговой базе</t>
        </is>
      </c>
      <c r="AG113" t="n">
        <v>40050</v>
      </c>
      <c r="AH113" t="n">
        <v>36045</v>
      </c>
      <c r="AI113" t="inlineStr">
        <is>
          <t>Полное проживание в выбранном периоде</t>
        </is>
      </c>
    </row>
    <row r="114">
      <c r="A114" t="inlineStr">
        <is>
          <t>20260805-8186-410783185</t>
        </is>
      </c>
      <c r="B114" t="n">
        <v>1</v>
      </c>
      <c r="C114" s="2" t="inlineStr">
        <is>
          <t>АЛФИНА ШАЙГАЯНОВА, РУФИНА ШАКИРОВА</t>
        </is>
      </c>
      <c r="D114" s="3" t="n">
        <v>42075</v>
      </c>
      <c r="E114" s="4" t="n">
        <v>0</v>
      </c>
      <c r="F114" t="inlineStr">
        <is>
          <t>ООО «ХОМЛИН ЛЭНД» (ПЕГАС) [Чайковский]</t>
        </is>
      </c>
      <c r="G114" s="3">
        <f>ROUND(D114/(100-E114)*100,2)</f>
        <v/>
      </c>
      <c r="H114" s="3" t="n">
        <v>0</v>
      </c>
      <c r="I114" s="3">
        <f>ROUND(IF(ISNUMBER(AG114),AG114,G114)+H114,2)</f>
        <v/>
      </c>
      <c r="J114" s="2" t="inlineStr">
        <is>
          <t>Завтрак "Шведский стол"</t>
        </is>
      </c>
      <c r="K114" s="5" t="n">
        <v>46239.58333333334</v>
      </c>
      <c r="L114" t="n">
        <v>5</v>
      </c>
      <c r="M114" s="3">
        <f>I114/L114</f>
        <v/>
      </c>
      <c r="N114">
        <f>IF(M114&gt;=5100,"ставка","мин.ставка")</f>
        <v/>
      </c>
      <c r="O114" s="3">
        <f>ROUND(IF(N114="мин.ставка",L114*100,I114/102*2),2)</f>
        <v/>
      </c>
      <c r="P114" s="5" t="n">
        <v>46244.5</v>
      </c>
      <c r="Q114" t="inlineStr">
        <is>
          <t>TravelLine PGS</t>
        </is>
      </c>
      <c r="R114" s="2" t="inlineStr">
        <is>
          <t>СТАНДАРТНЫЙ ДВУХМЕСТНЫЙ НОМЕР (МАНСАРДА)</t>
        </is>
      </c>
      <c r="S114" t="n">
        <v>43</v>
      </c>
      <c r="T114" t="n">
        <v>1</v>
      </c>
      <c r="U114" t="inlineStr"/>
      <c r="V114" t="inlineStr">
        <is>
          <t>Тариф с завтраком</t>
        </is>
      </c>
      <c r="W114" t="n">
        <v>42075</v>
      </c>
      <c r="X114" s="3" t="n">
        <v>7425</v>
      </c>
      <c r="Y114" t="inlineStr">
        <is>
          <t>15%</t>
        </is>
      </c>
      <c r="Z114" t="inlineStr">
        <is>
          <t>2026-08-05, 2026-08-06, 2026-08-07, 2026-08-08, 2026-08-09</t>
        </is>
      </c>
      <c r="AA114" s="3" t="n">
        <v>42075</v>
      </c>
      <c r="AB114" t="inlineStr">
        <is>
          <t>Сошлось по ночным тарифам</t>
        </is>
      </c>
      <c r="AC114" s="2" t="inlineStr"/>
      <c r="AD114" t="n">
        <v>7425</v>
      </c>
      <c r="AE114" t="n">
        <v>0</v>
      </c>
      <c r="AF114" t="inlineStr">
        <is>
          <t>Скидка добавлена к налоговой базе</t>
        </is>
      </c>
      <c r="AG114" t="n">
        <v>49500</v>
      </c>
      <c r="AH114" t="n">
        <v>42075</v>
      </c>
      <c r="AI114" t="inlineStr">
        <is>
          <t>Полное проживание в выбранном периоде</t>
        </is>
      </c>
    </row>
    <row r="115">
      <c r="A115" t="inlineStr">
        <is>
          <t>20260924-8186-466578898</t>
        </is>
      </c>
      <c r="B115" t="n">
        <v>1</v>
      </c>
      <c r="C115" s="2" t="inlineStr">
        <is>
          <t>Альберт Волошок</t>
        </is>
      </c>
      <c r="D115" s="3" t="n">
        <v>18160</v>
      </c>
      <c r="E115" s="4" t="n">
        <v>20</v>
      </c>
      <c r="F115" t="inlineStr">
        <is>
          <t>ООО «Дубль Гис» (OTELLO) [Чайковский]</t>
        </is>
      </c>
      <c r="G115" s="3">
        <f>ROUND(D115/(100-E115)*100,2)</f>
        <v/>
      </c>
      <c r="H115" s="3" t="n">
        <v>0</v>
      </c>
      <c r="I115" s="3">
        <f>ROUND(IF(ISNUMBER(AG115),AG115,G115)+H115,2)</f>
        <v/>
      </c>
      <c r="J115" s="2" t="inlineStr">
        <is>
          <t>Завтрак "Шведский стол"</t>
        </is>
      </c>
      <c r="K115" s="5" t="n">
        <v>46289.58333333334</v>
      </c>
      <c r="L115" t="n">
        <v>2</v>
      </c>
      <c r="M115" s="3">
        <f>I115/L115</f>
        <v/>
      </c>
      <c r="N115">
        <f>IF(M115&gt;=5100,"ставка","мин.ставка")</f>
        <v/>
      </c>
      <c r="O115" s="3">
        <f>ROUND(IF(N115="мин.ставка",L115*100,I115/102*2),2)</f>
        <v/>
      </c>
      <c r="P115" s="5" t="n">
        <v>46291.5</v>
      </c>
      <c r="Q115" t="inlineStr">
        <is>
          <t>TravelLine OL2</t>
        </is>
      </c>
      <c r="R115" s="2" t="inlineStr">
        <is>
          <t>СТАНДАРТНЫЙ ДВУХМЕСТНЫЙ НОМЕР</t>
        </is>
      </c>
      <c r="S115" t="n">
        <v>44</v>
      </c>
      <c r="T115" t="n">
        <v>1</v>
      </c>
      <c r="U115" t="inlineStr"/>
      <c r="V115" t="inlineStr">
        <is>
          <t>Тариф с завтраком</t>
        </is>
      </c>
      <c r="W115" t="n">
        <v>36320</v>
      </c>
      <c r="X115" s="3" t="n">
        <v>4540</v>
      </c>
      <c r="Y115" t="inlineStr">
        <is>
          <t>20%</t>
        </is>
      </c>
      <c r="Z115" t="inlineStr">
        <is>
          <t>2026-09-24, 2026-09-25</t>
        </is>
      </c>
      <c r="AA115" s="3" t="n">
        <v>18160</v>
      </c>
      <c r="AB115" t="inlineStr">
        <is>
          <t>Сошлось по ночным тарифам</t>
        </is>
      </c>
      <c r="AC115" s="2" t="inlineStr"/>
      <c r="AD115" t="n">
        <v>4540</v>
      </c>
      <c r="AE115" t="n">
        <v>0</v>
      </c>
      <c r="AF115" t="inlineStr">
        <is>
          <t>Скидка добавлена к налоговой базе</t>
        </is>
      </c>
      <c r="AG115" t="n">
        <v>22700</v>
      </c>
      <c r="AH115" t="n">
        <v>18160</v>
      </c>
      <c r="AI115" t="inlineStr">
        <is>
          <t>Полное проживание в выбранном периоде</t>
        </is>
      </c>
    </row>
    <row r="116">
      <c r="A116" t="inlineStr">
        <is>
          <t>20260925-8186-457986183</t>
        </is>
      </c>
      <c r="B116" t="n">
        <v>1</v>
      </c>
      <c r="C116" s="2" t="inlineStr">
        <is>
          <t>Альберт Нургазизов, Гузель Нургазизова</t>
        </is>
      </c>
      <c r="D116" s="3" t="n">
        <v>60520</v>
      </c>
      <c r="E116" s="4" t="n">
        <v>0</v>
      </c>
      <c r="F116" t="inlineStr">
        <is>
          <t>ООО «ХОМЛИН ЛЭНД» (ПЕГАС) [Чайковский]</t>
        </is>
      </c>
      <c r="G116" s="3">
        <f>ROUND(D116/(100-E116)*100,2)</f>
        <v/>
      </c>
      <c r="H116" s="3" t="n">
        <v>0</v>
      </c>
      <c r="I116" s="3">
        <f>ROUND(IF(ISNUMBER(AG116),AG116,G116)+H116,2)</f>
        <v/>
      </c>
      <c r="J116" s="2" t="inlineStr">
        <is>
          <t>Завтрак "Шведский стол"</t>
        </is>
      </c>
      <c r="K116" s="5" t="n">
        <v>46290.58333333334</v>
      </c>
      <c r="L116" t="n">
        <v>4</v>
      </c>
      <c r="M116" s="3">
        <f>I116/L116</f>
        <v/>
      </c>
      <c r="N116">
        <f>IF(M116&gt;=5100,"ставка","мин.ставка")</f>
        <v/>
      </c>
      <c r="O116" s="3">
        <f>ROUND(IF(N116="мин.ставка",L116*100,I116/102*2),2)</f>
        <v/>
      </c>
      <c r="P116" s="5" t="n">
        <v>46294.5</v>
      </c>
      <c r="Q116" t="inlineStr">
        <is>
          <t>TravelLine PGS</t>
        </is>
      </c>
      <c r="R116" s="2" t="inlineStr">
        <is>
          <t>ЛЮКС ВТОРОЙ КОРПУС</t>
        </is>
      </c>
      <c r="S116" t="n">
        <v>53</v>
      </c>
      <c r="T116" t="n">
        <v>2</v>
      </c>
      <c r="U116" t="inlineStr"/>
      <c r="V116" t="inlineStr">
        <is>
          <t>Тариф с завтраком</t>
        </is>
      </c>
      <c r="W116" t="n">
        <v>60520</v>
      </c>
      <c r="X116" s="3" t="n">
        <v>10680</v>
      </c>
      <c r="Y116" t="inlineStr">
        <is>
          <t>15%</t>
        </is>
      </c>
      <c r="Z116" t="inlineStr">
        <is>
          <t>2026-09-25, 2026-09-26, 2026-09-27, 2026-09-28</t>
        </is>
      </c>
      <c r="AA116" s="3" t="n">
        <v>60520</v>
      </c>
      <c r="AB116" t="inlineStr">
        <is>
          <t>Сошлось по ночным тарифам</t>
        </is>
      </c>
      <c r="AC116" s="2" t="inlineStr"/>
      <c r="AD116" t="n">
        <v>10680</v>
      </c>
      <c r="AE116" t="n">
        <v>0</v>
      </c>
      <c r="AF116" t="inlineStr">
        <is>
          <t>Скидка добавлена к налоговой базе</t>
        </is>
      </c>
      <c r="AG116" t="n">
        <v>71200</v>
      </c>
      <c r="AH116" t="n">
        <v>60520</v>
      </c>
      <c r="AI116" t="inlineStr">
        <is>
          <t>Полное проживание в выбранном периоде</t>
        </is>
      </c>
    </row>
    <row r="117">
      <c r="A117" t="inlineStr">
        <is>
          <t>20260919-8186-466759616</t>
        </is>
      </c>
      <c r="B117" t="n">
        <v>1</v>
      </c>
      <c r="C117" s="2" t="inlineStr">
        <is>
          <t>АЛЬБИНА ШКИРЕНКОВА</t>
        </is>
      </c>
      <c r="D117" s="3" t="n">
        <v>9534</v>
      </c>
      <c r="E117" s="4" t="n">
        <v>16</v>
      </c>
      <c r="F117" t="inlineStr">
        <is>
          <t>ООО "БРОНИРОВАНИЕ ГОСТИНИЦ" (OSTROVOK) [Чайковский]</t>
        </is>
      </c>
      <c r="G117" s="3">
        <f>ROUND(D117/(100-E117)*100,2)</f>
        <v/>
      </c>
      <c r="H117" s="3" t="n">
        <v>0</v>
      </c>
      <c r="I117" s="3">
        <f>ROUND(IF(ISNUMBER(AG117),AG117,G117)+H117,2)</f>
        <v/>
      </c>
      <c r="J117" s="2" t="inlineStr">
        <is>
          <t>Завтрак "Шведский стол"</t>
        </is>
      </c>
      <c r="K117" s="5" t="n">
        <v>46284.58333333334</v>
      </c>
      <c r="L117" t="n">
        <v>1</v>
      </c>
      <c r="M117" s="3">
        <f>I117/L117</f>
        <v/>
      </c>
      <c r="N117">
        <f>IF(M117&gt;=5100,"ставка","мин.ставка")</f>
        <v/>
      </c>
      <c r="O117" s="3">
        <f>ROUND(IF(N117="мин.ставка",L117*100,I117/102*2),2)</f>
        <v/>
      </c>
      <c r="P117" s="5" t="n">
        <v>46285.5</v>
      </c>
      <c r="Q117" t="inlineStr">
        <is>
          <t>TravelLine OTK</t>
        </is>
      </c>
      <c r="R117" s="2" t="inlineStr">
        <is>
          <t>СТАНДАРТНЫЙ ДВУХМЕСТНЫЙ НОМЕР</t>
        </is>
      </c>
      <c r="S117" t="n">
        <v>44</v>
      </c>
      <c r="T117" t="n">
        <v>1</v>
      </c>
      <c r="U117" t="inlineStr"/>
      <c r="V117" t="inlineStr">
        <is>
          <t>Тариф с завтраком</t>
        </is>
      </c>
      <c r="W117" t="n">
        <v>31962</v>
      </c>
      <c r="X117" s="3" t="n">
        <v>1816</v>
      </c>
      <c r="Y117" t="inlineStr">
        <is>
          <t>16%</t>
        </is>
      </c>
      <c r="Z117" t="inlineStr">
        <is>
          <t>2026-09-19</t>
        </is>
      </c>
      <c r="AA117" s="3" t="n">
        <v>9534</v>
      </c>
      <c r="AB117" t="inlineStr">
        <is>
          <t>Сошлось по ночным тарифам</t>
        </is>
      </c>
      <c r="AC117" s="2" t="inlineStr"/>
      <c r="AD117" t="n">
        <v>1816</v>
      </c>
      <c r="AE117" t="n">
        <v>0</v>
      </c>
      <c r="AF117" t="inlineStr">
        <is>
          <t>Скидка добавлена к налоговой базе</t>
        </is>
      </c>
      <c r="AG117" t="n">
        <v>11350</v>
      </c>
      <c r="AH117" t="n">
        <v>9534</v>
      </c>
      <c r="AI117" t="inlineStr">
        <is>
          <t>Полное проживание в выбранном периоде</t>
        </is>
      </c>
    </row>
    <row r="118">
      <c r="A118" t="inlineStr">
        <is>
          <t>20260718-8186-450568992</t>
        </is>
      </c>
      <c r="B118" t="n">
        <v>1</v>
      </c>
      <c r="C118" s="2" t="inlineStr">
        <is>
          <t>Амина Каримова, Эльвир Каримов</t>
        </is>
      </c>
      <c r="D118" s="3" t="n">
        <v>22695</v>
      </c>
      <c r="E118" s="4" t="n">
        <v>15</v>
      </c>
      <c r="F118" t="inlineStr">
        <is>
          <t>ООО Тинькофф Путешествия [Чайковский]</t>
        </is>
      </c>
      <c r="G118" s="3">
        <f>ROUND(D118/(100-E118)*100,2)</f>
        <v/>
      </c>
      <c r="H118" s="3" t="n">
        <v>0</v>
      </c>
      <c r="I118" s="3">
        <f>ROUND(IF(ISNUMBER(AG118),AG118,G118)+H118,2)</f>
        <v/>
      </c>
      <c r="J118" s="2" t="inlineStr">
        <is>
          <t>Завтрак "Шведский стол"</t>
        </is>
      </c>
      <c r="K118" s="5" t="n">
        <v>46221.58333333334</v>
      </c>
      <c r="L118" t="n">
        <v>2</v>
      </c>
      <c r="M118" s="3">
        <f>I118/L118</f>
        <v/>
      </c>
      <c r="N118">
        <f>IF(M118&gt;=5100,"ставка","мин.ставка")</f>
        <v/>
      </c>
      <c r="O118" s="3">
        <f>ROUND(IF(N118="мин.ставка",L118*100,I118/102*2),2)</f>
        <v/>
      </c>
      <c r="P118" s="5" t="n">
        <v>46223.5</v>
      </c>
      <c r="Q118" t="inlineStr">
        <is>
          <t>TravelLine TNK</t>
        </is>
      </c>
      <c r="R118" s="2" t="inlineStr">
        <is>
          <t>СТАНДАРТНЫЙ ДВУХМЕСТНЫЙ НОМЕР</t>
        </is>
      </c>
      <c r="S118" t="n">
        <v>26</v>
      </c>
      <c r="T118" t="n">
        <v>1</v>
      </c>
      <c r="U118" t="inlineStr"/>
      <c r="V118" t="inlineStr">
        <is>
          <t>Тариф с завтраком</t>
        </is>
      </c>
      <c r="W118" t="n">
        <v>22695</v>
      </c>
      <c r="X118" s="3" t="n">
        <v>4005</v>
      </c>
      <c r="Y118" t="inlineStr">
        <is>
          <t>15%</t>
        </is>
      </c>
      <c r="Z118" t="inlineStr">
        <is>
          <t>2026-07-18, 2026-07-19</t>
        </is>
      </c>
      <c r="AA118" s="3" t="n">
        <v>22695</v>
      </c>
      <c r="AB118" t="inlineStr">
        <is>
          <t>Сошлось по ночным тарифам</t>
        </is>
      </c>
      <c r="AC118" s="2" t="inlineStr"/>
      <c r="AD118" t="n">
        <v>4005</v>
      </c>
      <c r="AE118" t="n">
        <v>0</v>
      </c>
      <c r="AF118" t="inlineStr">
        <is>
          <t>Скидка добавлена к налоговой базе</t>
        </is>
      </c>
      <c r="AG118" t="n">
        <v>26700</v>
      </c>
      <c r="AH118" t="n">
        <v>22695</v>
      </c>
      <c r="AI118" t="inlineStr">
        <is>
          <t>Полное проживание в выбранном периоде</t>
        </is>
      </c>
    </row>
    <row r="119">
      <c r="A119" t="inlineStr">
        <is>
          <t>20260702-8186-413960920</t>
        </is>
      </c>
      <c r="B119" t="n">
        <v>1</v>
      </c>
      <c r="C119" s="2" t="inlineStr">
        <is>
          <t>Анастасия Васильева, Владимир Благодеров</t>
        </is>
      </c>
      <c r="D119" s="3" t="n">
        <v>39636.15</v>
      </c>
      <c r="E119" s="4" t="n">
        <v>4</v>
      </c>
      <c r="F119" t="inlineStr">
        <is>
          <t>TravelLine Booking Engine [Чайковский]</t>
        </is>
      </c>
      <c r="G119" s="3">
        <f>ROUND(D119/(100-E119)*100,2)</f>
        <v/>
      </c>
      <c r="H119" s="3" t="n">
        <v>0</v>
      </c>
      <c r="I119" s="3">
        <f>ROUND(IF(ISNUMBER(AG119),AG119,G119)+H119,2)</f>
        <v/>
      </c>
      <c r="J119" s="2" t="inlineStr">
        <is>
          <t>Завтрак "Шведский стол"</t>
        </is>
      </c>
      <c r="K119" s="5" t="n">
        <v>46205.58333333334</v>
      </c>
      <c r="L119" t="n">
        <v>3</v>
      </c>
      <c r="M119" s="3">
        <f>I119/L119</f>
        <v/>
      </c>
      <c r="N119">
        <f>IF(M119&gt;=5100,"ставка","мин.ставка")</f>
        <v/>
      </c>
      <c r="O119" s="3">
        <f>ROUND(IF(N119="мин.ставка",L119*100,I119/102*2),2)</f>
        <v/>
      </c>
      <c r="P119" s="5" t="n">
        <v>46208.5</v>
      </c>
      <c r="Q119" t="inlineStr">
        <is>
          <t>TravelLine сайт</t>
        </is>
      </c>
      <c r="R119" s="2" t="inlineStr">
        <is>
          <t>СТАНДАРТНЫЙ ДВУХМЕСТНЫЙ НОМЕР</t>
        </is>
      </c>
      <c r="S119" t="n">
        <v>22</v>
      </c>
      <c r="T119" t="n">
        <v>1</v>
      </c>
      <c r="U119" t="inlineStr"/>
      <c r="V119" t="inlineStr">
        <is>
          <t>Тариф с завтраком</t>
        </is>
      </c>
      <c r="W119" t="n">
        <v>39636.15</v>
      </c>
      <c r="X119" s="3" t="n">
        <v>413.85</v>
      </c>
      <c r="Y119" t="inlineStr">
        <is>
          <t>3.1%</t>
        </is>
      </c>
      <c r="Z119" t="inlineStr">
        <is>
          <t>2026-07-02</t>
        </is>
      </c>
      <c r="AA119" s="3" t="n">
        <v>39636.15</v>
      </c>
      <c r="AB119" t="inlineStr">
        <is>
          <t>Сошлось по ночным тарифам</t>
        </is>
      </c>
      <c r="AC119" s="2" t="inlineStr"/>
      <c r="AD119" t="n">
        <v>413.85</v>
      </c>
      <c r="AE119" t="n">
        <v>0</v>
      </c>
      <c r="AF119" t="inlineStr">
        <is>
          <t>Скидка добавлена к налоговой базе</t>
        </is>
      </c>
      <c r="AG119" t="n">
        <v>40050</v>
      </c>
      <c r="AH119" t="n">
        <v>39636.15</v>
      </c>
      <c r="AI119" t="inlineStr">
        <is>
          <t>Полное проживание в выбранном периоде</t>
        </is>
      </c>
    </row>
    <row r="120">
      <c r="A120" t="inlineStr">
        <is>
          <t>20260707-8186-436726301</t>
        </is>
      </c>
      <c r="B120" t="n">
        <v>1</v>
      </c>
      <c r="C120" s="2" t="inlineStr">
        <is>
          <t>Анастасия Дмитриева</t>
        </is>
      </c>
      <c r="D120" s="3" t="n">
        <v>18160</v>
      </c>
      <c r="E120" s="4" t="n">
        <v>20</v>
      </c>
      <c r="F120" t="inlineStr">
        <is>
          <t>ООО "КОМПАНИЯ БРОНЕВИК" [Чайковский]</t>
        </is>
      </c>
      <c r="G120" s="3">
        <f>ROUND(D120/(100-E120)*100,2)</f>
        <v/>
      </c>
      <c r="H120" s="3" t="n">
        <v>0</v>
      </c>
      <c r="I120" s="3">
        <f>ROUND(IF(ISNUMBER(AG120),AG120,G120)+H120,2)</f>
        <v/>
      </c>
      <c r="J120" s="2" t="inlineStr">
        <is>
          <t>Завтрак "Шведский стол"</t>
        </is>
      </c>
      <c r="K120" s="5" t="n">
        <v>46210.58333333334</v>
      </c>
      <c r="L120" t="n">
        <v>2</v>
      </c>
      <c r="M120" s="3">
        <f>I120/L120</f>
        <v/>
      </c>
      <c r="N120">
        <f>IF(M120&gt;=5100,"ставка","мин.ставка")</f>
        <v/>
      </c>
      <c r="O120" s="3">
        <f>ROUND(IF(N120="мин.ставка",L120*100,I120/102*2),2)</f>
        <v/>
      </c>
      <c r="P120" s="5" t="n">
        <v>46212.5</v>
      </c>
      <c r="Q120" t="inlineStr">
        <is>
          <t>TravelLine BR2</t>
        </is>
      </c>
      <c r="R120" s="2" t="inlineStr">
        <is>
          <t>СТАНДАРТНЫЙ ДВУХМЕСТНЫЙ НОМЕР</t>
        </is>
      </c>
      <c r="S120" t="n">
        <v>23</v>
      </c>
      <c r="T120" t="n">
        <v>1</v>
      </c>
      <c r="U120" t="inlineStr"/>
      <c r="V120" t="inlineStr">
        <is>
          <t>Тариф с завтраком</t>
        </is>
      </c>
      <c r="W120" t="n">
        <v>18160</v>
      </c>
      <c r="X120" s="3" t="n">
        <v>0</v>
      </c>
      <c r="Y120" t="inlineStr"/>
      <c r="Z120" t="inlineStr"/>
      <c r="AA120" s="3" t="n">
        <v>18160</v>
      </c>
      <c r="AB120" t="inlineStr">
        <is>
          <t>Сошлось по ночным тарифам</t>
        </is>
      </c>
      <c r="AC120" s="2" t="inlineStr"/>
      <c r="AD120" t="n">
        <v>0</v>
      </c>
      <c r="AE120" t="n">
        <v>0</v>
      </c>
      <c r="AF120" t="inlineStr">
        <is>
          <t>Скидки нет</t>
        </is>
      </c>
      <c r="AG120" t="n">
        <v>18160</v>
      </c>
      <c r="AH120" t="n">
        <v>18160</v>
      </c>
      <c r="AI120" t="inlineStr">
        <is>
          <t>Полное проживание в выбранном периоде</t>
        </is>
      </c>
    </row>
    <row r="121">
      <c r="A121" t="inlineStr">
        <is>
          <t>20260712-8186-436726626</t>
        </is>
      </c>
      <c r="B121" t="n">
        <v>1</v>
      </c>
      <c r="C121" s="2" t="inlineStr">
        <is>
          <t>Анастасия Дмитриева</t>
        </is>
      </c>
      <c r="D121" s="3" t="n">
        <v>12320</v>
      </c>
      <c r="E121" s="4" t="n">
        <v>20</v>
      </c>
      <c r="F121" t="inlineStr">
        <is>
          <t>ООО "КОМПАНИЯ БРОНЕВИК" [Чайковский]</t>
        </is>
      </c>
      <c r="G121" s="3">
        <f>ROUND(D121/(100-E121)*100,2)</f>
        <v/>
      </c>
      <c r="H121" s="3" t="n">
        <v>0</v>
      </c>
      <c r="I121" s="3">
        <f>ROUND(IF(ISNUMBER(AG121),AG121,G121)+H121,2)</f>
        <v/>
      </c>
      <c r="J121" s="2" t="inlineStr">
        <is>
          <t>Завтрак "Шведский стол"</t>
        </is>
      </c>
      <c r="K121" s="5" t="n">
        <v>46215.58333333334</v>
      </c>
      <c r="L121" t="n">
        <v>2</v>
      </c>
      <c r="M121" s="3">
        <f>I121/L121</f>
        <v/>
      </c>
      <c r="N121">
        <f>IF(M121&gt;=5100,"ставка","мин.ставка")</f>
        <v/>
      </c>
      <c r="O121" s="3">
        <f>ROUND(IF(N121="мин.ставка",L121*100,I121/102*2),2)</f>
        <v/>
      </c>
      <c r="P121" s="5" t="n">
        <v>46217.5</v>
      </c>
      <c r="Q121" t="inlineStr">
        <is>
          <t>TravelLine BR2</t>
        </is>
      </c>
      <c r="R121" s="2" t="inlineStr">
        <is>
          <t>СТАНДАРТНЫЙ ОДНОМЕСТНЫЙ НОМЕР</t>
        </is>
      </c>
      <c r="S121" t="n">
        <v>34</v>
      </c>
      <c r="T121" t="n">
        <v>1</v>
      </c>
      <c r="U121" t="inlineStr"/>
      <c r="V121" t="inlineStr">
        <is>
          <t>Тариф с завтраком</t>
        </is>
      </c>
      <c r="W121" t="n">
        <v>12320</v>
      </c>
      <c r="X121" s="3" t="n">
        <v>0</v>
      </c>
      <c r="Y121" t="inlineStr"/>
      <c r="Z121" t="inlineStr"/>
      <c r="AA121" s="3" t="n">
        <v>12320</v>
      </c>
      <c r="AB121" t="inlineStr">
        <is>
          <t>Сошлось по ночным тарифам</t>
        </is>
      </c>
      <c r="AC121" s="2" t="inlineStr"/>
      <c r="AD121" t="n">
        <v>0</v>
      </c>
      <c r="AE121" t="n">
        <v>0</v>
      </c>
      <c r="AF121" t="inlineStr">
        <is>
          <t>Скидки нет</t>
        </is>
      </c>
      <c r="AG121" t="n">
        <v>12320</v>
      </c>
      <c r="AH121" t="n">
        <v>12320</v>
      </c>
      <c r="AI121" t="inlineStr">
        <is>
          <t>Полное проживание в выбранном периоде</t>
        </is>
      </c>
    </row>
    <row r="122">
      <c r="A122" t="inlineStr">
        <is>
          <t>20260814-8186-457613719</t>
        </is>
      </c>
      <c r="B122" t="n">
        <v>1</v>
      </c>
      <c r="C122" s="2" t="inlineStr">
        <is>
          <t>Анастасия Екушевская, Вячеслав Гольцов</t>
        </is>
      </c>
      <c r="D122" s="3" t="n">
        <v>8217</v>
      </c>
      <c r="E122" s="4" t="n">
        <v>18</v>
      </c>
      <c r="F122" t="inlineStr">
        <is>
          <t>Яндекс.Путешествия [Чайковский]</t>
        </is>
      </c>
      <c r="G122" s="3">
        <f>ROUND(D122/(100-E122)*100,2)</f>
        <v/>
      </c>
      <c r="H122" s="3" t="n">
        <v>0</v>
      </c>
      <c r="I122" s="3">
        <f>ROUND(IF(ISNUMBER(AG122),AG122,G122)+H122,2)</f>
        <v/>
      </c>
      <c r="J122" s="2" t="inlineStr">
        <is>
          <t>Завтрак "Шведский стол"</t>
        </is>
      </c>
      <c r="K122" s="5" t="n">
        <v>46248.58333333334</v>
      </c>
      <c r="L122" t="n">
        <v>1</v>
      </c>
      <c r="M122" s="3">
        <f>I122/L122</f>
        <v/>
      </c>
      <c r="N122">
        <f>IF(M122&gt;=5100,"ставка","мин.ставка")</f>
        <v/>
      </c>
      <c r="O122" s="3">
        <f>ROUND(IF(N122="мин.ставка",L122*100,I122/102*2),2)</f>
        <v/>
      </c>
      <c r="P122" s="5" t="n">
        <v>46249.5</v>
      </c>
      <c r="Q122" t="inlineStr">
        <is>
          <t>TravelLine YAX</t>
        </is>
      </c>
      <c r="R122" s="2" t="inlineStr">
        <is>
          <t>СТАНДАРТНЫЙ ДВУХМЕСТНЫЙ НОМЕР (МАНСАРДА)</t>
        </is>
      </c>
      <c r="S122" t="n">
        <v>47</v>
      </c>
      <c r="T122" t="n">
        <v>1</v>
      </c>
      <c r="U122" t="inlineStr"/>
      <c r="V122" t="inlineStr">
        <is>
          <t>Тариф с завтраком</t>
        </is>
      </c>
      <c r="W122" t="n">
        <v>8217</v>
      </c>
      <c r="X122" s="3" t="n">
        <v>1683</v>
      </c>
      <c r="Y122" t="inlineStr">
        <is>
          <t>17%</t>
        </is>
      </c>
      <c r="Z122" t="inlineStr">
        <is>
          <t>2026-08-14</t>
        </is>
      </c>
      <c r="AA122" s="3" t="n">
        <v>8217</v>
      </c>
      <c r="AB122" t="inlineStr">
        <is>
          <t>Сошлось по ночным тарифам</t>
        </is>
      </c>
      <c r="AC122" s="2" t="inlineStr"/>
      <c r="AD122" t="n">
        <v>1683</v>
      </c>
      <c r="AE122" t="n">
        <v>0</v>
      </c>
      <c r="AF122" t="inlineStr">
        <is>
          <t>Скидка добавлена к налоговой базе</t>
        </is>
      </c>
      <c r="AG122" t="n">
        <v>9900</v>
      </c>
      <c r="AH122" t="n">
        <v>8217</v>
      </c>
      <c r="AI122" t="inlineStr">
        <is>
          <t>Полное проживание в выбранном периоде</t>
        </is>
      </c>
    </row>
    <row r="123">
      <c r="A123" t="inlineStr">
        <is>
          <t>20260907-8186-417706325</t>
        </is>
      </c>
      <c r="B123" t="n">
        <v>1</v>
      </c>
      <c r="C123" s="2" t="inlineStr">
        <is>
          <t>Анастасия Ковальчук</t>
        </is>
      </c>
      <c r="D123" s="3" t="n">
        <v>38384.5</v>
      </c>
      <c r="E123" s="4" t="n">
        <v>4</v>
      </c>
      <c r="F123" t="inlineStr">
        <is>
          <t>TravelLine Booking Engine [Чайковский]</t>
        </is>
      </c>
      <c r="G123" s="3">
        <f>ROUND(D123/(100-E123)*100,2)</f>
        <v/>
      </c>
      <c r="H123" s="3" t="n">
        <v>0</v>
      </c>
      <c r="I123" s="3">
        <f>ROUND(IF(ISNUMBER(AG123),AG123,G123)+H123,2)</f>
        <v/>
      </c>
      <c r="J123" s="2" t="inlineStr">
        <is>
          <t>Завтрак "Шведский стол"</t>
        </is>
      </c>
      <c r="K123" s="5" t="n">
        <v>46272.58333333334</v>
      </c>
      <c r="L123" t="n">
        <v>5</v>
      </c>
      <c r="M123" s="3">
        <f>I123/L123</f>
        <v/>
      </c>
      <c r="N123">
        <f>IF(M123&gt;=5100,"ставка","мин.ставка")</f>
        <v/>
      </c>
      <c r="O123" s="3">
        <f>ROUND(IF(N123="мин.ставка",L123*100,I123/102*2),2)</f>
        <v/>
      </c>
      <c r="P123" s="5" t="n">
        <v>46277.5</v>
      </c>
      <c r="Q123" t="inlineStr">
        <is>
          <t>TravelLine сайт</t>
        </is>
      </c>
      <c r="R123" s="2" t="inlineStr">
        <is>
          <t>СТАНДАРТНЫЙ ОДНОМЕСТНЫЙ НОМЕР</t>
        </is>
      </c>
      <c r="S123" t="n">
        <v>24</v>
      </c>
      <c r="T123" t="n">
        <v>1</v>
      </c>
      <c r="U123" t="inlineStr"/>
      <c r="V123" t="inlineStr">
        <is>
          <t>Тариф с завтраком</t>
        </is>
      </c>
      <c r="W123" t="n">
        <v>38384.5</v>
      </c>
      <c r="X123" s="3" t="n">
        <v>115.5</v>
      </c>
      <c r="Y123" t="inlineStr">
        <is>
          <t>1.5%</t>
        </is>
      </c>
      <c r="Z123" t="inlineStr">
        <is>
          <t>2026-09-07</t>
        </is>
      </c>
      <c r="AA123" s="3" t="n">
        <v>38384.5</v>
      </c>
      <c r="AB123" t="inlineStr">
        <is>
          <t>Сошлось по ночным тарифам</t>
        </is>
      </c>
      <c r="AC123" s="2" t="inlineStr"/>
      <c r="AD123" t="n">
        <v>115.5</v>
      </c>
      <c r="AE123" t="n">
        <v>0</v>
      </c>
      <c r="AF123" t="inlineStr">
        <is>
          <t>Скидка добавлена к налоговой базе</t>
        </is>
      </c>
      <c r="AG123" t="n">
        <v>38500</v>
      </c>
      <c r="AH123" t="n">
        <v>38384.5</v>
      </c>
      <c r="AI123" t="inlineStr">
        <is>
          <t>Полное проживание в выбранном периоде</t>
        </is>
      </c>
    </row>
    <row r="124">
      <c r="A124" t="inlineStr">
        <is>
          <t>20260904-8186-459337716</t>
        </is>
      </c>
      <c r="B124" t="n">
        <v>1</v>
      </c>
      <c r="C124" s="2" t="inlineStr">
        <is>
          <t>Анастасия Корчинская</t>
        </is>
      </c>
      <c r="D124" s="3" t="n">
        <v>47102.5</v>
      </c>
      <c r="E124" s="4" t="n">
        <v>17</v>
      </c>
      <c r="F124" t="inlineStr">
        <is>
          <t>ООО «Интернет Трэвел» (OZON) [Чайковский]</t>
        </is>
      </c>
      <c r="G124" s="3">
        <f>ROUND(D124/(100-E124)*100,2)</f>
        <v/>
      </c>
      <c r="H124" s="3" t="n">
        <v>0</v>
      </c>
      <c r="I124" s="3">
        <f>ROUND(IF(ISNUMBER(AG124),AG124,G124)+H124,2)</f>
        <v/>
      </c>
      <c r="J124" s="2" t="inlineStr">
        <is>
          <t>Завтрак "Шведский стол"</t>
        </is>
      </c>
      <c r="K124" s="5" t="n">
        <v>46269.58333333334</v>
      </c>
      <c r="L124" t="n">
        <v>5</v>
      </c>
      <c r="M124" s="3">
        <f>I124/L124</f>
        <v/>
      </c>
      <c r="N124">
        <f>IF(M124&gt;=5100,"ставка","мин.ставка")</f>
        <v/>
      </c>
      <c r="O124" s="3">
        <f>ROUND(IF(N124="мин.ставка",L124*100,I124/102*2),2)</f>
        <v/>
      </c>
      <c r="P124" s="5" t="n">
        <v>46274.5</v>
      </c>
      <c r="Q124" t="inlineStr">
        <is>
          <t>TravelLine OZ2</t>
        </is>
      </c>
      <c r="R124" s="2" t="inlineStr">
        <is>
          <t>СТАНДАРТНЫЙ ДВУХМЕСТНЫЙ НОМЕР</t>
        </is>
      </c>
      <c r="S124" t="n">
        <v>42</v>
      </c>
      <c r="T124" t="n">
        <v>1</v>
      </c>
      <c r="U124" t="inlineStr"/>
      <c r="V124" t="inlineStr">
        <is>
          <t>Тариф с завтраком</t>
        </is>
      </c>
      <c r="W124" t="n">
        <v>47102.5</v>
      </c>
      <c r="X124" s="3" t="n">
        <v>9647.5</v>
      </c>
      <c r="Y124" t="inlineStr">
        <is>
          <t>17%</t>
        </is>
      </c>
      <c r="Z124" t="inlineStr">
        <is>
          <t>2026-09-04, 2026-09-05, 2026-09-06, 2026-09-07, 2026-09-08</t>
        </is>
      </c>
      <c r="AA124" s="3" t="n">
        <v>47102.5</v>
      </c>
      <c r="AB124" t="inlineStr">
        <is>
          <t>Сошлось по ночным тарифам</t>
        </is>
      </c>
      <c r="AC124" s="2" t="inlineStr"/>
      <c r="AD124" t="n">
        <v>9647.5</v>
      </c>
      <c r="AE124" t="n">
        <v>0</v>
      </c>
      <c r="AF124" t="inlineStr">
        <is>
          <t>Скидка добавлена к налоговой базе</t>
        </is>
      </c>
      <c r="AG124" t="n">
        <v>56750</v>
      </c>
      <c r="AH124" t="n">
        <v>47102.5</v>
      </c>
      <c r="AI124" t="inlineStr">
        <is>
          <t>Полное проживание в выбранном периоде</t>
        </is>
      </c>
    </row>
    <row r="125">
      <c r="A125" t="inlineStr">
        <is>
          <t>20260915-8186-455448822</t>
        </is>
      </c>
      <c r="B125" t="n">
        <v>1</v>
      </c>
      <c r="C125" s="2" t="inlineStr">
        <is>
          <t>Анастасия Коса</t>
        </is>
      </c>
      <c r="D125" s="3" t="n">
        <v>6160</v>
      </c>
      <c r="E125" s="4" t="n">
        <v>20</v>
      </c>
      <c r="F125" t="inlineStr">
        <is>
          <t>ООО "УК ГЦБ и Т" [Чайковский]</t>
        </is>
      </c>
      <c r="G125" s="3">
        <f>ROUND(D125/(100-E125)*100,2)</f>
        <v/>
      </c>
      <c r="H125" s="3" t="n">
        <v>0</v>
      </c>
      <c r="I125" s="3">
        <f>ROUND(IF(ISNUMBER(AG125),AG125,G125)+H125,2)</f>
        <v/>
      </c>
      <c r="J125" s="2" t="inlineStr">
        <is>
          <t>Завтрак; Завтрак "Шведский стол"</t>
        </is>
      </c>
      <c r="K125" s="5" t="n">
        <v>46280.58333333334</v>
      </c>
      <c r="L125" t="n">
        <v>1</v>
      </c>
      <c r="M125" s="3">
        <f>I125/L125</f>
        <v/>
      </c>
      <c r="N125">
        <f>IF(M125&gt;=5100,"ставка","мин.ставка")</f>
        <v/>
      </c>
      <c r="O125" s="3">
        <f>ROUND(IF(N125="мин.ставка",L125*100,I125/102*2),2)</f>
        <v/>
      </c>
      <c r="P125" s="5" t="n">
        <v>46281.5</v>
      </c>
      <c r="Q125" t="inlineStr">
        <is>
          <t>TravelLine CBC</t>
        </is>
      </c>
      <c r="R125" s="2" t="inlineStr">
        <is>
          <t>СТАНДАРТНЫЙ ОДНОМЕСТНЫЙ НОМЕР</t>
        </is>
      </c>
      <c r="S125" t="n">
        <v>34</v>
      </c>
      <c r="T125" t="n">
        <v>1</v>
      </c>
      <c r="U125" t="inlineStr"/>
      <c r="V125" t="inlineStr">
        <is>
          <t>Тариф с завтраком</t>
        </is>
      </c>
      <c r="W125" t="n">
        <v>6160</v>
      </c>
      <c r="X125" s="3" t="n">
        <v>1540</v>
      </c>
      <c r="Y125" t="inlineStr">
        <is>
          <t>20%</t>
        </is>
      </c>
      <c r="Z125" t="inlineStr">
        <is>
          <t>2026-09-15</t>
        </is>
      </c>
      <c r="AA125" s="3" t="n">
        <v>6160</v>
      </c>
      <c r="AB125" t="inlineStr">
        <is>
          <t>Сошлось по ночным тарифам</t>
        </is>
      </c>
      <c r="AC125" s="2" t="inlineStr"/>
      <c r="AD125" t="n">
        <v>1540</v>
      </c>
      <c r="AE125" t="n">
        <v>0</v>
      </c>
      <c r="AF125" t="inlineStr">
        <is>
          <t>Скидка добавлена к налоговой базе</t>
        </is>
      </c>
      <c r="AG125" t="n">
        <v>7700</v>
      </c>
      <c r="AH125" t="n">
        <v>6160</v>
      </c>
      <c r="AI125" t="inlineStr">
        <is>
          <t>Полное проживание в выбранном периоде</t>
        </is>
      </c>
    </row>
    <row r="126">
      <c r="A126" t="inlineStr">
        <is>
          <t>20260805-8186-455054360</t>
        </is>
      </c>
      <c r="B126" t="n">
        <v>1</v>
      </c>
      <c r="C126" s="2" t="inlineStr">
        <is>
          <t>Анастасия Крауялис</t>
        </is>
      </c>
      <c r="D126" s="3" t="n">
        <v>13050</v>
      </c>
      <c r="E126" s="4" t="n">
        <v>0</v>
      </c>
      <c r="F126" t="inlineStr">
        <is>
          <t>Прямые бронирования (стойка) [Чайковский]</t>
        </is>
      </c>
      <c r="G126" s="3">
        <f>ROUND(D126/(100-E126)*100,2)</f>
        <v/>
      </c>
      <c r="H126" s="3" t="n">
        <v>0</v>
      </c>
      <c r="I126" s="3">
        <f>ROUND(IF(ISNUMBER(AG126),AG126,G126)+H126,2)</f>
        <v/>
      </c>
      <c r="J126" s="2" t="inlineStr">
        <is>
          <t>Завтрак "Шведский стол"</t>
        </is>
      </c>
      <c r="K126" s="5" t="n">
        <v>46239.58333333334</v>
      </c>
      <c r="L126" t="n">
        <v>1</v>
      </c>
      <c r="M126" s="3">
        <f>I126/L126</f>
        <v/>
      </c>
      <c r="N126">
        <f>IF(M126&gt;=5100,"ставка","мин.ставка")</f>
        <v/>
      </c>
      <c r="O126" s="3">
        <f>ROUND(IF(N126="мин.ставка",L126*100,I126/102*2),2)</f>
        <v/>
      </c>
      <c r="P126" s="5" t="n">
        <v>46240.5</v>
      </c>
      <c r="Q126" t="inlineStr">
        <is>
          <t>TravelLine ресепшен</t>
        </is>
      </c>
      <c r="R126" s="2" t="inlineStr">
        <is>
          <t>ПОЛУЛЮКС</t>
        </is>
      </c>
      <c r="S126" t="n">
        <v>11</v>
      </c>
      <c r="T126" t="n">
        <v>1</v>
      </c>
      <c r="U126" t="inlineStr"/>
      <c r="V126" t="inlineStr">
        <is>
          <t>Тариф с завтраком</t>
        </is>
      </c>
      <c r="W126" t="n">
        <v>13050</v>
      </c>
      <c r="X126" s="3" t="n">
        <v>1450</v>
      </c>
      <c r="Y126" t="inlineStr">
        <is>
          <t>10%</t>
        </is>
      </c>
      <c r="Z126" t="inlineStr">
        <is>
          <t>2026-08-05</t>
        </is>
      </c>
      <c r="AA126" s="3" t="n">
        <v>13050</v>
      </c>
      <c r="AB126" t="inlineStr">
        <is>
          <t>Сошлось по ночным тарифам</t>
        </is>
      </c>
      <c r="AC126" s="2" t="inlineStr"/>
      <c r="AD126" t="n">
        <v>1450</v>
      </c>
      <c r="AE126" t="n">
        <v>0</v>
      </c>
      <c r="AF126" t="inlineStr">
        <is>
          <t>Скидка добавлена к налоговой базе</t>
        </is>
      </c>
      <c r="AG126" t="n">
        <v>14500</v>
      </c>
      <c r="AH126" t="n">
        <v>13050</v>
      </c>
      <c r="AI126" t="inlineStr">
        <is>
          <t>Полное проживание в выбранном периоде</t>
        </is>
      </c>
    </row>
    <row r="127">
      <c r="A127" t="inlineStr">
        <is>
          <t>20260828-8186-441887240</t>
        </is>
      </c>
      <c r="B127" t="n">
        <v>1</v>
      </c>
      <c r="C127" s="2" t="inlineStr">
        <is>
          <t>Анастасия Крицкова</t>
        </is>
      </c>
      <c r="D127" s="3" t="n">
        <v>6320</v>
      </c>
      <c r="E127" s="4" t="n">
        <v>20</v>
      </c>
      <c r="F127" t="inlineStr">
        <is>
          <t>ООО "КОМПАНИЯ БРОНЕВИК" [Чайковский]</t>
        </is>
      </c>
      <c r="G127" s="3">
        <f>ROUND(D127/(100-E127)*100,2)</f>
        <v/>
      </c>
      <c r="H127" s="3" t="n">
        <v>0</v>
      </c>
      <c r="I127" s="3">
        <f>ROUND(IF(ISNUMBER(AG127),AG127,G127)+H127,2)</f>
        <v/>
      </c>
      <c r="J127" s="2" t="inlineStr">
        <is>
          <t>Завтрак "Шведский стол"</t>
        </is>
      </c>
      <c r="K127" s="5" t="n">
        <v>46262.58333333334</v>
      </c>
      <c r="L127" t="n">
        <v>1</v>
      </c>
      <c r="M127" s="3">
        <f>I127/L127</f>
        <v/>
      </c>
      <c r="N127">
        <f>IF(M127&gt;=5100,"ставка","мин.ставка")</f>
        <v/>
      </c>
      <c r="O127" s="3">
        <f>ROUND(IF(N127="мин.ставка",L127*100,I127/102*2),2)</f>
        <v/>
      </c>
      <c r="P127" s="5" t="n">
        <v>46263.5</v>
      </c>
      <c r="Q127" t="inlineStr">
        <is>
          <t>TravelLine BR2</t>
        </is>
      </c>
      <c r="R127" s="2" t="inlineStr">
        <is>
          <t>СТАНДАРТНЫЙ ДВУХМЕСТНЫЙ НОМЕР</t>
        </is>
      </c>
      <c r="S127" t="n">
        <v>42</v>
      </c>
      <c r="T127" t="n">
        <v>1</v>
      </c>
      <c r="U127" t="inlineStr"/>
      <c r="V127" t="inlineStr">
        <is>
          <t>Тариф с завтраком</t>
        </is>
      </c>
      <c r="W127" t="n">
        <v>6320</v>
      </c>
      <c r="X127" s="3" t="n">
        <v>0</v>
      </c>
      <c r="Y127" t="inlineStr"/>
      <c r="Z127" t="inlineStr"/>
      <c r="AA127" s="3" t="n">
        <v>6320</v>
      </c>
      <c r="AB127" t="inlineStr">
        <is>
          <t>Сошлось по ночным тарифам</t>
        </is>
      </c>
      <c r="AC127" s="2" t="inlineStr"/>
      <c r="AD127" t="n">
        <v>0</v>
      </c>
      <c r="AE127" t="n">
        <v>0</v>
      </c>
      <c r="AF127" t="inlineStr">
        <is>
          <t>Скидки нет</t>
        </is>
      </c>
      <c r="AG127" t="n">
        <v>6320</v>
      </c>
      <c r="AH127" t="n">
        <v>6320</v>
      </c>
      <c r="AI127" t="inlineStr">
        <is>
          <t>Полное проживание в выбранном периоде</t>
        </is>
      </c>
    </row>
    <row r="128">
      <c r="A128" t="inlineStr">
        <is>
          <t>20260829-8186-460805833</t>
        </is>
      </c>
      <c r="B128" t="n">
        <v>1</v>
      </c>
      <c r="C128" s="2" t="inlineStr">
        <is>
          <t>Анастасия Левкина, Андрей Левкин</t>
        </is>
      </c>
      <c r="D128" s="3" t="n">
        <v>12782</v>
      </c>
      <c r="E128" s="4" t="n">
        <v>17</v>
      </c>
      <c r="F128" t="inlineStr">
        <is>
          <t>ООО «Интернет Трэвел» (OZON) [Чайковский]</t>
        </is>
      </c>
      <c r="G128" s="3">
        <f>ROUND(D128/(100-E128)*100,2)</f>
        <v/>
      </c>
      <c r="H128" s="3" t="n">
        <v>0</v>
      </c>
      <c r="I128" s="3">
        <f>ROUND(IF(ISNUMBER(AG128),AG128,G128)+H128,2)</f>
        <v/>
      </c>
      <c r="J128" s="2" t="inlineStr">
        <is>
          <t>Завтрак "Шведский стол"</t>
        </is>
      </c>
      <c r="K128" s="5" t="n">
        <v>46263.58333333334</v>
      </c>
      <c r="L128" t="n">
        <v>1</v>
      </c>
      <c r="M128" s="3">
        <f>I128/L128</f>
        <v/>
      </c>
      <c r="N128">
        <f>IF(M128&gt;=5100,"ставка","мин.ставка")</f>
        <v/>
      </c>
      <c r="O128" s="3">
        <f>ROUND(IF(N128="мин.ставка",L128*100,I128/102*2),2)</f>
        <v/>
      </c>
      <c r="P128" s="5" t="n">
        <v>46264.5</v>
      </c>
      <c r="Q128" t="inlineStr">
        <is>
          <t>TravelLine OZ2</t>
        </is>
      </c>
      <c r="R128" s="2" t="inlineStr">
        <is>
          <t>УЛУЧШЕННЫЙ ДВУХМЕСТНЫЙ НОМЕР</t>
        </is>
      </c>
      <c r="S128" t="n">
        <v>56</v>
      </c>
      <c r="T128" t="n">
        <v>2</v>
      </c>
      <c r="U128" t="inlineStr"/>
      <c r="V128" t="inlineStr">
        <is>
          <t>Тариф с завтраком</t>
        </is>
      </c>
      <c r="W128" t="n">
        <v>12782</v>
      </c>
      <c r="X128" s="3" t="n">
        <v>2618</v>
      </c>
      <c r="Y128" t="inlineStr">
        <is>
          <t>17%</t>
        </is>
      </c>
      <c r="Z128" t="inlineStr">
        <is>
          <t>2026-08-29</t>
        </is>
      </c>
      <c r="AA128" s="3" t="n">
        <v>12782</v>
      </c>
      <c r="AB128" t="inlineStr">
        <is>
          <t>Сошлось по ночным тарифам</t>
        </is>
      </c>
      <c r="AC128" s="2" t="inlineStr"/>
      <c r="AD128" t="n">
        <v>2618</v>
      </c>
      <c r="AE128" t="n">
        <v>0</v>
      </c>
      <c r="AF128" t="inlineStr">
        <is>
          <t>Скидка добавлена к налоговой базе</t>
        </is>
      </c>
      <c r="AG128" t="n">
        <v>15400</v>
      </c>
      <c r="AH128" t="n">
        <v>12782</v>
      </c>
      <c r="AI128" t="inlineStr">
        <is>
          <t>Полное проживание в выбранном периоде</t>
        </is>
      </c>
    </row>
    <row r="129">
      <c r="A129" t="inlineStr">
        <is>
          <t>20260810-8186-457560555</t>
        </is>
      </c>
      <c r="B129" t="n">
        <v>1</v>
      </c>
      <c r="C129" s="2" t="inlineStr">
        <is>
          <t>Анастасия Миланская</t>
        </is>
      </c>
      <c r="D129" s="3" t="n">
        <v>16252.5</v>
      </c>
      <c r="E129" s="4" t="n">
        <v>0</v>
      </c>
      <c r="F129" t="inlineStr">
        <is>
          <t>Прямые бронирования (стойка) [Чайковский]</t>
        </is>
      </c>
      <c r="G129" s="3">
        <f>ROUND(D129/(100-E129)*100,2)</f>
        <v/>
      </c>
      <c r="H129" s="3" t="n">
        <v>0</v>
      </c>
      <c r="I129" s="3">
        <f>ROUND(IF(ISNUMBER(AG129),AG129,G129)+H129,2)</f>
        <v/>
      </c>
      <c r="J129" s="2" t="inlineStr">
        <is>
          <t>Завтрак "Шведский стол"</t>
        </is>
      </c>
      <c r="K129" s="5" t="n">
        <v>46244.58333333334</v>
      </c>
      <c r="L129" t="n">
        <v>1</v>
      </c>
      <c r="M129" s="3">
        <f>I129/L129</f>
        <v/>
      </c>
      <c r="N129">
        <f>IF(M129&gt;=5100,"ставка","мин.ставка")</f>
        <v/>
      </c>
      <c r="O129" s="3">
        <f>ROUND(IF(N129="мин.ставка",L129*100,I129/102*2),2)</f>
        <v/>
      </c>
      <c r="P129" s="5" t="n">
        <v>46245.5</v>
      </c>
      <c r="Q129" t="inlineStr">
        <is>
          <t>TravelLine ресепшен</t>
        </is>
      </c>
      <c r="R129" s="2" t="inlineStr">
        <is>
          <t>ПОЛУЛЮКС</t>
        </is>
      </c>
      <c r="S129" t="n">
        <v>35</v>
      </c>
      <c r="T129" t="n">
        <v>1</v>
      </c>
      <c r="U129" t="inlineStr"/>
      <c r="V129" t="inlineStr">
        <is>
          <t>Тариф с завтраком</t>
        </is>
      </c>
      <c r="W129" t="n">
        <v>16252.5</v>
      </c>
      <c r="X129" s="3" t="n">
        <v>247.5</v>
      </c>
      <c r="Y129" t="inlineStr">
        <is>
          <t>1.5%</t>
        </is>
      </c>
      <c r="Z129" t="inlineStr">
        <is>
          <t>2026-08-10</t>
        </is>
      </c>
      <c r="AA129" s="3" t="n">
        <v>16252.5</v>
      </c>
      <c r="AB129" t="inlineStr">
        <is>
          <t>Сошлось по ночным тарифам</t>
        </is>
      </c>
      <c r="AC129" s="2" t="inlineStr"/>
      <c r="AD129" t="n">
        <v>247.5</v>
      </c>
      <c r="AE129" t="n">
        <v>0</v>
      </c>
      <c r="AF129" t="inlineStr">
        <is>
          <t>Скидка добавлена к налоговой базе</t>
        </is>
      </c>
      <c r="AG129" t="n">
        <v>16500</v>
      </c>
      <c r="AH129" t="n">
        <v>16252.5</v>
      </c>
      <c r="AI129" t="inlineStr">
        <is>
          <t>Полное проживание в выбранном периоде</t>
        </is>
      </c>
    </row>
    <row r="130">
      <c r="A130" t="inlineStr">
        <is>
          <t>20260715-8186-423875318</t>
        </is>
      </c>
      <c r="B130" t="n">
        <v>1</v>
      </c>
      <c r="C130" s="2" t="inlineStr">
        <is>
          <t>Анастасия Михайлова, Анна Юрчук</t>
        </is>
      </c>
      <c r="D130" s="3" t="n">
        <v>56960</v>
      </c>
      <c r="E130" s="4" t="n">
        <v>18</v>
      </c>
      <c r="F130" t="inlineStr">
        <is>
          <t>Яндекс.Путешествия [Чайковский]</t>
        </is>
      </c>
      <c r="G130" s="3">
        <f>ROUND(D130/(100-E130)*100,2)</f>
        <v/>
      </c>
      <c r="H130" s="3" t="n">
        <v>0</v>
      </c>
      <c r="I130" s="3">
        <f>ROUND(IF(ISNUMBER(AG130),AG130,G130)+H130,2)</f>
        <v/>
      </c>
      <c r="J130" s="2" t="inlineStr">
        <is>
          <t>Завтрак "Шведский стол"</t>
        </is>
      </c>
      <c r="K130" s="5" t="n">
        <v>46218.58333333334</v>
      </c>
      <c r="L130" t="n">
        <v>4</v>
      </c>
      <c r="M130" s="3">
        <f>I130/L130</f>
        <v/>
      </c>
      <c r="N130">
        <f>IF(M130&gt;=5100,"ставка","мин.ставка")</f>
        <v/>
      </c>
      <c r="O130" s="3">
        <f>ROUND(IF(N130="мин.ставка",L130*100,I130/102*2),2)</f>
        <v/>
      </c>
      <c r="P130" s="5" t="n">
        <v>46222.5</v>
      </c>
      <c r="Q130" t="inlineStr">
        <is>
          <t>TravelLine YAX</t>
        </is>
      </c>
      <c r="R130" s="2" t="inlineStr">
        <is>
          <t>ЛЮКС</t>
        </is>
      </c>
      <c r="S130" t="n">
        <v>57</v>
      </c>
      <c r="T130" t="n">
        <v>2</v>
      </c>
      <c r="U130" t="inlineStr"/>
      <c r="V130" t="inlineStr">
        <is>
          <t>Тариф с завтраком</t>
        </is>
      </c>
      <c r="W130" t="n">
        <v>56960</v>
      </c>
      <c r="X130" s="3" t="n">
        <v>14240</v>
      </c>
      <c r="Y130" t="inlineStr">
        <is>
          <t>20%</t>
        </is>
      </c>
      <c r="Z130" t="inlineStr">
        <is>
          <t>2026-07-15, 2026-07-16, 2026-07-17, 2026-07-18</t>
        </is>
      </c>
      <c r="AA130" s="3" t="n">
        <v>56960</v>
      </c>
      <c r="AB130" t="inlineStr">
        <is>
          <t>Сошлось по ночным тарифам</t>
        </is>
      </c>
      <c r="AC130" s="2" t="inlineStr"/>
      <c r="AD130" t="n">
        <v>14240</v>
      </c>
      <c r="AE130" t="n">
        <v>0</v>
      </c>
      <c r="AF130" t="inlineStr">
        <is>
          <t>Скидка добавлена к налоговой базе</t>
        </is>
      </c>
      <c r="AG130" t="n">
        <v>71200</v>
      </c>
      <c r="AH130" t="n">
        <v>56960</v>
      </c>
      <c r="AI130" t="inlineStr">
        <is>
          <t>Полное проживание в выбранном периоде</t>
        </is>
      </c>
    </row>
    <row r="131">
      <c r="A131" t="inlineStr">
        <is>
          <t>20260811-8186-457781207</t>
        </is>
      </c>
      <c r="B131" t="n">
        <v>1</v>
      </c>
      <c r="C131" s="2" t="inlineStr">
        <is>
          <t>Анастасия Можайская</t>
        </is>
      </c>
      <c r="D131" s="3" t="n">
        <v>12450</v>
      </c>
      <c r="E131" s="4" t="n">
        <v>0</v>
      </c>
      <c r="F131" t="inlineStr">
        <is>
          <t>Прямые бронирования (стойка) [Чайковский]</t>
        </is>
      </c>
      <c r="G131" s="3">
        <f>ROUND(D131/(100-E131)*100,2)</f>
        <v/>
      </c>
      <c r="H131" s="3" t="n">
        <v>0</v>
      </c>
      <c r="I131" s="3">
        <f>ROUND(IF(ISNUMBER(AG131),AG131,G131)+H131,2)</f>
        <v/>
      </c>
      <c r="J131" s="2" t="inlineStr">
        <is>
          <t>Завтрак "Шведский стол"</t>
        </is>
      </c>
      <c r="K131" s="5" t="n">
        <v>46245.58333333334</v>
      </c>
      <c r="L131" t="n">
        <v>1</v>
      </c>
      <c r="M131" s="3">
        <f>I131/L131</f>
        <v/>
      </c>
      <c r="N131">
        <f>IF(M131&gt;=5100,"ставка","мин.ставка")</f>
        <v/>
      </c>
      <c r="O131" s="3">
        <f>ROUND(IF(N131="мин.ставка",L131*100,I131/102*2),2)</f>
        <v/>
      </c>
      <c r="P131" s="5" t="n">
        <v>46246.5</v>
      </c>
      <c r="Q131" t="inlineStr">
        <is>
          <t>TravelLine ресепшен</t>
        </is>
      </c>
      <c r="R131" s="2" t="inlineStr">
        <is>
          <t>СЕМЕЙНЫЙ НОМЕР КАТЕГОРИИ "СТАНДАРТ" ВТОРОЙ КОРПУС</t>
        </is>
      </c>
      <c r="S131" t="n">
        <v>51</v>
      </c>
      <c r="T131" t="n">
        <v>2</v>
      </c>
      <c r="U131" t="inlineStr"/>
      <c r="V131" t="inlineStr">
        <is>
          <t>Тариф с завтраком</t>
        </is>
      </c>
      <c r="W131" t="n">
        <v>12450</v>
      </c>
      <c r="X131" s="3" t="n">
        <v>0</v>
      </c>
      <c r="Y131" t="inlineStr"/>
      <c r="Z131" t="inlineStr"/>
      <c r="AA131" s="3" t="n">
        <v>12450</v>
      </c>
      <c r="AB131" t="inlineStr">
        <is>
          <t>Сошлось по ночным тарифам</t>
        </is>
      </c>
      <c r="AC131" s="2" t="inlineStr"/>
      <c r="AD131" t="n">
        <v>0</v>
      </c>
      <c r="AE131" t="n">
        <v>0</v>
      </c>
      <c r="AF131" t="inlineStr">
        <is>
          <t>Скидки нет</t>
        </is>
      </c>
      <c r="AG131" t="n">
        <v>12450</v>
      </c>
      <c r="AH131" t="n">
        <v>12450</v>
      </c>
      <c r="AI131" t="inlineStr">
        <is>
          <t>Полное проживание в выбранном периоде</t>
        </is>
      </c>
    </row>
    <row r="132">
      <c r="A132" t="inlineStr">
        <is>
          <t>20260812-8186-457335221</t>
        </is>
      </c>
      <c r="B132" t="n">
        <v>1</v>
      </c>
      <c r="C132" s="2" t="inlineStr">
        <is>
          <t>Анастасия Рочкус, Ирина Морозюк</t>
        </is>
      </c>
      <c r="D132" s="3" t="n">
        <v>43350</v>
      </c>
      <c r="E132" s="4" t="n">
        <v>0</v>
      </c>
      <c r="F132" t="inlineStr">
        <is>
          <t>Прямые бронирования (стойка) [Чайковский]</t>
        </is>
      </c>
      <c r="G132" s="3">
        <f>ROUND(D132/(100-E132)*100,2)</f>
        <v/>
      </c>
      <c r="H132" s="3" t="n">
        <v>16800</v>
      </c>
      <c r="I132" s="3">
        <f>ROUND(IF(ISNUMBER(AG132),AG132,G132)+H132,2)</f>
        <v/>
      </c>
      <c r="J132" s="2" t="inlineStr">
        <is>
          <t>продление номера — 5 600,00 ₽; продление номера — 5 600,00 ₽; продление номера — 5 600,00 ₽; Завтрак "Шведский стол"</t>
        </is>
      </c>
      <c r="K132" s="5" t="n">
        <v>46246.58333333334</v>
      </c>
      <c r="L132" t="n">
        <v>3</v>
      </c>
      <c r="M132" s="3">
        <f>I132/L132</f>
        <v/>
      </c>
      <c r="N132">
        <f>IF(M132&gt;=5100,"ставка","мин.ставка")</f>
        <v/>
      </c>
      <c r="O132" s="3">
        <f>ROUND(IF(N132="мин.ставка",L132*100,I132/102*2),2)</f>
        <v/>
      </c>
      <c r="P132" s="5" t="n">
        <v>46249.5</v>
      </c>
      <c r="Q132" t="inlineStr">
        <is>
          <t>TravelLine ресепшен</t>
        </is>
      </c>
      <c r="R132" s="2" t="inlineStr">
        <is>
          <t>СЕМЕЙНЫЙ НОМЕР КАТЕГОРИИ "СТАНДАРТ" ВТОРОЙ КОРПУС</t>
        </is>
      </c>
      <c r="S132" t="n">
        <v>51</v>
      </c>
      <c r="T132" t="n">
        <v>2</v>
      </c>
      <c r="U132" t="inlineStr"/>
      <c r="V132" t="inlineStr">
        <is>
          <t>Тариф с завтраком</t>
        </is>
      </c>
      <c r="W132" t="n">
        <v>60150</v>
      </c>
      <c r="X132" s="3" t="n">
        <v>0</v>
      </c>
      <c r="Y132" t="inlineStr"/>
      <c r="Z132" t="inlineStr"/>
      <c r="AA132" s="3" t="n">
        <v>43350</v>
      </c>
      <c r="AB132" t="inlineStr">
        <is>
          <t>Сошлось с услугами</t>
        </is>
      </c>
      <c r="AC132" s="2" t="inlineStr"/>
      <c r="AD132" t="n">
        <v>0</v>
      </c>
      <c r="AE132" t="n">
        <v>0</v>
      </c>
      <c r="AF132" t="inlineStr">
        <is>
          <t>Скидки нет</t>
        </is>
      </c>
      <c r="AG132" t="n">
        <v>43350</v>
      </c>
      <c r="AH132" t="n">
        <v>43350</v>
      </c>
      <c r="AI132" t="inlineStr">
        <is>
          <t>Полное проживание в выбранном периоде</t>
        </is>
      </c>
    </row>
    <row r="133">
      <c r="A133" t="inlineStr">
        <is>
          <t>20260728-8186-448905887</t>
        </is>
      </c>
      <c r="B133" t="n">
        <v>1</v>
      </c>
      <c r="C133" s="2" t="inlineStr">
        <is>
          <t>Анастасия Черепанова, Владислав Гудимов</t>
        </is>
      </c>
      <c r="D133" s="3" t="n">
        <v>23760</v>
      </c>
      <c r="E133" s="4" t="n">
        <v>20</v>
      </c>
      <c r="F133" t="inlineStr">
        <is>
          <t>ООО "КОМПАНИЯ БРОНЕВИК" [Чайковский]</t>
        </is>
      </c>
      <c r="G133" s="3">
        <f>ROUND(D133/(100-E133)*100,2)</f>
        <v/>
      </c>
      <c r="H133" s="3" t="n">
        <v>0</v>
      </c>
      <c r="I133" s="3">
        <f>ROUND(IF(ISNUMBER(AG133),AG133,G133)+H133,2)</f>
        <v/>
      </c>
      <c r="J133" s="2" t="inlineStr">
        <is>
          <t>Завтрак "Шведский стол"</t>
        </is>
      </c>
      <c r="K133" s="5" t="n">
        <v>46231.58333333334</v>
      </c>
      <c r="L133" t="n">
        <v>3</v>
      </c>
      <c r="M133" s="3">
        <f>I133/L133</f>
        <v/>
      </c>
      <c r="N133">
        <f>IF(M133&gt;=5100,"ставка","мин.ставка")</f>
        <v/>
      </c>
      <c r="O133" s="3">
        <f>ROUND(IF(N133="мин.ставка",L133*100,I133/102*2),2)</f>
        <v/>
      </c>
      <c r="P133" s="5" t="n">
        <v>46234.5</v>
      </c>
      <c r="Q133" t="inlineStr">
        <is>
          <t>TravelLine BR2</t>
        </is>
      </c>
      <c r="R133" s="2" t="inlineStr">
        <is>
          <t>СТАНДАРТНЫЙ ДВУХМЕСТНЫЙ НОМЕР (МАНСАРДА)</t>
        </is>
      </c>
      <c r="S133" t="n">
        <v>47</v>
      </c>
      <c r="T133" t="n">
        <v>1</v>
      </c>
      <c r="U133" t="inlineStr"/>
      <c r="V133" t="inlineStr">
        <is>
          <t>Тариф с завтраком</t>
        </is>
      </c>
      <c r="W133" t="n">
        <v>23760</v>
      </c>
      <c r="X133" s="3" t="n">
        <v>0</v>
      </c>
      <c r="Y133" t="inlineStr"/>
      <c r="Z133" t="inlineStr"/>
      <c r="AA133" s="3" t="n">
        <v>23760</v>
      </c>
      <c r="AB133" t="inlineStr">
        <is>
          <t>Сошлось по ночным тарифам</t>
        </is>
      </c>
      <c r="AC133" s="2" t="inlineStr"/>
      <c r="AD133" t="n">
        <v>0</v>
      </c>
      <c r="AE133" t="n">
        <v>0</v>
      </c>
      <c r="AF133" t="inlineStr">
        <is>
          <t>Скидки нет</t>
        </is>
      </c>
      <c r="AG133" t="n">
        <v>23760</v>
      </c>
      <c r="AH133" t="n">
        <v>23760</v>
      </c>
      <c r="AI133" t="inlineStr">
        <is>
          <t>Полное проживание в выбранном периоде</t>
        </is>
      </c>
    </row>
    <row r="134">
      <c r="A134" t="inlineStr">
        <is>
          <t>20260731-8186-454546625</t>
        </is>
      </c>
      <c r="B134" t="n">
        <v>1</v>
      </c>
      <c r="C134" s="2" t="inlineStr">
        <is>
          <t>Анастасия Черепанова, Владислав Гудимов</t>
        </is>
      </c>
      <c r="D134" s="3" t="n">
        <v>13350</v>
      </c>
      <c r="E134" s="4" t="n">
        <v>0</v>
      </c>
      <c r="F134" t="inlineStr">
        <is>
          <t>Прямые бронирования (стойка) [Чайковский]</t>
        </is>
      </c>
      <c r="G134" s="3">
        <f>ROUND(D134/(100-E134)*100,2)</f>
        <v/>
      </c>
      <c r="H134" s="3" t="n">
        <v>0</v>
      </c>
      <c r="I134" s="3">
        <f>ROUND(IF(ISNUMBER(AG134),AG134,G134)+H134,2)</f>
        <v/>
      </c>
      <c r="J134" s="2" t="inlineStr">
        <is>
          <t>Завтрак "Шведский стол"</t>
        </is>
      </c>
      <c r="K134" s="5" t="n">
        <v>46234.58333333334</v>
      </c>
      <c r="L134" t="n">
        <v>1</v>
      </c>
      <c r="M134" s="3">
        <f>I134/L134</f>
        <v/>
      </c>
      <c r="N134">
        <f>IF(M134&gt;=5100,"ставка","мин.ставка")</f>
        <v/>
      </c>
      <c r="O134" s="3">
        <f>ROUND(IF(N134="мин.ставка",L134*100,I134/102*2),2)</f>
        <v/>
      </c>
      <c r="P134" s="5" t="n">
        <v>46235.5</v>
      </c>
      <c r="Q134" t="inlineStr">
        <is>
          <t>TravelLine ресепшен</t>
        </is>
      </c>
      <c r="R134" s="2" t="inlineStr">
        <is>
          <t>СТАНДАРТНЫЙ ДВУХМЕСТНЫЙ НОМЕР</t>
        </is>
      </c>
      <c r="S134" t="n">
        <v>36</v>
      </c>
      <c r="T134" t="n">
        <v>1</v>
      </c>
      <c r="U134" t="inlineStr"/>
      <c r="V134" t="inlineStr">
        <is>
          <t>Тариф с завтраком</t>
        </is>
      </c>
      <c r="W134" t="n">
        <v>13350</v>
      </c>
      <c r="X134" s="3" t="n">
        <v>0</v>
      </c>
      <c r="Y134" t="inlineStr"/>
      <c r="Z134" t="inlineStr"/>
      <c r="AA134" s="3" t="n">
        <v>13350</v>
      </c>
      <c r="AB134" t="inlineStr">
        <is>
          <t>Сошлось по ночным тарифам</t>
        </is>
      </c>
      <c r="AC134" s="2" t="inlineStr"/>
      <c r="AD134" t="n">
        <v>0</v>
      </c>
      <c r="AE134" t="n">
        <v>0</v>
      </c>
      <c r="AF134" t="inlineStr">
        <is>
          <t>Скидки нет</t>
        </is>
      </c>
      <c r="AG134" t="n">
        <v>13350</v>
      </c>
      <c r="AH134" t="n">
        <v>13350</v>
      </c>
      <c r="AI134" t="inlineStr">
        <is>
          <t>Полное проживание в выбранном периоде</t>
        </is>
      </c>
    </row>
    <row r="135">
      <c r="A135" t="inlineStr">
        <is>
          <t>20260802-8186-452836411</t>
        </is>
      </c>
      <c r="B135" t="n">
        <v>1</v>
      </c>
      <c r="C135" s="2" t="inlineStr">
        <is>
          <t>АНАСТАСИЯ Чурилова</t>
        </is>
      </c>
      <c r="D135" s="3" t="n">
        <v>9080</v>
      </c>
      <c r="E135" s="4" t="n">
        <v>20</v>
      </c>
      <c r="F135" t="inlineStr">
        <is>
          <t>ООО "КОМПАНИЯ БРОНЕВИК" [Чайковский]</t>
        </is>
      </c>
      <c r="G135" s="3">
        <f>ROUND(D135/(100-E135)*100,2)</f>
        <v/>
      </c>
      <c r="H135" s="3" t="n">
        <v>0</v>
      </c>
      <c r="I135" s="3">
        <f>ROUND(IF(ISNUMBER(AG135),AG135,G135)+H135,2)</f>
        <v/>
      </c>
      <c r="J135" s="2" t="inlineStr">
        <is>
          <t>Завтрак "Шведский стол"</t>
        </is>
      </c>
      <c r="K135" s="5" t="n">
        <v>46236.58333333334</v>
      </c>
      <c r="L135" t="n">
        <v>1</v>
      </c>
      <c r="M135" s="3">
        <f>I135/L135</f>
        <v/>
      </c>
      <c r="N135">
        <f>IF(M135&gt;=5100,"ставка","мин.ставка")</f>
        <v/>
      </c>
      <c r="O135" s="3">
        <f>ROUND(IF(N135="мин.ставка",L135*100,I135/102*2),2)</f>
        <v/>
      </c>
      <c r="P135" s="5" t="n">
        <v>46237.5</v>
      </c>
      <c r="Q135" t="inlineStr">
        <is>
          <t>TravelLine BR2</t>
        </is>
      </c>
      <c r="R135" s="2" t="inlineStr">
        <is>
          <t>СТАНДАРТНЫЙ ДВУХМЕСТНЫЙ НОМЕР</t>
        </is>
      </c>
      <c r="S135" t="n">
        <v>42</v>
      </c>
      <c r="T135" t="n">
        <v>1</v>
      </c>
      <c r="U135" t="inlineStr"/>
      <c r="V135" t="inlineStr">
        <is>
          <t>Тариф с завтраком</t>
        </is>
      </c>
      <c r="W135" t="n">
        <v>9080</v>
      </c>
      <c r="X135" s="3" t="n">
        <v>0</v>
      </c>
      <c r="Y135" t="inlineStr"/>
      <c r="Z135" t="inlineStr"/>
      <c r="AA135" s="3" t="n">
        <v>9080</v>
      </c>
      <c r="AB135" t="inlineStr">
        <is>
          <t>Сошлось по ночным тарифам</t>
        </is>
      </c>
      <c r="AC135" s="2" t="inlineStr"/>
      <c r="AD135" t="n">
        <v>0</v>
      </c>
      <c r="AE135" t="n">
        <v>0</v>
      </c>
      <c r="AF135" t="inlineStr">
        <is>
          <t>Скидки нет</t>
        </is>
      </c>
      <c r="AG135" t="n">
        <v>9080</v>
      </c>
      <c r="AH135" t="n">
        <v>9080</v>
      </c>
      <c r="AI135" t="inlineStr">
        <is>
          <t>Полное проживание в выбранном периоде</t>
        </is>
      </c>
    </row>
    <row r="136">
      <c r="A136" t="inlineStr">
        <is>
          <t>20260712-8186-440208436</t>
        </is>
      </c>
      <c r="B136" t="n">
        <v>1</v>
      </c>
      <c r="C136" s="2" t="inlineStr">
        <is>
          <t>Анастасия Шандра, Ярослав Доброцветов</t>
        </is>
      </c>
      <c r="D136" s="3" t="n">
        <v>10146</v>
      </c>
      <c r="E136" s="4" t="n">
        <v>18</v>
      </c>
      <c r="F136" t="inlineStr">
        <is>
          <t>Яндекс.Путешествия [Чайковский]</t>
        </is>
      </c>
      <c r="G136" s="3">
        <f>ROUND(D136/(100-E136)*100,2)</f>
        <v/>
      </c>
      <c r="H136" s="3" t="n">
        <v>0</v>
      </c>
      <c r="I136" s="3">
        <f>ROUND(IF(ISNUMBER(AG136),AG136,G136)+H136,2)</f>
        <v/>
      </c>
      <c r="J136" s="2" t="inlineStr">
        <is>
          <t>Завтрак "Шведский стол"</t>
        </is>
      </c>
      <c r="K136" s="5" t="n">
        <v>46215.58333333334</v>
      </c>
      <c r="L136" t="n">
        <v>1</v>
      </c>
      <c r="M136" s="3">
        <f>I136/L136</f>
        <v/>
      </c>
      <c r="N136">
        <f>IF(M136&gt;=5100,"ставка","мин.ставка")</f>
        <v/>
      </c>
      <c r="O136" s="3">
        <f>ROUND(IF(N136="мин.ставка",L136*100,I136/102*2),2)</f>
        <v/>
      </c>
      <c r="P136" s="5" t="n">
        <v>46216.5</v>
      </c>
      <c r="Q136" t="inlineStr">
        <is>
          <t>TravelLine YAX</t>
        </is>
      </c>
      <c r="R136" s="2" t="inlineStr">
        <is>
          <t>СТАНДАРТНЫЙ ДВУХМЕСТНЫЙ НОМЕР</t>
        </is>
      </c>
      <c r="S136" t="n">
        <v>22</v>
      </c>
      <c r="T136" t="n">
        <v>1</v>
      </c>
      <c r="U136" t="inlineStr"/>
      <c r="V136" t="inlineStr">
        <is>
          <t>Тариф с завтраком</t>
        </is>
      </c>
      <c r="W136" t="n">
        <v>10146</v>
      </c>
      <c r="X136" s="3" t="n">
        <v>2536.5</v>
      </c>
      <c r="Y136" t="inlineStr">
        <is>
          <t>20%</t>
        </is>
      </c>
      <c r="Z136" t="inlineStr">
        <is>
          <t>2026-07-12</t>
        </is>
      </c>
      <c r="AA136" s="3" t="n">
        <v>10146</v>
      </c>
      <c r="AB136" t="inlineStr">
        <is>
          <t>Сошлось по ночным тарифам</t>
        </is>
      </c>
      <c r="AC136" s="2" t="inlineStr"/>
      <c r="AD136" t="n">
        <v>2536.5</v>
      </c>
      <c r="AE136" t="n">
        <v>0</v>
      </c>
      <c r="AF136" t="inlineStr">
        <is>
          <t>Скидка добавлена к налоговой базе</t>
        </is>
      </c>
      <c r="AG136" t="n">
        <v>12682.5</v>
      </c>
      <c r="AH136" t="n">
        <v>10146</v>
      </c>
      <c r="AI136" t="inlineStr">
        <is>
          <t>Полное проживание в выбранном периоде</t>
        </is>
      </c>
    </row>
    <row r="137">
      <c r="A137" t="inlineStr">
        <is>
          <t>20260917-8186-464301061</t>
        </is>
      </c>
      <c r="B137" t="n">
        <v>1</v>
      </c>
      <c r="C137" s="2" t="inlineStr">
        <is>
          <t>Анастасия Ювченко</t>
        </is>
      </c>
      <c r="D137" s="3" t="n">
        <v>21440</v>
      </c>
      <c r="E137" s="4" t="n">
        <v>20</v>
      </c>
      <c r="F137" t="inlineStr">
        <is>
          <t>ООО "ХБ-ПРО" [Чайковский]</t>
        </is>
      </c>
      <c r="G137" s="3">
        <f>ROUND(D137/(100-E137)*100,2)</f>
        <v/>
      </c>
      <c r="H137" s="3" t="n">
        <v>0</v>
      </c>
      <c r="I137" s="3">
        <f>ROUND(IF(ISNUMBER(AG137),AG137,G137)+H137,2)</f>
        <v/>
      </c>
      <c r="J137" s="2" t="inlineStr">
        <is>
          <t>Завтрак "Шведский стол"</t>
        </is>
      </c>
      <c r="K137" s="5" t="n">
        <v>46282.58333333334</v>
      </c>
      <c r="L137" t="n">
        <v>2</v>
      </c>
      <c r="M137" s="3">
        <f>I137/L137</f>
        <v/>
      </c>
      <c r="N137">
        <f>IF(M137&gt;=5100,"ставка","мин.ставка")</f>
        <v/>
      </c>
      <c r="O137" s="3">
        <f>ROUND(IF(N137="мин.ставка",L137*100,I137/102*2),2)</f>
        <v/>
      </c>
      <c r="P137" s="5" t="n">
        <v>46284.5</v>
      </c>
      <c r="Q137" t="inlineStr">
        <is>
          <t>TravelLine UTS</t>
        </is>
      </c>
      <c r="R137" s="2" t="inlineStr">
        <is>
          <t>УЛУЧШЕННЫЙ ДВУХМЕСТНЫЙ НОМЕР</t>
        </is>
      </c>
      <c r="S137" t="n">
        <v>59</v>
      </c>
      <c r="T137" t="n">
        <v>2</v>
      </c>
      <c r="U137" t="inlineStr"/>
      <c r="V137" t="inlineStr">
        <is>
          <t>Тариф с завтраком</t>
        </is>
      </c>
      <c r="W137" t="n">
        <v>21440</v>
      </c>
      <c r="X137" s="3" t="n">
        <v>0</v>
      </c>
      <c r="Y137" t="inlineStr"/>
      <c r="Z137" t="inlineStr"/>
      <c r="AA137" s="3" t="n">
        <v>21440</v>
      </c>
      <c r="AB137" t="inlineStr">
        <is>
          <t>Сошлось по ночным тарифам</t>
        </is>
      </c>
      <c r="AC137" s="2" t="inlineStr"/>
      <c r="AD137" t="n">
        <v>0</v>
      </c>
      <c r="AE137" t="n">
        <v>0</v>
      </c>
      <c r="AF137" t="inlineStr">
        <is>
          <t>Скидки нет</t>
        </is>
      </c>
      <c r="AG137" t="n">
        <v>21440</v>
      </c>
      <c r="AH137" t="n">
        <v>21440</v>
      </c>
      <c r="AI137" t="inlineStr">
        <is>
          <t>Полное проживание в выбранном периоде</t>
        </is>
      </c>
    </row>
    <row r="138">
      <c r="A138" t="inlineStr">
        <is>
          <t>20260821-8186-458371765</t>
        </is>
      </c>
      <c r="B138" t="n">
        <v>1</v>
      </c>
      <c r="C138" s="2" t="inlineStr">
        <is>
          <t>АНАСТАСИЯ ЯСЕВА</t>
        </is>
      </c>
      <c r="D138" s="3" t="n">
        <v>33366</v>
      </c>
      <c r="E138" s="4" t="n">
        <v>0</v>
      </c>
      <c r="F138" t="inlineStr">
        <is>
          <t>Прямые бронирования (стойка) [Чайковский]</t>
        </is>
      </c>
      <c r="G138" s="3">
        <f>ROUND(D138/(100-E138)*100,2)</f>
        <v/>
      </c>
      <c r="H138" s="3" t="n">
        <v>0</v>
      </c>
      <c r="I138" s="3">
        <f>ROUND(IF(ISNUMBER(AG138),AG138,G138)+H138,2)</f>
        <v/>
      </c>
      <c r="J138" s="2" t="inlineStr">
        <is>
          <t>Завтрак "Шведский стол"</t>
        </is>
      </c>
      <c r="K138" s="5" t="n">
        <v>46255.58333333334</v>
      </c>
      <c r="L138" t="n">
        <v>3</v>
      </c>
      <c r="M138" s="3">
        <f>I138/L138</f>
        <v/>
      </c>
      <c r="N138">
        <f>IF(M138&gt;=5100,"ставка","мин.ставка")</f>
        <v/>
      </c>
      <c r="O138" s="3">
        <f>ROUND(IF(N138="мин.ставка",L138*100,I138/102*2),2)</f>
        <v/>
      </c>
      <c r="P138" s="5" t="n">
        <v>46258.5</v>
      </c>
      <c r="Q138" t="inlineStr">
        <is>
          <t>TravelLine CMB</t>
        </is>
      </c>
      <c r="R138" s="2" t="inlineStr">
        <is>
          <t>УЛУЧШЕННЫЙ ДВУХМЕСТНЫЙ НОМЕР</t>
        </is>
      </c>
      <c r="S138" t="n">
        <v>31</v>
      </c>
      <c r="T138" t="n">
        <v>1</v>
      </c>
      <c r="U138" t="inlineStr"/>
      <c r="V138" t="inlineStr">
        <is>
          <t>Тариф с завтраком</t>
        </is>
      </c>
      <c r="W138" t="n">
        <v>33366</v>
      </c>
      <c r="X138" s="3" t="n">
        <v>6834</v>
      </c>
      <c r="Y138" t="inlineStr">
        <is>
          <t>17%</t>
        </is>
      </c>
      <c r="Z138" t="inlineStr">
        <is>
          <t>2026-08-21, 2026-08-22, 2026-08-23</t>
        </is>
      </c>
      <c r="AA138" s="3" t="n">
        <v>33366</v>
      </c>
      <c r="AB138" t="inlineStr">
        <is>
          <t>Сошлось по ночным тарифам</t>
        </is>
      </c>
      <c r="AC138" s="2" t="inlineStr"/>
      <c r="AD138" t="n">
        <v>6834</v>
      </c>
      <c r="AE138" t="n">
        <v>0</v>
      </c>
      <c r="AF138" t="inlineStr">
        <is>
          <t>Скидка добавлена к налоговой базе</t>
        </is>
      </c>
      <c r="AG138" t="n">
        <v>40200</v>
      </c>
      <c r="AH138" t="n">
        <v>33366</v>
      </c>
      <c r="AI138" t="inlineStr">
        <is>
          <t>Полное проживание в выбранном периоде</t>
        </is>
      </c>
    </row>
    <row r="139">
      <c r="A139" t="inlineStr">
        <is>
          <t>20260719-8186-450656170</t>
        </is>
      </c>
      <c r="B139" t="n">
        <v>1</v>
      </c>
      <c r="C139" s="2" t="inlineStr">
        <is>
          <t>АНАТОЛИЙ ВЕРЕВКИН</t>
        </is>
      </c>
      <c r="D139" s="3" t="n">
        <v>7900</v>
      </c>
      <c r="E139" s="4" t="n">
        <v>0</v>
      </c>
      <c r="F139" t="inlineStr">
        <is>
          <t>Прямые бронирования (стойка) [Чайковский]</t>
        </is>
      </c>
      <c r="G139" s="3">
        <f>ROUND(D139/(100-E139)*100,2)</f>
        <v/>
      </c>
      <c r="H139" s="3" t="n">
        <v>0</v>
      </c>
      <c r="I139" s="3">
        <f>ROUND(IF(ISNUMBER(AG139),AG139,G139)+H139,2)</f>
        <v/>
      </c>
      <c r="J139" s="2" t="inlineStr">
        <is>
          <t>Завтрак "Шведский стол"</t>
        </is>
      </c>
      <c r="K139" s="5" t="n">
        <v>46222.58333333334</v>
      </c>
      <c r="L139" t="n">
        <v>1</v>
      </c>
      <c r="M139" s="3">
        <f>I139/L139</f>
        <v/>
      </c>
      <c r="N139">
        <f>IF(M139&gt;=5100,"ставка","мин.ставка")</f>
        <v/>
      </c>
      <c r="O139" s="3">
        <f>ROUND(IF(N139="мин.ставка",L139*100,I139/102*2),2)</f>
        <v/>
      </c>
      <c r="P139" s="5" t="n">
        <v>46223.5</v>
      </c>
      <c r="Q139" t="inlineStr">
        <is>
          <t>TravelLine ресепшен</t>
        </is>
      </c>
      <c r="R139" s="2" t="inlineStr">
        <is>
          <t>СТАНДАРТНЫЙ ДВУХМЕСТНЫЙ НОМЕР (МАНСАРДА)</t>
        </is>
      </c>
      <c r="S139" t="n">
        <v>45</v>
      </c>
      <c r="T139" t="n">
        <v>1</v>
      </c>
      <c r="U139" t="inlineStr"/>
      <c r="V139" t="inlineStr">
        <is>
          <t>Тариф с завтраком</t>
        </is>
      </c>
      <c r="W139" t="n">
        <v>7900</v>
      </c>
      <c r="X139" s="3" t="n">
        <v>0</v>
      </c>
      <c r="Y139" t="inlineStr"/>
      <c r="Z139" t="inlineStr"/>
      <c r="AA139" s="3" t="n">
        <v>7900</v>
      </c>
      <c r="AB139" t="inlineStr">
        <is>
          <t>Сошлось по ночным тарифам</t>
        </is>
      </c>
      <c r="AC139" s="2" t="inlineStr"/>
      <c r="AD139" t="n">
        <v>0</v>
      </c>
      <c r="AE139" t="n">
        <v>0</v>
      </c>
      <c r="AF139" t="inlineStr">
        <is>
          <t>Скидки нет</t>
        </is>
      </c>
      <c r="AG139" t="n">
        <v>7900</v>
      </c>
      <c r="AH139" t="n">
        <v>7900</v>
      </c>
      <c r="AI139" t="inlineStr">
        <is>
          <t>Полное проживание в выбранном периоде</t>
        </is>
      </c>
    </row>
    <row r="140">
      <c r="A140" t="inlineStr">
        <is>
          <t>20260909-8186-464665870</t>
        </is>
      </c>
      <c r="B140" t="n">
        <v>1</v>
      </c>
      <c r="C140" s="2" t="inlineStr">
        <is>
          <t>АНАТОЛИЙ ДАНИЛОВИЧ, Анастасия Коневина</t>
        </is>
      </c>
      <c r="D140" s="3" t="n">
        <v>34042.5</v>
      </c>
      <c r="E140" s="4" t="n">
        <v>15</v>
      </c>
      <c r="F140" t="inlineStr">
        <is>
          <t>ООО "АКАДЕМ-ОНЛАЙН" [Чайковский]</t>
        </is>
      </c>
      <c r="G140" s="3">
        <f>ROUND(D140/(100-E140)*100,2)</f>
        <v/>
      </c>
      <c r="H140" s="3" t="n">
        <v>3360</v>
      </c>
      <c r="I140" s="3">
        <f>ROUND(IF(ISNUMBER(AG140),AG140,G140)+H140,2)</f>
        <v/>
      </c>
      <c r="J140" s="2" t="inlineStr">
        <is>
          <t>продление номера — 3 360,00 ₽; Завтрак "Шведский стол"</t>
        </is>
      </c>
      <c r="K140" s="5" t="n">
        <v>46274.58333333334</v>
      </c>
      <c r="L140" t="n">
        <v>3</v>
      </c>
      <c r="M140" s="3">
        <f>I140/L140</f>
        <v/>
      </c>
      <c r="N140">
        <f>IF(M140&gt;=5100,"ставка","мин.ставка")</f>
        <v/>
      </c>
      <c r="O140" s="3">
        <f>ROUND(IF(N140="мин.ставка",L140*100,I140/102*2),2)</f>
        <v/>
      </c>
      <c r="P140" s="5" t="n">
        <v>46277.75</v>
      </c>
      <c r="Q140" t="inlineStr">
        <is>
          <t>TravelLine ACS</t>
        </is>
      </c>
      <c r="R140" s="2" t="inlineStr">
        <is>
          <t>СТАНДАРТНЫЙ ДВУХМЕСТНЫЙ НОМЕР</t>
        </is>
      </c>
      <c r="S140" t="n">
        <v>52</v>
      </c>
      <c r="T140" t="n">
        <v>2</v>
      </c>
      <c r="U140" t="inlineStr"/>
      <c r="V140" t="inlineStr">
        <is>
          <t>Тариф с завтраком</t>
        </is>
      </c>
      <c r="W140" t="n">
        <v>37402.5</v>
      </c>
      <c r="X140" s="3" t="n">
        <v>6007.5</v>
      </c>
      <c r="Y140" t="inlineStr">
        <is>
          <t>15%</t>
        </is>
      </c>
      <c r="Z140" t="inlineStr">
        <is>
          <t>2026-09-09, 2026-09-10, 2026-09-11</t>
        </is>
      </c>
      <c r="AA140" s="3" t="n">
        <v>34042.5</v>
      </c>
      <c r="AB140" t="inlineStr">
        <is>
          <t>Сошлось с услугами</t>
        </is>
      </c>
      <c r="AC140" s="2" t="inlineStr"/>
      <c r="AD140" t="n">
        <v>6007.5</v>
      </c>
      <c r="AE140" t="n">
        <v>0</v>
      </c>
      <c r="AF140" t="inlineStr">
        <is>
          <t>Скидка добавлена к налоговой базе</t>
        </is>
      </c>
      <c r="AG140" t="n">
        <v>40050</v>
      </c>
      <c r="AH140" t="n">
        <v>34042.5</v>
      </c>
      <c r="AI140" t="inlineStr">
        <is>
          <t>Полное проживание в выбранном периоде</t>
        </is>
      </c>
    </row>
    <row r="141">
      <c r="A141" t="inlineStr">
        <is>
          <t>20260902-8186-457424866</t>
        </is>
      </c>
      <c r="B141" t="n">
        <v>1</v>
      </c>
      <c r="C141" s="2" t="inlineStr">
        <is>
          <t>Анатолий Урюпов</t>
        </is>
      </c>
      <c r="D141" s="3" t="n">
        <v>13400</v>
      </c>
      <c r="E141" s="4" t="n">
        <v>0</v>
      </c>
      <c r="F141" t="inlineStr">
        <is>
          <t>Прямые бронирования (стойка) [Чайковский]</t>
        </is>
      </c>
      <c r="G141" s="3">
        <f>ROUND(D141/(100-E141)*100,2)</f>
        <v/>
      </c>
      <c r="H141" s="3" t="n">
        <v>0</v>
      </c>
      <c r="I141" s="3">
        <f>ROUND(IF(ISNUMBER(AG141),AG141,G141)+H141,2)</f>
        <v/>
      </c>
      <c r="J141" s="2" t="inlineStr">
        <is>
          <t>Завтрак "Шведский стол"</t>
        </is>
      </c>
      <c r="K141" s="5" t="n">
        <v>46267.58333333334</v>
      </c>
      <c r="L141" t="n">
        <v>1</v>
      </c>
      <c r="M141" s="3">
        <f>I141/L141</f>
        <v/>
      </c>
      <c r="N141">
        <f>IF(M141&gt;=5100,"ставка","мин.ставка")</f>
        <v/>
      </c>
      <c r="O141" s="3">
        <f>ROUND(IF(N141="мин.ставка",L141*100,I141/102*2),2)</f>
        <v/>
      </c>
      <c r="P141" s="5" t="n">
        <v>46268.5</v>
      </c>
      <c r="Q141" t="inlineStr">
        <is>
          <t>TravelLine ресепшен</t>
        </is>
      </c>
      <c r="R141" s="2" t="inlineStr">
        <is>
          <t>УЛУЧШЕННЫЙ ДВУХМЕСТНЫЙ НОМЕР</t>
        </is>
      </c>
      <c r="S141" t="n">
        <v>21</v>
      </c>
      <c r="T141" t="n">
        <v>1</v>
      </c>
      <c r="U141" t="inlineStr"/>
      <c r="V141" t="inlineStr">
        <is>
          <t>Тариф с завтраком</t>
        </is>
      </c>
      <c r="W141" t="n">
        <v>13400</v>
      </c>
      <c r="X141" s="3" t="n">
        <v>0</v>
      </c>
      <c r="Y141" t="inlineStr"/>
      <c r="Z141" t="inlineStr"/>
      <c r="AA141" s="3" t="n">
        <v>13400</v>
      </c>
      <c r="AB141" t="inlineStr">
        <is>
          <t>Сошлось по ночным тарифам</t>
        </is>
      </c>
      <c r="AC141" s="2" t="inlineStr"/>
      <c r="AD141" t="n">
        <v>0</v>
      </c>
      <c r="AE141" t="n">
        <v>0</v>
      </c>
      <c r="AF141" t="inlineStr">
        <is>
          <t>Скидки нет</t>
        </is>
      </c>
      <c r="AG141" t="n">
        <v>13400</v>
      </c>
      <c r="AH141" t="n">
        <v>13400</v>
      </c>
      <c r="AI141" t="inlineStr">
        <is>
          <t>Полное проживание в выбранном периоде</t>
        </is>
      </c>
    </row>
    <row r="142">
      <c r="A142" t="inlineStr">
        <is>
          <t>20260911-8186-464289251</t>
        </is>
      </c>
      <c r="B142" t="n">
        <v>1</v>
      </c>
      <c r="C142" s="2" t="inlineStr">
        <is>
          <t>Андрей Беляев</t>
        </is>
      </c>
      <c r="D142" s="3" t="n">
        <v>10998.15</v>
      </c>
      <c r="E142" s="4" t="n">
        <v>4</v>
      </c>
      <c r="F142" t="inlineStr">
        <is>
          <t>TravelLine Booking Engine [Чайковский]</t>
        </is>
      </c>
      <c r="G142" s="3">
        <f>ROUND(D142/(100-E142)*100,2)</f>
        <v/>
      </c>
      <c r="H142" s="3" t="n">
        <v>0</v>
      </c>
      <c r="I142" s="3">
        <f>ROUND(IF(ISNUMBER(AG142),AG142,G142)+H142,2)</f>
        <v/>
      </c>
      <c r="J142" s="2" t="inlineStr">
        <is>
          <t>Завтрак "Шведский стол"</t>
        </is>
      </c>
      <c r="K142" s="5" t="n">
        <v>46276.75</v>
      </c>
      <c r="L142" t="n">
        <v>1</v>
      </c>
      <c r="M142" s="3">
        <f>I142/L142</f>
        <v/>
      </c>
      <c r="N142">
        <f>IF(M142&gt;=5100,"ставка","мин.ставка")</f>
        <v/>
      </c>
      <c r="O142" s="3">
        <f>ROUND(IF(N142="мин.ставка",L142*100,I142/102*2),2)</f>
        <v/>
      </c>
      <c r="P142" s="5" t="n">
        <v>46277.5</v>
      </c>
      <c r="Q142" t="inlineStr">
        <is>
          <t>TravelLine сайт</t>
        </is>
      </c>
      <c r="R142" s="2" t="inlineStr">
        <is>
          <t>СТАНДАРТНЫЙ ДВУХМЕСТНЫЙ НОМЕР</t>
        </is>
      </c>
      <c r="S142" t="n">
        <v>44</v>
      </c>
      <c r="T142" t="n">
        <v>1</v>
      </c>
      <c r="U142" t="inlineStr"/>
      <c r="V142" t="inlineStr">
        <is>
          <t>Тариф с завтраком</t>
        </is>
      </c>
      <c r="W142" t="n">
        <v>10998.15</v>
      </c>
      <c r="X142" s="3" t="n">
        <v>351.85</v>
      </c>
      <c r="Y142" t="inlineStr">
        <is>
          <t>3.1%</t>
        </is>
      </c>
      <c r="Z142" t="inlineStr">
        <is>
          <t>2026-09-11</t>
        </is>
      </c>
      <c r="AA142" s="3" t="n">
        <v>10998.15</v>
      </c>
      <c r="AB142" t="inlineStr">
        <is>
          <t>Сошлось по ночным тарифам</t>
        </is>
      </c>
      <c r="AC142" s="2" t="inlineStr"/>
      <c r="AD142" t="n">
        <v>351.85</v>
      </c>
      <c r="AE142" t="n">
        <v>0</v>
      </c>
      <c r="AF142" t="inlineStr">
        <is>
          <t>Скидка добавлена к налоговой базе</t>
        </is>
      </c>
      <c r="AG142" t="n">
        <v>11350</v>
      </c>
      <c r="AH142" t="n">
        <v>10998.15</v>
      </c>
      <c r="AI142" t="inlineStr">
        <is>
          <t>Полное проживание в выбранном периоде</t>
        </is>
      </c>
    </row>
    <row r="143">
      <c r="A143" t="inlineStr">
        <is>
          <t>20260916-8186-466082253</t>
        </is>
      </c>
      <c r="B143" t="n">
        <v>1</v>
      </c>
      <c r="C143" s="2" t="inlineStr">
        <is>
          <t>Андрей Бондарчук</t>
        </is>
      </c>
      <c r="D143" s="3" t="n">
        <v>14050.5</v>
      </c>
      <c r="E143" s="4" t="n">
        <v>4</v>
      </c>
      <c r="F143" t="inlineStr">
        <is>
          <t>TravelLine Booking Engine [Чайковский]</t>
        </is>
      </c>
      <c r="G143" s="3">
        <f>ROUND(D143/(100-E143)*100,2)</f>
        <v/>
      </c>
      <c r="H143" s="3" t="n">
        <v>0</v>
      </c>
      <c r="I143" s="3">
        <f>ROUND(IF(ISNUMBER(AG143),AG143,G143)+H143,2)</f>
        <v/>
      </c>
      <c r="J143" s="2" t="inlineStr">
        <is>
          <t>Завтрак "Шведский стол"</t>
        </is>
      </c>
      <c r="K143" s="5" t="n">
        <v>46281.79166666666</v>
      </c>
      <c r="L143" t="n">
        <v>1</v>
      </c>
      <c r="M143" s="3">
        <f>I143/L143</f>
        <v/>
      </c>
      <c r="N143">
        <f>IF(M143&gt;=5100,"ставка","мин.ставка")</f>
        <v/>
      </c>
      <c r="O143" s="3">
        <f>ROUND(IF(N143="мин.ставка",L143*100,I143/102*2),2)</f>
        <v/>
      </c>
      <c r="P143" s="5" t="n">
        <v>46282.5</v>
      </c>
      <c r="Q143" t="inlineStr">
        <is>
          <t>TravelLine сайт</t>
        </is>
      </c>
      <c r="R143" s="2" t="inlineStr">
        <is>
          <t>ПОЛУЛЮКС</t>
        </is>
      </c>
      <c r="S143" t="n">
        <v>11</v>
      </c>
      <c r="T143" t="n">
        <v>1</v>
      </c>
      <c r="U143" t="inlineStr"/>
      <c r="V143" t="inlineStr">
        <is>
          <t>Тариф с завтраком</t>
        </is>
      </c>
      <c r="W143" t="n">
        <v>14050.5</v>
      </c>
      <c r="X143" s="3" t="n">
        <v>449.5</v>
      </c>
      <c r="Y143" t="inlineStr">
        <is>
          <t>3.1%</t>
        </is>
      </c>
      <c r="Z143" t="inlineStr">
        <is>
          <t>2026-09-16</t>
        </is>
      </c>
      <c r="AA143" s="3" t="n">
        <v>14050.5</v>
      </c>
      <c r="AB143" t="inlineStr">
        <is>
          <t>Сошлось по ночным тарифам</t>
        </is>
      </c>
      <c r="AC143" s="2" t="inlineStr"/>
      <c r="AD143" t="n">
        <v>449.5</v>
      </c>
      <c r="AE143" t="n">
        <v>0</v>
      </c>
      <c r="AF143" t="inlineStr">
        <is>
          <t>Скидка добавлена к налоговой базе</t>
        </is>
      </c>
      <c r="AG143" t="n">
        <v>14500</v>
      </c>
      <c r="AH143" t="n">
        <v>14050.5</v>
      </c>
      <c r="AI143" t="inlineStr">
        <is>
          <t>Полное проживание в выбранном периоде</t>
        </is>
      </c>
    </row>
    <row r="144">
      <c r="A144" t="inlineStr">
        <is>
          <t>20260930-8186-468765445</t>
        </is>
      </c>
      <c r="B144" t="n">
        <v>1</v>
      </c>
      <c r="C144" s="2" t="inlineStr">
        <is>
          <t>Андрей Внуков, Ольга Внукова</t>
        </is>
      </c>
      <c r="D144" s="3" t="n">
        <v>69600</v>
      </c>
      <c r="E144" s="4" t="n">
        <v>20</v>
      </c>
      <c r="F144" t="inlineStr">
        <is>
          <t>ООО «Дубль Гис» (OTELLO) [Чайковский]</t>
        </is>
      </c>
      <c r="G144" s="3">
        <f>ROUND(D144/(100-E144)*100,2)</f>
        <v/>
      </c>
      <c r="H144" s="3" t="n">
        <v>0</v>
      </c>
      <c r="I144" s="3">
        <f>ROUND(IF(ISNUMBER(AG144),AG144,G144)+H144,2)</f>
        <v/>
      </c>
      <c r="J144" s="2" t="inlineStr"/>
      <c r="K144" s="5" t="n">
        <v>46295.58333333334</v>
      </c>
      <c r="L144" t="n">
        <v>1</v>
      </c>
      <c r="M144" s="3">
        <f>I144/L144</f>
        <v/>
      </c>
      <c r="N144">
        <f>IF(M144&gt;=5100,"ставка","мин.ставка")</f>
        <v/>
      </c>
      <c r="O144" s="3">
        <f>ROUND(IF(N144="мин.ставка",L144*100,I144/102*2),2)</f>
        <v/>
      </c>
      <c r="P144" s="5" t="n">
        <v>46301.5</v>
      </c>
      <c r="Q144" t="inlineStr">
        <is>
          <t>TravelLine OL2</t>
        </is>
      </c>
      <c r="R144" s="2" t="inlineStr">
        <is>
          <t>ПОЛУЛЮКС</t>
        </is>
      </c>
      <c r="S144" t="n">
        <v>25</v>
      </c>
      <c r="T144" t="n">
        <v>1</v>
      </c>
      <c r="U144" t="inlineStr"/>
      <c r="V144" t="inlineStr">
        <is>
          <t>Тариф с завтраком</t>
        </is>
      </c>
      <c r="W144" t="n">
        <v>139200</v>
      </c>
      <c r="X144" s="3" t="n">
        <v>17400</v>
      </c>
      <c r="Y144" t="inlineStr">
        <is>
          <t>20%</t>
        </is>
      </c>
      <c r="Z144" t="inlineStr">
        <is>
          <t>Не распределена по датам</t>
        </is>
      </c>
      <c r="AA144" s="3" t="n">
        <v>69600</v>
      </c>
      <c r="AB144" t="inlineStr">
        <is>
          <t>Сошлось по ночным тарифам</t>
        </is>
      </c>
      <c r="AC144" s="2" t="inlineStr"/>
      <c r="AD144" t="n">
        <v>0</v>
      </c>
      <c r="AE144" t="n">
        <v>0</v>
      </c>
      <c r="AF144" t="inlineStr">
        <is>
          <t>Частичный период: дата агрегированной скидки не определена; скидка не добавлена к базе</t>
        </is>
      </c>
      <c r="AG144" t="n">
        <v>13200</v>
      </c>
      <c r="AH144" t="n">
        <v>13200</v>
      </c>
      <c r="AI144" t="inlineStr">
        <is>
          <t>Частичное проживание распределено по dailyRates; скидка без даты не восстановлена</t>
        </is>
      </c>
    </row>
    <row r="145">
      <c r="A145" t="inlineStr">
        <is>
          <t>20260729-8186-452721975</t>
        </is>
      </c>
      <c r="B145" t="n">
        <v>1</v>
      </c>
      <c r="C145" s="2" t="inlineStr">
        <is>
          <t>АНДРЕЙ ВОРНОВСКИЙ</t>
        </is>
      </c>
      <c r="D145" s="3" t="n">
        <v>24650</v>
      </c>
      <c r="E145" s="4" t="n">
        <v>15</v>
      </c>
      <c r="F145" t="inlineStr">
        <is>
          <t>ООО "БРОНИРОВАНИЕ ГОСТИНИЦ" (OSTROVOK) [Чайковский]</t>
        </is>
      </c>
      <c r="G145" s="3">
        <f>ROUND(D145/(100-E145)*100,2)</f>
        <v/>
      </c>
      <c r="H145" s="3" t="n">
        <v>0</v>
      </c>
      <c r="I145" s="3">
        <f>ROUND(IF(ISNUMBER(AG145),AG145,G145)+H145,2)</f>
        <v/>
      </c>
      <c r="J145" s="2" t="inlineStr">
        <is>
          <t>Завтрак "Шведский стол"</t>
        </is>
      </c>
      <c r="K145" s="5" t="n">
        <v>46232.58333333334</v>
      </c>
      <c r="L145" t="n">
        <v>2</v>
      </c>
      <c r="M145" s="3">
        <f>I145/L145</f>
        <v/>
      </c>
      <c r="N145">
        <f>IF(M145&gt;=5100,"ставка","мин.ставка")</f>
        <v/>
      </c>
      <c r="O145" s="3">
        <f>ROUND(IF(N145="мин.ставка",L145*100,I145/102*2),2)</f>
        <v/>
      </c>
      <c r="P145" s="5" t="n">
        <v>46234.5</v>
      </c>
      <c r="Q145" t="inlineStr">
        <is>
          <t>TravelLine OTK</t>
        </is>
      </c>
      <c r="R145" s="2" t="inlineStr">
        <is>
          <t>ПОЛУЛЮКС</t>
        </is>
      </c>
      <c r="S145" t="n">
        <v>35</v>
      </c>
      <c r="T145" t="n">
        <v>1</v>
      </c>
      <c r="U145" t="inlineStr"/>
      <c r="V145" t="inlineStr">
        <is>
          <t>Тариф с завтраком</t>
        </is>
      </c>
      <c r="W145" t="n">
        <v>24650</v>
      </c>
      <c r="X145" s="3" t="n">
        <v>4350</v>
      </c>
      <c r="Y145" t="inlineStr">
        <is>
          <t>15%</t>
        </is>
      </c>
      <c r="Z145" t="inlineStr">
        <is>
          <t>2026-07-29, 2026-07-30</t>
        </is>
      </c>
      <c r="AA145" s="3" t="n">
        <v>24650</v>
      </c>
      <c r="AB145" t="inlineStr">
        <is>
          <t>Сошлось по ночным тарифам</t>
        </is>
      </c>
      <c r="AC145" s="2" t="inlineStr"/>
      <c r="AD145" t="n">
        <v>4350</v>
      </c>
      <c r="AE145" t="n">
        <v>0</v>
      </c>
      <c r="AF145" t="inlineStr">
        <is>
          <t>Скидка добавлена к налоговой базе</t>
        </is>
      </c>
      <c r="AG145" t="n">
        <v>29000</v>
      </c>
      <c r="AH145" t="n">
        <v>24650</v>
      </c>
      <c r="AI145" t="inlineStr">
        <is>
          <t>Полное проживание в выбранном периоде</t>
        </is>
      </c>
    </row>
    <row r="146">
      <c r="A146" t="inlineStr">
        <is>
          <t>20260928-8186-468298353</t>
        </is>
      </c>
      <c r="B146" t="n">
        <v>1</v>
      </c>
      <c r="C146" s="2" t="inlineStr">
        <is>
          <t>АНДРЕЙ ВОРНОВСКИЙ</t>
        </is>
      </c>
      <c r="D146" s="3" t="n">
        <v>39690</v>
      </c>
      <c r="E146" s="4" t="n">
        <v>16</v>
      </c>
      <c r="F146" t="inlineStr">
        <is>
          <t>ООО "БРОНИРОВАНИЕ ГОСТИНИЦ" (OSTROVOK) [Чайковский]</t>
        </is>
      </c>
      <c r="G146" s="3">
        <f>ROUND(D146/(100-E146)*100,2)</f>
        <v/>
      </c>
      <c r="H146" s="3" t="n">
        <v>0</v>
      </c>
      <c r="I146" s="3">
        <f>ROUND(IF(ISNUMBER(AG146),AG146,G146)+H146,2)</f>
        <v/>
      </c>
      <c r="J146" s="2" t="inlineStr"/>
      <c r="K146" s="5" t="n">
        <v>46293.58333333334</v>
      </c>
      <c r="L146" t="n">
        <v>3</v>
      </c>
      <c r="M146" s="3">
        <f>I146/L146</f>
        <v/>
      </c>
      <c r="N146">
        <f>IF(M146&gt;=5100,"ставка","мин.ставка")</f>
        <v/>
      </c>
      <c r="O146" s="3">
        <f>ROUND(IF(N146="мин.ставка",L146*100,I146/102*2),2)</f>
        <v/>
      </c>
      <c r="P146" s="5" t="n">
        <v>46297.5</v>
      </c>
      <c r="Q146" t="inlineStr">
        <is>
          <t>TravelLine OTK</t>
        </is>
      </c>
      <c r="R146" s="2" t="inlineStr">
        <is>
          <t>СЕМЕЙНЫЙ НОМЕР КАТЕГОРИИ "СТАНДАРТ" ВТОРОЙ КОРПУС</t>
        </is>
      </c>
      <c r="S146" t="n">
        <v>51</v>
      </c>
      <c r="T146" t="n">
        <v>2</v>
      </c>
      <c r="U146" t="inlineStr"/>
      <c r="V146" t="inlineStr">
        <is>
          <t>Тариф с завтраком</t>
        </is>
      </c>
      <c r="W146" t="n">
        <v>39690</v>
      </c>
      <c r="X146" s="3" t="n">
        <v>7560</v>
      </c>
      <c r="Y146" t="inlineStr">
        <is>
          <t>16%</t>
        </is>
      </c>
      <c r="Z146" t="inlineStr">
        <is>
          <t>Не распределена по датам</t>
        </is>
      </c>
      <c r="AA146" s="3" t="n">
        <v>39690</v>
      </c>
      <c r="AB146" t="inlineStr">
        <is>
          <t>Сошлось по ночным тарифам</t>
        </is>
      </c>
      <c r="AC146" s="2" t="inlineStr"/>
      <c r="AD146" t="n">
        <v>0</v>
      </c>
      <c r="AE146" t="n">
        <v>0</v>
      </c>
      <c r="AF146" t="inlineStr">
        <is>
          <t>Частичный период: дата агрегированной скидки не определена; скидка не добавлена к базе</t>
        </is>
      </c>
      <c r="AG146" t="n">
        <v>31374</v>
      </c>
      <c r="AH146" t="n">
        <v>31374</v>
      </c>
      <c r="AI146" t="inlineStr">
        <is>
          <t>Частичное проживание распределено по dailyRates; скидка без даты не восстановлена</t>
        </is>
      </c>
    </row>
    <row r="147">
      <c r="A147" t="inlineStr">
        <is>
          <t>20260930-8186-467523772</t>
        </is>
      </c>
      <c r="B147" t="n">
        <v>1</v>
      </c>
      <c r="C147" s="2" t="inlineStr">
        <is>
          <t>Андрей Голубов, Дарья Коломыц</t>
        </is>
      </c>
      <c r="D147" s="3" t="n">
        <v>43280</v>
      </c>
      <c r="E147" s="4" t="n">
        <v>20</v>
      </c>
      <c r="F147" t="inlineStr">
        <is>
          <t>ООО "КОМПАНИЯ БРОНЕВИК" [Чайковский]</t>
        </is>
      </c>
      <c r="G147" s="3">
        <f>ROUND(D147/(100-E147)*100,2)</f>
        <v/>
      </c>
      <c r="H147" s="3" t="n">
        <v>0</v>
      </c>
      <c r="I147" s="3">
        <f>ROUND(IF(ISNUMBER(AG147),AG147,G147)+H147,2)</f>
        <v/>
      </c>
      <c r="J147" s="2" t="inlineStr"/>
      <c r="K147" s="5" t="n">
        <v>46295.58333333334</v>
      </c>
      <c r="L147" t="n">
        <v>1</v>
      </c>
      <c r="M147" s="3">
        <f>I147/L147</f>
        <v/>
      </c>
      <c r="N147">
        <f>IF(M147&gt;=5100,"ставка","мин.ставка")</f>
        <v/>
      </c>
      <c r="O147" s="3">
        <f>ROUND(IF(N147="мин.ставка",L147*100,I147/102*2),2)</f>
        <v/>
      </c>
      <c r="P147" s="5" t="n">
        <v>46301.5</v>
      </c>
      <c r="Q147" t="inlineStr">
        <is>
          <t>TravelLine BR2</t>
        </is>
      </c>
      <c r="R147" s="2" t="inlineStr">
        <is>
          <t>СТАНДАРТНЫЙ ДВУХМЕСТНЫЙ НОМЕР</t>
        </is>
      </c>
      <c r="S147" t="n">
        <v>32</v>
      </c>
      <c r="T147" t="n">
        <v>1</v>
      </c>
      <c r="U147" t="inlineStr"/>
      <c r="V147" t="inlineStr">
        <is>
          <t>Основной тариф без завтрака</t>
        </is>
      </c>
      <c r="W147" t="n">
        <v>43280</v>
      </c>
      <c r="X147" s="3" t="n">
        <v>0</v>
      </c>
      <c r="Y147" t="inlineStr"/>
      <c r="Z147" t="inlineStr"/>
      <c r="AA147" s="3" t="n">
        <v>43280</v>
      </c>
      <c r="AB147" t="inlineStr">
        <is>
          <t>Сошлось по ночным тарифам</t>
        </is>
      </c>
      <c r="AC147" s="2" t="inlineStr"/>
      <c r="AD147" t="n">
        <v>0</v>
      </c>
      <c r="AE147" t="n">
        <v>0</v>
      </c>
      <c r="AF147" t="inlineStr">
        <is>
          <t>Скидки нет</t>
        </is>
      </c>
      <c r="AG147" t="n">
        <v>9480</v>
      </c>
      <c r="AH147" t="n">
        <v>9480</v>
      </c>
      <c r="AI147" t="inlineStr">
        <is>
          <t>Частичное проживание распределено по dailyRates</t>
        </is>
      </c>
    </row>
    <row r="148">
      <c r="A148" t="inlineStr">
        <is>
          <t>20260913-8186-455450305</t>
        </is>
      </c>
      <c r="B148" t="n">
        <v>1</v>
      </c>
      <c r="C148" s="2" t="inlineStr">
        <is>
          <t>Андрей Дайхес</t>
        </is>
      </c>
      <c r="D148" s="3" t="n">
        <v>56750</v>
      </c>
      <c r="E148" s="4" t="n">
        <v>0</v>
      </c>
      <c r="F148" t="inlineStr">
        <is>
          <t>Прямые бронирования (стойка) [Чайковский]</t>
        </is>
      </c>
      <c r="G148" s="3">
        <f>ROUND(D148/(100-E148)*100,2)</f>
        <v/>
      </c>
      <c r="H148" s="3" t="n">
        <v>5675</v>
      </c>
      <c r="I148" s="3">
        <f>ROUND(IF(ISNUMBER(AG148),AG148,G148)+H148,2)</f>
        <v/>
      </c>
      <c r="J148" s="2" t="inlineStr">
        <is>
          <t>Завтрак "Шведский стол"; Поздний выезд — 5 675,00 ₽</t>
        </is>
      </c>
      <c r="K148" s="5" t="n">
        <v>46278.58333333334</v>
      </c>
      <c r="L148" t="n">
        <v>5</v>
      </c>
      <c r="M148" s="3">
        <f>I148/L148</f>
        <v/>
      </c>
      <c r="N148">
        <f>IF(M148&gt;=5100,"ставка","мин.ставка")</f>
        <v/>
      </c>
      <c r="O148" s="3">
        <f>ROUND(IF(N148="мин.ставка",L148*100,I148/102*2),2)</f>
        <v/>
      </c>
      <c r="P148" s="5" t="n">
        <v>46283.75</v>
      </c>
      <c r="Q148" t="inlineStr">
        <is>
          <t>TravelLine ресепшен</t>
        </is>
      </c>
      <c r="R148" s="2" t="inlineStr">
        <is>
          <t>СТАНДАРТНЫЙ ДВУХМЕСТНЫЙ НОМЕР</t>
        </is>
      </c>
      <c r="S148" t="n">
        <v>33</v>
      </c>
      <c r="T148" t="n">
        <v>1</v>
      </c>
      <c r="U148" t="inlineStr"/>
      <c r="V148" t="inlineStr">
        <is>
          <t>Тариф с завтраком</t>
        </is>
      </c>
      <c r="W148" t="n">
        <v>62425</v>
      </c>
      <c r="X148" s="3" t="n">
        <v>0</v>
      </c>
      <c r="Y148" t="inlineStr"/>
      <c r="Z148" t="inlineStr"/>
      <c r="AA148" s="3" t="n">
        <v>56750</v>
      </c>
      <c r="AB148" t="inlineStr">
        <is>
          <t>Расхождение -5675.00 ₽</t>
        </is>
      </c>
      <c r="AC148" s="2" t="inlineStr"/>
      <c r="AD148" t="n">
        <v>0</v>
      </c>
      <c r="AE148" t="n">
        <v>0</v>
      </c>
      <c r="AF148" t="inlineStr">
        <is>
          <t>Скидки нет</t>
        </is>
      </c>
      <c r="AG148" t="n">
        <v>56750</v>
      </c>
      <c r="AH148" t="n">
        <v>56750</v>
      </c>
      <c r="AI148" t="inlineStr">
        <is>
          <t>Полное проживание в выбранном периоде</t>
        </is>
      </c>
    </row>
    <row r="149">
      <c r="A149" t="inlineStr">
        <is>
          <t>20260710-8186-449153360</t>
        </is>
      </c>
      <c r="B149" t="n">
        <v>1</v>
      </c>
      <c r="C149" s="2" t="inlineStr">
        <is>
          <t>АНДРЕЙ ДОБРЯКОВ, Алина Жукова</t>
        </is>
      </c>
      <c r="D149" s="3" t="n">
        <v>9880</v>
      </c>
      <c r="E149" s="4" t="n">
        <v>18</v>
      </c>
      <c r="F149" t="inlineStr">
        <is>
          <t>Яндекс.Путешествия [Чайковский]</t>
        </is>
      </c>
      <c r="G149" s="3">
        <f>ROUND(D149/(100-E149)*100,2)</f>
        <v/>
      </c>
      <c r="H149" s="3" t="n">
        <v>0</v>
      </c>
      <c r="I149" s="3">
        <f>ROUND(IF(ISNUMBER(AG149),AG149,G149)+H149,2)</f>
        <v/>
      </c>
      <c r="J149" s="2" t="inlineStr">
        <is>
          <t>Завтрак "Шведский стол"</t>
        </is>
      </c>
      <c r="K149" s="5" t="n">
        <v>46213.58333333334</v>
      </c>
      <c r="L149" t="n">
        <v>1</v>
      </c>
      <c r="M149" s="3">
        <f>I149/L149</f>
        <v/>
      </c>
      <c r="N149">
        <f>IF(M149&gt;=5100,"ставка","мин.ставка")</f>
        <v/>
      </c>
      <c r="O149" s="3">
        <f>ROUND(IF(N149="мин.ставка",L149*100,I149/102*2),2)</f>
        <v/>
      </c>
      <c r="P149" s="5" t="n">
        <v>46214.5</v>
      </c>
      <c r="Q149" t="inlineStr">
        <is>
          <t>TravelLine YAX</t>
        </is>
      </c>
      <c r="R149" s="2" t="inlineStr">
        <is>
          <t>СТАНДАРТНЫЙ ДВУХМЕСТНЫЙ НОМЕР</t>
        </is>
      </c>
      <c r="S149" t="n">
        <v>36</v>
      </c>
      <c r="T149" t="n">
        <v>1</v>
      </c>
      <c r="U149" t="inlineStr"/>
      <c r="V149" t="inlineStr">
        <is>
          <t>Тариф с завтраком</t>
        </is>
      </c>
      <c r="W149" t="n">
        <v>9880</v>
      </c>
      <c r="X149" s="3" t="n">
        <v>2470</v>
      </c>
      <c r="Y149" t="inlineStr">
        <is>
          <t>20%</t>
        </is>
      </c>
      <c r="Z149" t="inlineStr">
        <is>
          <t>2026-07-10</t>
        </is>
      </c>
      <c r="AA149" s="3" t="n">
        <v>9880</v>
      </c>
      <c r="AB149" t="inlineStr">
        <is>
          <t>Сошлось по ночным тарифам</t>
        </is>
      </c>
      <c r="AC149" s="2" t="inlineStr"/>
      <c r="AD149" t="n">
        <v>2470</v>
      </c>
      <c r="AE149" t="n">
        <v>0</v>
      </c>
      <c r="AF149" t="inlineStr">
        <is>
          <t>Скидка добавлена к налоговой базе</t>
        </is>
      </c>
      <c r="AG149" t="n">
        <v>12350</v>
      </c>
      <c r="AH149" t="n">
        <v>9880</v>
      </c>
      <c r="AI149" t="inlineStr">
        <is>
          <t>Полное проживание в выбранном периоде</t>
        </is>
      </c>
    </row>
    <row r="150">
      <c r="A150" t="inlineStr">
        <is>
          <t>20260718-8186-451312706</t>
        </is>
      </c>
      <c r="B150" t="n">
        <v>1</v>
      </c>
      <c r="C150" s="2" t="inlineStr">
        <is>
          <t>АНДРЕЙ ДОБРЯКОВ, АЛИНА ЖУКОВА</t>
        </is>
      </c>
      <c r="D150" s="3" t="n">
        <v>12320</v>
      </c>
      <c r="E150" s="4" t="n">
        <v>18</v>
      </c>
      <c r="F150" t="inlineStr">
        <is>
          <t>Яндекс.Путешествия [Чайковский]</t>
        </is>
      </c>
      <c r="G150" s="3">
        <f>ROUND(D150/(100-E150)*100,2)</f>
        <v/>
      </c>
      <c r="H150" s="3" t="n">
        <v>0</v>
      </c>
      <c r="I150" s="3">
        <f>ROUND(IF(ISNUMBER(AG150),AG150,G150)+H150,2)</f>
        <v/>
      </c>
      <c r="J150" s="2" t="inlineStr">
        <is>
          <t>Завтрак "Шведский стол"</t>
        </is>
      </c>
      <c r="K150" s="5" t="n">
        <v>46221.58333333334</v>
      </c>
      <c r="L150" t="n">
        <v>1</v>
      </c>
      <c r="M150" s="3">
        <f>I150/L150</f>
        <v/>
      </c>
      <c r="N150">
        <f>IF(M150&gt;=5100,"ставка","мин.ставка")</f>
        <v/>
      </c>
      <c r="O150" s="3">
        <f>ROUND(IF(N150="мин.ставка",L150*100,I150/102*2),2)</f>
        <v/>
      </c>
      <c r="P150" s="5" t="n">
        <v>46222.5</v>
      </c>
      <c r="Q150" t="inlineStr">
        <is>
          <t>TravelLine YAX</t>
        </is>
      </c>
      <c r="R150" s="2" t="inlineStr">
        <is>
          <t>УЛУЧШЕННЫЙ ДВУХМЕСТНЫЙ НОМЕР</t>
        </is>
      </c>
      <c r="S150" t="n">
        <v>56</v>
      </c>
      <c r="T150" t="n">
        <v>2</v>
      </c>
      <c r="U150" t="inlineStr"/>
      <c r="V150" t="inlineStr">
        <is>
          <t>Тариф с завтраком</t>
        </is>
      </c>
      <c r="W150" t="n">
        <v>12320</v>
      </c>
      <c r="X150" s="3" t="n">
        <v>3080</v>
      </c>
      <c r="Y150" t="inlineStr">
        <is>
          <t>20%</t>
        </is>
      </c>
      <c r="Z150" t="inlineStr">
        <is>
          <t>2026-07-18</t>
        </is>
      </c>
      <c r="AA150" s="3" t="n">
        <v>12320</v>
      </c>
      <c r="AB150" t="inlineStr">
        <is>
          <t>Сошлось по ночным тарифам</t>
        </is>
      </c>
      <c r="AC150" s="2" t="inlineStr"/>
      <c r="AD150" t="n">
        <v>3080</v>
      </c>
      <c r="AE150" t="n">
        <v>0</v>
      </c>
      <c r="AF150" t="inlineStr">
        <is>
          <t>Скидка добавлена к налоговой базе</t>
        </is>
      </c>
      <c r="AG150" t="n">
        <v>15400</v>
      </c>
      <c r="AH150" t="n">
        <v>12320</v>
      </c>
      <c r="AI150" t="inlineStr">
        <is>
          <t>Полное проживание в выбранном периоде</t>
        </is>
      </c>
    </row>
    <row r="151">
      <c r="A151" t="inlineStr">
        <is>
          <t>20260710-8186-448524052</t>
        </is>
      </c>
      <c r="B151" t="n">
        <v>1</v>
      </c>
      <c r="C151" s="2" t="inlineStr">
        <is>
          <t>Андрей Дьяков</t>
        </is>
      </c>
      <c r="D151" s="3" t="n">
        <v>11205</v>
      </c>
      <c r="E151" s="4" t="n">
        <v>0</v>
      </c>
      <c r="F151" t="inlineStr">
        <is>
          <t>Прямые бронирования (стойка) [Чайковский]</t>
        </is>
      </c>
      <c r="G151" s="3">
        <f>ROUND(D151/(100-E151)*100,2)</f>
        <v/>
      </c>
      <c r="H151" s="3" t="n">
        <v>0</v>
      </c>
      <c r="I151" s="3">
        <f>ROUND(IF(ISNUMBER(AG151),AG151,G151)+H151,2)</f>
        <v/>
      </c>
      <c r="J151" s="2" t="inlineStr">
        <is>
          <t>Завтрак "Шведский стол"</t>
        </is>
      </c>
      <c r="K151" s="5" t="n">
        <v>46213.58333333334</v>
      </c>
      <c r="L151" t="n">
        <v>1</v>
      </c>
      <c r="M151" s="3">
        <f>I151/L151</f>
        <v/>
      </c>
      <c r="N151">
        <f>IF(M151&gt;=5100,"ставка","мин.ставка")</f>
        <v/>
      </c>
      <c r="O151" s="3">
        <f>ROUND(IF(N151="мин.ставка",L151*100,I151/102*2),2)</f>
        <v/>
      </c>
      <c r="P151" s="5" t="n">
        <v>46214.5</v>
      </c>
      <c r="Q151" t="inlineStr">
        <is>
          <t>TravelLine ресепшен</t>
        </is>
      </c>
      <c r="R151" s="2" t="inlineStr">
        <is>
          <t>СЕМЕЙНЫЙ НОМЕР КАТЕГОРИИ "СТАНДАРТ" ВТОРОЙ КОРПУС</t>
        </is>
      </c>
      <c r="S151" t="n">
        <v>50</v>
      </c>
      <c r="T151" t="n">
        <v>2</v>
      </c>
      <c r="U151" t="inlineStr"/>
      <c r="V151" t="inlineStr">
        <is>
          <t>Тариф с завтраком</t>
        </is>
      </c>
      <c r="W151" t="n">
        <v>11205</v>
      </c>
      <c r="X151" s="3" t="n">
        <v>1245</v>
      </c>
      <c r="Y151" t="inlineStr">
        <is>
          <t>10%</t>
        </is>
      </c>
      <c r="Z151" t="inlineStr">
        <is>
          <t>2026-07-10</t>
        </is>
      </c>
      <c r="AA151" s="3" t="n">
        <v>11205</v>
      </c>
      <c r="AB151" t="inlineStr">
        <is>
          <t>Сошлось по ночным тарифам</t>
        </is>
      </c>
      <c r="AC151" s="2" t="inlineStr"/>
      <c r="AD151" t="n">
        <v>1245</v>
      </c>
      <c r="AE151" t="n">
        <v>0</v>
      </c>
      <c r="AF151" t="inlineStr">
        <is>
          <t>Скидка добавлена к налоговой базе</t>
        </is>
      </c>
      <c r="AG151" t="n">
        <v>12450</v>
      </c>
      <c r="AH151" t="n">
        <v>11205</v>
      </c>
      <c r="AI151" t="inlineStr">
        <is>
          <t>Полное проживание в выбранном периоде</t>
        </is>
      </c>
    </row>
    <row r="152">
      <c r="A152" t="inlineStr">
        <is>
          <t>20260724-8186-452860606</t>
        </is>
      </c>
      <c r="B152" t="n">
        <v>1</v>
      </c>
      <c r="C152" s="2" t="inlineStr">
        <is>
          <t>Андрей Дьяков</t>
        </is>
      </c>
      <c r="D152" s="3" t="n">
        <v>13050</v>
      </c>
      <c r="E152" s="4" t="n">
        <v>0</v>
      </c>
      <c r="F152" t="inlineStr">
        <is>
          <t>Прямые бронирования (стойка) [Чайковский]</t>
        </is>
      </c>
      <c r="G152" s="3">
        <f>ROUND(D152/(100-E152)*100,2)</f>
        <v/>
      </c>
      <c r="H152" s="3" t="n">
        <v>0</v>
      </c>
      <c r="I152" s="3">
        <f>ROUND(IF(ISNUMBER(AG152),AG152,G152)+H152,2)</f>
        <v/>
      </c>
      <c r="J152" s="2" t="inlineStr">
        <is>
          <t>Завтрак "Шведский стол"</t>
        </is>
      </c>
      <c r="K152" s="5" t="n">
        <v>46227.58333333334</v>
      </c>
      <c r="L152" t="n">
        <v>1</v>
      </c>
      <c r="M152" s="3">
        <f>I152/L152</f>
        <v/>
      </c>
      <c r="N152">
        <f>IF(M152&gt;=5100,"ставка","мин.ставка")</f>
        <v/>
      </c>
      <c r="O152" s="3">
        <f>ROUND(IF(N152="мин.ставка",L152*100,I152/102*2),2)</f>
        <v/>
      </c>
      <c r="P152" s="5" t="n">
        <v>46228.5</v>
      </c>
      <c r="Q152" t="inlineStr">
        <is>
          <t>TravelLine ресепшен</t>
        </is>
      </c>
      <c r="R152" s="2" t="inlineStr">
        <is>
          <t>ПОЛУЛЮКС</t>
        </is>
      </c>
      <c r="S152" t="n">
        <v>25</v>
      </c>
      <c r="T152" t="n">
        <v>1</v>
      </c>
      <c r="U152" t="inlineStr"/>
      <c r="V152" t="inlineStr">
        <is>
          <t>Тариф с завтраком</t>
        </is>
      </c>
      <c r="W152" t="n">
        <v>13050</v>
      </c>
      <c r="X152" s="3" t="n">
        <v>1450</v>
      </c>
      <c r="Y152" t="inlineStr">
        <is>
          <t>10%</t>
        </is>
      </c>
      <c r="Z152" t="inlineStr">
        <is>
          <t>2026-07-24</t>
        </is>
      </c>
      <c r="AA152" s="3" t="n">
        <v>13050</v>
      </c>
      <c r="AB152" t="inlineStr">
        <is>
          <t>Сошлось по ночным тарифам</t>
        </is>
      </c>
      <c r="AC152" s="2" t="inlineStr"/>
      <c r="AD152" t="n">
        <v>1450</v>
      </c>
      <c r="AE152" t="n">
        <v>0</v>
      </c>
      <c r="AF152" t="inlineStr">
        <is>
          <t>Скидка добавлена к налоговой базе</t>
        </is>
      </c>
      <c r="AG152" t="n">
        <v>14500</v>
      </c>
      <c r="AH152" t="n">
        <v>13050</v>
      </c>
      <c r="AI152" t="inlineStr">
        <is>
          <t>Полное проживание в выбранном периоде</t>
        </is>
      </c>
    </row>
    <row r="153">
      <c r="A153" t="inlineStr">
        <is>
          <t>20260821-8186-459665197</t>
        </is>
      </c>
      <c r="B153" t="n">
        <v>1</v>
      </c>
      <c r="C153" s="2" t="inlineStr">
        <is>
          <t>Андрей Дьяков</t>
        </is>
      </c>
      <c r="D153" s="3" t="n">
        <v>10215</v>
      </c>
      <c r="E153" s="4" t="n">
        <v>0</v>
      </c>
      <c r="F153" t="inlineStr">
        <is>
          <t>Прямые бронирования (стойка) [Чайковский]</t>
        </is>
      </c>
      <c r="G153" s="3">
        <f>ROUND(D153/(100-E153)*100,2)</f>
        <v/>
      </c>
      <c r="H153" s="3" t="n">
        <v>0</v>
      </c>
      <c r="I153" s="3">
        <f>ROUND(IF(ISNUMBER(AG153),AG153,G153)+H153,2)</f>
        <v/>
      </c>
      <c r="J153" s="2" t="inlineStr">
        <is>
          <t>Завтрак "Шведский стол"</t>
        </is>
      </c>
      <c r="K153" s="5" t="n">
        <v>46255.58333333334</v>
      </c>
      <c r="L153" t="n">
        <v>1</v>
      </c>
      <c r="M153" s="3">
        <f>I153/L153</f>
        <v/>
      </c>
      <c r="N153">
        <f>IF(M153&gt;=5100,"ставка","мин.ставка")</f>
        <v/>
      </c>
      <c r="O153" s="3">
        <f>ROUND(IF(N153="мин.ставка",L153*100,I153/102*2),2)</f>
        <v/>
      </c>
      <c r="P153" s="5" t="n">
        <v>46256.5</v>
      </c>
      <c r="Q153" t="inlineStr">
        <is>
          <t>TravelLine ресепшен</t>
        </is>
      </c>
      <c r="R153" s="2" t="inlineStr">
        <is>
          <t>СТАНДАРТНЫЙ ДВУХМЕСТНЫЙ НОМЕР</t>
        </is>
      </c>
      <c r="S153" t="n">
        <v>33</v>
      </c>
      <c r="T153" t="n">
        <v>1</v>
      </c>
      <c r="U153" t="inlineStr"/>
      <c r="V153" t="inlineStr">
        <is>
          <t>Тариф с завтраком</t>
        </is>
      </c>
      <c r="W153" t="n">
        <v>10215</v>
      </c>
      <c r="X153" s="3" t="n">
        <v>1135</v>
      </c>
      <c r="Y153" t="inlineStr">
        <is>
          <t>10%</t>
        </is>
      </c>
      <c r="Z153" t="inlineStr">
        <is>
          <t>2026-08-21</t>
        </is>
      </c>
      <c r="AA153" s="3" t="n">
        <v>10215</v>
      </c>
      <c r="AB153" t="inlineStr">
        <is>
          <t>Сошлось по ночным тарифам</t>
        </is>
      </c>
      <c r="AC153" s="2" t="inlineStr"/>
      <c r="AD153" t="n">
        <v>1135</v>
      </c>
      <c r="AE153" t="n">
        <v>0</v>
      </c>
      <c r="AF153" t="inlineStr">
        <is>
          <t>Скидка добавлена к налоговой базе</t>
        </is>
      </c>
      <c r="AG153" t="n">
        <v>11350</v>
      </c>
      <c r="AH153" t="n">
        <v>10215</v>
      </c>
      <c r="AI153" t="inlineStr">
        <is>
          <t>Полное проживание в выбранном периоде</t>
        </is>
      </c>
    </row>
    <row r="154">
      <c r="A154" t="inlineStr">
        <is>
          <t>20260801-8186-417315012</t>
        </is>
      </c>
      <c r="B154" t="n">
        <v>1</v>
      </c>
      <c r="C154" s="2" t="inlineStr">
        <is>
          <t>АНДРЕЙ ЕЛИСТРАТОВ, ЕЛИЗАВЕТА БРЫНЗА</t>
        </is>
      </c>
      <c r="D154" s="3" t="n">
        <v>16500</v>
      </c>
      <c r="E154" s="4" t="n">
        <v>0</v>
      </c>
      <c r="F154" t="inlineStr">
        <is>
          <t>Прямые бронирования (стойка) [Чайковский]</t>
        </is>
      </c>
      <c r="G154" s="3">
        <f>ROUND(D154/(100-E154)*100,2)</f>
        <v/>
      </c>
      <c r="H154" s="3" t="n">
        <v>0</v>
      </c>
      <c r="I154" s="3">
        <f>ROUND(IF(ISNUMBER(AG154),AG154,G154)+H154,2)</f>
        <v/>
      </c>
      <c r="J154" s="2" t="inlineStr">
        <is>
          <t>Завтрак "Шведский стол"</t>
        </is>
      </c>
      <c r="K154" s="5" t="n">
        <v>46235.58333333334</v>
      </c>
      <c r="L154" t="n">
        <v>1</v>
      </c>
      <c r="M154" s="3">
        <f>I154/L154</f>
        <v/>
      </c>
      <c r="N154">
        <f>IF(M154&gt;=5100,"ставка","мин.ставка")</f>
        <v/>
      </c>
      <c r="O154" s="3">
        <f>ROUND(IF(N154="мин.ставка",L154*100,I154/102*2),2)</f>
        <v/>
      </c>
      <c r="P154" s="5" t="n">
        <v>46236.5</v>
      </c>
      <c r="Q154" t="inlineStr">
        <is>
          <t>TravelLine ресепшен</t>
        </is>
      </c>
      <c r="R154" s="2" t="inlineStr">
        <is>
          <t>ПОЛУЛЮКС</t>
        </is>
      </c>
      <c r="S154" t="n">
        <v>25</v>
      </c>
      <c r="T154" t="n">
        <v>1</v>
      </c>
      <c r="U154" t="inlineStr"/>
      <c r="V154" t="inlineStr">
        <is>
          <t>Тариф с завтраком</t>
        </is>
      </c>
      <c r="W154" t="n">
        <v>16500</v>
      </c>
      <c r="X154" s="3" t="n">
        <v>0</v>
      </c>
      <c r="Y154" t="inlineStr"/>
      <c r="Z154" t="inlineStr"/>
      <c r="AA154" s="3" t="n">
        <v>16500</v>
      </c>
      <c r="AB154" t="inlineStr">
        <is>
          <t>Сошлось по ночным тарифам</t>
        </is>
      </c>
      <c r="AC154" s="2" t="inlineStr"/>
      <c r="AD154" t="n">
        <v>0</v>
      </c>
      <c r="AE154" t="n">
        <v>0</v>
      </c>
      <c r="AF154" t="inlineStr">
        <is>
          <t>Скидки нет</t>
        </is>
      </c>
      <c r="AG154" t="n">
        <v>16500</v>
      </c>
      <c r="AH154" t="n">
        <v>16500</v>
      </c>
      <c r="AI154" t="inlineStr">
        <is>
          <t>Полное проживание в выбранном периоде</t>
        </is>
      </c>
    </row>
    <row r="155">
      <c r="A155" t="inlineStr">
        <is>
          <t>20260829-8186-455908212</t>
        </is>
      </c>
      <c r="B155" t="n">
        <v>1</v>
      </c>
      <c r="C155" s="2" t="inlineStr">
        <is>
          <t>АНДРЕЙ ЖАРОВ, КСЕНИЯ ЖАРОВА</t>
        </is>
      </c>
      <c r="D155" s="3" t="n">
        <v>67284</v>
      </c>
      <c r="E155" s="4" t="n">
        <v>16</v>
      </c>
      <c r="F155" t="inlineStr">
        <is>
          <t>ООО "БРОНИРОВАНИЕ ГОСТИНИЦ" (OSTROVOK) [Чайковский]</t>
        </is>
      </c>
      <c r="G155" s="3">
        <f>ROUND(D155/(100-E155)*100,2)</f>
        <v/>
      </c>
      <c r="H155" s="3" t="n">
        <v>0</v>
      </c>
      <c r="I155" s="3">
        <f>ROUND(IF(ISNUMBER(AG155),AG155,G155)+H155,2)</f>
        <v/>
      </c>
      <c r="J155" s="2" t="inlineStr">
        <is>
          <t>Завтрак "Шведский стол"</t>
        </is>
      </c>
      <c r="K155" s="5" t="n">
        <v>46263.58333333334</v>
      </c>
      <c r="L155" t="n">
        <v>6</v>
      </c>
      <c r="M155" s="3">
        <f>I155/L155</f>
        <v/>
      </c>
      <c r="N155">
        <f>IF(M155&gt;=5100,"ставка","мин.ставка")</f>
        <v/>
      </c>
      <c r="O155" s="3">
        <f>ROUND(IF(N155="мин.ставка",L155*100,I155/102*2),2)</f>
        <v/>
      </c>
      <c r="P155" s="5" t="n">
        <v>46269.5</v>
      </c>
      <c r="Q155" t="inlineStr">
        <is>
          <t>TravelLine OTK</t>
        </is>
      </c>
      <c r="R155" s="2" t="inlineStr">
        <is>
          <t>СТАНДАРТНЫЙ ДВУХМЕСТНЫЙ НОМЕР</t>
        </is>
      </c>
      <c r="S155" t="n">
        <v>42</v>
      </c>
      <c r="T155" t="n">
        <v>1</v>
      </c>
      <c r="U155" t="inlineStr"/>
      <c r="V155" t="inlineStr">
        <is>
          <t>Тариф с завтраком</t>
        </is>
      </c>
      <c r="W155" t="n">
        <v>67284</v>
      </c>
      <c r="X155" s="3" t="n">
        <v>12816</v>
      </c>
      <c r="Y155" t="inlineStr">
        <is>
          <t>16%</t>
        </is>
      </c>
      <c r="Z155" t="inlineStr">
        <is>
          <t>2026-08-29, 2026-08-30, 2026-08-31, 2026-09-01, 2026-09-02, 2026-09-03</t>
        </is>
      </c>
      <c r="AA155" s="3" t="n">
        <v>67284</v>
      </c>
      <c r="AB155" t="inlineStr">
        <is>
          <t>Сошлось по ночным тарифам</t>
        </is>
      </c>
      <c r="AC155" s="2" t="inlineStr"/>
      <c r="AD155" t="n">
        <v>12816</v>
      </c>
      <c r="AE155" t="n">
        <v>0</v>
      </c>
      <c r="AF155" t="inlineStr">
        <is>
          <t>Скидка добавлена к налоговой базе</t>
        </is>
      </c>
      <c r="AG155" t="n">
        <v>80100</v>
      </c>
      <c r="AH155" t="n">
        <v>67284</v>
      </c>
      <c r="AI155" t="inlineStr">
        <is>
          <t>Полное проживание в выбранном периоде</t>
        </is>
      </c>
    </row>
    <row r="156">
      <c r="A156" t="inlineStr">
        <is>
          <t>20260729-8186-446530322</t>
        </is>
      </c>
      <c r="B156" t="n">
        <v>1</v>
      </c>
      <c r="C156" s="2" t="inlineStr">
        <is>
          <t>АНДРЕЙ ЖУКОВ, ГЕОРГИЙ БУГЕЛЬСКИЙ</t>
        </is>
      </c>
      <c r="D156" s="3" t="n">
        <v>12015</v>
      </c>
      <c r="E156" s="4" t="n">
        <v>0</v>
      </c>
      <c r="F156" t="inlineStr">
        <is>
          <t>Прямые бронирования (стойка) [Чайковский]</t>
        </is>
      </c>
      <c r="G156" s="3">
        <f>ROUND(D156/(100-E156)*100,2)</f>
        <v/>
      </c>
      <c r="H156" s="3" t="n">
        <v>0</v>
      </c>
      <c r="I156" s="3">
        <f>ROUND(IF(ISNUMBER(AG156),AG156,G156)+H156,2)</f>
        <v/>
      </c>
      <c r="J156" s="2" t="inlineStr">
        <is>
          <t>Завтрак "Шведский стол"</t>
        </is>
      </c>
      <c r="K156" s="5" t="n">
        <v>46232.58333333334</v>
      </c>
      <c r="L156" t="n">
        <v>1</v>
      </c>
      <c r="M156" s="3">
        <f>I156/L156</f>
        <v/>
      </c>
      <c r="N156">
        <f>IF(M156&gt;=5100,"ставка","мин.ставка")</f>
        <v/>
      </c>
      <c r="O156" s="3">
        <f>ROUND(IF(N156="мин.ставка",L156*100,I156/102*2),2)</f>
        <v/>
      </c>
      <c r="P156" s="5" t="n">
        <v>46233.5</v>
      </c>
      <c r="Q156" t="inlineStr">
        <is>
          <t>TravelLine ресепшен</t>
        </is>
      </c>
      <c r="R156" s="2" t="inlineStr">
        <is>
          <t>СТАНДАРТНЫЙ ДВУХМЕСТНЫЙ НОМЕР</t>
        </is>
      </c>
      <c r="S156" t="n">
        <v>33</v>
      </c>
      <c r="T156" t="n">
        <v>1</v>
      </c>
      <c r="U156" t="inlineStr"/>
      <c r="V156" t="inlineStr">
        <is>
          <t>Тариф с завтраком</t>
        </is>
      </c>
      <c r="W156" t="n">
        <v>12015</v>
      </c>
      <c r="X156" s="3" t="n">
        <v>1335</v>
      </c>
      <c r="Y156" t="inlineStr">
        <is>
          <t>10%</t>
        </is>
      </c>
      <c r="Z156" t="inlineStr">
        <is>
          <t>2026-07-29</t>
        </is>
      </c>
      <c r="AA156" s="3" t="n">
        <v>12015</v>
      </c>
      <c r="AB156" t="inlineStr">
        <is>
          <t>Сошлось по ночным тарифам</t>
        </is>
      </c>
      <c r="AC156" s="2" t="inlineStr"/>
      <c r="AD156" t="n">
        <v>1335</v>
      </c>
      <c r="AE156" t="n">
        <v>0</v>
      </c>
      <c r="AF156" t="inlineStr">
        <is>
          <t>Скидка добавлена к налоговой базе</t>
        </is>
      </c>
      <c r="AG156" t="n">
        <v>13350</v>
      </c>
      <c r="AH156" t="n">
        <v>12015</v>
      </c>
      <c r="AI156" t="inlineStr">
        <is>
          <t>Полное проживание в выбранном периоде</t>
        </is>
      </c>
    </row>
    <row r="157">
      <c r="A157" t="inlineStr">
        <is>
          <t>20260701-8186-405717237</t>
        </is>
      </c>
      <c r="B157" t="n">
        <v>1</v>
      </c>
      <c r="C157" s="2" t="inlineStr">
        <is>
          <t>Андрей Зайцев, Наталья Зайцева</t>
        </is>
      </c>
      <c r="D157" s="3" t="n">
        <v>56826</v>
      </c>
      <c r="E157" s="4" t="n">
        <v>18</v>
      </c>
      <c r="F157" t="inlineStr">
        <is>
          <t>Яндекс.Путешествия [Чайковский]</t>
        </is>
      </c>
      <c r="G157" s="3">
        <f>ROUND(D157/(100-E157)*100,2)</f>
        <v/>
      </c>
      <c r="H157" s="3" t="n">
        <v>0</v>
      </c>
      <c r="I157" s="3">
        <f>ROUND(IF(ISNUMBER(AG157),AG157,G157)+H157,2)</f>
        <v/>
      </c>
      <c r="J157" s="2" t="inlineStr">
        <is>
          <t>Завтрак "Шведский стол"</t>
        </is>
      </c>
      <c r="K157" s="5" t="n">
        <v>46204.58333333334</v>
      </c>
      <c r="L157" t="n">
        <v>7</v>
      </c>
      <c r="M157" s="3">
        <f>I157/L157</f>
        <v/>
      </c>
      <c r="N157">
        <f>IF(M157&gt;=5100,"ставка","мин.ставка")</f>
        <v/>
      </c>
      <c r="O157" s="3">
        <f>ROUND(IF(N157="мин.ставка",L157*100,I157/102*2),2)</f>
        <v/>
      </c>
      <c r="P157" s="5" t="n">
        <v>46211.5</v>
      </c>
      <c r="Q157" t="inlineStr">
        <is>
          <t>TravelLine YAX</t>
        </is>
      </c>
      <c r="R157" s="2" t="inlineStr">
        <is>
          <t>СТАНДАРТНЫЙ ДВУХМЕСТНЫЙ НОМЕР (МАНСАРДА)</t>
        </is>
      </c>
      <c r="S157" t="n">
        <v>41</v>
      </c>
      <c r="T157" t="n">
        <v>1</v>
      </c>
      <c r="U157" t="inlineStr"/>
      <c r="V157" t="inlineStr">
        <is>
          <t>Тариф с завтраком</t>
        </is>
      </c>
      <c r="W157" t="n">
        <v>56826</v>
      </c>
      <c r="X157" s="3" t="n">
        <v>12474</v>
      </c>
      <c r="Y157" t="inlineStr">
        <is>
          <t>18%</t>
        </is>
      </c>
      <c r="Z157" t="inlineStr">
        <is>
          <t>2026-07-01, 2026-07-02, 2026-07-03, 2026-07-04, 2026-07-05, 2026-07-06, 2026-07-07</t>
        </is>
      </c>
      <c r="AA157" s="3" t="n">
        <v>56826</v>
      </c>
      <c r="AB157" t="inlineStr">
        <is>
          <t>Сошлось по ночным тарифам</t>
        </is>
      </c>
      <c r="AC157" s="2" t="inlineStr"/>
      <c r="AD157" t="n">
        <v>12474</v>
      </c>
      <c r="AE157" t="n">
        <v>0</v>
      </c>
      <c r="AF157" t="inlineStr">
        <is>
          <t>Скидка добавлена к налоговой базе</t>
        </is>
      </c>
      <c r="AG157" t="n">
        <v>69300</v>
      </c>
      <c r="AH157" t="n">
        <v>56826</v>
      </c>
      <c r="AI157" t="inlineStr">
        <is>
          <t>Полное проживание в выбранном периоде</t>
        </is>
      </c>
    </row>
    <row r="158">
      <c r="A158" t="inlineStr">
        <is>
          <t>20260827-8186-451798611</t>
        </is>
      </c>
      <c r="B158" t="n">
        <v>1</v>
      </c>
      <c r="C158" s="2" t="inlineStr">
        <is>
          <t>Андрей Капралов, Ксения Ким</t>
        </is>
      </c>
      <c r="D158" s="3" t="n">
        <v>24640</v>
      </c>
      <c r="E158" s="4" t="n">
        <v>20</v>
      </c>
      <c r="F158" t="inlineStr">
        <is>
          <t>ООО "УК ГЦБ и Т" [Чайковский]</t>
        </is>
      </c>
      <c r="G158" s="3">
        <f>ROUND(D158/(100-E158)*100,2)</f>
        <v/>
      </c>
      <c r="H158" s="3" t="n">
        <v>30800</v>
      </c>
      <c r="I158" s="3">
        <f>ROUND(IF(ISNUMBER(AG158),AG158,G158)+H158,2)</f>
        <v/>
      </c>
      <c r="J158" s="2" t="inlineStr">
        <is>
          <t>Завтрак; продление номера — 30 800,00 ₽; Завтрак "Шведский стол"</t>
        </is>
      </c>
      <c r="K158" s="5" t="n">
        <v>46261.58333333334</v>
      </c>
      <c r="L158" t="n">
        <v>4</v>
      </c>
      <c r="M158" s="3">
        <f>I158/L158</f>
        <v/>
      </c>
      <c r="N158">
        <f>IF(M158&gt;=5100,"ставка","мин.ставка")</f>
        <v/>
      </c>
      <c r="O158" s="3">
        <f>ROUND(IF(N158="мин.ставка",L158*100,I158/102*2),2)</f>
        <v/>
      </c>
      <c r="P158" s="5" t="n">
        <v>46265.5</v>
      </c>
      <c r="Q158" t="inlineStr">
        <is>
          <t>TravelLine CBC</t>
        </is>
      </c>
      <c r="R158" s="2" t="inlineStr">
        <is>
          <t>УЛУЧШЕННЫЙ ДВУХМЕСТНЫЙ НОМЕР</t>
        </is>
      </c>
      <c r="S158" t="n">
        <v>21</v>
      </c>
      <c r="T158" t="n">
        <v>1</v>
      </c>
      <c r="U158" t="inlineStr"/>
      <c r="V158" t="inlineStr">
        <is>
          <t>Тариф с завтраком</t>
        </is>
      </c>
      <c r="W158" t="n">
        <v>55440</v>
      </c>
      <c r="X158" s="3" t="n">
        <v>6160</v>
      </c>
      <c r="Y158" t="inlineStr">
        <is>
          <t>20%</t>
        </is>
      </c>
      <c r="Z158" t="inlineStr">
        <is>
          <t>2026-08-27, 2026-08-28, 2026-08-29, 2026-08-30</t>
        </is>
      </c>
      <c r="AA158" s="3" t="n">
        <v>24640</v>
      </c>
      <c r="AB158" t="inlineStr">
        <is>
          <t>Сошлось с услугами</t>
        </is>
      </c>
      <c r="AC158" s="2" t="inlineStr"/>
      <c r="AD158" t="n">
        <v>6160</v>
      </c>
      <c r="AE158" t="n">
        <v>0</v>
      </c>
      <c r="AF158" t="inlineStr">
        <is>
          <t>Скидка добавлена к налоговой базе</t>
        </is>
      </c>
      <c r="AG158" t="n">
        <v>30800</v>
      </c>
      <c r="AH158" t="n">
        <v>24640</v>
      </c>
      <c r="AI158" t="inlineStr">
        <is>
          <t>Полное проживание в выбранном периоде</t>
        </is>
      </c>
    </row>
    <row r="159">
      <c r="A159" t="inlineStr">
        <is>
          <t>20260807-8186-441275849</t>
        </is>
      </c>
      <c r="B159" t="n">
        <v>1</v>
      </c>
      <c r="C159" s="2" t="inlineStr">
        <is>
          <t>Андрей Кирюхин, Анастасия Кирюхина</t>
        </is>
      </c>
      <c r="D159" s="3" t="n">
        <v>26499.75</v>
      </c>
      <c r="E159" s="4" t="n">
        <v>4</v>
      </c>
      <c r="F159" t="inlineStr">
        <is>
          <t>TravelLine Booking Engine [Чайковский]</t>
        </is>
      </c>
      <c r="G159" s="3">
        <f>ROUND(D159/(100-E159)*100,2)</f>
        <v/>
      </c>
      <c r="H159" s="3" t="n">
        <v>0</v>
      </c>
      <c r="I159" s="3">
        <f>ROUND(IF(ISNUMBER(AG159),AG159,G159)+H159,2)</f>
        <v/>
      </c>
      <c r="J159" s="2" t="inlineStr">
        <is>
          <t>Завтрак "Шведский стол"</t>
        </is>
      </c>
      <c r="K159" s="5" t="n">
        <v>46241.58333333334</v>
      </c>
      <c r="L159" t="n">
        <v>2</v>
      </c>
      <c r="M159" s="3">
        <f>I159/L159</f>
        <v/>
      </c>
      <c r="N159">
        <f>IF(M159&gt;=5100,"ставка","мин.ставка")</f>
        <v/>
      </c>
      <c r="O159" s="3">
        <f>ROUND(IF(N159="мин.ставка",L159*100,I159/102*2),2)</f>
        <v/>
      </c>
      <c r="P159" s="5" t="n">
        <v>46243.5</v>
      </c>
      <c r="Q159" t="inlineStr">
        <is>
          <t>TravelLine сайт</t>
        </is>
      </c>
      <c r="R159" s="2" t="inlineStr">
        <is>
          <t>СТАНДАРТНЫЙ ДВУХМЕСТНЫЙ НОМЕР</t>
        </is>
      </c>
      <c r="S159" t="n">
        <v>42</v>
      </c>
      <c r="T159" t="n">
        <v>1</v>
      </c>
      <c r="U159" t="inlineStr"/>
      <c r="V159" t="inlineStr">
        <is>
          <t>Тариф с завтраком</t>
        </is>
      </c>
      <c r="W159" t="n">
        <v>26499.75</v>
      </c>
      <c r="X159" s="3" t="n">
        <v>200.25</v>
      </c>
      <c r="Y159" t="inlineStr">
        <is>
          <t>1.5%</t>
        </is>
      </c>
      <c r="Z159" t="inlineStr">
        <is>
          <t>2026-08-07</t>
        </is>
      </c>
      <c r="AA159" s="3" t="n">
        <v>26499.75</v>
      </c>
      <c r="AB159" t="inlineStr">
        <is>
          <t>Сошлось по ночным тарифам</t>
        </is>
      </c>
      <c r="AC159" s="2" t="inlineStr"/>
      <c r="AD159" t="n">
        <v>200.25</v>
      </c>
      <c r="AE159" t="n">
        <v>0</v>
      </c>
      <c r="AF159" t="inlineStr">
        <is>
          <t>Скидка добавлена к налоговой базе</t>
        </is>
      </c>
      <c r="AG159" t="n">
        <v>26700</v>
      </c>
      <c r="AH159" t="n">
        <v>26499.75</v>
      </c>
      <c r="AI159" t="inlineStr">
        <is>
          <t>Полное проживание в выбранном периоде</t>
        </is>
      </c>
    </row>
    <row r="160">
      <c r="A160" t="inlineStr">
        <is>
          <t>20260817-8186-456950526</t>
        </is>
      </c>
      <c r="B160" t="n">
        <v>1</v>
      </c>
      <c r="C160" s="2" t="inlineStr">
        <is>
          <t>Андрей Красавцев</t>
        </is>
      </c>
      <c r="D160" s="3" t="n">
        <v>11350</v>
      </c>
      <c r="E160" s="4" t="n">
        <v>0</v>
      </c>
      <c r="F160" t="inlineStr">
        <is>
          <t>Прямые бронирования (стойка) [Чайковский]</t>
        </is>
      </c>
      <c r="G160" s="3">
        <f>ROUND(D160/(100-E160)*100,2)</f>
        <v/>
      </c>
      <c r="H160" s="3" t="n">
        <v>0</v>
      </c>
      <c r="I160" s="3">
        <f>ROUND(IF(ISNUMBER(AG160),AG160,G160)+H160,2)</f>
        <v/>
      </c>
      <c r="J160" s="2" t="inlineStr">
        <is>
          <t>Завтрак "Шведский стол"</t>
        </is>
      </c>
      <c r="K160" s="5" t="n">
        <v>46251.58333333334</v>
      </c>
      <c r="L160" t="n">
        <v>1</v>
      </c>
      <c r="M160" s="3">
        <f>I160/L160</f>
        <v/>
      </c>
      <c r="N160">
        <f>IF(M160&gt;=5100,"ставка","мин.ставка")</f>
        <v/>
      </c>
      <c r="O160" s="3">
        <f>ROUND(IF(N160="мин.ставка",L160*100,I160/102*2),2)</f>
        <v/>
      </c>
      <c r="P160" s="5" t="n">
        <v>46252.5</v>
      </c>
      <c r="Q160" t="inlineStr">
        <is>
          <t>TravelLine ресепшен</t>
        </is>
      </c>
      <c r="R160" s="2" t="inlineStr">
        <is>
          <t>СТАНДАРТНЫЙ ДВУХМЕСТНЫЙ НОМЕР</t>
        </is>
      </c>
      <c r="S160" t="n">
        <v>23</v>
      </c>
      <c r="T160" t="n">
        <v>1</v>
      </c>
      <c r="U160" t="inlineStr"/>
      <c r="V160" t="inlineStr">
        <is>
          <t>Тариф с завтраком</t>
        </is>
      </c>
      <c r="W160" t="n">
        <v>11350</v>
      </c>
      <c r="X160" s="3" t="n">
        <v>0</v>
      </c>
      <c r="Y160" t="inlineStr"/>
      <c r="Z160" t="inlineStr"/>
      <c r="AA160" s="3" t="n">
        <v>11350</v>
      </c>
      <c r="AB160" t="inlineStr">
        <is>
          <t>Сошлось по ночным тарифам</t>
        </is>
      </c>
      <c r="AC160" s="2" t="inlineStr"/>
      <c r="AD160" t="n">
        <v>0</v>
      </c>
      <c r="AE160" t="n">
        <v>0</v>
      </c>
      <c r="AF160" t="inlineStr">
        <is>
          <t>Скидки нет</t>
        </is>
      </c>
      <c r="AG160" t="n">
        <v>11350</v>
      </c>
      <c r="AH160" t="n">
        <v>11350</v>
      </c>
      <c r="AI160" t="inlineStr">
        <is>
          <t>Полное проживание в выбранном периоде</t>
        </is>
      </c>
    </row>
    <row r="161">
      <c r="A161" t="inlineStr">
        <is>
          <t>20260722-8186-452174809</t>
        </is>
      </c>
      <c r="B161" t="n">
        <v>1</v>
      </c>
      <c r="C161" s="2" t="inlineStr">
        <is>
          <t>Андрей Лукашенко</t>
        </is>
      </c>
      <c r="D161" s="3" t="n">
        <v>24310</v>
      </c>
      <c r="E161" s="4" t="n">
        <v>15</v>
      </c>
      <c r="F161" t="inlineStr">
        <is>
          <t>ООО "БРОНИРОВАНИЕ ГОСТИНИЦ" (OSTROVOK) [Чайковский]</t>
        </is>
      </c>
      <c r="G161" s="3">
        <f>ROUND(D161/(100-E161)*100,2)</f>
        <v/>
      </c>
      <c r="H161" s="3" t="n">
        <v>0</v>
      </c>
      <c r="I161" s="3">
        <f>ROUND(IF(ISNUMBER(AG161),AG161,G161)+H161,2)</f>
        <v/>
      </c>
      <c r="J161" s="2" t="inlineStr"/>
      <c r="K161" s="5" t="n">
        <v>46225.58333333334</v>
      </c>
      <c r="L161" t="n">
        <v>2</v>
      </c>
      <c r="M161" s="3">
        <f>I161/L161</f>
        <v/>
      </c>
      <c r="N161">
        <f>IF(M161&gt;=5100,"ставка","мин.ставка")</f>
        <v/>
      </c>
      <c r="O161" s="3">
        <f>ROUND(IF(N161="мин.ставка",L161*100,I161/102*2),2)</f>
        <v/>
      </c>
      <c r="P161" s="5" t="n">
        <v>46227.5</v>
      </c>
      <c r="Q161" t="inlineStr">
        <is>
          <t>TravelLine OTK</t>
        </is>
      </c>
      <c r="R161" s="2" t="inlineStr">
        <is>
          <t>ЛЮКС ВТОРОЙ КОРПУС</t>
        </is>
      </c>
      <c r="S161" t="n">
        <v>54</v>
      </c>
      <c r="T161" t="n">
        <v>2</v>
      </c>
      <c r="U161" t="inlineStr"/>
      <c r="V161" t="inlineStr">
        <is>
          <t>Основной тариф без завтрака</t>
        </is>
      </c>
      <c r="W161" t="n">
        <v>24310</v>
      </c>
      <c r="X161" s="3" t="n">
        <v>4290</v>
      </c>
      <c r="Y161" t="inlineStr">
        <is>
          <t>15%</t>
        </is>
      </c>
      <c r="Z161" t="inlineStr">
        <is>
          <t>2026-07-22, 2026-07-23</t>
        </is>
      </c>
      <c r="AA161" s="3" t="n">
        <v>24310</v>
      </c>
      <c r="AB161" t="inlineStr">
        <is>
          <t>Сошлось по ночным тарифам</t>
        </is>
      </c>
      <c r="AC161" s="2" t="inlineStr"/>
      <c r="AD161" t="n">
        <v>4290</v>
      </c>
      <c r="AE161" t="n">
        <v>0</v>
      </c>
      <c r="AF161" t="inlineStr">
        <is>
          <t>Скидка добавлена к налоговой базе</t>
        </is>
      </c>
      <c r="AG161" t="n">
        <v>28600</v>
      </c>
      <c r="AH161" t="n">
        <v>24310</v>
      </c>
      <c r="AI161" t="inlineStr">
        <is>
          <t>Полное проживание в выбранном периоде</t>
        </is>
      </c>
    </row>
    <row r="162">
      <c r="A162" t="inlineStr">
        <is>
          <t>20260726-8186-453324720</t>
        </is>
      </c>
      <c r="B162" t="n">
        <v>1</v>
      </c>
      <c r="C162" s="2" t="inlineStr">
        <is>
          <t>Андрей Лукашенко</t>
        </is>
      </c>
      <c r="D162" s="3" t="n">
        <v>28050</v>
      </c>
      <c r="E162" s="4" t="n">
        <v>15</v>
      </c>
      <c r="F162" t="inlineStr">
        <is>
          <t>ООО "БРОНИРОВАНИЕ ГОСТИНИЦ" (OSTROVOK) [Чайковский]</t>
        </is>
      </c>
      <c r="G162" s="3">
        <f>ROUND(D162/(100-E162)*100,2)</f>
        <v/>
      </c>
      <c r="H162" s="3" t="n">
        <v>0</v>
      </c>
      <c r="I162" s="3">
        <f>ROUND(IF(ISNUMBER(AG162),AG162,G162)+H162,2)</f>
        <v/>
      </c>
      <c r="J162" s="2" t="inlineStr"/>
      <c r="K162" s="5" t="n">
        <v>46229.58333333334</v>
      </c>
      <c r="L162" t="n">
        <v>3</v>
      </c>
      <c r="M162" s="3">
        <f>I162/L162</f>
        <v/>
      </c>
      <c r="N162">
        <f>IF(M162&gt;=5100,"ставка","мин.ставка")</f>
        <v/>
      </c>
      <c r="O162" s="3">
        <f>ROUND(IF(N162="мин.ставка",L162*100,I162/102*2),2)</f>
        <v/>
      </c>
      <c r="P162" s="5" t="n">
        <v>46232.5</v>
      </c>
      <c r="Q162" t="inlineStr">
        <is>
          <t>TravelLine OTK</t>
        </is>
      </c>
      <c r="R162" s="2" t="inlineStr">
        <is>
          <t>ЛЮКС ВТОРОЙ КОРПУС</t>
        </is>
      </c>
      <c r="S162" t="n">
        <v>54</v>
      </c>
      <c r="T162" t="n">
        <v>2</v>
      </c>
      <c r="U162" t="inlineStr"/>
      <c r="V162" t="inlineStr">
        <is>
          <t>Основной тариф без завтрака</t>
        </is>
      </c>
      <c r="W162" t="n">
        <v>28050</v>
      </c>
      <c r="X162" s="3" t="n">
        <v>4950</v>
      </c>
      <c r="Y162" t="inlineStr">
        <is>
          <t>15%</t>
        </is>
      </c>
      <c r="Z162" t="inlineStr">
        <is>
          <t>2026-07-26, 2026-07-27, 2026-07-28</t>
        </is>
      </c>
      <c r="AA162" s="3" t="n">
        <v>28050</v>
      </c>
      <c r="AB162" t="inlineStr">
        <is>
          <t>Сошлось по ночным тарифам</t>
        </is>
      </c>
      <c r="AC162" s="2" t="inlineStr"/>
      <c r="AD162" t="n">
        <v>4950</v>
      </c>
      <c r="AE162" t="n">
        <v>0</v>
      </c>
      <c r="AF162" t="inlineStr">
        <is>
          <t>Скидка добавлена к налоговой базе</t>
        </is>
      </c>
      <c r="AG162" t="n">
        <v>33000</v>
      </c>
      <c r="AH162" t="n">
        <v>28050</v>
      </c>
      <c r="AI162" t="inlineStr">
        <is>
          <t>Полное проживание в выбранном периоде</t>
        </is>
      </c>
    </row>
    <row r="163">
      <c r="A163" t="inlineStr">
        <is>
          <t>20260920-8186-466531471</t>
        </is>
      </c>
      <c r="B163" t="n">
        <v>1</v>
      </c>
      <c r="C163" s="2" t="inlineStr">
        <is>
          <t>Андрей Машков</t>
        </is>
      </c>
      <c r="D163" s="3" t="n">
        <v>13090</v>
      </c>
      <c r="E163" s="4" t="n">
        <v>15</v>
      </c>
      <c r="F163" t="inlineStr">
        <is>
          <t>ООО Тинькофф Путешествия [Чайковский]</t>
        </is>
      </c>
      <c r="G163" s="3">
        <f>ROUND(D163/(100-E163)*100,2)</f>
        <v/>
      </c>
      <c r="H163" s="3" t="n">
        <v>0</v>
      </c>
      <c r="I163" s="3">
        <f>ROUND(IF(ISNUMBER(AG163),AG163,G163)+H163,2)</f>
        <v/>
      </c>
      <c r="J163" s="2" t="inlineStr">
        <is>
          <t>Завтрак "Шведский стол"</t>
        </is>
      </c>
      <c r="K163" s="5" t="n">
        <v>46285.75</v>
      </c>
      <c r="L163" t="n">
        <v>2</v>
      </c>
      <c r="M163" s="3">
        <f>I163/L163</f>
        <v/>
      </c>
      <c r="N163">
        <f>IF(M163&gt;=5100,"ставка","мин.ставка")</f>
        <v/>
      </c>
      <c r="O163" s="3">
        <f>ROUND(IF(N163="мин.ставка",L163*100,I163/102*2),2)</f>
        <v/>
      </c>
      <c r="P163" s="5" t="n">
        <v>46287.5</v>
      </c>
      <c r="Q163" t="inlineStr">
        <is>
          <t>TravelLine TNK</t>
        </is>
      </c>
      <c r="R163" s="2" t="inlineStr">
        <is>
          <t>СТАНДАРТНЫЙ ОДНОМЕСТНЫЙ НОМЕР</t>
        </is>
      </c>
      <c r="S163" t="n">
        <v>34</v>
      </c>
      <c r="T163" t="n">
        <v>1</v>
      </c>
      <c r="U163" t="inlineStr"/>
      <c r="V163" t="inlineStr">
        <is>
          <t>Тариф с завтраком</t>
        </is>
      </c>
      <c r="W163" t="n">
        <v>13090</v>
      </c>
      <c r="X163" s="3" t="n">
        <v>2310</v>
      </c>
      <c r="Y163" t="inlineStr">
        <is>
          <t>15%</t>
        </is>
      </c>
      <c r="Z163" t="inlineStr">
        <is>
          <t>2026-09-20, 2026-09-21</t>
        </is>
      </c>
      <c r="AA163" s="3" t="n">
        <v>13090</v>
      </c>
      <c r="AB163" t="inlineStr">
        <is>
          <t>Сошлось по ночным тарифам</t>
        </is>
      </c>
      <c r="AC163" s="2" t="inlineStr"/>
      <c r="AD163" t="n">
        <v>2310</v>
      </c>
      <c r="AE163" t="n">
        <v>0</v>
      </c>
      <c r="AF163" t="inlineStr">
        <is>
          <t>Скидка добавлена к налоговой базе</t>
        </is>
      </c>
      <c r="AG163" t="n">
        <v>15400</v>
      </c>
      <c r="AH163" t="n">
        <v>13090</v>
      </c>
      <c r="AI163" t="inlineStr">
        <is>
          <t>Полное проживание в выбранном периоде</t>
        </is>
      </c>
    </row>
    <row r="164">
      <c r="A164" t="inlineStr">
        <is>
          <t>20260720-8186-451695475</t>
        </is>
      </c>
      <c r="B164" t="n">
        <v>1</v>
      </c>
      <c r="C164" s="2" t="inlineStr">
        <is>
          <t>АНДРЕЙ МОХНОВ</t>
        </is>
      </c>
      <c r="D164" s="3" t="n">
        <v>14240</v>
      </c>
      <c r="E164" s="4" t="n">
        <v>0</v>
      </c>
      <c r="F164" t="inlineStr">
        <is>
          <t>Прямые бронирования (стойка) [Чайковский]</t>
        </is>
      </c>
      <c r="G164" s="3">
        <f>ROUND(D164/(100-E164)*100,2)</f>
        <v/>
      </c>
      <c r="H164" s="3" t="n">
        <v>0</v>
      </c>
      <c r="I164" s="3">
        <f>ROUND(IF(ISNUMBER(AG164),AG164,G164)+H164,2)</f>
        <v/>
      </c>
      <c r="J164" s="2" t="inlineStr">
        <is>
          <t>Завтрак "Шведский стол"</t>
        </is>
      </c>
      <c r="K164" s="5" t="n">
        <v>46223.58333333334</v>
      </c>
      <c r="L164" t="n">
        <v>1</v>
      </c>
      <c r="M164" s="3">
        <f>I164/L164</f>
        <v/>
      </c>
      <c r="N164">
        <f>IF(M164&gt;=5100,"ставка","мин.ставка")</f>
        <v/>
      </c>
      <c r="O164" s="3">
        <f>ROUND(IF(N164="мин.ставка",L164*100,I164/102*2),2)</f>
        <v/>
      </c>
      <c r="P164" s="5" t="n">
        <v>46224.5</v>
      </c>
      <c r="Q164" t="inlineStr">
        <is>
          <t>TravelLine ресепшен</t>
        </is>
      </c>
      <c r="R164" s="2" t="inlineStr">
        <is>
          <t>ЛЮКС ВТОРОЙ КОРПУС</t>
        </is>
      </c>
      <c r="S164" t="n">
        <v>57</v>
      </c>
      <c r="T164" t="n">
        <v>2</v>
      </c>
      <c r="U164" t="inlineStr"/>
      <c r="V164" t="inlineStr">
        <is>
          <t>Тариф с завтраком</t>
        </is>
      </c>
      <c r="W164" t="n">
        <v>14240</v>
      </c>
      <c r="X164" s="3" t="n">
        <v>3560</v>
      </c>
      <c r="Y164" t="inlineStr">
        <is>
          <t>20%</t>
        </is>
      </c>
      <c r="Z164" t="inlineStr">
        <is>
          <t>2026-07-20</t>
        </is>
      </c>
      <c r="AA164" s="3" t="n">
        <v>14240</v>
      </c>
      <c r="AB164" t="inlineStr">
        <is>
          <t>Сошлось по ночным тарифам</t>
        </is>
      </c>
      <c r="AC164" s="2" t="inlineStr"/>
      <c r="AD164" t="n">
        <v>3560</v>
      </c>
      <c r="AE164" t="n">
        <v>0</v>
      </c>
      <c r="AF164" t="inlineStr">
        <is>
          <t>Скидка добавлена к налоговой базе</t>
        </is>
      </c>
      <c r="AG164" t="n">
        <v>17800</v>
      </c>
      <c r="AH164" t="n">
        <v>14240</v>
      </c>
      <c r="AI164" t="inlineStr">
        <is>
          <t>Полное проживание в выбранном периоде</t>
        </is>
      </c>
    </row>
    <row r="165">
      <c r="A165" t="inlineStr">
        <is>
          <t>20260727-8186-453604137</t>
        </is>
      </c>
      <c r="B165" t="n">
        <v>1</v>
      </c>
      <c r="C165" s="2" t="inlineStr">
        <is>
          <t>Андрей Мохнов</t>
        </is>
      </c>
      <c r="D165" s="3" t="n">
        <v>14240</v>
      </c>
      <c r="E165" s="4" t="n">
        <v>0</v>
      </c>
      <c r="F165" t="inlineStr">
        <is>
          <t>Прямые бронирования (стойка) [Чайковский]</t>
        </is>
      </c>
      <c r="G165" s="3">
        <f>ROUND(D165/(100-E165)*100,2)</f>
        <v/>
      </c>
      <c r="H165" s="3" t="n">
        <v>0</v>
      </c>
      <c r="I165" s="3">
        <f>ROUND(IF(ISNUMBER(AG165),AG165,G165)+H165,2)</f>
        <v/>
      </c>
      <c r="J165" s="2" t="inlineStr">
        <is>
          <t>Завтрак "Шведский стол"</t>
        </is>
      </c>
      <c r="K165" s="5" t="n">
        <v>46230.58333333334</v>
      </c>
      <c r="L165" t="n">
        <v>1</v>
      </c>
      <c r="M165" s="3">
        <f>I165/L165</f>
        <v/>
      </c>
      <c r="N165">
        <f>IF(M165&gt;=5100,"ставка","мин.ставка")</f>
        <v/>
      </c>
      <c r="O165" s="3">
        <f>ROUND(IF(N165="мин.ставка",L165*100,I165/102*2),2)</f>
        <v/>
      </c>
      <c r="P165" s="5" t="n">
        <v>46231.5</v>
      </c>
      <c r="Q165" t="inlineStr">
        <is>
          <t>TravelLine ресепшен</t>
        </is>
      </c>
      <c r="R165" s="2" t="inlineStr">
        <is>
          <t>ЛЮКС ВТОРОЙ КОРПУС</t>
        </is>
      </c>
      <c r="S165" t="n">
        <v>53</v>
      </c>
      <c r="T165" t="n">
        <v>2</v>
      </c>
      <c r="U165" t="inlineStr"/>
      <c r="V165" t="inlineStr">
        <is>
          <t>Тариф с завтраком</t>
        </is>
      </c>
      <c r="W165" t="n">
        <v>14240</v>
      </c>
      <c r="X165" s="3" t="n">
        <v>3560</v>
      </c>
      <c r="Y165" t="inlineStr">
        <is>
          <t>20%</t>
        </is>
      </c>
      <c r="Z165" t="inlineStr">
        <is>
          <t>2026-07-27</t>
        </is>
      </c>
      <c r="AA165" s="3" t="n">
        <v>14240</v>
      </c>
      <c r="AB165" t="inlineStr">
        <is>
          <t>Сошлось по ночным тарифам</t>
        </is>
      </c>
      <c r="AC165" s="2" t="inlineStr"/>
      <c r="AD165" t="n">
        <v>3560</v>
      </c>
      <c r="AE165" t="n">
        <v>0</v>
      </c>
      <c r="AF165" t="inlineStr">
        <is>
          <t>Скидка добавлена к налоговой базе</t>
        </is>
      </c>
      <c r="AG165" t="n">
        <v>17800</v>
      </c>
      <c r="AH165" t="n">
        <v>14240</v>
      </c>
      <c r="AI165" t="inlineStr">
        <is>
          <t>Полное проживание в выбранном периоде</t>
        </is>
      </c>
    </row>
    <row r="166">
      <c r="A166" t="inlineStr">
        <is>
          <t>20260803-8186-454362212</t>
        </is>
      </c>
      <c r="B166" t="n">
        <v>1</v>
      </c>
      <c r="C166" s="2" t="inlineStr">
        <is>
          <t>андрей мохнов</t>
        </is>
      </c>
      <c r="D166" s="3" t="n">
        <v>14240</v>
      </c>
      <c r="E166" s="4" t="n">
        <v>0</v>
      </c>
      <c r="F166" t="inlineStr">
        <is>
          <t>Прямые бронирования (стойка) [Чайковский]</t>
        </is>
      </c>
      <c r="G166" s="3">
        <f>ROUND(D166/(100-E166)*100,2)</f>
        <v/>
      </c>
      <c r="H166" s="3" t="n">
        <v>0</v>
      </c>
      <c r="I166" s="3">
        <f>ROUND(IF(ISNUMBER(AG166),AG166,G166)+H166,2)</f>
        <v/>
      </c>
      <c r="J166" s="2" t="inlineStr">
        <is>
          <t>Завтрак "Шведский стол"</t>
        </is>
      </c>
      <c r="K166" s="5" t="n">
        <v>46237.58333333334</v>
      </c>
      <c r="L166" t="n">
        <v>1</v>
      </c>
      <c r="M166" s="3">
        <f>I166/L166</f>
        <v/>
      </c>
      <c r="N166">
        <f>IF(M166&gt;=5100,"ставка","мин.ставка")</f>
        <v/>
      </c>
      <c r="O166" s="3">
        <f>ROUND(IF(N166="мин.ставка",L166*100,I166/102*2),2)</f>
        <v/>
      </c>
      <c r="P166" s="5" t="n">
        <v>46238.5</v>
      </c>
      <c r="Q166" t="inlineStr">
        <is>
          <t>TravelLine ресепшен</t>
        </is>
      </c>
      <c r="R166" s="2" t="inlineStr">
        <is>
          <t>ЛЮКС ВТОРОЙ КОРПУС</t>
        </is>
      </c>
      <c r="S166" t="n">
        <v>53</v>
      </c>
      <c r="T166" t="n">
        <v>2</v>
      </c>
      <c r="U166" t="inlineStr"/>
      <c r="V166" t="inlineStr">
        <is>
          <t>Тариф с завтраком</t>
        </is>
      </c>
      <c r="W166" t="n">
        <v>14240</v>
      </c>
      <c r="X166" s="3" t="n">
        <v>3560</v>
      </c>
      <c r="Y166" t="inlineStr">
        <is>
          <t>20%</t>
        </is>
      </c>
      <c r="Z166" t="inlineStr">
        <is>
          <t>2026-08-03</t>
        </is>
      </c>
      <c r="AA166" s="3" t="n">
        <v>14240</v>
      </c>
      <c r="AB166" t="inlineStr">
        <is>
          <t>Сошлось по ночным тарифам</t>
        </is>
      </c>
      <c r="AC166" s="2" t="inlineStr"/>
      <c r="AD166" t="n">
        <v>3560</v>
      </c>
      <c r="AE166" t="n">
        <v>0</v>
      </c>
      <c r="AF166" t="inlineStr">
        <is>
          <t>Скидка добавлена к налоговой базе</t>
        </is>
      </c>
      <c r="AG166" t="n">
        <v>17800</v>
      </c>
      <c r="AH166" t="n">
        <v>14240</v>
      </c>
      <c r="AI166" t="inlineStr">
        <is>
          <t>Полное проживание в выбранном периоде</t>
        </is>
      </c>
    </row>
    <row r="167">
      <c r="A167" t="inlineStr">
        <is>
          <t>20260810-8186-457354060</t>
        </is>
      </c>
      <c r="B167" t="n">
        <v>1</v>
      </c>
      <c r="C167" s="2" t="inlineStr">
        <is>
          <t>андрей мохнов</t>
        </is>
      </c>
      <c r="D167" s="3" t="n">
        <v>14240</v>
      </c>
      <c r="E167" s="4" t="n">
        <v>0</v>
      </c>
      <c r="F167" t="inlineStr">
        <is>
          <t>Прямые бронирования (стойка) [Чайковский]</t>
        </is>
      </c>
      <c r="G167" s="3">
        <f>ROUND(D167/(100-E167)*100,2)</f>
        <v/>
      </c>
      <c r="H167" s="3" t="n">
        <v>0</v>
      </c>
      <c r="I167" s="3">
        <f>ROUND(IF(ISNUMBER(AG167),AG167,G167)+H167,2)</f>
        <v/>
      </c>
      <c r="J167" s="2" t="inlineStr">
        <is>
          <t>Завтрак "Шведский стол"</t>
        </is>
      </c>
      <c r="K167" s="5" t="n">
        <v>46244.58333333334</v>
      </c>
      <c r="L167" t="n">
        <v>1</v>
      </c>
      <c r="M167" s="3">
        <f>I167/L167</f>
        <v/>
      </c>
      <c r="N167">
        <f>IF(M167&gt;=5100,"ставка","мин.ставка")</f>
        <v/>
      </c>
      <c r="O167" s="3">
        <f>ROUND(IF(N167="мин.ставка",L167*100,I167/102*2),2)</f>
        <v/>
      </c>
      <c r="P167" s="5" t="n">
        <v>46245.5</v>
      </c>
      <c r="Q167" t="inlineStr">
        <is>
          <t>TravelLine ресепшен</t>
        </is>
      </c>
      <c r="R167" s="2" t="inlineStr">
        <is>
          <t>ЛЮКС ВТОРОЙ КОРПУС</t>
        </is>
      </c>
      <c r="S167" t="n">
        <v>53</v>
      </c>
      <c r="T167" t="n">
        <v>2</v>
      </c>
      <c r="U167" t="inlineStr"/>
      <c r="V167" t="inlineStr">
        <is>
          <t>Тариф с завтраком</t>
        </is>
      </c>
      <c r="W167" t="n">
        <v>14240</v>
      </c>
      <c r="X167" s="3" t="n">
        <v>3560</v>
      </c>
      <c r="Y167" t="inlineStr">
        <is>
          <t>20%</t>
        </is>
      </c>
      <c r="Z167" t="inlineStr">
        <is>
          <t>2026-08-10</t>
        </is>
      </c>
      <c r="AA167" s="3" t="n">
        <v>14240</v>
      </c>
      <c r="AB167" t="inlineStr">
        <is>
          <t>Сошлось по ночным тарифам</t>
        </is>
      </c>
      <c r="AC167" s="2" t="inlineStr"/>
      <c r="AD167" t="n">
        <v>3560</v>
      </c>
      <c r="AE167" t="n">
        <v>0</v>
      </c>
      <c r="AF167" t="inlineStr">
        <is>
          <t>Скидка добавлена к налоговой базе</t>
        </is>
      </c>
      <c r="AG167" t="n">
        <v>17800</v>
      </c>
      <c r="AH167" t="n">
        <v>14240</v>
      </c>
      <c r="AI167" t="inlineStr">
        <is>
          <t>Полное проживание в выбранном периоде</t>
        </is>
      </c>
    </row>
    <row r="168">
      <c r="A168" t="inlineStr">
        <is>
          <t>20260817-8186-459203359</t>
        </is>
      </c>
      <c r="B168" t="n">
        <v>1</v>
      </c>
      <c r="C168" s="2" t="inlineStr">
        <is>
          <t>Андрей Мохнов</t>
        </is>
      </c>
      <c r="D168" s="3" t="n">
        <v>9080</v>
      </c>
      <c r="E168" s="4" t="n">
        <v>0</v>
      </c>
      <c r="F168" t="inlineStr">
        <is>
          <t>Прямые бронирования (стойка) [Чайковский]</t>
        </is>
      </c>
      <c r="G168" s="3">
        <f>ROUND(D168/(100-E168)*100,2)</f>
        <v/>
      </c>
      <c r="H168" s="3" t="n">
        <v>0</v>
      </c>
      <c r="I168" s="3">
        <f>ROUND(IF(ISNUMBER(AG168),AG168,G168)+H168,2)</f>
        <v/>
      </c>
      <c r="J168" s="2" t="inlineStr">
        <is>
          <t>Завтрак "Шведский стол"</t>
        </is>
      </c>
      <c r="K168" s="5" t="n">
        <v>46251.58333333334</v>
      </c>
      <c r="L168" t="n">
        <v>1</v>
      </c>
      <c r="M168" s="3">
        <f>I168/L168</f>
        <v/>
      </c>
      <c r="N168">
        <f>IF(M168&gt;=5100,"ставка","мин.ставка")</f>
        <v/>
      </c>
      <c r="O168" s="3">
        <f>ROUND(IF(N168="мин.ставка",L168*100,I168/102*2),2)</f>
        <v/>
      </c>
      <c r="P168" s="5" t="n">
        <v>46252.5</v>
      </c>
      <c r="Q168" t="inlineStr">
        <is>
          <t>TravelLine ресепшен</t>
        </is>
      </c>
      <c r="R168" s="2" t="inlineStr">
        <is>
          <t>СТАНДАРТНЫЙ ДВУХМЕСТНЫЙ НОМЕР</t>
        </is>
      </c>
      <c r="S168" t="n">
        <v>52</v>
      </c>
      <c r="T168" t="n">
        <v>2</v>
      </c>
      <c r="U168" t="inlineStr"/>
      <c r="V168" t="inlineStr">
        <is>
          <t>Тариф с завтраком</t>
        </is>
      </c>
      <c r="W168" t="n">
        <v>9080</v>
      </c>
      <c r="X168" s="3" t="n">
        <v>2270</v>
      </c>
      <c r="Y168" t="inlineStr">
        <is>
          <t>20%</t>
        </is>
      </c>
      <c r="Z168" t="inlineStr">
        <is>
          <t>2026-08-17</t>
        </is>
      </c>
      <c r="AA168" s="3" t="n">
        <v>9080</v>
      </c>
      <c r="AB168" t="inlineStr">
        <is>
          <t>Сошлось по ночным тарифам</t>
        </is>
      </c>
      <c r="AC168" s="2" t="inlineStr"/>
      <c r="AD168" t="n">
        <v>2270</v>
      </c>
      <c r="AE168" t="n">
        <v>0</v>
      </c>
      <c r="AF168" t="inlineStr">
        <is>
          <t>Скидка добавлена к налоговой базе</t>
        </is>
      </c>
      <c r="AG168" t="n">
        <v>11350</v>
      </c>
      <c r="AH168" t="n">
        <v>9080</v>
      </c>
      <c r="AI168" t="inlineStr">
        <is>
          <t>Полное проживание в выбранном периоде</t>
        </is>
      </c>
    </row>
    <row r="169">
      <c r="A169" t="inlineStr">
        <is>
          <t>20260903-8186-463391238</t>
        </is>
      </c>
      <c r="B169" t="n">
        <v>1</v>
      </c>
      <c r="C169" s="2" t="inlineStr">
        <is>
          <t>андрей мохнов</t>
        </is>
      </c>
      <c r="D169" s="3" t="n">
        <v>14240</v>
      </c>
      <c r="E169" s="4" t="n">
        <v>0</v>
      </c>
      <c r="F169" t="inlineStr">
        <is>
          <t>Прямые бронирования (стойка) [Чайковский]</t>
        </is>
      </c>
      <c r="G169" s="3">
        <f>ROUND(D169/(100-E169)*100,2)</f>
        <v/>
      </c>
      <c r="H169" s="3" t="n">
        <v>0</v>
      </c>
      <c r="I169" s="3">
        <f>ROUND(IF(ISNUMBER(AG169),AG169,G169)+H169,2)</f>
        <v/>
      </c>
      <c r="J169" s="2" t="inlineStr">
        <is>
          <t>Завтрак "Шведский стол"</t>
        </is>
      </c>
      <c r="K169" s="5" t="n">
        <v>46268.58333333334</v>
      </c>
      <c r="L169" t="n">
        <v>1</v>
      </c>
      <c r="M169" s="3">
        <f>I169/L169</f>
        <v/>
      </c>
      <c r="N169">
        <f>IF(M169&gt;=5100,"ставка","мин.ставка")</f>
        <v/>
      </c>
      <c r="O169" s="3">
        <f>ROUND(IF(N169="мин.ставка",L169*100,I169/102*2),2)</f>
        <v/>
      </c>
      <c r="P169" s="5" t="n">
        <v>46269.5</v>
      </c>
      <c r="Q169" t="inlineStr">
        <is>
          <t>TravelLine ресепшен</t>
        </is>
      </c>
      <c r="R169" s="2" t="inlineStr">
        <is>
          <t>ЛЮКС ВТОРОЙ КОРПУС</t>
        </is>
      </c>
      <c r="S169" t="n">
        <v>53</v>
      </c>
      <c r="T169" t="n">
        <v>2</v>
      </c>
      <c r="U169" t="inlineStr"/>
      <c r="V169" t="inlineStr">
        <is>
          <t>Тариф с завтраком</t>
        </is>
      </c>
      <c r="W169" t="n">
        <v>14240</v>
      </c>
      <c r="X169" s="3" t="n">
        <v>3560</v>
      </c>
      <c r="Y169" t="inlineStr">
        <is>
          <t>20%</t>
        </is>
      </c>
      <c r="Z169" t="inlineStr">
        <is>
          <t>2026-09-03</t>
        </is>
      </c>
      <c r="AA169" s="3" t="n">
        <v>14240</v>
      </c>
      <c r="AB169" t="inlineStr">
        <is>
          <t>Сошлось по ночным тарифам</t>
        </is>
      </c>
      <c r="AC169" s="2" t="inlineStr"/>
      <c r="AD169" t="n">
        <v>3560</v>
      </c>
      <c r="AE169" t="n">
        <v>0</v>
      </c>
      <c r="AF169" t="inlineStr">
        <is>
          <t>Скидка добавлена к налоговой базе</t>
        </is>
      </c>
      <c r="AG169" t="n">
        <v>17800</v>
      </c>
      <c r="AH169" t="n">
        <v>14240</v>
      </c>
      <c r="AI169" t="inlineStr">
        <is>
          <t>Полное проживание в выбранном периоде</t>
        </is>
      </c>
    </row>
    <row r="170">
      <c r="A170" t="inlineStr">
        <is>
          <t>20260907-8186-464277168</t>
        </is>
      </c>
      <c r="B170" t="n">
        <v>1</v>
      </c>
      <c r="C170" s="2" t="inlineStr">
        <is>
          <t>андрей мохнов</t>
        </is>
      </c>
      <c r="D170" s="3" t="n">
        <v>14240</v>
      </c>
      <c r="E170" s="4" t="n">
        <v>0</v>
      </c>
      <c r="F170" t="inlineStr">
        <is>
          <t>Прямые бронирования (стойка) [Чайковский]</t>
        </is>
      </c>
      <c r="G170" s="3">
        <f>ROUND(D170/(100-E170)*100,2)</f>
        <v/>
      </c>
      <c r="H170" s="3" t="n">
        <v>0</v>
      </c>
      <c r="I170" s="3">
        <f>ROUND(IF(ISNUMBER(AG170),AG170,G170)+H170,2)</f>
        <v/>
      </c>
      <c r="J170" s="2" t="inlineStr">
        <is>
          <t>Завтрак "Шведский стол"</t>
        </is>
      </c>
      <c r="K170" s="5" t="n">
        <v>46272.58333333334</v>
      </c>
      <c r="L170" t="n">
        <v>1</v>
      </c>
      <c r="M170" s="3">
        <f>I170/L170</f>
        <v/>
      </c>
      <c r="N170">
        <f>IF(M170&gt;=5100,"ставка","мин.ставка")</f>
        <v/>
      </c>
      <c r="O170" s="3">
        <f>ROUND(IF(N170="мин.ставка",L170*100,I170/102*2),2)</f>
        <v/>
      </c>
      <c r="P170" s="5" t="n">
        <v>46273.5</v>
      </c>
      <c r="Q170" t="inlineStr">
        <is>
          <t>TravelLine ресепшен</t>
        </is>
      </c>
      <c r="R170" s="2" t="inlineStr">
        <is>
          <t>ЛЮКС ВТОРОЙ КОРПУС</t>
        </is>
      </c>
      <c r="S170" t="n">
        <v>53</v>
      </c>
      <c r="T170" t="n">
        <v>2</v>
      </c>
      <c r="U170" t="inlineStr"/>
      <c r="V170" t="inlineStr">
        <is>
          <t>Тариф с завтраком</t>
        </is>
      </c>
      <c r="W170" t="n">
        <v>14240</v>
      </c>
      <c r="X170" s="3" t="n">
        <v>3560</v>
      </c>
      <c r="Y170" t="inlineStr">
        <is>
          <t>20%</t>
        </is>
      </c>
      <c r="Z170" t="inlineStr">
        <is>
          <t>2026-09-07</t>
        </is>
      </c>
      <c r="AA170" s="3" t="n">
        <v>14240</v>
      </c>
      <c r="AB170" t="inlineStr">
        <is>
          <t>Сошлось по ночным тарифам</t>
        </is>
      </c>
      <c r="AC170" s="2" t="inlineStr"/>
      <c r="AD170" t="n">
        <v>3560</v>
      </c>
      <c r="AE170" t="n">
        <v>0</v>
      </c>
      <c r="AF170" t="inlineStr">
        <is>
          <t>Скидка добавлена к налоговой базе</t>
        </is>
      </c>
      <c r="AG170" t="n">
        <v>17800</v>
      </c>
      <c r="AH170" t="n">
        <v>14240</v>
      </c>
      <c r="AI170" t="inlineStr">
        <is>
          <t>Полное проживание в выбранном периоде</t>
        </is>
      </c>
    </row>
    <row r="171">
      <c r="A171" t="inlineStr">
        <is>
          <t>20260914-8186-465856722</t>
        </is>
      </c>
      <c r="B171" t="n">
        <v>1</v>
      </c>
      <c r="C171" s="2" t="inlineStr">
        <is>
          <t>Андрей МОХНОВ</t>
        </is>
      </c>
      <c r="D171" s="3" t="n">
        <v>9960</v>
      </c>
      <c r="E171" s="4" t="n">
        <v>0</v>
      </c>
      <c r="F171" t="inlineStr">
        <is>
          <t>Прямые бронирования (стойка) [Чайковский]</t>
        </is>
      </c>
      <c r="G171" s="3">
        <f>ROUND(D171/(100-E171)*100,2)</f>
        <v/>
      </c>
      <c r="H171" s="3" t="n">
        <v>0</v>
      </c>
      <c r="I171" s="3">
        <f>ROUND(IF(ISNUMBER(AG171),AG171,G171)+H171,2)</f>
        <v/>
      </c>
      <c r="J171" s="2" t="inlineStr">
        <is>
          <t>Завтрак "Шведский стол"</t>
        </is>
      </c>
      <c r="K171" s="5" t="n">
        <v>46279.58333333334</v>
      </c>
      <c r="L171" t="n">
        <v>1</v>
      </c>
      <c r="M171" s="3">
        <f>I171/L171</f>
        <v/>
      </c>
      <c r="N171">
        <f>IF(M171&gt;=5100,"ставка","мин.ставка")</f>
        <v/>
      </c>
      <c r="O171" s="3">
        <f>ROUND(IF(N171="мин.ставка",L171*100,I171/102*2),2)</f>
        <v/>
      </c>
      <c r="P171" s="5" t="n">
        <v>46280.5</v>
      </c>
      <c r="Q171" t="inlineStr">
        <is>
          <t>TravelLine ресепшен</t>
        </is>
      </c>
      <c r="R171" s="2" t="inlineStr">
        <is>
          <t>СЕМЕЙНЫЙ НОМЕР КАТЕГОРИИ "СТАНДАРТ" ВТОРОЙ КОРПУС</t>
        </is>
      </c>
      <c r="S171" t="n">
        <v>51</v>
      </c>
      <c r="T171" t="n">
        <v>2</v>
      </c>
      <c r="U171" t="inlineStr"/>
      <c r="V171" t="inlineStr">
        <is>
          <t>Тариф с завтраком</t>
        </is>
      </c>
      <c r="W171" t="n">
        <v>9960</v>
      </c>
      <c r="X171" s="3" t="n">
        <v>2490</v>
      </c>
      <c r="Y171" t="inlineStr">
        <is>
          <t>20%</t>
        </is>
      </c>
      <c r="Z171" t="inlineStr">
        <is>
          <t>2026-09-14</t>
        </is>
      </c>
      <c r="AA171" s="3" t="n">
        <v>9960</v>
      </c>
      <c r="AB171" t="inlineStr">
        <is>
          <t>Сошлось по ночным тарифам</t>
        </is>
      </c>
      <c r="AC171" s="2" t="inlineStr"/>
      <c r="AD171" t="n">
        <v>2490</v>
      </c>
      <c r="AE171" t="n">
        <v>0</v>
      </c>
      <c r="AF171" t="inlineStr">
        <is>
          <t>Скидка добавлена к налоговой базе</t>
        </is>
      </c>
      <c r="AG171" t="n">
        <v>12450</v>
      </c>
      <c r="AH171" t="n">
        <v>9960</v>
      </c>
      <c r="AI171" t="inlineStr">
        <is>
          <t>Полное проживание в выбранном периоде</t>
        </is>
      </c>
    </row>
    <row r="172">
      <c r="A172" t="inlineStr">
        <is>
          <t>20260817-8186-454348210</t>
        </is>
      </c>
      <c r="B172" t="n">
        <v>1</v>
      </c>
      <c r="C172" s="2" t="inlineStr">
        <is>
          <t>Андрей Назарьев</t>
        </is>
      </c>
      <c r="D172" s="3" t="n">
        <v>47560</v>
      </c>
      <c r="E172" s="4" t="n">
        <v>18</v>
      </c>
      <c r="F172" t="inlineStr">
        <is>
          <t>ООО "Эй энд Эй" [Чайковский]</t>
        </is>
      </c>
      <c r="G172" s="3">
        <f>ROUND(D172/(100-E172)*100,2)</f>
        <v/>
      </c>
      <c r="H172" s="3" t="n">
        <v>0</v>
      </c>
      <c r="I172" s="3">
        <f>ROUND(IF(ISNUMBER(AG172),AG172,G172)+H172,2)</f>
        <v/>
      </c>
      <c r="J172" s="2" t="inlineStr">
        <is>
          <t>Завтрак "Шведский стол"</t>
        </is>
      </c>
      <c r="K172" s="5" t="n">
        <v>46251.58333333334</v>
      </c>
      <c r="L172" t="n">
        <v>4</v>
      </c>
      <c r="M172" s="3">
        <f>I172/L172</f>
        <v/>
      </c>
      <c r="N172">
        <f>IF(M172&gt;=5100,"ставка","мин.ставка")</f>
        <v/>
      </c>
      <c r="O172" s="3">
        <f>ROUND(IF(N172="мин.ставка",L172*100,I172/102*2),2)</f>
        <v/>
      </c>
      <c r="P172" s="5" t="n">
        <v>46255.5</v>
      </c>
      <c r="Q172" t="inlineStr">
        <is>
          <t>TravelLine ANA</t>
        </is>
      </c>
      <c r="R172" s="2" t="inlineStr">
        <is>
          <t>ПОЛУЛЮКС</t>
        </is>
      </c>
      <c r="S172" t="n">
        <v>11</v>
      </c>
      <c r="T172" t="n">
        <v>1</v>
      </c>
      <c r="U172" t="inlineStr"/>
      <c r="V172" t="inlineStr">
        <is>
          <t>Тариф с завтраком</t>
        </is>
      </c>
      <c r="W172" t="n">
        <v>47560</v>
      </c>
      <c r="X172" s="3" t="n">
        <v>10440</v>
      </c>
      <c r="Y172" t="inlineStr">
        <is>
          <t>18%</t>
        </is>
      </c>
      <c r="Z172" t="inlineStr">
        <is>
          <t>2026-08-17, 2026-08-18, 2026-08-19, 2026-08-20</t>
        </is>
      </c>
      <c r="AA172" s="3" t="n">
        <v>47560</v>
      </c>
      <c r="AB172" t="inlineStr">
        <is>
          <t>Сошлось по ночным тарифам</t>
        </is>
      </c>
      <c r="AC172" s="2" t="inlineStr"/>
      <c r="AD172" t="n">
        <v>10440</v>
      </c>
      <c r="AE172" t="n">
        <v>0</v>
      </c>
      <c r="AF172" t="inlineStr">
        <is>
          <t>Скидка добавлена к налоговой базе</t>
        </is>
      </c>
      <c r="AG172" t="n">
        <v>58000</v>
      </c>
      <c r="AH172" t="n">
        <v>47560</v>
      </c>
      <c r="AI172" t="inlineStr">
        <is>
          <t>Полное проживание в выбранном периоде</t>
        </is>
      </c>
    </row>
    <row r="173">
      <c r="A173" t="inlineStr">
        <is>
          <t>20260713-8186-448221235</t>
        </is>
      </c>
      <c r="B173" t="n">
        <v>1</v>
      </c>
      <c r="C173" s="2" t="inlineStr">
        <is>
          <t>Андрей Оклеев</t>
        </is>
      </c>
      <c r="D173" s="3" t="n">
        <v>45400</v>
      </c>
      <c r="E173" s="4" t="n">
        <v>4</v>
      </c>
      <c r="F173" t="inlineStr">
        <is>
          <t>TravelLine Booking Engine [Чайковский]</t>
        </is>
      </c>
      <c r="G173" s="3">
        <f>ROUND(D173/(100-E173)*100,2)</f>
        <v/>
      </c>
      <c r="H173" s="3" t="n">
        <v>0</v>
      </c>
      <c r="I173" s="3">
        <f>ROUND(IF(ISNUMBER(AG173),AG173,G173)+H173,2)</f>
        <v/>
      </c>
      <c r="J173" s="2" t="inlineStr">
        <is>
          <t>Завтрак "Шведский стол"</t>
        </is>
      </c>
      <c r="K173" s="5" t="n">
        <v>46216.58333333334</v>
      </c>
      <c r="L173" t="n">
        <v>4</v>
      </c>
      <c r="M173" s="3">
        <f>I173/L173</f>
        <v/>
      </c>
      <c r="N173">
        <f>IF(M173&gt;=5100,"ставка","мин.ставка")</f>
        <v/>
      </c>
      <c r="O173" s="3">
        <f>ROUND(IF(N173="мин.ставка",L173*100,I173/102*2),2)</f>
        <v/>
      </c>
      <c r="P173" s="5" t="n">
        <v>46220.5</v>
      </c>
      <c r="Q173" t="inlineStr">
        <is>
          <t>TravelLine сайт</t>
        </is>
      </c>
      <c r="R173" s="2" t="inlineStr">
        <is>
          <t>СТАНДАРТНЫЙ ДВУХМЕСТНЫЙ НОМЕР</t>
        </is>
      </c>
      <c r="S173" t="n">
        <v>58</v>
      </c>
      <c r="T173" t="n">
        <v>2</v>
      </c>
      <c r="U173" t="inlineStr"/>
      <c r="V173" t="inlineStr">
        <is>
          <t>Тариф с завтраком</t>
        </is>
      </c>
      <c r="W173" t="n">
        <v>90800</v>
      </c>
      <c r="X173" s="3" t="n">
        <v>0</v>
      </c>
      <c r="Y173" t="inlineStr"/>
      <c r="Z173" t="inlineStr"/>
      <c r="AA173" s="3" t="n">
        <v>45400</v>
      </c>
      <c r="AB173" t="inlineStr">
        <is>
          <t>Сошлось по ночным тарифам</t>
        </is>
      </c>
      <c r="AC173" s="2" t="inlineStr"/>
      <c r="AD173" t="n">
        <v>0</v>
      </c>
      <c r="AE173" t="n">
        <v>0</v>
      </c>
      <c r="AF173" t="inlineStr">
        <is>
          <t>Скидки нет</t>
        </is>
      </c>
      <c r="AG173" t="n">
        <v>45400</v>
      </c>
      <c r="AH173" t="n">
        <v>45400</v>
      </c>
      <c r="AI173" t="inlineStr">
        <is>
          <t>Полное проживание в выбранном периоде</t>
        </is>
      </c>
    </row>
    <row r="174">
      <c r="A174" t="inlineStr">
        <is>
          <t>20260817-8186-436077872</t>
        </is>
      </c>
      <c r="B174" t="n">
        <v>1</v>
      </c>
      <c r="C174" s="2" t="inlineStr">
        <is>
          <t>Андрей Полежаев, ТАТЬЯНА ПОЛЕЖАЕВА</t>
        </is>
      </c>
      <c r="D174" s="3" t="n">
        <v>9593.1</v>
      </c>
      <c r="E174" s="4" t="n">
        <v>4</v>
      </c>
      <c r="F174" t="inlineStr">
        <is>
          <t>TravelLine Booking Engine [Чайковский]</t>
        </is>
      </c>
      <c r="G174" s="3">
        <f>ROUND(D174/(100-E174)*100,2)</f>
        <v/>
      </c>
      <c r="H174" s="3" t="n">
        <v>0</v>
      </c>
      <c r="I174" s="3">
        <f>ROUND(IF(ISNUMBER(AG174),AG174,G174)+H174,2)</f>
        <v/>
      </c>
      <c r="J174" s="2" t="inlineStr">
        <is>
          <t>Завтрак "Шведский стол"</t>
        </is>
      </c>
      <c r="K174" s="5" t="n">
        <v>46251.58333333334</v>
      </c>
      <c r="L174" t="n">
        <v>1</v>
      </c>
      <c r="M174" s="3">
        <f>I174/L174</f>
        <v/>
      </c>
      <c r="N174">
        <f>IF(M174&gt;=5100,"ставка","мин.ставка")</f>
        <v/>
      </c>
      <c r="O174" s="3">
        <f>ROUND(IF(N174="мин.ставка",L174*100,I174/102*2),2)</f>
        <v/>
      </c>
      <c r="P174" s="5" t="n">
        <v>46252.5</v>
      </c>
      <c r="Q174" t="inlineStr">
        <is>
          <t>TravelLine сайт</t>
        </is>
      </c>
      <c r="R174" s="2" t="inlineStr">
        <is>
          <t>СТАНДАРТНЫЙ ДВУХМЕСТНЫЙ НОМЕР (МАНСАРДА)</t>
        </is>
      </c>
      <c r="S174" t="n">
        <v>43</v>
      </c>
      <c r="T174" t="n">
        <v>1</v>
      </c>
      <c r="U174" t="inlineStr"/>
      <c r="V174" t="inlineStr">
        <is>
          <t>Тариф с завтраком</t>
        </is>
      </c>
      <c r="W174" t="n">
        <v>9593.1</v>
      </c>
      <c r="X174" s="3" t="n">
        <v>306.9</v>
      </c>
      <c r="Y174" t="inlineStr">
        <is>
          <t>3.1%</t>
        </is>
      </c>
      <c r="Z174" t="inlineStr">
        <is>
          <t>2026-08-17</t>
        </is>
      </c>
      <c r="AA174" s="3" t="n">
        <v>9593.1</v>
      </c>
      <c r="AB174" t="inlineStr">
        <is>
          <t>Сошлось по ночным тарифам</t>
        </is>
      </c>
      <c r="AC174" s="2" t="inlineStr"/>
      <c r="AD174" t="n">
        <v>306.9</v>
      </c>
      <c r="AE174" t="n">
        <v>0</v>
      </c>
      <c r="AF174" t="inlineStr">
        <is>
          <t>Скидка добавлена к налоговой базе</t>
        </is>
      </c>
      <c r="AG174" t="n">
        <v>9900</v>
      </c>
      <c r="AH174" t="n">
        <v>9593.1</v>
      </c>
      <c r="AI174" t="inlineStr">
        <is>
          <t>Полное проживание в выбранном периоде</t>
        </is>
      </c>
    </row>
    <row r="175">
      <c r="A175" t="inlineStr">
        <is>
          <t>20260908-8186-456428265</t>
        </is>
      </c>
      <c r="B175" t="n">
        <v>1</v>
      </c>
      <c r="C175" s="2" t="inlineStr">
        <is>
          <t>Андрей Ренжин</t>
        </is>
      </c>
      <c r="D175" s="3" t="n">
        <v>67000</v>
      </c>
      <c r="E175" s="4" t="n">
        <v>0</v>
      </c>
      <c r="F175" t="inlineStr">
        <is>
          <t>Прямые бронирования (стойка) [Чайковский]</t>
        </is>
      </c>
      <c r="G175" s="3">
        <f>ROUND(D175/(100-E175)*100,2)</f>
        <v/>
      </c>
      <c r="H175" s="3" t="n">
        <v>1300</v>
      </c>
      <c r="I175" s="3">
        <f>ROUND(IF(ISNUMBER(AG175),AG175,G175)+H175,2)</f>
        <v/>
      </c>
      <c r="J175" s="2" t="inlineStr">
        <is>
          <t>продление номера — 800,00 ₽; продление номера — 500,00 ₽; Завтрак "Шведский стол"</t>
        </is>
      </c>
      <c r="K175" s="5" t="n">
        <v>46273.58333333334</v>
      </c>
      <c r="L175" t="n">
        <v>5</v>
      </c>
      <c r="M175" s="3">
        <f>I175/L175</f>
        <v/>
      </c>
      <c r="N175">
        <f>IF(M175&gt;=5100,"ставка","мин.ставка")</f>
        <v/>
      </c>
      <c r="O175" s="3">
        <f>ROUND(IF(N175="мин.ставка",L175*100,I175/102*2),2)</f>
        <v/>
      </c>
      <c r="P175" s="5" t="n">
        <v>46278.5</v>
      </c>
      <c r="Q175" t="inlineStr">
        <is>
          <t>TravelLine ресепшен</t>
        </is>
      </c>
      <c r="R175" s="2" t="inlineStr">
        <is>
          <t>УЛУЧШЕННЫЙ ДВУХМЕСТНЫЙ НОМЕР</t>
        </is>
      </c>
      <c r="S175" t="n">
        <v>21</v>
      </c>
      <c r="T175" t="n">
        <v>1</v>
      </c>
      <c r="U175" t="inlineStr"/>
      <c r="V175" t="inlineStr">
        <is>
          <t>Тариф с завтраком</t>
        </is>
      </c>
      <c r="W175" t="n">
        <v>68300</v>
      </c>
      <c r="X175" s="3" t="n">
        <v>0</v>
      </c>
      <c r="Y175" t="inlineStr"/>
      <c r="Z175" t="inlineStr"/>
      <c r="AA175" s="3" t="n">
        <v>67000</v>
      </c>
      <c r="AB175" t="inlineStr">
        <is>
          <t>Сошлось с услугами</t>
        </is>
      </c>
      <c r="AC175" s="2" t="inlineStr"/>
      <c r="AD175" t="n">
        <v>0</v>
      </c>
      <c r="AE175" t="n">
        <v>0</v>
      </c>
      <c r="AF175" t="inlineStr">
        <is>
          <t>Скидки нет</t>
        </is>
      </c>
      <c r="AG175" t="n">
        <v>67000</v>
      </c>
      <c r="AH175" t="n">
        <v>67000</v>
      </c>
      <c r="AI175" t="inlineStr">
        <is>
          <t>Полное проживание в выбранном периоде</t>
        </is>
      </c>
    </row>
    <row r="176">
      <c r="A176" t="inlineStr">
        <is>
          <t>20260829-8186-457112567</t>
        </is>
      </c>
      <c r="B176" t="n">
        <v>1</v>
      </c>
      <c r="C176" s="2" t="inlineStr">
        <is>
          <t>Андрей Садовский, Софья Садовская</t>
        </is>
      </c>
      <c r="D176" s="3" t="n">
        <v>22161</v>
      </c>
      <c r="E176" s="4" t="n">
        <v>18</v>
      </c>
      <c r="F176" t="inlineStr">
        <is>
          <t>Яндекс.Путешествия [Чайковский]</t>
        </is>
      </c>
      <c r="G176" s="3">
        <f>ROUND(D176/(100-E176)*100,2)</f>
        <v/>
      </c>
      <c r="H176" s="3" t="n">
        <v>0</v>
      </c>
      <c r="I176" s="3">
        <f>ROUND(IF(ISNUMBER(AG176),AG176,G176)+H176,2)</f>
        <v/>
      </c>
      <c r="J176" s="2" t="inlineStr">
        <is>
          <t>Завтрак "Шведский стол"</t>
        </is>
      </c>
      <c r="K176" s="5" t="n">
        <v>46263.58333333334</v>
      </c>
      <c r="L176" t="n">
        <v>2</v>
      </c>
      <c r="M176" s="3">
        <f>I176/L176</f>
        <v/>
      </c>
      <c r="N176">
        <f>IF(M176&gt;=5100,"ставка","мин.ставка")</f>
        <v/>
      </c>
      <c r="O176" s="3">
        <f>ROUND(IF(N176="мин.ставка",L176*100,I176/102*2),2)</f>
        <v/>
      </c>
      <c r="P176" s="5" t="n">
        <v>46265.5</v>
      </c>
      <c r="Q176" t="inlineStr">
        <is>
          <t>TravelLine YAX</t>
        </is>
      </c>
      <c r="R176" s="2" t="inlineStr">
        <is>
          <t>СТАНДАРТНЫЙ ДВУХМЕСТНЫЙ НОМЕР</t>
        </is>
      </c>
      <c r="S176" t="n">
        <v>23</v>
      </c>
      <c r="T176" t="n">
        <v>1</v>
      </c>
      <c r="U176" t="inlineStr"/>
      <c r="V176" t="inlineStr">
        <is>
          <t>Тариф с завтраком</t>
        </is>
      </c>
      <c r="W176" t="n">
        <v>22161</v>
      </c>
      <c r="X176" s="3" t="n">
        <v>4539</v>
      </c>
      <c r="Y176" t="inlineStr">
        <is>
          <t>17%</t>
        </is>
      </c>
      <c r="Z176" t="inlineStr">
        <is>
          <t>2026-08-29, 2026-08-30</t>
        </is>
      </c>
      <c r="AA176" s="3" t="n">
        <v>22161</v>
      </c>
      <c r="AB176" t="inlineStr">
        <is>
          <t>Сошлось по ночным тарифам</t>
        </is>
      </c>
      <c r="AC176" s="2" t="inlineStr"/>
      <c r="AD176" t="n">
        <v>4539</v>
      </c>
      <c r="AE176" t="n">
        <v>0</v>
      </c>
      <c r="AF176" t="inlineStr">
        <is>
          <t>Скидка добавлена к налоговой базе</t>
        </is>
      </c>
      <c r="AG176" t="n">
        <v>26700</v>
      </c>
      <c r="AH176" t="n">
        <v>22161</v>
      </c>
      <c r="AI176" t="inlineStr">
        <is>
          <t>Полное проживание в выбранном периоде</t>
        </is>
      </c>
    </row>
    <row r="177">
      <c r="A177" t="inlineStr">
        <is>
          <t>20260811-8186-423592923</t>
        </is>
      </c>
      <c r="B177" t="n">
        <v>1</v>
      </c>
      <c r="C177" s="2" t="inlineStr">
        <is>
          <t>Андрей Соловьев, Ирина Соловьева</t>
        </is>
      </c>
      <c r="D177" s="3" t="n">
        <v>28182</v>
      </c>
      <c r="E177" s="4" t="n">
        <v>17</v>
      </c>
      <c r="F177" t="inlineStr">
        <is>
          <t>ООО "ОНЛАЙН ИННОВАЦИИ" (101 Отель) [Чайковский]</t>
        </is>
      </c>
      <c r="G177" s="3">
        <f>ROUND(D177/(100-E177)*100,2)</f>
        <v/>
      </c>
      <c r="H177" s="3" t="n">
        <v>0</v>
      </c>
      <c r="I177" s="3">
        <f>ROUND(IF(ISNUMBER(AG177),AG177,G177)+H177,2)</f>
        <v/>
      </c>
      <c r="J177" s="2" t="inlineStr">
        <is>
          <t>Завтрак "Шведский стол"</t>
        </is>
      </c>
      <c r="K177" s="5" t="n">
        <v>46245.58333333334</v>
      </c>
      <c r="L177" t="n">
        <v>2</v>
      </c>
      <c r="M177" s="3">
        <f>I177/L177</f>
        <v/>
      </c>
      <c r="N177">
        <f>IF(M177&gt;=5100,"ставка","мин.ставка")</f>
        <v/>
      </c>
      <c r="O177" s="3">
        <f>ROUND(IF(N177="мин.ставка",L177*100,I177/102*2),2)</f>
        <v/>
      </c>
      <c r="P177" s="5" t="n">
        <v>46247.5</v>
      </c>
      <c r="Q177" t="inlineStr">
        <is>
          <t>TravelLine H1C</t>
        </is>
      </c>
      <c r="R177" s="2" t="inlineStr">
        <is>
          <t>УЛУЧШЕННЫЙ ДВУХМЕСТНЫЙ НОМЕР</t>
        </is>
      </c>
      <c r="S177" t="n">
        <v>31</v>
      </c>
      <c r="T177" t="n">
        <v>1</v>
      </c>
      <c r="U177" t="inlineStr"/>
      <c r="V177" t="inlineStr">
        <is>
          <t>Тариф с завтраком</t>
        </is>
      </c>
      <c r="W177" t="n">
        <v>28182</v>
      </c>
      <c r="X177" s="3" t="n">
        <v>2618</v>
      </c>
      <c r="Y177" t="inlineStr">
        <is>
          <t>17%</t>
        </is>
      </c>
      <c r="Z177" t="inlineStr">
        <is>
          <t>2026-08-11</t>
        </is>
      </c>
      <c r="AA177" s="3" t="n">
        <v>28182</v>
      </c>
      <c r="AB177" t="inlineStr">
        <is>
          <t>Сошлось по ночным тарифам</t>
        </is>
      </c>
      <c r="AC177" s="2" t="inlineStr"/>
      <c r="AD177" t="n">
        <v>2618</v>
      </c>
      <c r="AE177" t="n">
        <v>0</v>
      </c>
      <c r="AF177" t="inlineStr">
        <is>
          <t>Скидка добавлена к налоговой базе</t>
        </is>
      </c>
      <c r="AG177" t="n">
        <v>30800</v>
      </c>
      <c r="AH177" t="n">
        <v>28182</v>
      </c>
      <c r="AI177" t="inlineStr">
        <is>
          <t>Полное проживание в выбранном периоде</t>
        </is>
      </c>
    </row>
    <row r="178">
      <c r="A178" t="inlineStr">
        <is>
          <t>20260818-8186-443505889</t>
        </is>
      </c>
      <c r="B178" t="n">
        <v>1</v>
      </c>
      <c r="C178" s="2" t="inlineStr">
        <is>
          <t>Андрей Федотов, Светлана Федотова</t>
        </is>
      </c>
      <c r="D178" s="3" t="n">
        <v>54480</v>
      </c>
      <c r="E178" s="4" t="n">
        <v>18</v>
      </c>
      <c r="F178" t="inlineStr">
        <is>
          <t>Яндекс.Путешествия [Чайковский]</t>
        </is>
      </c>
      <c r="G178" s="3">
        <f>ROUND(D178/(100-E178)*100,2)</f>
        <v/>
      </c>
      <c r="H178" s="3" t="n">
        <v>0</v>
      </c>
      <c r="I178" s="3">
        <f>ROUND(IF(ISNUMBER(AG178),AG178,G178)+H178,2)</f>
        <v/>
      </c>
      <c r="J178" s="2" t="inlineStr">
        <is>
          <t>Завтрак "Шведский стол"</t>
        </is>
      </c>
      <c r="K178" s="5" t="n">
        <v>46252.58333333334</v>
      </c>
      <c r="L178" t="n">
        <v>6</v>
      </c>
      <c r="M178" s="3">
        <f>I178/L178</f>
        <v/>
      </c>
      <c r="N178">
        <f>IF(M178&gt;=5100,"ставка","мин.ставка")</f>
        <v/>
      </c>
      <c r="O178" s="3">
        <f>ROUND(IF(N178="мин.ставка",L178*100,I178/102*2),2)</f>
        <v/>
      </c>
      <c r="P178" s="5" t="n">
        <v>46258.5</v>
      </c>
      <c r="Q178" t="inlineStr">
        <is>
          <t>TravelLine YAX</t>
        </is>
      </c>
      <c r="R178" s="2" t="inlineStr">
        <is>
          <t>СТАНДАРТНЫЙ ДВУХМЕСТНЫЙ НОМЕР</t>
        </is>
      </c>
      <c r="S178" t="n">
        <v>55</v>
      </c>
      <c r="T178" t="n">
        <v>2</v>
      </c>
      <c r="U178" t="inlineStr"/>
      <c r="V178" t="inlineStr">
        <is>
          <t>Тариф с завтраком</t>
        </is>
      </c>
      <c r="W178" t="n">
        <v>118560</v>
      </c>
      <c r="X178" s="3" t="n">
        <v>13620</v>
      </c>
      <c r="Y178" t="inlineStr">
        <is>
          <t>20%</t>
        </is>
      </c>
      <c r="Z178" t="inlineStr">
        <is>
          <t>2026-08-18, 2026-08-19, 2026-08-20, 2026-08-21, 2026-08-22, 2026-08-23</t>
        </is>
      </c>
      <c r="AA178" s="3" t="n">
        <v>54480</v>
      </c>
      <c r="AB178" t="inlineStr">
        <is>
          <t>Сошлось по ночным тарифам</t>
        </is>
      </c>
      <c r="AC178" s="2" t="inlineStr"/>
      <c r="AD178" t="n">
        <v>13620</v>
      </c>
      <c r="AE178" t="n">
        <v>0</v>
      </c>
      <c r="AF178" t="inlineStr">
        <is>
          <t>Скидка добавлена к налоговой базе</t>
        </is>
      </c>
      <c r="AG178" t="n">
        <v>68100</v>
      </c>
      <c r="AH178" t="n">
        <v>54480</v>
      </c>
      <c r="AI178" t="inlineStr">
        <is>
          <t>Полное проживание в выбранном периоде</t>
        </is>
      </c>
    </row>
    <row r="179">
      <c r="A179" t="inlineStr">
        <is>
          <t>20260822-8186-448832829</t>
        </is>
      </c>
      <c r="B179" t="n">
        <v>1</v>
      </c>
      <c r="C179" s="2" t="inlineStr">
        <is>
          <t>Андрей Федянин, ОЛЬГА МИРОНЮК</t>
        </is>
      </c>
      <c r="D179" s="3" t="n">
        <v>88448.2</v>
      </c>
      <c r="E179" s="4" t="n">
        <v>4</v>
      </c>
      <c r="F179" t="inlineStr">
        <is>
          <t>TravelLine Booking Engine [Чайковский]</t>
        </is>
      </c>
      <c r="G179" s="3">
        <f>ROUND(D179/(100-E179)*100,2)</f>
        <v/>
      </c>
      <c r="H179" s="3" t="n">
        <v>0</v>
      </c>
      <c r="I179" s="3">
        <f>ROUND(IF(ISNUMBER(AG179),AG179,G179)+H179,2)</f>
        <v/>
      </c>
      <c r="J179" s="2" t="inlineStr">
        <is>
          <t>Завтрак "Шведский стол"</t>
        </is>
      </c>
      <c r="K179" s="5" t="n">
        <v>46256.58333333334</v>
      </c>
      <c r="L179" t="n">
        <v>5</v>
      </c>
      <c r="M179" s="3">
        <f>I179/L179</f>
        <v/>
      </c>
      <c r="N179">
        <f>IF(M179&gt;=5100,"ставка","мин.ставка")</f>
        <v/>
      </c>
      <c r="O179" s="3">
        <f>ROUND(IF(N179="мин.ставка",L179*100,I179/102*2),2)</f>
        <v/>
      </c>
      <c r="P179" s="5" t="n">
        <v>46261.5</v>
      </c>
      <c r="Q179" t="inlineStr">
        <is>
          <t>TravelLine сайт</t>
        </is>
      </c>
      <c r="R179" s="2" t="inlineStr">
        <is>
          <t>ЛЮКС ВТОРОЙ КОРПУС</t>
        </is>
      </c>
      <c r="S179" t="n">
        <v>54</v>
      </c>
      <c r="T179" t="n">
        <v>2</v>
      </c>
      <c r="U179" t="inlineStr"/>
      <c r="V179" t="inlineStr">
        <is>
          <t>Тариф с завтраком</t>
        </is>
      </c>
      <c r="W179" t="n">
        <v>88448.2</v>
      </c>
      <c r="X179" s="3" t="n">
        <v>551.8</v>
      </c>
      <c r="Y179" t="inlineStr">
        <is>
          <t>3.1%</t>
        </is>
      </c>
      <c r="Z179" t="inlineStr">
        <is>
          <t>2026-08-22</t>
        </is>
      </c>
      <c r="AA179" s="3" t="n">
        <v>88448.2</v>
      </c>
      <c r="AB179" t="inlineStr">
        <is>
          <t>Сошлось по ночным тарифам</t>
        </is>
      </c>
      <c r="AC179" s="2" t="inlineStr"/>
      <c r="AD179" t="n">
        <v>551.8</v>
      </c>
      <c r="AE179" t="n">
        <v>0</v>
      </c>
      <c r="AF179" t="inlineStr">
        <is>
          <t>Скидка добавлена к налоговой базе</t>
        </is>
      </c>
      <c r="AG179" t="n">
        <v>89000</v>
      </c>
      <c r="AH179" t="n">
        <v>88448.2</v>
      </c>
      <c r="AI179" t="inlineStr">
        <is>
          <t>Полное проживание в выбранном периоде</t>
        </is>
      </c>
    </row>
    <row r="180">
      <c r="A180" t="inlineStr">
        <is>
          <t>20260916-8186-466291736</t>
        </is>
      </c>
      <c r="B180" t="n">
        <v>1</v>
      </c>
      <c r="C180" s="2" t="inlineStr">
        <is>
          <t>Андрей Феоктистов</t>
        </is>
      </c>
      <c r="D180" s="3" t="n">
        <v>12312.5</v>
      </c>
      <c r="E180" s="4" t="n">
        <v>4</v>
      </c>
      <c r="F180" t="inlineStr">
        <is>
          <t>TravelLine Booking Engine [Чайковский]</t>
        </is>
      </c>
      <c r="G180" s="3">
        <f>ROUND(D180/(100-E180)*100,2)</f>
        <v/>
      </c>
      <c r="H180" s="3" t="n">
        <v>0</v>
      </c>
      <c r="I180" s="3">
        <f>ROUND(IF(ISNUMBER(AG180),AG180,G180)+H180,2)</f>
        <v/>
      </c>
      <c r="J180" s="2" t="inlineStr"/>
      <c r="K180" s="5" t="n">
        <v>46281.58333333334</v>
      </c>
      <c r="L180" t="n">
        <v>1</v>
      </c>
      <c r="M180" s="3">
        <f>I180/L180</f>
        <v/>
      </c>
      <c r="N180">
        <f>IF(M180&gt;=5100,"ставка","мин.ставка")</f>
        <v/>
      </c>
      <c r="O180" s="3">
        <f>ROUND(IF(N180="мин.ставка",L180*100,I180/102*2),2)</f>
        <v/>
      </c>
      <c r="P180" s="5" t="n">
        <v>46282.5</v>
      </c>
      <c r="Q180" t="inlineStr">
        <is>
          <t>TravelLine сайт</t>
        </is>
      </c>
      <c r="R180" s="2" t="inlineStr">
        <is>
          <t>ЛЮКС ВТОРОЙ КОРПУС</t>
        </is>
      </c>
      <c r="S180" t="n">
        <v>54</v>
      </c>
      <c r="T180" t="n">
        <v>2</v>
      </c>
      <c r="U180" t="inlineStr"/>
      <c r="V180" t="inlineStr">
        <is>
          <t>Основной тариф без завтрака</t>
        </is>
      </c>
      <c r="W180" t="n">
        <v>12312.5</v>
      </c>
      <c r="X180" s="3" t="n">
        <v>187.5</v>
      </c>
      <c r="Y180" t="inlineStr">
        <is>
          <t>1.5%</t>
        </is>
      </c>
      <c r="Z180" t="inlineStr">
        <is>
          <t>2026-09-16</t>
        </is>
      </c>
      <c r="AA180" s="3" t="n">
        <v>12312.5</v>
      </c>
      <c r="AB180" t="inlineStr">
        <is>
          <t>Сошлось по ночным тарифам</t>
        </is>
      </c>
      <c r="AC180" s="2" t="inlineStr"/>
      <c r="AD180" t="n">
        <v>187.5</v>
      </c>
      <c r="AE180" t="n">
        <v>0</v>
      </c>
      <c r="AF180" t="inlineStr">
        <is>
          <t>Скидка добавлена к налоговой базе</t>
        </is>
      </c>
      <c r="AG180" t="n">
        <v>12500</v>
      </c>
      <c r="AH180" t="n">
        <v>12312.5</v>
      </c>
      <c r="AI180" t="inlineStr">
        <is>
          <t>Полное проживание в выбранном периоде</t>
        </is>
      </c>
    </row>
    <row r="181">
      <c r="A181" t="inlineStr">
        <is>
          <t>20260629-8186-439481906</t>
        </is>
      </c>
      <c r="B181" t="n">
        <v>1</v>
      </c>
      <c r="C181" s="2" t="inlineStr">
        <is>
          <t>АНДРЕЙ ЯКУБОВСКИЙ</t>
        </is>
      </c>
      <c r="D181" s="3" t="n">
        <v>48060</v>
      </c>
      <c r="E181" s="4" t="n">
        <v>0</v>
      </c>
      <c r="F181" t="inlineStr">
        <is>
          <t>Прямые бронирования (стойка) [Чайковский]</t>
        </is>
      </c>
      <c r="G181" s="3">
        <f>ROUND(D181/(100-E181)*100,2)</f>
        <v/>
      </c>
      <c r="H181" s="3" t="n">
        <v>0</v>
      </c>
      <c r="I181" s="3">
        <f>ROUND(IF(ISNUMBER(AG181),AG181,G181)+H181,2)</f>
        <v/>
      </c>
      <c r="J181" s="2" t="inlineStr"/>
      <c r="K181" s="5" t="n">
        <v>46202.58333333334</v>
      </c>
      <c r="L181" t="n">
        <v>2</v>
      </c>
      <c r="M181" s="3">
        <f>I181/L181</f>
        <v/>
      </c>
      <c r="N181">
        <f>IF(M181&gt;=5100,"ставка","мин.ставка")</f>
        <v/>
      </c>
      <c r="O181" s="3">
        <f>ROUND(IF(N181="мин.ставка",L181*100,I181/102*2),2)</f>
        <v/>
      </c>
      <c r="P181" s="5" t="n">
        <v>46206.5</v>
      </c>
      <c r="Q181" t="inlineStr">
        <is>
          <t>TravelLine ресепшен</t>
        </is>
      </c>
      <c r="R181" s="2" t="inlineStr">
        <is>
          <t>СТАНДАРТНЫЙ ДВУХМЕСТНЫЙ НОМЕР</t>
        </is>
      </c>
      <c r="S181" t="n">
        <v>44</v>
      </c>
      <c r="T181" t="n">
        <v>1</v>
      </c>
      <c r="U181" t="inlineStr"/>
      <c r="V181" t="inlineStr">
        <is>
          <t>Тариф с завтраком</t>
        </is>
      </c>
      <c r="W181" t="n">
        <v>48060</v>
      </c>
      <c r="X181" s="3" t="n">
        <v>5340</v>
      </c>
      <c r="Y181" t="inlineStr">
        <is>
          <t>10%</t>
        </is>
      </c>
      <c r="Z181" t="inlineStr">
        <is>
          <t>2026-06-29, 2026-06-30, 2026-07-01, 2026-07-02</t>
        </is>
      </c>
      <c r="AA181" s="3" t="n">
        <v>48060</v>
      </c>
      <c r="AB181" t="inlineStr">
        <is>
          <t>Сошлось по ночным тарифам</t>
        </is>
      </c>
      <c r="AC181" s="2" t="inlineStr"/>
      <c r="AD181" t="n">
        <v>2670</v>
      </c>
      <c r="AE181" t="n">
        <v>0</v>
      </c>
      <c r="AF181" t="inlineStr">
        <is>
          <t>Ночи скидки определены по dailyRates; в базу добавлена только часть выбранного периода</t>
        </is>
      </c>
      <c r="AG181" t="n">
        <v>26700</v>
      </c>
      <c r="AH181" t="n">
        <v>24030</v>
      </c>
      <c r="AI181" t="inlineStr">
        <is>
          <t>Частичное проживание распределено по dailyRates</t>
        </is>
      </c>
    </row>
    <row r="182">
      <c r="A182" t="inlineStr">
        <is>
          <t>20260919-8186-466617844</t>
        </is>
      </c>
      <c r="B182" t="n">
        <v>1</v>
      </c>
      <c r="C182" s="2" t="inlineStr">
        <is>
          <t>Андриан Куликов</t>
        </is>
      </c>
      <c r="D182" s="3" t="n">
        <v>11122</v>
      </c>
      <c r="E182" s="4" t="n">
        <v>17</v>
      </c>
      <c r="F182" t="inlineStr">
        <is>
          <t>ООО «Интернет Трэвел» (OZON) [Чайковский]</t>
        </is>
      </c>
      <c r="G182" s="3">
        <f>ROUND(D182/(100-E182)*100,2)</f>
        <v/>
      </c>
      <c r="H182" s="3" t="n">
        <v>0</v>
      </c>
      <c r="I182" s="3">
        <f>ROUND(IF(ISNUMBER(AG182),AG182,G182)+H182,2)</f>
        <v/>
      </c>
      <c r="J182" s="2" t="inlineStr">
        <is>
          <t>Завтрак "Шведский стол"</t>
        </is>
      </c>
      <c r="K182" s="5" t="n">
        <v>46284.58333333334</v>
      </c>
      <c r="L182" t="n">
        <v>1</v>
      </c>
      <c r="M182" s="3">
        <f>I182/L182</f>
        <v/>
      </c>
      <c r="N182">
        <f>IF(M182&gt;=5100,"ставка","мин.ставка")</f>
        <v/>
      </c>
      <c r="O182" s="3">
        <f>ROUND(IF(N182="мин.ставка",L182*100,I182/102*2),2)</f>
        <v/>
      </c>
      <c r="P182" s="5" t="n">
        <v>46285.5</v>
      </c>
      <c r="Q182" t="inlineStr">
        <is>
          <t>TravelLine OZ2</t>
        </is>
      </c>
      <c r="R182" s="2" t="inlineStr">
        <is>
          <t>УЛУЧШЕННЫЙ ДВУХМЕСТНЫЙ НОМЕР</t>
        </is>
      </c>
      <c r="S182" t="n">
        <v>59</v>
      </c>
      <c r="T182" t="n">
        <v>2</v>
      </c>
      <c r="U182" t="inlineStr"/>
      <c r="V182" t="inlineStr">
        <is>
          <t>Тариф с завтраком</t>
        </is>
      </c>
      <c r="W182" t="n">
        <v>11122</v>
      </c>
      <c r="X182" s="3" t="n">
        <v>2278</v>
      </c>
      <c r="Y182" t="inlineStr">
        <is>
          <t>17%</t>
        </is>
      </c>
      <c r="Z182" t="inlineStr">
        <is>
          <t>2026-09-19</t>
        </is>
      </c>
      <c r="AA182" s="3" t="n">
        <v>11122</v>
      </c>
      <c r="AB182" t="inlineStr">
        <is>
          <t>Сошлось по ночным тарифам</t>
        </is>
      </c>
      <c r="AC182" s="2" t="inlineStr"/>
      <c r="AD182" t="n">
        <v>2278</v>
      </c>
      <c r="AE182" t="n">
        <v>0</v>
      </c>
      <c r="AF182" t="inlineStr">
        <is>
          <t>Скидка добавлена к налоговой базе</t>
        </is>
      </c>
      <c r="AG182" t="n">
        <v>13400</v>
      </c>
      <c r="AH182" t="n">
        <v>11122</v>
      </c>
      <c r="AI182" t="inlineStr">
        <is>
          <t>Полное проживание в выбранном периоде</t>
        </is>
      </c>
    </row>
    <row r="183">
      <c r="A183" t="inlineStr">
        <is>
          <t>20260906-8186-459280210</t>
        </is>
      </c>
      <c r="B183" t="n">
        <v>1</v>
      </c>
      <c r="C183" s="2" t="inlineStr">
        <is>
          <t>Анна Александровна Курносова</t>
        </is>
      </c>
      <c r="D183" s="3" t="n">
        <v>9080</v>
      </c>
      <c r="E183" s="4" t="n">
        <v>20</v>
      </c>
      <c r="F183" t="inlineStr">
        <is>
          <t>ООО "КОМПАНИЯ БРОНЕВИК" [Чайковский]</t>
        </is>
      </c>
      <c r="G183" s="3">
        <f>ROUND(D183/(100-E183)*100,2)</f>
        <v/>
      </c>
      <c r="H183" s="3" t="n">
        <v>0</v>
      </c>
      <c r="I183" s="3">
        <f>ROUND(IF(ISNUMBER(AG183),AG183,G183)+H183,2)</f>
        <v/>
      </c>
      <c r="J183" s="2" t="inlineStr">
        <is>
          <t>Завтрак "Шведский стол"</t>
        </is>
      </c>
      <c r="K183" s="5" t="n">
        <v>46271.58333333334</v>
      </c>
      <c r="L183" t="n">
        <v>1</v>
      </c>
      <c r="M183" s="3">
        <f>I183/L183</f>
        <v/>
      </c>
      <c r="N183">
        <f>IF(M183&gt;=5100,"ставка","мин.ставка")</f>
        <v/>
      </c>
      <c r="O183" s="3">
        <f>ROUND(IF(N183="мин.ставка",L183*100,I183/102*2),2)</f>
        <v/>
      </c>
      <c r="P183" s="5" t="n">
        <v>46272.5</v>
      </c>
      <c r="Q183" t="inlineStr">
        <is>
          <t>TravelLine BR2</t>
        </is>
      </c>
      <c r="R183" s="2" t="inlineStr">
        <is>
          <t>СТАНДАРТНЫЙ ДВУХМЕСТНЫЙ НОМЕР</t>
        </is>
      </c>
      <c r="S183" t="n">
        <v>26</v>
      </c>
      <c r="T183" t="n">
        <v>1</v>
      </c>
      <c r="U183" t="inlineStr"/>
      <c r="V183" t="inlineStr">
        <is>
          <t>Тариф с завтраком</t>
        </is>
      </c>
      <c r="W183" t="n">
        <v>9080</v>
      </c>
      <c r="X183" s="3" t="n">
        <v>0</v>
      </c>
      <c r="Y183" t="inlineStr"/>
      <c r="Z183" t="inlineStr"/>
      <c r="AA183" s="3" t="n">
        <v>9080</v>
      </c>
      <c r="AB183" t="inlineStr">
        <is>
          <t>Сошлось по ночным тарифам</t>
        </is>
      </c>
      <c r="AC183" s="2" t="inlineStr"/>
      <c r="AD183" t="n">
        <v>0</v>
      </c>
      <c r="AE183" t="n">
        <v>0</v>
      </c>
      <c r="AF183" t="inlineStr">
        <is>
          <t>Скидки нет</t>
        </is>
      </c>
      <c r="AG183" t="n">
        <v>9080</v>
      </c>
      <c r="AH183" t="n">
        <v>9080</v>
      </c>
      <c r="AI183" t="inlineStr">
        <is>
          <t>Полное проживание в выбранном периоде</t>
        </is>
      </c>
    </row>
    <row r="184">
      <c r="A184" t="inlineStr">
        <is>
          <t>20260817-8186-442297769</t>
        </is>
      </c>
      <c r="B184" t="n">
        <v>1</v>
      </c>
      <c r="C184" s="2" t="inlineStr">
        <is>
          <t>Анна Андреева</t>
        </is>
      </c>
      <c r="D184" s="3" t="n">
        <v>53399</v>
      </c>
      <c r="E184" s="4" t="n">
        <v>4</v>
      </c>
      <c r="F184" t="inlineStr">
        <is>
          <t>TravelLine Booking Engine [Чайковский]</t>
        </is>
      </c>
      <c r="G184" s="3">
        <f>ROUND(D184/(100-E184)*100,2)</f>
        <v/>
      </c>
      <c r="H184" s="3" t="n">
        <v>0</v>
      </c>
      <c r="I184" s="3">
        <f>ROUND(IF(ISNUMBER(AG184),AG184,G184)+H184,2)</f>
        <v/>
      </c>
      <c r="J184" s="2" t="inlineStr">
        <is>
          <t>Завтрак "Шведский стол"</t>
        </is>
      </c>
      <c r="K184" s="5" t="n">
        <v>46251.58333333334</v>
      </c>
      <c r="L184" t="n">
        <v>4</v>
      </c>
      <c r="M184" s="3">
        <f>I184/L184</f>
        <v/>
      </c>
      <c r="N184">
        <f>IF(M184&gt;=5100,"ставка","мин.ставка")</f>
        <v/>
      </c>
      <c r="O184" s="3">
        <f>ROUND(IF(N184="мин.ставка",L184*100,I184/102*2),2)</f>
        <v/>
      </c>
      <c r="P184" s="5" t="n">
        <v>46255.5</v>
      </c>
      <c r="Q184" t="inlineStr">
        <is>
          <t>TravelLine сайт</t>
        </is>
      </c>
      <c r="R184" s="2" t="inlineStr">
        <is>
          <t>УЛУЧШЕННЫЙ ДВУХМЕСТНЫЙ НОМЕР</t>
        </is>
      </c>
      <c r="S184" t="n">
        <v>31</v>
      </c>
      <c r="T184" t="n">
        <v>1</v>
      </c>
      <c r="U184" t="inlineStr"/>
      <c r="V184" t="inlineStr">
        <is>
          <t>Тариф с завтраком</t>
        </is>
      </c>
      <c r="W184" t="n">
        <v>98628.75</v>
      </c>
      <c r="X184" s="3" t="n">
        <v>201</v>
      </c>
      <c r="Y184" t="inlineStr">
        <is>
          <t>1.5%</t>
        </is>
      </c>
      <c r="Z184" t="inlineStr">
        <is>
          <t>2026-08-17</t>
        </is>
      </c>
      <c r="AA184" s="3" t="n">
        <v>53399</v>
      </c>
      <c r="AB184" t="inlineStr">
        <is>
          <t>Сошлось по ночным тарифам</t>
        </is>
      </c>
      <c r="AC184" s="2" t="inlineStr"/>
      <c r="AD184" t="n">
        <v>201</v>
      </c>
      <c r="AE184" t="n">
        <v>0</v>
      </c>
      <c r="AF184" t="inlineStr">
        <is>
          <t>Скидка добавлена к налоговой базе</t>
        </is>
      </c>
      <c r="AG184" t="n">
        <v>53600</v>
      </c>
      <c r="AH184" t="n">
        <v>53399</v>
      </c>
      <c r="AI184" t="inlineStr">
        <is>
          <t>Полное проживание в выбранном периоде</t>
        </is>
      </c>
    </row>
    <row r="185">
      <c r="A185" t="inlineStr">
        <is>
          <t>20260825-8186-440853437</t>
        </is>
      </c>
      <c r="B185" t="n">
        <v>1</v>
      </c>
      <c r="C185" s="2" t="inlineStr">
        <is>
          <t>Анна Бродская, Михаил Шенбергер</t>
        </is>
      </c>
      <c r="D185" s="3" t="n">
        <v>33660</v>
      </c>
      <c r="E185" s="4" t="n">
        <v>15</v>
      </c>
      <c r="F185" t="inlineStr">
        <is>
          <t>ООО Тинькофф Путешествия [Чайковский]</t>
        </is>
      </c>
      <c r="G185" s="3">
        <f>ROUND(D185/(100-E185)*100,2)</f>
        <v/>
      </c>
      <c r="H185" s="3" t="n">
        <v>0</v>
      </c>
      <c r="I185" s="3">
        <f>ROUND(IF(ISNUMBER(AG185),AG185,G185)+H185,2)</f>
        <v/>
      </c>
      <c r="J185" s="2" t="inlineStr">
        <is>
          <t>Завтрак "Шведский стол"</t>
        </is>
      </c>
      <c r="K185" s="5" t="n">
        <v>46259.58333333334</v>
      </c>
      <c r="L185" t="n">
        <v>4</v>
      </c>
      <c r="M185" s="3">
        <f>I185/L185</f>
        <v/>
      </c>
      <c r="N185">
        <f>IF(M185&gt;=5100,"ставка","мин.ставка")</f>
        <v/>
      </c>
      <c r="O185" s="3">
        <f>ROUND(IF(N185="мин.ставка",L185*100,I185/102*2),2)</f>
        <v/>
      </c>
      <c r="P185" s="5" t="n">
        <v>46263.5</v>
      </c>
      <c r="Q185" t="inlineStr">
        <is>
          <t>TravelLine TNK</t>
        </is>
      </c>
      <c r="R185" s="2" t="inlineStr">
        <is>
          <t>СТАНДАРТНЫЙ ДВУХМЕСТНЫЙ НОМЕР (МАНСАРДА)</t>
        </is>
      </c>
      <c r="S185" t="n">
        <v>47</v>
      </c>
      <c r="T185" t="n">
        <v>1</v>
      </c>
      <c r="U185" t="inlineStr"/>
      <c r="V185" t="inlineStr">
        <is>
          <t>Тариф с завтраком</t>
        </is>
      </c>
      <c r="W185" t="n">
        <v>33660</v>
      </c>
      <c r="X185" s="3" t="n">
        <v>5940</v>
      </c>
      <c r="Y185" t="inlineStr">
        <is>
          <t>15%</t>
        </is>
      </c>
      <c r="Z185" t="inlineStr">
        <is>
          <t>2026-08-25, 2026-08-26, 2026-08-27, 2026-08-28</t>
        </is>
      </c>
      <c r="AA185" s="3" t="n">
        <v>33660</v>
      </c>
      <c r="AB185" t="inlineStr">
        <is>
          <t>Сошлось по ночным тарифам</t>
        </is>
      </c>
      <c r="AC185" s="2" t="inlineStr"/>
      <c r="AD185" t="n">
        <v>5940</v>
      </c>
      <c r="AE185" t="n">
        <v>0</v>
      </c>
      <c r="AF185" t="inlineStr">
        <is>
          <t>Скидка добавлена к налоговой базе</t>
        </is>
      </c>
      <c r="AG185" t="n">
        <v>39600</v>
      </c>
      <c r="AH185" t="n">
        <v>33660</v>
      </c>
      <c r="AI185" t="inlineStr">
        <is>
          <t>Полное проживание в выбранном периоде</t>
        </is>
      </c>
    </row>
    <row r="186">
      <c r="A186" t="inlineStr">
        <is>
          <t>20260926-8186-463824819</t>
        </is>
      </c>
      <c r="B186" t="n">
        <v>1</v>
      </c>
      <c r="C186" s="2" t="inlineStr">
        <is>
          <t>АННА БЫКОВА, ТАТЬЯНА НИКИФОРОВА</t>
        </is>
      </c>
      <c r="D186" s="3" t="n">
        <v>34042.5</v>
      </c>
      <c r="E186" s="4" t="n">
        <v>15</v>
      </c>
      <c r="F186" t="inlineStr">
        <is>
          <t>ООО "Библио-Глобус Туроператор" [Чайковский]</t>
        </is>
      </c>
      <c r="G186" s="3">
        <f>ROUND(D186/(100-E186)*100,2)</f>
        <v/>
      </c>
      <c r="H186" s="3" t="n">
        <v>0</v>
      </c>
      <c r="I186" s="3">
        <f>ROUND(IF(ISNUMBER(AG186),AG186,G186)+H186,2)</f>
        <v/>
      </c>
      <c r="J186" s="2" t="inlineStr">
        <is>
          <t>Завтрак "Шведский стол"</t>
        </is>
      </c>
      <c r="K186" s="5" t="n">
        <v>46291.58333333334</v>
      </c>
      <c r="L186" t="n">
        <v>3</v>
      </c>
      <c r="M186" s="3">
        <f>I186/L186</f>
        <v/>
      </c>
      <c r="N186">
        <f>IF(M186&gt;=5100,"ставка","мин.ставка")</f>
        <v/>
      </c>
      <c r="O186" s="3">
        <f>ROUND(IF(N186="мин.ставка",L186*100,I186/102*2),2)</f>
        <v/>
      </c>
      <c r="P186" s="5" t="n">
        <v>46294.5</v>
      </c>
      <c r="Q186" t="inlineStr">
        <is>
          <t>TravelLine BGL</t>
        </is>
      </c>
      <c r="R186" s="2" t="inlineStr">
        <is>
          <t>СТАНДАРТНЫЙ ДВУХМЕСТНЫЙ НОМЕР</t>
        </is>
      </c>
      <c r="S186" t="n">
        <v>42</v>
      </c>
      <c r="T186" t="n">
        <v>1</v>
      </c>
      <c r="U186" t="inlineStr"/>
      <c r="V186" t="inlineStr">
        <is>
          <t>Тариф с завтраком</t>
        </is>
      </c>
      <c r="W186" t="n">
        <v>34042.5</v>
      </c>
      <c r="X186" s="3" t="n">
        <v>0</v>
      </c>
      <c r="Y186" t="inlineStr"/>
      <c r="Z186" t="inlineStr"/>
      <c r="AA186" s="3" t="n">
        <v>34042.5</v>
      </c>
      <c r="AB186" t="inlineStr">
        <is>
          <t>Сошлось по ночным тарифам</t>
        </is>
      </c>
      <c r="AC186" s="2" t="inlineStr"/>
      <c r="AD186" t="n">
        <v>0</v>
      </c>
      <c r="AE186" t="n">
        <v>0</v>
      </c>
      <c r="AF186" t="inlineStr">
        <is>
          <t>Скидки нет</t>
        </is>
      </c>
      <c r="AG186" t="n">
        <v>34042.5</v>
      </c>
      <c r="AH186" t="n">
        <v>34042.5</v>
      </c>
      <c r="AI186" t="inlineStr">
        <is>
          <t>Полное проживание в выбранном периоде</t>
        </is>
      </c>
    </row>
    <row r="187">
      <c r="A187" t="inlineStr">
        <is>
          <t>20260710-8186-443768768</t>
        </is>
      </c>
      <c r="B187" t="n">
        <v>1</v>
      </c>
      <c r="C187" s="2" t="inlineStr">
        <is>
          <t>Анна Волхонская, Алиса Ситало</t>
        </is>
      </c>
      <c r="D187" s="3" t="n">
        <v>35048.2</v>
      </c>
      <c r="E187" s="4" t="n">
        <v>4</v>
      </c>
      <c r="F187" t="inlineStr">
        <is>
          <t>TravelLine Booking Engine [Чайковский]</t>
        </is>
      </c>
      <c r="G187" s="3">
        <f>ROUND(D187/(100-E187)*100,2)</f>
        <v/>
      </c>
      <c r="H187" s="3" t="n">
        <v>0</v>
      </c>
      <c r="I187" s="3">
        <f>ROUND(IF(ISNUMBER(AG187),AG187,G187)+H187,2)</f>
        <v/>
      </c>
      <c r="J187" s="2" t="inlineStr">
        <is>
          <t>Завтрак "Шведский стол"</t>
        </is>
      </c>
      <c r="K187" s="5" t="n">
        <v>46213.58333333334</v>
      </c>
      <c r="L187" t="n">
        <v>2</v>
      </c>
      <c r="M187" s="3">
        <f>I187/L187</f>
        <v/>
      </c>
      <c r="N187">
        <f>IF(M187&gt;=5100,"ставка","мин.ставка")</f>
        <v/>
      </c>
      <c r="O187" s="3">
        <f>ROUND(IF(N187="мин.ставка",L187*100,I187/102*2),2)</f>
        <v/>
      </c>
      <c r="P187" s="5" t="n">
        <v>46215.5</v>
      </c>
      <c r="Q187" t="inlineStr">
        <is>
          <t>TravelLine сайт</t>
        </is>
      </c>
      <c r="R187" s="2" t="inlineStr">
        <is>
          <t>ЛЮКС ВТОРОЙ КОРПУС</t>
        </is>
      </c>
      <c r="S187" t="n">
        <v>53</v>
      </c>
      <c r="T187" t="n">
        <v>2</v>
      </c>
      <c r="U187" t="inlineStr"/>
      <c r="V187" t="inlineStr">
        <is>
          <t>Тариф с завтраком</t>
        </is>
      </c>
      <c r="W187" t="n">
        <v>35048.2</v>
      </c>
      <c r="X187" s="3" t="n">
        <v>551.8</v>
      </c>
      <c r="Y187" t="inlineStr">
        <is>
          <t>3.1%</t>
        </is>
      </c>
      <c r="Z187" t="inlineStr">
        <is>
          <t>2026-07-10</t>
        </is>
      </c>
      <c r="AA187" s="3" t="n">
        <v>35048.2</v>
      </c>
      <c r="AB187" t="inlineStr">
        <is>
          <t>Сошлось по ночным тарифам</t>
        </is>
      </c>
      <c r="AC187" s="2" t="inlineStr"/>
      <c r="AD187" t="n">
        <v>551.8</v>
      </c>
      <c r="AE187" t="n">
        <v>0</v>
      </c>
      <c r="AF187" t="inlineStr">
        <is>
          <t>Скидка добавлена к налоговой базе</t>
        </is>
      </c>
      <c r="AG187" t="n">
        <v>35600</v>
      </c>
      <c r="AH187" t="n">
        <v>35048.2</v>
      </c>
      <c r="AI187" t="inlineStr">
        <is>
          <t>Полное проживание в выбранном периоде</t>
        </is>
      </c>
    </row>
    <row r="188">
      <c r="A188" t="inlineStr">
        <is>
          <t>20260811-8186-417991278</t>
        </is>
      </c>
      <c r="B188" t="n">
        <v>1</v>
      </c>
      <c r="C188" s="2" t="inlineStr">
        <is>
          <t>Анна ГУБАРЕВА</t>
        </is>
      </c>
      <c r="D188" s="3" t="n">
        <v>108960</v>
      </c>
      <c r="E188" s="4" t="n">
        <v>0</v>
      </c>
      <c r="F188" t="inlineStr">
        <is>
          <t>Прямые бронирования (стойка) [Чайковский]</t>
        </is>
      </c>
      <c r="G188" s="3">
        <f>ROUND(D188/(100-E188)*100,2)</f>
        <v/>
      </c>
      <c r="H188" s="3" t="n">
        <v>0</v>
      </c>
      <c r="I188" s="3">
        <f>ROUND(IF(ISNUMBER(AG188),AG188,G188)+H188,2)</f>
        <v/>
      </c>
      <c r="J188" s="2" t="inlineStr">
        <is>
          <t>Завтрак "Шведский стол"</t>
        </is>
      </c>
      <c r="K188" s="5" t="n">
        <v>46245.58333333334</v>
      </c>
      <c r="L188" t="n">
        <v>12</v>
      </c>
      <c r="M188" s="3">
        <f>I188/L188</f>
        <v/>
      </c>
      <c r="N188">
        <f>IF(M188&gt;=5100,"ставка","мин.ставка")</f>
        <v/>
      </c>
      <c r="O188" s="3">
        <f>ROUND(IF(N188="мин.ставка",L188*100,I188/102*2),2)</f>
        <v/>
      </c>
      <c r="P188" s="5" t="n">
        <v>46257.5</v>
      </c>
      <c r="Q188" t="inlineStr">
        <is>
          <t>TravelLine ресепшен</t>
        </is>
      </c>
      <c r="R188" s="2" t="inlineStr">
        <is>
          <t>СТАНДАРТНЫЙ ДВУХМЕСТНЫЙ НОМЕР</t>
        </is>
      </c>
      <c r="S188" t="n">
        <v>22</v>
      </c>
      <c r="T188" t="n">
        <v>1</v>
      </c>
      <c r="U188" t="inlineStr"/>
      <c r="V188" t="inlineStr">
        <is>
          <t>Тариф с завтраком</t>
        </is>
      </c>
      <c r="W188" t="n">
        <v>108960</v>
      </c>
      <c r="X188" s="3" t="n">
        <v>27240</v>
      </c>
      <c r="Y188" t="inlineStr">
        <is>
          <t>20%</t>
        </is>
      </c>
      <c r="Z188" t="inlineStr">
        <is>
          <t>2026-08-11, 2026-08-12, 2026-08-13, 2026-08-14, 2026-08-15, 2026-08-16, 2026-08-17, 2026-08-18, 2026-08-19, 2026-08-20, 2026-08-21, 2026-08-22</t>
        </is>
      </c>
      <c r="AA188" s="3" t="n">
        <v>108960</v>
      </c>
      <c r="AB188" t="inlineStr">
        <is>
          <t>Сошлось по ночным тарифам</t>
        </is>
      </c>
      <c r="AC188" s="2" t="inlineStr"/>
      <c r="AD188" t="n">
        <v>27240</v>
      </c>
      <c r="AE188" t="n">
        <v>0</v>
      </c>
      <c r="AF188" t="inlineStr">
        <is>
          <t>Скидка добавлена к налоговой базе</t>
        </is>
      </c>
      <c r="AG188" t="n">
        <v>136200</v>
      </c>
      <c r="AH188" t="n">
        <v>108960</v>
      </c>
      <c r="AI188" t="inlineStr">
        <is>
          <t>Полное проживание в выбранном периоде</t>
        </is>
      </c>
    </row>
    <row r="189">
      <c r="A189" t="inlineStr">
        <is>
          <t>20260814-8186-418482615</t>
        </is>
      </c>
      <c r="B189" t="n">
        <v>1</v>
      </c>
      <c r="C189" s="2" t="inlineStr">
        <is>
          <t>Анна Данченко, Гульнара Мяльдзина</t>
        </is>
      </c>
      <c r="D189" s="3" t="n">
        <v>24640</v>
      </c>
      <c r="E189" s="4" t="n">
        <v>18</v>
      </c>
      <c r="F189" t="inlineStr">
        <is>
          <t>Яндекс.Путешествия [Чайковский]</t>
        </is>
      </c>
      <c r="G189" s="3">
        <f>ROUND(D189/(100-E189)*100,2)</f>
        <v/>
      </c>
      <c r="H189" s="3" t="n">
        <v>0</v>
      </c>
      <c r="I189" s="3">
        <f>ROUND(IF(ISNUMBER(AG189),AG189,G189)+H189,2)</f>
        <v/>
      </c>
      <c r="J189" s="2" t="inlineStr">
        <is>
          <t>Завтрак "Шведский стол"</t>
        </is>
      </c>
      <c r="K189" s="5" t="n">
        <v>46248.58333333334</v>
      </c>
      <c r="L189" t="n">
        <v>2</v>
      </c>
      <c r="M189" s="3">
        <f>I189/L189</f>
        <v/>
      </c>
      <c r="N189">
        <f>IF(M189&gt;=5100,"ставка","мин.ставка")</f>
        <v/>
      </c>
      <c r="O189" s="3">
        <f>ROUND(IF(N189="мин.ставка",L189*100,I189/102*2),2)</f>
        <v/>
      </c>
      <c r="P189" s="5" t="n">
        <v>46250.5</v>
      </c>
      <c r="Q189" t="inlineStr">
        <is>
          <t>TravelLine YAX</t>
        </is>
      </c>
      <c r="R189" s="2" t="inlineStr">
        <is>
          <t>УЛУЧШЕННЫЙ ДВУХМЕСТНЫЙ НОМЕР</t>
        </is>
      </c>
      <c r="S189" t="n">
        <v>21</v>
      </c>
      <c r="T189" t="n">
        <v>1</v>
      </c>
      <c r="U189" t="inlineStr"/>
      <c r="V189" t="inlineStr">
        <is>
          <t>Тариф с завтраком</t>
        </is>
      </c>
      <c r="W189" t="n">
        <v>24640</v>
      </c>
      <c r="X189" s="3" t="n">
        <v>6160</v>
      </c>
      <c r="Y189" t="inlineStr">
        <is>
          <t>20%</t>
        </is>
      </c>
      <c r="Z189" t="inlineStr">
        <is>
          <t>2026-08-14, 2026-08-15</t>
        </is>
      </c>
      <c r="AA189" s="3" t="n">
        <v>24640</v>
      </c>
      <c r="AB189" t="inlineStr">
        <is>
          <t>Сошлось по ночным тарифам</t>
        </is>
      </c>
      <c r="AC189" s="2" t="inlineStr"/>
      <c r="AD189" t="n">
        <v>6160</v>
      </c>
      <c r="AE189" t="n">
        <v>0</v>
      </c>
      <c r="AF189" t="inlineStr">
        <is>
          <t>Скидка добавлена к налоговой базе</t>
        </is>
      </c>
      <c r="AG189" t="n">
        <v>30800</v>
      </c>
      <c r="AH189" t="n">
        <v>24640</v>
      </c>
      <c r="AI189" t="inlineStr">
        <is>
          <t>Полное проживание в выбранном периоде</t>
        </is>
      </c>
    </row>
    <row r="190">
      <c r="A190" t="inlineStr">
        <is>
          <t>20260826-8186-461070085</t>
        </is>
      </c>
      <c r="B190" t="n">
        <v>1</v>
      </c>
      <c r="C190" s="2" t="inlineStr">
        <is>
          <t>АННА ДЕМИДОВА</t>
        </is>
      </c>
      <c r="D190" s="3" t="n">
        <v>28942.5</v>
      </c>
      <c r="E190" s="4" t="n">
        <v>15</v>
      </c>
      <c r="F190" t="inlineStr">
        <is>
          <t>ООО "АКАДЕМ-ОНЛАЙН" [Чайковский]</t>
        </is>
      </c>
      <c r="G190" s="3">
        <f>ROUND(D190/(100-E190)*100,2)</f>
        <v/>
      </c>
      <c r="H190" s="3" t="n">
        <v>0</v>
      </c>
      <c r="I190" s="3">
        <f>ROUND(IF(ISNUMBER(AG190),AG190,G190)+H190,2)</f>
        <v/>
      </c>
      <c r="J190" s="2" t="inlineStr">
        <is>
          <t>Завтрак "Шведский стол"</t>
        </is>
      </c>
      <c r="K190" s="5" t="n">
        <v>46260.58333333334</v>
      </c>
      <c r="L190" t="n">
        <v>3</v>
      </c>
      <c r="M190" s="3">
        <f>I190/L190</f>
        <v/>
      </c>
      <c r="N190">
        <f>IF(M190&gt;=5100,"ставка","мин.ставка")</f>
        <v/>
      </c>
      <c r="O190" s="3">
        <f>ROUND(IF(N190="мин.ставка",L190*100,I190/102*2),2)</f>
        <v/>
      </c>
      <c r="P190" s="5" t="n">
        <v>46263.5</v>
      </c>
      <c r="Q190" t="inlineStr">
        <is>
          <t>TravelLine ACS</t>
        </is>
      </c>
      <c r="R190" s="2" t="inlineStr">
        <is>
          <t>СТАНДАРТНЫЙ ДВУХМЕСТНЫЙ НОМЕР</t>
        </is>
      </c>
      <c r="S190" t="n">
        <v>58</v>
      </c>
      <c r="T190" t="n">
        <v>2</v>
      </c>
      <c r="U190" t="inlineStr"/>
      <c r="V190" t="inlineStr">
        <is>
          <t>Тариф с завтраком</t>
        </is>
      </c>
      <c r="W190" t="n">
        <v>28942.5</v>
      </c>
      <c r="X190" s="3" t="n">
        <v>5107.5</v>
      </c>
      <c r="Y190" t="inlineStr">
        <is>
          <t>15%</t>
        </is>
      </c>
      <c r="Z190" t="inlineStr">
        <is>
          <t>2026-08-26, 2026-08-27, 2026-08-28</t>
        </is>
      </c>
      <c r="AA190" s="3" t="n">
        <v>28942.5</v>
      </c>
      <c r="AB190" t="inlineStr">
        <is>
          <t>Сошлось по ночным тарифам</t>
        </is>
      </c>
      <c r="AC190" s="2" t="inlineStr"/>
      <c r="AD190" t="n">
        <v>5107.5</v>
      </c>
      <c r="AE190" t="n">
        <v>0</v>
      </c>
      <c r="AF190" t="inlineStr">
        <is>
          <t>Скидка добавлена к налоговой базе</t>
        </is>
      </c>
      <c r="AG190" t="n">
        <v>34050</v>
      </c>
      <c r="AH190" t="n">
        <v>28942.5</v>
      </c>
      <c r="AI190" t="inlineStr">
        <is>
          <t>Полное проживание в выбранном периоде</t>
        </is>
      </c>
    </row>
    <row r="191">
      <c r="A191" t="inlineStr">
        <is>
          <t>20260820-8186-455185910</t>
        </is>
      </c>
      <c r="B191" t="n">
        <v>1</v>
      </c>
      <c r="C191" s="2" t="inlineStr">
        <is>
          <t>Анна Дмитриева</t>
        </is>
      </c>
      <c r="D191" s="3" t="n">
        <v>6320</v>
      </c>
      <c r="E191" s="4" t="n">
        <v>20</v>
      </c>
      <c r="F191" t="inlineStr">
        <is>
          <t>ООО «Дубль Гис» (OTELLO) [Чайковский]</t>
        </is>
      </c>
      <c r="G191" s="3">
        <f>ROUND(D191/(100-E191)*100,2)</f>
        <v/>
      </c>
      <c r="H191" s="3" t="n">
        <v>0</v>
      </c>
      <c r="I191" s="3">
        <f>ROUND(IF(ISNUMBER(AG191),AG191,G191)+H191,2)</f>
        <v/>
      </c>
      <c r="J191" s="2" t="inlineStr">
        <is>
          <t>Завтрак "Шведский стол"</t>
        </is>
      </c>
      <c r="K191" s="5" t="n">
        <v>46254.58333333334</v>
      </c>
      <c r="L191" t="n">
        <v>1</v>
      </c>
      <c r="M191" s="3">
        <f>I191/L191</f>
        <v/>
      </c>
      <c r="N191">
        <f>IF(M191&gt;=5100,"ставка","мин.ставка")</f>
        <v/>
      </c>
      <c r="O191" s="3">
        <f>ROUND(IF(N191="мин.ставка",L191*100,I191/102*2),2)</f>
        <v/>
      </c>
      <c r="P191" s="5" t="n">
        <v>46255.5</v>
      </c>
      <c r="Q191" t="inlineStr">
        <is>
          <t>TravelLine OL2</t>
        </is>
      </c>
      <c r="R191" s="2" t="inlineStr">
        <is>
          <t>СТАНДАРТНЫЙ ДВУХМЕСТНЫЙ НОМЕР (МАНСАРДА)</t>
        </is>
      </c>
      <c r="S191" t="n">
        <v>41</v>
      </c>
      <c r="T191" t="n">
        <v>1</v>
      </c>
      <c r="U191" t="inlineStr"/>
      <c r="V191" t="inlineStr">
        <is>
          <t>Тариф с завтраком</t>
        </is>
      </c>
      <c r="W191" t="n">
        <v>6320</v>
      </c>
      <c r="X191" s="3" t="n">
        <v>1580</v>
      </c>
      <c r="Y191" t="inlineStr">
        <is>
          <t>20%</t>
        </is>
      </c>
      <c r="Z191" t="inlineStr">
        <is>
          <t>2026-08-20</t>
        </is>
      </c>
      <c r="AA191" s="3" t="n">
        <v>6320</v>
      </c>
      <c r="AB191" t="inlineStr">
        <is>
          <t>Сошлось по ночным тарифам</t>
        </is>
      </c>
      <c r="AC191" s="2" t="inlineStr"/>
      <c r="AD191" t="n">
        <v>1580</v>
      </c>
      <c r="AE191" t="n">
        <v>0</v>
      </c>
      <c r="AF191" t="inlineStr">
        <is>
          <t>Скидка добавлена к налоговой базе</t>
        </is>
      </c>
      <c r="AG191" t="n">
        <v>7900</v>
      </c>
      <c r="AH191" t="n">
        <v>6320</v>
      </c>
      <c r="AI191" t="inlineStr">
        <is>
          <t>Полное проживание в выбранном периоде</t>
        </is>
      </c>
    </row>
    <row r="192">
      <c r="A192" t="inlineStr">
        <is>
          <t>20260729-8186-446530199</t>
        </is>
      </c>
      <c r="B192" t="n">
        <v>1</v>
      </c>
      <c r="C192" s="2" t="inlineStr">
        <is>
          <t>АННА ЖУКОВА, Мария Жукова</t>
        </is>
      </c>
      <c r="D192" s="3" t="n">
        <v>12015</v>
      </c>
      <c r="E192" s="4" t="n">
        <v>0</v>
      </c>
      <c r="F192" t="inlineStr">
        <is>
          <t>Прямые бронирования (стойка) [Чайковский]</t>
        </is>
      </c>
      <c r="G192" s="3">
        <f>ROUND(D192/(100-E192)*100,2)</f>
        <v/>
      </c>
      <c r="H192" s="3" t="n">
        <v>0</v>
      </c>
      <c r="I192" s="3">
        <f>ROUND(IF(ISNUMBER(AG192),AG192,G192)+H192,2)</f>
        <v/>
      </c>
      <c r="J192" s="2" t="inlineStr">
        <is>
          <t>Завтрак "Шведский стол"</t>
        </is>
      </c>
      <c r="K192" s="5" t="n">
        <v>46232.58333333334</v>
      </c>
      <c r="L192" t="n">
        <v>1</v>
      </c>
      <c r="M192" s="3">
        <f>I192/L192</f>
        <v/>
      </c>
      <c r="N192">
        <f>IF(M192&gt;=5100,"ставка","мин.ставка")</f>
        <v/>
      </c>
      <c r="O192" s="3">
        <f>ROUND(IF(N192="мин.ставка",L192*100,I192/102*2),2)</f>
        <v/>
      </c>
      <c r="P192" s="5" t="n">
        <v>46233.5</v>
      </c>
      <c r="Q192" t="inlineStr">
        <is>
          <t>TravelLine ресепшен</t>
        </is>
      </c>
      <c r="R192" s="2" t="inlineStr">
        <is>
          <t>СТАНДАРТНЫЙ ДВУХМЕСТНЫЙ НОМЕР</t>
        </is>
      </c>
      <c r="S192" t="n">
        <v>22</v>
      </c>
      <c r="T192" t="n">
        <v>1</v>
      </c>
      <c r="U192" t="inlineStr"/>
      <c r="V192" t="inlineStr">
        <is>
          <t>Тариф с завтраком</t>
        </is>
      </c>
      <c r="W192" t="n">
        <v>12015</v>
      </c>
      <c r="X192" s="3" t="n">
        <v>1335</v>
      </c>
      <c r="Y192" t="inlineStr">
        <is>
          <t>10%</t>
        </is>
      </c>
      <c r="Z192" t="inlineStr">
        <is>
          <t>2026-07-29</t>
        </is>
      </c>
      <c r="AA192" s="3" t="n">
        <v>12015</v>
      </c>
      <c r="AB192" t="inlineStr">
        <is>
          <t>Сошлось по ночным тарифам</t>
        </is>
      </c>
      <c r="AC192" s="2" t="inlineStr"/>
      <c r="AD192" t="n">
        <v>1335</v>
      </c>
      <c r="AE192" t="n">
        <v>0</v>
      </c>
      <c r="AF192" t="inlineStr">
        <is>
          <t>Скидка добавлена к налоговой базе</t>
        </is>
      </c>
      <c r="AG192" t="n">
        <v>13350</v>
      </c>
      <c r="AH192" t="n">
        <v>12015</v>
      </c>
      <c r="AI192" t="inlineStr">
        <is>
          <t>Полное проживание в выбранном периоде</t>
        </is>
      </c>
    </row>
    <row r="193">
      <c r="A193" t="inlineStr">
        <is>
          <t>20260713-8186-440314213</t>
        </is>
      </c>
      <c r="B193" t="n">
        <v>1</v>
      </c>
      <c r="C193" s="2" t="inlineStr">
        <is>
          <t>АННА ЗАВИДОВА, ЗОЯ ЗАВИДОВА</t>
        </is>
      </c>
      <c r="D193" s="3" t="n">
        <v>68085</v>
      </c>
      <c r="E193" s="4" t="n">
        <v>0</v>
      </c>
      <c r="F193" t="inlineStr">
        <is>
          <t>ООО "АЛЕАН ОТДЫХ" [Чайковский]</t>
        </is>
      </c>
      <c r="G193" s="3">
        <f>ROUND(D193/(100-E193)*100,2)</f>
        <v/>
      </c>
      <c r="H193" s="3" t="n">
        <v>0</v>
      </c>
      <c r="I193" s="3">
        <f>ROUND(IF(ISNUMBER(AG193),AG193,G193)+H193,2)</f>
        <v/>
      </c>
      <c r="J193" s="2" t="inlineStr">
        <is>
          <t>meal_bf_buffet_1; meal_bf_buffet_1; Завтрак "Шведский стол"</t>
        </is>
      </c>
      <c r="K193" s="5" t="n">
        <v>46216.58333333334</v>
      </c>
      <c r="L193" t="n">
        <v>6</v>
      </c>
      <c r="M193" s="3">
        <f>I193/L193</f>
        <v/>
      </c>
      <c r="N193">
        <f>IF(M193&gt;=5100,"ставка","мин.ставка")</f>
        <v/>
      </c>
      <c r="O193" s="3">
        <f>ROUND(IF(N193="мин.ставка",L193*100,I193/102*2),2)</f>
        <v/>
      </c>
      <c r="P193" s="5" t="n">
        <v>46222.5</v>
      </c>
      <c r="Q193" t="inlineStr">
        <is>
          <t>TravelLine ALN</t>
        </is>
      </c>
      <c r="R193" s="2" t="inlineStr">
        <is>
          <t>СТАНДАРТНЫЙ ДВУХМЕСТНЫЙ НОМЕР</t>
        </is>
      </c>
      <c r="S193" t="n">
        <v>44</v>
      </c>
      <c r="T193" t="n">
        <v>1</v>
      </c>
      <c r="U193" t="inlineStr"/>
      <c r="V193" t="inlineStr">
        <is>
          <t>Тариф с завтраком</t>
        </is>
      </c>
      <c r="W193" t="n">
        <v>68085</v>
      </c>
      <c r="X193" s="3" t="n">
        <v>12015</v>
      </c>
      <c r="Y193" t="inlineStr">
        <is>
          <t>15%</t>
        </is>
      </c>
      <c r="Z193" t="inlineStr">
        <is>
          <t>2026-07-13, 2026-07-14, 2026-07-15, 2026-07-16, 2026-07-17, 2026-07-18</t>
        </is>
      </c>
      <c r="AA193" s="3" t="n">
        <v>68085</v>
      </c>
      <c r="AB193" t="inlineStr">
        <is>
          <t>Сошлось по ночным тарифам</t>
        </is>
      </c>
      <c r="AC193" s="2" t="inlineStr"/>
      <c r="AD193" t="n">
        <v>12015</v>
      </c>
      <c r="AE193" t="n">
        <v>0</v>
      </c>
      <c r="AF193" t="inlineStr">
        <is>
          <t>Скидка добавлена к налоговой базе</t>
        </is>
      </c>
      <c r="AG193" t="n">
        <v>80100</v>
      </c>
      <c r="AH193" t="n">
        <v>68085</v>
      </c>
      <c r="AI193" t="inlineStr">
        <is>
          <t>Полное проживание в выбранном периоде</t>
        </is>
      </c>
    </row>
    <row r="194">
      <c r="A194" t="inlineStr">
        <is>
          <t>20260711-8186-449029236</t>
        </is>
      </c>
      <c r="B194" t="n">
        <v>1</v>
      </c>
      <c r="C194" s="2" t="inlineStr">
        <is>
          <t>Анна Иохим</t>
        </is>
      </c>
      <c r="D194" s="3" t="n">
        <v>14085.5</v>
      </c>
      <c r="E194" s="4" t="n">
        <v>4</v>
      </c>
      <c r="F194" t="inlineStr">
        <is>
          <t>TravelLine Booking Engine [Чайковский]</t>
        </is>
      </c>
      <c r="G194" s="3">
        <f>ROUND(D194/(100-E194)*100,2)</f>
        <v/>
      </c>
      <c r="H194" s="3" t="n">
        <v>500</v>
      </c>
      <c r="I194" s="3">
        <f>ROUND(IF(ISNUMBER(AG194),AG194,G194)+H194,2)</f>
        <v/>
      </c>
      <c r="J194" s="2" t="inlineStr">
        <is>
          <t>продление номера — 500,00 ₽</t>
        </is>
      </c>
      <c r="K194" s="5" t="n">
        <v>46214.58333333334</v>
      </c>
      <c r="L194" t="n">
        <v>1</v>
      </c>
      <c r="M194" s="3">
        <f>I194/L194</f>
        <v/>
      </c>
      <c r="N194">
        <f>IF(M194&gt;=5100,"ставка","мин.ставка")</f>
        <v/>
      </c>
      <c r="O194" s="3">
        <f>ROUND(IF(N194="мин.ставка",L194*100,I194/102*2),2)</f>
        <v/>
      </c>
      <c r="P194" s="5" t="n">
        <v>46215.5</v>
      </c>
      <c r="Q194" t="inlineStr">
        <is>
          <t>TravelLine сайт</t>
        </is>
      </c>
      <c r="R194" s="2" t="inlineStr">
        <is>
          <t>ЛЮКС ВТОРОЙ КОРПУС</t>
        </is>
      </c>
      <c r="S194" t="n">
        <v>57</v>
      </c>
      <c r="T194" t="n">
        <v>2</v>
      </c>
      <c r="U194" t="inlineStr"/>
      <c r="V194" t="inlineStr">
        <is>
          <t>Основной тариф без завтрака</t>
        </is>
      </c>
      <c r="W194" t="n">
        <v>14585.5</v>
      </c>
      <c r="X194" s="3" t="n">
        <v>214.5</v>
      </c>
      <c r="Y194" t="inlineStr">
        <is>
          <t>1.5%</t>
        </is>
      </c>
      <c r="Z194" t="inlineStr">
        <is>
          <t>2026-07-11</t>
        </is>
      </c>
      <c r="AA194" s="3" t="n">
        <v>14085.5</v>
      </c>
      <c r="AB194" t="inlineStr">
        <is>
          <t>Сошлось с услугами</t>
        </is>
      </c>
      <c r="AC194" s="2" t="inlineStr"/>
      <c r="AD194" t="n">
        <v>214.5</v>
      </c>
      <c r="AE194" t="n">
        <v>0</v>
      </c>
      <c r="AF194" t="inlineStr">
        <is>
          <t>Скидка добавлена к налоговой базе</t>
        </is>
      </c>
      <c r="AG194" t="n">
        <v>14300</v>
      </c>
      <c r="AH194" t="n">
        <v>14085.5</v>
      </c>
      <c r="AI194" t="inlineStr">
        <is>
          <t>Полное проживание в выбранном периоде</t>
        </is>
      </c>
    </row>
    <row r="195">
      <c r="A195" t="inlineStr">
        <is>
          <t>20260824-8186-427406859</t>
        </is>
      </c>
      <c r="B195" t="n">
        <v>1</v>
      </c>
      <c r="C195" s="2" t="inlineStr">
        <is>
          <t>Анна Киташина, Ксения Киташина</t>
        </is>
      </c>
      <c r="D195" s="3" t="n">
        <v>59661.15</v>
      </c>
      <c r="E195" s="4" t="n">
        <v>4</v>
      </c>
      <c r="F195" t="inlineStr">
        <is>
          <t>TravelLine Booking Engine [Чайковский]</t>
        </is>
      </c>
      <c r="G195" s="3">
        <f>ROUND(D195/(100-E195)*100,2)</f>
        <v/>
      </c>
      <c r="H195" s="3" t="n">
        <v>0</v>
      </c>
      <c r="I195" s="3">
        <f>ROUND(IF(ISNUMBER(AG195),AG195,G195)+H195,2)</f>
        <v/>
      </c>
      <c r="J195" s="2" t="inlineStr">
        <is>
          <t>Завтрак "Шведский стол"</t>
        </is>
      </c>
      <c r="K195" s="5" t="n">
        <v>46258.58333333334</v>
      </c>
      <c r="L195" t="n">
        <v>4</v>
      </c>
      <c r="M195" s="3">
        <f>I195/L195</f>
        <v/>
      </c>
      <c r="N195">
        <f>IF(M195&gt;=5100,"ставка","мин.ставка")</f>
        <v/>
      </c>
      <c r="O195" s="3">
        <f>ROUND(IF(N195="мин.ставка",L195*100,I195/102*2),2)</f>
        <v/>
      </c>
      <c r="P195" s="5" t="n">
        <v>46262.79166666666</v>
      </c>
      <c r="Q195" t="inlineStr">
        <is>
          <t>TravelLine сайт</t>
        </is>
      </c>
      <c r="R195" s="2" t="inlineStr">
        <is>
          <t>СТАНДАРТНЫЙ ДВУХМЕСТНЫЙ НОМЕР</t>
        </is>
      </c>
      <c r="S195" t="n">
        <v>46</v>
      </c>
      <c r="T195" t="n">
        <v>1</v>
      </c>
      <c r="U195" t="inlineStr"/>
      <c r="V195" t="inlineStr">
        <is>
          <t>Тариф с завтраком</t>
        </is>
      </c>
      <c r="W195" t="n">
        <v>72597.3</v>
      </c>
      <c r="X195" s="3" t="n">
        <v>413.85</v>
      </c>
      <c r="Y195" t="inlineStr">
        <is>
          <t>3.1%</t>
        </is>
      </c>
      <c r="Z195" t="inlineStr">
        <is>
          <t>2026-08-24</t>
        </is>
      </c>
      <c r="AA195" s="3" t="n">
        <v>52986.15</v>
      </c>
      <c r="AB195" t="inlineStr">
        <is>
          <t>Расхождение -6675.00 ₽</t>
        </is>
      </c>
      <c r="AC195" s="2" t="inlineStr"/>
      <c r="AD195" t="n">
        <v>413.85</v>
      </c>
      <c r="AE195" t="n">
        <v>0</v>
      </c>
      <c r="AF195" t="inlineStr">
        <is>
          <t>Скидка добавлена к налоговой базе</t>
        </is>
      </c>
      <c r="AG195" t="n">
        <v>60075</v>
      </c>
      <c r="AH195" t="n">
        <v>59661.15</v>
      </c>
      <c r="AI195" t="inlineStr">
        <is>
          <t>Полное проживание в выбранном периоде</t>
        </is>
      </c>
    </row>
    <row r="196">
      <c r="A196" t="inlineStr">
        <is>
          <t>20260711-8186-428824372</t>
        </is>
      </c>
      <c r="B196" t="n">
        <v>1</v>
      </c>
      <c r="C196" s="2" t="inlineStr">
        <is>
          <t>Анна Кубышкина, Татьяна Жукова</t>
        </is>
      </c>
      <c r="D196" s="3" t="n">
        <v>10680</v>
      </c>
      <c r="E196" s="4" t="n">
        <v>18</v>
      </c>
      <c r="F196" t="inlineStr">
        <is>
          <t>Яндекс.Путешествия [Чайковский]</t>
        </is>
      </c>
      <c r="G196" s="3">
        <f>ROUND(D196/(100-E196)*100,2)</f>
        <v/>
      </c>
      <c r="H196" s="3" t="n">
        <v>0</v>
      </c>
      <c r="I196" s="3">
        <f>ROUND(IF(ISNUMBER(AG196),AG196,G196)+H196,2)</f>
        <v/>
      </c>
      <c r="J196" s="2" t="inlineStr">
        <is>
          <t>Завтрак "Шведский стол"</t>
        </is>
      </c>
      <c r="K196" s="5" t="n">
        <v>46214.58333333334</v>
      </c>
      <c r="L196" t="n">
        <v>1</v>
      </c>
      <c r="M196" s="3">
        <f>I196/L196</f>
        <v/>
      </c>
      <c r="N196">
        <f>IF(M196&gt;=5100,"ставка","мин.ставка")</f>
        <v/>
      </c>
      <c r="O196" s="3">
        <f>ROUND(IF(N196="мин.ставка",L196*100,I196/102*2),2)</f>
        <v/>
      </c>
      <c r="P196" s="5" t="n">
        <v>46215.5</v>
      </c>
      <c r="Q196" t="inlineStr">
        <is>
          <t>TravelLine YAX</t>
        </is>
      </c>
      <c r="R196" s="2" t="inlineStr">
        <is>
          <t>СТАНДАРТНЫЙ ДВУХМЕСТНЫЙ НОМЕР</t>
        </is>
      </c>
      <c r="S196" t="n">
        <v>42</v>
      </c>
      <c r="T196" t="n">
        <v>1</v>
      </c>
      <c r="U196" t="inlineStr"/>
      <c r="V196" t="inlineStr">
        <is>
          <t>Тариф с завтраком</t>
        </is>
      </c>
      <c r="W196" t="n">
        <v>10680</v>
      </c>
      <c r="X196" s="3" t="n">
        <v>2670</v>
      </c>
      <c r="Y196" t="inlineStr">
        <is>
          <t>20%</t>
        </is>
      </c>
      <c r="Z196" t="inlineStr">
        <is>
          <t>2026-07-11</t>
        </is>
      </c>
      <c r="AA196" s="3" t="n">
        <v>10680</v>
      </c>
      <c r="AB196" t="inlineStr">
        <is>
          <t>Сошлось по ночным тарифам</t>
        </is>
      </c>
      <c r="AC196" s="2" t="inlineStr"/>
      <c r="AD196" t="n">
        <v>2670</v>
      </c>
      <c r="AE196" t="n">
        <v>0</v>
      </c>
      <c r="AF196" t="inlineStr">
        <is>
          <t>Скидка добавлена к налоговой базе</t>
        </is>
      </c>
      <c r="AG196" t="n">
        <v>13350</v>
      </c>
      <c r="AH196" t="n">
        <v>10680</v>
      </c>
      <c r="AI196" t="inlineStr">
        <is>
          <t>Полное проживание в выбранном периоде</t>
        </is>
      </c>
    </row>
    <row r="197">
      <c r="A197" t="inlineStr">
        <is>
          <t>20260825-8186-456275651</t>
        </is>
      </c>
      <c r="B197" t="n">
        <v>1</v>
      </c>
      <c r="C197" s="2" t="inlineStr">
        <is>
          <t>Анна Курносова</t>
        </is>
      </c>
      <c r="D197" s="3" t="n">
        <v>6320</v>
      </c>
      <c r="E197" s="4" t="n">
        <v>20</v>
      </c>
      <c r="F197" t="inlineStr">
        <is>
          <t>ООО "КОМПАНИЯ БРОНЕВИК" [Чайковский]</t>
        </is>
      </c>
      <c r="G197" s="3">
        <f>ROUND(D197/(100-E197)*100,2)</f>
        <v/>
      </c>
      <c r="H197" s="3" t="n">
        <v>0</v>
      </c>
      <c r="I197" s="3">
        <f>ROUND(IF(ISNUMBER(AG197),AG197,G197)+H197,2)</f>
        <v/>
      </c>
      <c r="J197" s="2" t="inlineStr">
        <is>
          <t>Завтрак "Шведский стол"</t>
        </is>
      </c>
      <c r="K197" s="5" t="n">
        <v>46259.58333333334</v>
      </c>
      <c r="L197" t="n">
        <v>1</v>
      </c>
      <c r="M197" s="3">
        <f>I197/L197</f>
        <v/>
      </c>
      <c r="N197">
        <f>IF(M197&gt;=5100,"ставка","мин.ставка")</f>
        <v/>
      </c>
      <c r="O197" s="3">
        <f>ROUND(IF(N197="мин.ставка",L197*100,I197/102*2),2)</f>
        <v/>
      </c>
      <c r="P197" s="5" t="n">
        <v>46260.5</v>
      </c>
      <c r="Q197" t="inlineStr">
        <is>
          <t>TravelLine BR2</t>
        </is>
      </c>
      <c r="R197" s="2" t="inlineStr">
        <is>
          <t>СТАНДАРТНЫЙ ДВУХМЕСТНЫЙ НОМЕР (МАНСАРДА)</t>
        </is>
      </c>
      <c r="S197" t="n">
        <v>41</v>
      </c>
      <c r="T197" t="n">
        <v>1</v>
      </c>
      <c r="U197" t="inlineStr"/>
      <c r="V197" t="inlineStr">
        <is>
          <t>Тариф с завтраком</t>
        </is>
      </c>
      <c r="W197" t="n">
        <v>6320</v>
      </c>
      <c r="X197" s="3" t="n">
        <v>0</v>
      </c>
      <c r="Y197" t="inlineStr"/>
      <c r="Z197" t="inlineStr"/>
      <c r="AA197" s="3" t="n">
        <v>6320</v>
      </c>
      <c r="AB197" t="inlineStr">
        <is>
          <t>Сошлось по ночным тарифам</t>
        </is>
      </c>
      <c r="AC197" s="2" t="inlineStr"/>
      <c r="AD197" t="n">
        <v>0</v>
      </c>
      <c r="AE197" t="n">
        <v>0</v>
      </c>
      <c r="AF197" t="inlineStr">
        <is>
          <t>Скидки нет</t>
        </is>
      </c>
      <c r="AG197" t="n">
        <v>6320</v>
      </c>
      <c r="AH197" t="n">
        <v>6320</v>
      </c>
      <c r="AI197" t="inlineStr">
        <is>
          <t>Полное проживание в выбранном периоде</t>
        </is>
      </c>
    </row>
    <row r="198">
      <c r="A198" t="inlineStr">
        <is>
          <t>20260726-8186-434777679</t>
        </is>
      </c>
      <c r="B198" t="n">
        <v>1</v>
      </c>
      <c r="C198" s="2" t="inlineStr">
        <is>
          <t>Анна Леер, Владимир Леер</t>
        </is>
      </c>
      <c r="D198" s="3" t="n">
        <v>14002.05</v>
      </c>
      <c r="E198" s="4" t="n">
        <v>4</v>
      </c>
      <c r="F198" t="inlineStr">
        <is>
          <t>TravelLine Booking Engine [Чайковский]</t>
        </is>
      </c>
      <c r="G198" s="3">
        <f>ROUND(D198/(100-E198)*100,2)</f>
        <v/>
      </c>
      <c r="H198" s="3" t="n">
        <v>0</v>
      </c>
      <c r="I198" s="3">
        <f>ROUND(IF(ISNUMBER(AG198),AG198,G198)+H198,2)</f>
        <v/>
      </c>
      <c r="J198" s="2" t="inlineStr"/>
      <c r="K198" s="5" t="n">
        <v>46229.58333333334</v>
      </c>
      <c r="L198" t="n">
        <v>1</v>
      </c>
      <c r="M198" s="3">
        <f>I198/L198</f>
        <v/>
      </c>
      <c r="N198">
        <f>IF(M198&gt;=5100,"ставка","мин.ставка")</f>
        <v/>
      </c>
      <c r="O198" s="3">
        <f>ROUND(IF(N198="мин.ставка",L198*100,I198/102*2),2)</f>
        <v/>
      </c>
      <c r="P198" s="5" t="n">
        <v>46230.5</v>
      </c>
      <c r="Q198" t="inlineStr">
        <is>
          <t>TravelLine сайт</t>
        </is>
      </c>
      <c r="R198" s="2" t="inlineStr">
        <is>
          <t>СЕМЕЙНЫЙ НОМЕР КАТЕГОРИИ "СТАНДАРТ" ВТОРОЙ КОРПУС</t>
        </is>
      </c>
      <c r="S198" t="n">
        <v>50</v>
      </c>
      <c r="T198" t="n">
        <v>2</v>
      </c>
      <c r="U198" t="inlineStr"/>
      <c r="V198" t="inlineStr">
        <is>
          <t>Тариф с завтраком</t>
        </is>
      </c>
      <c r="W198" t="n">
        <v>14002.05</v>
      </c>
      <c r="X198" s="3" t="n">
        <v>447.95</v>
      </c>
      <c r="Y198" t="inlineStr">
        <is>
          <t>3.1%</t>
        </is>
      </c>
      <c r="Z198" t="inlineStr">
        <is>
          <t>2026-07-26</t>
        </is>
      </c>
      <c r="AA198" s="3" t="n">
        <v>14002.05</v>
      </c>
      <c r="AB198" t="inlineStr">
        <is>
          <t>Сошлось по ночным тарифам</t>
        </is>
      </c>
      <c r="AC198" s="2" t="inlineStr"/>
      <c r="AD198" t="n">
        <v>447.95</v>
      </c>
      <c r="AE198" t="n">
        <v>0</v>
      </c>
      <c r="AF198" t="inlineStr">
        <is>
          <t>Скидка добавлена к налоговой базе</t>
        </is>
      </c>
      <c r="AG198" t="n">
        <v>14450</v>
      </c>
      <c r="AH198" t="n">
        <v>14002.05</v>
      </c>
      <c r="AI198" t="inlineStr">
        <is>
          <t>Полное проживание в выбранном периоде</t>
        </is>
      </c>
    </row>
    <row r="199">
      <c r="A199" t="inlineStr">
        <is>
          <t>20260710-8186-441330666</t>
        </is>
      </c>
      <c r="B199" t="n">
        <v>1</v>
      </c>
      <c r="C199" s="2" t="inlineStr">
        <is>
          <t>Анна Лейнер</t>
        </is>
      </c>
      <c r="D199" s="3" t="n">
        <v>12782</v>
      </c>
      <c r="E199" s="4" t="n">
        <v>17</v>
      </c>
      <c r="F199" t="inlineStr">
        <is>
          <t>ООО "ОНЛАЙН ИННОВАЦИИ" (101 Отель) [Чайковский]</t>
        </is>
      </c>
      <c r="G199" s="3">
        <f>ROUND(D199/(100-E199)*100,2)</f>
        <v/>
      </c>
      <c r="H199" s="3" t="n">
        <v>0</v>
      </c>
      <c r="I199" s="3">
        <f>ROUND(IF(ISNUMBER(AG199),AG199,G199)+H199,2)</f>
        <v/>
      </c>
      <c r="J199" s="2" t="inlineStr">
        <is>
          <t>Завтрак "Шведский стол"</t>
        </is>
      </c>
      <c r="K199" s="5" t="n">
        <v>46213.58333333334</v>
      </c>
      <c r="L199" t="n">
        <v>2</v>
      </c>
      <c r="M199" s="3">
        <f>I199/L199</f>
        <v/>
      </c>
      <c r="N199">
        <f>IF(M199&gt;=5100,"ставка","мин.ставка")</f>
        <v/>
      </c>
      <c r="O199" s="3">
        <f>ROUND(IF(N199="мин.ставка",L199*100,I199/102*2),2)</f>
        <v/>
      </c>
      <c r="P199" s="5" t="n">
        <v>46215.5</v>
      </c>
      <c r="Q199" t="inlineStr">
        <is>
          <t>TravelLine H1C</t>
        </is>
      </c>
      <c r="R199" s="2" t="inlineStr">
        <is>
          <t>СТАНДАРТНЫЙ ОДНОМЕСТНЫЙ НОМЕР</t>
        </is>
      </c>
      <c r="S199" t="n">
        <v>34</v>
      </c>
      <c r="T199" t="n">
        <v>1</v>
      </c>
      <c r="U199" t="inlineStr"/>
      <c r="V199" t="inlineStr">
        <is>
          <t>Тариф с завтраком</t>
        </is>
      </c>
      <c r="W199" t="n">
        <v>12782</v>
      </c>
      <c r="X199" s="3" t="n">
        <v>2618</v>
      </c>
      <c r="Y199" t="inlineStr">
        <is>
          <t>17%</t>
        </is>
      </c>
      <c r="Z199" t="inlineStr">
        <is>
          <t>2026-07-10, 2026-07-11</t>
        </is>
      </c>
      <c r="AA199" s="3" t="n">
        <v>12782</v>
      </c>
      <c r="AB199" t="inlineStr">
        <is>
          <t>Сошлось по ночным тарифам</t>
        </is>
      </c>
      <c r="AC199" s="2" t="inlineStr"/>
      <c r="AD199" t="n">
        <v>2618</v>
      </c>
      <c r="AE199" t="n">
        <v>0</v>
      </c>
      <c r="AF199" t="inlineStr">
        <is>
          <t>Скидка добавлена к налоговой базе</t>
        </is>
      </c>
      <c r="AG199" t="n">
        <v>15400</v>
      </c>
      <c r="AH199" t="n">
        <v>12782</v>
      </c>
      <c r="AI199" t="inlineStr">
        <is>
          <t>Полное проживание в выбранном периоде</t>
        </is>
      </c>
    </row>
    <row r="200">
      <c r="A200" t="inlineStr">
        <is>
          <t>20260924-8186-458488381</t>
        </is>
      </c>
      <c r="B200" t="n">
        <v>1</v>
      </c>
      <c r="C200" s="2" t="inlineStr">
        <is>
          <t>АННА МАНСУР</t>
        </is>
      </c>
      <c r="D200" s="3" t="n">
        <v>17252</v>
      </c>
      <c r="E200" s="4" t="n">
        <v>18</v>
      </c>
      <c r="F200" t="inlineStr">
        <is>
          <t>Яндекс.Путешествия [Чайковский]</t>
        </is>
      </c>
      <c r="G200" s="3">
        <f>ROUND(D200/(100-E200)*100,2)</f>
        <v/>
      </c>
      <c r="H200" s="3" t="n">
        <v>0</v>
      </c>
      <c r="I200" s="3">
        <f>ROUND(IF(ISNUMBER(AG200),AG200,G200)+H200,2)</f>
        <v/>
      </c>
      <c r="J200" s="2" t="inlineStr">
        <is>
          <t>Завтрак "Шведский стол"</t>
        </is>
      </c>
      <c r="K200" s="5" t="n">
        <v>46289.58333333334</v>
      </c>
      <c r="L200" t="n">
        <v>2</v>
      </c>
      <c r="M200" s="3">
        <f>I200/L200</f>
        <v/>
      </c>
      <c r="N200">
        <f>IF(M200&gt;=5100,"ставка","мин.ставка")</f>
        <v/>
      </c>
      <c r="O200" s="3">
        <f>ROUND(IF(N200="мин.ставка",L200*100,I200/102*2),2)</f>
        <v/>
      </c>
      <c r="P200" s="5" t="n">
        <v>46291.5</v>
      </c>
      <c r="Q200" t="inlineStr">
        <is>
          <t>TravelLine YAX</t>
        </is>
      </c>
      <c r="R200" s="2" t="inlineStr">
        <is>
          <t>СТАНДАРТНЫЙ ДВУХМЕСТНЫЙ НОМЕР</t>
        </is>
      </c>
      <c r="S200" t="n">
        <v>32</v>
      </c>
      <c r="T200" t="n">
        <v>1</v>
      </c>
      <c r="U200" t="inlineStr"/>
      <c r="V200" t="inlineStr">
        <is>
          <t>Тариф с завтраком</t>
        </is>
      </c>
      <c r="W200" t="n">
        <v>17252</v>
      </c>
      <c r="X200" s="3" t="n">
        <v>4313</v>
      </c>
      <c r="Y200" t="inlineStr">
        <is>
          <t>20%</t>
        </is>
      </c>
      <c r="Z200" t="inlineStr">
        <is>
          <t>2026-09-24, 2026-09-25</t>
        </is>
      </c>
      <c r="AA200" s="3" t="n">
        <v>17252</v>
      </c>
      <c r="AB200" t="inlineStr">
        <is>
          <t>Сошлось по ночным тарифам</t>
        </is>
      </c>
      <c r="AC200" s="2" t="inlineStr"/>
      <c r="AD200" t="n">
        <v>4313</v>
      </c>
      <c r="AE200" t="n">
        <v>0</v>
      </c>
      <c r="AF200" t="inlineStr">
        <is>
          <t>Скидка добавлена к налоговой базе</t>
        </is>
      </c>
      <c r="AG200" t="n">
        <v>21565</v>
      </c>
      <c r="AH200" t="n">
        <v>17252</v>
      </c>
      <c r="AI200" t="inlineStr">
        <is>
          <t>Полное проживание в выбранном периоде</t>
        </is>
      </c>
    </row>
    <row r="201">
      <c r="A201" t="inlineStr">
        <is>
          <t>20260925-8186-465097921</t>
        </is>
      </c>
      <c r="B201" t="n">
        <v>1</v>
      </c>
      <c r="C201" s="2" t="inlineStr">
        <is>
          <t>Анна Милова, Георгий ТИМОФЕЕВ</t>
        </is>
      </c>
      <c r="D201" s="3" t="n">
        <v>32040</v>
      </c>
      <c r="E201" s="4" t="n">
        <v>0</v>
      </c>
      <c r="F201" t="inlineStr">
        <is>
          <t>Прямые бронирования (стойка) [Чайковский]</t>
        </is>
      </c>
      <c r="G201" s="3">
        <f>ROUND(D201/(100-E201)*100,2)</f>
        <v/>
      </c>
      <c r="H201" s="3" t="n">
        <v>0</v>
      </c>
      <c r="I201" s="3">
        <f>ROUND(IF(ISNUMBER(AG201),AG201,G201)+H201,2)</f>
        <v/>
      </c>
      <c r="J201" s="2" t="inlineStr">
        <is>
          <t>Завтрак "Шведский стол"</t>
        </is>
      </c>
      <c r="K201" s="5" t="n">
        <v>46290.58333333334</v>
      </c>
      <c r="L201" t="n">
        <v>3</v>
      </c>
      <c r="M201" s="3">
        <f>I201/L201</f>
        <v/>
      </c>
      <c r="N201">
        <f>IF(M201&gt;=5100,"ставка","мин.ставка")</f>
        <v/>
      </c>
      <c r="O201" s="3">
        <f>ROUND(IF(N201="мин.ставка",L201*100,I201/102*2),2)</f>
        <v/>
      </c>
      <c r="P201" s="5" t="n">
        <v>46293.5</v>
      </c>
      <c r="Q201" t="inlineStr">
        <is>
          <t>TravelLine ресепшен</t>
        </is>
      </c>
      <c r="R201" s="2" t="inlineStr">
        <is>
          <t>СТАНДАРТНЫЙ ДВУХМЕСТНЫЙ НОМЕР</t>
        </is>
      </c>
      <c r="S201" t="n">
        <v>36</v>
      </c>
      <c r="T201" t="n">
        <v>1</v>
      </c>
      <c r="U201" t="inlineStr"/>
      <c r="V201" t="inlineStr">
        <is>
          <t>Тариф с завтраком</t>
        </is>
      </c>
      <c r="W201" t="n">
        <v>32040</v>
      </c>
      <c r="X201" s="3" t="n">
        <v>8010</v>
      </c>
      <c r="Y201" t="inlineStr">
        <is>
          <t>20%</t>
        </is>
      </c>
      <c r="Z201" t="inlineStr">
        <is>
          <t>2026-09-25, 2026-09-26, 2026-09-27</t>
        </is>
      </c>
      <c r="AA201" s="3" t="n">
        <v>32040</v>
      </c>
      <c r="AB201" t="inlineStr">
        <is>
          <t>Сошлось по ночным тарифам</t>
        </is>
      </c>
      <c r="AC201" s="2" t="inlineStr"/>
      <c r="AD201" t="n">
        <v>8010</v>
      </c>
      <c r="AE201" t="n">
        <v>0</v>
      </c>
      <c r="AF201" t="inlineStr">
        <is>
          <t>Скидка добавлена к налоговой базе</t>
        </is>
      </c>
      <c r="AG201" t="n">
        <v>40050</v>
      </c>
      <c r="AH201" t="n">
        <v>32040</v>
      </c>
      <c r="AI201" t="inlineStr">
        <is>
          <t>Полное проживание в выбранном периоде</t>
        </is>
      </c>
    </row>
    <row r="202">
      <c r="A202" t="inlineStr">
        <is>
          <t>20260924-8186-464881072</t>
        </is>
      </c>
      <c r="B202" t="n">
        <v>1</v>
      </c>
      <c r="C202" s="2" t="inlineStr">
        <is>
          <t>Анна Назаркина</t>
        </is>
      </c>
      <c r="D202" s="3" t="n">
        <v>17025</v>
      </c>
      <c r="E202" s="4" t="n">
        <v>18</v>
      </c>
      <c r="F202" t="inlineStr">
        <is>
          <t>Яндекс.Путешествия [Чайковский]</t>
        </is>
      </c>
      <c r="G202" s="3">
        <f>ROUND(D202/(100-E202)*100,2)</f>
        <v/>
      </c>
      <c r="H202" s="3" t="n">
        <v>0</v>
      </c>
      <c r="I202" s="3">
        <f>ROUND(IF(ISNUMBER(AG202),AG202,G202)+H202,2)</f>
        <v/>
      </c>
      <c r="J202" s="2" t="inlineStr">
        <is>
          <t>Завтрак "Шведский стол"</t>
        </is>
      </c>
      <c r="K202" s="5" t="n">
        <v>46289.58333333334</v>
      </c>
      <c r="L202" t="n">
        <v>2</v>
      </c>
      <c r="M202" s="3">
        <f>I202/L202</f>
        <v/>
      </c>
      <c r="N202">
        <f>IF(M202&gt;=5100,"ставка","мин.ставка")</f>
        <v/>
      </c>
      <c r="O202" s="3">
        <f>ROUND(IF(N202="мин.ставка",L202*100,I202/102*2),2)</f>
        <v/>
      </c>
      <c r="P202" s="5" t="n">
        <v>46291.5</v>
      </c>
      <c r="Q202" t="inlineStr">
        <is>
          <t>TravelLine YAX</t>
        </is>
      </c>
      <c r="R202" s="2" t="inlineStr">
        <is>
          <t>СТАНДАРТНЫЙ ДВУХМЕСТНЫЙ НОМЕР</t>
        </is>
      </c>
      <c r="S202" t="n">
        <v>26</v>
      </c>
      <c r="T202" t="n">
        <v>1</v>
      </c>
      <c r="U202" t="inlineStr"/>
      <c r="V202" t="inlineStr">
        <is>
          <t>Тариф с завтраком</t>
        </is>
      </c>
      <c r="W202" t="n">
        <v>17025</v>
      </c>
      <c r="X202" s="3" t="n">
        <v>5675</v>
      </c>
      <c r="Y202" t="inlineStr">
        <is>
          <t>25%</t>
        </is>
      </c>
      <c r="Z202" t="inlineStr">
        <is>
          <t>2026-09-24, 2026-09-25</t>
        </is>
      </c>
      <c r="AA202" s="3" t="n">
        <v>17025</v>
      </c>
      <c r="AB202" t="inlineStr">
        <is>
          <t>Сошлось по ночным тарифам</t>
        </is>
      </c>
      <c r="AC202" s="2" t="inlineStr"/>
      <c r="AD202" t="n">
        <v>5675</v>
      </c>
      <c r="AE202" t="n">
        <v>0</v>
      </c>
      <c r="AF202" t="inlineStr">
        <is>
          <t>Скидка добавлена к налоговой базе</t>
        </is>
      </c>
      <c r="AG202" t="n">
        <v>22700</v>
      </c>
      <c r="AH202" t="n">
        <v>17025</v>
      </c>
      <c r="AI202" t="inlineStr">
        <is>
          <t>Полное проживание в выбранном периоде</t>
        </is>
      </c>
    </row>
    <row r="203">
      <c r="A203" t="inlineStr">
        <is>
          <t>20260818-8186-448584820</t>
        </is>
      </c>
      <c r="B203" t="n">
        <v>1</v>
      </c>
      <c r="C203" s="2" t="inlineStr">
        <is>
          <t>Анна Наумова, Кирилл Шокарев</t>
        </is>
      </c>
      <c r="D203" s="3" t="n">
        <v>8415</v>
      </c>
      <c r="E203" s="4" t="n">
        <v>15</v>
      </c>
      <c r="F203" t="inlineStr">
        <is>
          <t>ООО Тинькофф Путешествия [Чайковский]</t>
        </is>
      </c>
      <c r="G203" s="3">
        <f>ROUND(D203/(100-E203)*100,2)</f>
        <v/>
      </c>
      <c r="H203" s="3" t="n">
        <v>0</v>
      </c>
      <c r="I203" s="3">
        <f>ROUND(IF(ISNUMBER(AG203),AG203,G203)+H203,2)</f>
        <v/>
      </c>
      <c r="J203" s="2" t="inlineStr">
        <is>
          <t>Завтрак "Шведский стол"</t>
        </is>
      </c>
      <c r="K203" s="5" t="n">
        <v>46252.58333333334</v>
      </c>
      <c r="L203" t="n">
        <v>1</v>
      </c>
      <c r="M203" s="3">
        <f>I203/L203</f>
        <v/>
      </c>
      <c r="N203">
        <f>IF(M203&gt;=5100,"ставка","мин.ставка")</f>
        <v/>
      </c>
      <c r="O203" s="3">
        <f>ROUND(IF(N203="мин.ставка",L203*100,I203/102*2),2)</f>
        <v/>
      </c>
      <c r="P203" s="5" t="n">
        <v>46253.5</v>
      </c>
      <c r="Q203" t="inlineStr">
        <is>
          <t>TravelLine TNK</t>
        </is>
      </c>
      <c r="R203" s="2" t="inlineStr">
        <is>
          <t>СТАНДАРТНЫЙ ДВУХМЕСТНЫЙ НОМЕР (МАНСАРДА)</t>
        </is>
      </c>
      <c r="S203" t="n">
        <v>45</v>
      </c>
      <c r="T203" t="n">
        <v>1</v>
      </c>
      <c r="U203" t="inlineStr"/>
      <c r="V203" t="inlineStr">
        <is>
          <t>Тариф с завтраком</t>
        </is>
      </c>
      <c r="W203" t="n">
        <v>8415</v>
      </c>
      <c r="X203" s="3" t="n">
        <v>1485</v>
      </c>
      <c r="Y203" t="inlineStr">
        <is>
          <t>15%</t>
        </is>
      </c>
      <c r="Z203" t="inlineStr">
        <is>
          <t>2026-08-18</t>
        </is>
      </c>
      <c r="AA203" s="3" t="n">
        <v>8415</v>
      </c>
      <c r="AB203" t="inlineStr">
        <is>
          <t>Сошлось по ночным тарифам</t>
        </is>
      </c>
      <c r="AC203" s="2" t="inlineStr"/>
      <c r="AD203" t="n">
        <v>1485</v>
      </c>
      <c r="AE203" t="n">
        <v>0</v>
      </c>
      <c r="AF203" t="inlineStr">
        <is>
          <t>Скидка добавлена к налоговой базе</t>
        </is>
      </c>
      <c r="AG203" t="n">
        <v>9900</v>
      </c>
      <c r="AH203" t="n">
        <v>8415</v>
      </c>
      <c r="AI203" t="inlineStr">
        <is>
          <t>Полное проживание в выбранном периоде</t>
        </is>
      </c>
    </row>
    <row r="204">
      <c r="A204" t="inlineStr">
        <is>
          <t>20260925-8186-464768138</t>
        </is>
      </c>
      <c r="B204" t="n">
        <v>1</v>
      </c>
      <c r="C204" s="2" t="inlineStr">
        <is>
          <t>Анна Новикова</t>
        </is>
      </c>
      <c r="D204" s="3" t="n">
        <v>6468</v>
      </c>
      <c r="E204" s="4" t="n">
        <v>16</v>
      </c>
      <c r="F204" t="inlineStr">
        <is>
          <t>ООО "БРОНИРОВАНИЕ ГОСТИНИЦ" (OSTROVOK) [Чайковский]</t>
        </is>
      </c>
      <c r="G204" s="3">
        <f>ROUND(D204/(100-E204)*100,2)</f>
        <v/>
      </c>
      <c r="H204" s="3" t="n">
        <v>0</v>
      </c>
      <c r="I204" s="3">
        <f>ROUND(IF(ISNUMBER(AG204),AG204,G204)+H204,2)</f>
        <v/>
      </c>
      <c r="J204" s="2" t="inlineStr">
        <is>
          <t>Завтрак "Шведский стол"</t>
        </is>
      </c>
      <c r="K204" s="5" t="n">
        <v>46290.58333333334</v>
      </c>
      <c r="L204" t="n">
        <v>1</v>
      </c>
      <c r="M204" s="3">
        <f>I204/L204</f>
        <v/>
      </c>
      <c r="N204">
        <f>IF(M204&gt;=5100,"ставка","мин.ставка")</f>
        <v/>
      </c>
      <c r="O204" s="3">
        <f>ROUND(IF(N204="мин.ставка",L204*100,I204/102*2),2)</f>
        <v/>
      </c>
      <c r="P204" s="5" t="n">
        <v>46291.5</v>
      </c>
      <c r="Q204" t="inlineStr">
        <is>
          <t>TravelLine OTK</t>
        </is>
      </c>
      <c r="R204" s="2" t="inlineStr">
        <is>
          <t>СТАНДАРТНЫЙ ОДНОМЕСТНЫЙ НОМЕР</t>
        </is>
      </c>
      <c r="S204" t="n">
        <v>24</v>
      </c>
      <c r="T204" t="n">
        <v>1</v>
      </c>
      <c r="U204" t="inlineStr"/>
      <c r="V204" t="inlineStr">
        <is>
          <t>Тариф с завтраком</t>
        </is>
      </c>
      <c r="W204" t="n">
        <v>6468</v>
      </c>
      <c r="X204" s="3" t="n">
        <v>1232</v>
      </c>
      <c r="Y204" t="inlineStr">
        <is>
          <t>16%</t>
        </is>
      </c>
      <c r="Z204" t="inlineStr">
        <is>
          <t>2026-09-25</t>
        </is>
      </c>
      <c r="AA204" s="3" t="n">
        <v>6468</v>
      </c>
      <c r="AB204" t="inlineStr">
        <is>
          <t>Сошлось по ночным тарифам</t>
        </is>
      </c>
      <c r="AC204" s="2" t="inlineStr"/>
      <c r="AD204" t="n">
        <v>1232</v>
      </c>
      <c r="AE204" t="n">
        <v>0</v>
      </c>
      <c r="AF204" t="inlineStr">
        <is>
          <t>Скидка добавлена к налоговой базе</t>
        </is>
      </c>
      <c r="AG204" t="n">
        <v>7700</v>
      </c>
      <c r="AH204" t="n">
        <v>6468</v>
      </c>
      <c r="AI204" t="inlineStr">
        <is>
          <t>Полное проживание в выбранном периоде</t>
        </is>
      </c>
    </row>
    <row r="205">
      <c r="A205" t="inlineStr">
        <is>
          <t>20260730-8186-451556670</t>
        </is>
      </c>
      <c r="B205" t="n">
        <v>1</v>
      </c>
      <c r="C205" s="2" t="inlineStr">
        <is>
          <t>Анна Огородникова</t>
        </is>
      </c>
      <c r="D205" s="3" t="n">
        <v>22348.15</v>
      </c>
      <c r="E205" s="4" t="n">
        <v>4</v>
      </c>
      <c r="F205" t="inlineStr">
        <is>
          <t>TravelLine Booking Engine [Чайковский]</t>
        </is>
      </c>
      <c r="G205" s="3">
        <f>ROUND(D205/(100-E205)*100,2)</f>
        <v/>
      </c>
      <c r="H205" s="3" t="n">
        <v>0</v>
      </c>
      <c r="I205" s="3">
        <f>ROUND(IF(ISNUMBER(AG205),AG205,G205)+H205,2)</f>
        <v/>
      </c>
      <c r="J205" s="2" t="inlineStr">
        <is>
          <t>Завтрак "Шведский стол"</t>
        </is>
      </c>
      <c r="K205" s="5" t="n">
        <v>46233.58333333334</v>
      </c>
      <c r="L205" t="n">
        <v>2</v>
      </c>
      <c r="M205" s="3">
        <f>I205/L205</f>
        <v/>
      </c>
      <c r="N205">
        <f>IF(M205&gt;=5100,"ставка","мин.ставка")</f>
        <v/>
      </c>
      <c r="O205" s="3">
        <f>ROUND(IF(N205="мин.ставка",L205*100,I205/102*2),2)</f>
        <v/>
      </c>
      <c r="P205" s="5" t="n">
        <v>46235.5</v>
      </c>
      <c r="Q205" t="inlineStr">
        <is>
          <t>TravelLine сайт</t>
        </is>
      </c>
      <c r="R205" s="2" t="inlineStr">
        <is>
          <t>СТАНДАРТНЫЙ ДВУХМЕСТНЫЙ НОМЕР</t>
        </is>
      </c>
      <c r="S205" t="n">
        <v>44</v>
      </c>
      <c r="T205" t="n">
        <v>1</v>
      </c>
      <c r="U205" t="inlineStr"/>
      <c r="V205" t="inlineStr">
        <is>
          <t>Тариф с завтраком</t>
        </is>
      </c>
      <c r="W205" t="n">
        <v>22348.15</v>
      </c>
      <c r="X205" s="3" t="n">
        <v>351.85</v>
      </c>
      <c r="Y205" t="inlineStr">
        <is>
          <t>3.1%</t>
        </is>
      </c>
      <c r="Z205" t="inlineStr">
        <is>
          <t>2026-07-30</t>
        </is>
      </c>
      <c r="AA205" s="3" t="n">
        <v>22348.15</v>
      </c>
      <c r="AB205" t="inlineStr">
        <is>
          <t>Сошлось по ночным тарифам</t>
        </is>
      </c>
      <c r="AC205" s="2" t="inlineStr"/>
      <c r="AD205" t="n">
        <v>351.85</v>
      </c>
      <c r="AE205" t="n">
        <v>0</v>
      </c>
      <c r="AF205" t="inlineStr">
        <is>
          <t>Скидка добавлена к налоговой базе</t>
        </is>
      </c>
      <c r="AG205" t="n">
        <v>22700</v>
      </c>
      <c r="AH205" t="n">
        <v>22348.15</v>
      </c>
      <c r="AI205" t="inlineStr">
        <is>
          <t>Полное проживание в выбранном периоде</t>
        </is>
      </c>
    </row>
    <row r="206">
      <c r="A206" t="inlineStr">
        <is>
          <t>20260813-8186-449476892</t>
        </is>
      </c>
      <c r="B206" t="n">
        <v>1</v>
      </c>
      <c r="C206" s="2" t="inlineStr">
        <is>
          <t>Анна Поздеева</t>
        </is>
      </c>
      <c r="D206" s="3" t="n">
        <v>24640</v>
      </c>
      <c r="E206" s="4" t="n">
        <v>18</v>
      </c>
      <c r="F206" t="inlineStr">
        <is>
          <t>Яндекс.Путешествия [Чайковский]</t>
        </is>
      </c>
      <c r="G206" s="3">
        <f>ROUND(D206/(100-E206)*100,2)</f>
        <v/>
      </c>
      <c r="H206" s="3" t="n">
        <v>0</v>
      </c>
      <c r="I206" s="3">
        <f>ROUND(IF(ISNUMBER(AG206),AG206,G206)+H206,2)</f>
        <v/>
      </c>
      <c r="J206" s="2" t="inlineStr">
        <is>
          <t>Завтрак "Шведский стол"</t>
        </is>
      </c>
      <c r="K206" s="5" t="n">
        <v>46247.58333333334</v>
      </c>
      <c r="L206" t="n">
        <v>4</v>
      </c>
      <c r="M206" s="3">
        <f>I206/L206</f>
        <v/>
      </c>
      <c r="N206">
        <f>IF(M206&gt;=5100,"ставка","мин.ставка")</f>
        <v/>
      </c>
      <c r="O206" s="3">
        <f>ROUND(IF(N206="мин.ставка",L206*100,I206/102*2),2)</f>
        <v/>
      </c>
      <c r="P206" s="5" t="n">
        <v>46251.5</v>
      </c>
      <c r="Q206" t="inlineStr">
        <is>
          <t>TravelLine YAX</t>
        </is>
      </c>
      <c r="R206" s="2" t="inlineStr">
        <is>
          <t>СТАНДАРТНЫЙ ОДНОМЕСТНЫЙ НОМЕР</t>
        </is>
      </c>
      <c r="S206" t="n">
        <v>34</v>
      </c>
      <c r="T206" t="n">
        <v>1</v>
      </c>
      <c r="U206" t="inlineStr"/>
      <c r="V206" t="inlineStr">
        <is>
          <t>Тариф с завтраком</t>
        </is>
      </c>
      <c r="W206" t="n">
        <v>24640</v>
      </c>
      <c r="X206" s="3" t="n">
        <v>6160</v>
      </c>
      <c r="Y206" t="inlineStr">
        <is>
          <t>20%</t>
        </is>
      </c>
      <c r="Z206" t="inlineStr">
        <is>
          <t>2026-08-13, 2026-08-14, 2026-08-15, 2026-08-16</t>
        </is>
      </c>
      <c r="AA206" s="3" t="n">
        <v>24640</v>
      </c>
      <c r="AB206" t="inlineStr">
        <is>
          <t>Сошлось по ночным тарифам</t>
        </is>
      </c>
      <c r="AC206" s="2" t="inlineStr"/>
      <c r="AD206" t="n">
        <v>6160</v>
      </c>
      <c r="AE206" t="n">
        <v>0</v>
      </c>
      <c r="AF206" t="inlineStr">
        <is>
          <t>Скидка добавлена к налоговой базе</t>
        </is>
      </c>
      <c r="AG206" t="n">
        <v>30800</v>
      </c>
      <c r="AH206" t="n">
        <v>24640</v>
      </c>
      <c r="AI206" t="inlineStr">
        <is>
          <t>Полное проживание в выбранном периоде</t>
        </is>
      </c>
    </row>
    <row r="207">
      <c r="A207" t="inlineStr">
        <is>
          <t>20260921-8186-467014328</t>
        </is>
      </c>
      <c r="B207" t="n">
        <v>1</v>
      </c>
      <c r="C207" s="2" t="inlineStr">
        <is>
          <t>Анна Резинько, Михаил Резинько</t>
        </is>
      </c>
      <c r="D207" s="3" t="n">
        <v>11550</v>
      </c>
      <c r="E207" s="4" t="n">
        <v>18</v>
      </c>
      <c r="F207" t="inlineStr">
        <is>
          <t>Яндекс.Путешествия [Чайковский]</t>
        </is>
      </c>
      <c r="G207" s="3">
        <f>ROUND(D207/(100-E207)*100,2)</f>
        <v/>
      </c>
      <c r="H207" s="3" t="n">
        <v>0</v>
      </c>
      <c r="I207" s="3">
        <f>ROUND(IF(ISNUMBER(AG207),AG207,G207)+H207,2)</f>
        <v/>
      </c>
      <c r="J207" s="2" t="inlineStr">
        <is>
          <t>Завтрак "Шведский стол"</t>
        </is>
      </c>
      <c r="K207" s="5" t="n">
        <v>46286.58333333334</v>
      </c>
      <c r="L207" t="n">
        <v>1</v>
      </c>
      <c r="M207" s="3">
        <f>I207/L207</f>
        <v/>
      </c>
      <c r="N207">
        <f>IF(M207&gt;=5100,"ставка","мин.ставка")</f>
        <v/>
      </c>
      <c r="O207" s="3">
        <f>ROUND(IF(N207="мин.ставка",L207*100,I207/102*2),2)</f>
        <v/>
      </c>
      <c r="P207" s="5" t="n">
        <v>46287.5</v>
      </c>
      <c r="Q207" t="inlineStr">
        <is>
          <t>TravelLine YAX</t>
        </is>
      </c>
      <c r="R207" s="2" t="inlineStr">
        <is>
          <t>УЛУЧШЕННЫЙ ДВУХМЕСТНЫЙ НОМЕР</t>
        </is>
      </c>
      <c r="S207" t="n">
        <v>31</v>
      </c>
      <c r="T207" t="n">
        <v>1</v>
      </c>
      <c r="U207" t="inlineStr"/>
      <c r="V207" t="inlineStr">
        <is>
          <t>Тариф с завтраком</t>
        </is>
      </c>
      <c r="W207" t="n">
        <v>11550</v>
      </c>
      <c r="X207" s="3" t="n">
        <v>3850</v>
      </c>
      <c r="Y207" t="inlineStr">
        <is>
          <t>25%</t>
        </is>
      </c>
      <c r="Z207" t="inlineStr">
        <is>
          <t>2026-09-21</t>
        </is>
      </c>
      <c r="AA207" s="3" t="n">
        <v>11550</v>
      </c>
      <c r="AB207" t="inlineStr">
        <is>
          <t>Сошлось по ночным тарифам</t>
        </is>
      </c>
      <c r="AC207" s="2" t="inlineStr"/>
      <c r="AD207" t="n">
        <v>3850</v>
      </c>
      <c r="AE207" t="n">
        <v>0</v>
      </c>
      <c r="AF207" t="inlineStr">
        <is>
          <t>Скидка добавлена к налоговой базе</t>
        </is>
      </c>
      <c r="AG207" t="n">
        <v>15400</v>
      </c>
      <c r="AH207" t="n">
        <v>11550</v>
      </c>
      <c r="AI207" t="inlineStr">
        <is>
          <t>Полное проживание в выбранном периоде</t>
        </is>
      </c>
    </row>
    <row r="208">
      <c r="A208" t="inlineStr">
        <is>
          <t>20260723-8186-449951672</t>
        </is>
      </c>
      <c r="B208" t="n">
        <v>1</v>
      </c>
      <c r="C208" s="2" t="inlineStr">
        <is>
          <t>Анна Семашко, Кирилл Михайлов</t>
        </is>
      </c>
      <c r="D208" s="3" t="n">
        <v>49252.5</v>
      </c>
      <c r="E208" s="4" t="n">
        <v>4</v>
      </c>
      <c r="F208" t="inlineStr">
        <is>
          <t>TravelLine Booking Engine [Чайковский]</t>
        </is>
      </c>
      <c r="G208" s="3">
        <f>ROUND(D208/(100-E208)*100,2)</f>
        <v/>
      </c>
      <c r="H208" s="3" t="n">
        <v>3560</v>
      </c>
      <c r="I208" s="3">
        <f>ROUND(IF(ISNUMBER(AG208),AG208,G208)+H208,2)</f>
        <v/>
      </c>
      <c r="J208" s="2" t="inlineStr">
        <is>
          <t>продление номера — 3 560,00 ₽; Завтрак "Шведский стол"</t>
        </is>
      </c>
      <c r="K208" s="5" t="n">
        <v>46226.58333333334</v>
      </c>
      <c r="L208" t="n">
        <v>3</v>
      </c>
      <c r="M208" s="3">
        <f>I208/L208</f>
        <v/>
      </c>
      <c r="N208">
        <f>IF(M208&gt;=5100,"ставка","мин.ставка")</f>
        <v/>
      </c>
      <c r="O208" s="3">
        <f>ROUND(IF(N208="мин.ставка",L208*100,I208/102*2),2)</f>
        <v/>
      </c>
      <c r="P208" s="5" t="n">
        <v>46229.5</v>
      </c>
      <c r="Q208" t="inlineStr">
        <is>
          <t>TravelLine сайт</t>
        </is>
      </c>
      <c r="R208" s="2" t="inlineStr">
        <is>
          <t>ПОЛУЛЮКС</t>
        </is>
      </c>
      <c r="S208" t="n">
        <v>11</v>
      </c>
      <c r="T208" t="n">
        <v>1</v>
      </c>
      <c r="U208" t="inlineStr"/>
      <c r="V208" t="inlineStr">
        <is>
          <t>Тариф с завтраком</t>
        </is>
      </c>
      <c r="W208" t="n">
        <v>52812.5</v>
      </c>
      <c r="X208" s="3" t="n">
        <v>247.5</v>
      </c>
      <c r="Y208" t="inlineStr">
        <is>
          <t>1.5%</t>
        </is>
      </c>
      <c r="Z208" t="inlineStr">
        <is>
          <t>2026-07-23</t>
        </is>
      </c>
      <c r="AA208" s="3" t="n">
        <v>49252.5</v>
      </c>
      <c r="AB208" t="inlineStr">
        <is>
          <t>Сошлось с услугами</t>
        </is>
      </c>
      <c r="AC208" s="2" t="inlineStr"/>
      <c r="AD208" t="n">
        <v>247.5</v>
      </c>
      <c r="AE208" t="n">
        <v>0</v>
      </c>
      <c r="AF208" t="inlineStr">
        <is>
          <t>Скидка добавлена к налоговой базе</t>
        </is>
      </c>
      <c r="AG208" t="n">
        <v>49500</v>
      </c>
      <c r="AH208" t="n">
        <v>49252.5</v>
      </c>
      <c r="AI208" t="inlineStr">
        <is>
          <t>Полное проживание в выбранном периоде</t>
        </is>
      </c>
    </row>
    <row r="209">
      <c r="A209" t="inlineStr">
        <is>
          <t>20260907-8186-434979957</t>
        </is>
      </c>
      <c r="B209" t="n">
        <v>1</v>
      </c>
      <c r="C209" s="2" t="inlineStr">
        <is>
          <t>Анна Стом</t>
        </is>
      </c>
      <c r="D209" s="3" t="n">
        <v>31600</v>
      </c>
      <c r="E209" s="4" t="n">
        <v>0</v>
      </c>
      <c r="F209" t="inlineStr">
        <is>
          <t>Прямые бронирования (стойка) [Чайковский]</t>
        </is>
      </c>
      <c r="G209" s="3">
        <f>ROUND(D209/(100-E209)*100,2)</f>
        <v/>
      </c>
      <c r="H209" s="3" t="n">
        <v>0</v>
      </c>
      <c r="I209" s="3">
        <f>ROUND(IF(ISNUMBER(AG209),AG209,G209)+H209,2)</f>
        <v/>
      </c>
      <c r="J209" s="2" t="inlineStr">
        <is>
          <t>Завтрак "Шведский стол"</t>
        </is>
      </c>
      <c r="K209" s="5" t="n">
        <v>46272.58333333334</v>
      </c>
      <c r="L209" t="n">
        <v>4</v>
      </c>
      <c r="M209" s="3">
        <f>I209/L209</f>
        <v/>
      </c>
      <c r="N209">
        <f>IF(M209&gt;=5100,"ставка","мин.ставка")</f>
        <v/>
      </c>
      <c r="O209" s="3">
        <f>ROUND(IF(N209="мин.ставка",L209*100,I209/102*2),2)</f>
        <v/>
      </c>
      <c r="P209" s="5" t="n">
        <v>46276.5</v>
      </c>
      <c r="Q209" t="inlineStr">
        <is>
          <t>TravelLine ресепшен</t>
        </is>
      </c>
      <c r="R209" s="2" t="inlineStr">
        <is>
          <t>СТАНДАРТНЫЙ ДВУХМЕСТНЫЙ НОМЕР</t>
        </is>
      </c>
      <c r="S209" t="n">
        <v>44</v>
      </c>
      <c r="T209" t="n">
        <v>1</v>
      </c>
      <c r="U209" t="inlineStr"/>
      <c r="V209" t="inlineStr">
        <is>
          <t>Тариф с завтраком</t>
        </is>
      </c>
      <c r="W209" t="n">
        <v>31600</v>
      </c>
      <c r="X209" s="3" t="n">
        <v>0</v>
      </c>
      <c r="Y209" t="inlineStr"/>
      <c r="Z209" t="inlineStr"/>
      <c r="AA209" s="3" t="n">
        <v>31600</v>
      </c>
      <c r="AB209" t="inlineStr">
        <is>
          <t>Сошлось по ночным тарифам</t>
        </is>
      </c>
      <c r="AC209" s="2" t="inlineStr"/>
      <c r="AD209" t="n">
        <v>0</v>
      </c>
      <c r="AE209" t="n">
        <v>0</v>
      </c>
      <c r="AF209" t="inlineStr">
        <is>
          <t>Скидки нет</t>
        </is>
      </c>
      <c r="AG209" t="n">
        <v>31600</v>
      </c>
      <c r="AH209" t="n">
        <v>31600</v>
      </c>
      <c r="AI209" t="inlineStr">
        <is>
          <t>Полное проживание в выбранном периоде</t>
        </is>
      </c>
    </row>
    <row r="210">
      <c r="A210" t="inlineStr">
        <is>
          <t>20260701-8186-445465297</t>
        </is>
      </c>
      <c r="B210" t="n">
        <v>1</v>
      </c>
      <c r="C210" s="2" t="inlineStr">
        <is>
          <t>АННА ТЕЛЕГИНА</t>
        </is>
      </c>
      <c r="D210" s="3" t="n">
        <v>23200</v>
      </c>
      <c r="E210" s="4" t="n">
        <v>20</v>
      </c>
      <c r="F210" t="inlineStr">
        <is>
          <t>ООО "ХБ-ПРО" [Чайковский]</t>
        </is>
      </c>
      <c r="G210" s="3">
        <f>ROUND(D210/(100-E210)*100,2)</f>
        <v/>
      </c>
      <c r="H210" s="3" t="n">
        <v>0</v>
      </c>
      <c r="I210" s="3">
        <f>ROUND(IF(ISNUMBER(AG210),AG210,G210)+H210,2)</f>
        <v/>
      </c>
      <c r="J210" s="2" t="inlineStr">
        <is>
          <t>Завтрак "Шведский стол"</t>
        </is>
      </c>
      <c r="K210" s="5" t="n">
        <v>46204.58333333334</v>
      </c>
      <c r="L210" t="n">
        <v>2</v>
      </c>
      <c r="M210" s="3">
        <f>I210/L210</f>
        <v/>
      </c>
      <c r="N210">
        <f>IF(M210&gt;=5100,"ставка","мин.ставка")</f>
        <v/>
      </c>
      <c r="O210" s="3">
        <f>ROUND(IF(N210="мин.ставка",L210*100,I210/102*2),2)</f>
        <v/>
      </c>
      <c r="P210" s="5" t="n">
        <v>46206.5</v>
      </c>
      <c r="Q210" t="inlineStr">
        <is>
          <t>TravelLine UTS</t>
        </is>
      </c>
      <c r="R210" s="2" t="inlineStr">
        <is>
          <t>ПОЛУЛЮКС</t>
        </is>
      </c>
      <c r="S210" t="n">
        <v>35</v>
      </c>
      <c r="T210" t="n">
        <v>1</v>
      </c>
      <c r="U210" t="inlineStr"/>
      <c r="V210" t="inlineStr">
        <is>
          <t>Тариф с завтраком</t>
        </is>
      </c>
      <c r="W210" t="n">
        <v>23200</v>
      </c>
      <c r="X210" s="3" t="n">
        <v>0</v>
      </c>
      <c r="Y210" t="inlineStr"/>
      <c r="Z210" t="inlineStr"/>
      <c r="AA210" s="3" t="n">
        <v>23200</v>
      </c>
      <c r="AB210" t="inlineStr">
        <is>
          <t>Сошлось по ночным тарифам</t>
        </is>
      </c>
      <c r="AC210" s="2" t="inlineStr"/>
      <c r="AD210" t="n">
        <v>0</v>
      </c>
      <c r="AE210" t="n">
        <v>0</v>
      </c>
      <c r="AF210" t="inlineStr">
        <is>
          <t>Скидки нет</t>
        </is>
      </c>
      <c r="AG210" t="n">
        <v>23200</v>
      </c>
      <c r="AH210" t="n">
        <v>23200</v>
      </c>
      <c r="AI210" t="inlineStr">
        <is>
          <t>Полное проживание в выбранном периоде</t>
        </is>
      </c>
    </row>
    <row r="211">
      <c r="A211" t="inlineStr">
        <is>
          <t>20260817-8186-436203098</t>
        </is>
      </c>
      <c r="B211" t="n">
        <v>1</v>
      </c>
      <c r="C211" s="2" t="inlineStr">
        <is>
          <t>Анна Третьякова</t>
        </is>
      </c>
      <c r="D211" s="3" t="n">
        <v>25245</v>
      </c>
      <c r="E211" s="4" t="n">
        <v>15</v>
      </c>
      <c r="F211" t="inlineStr">
        <is>
          <t>ООО Тинькофф Путешествия [Чайковский]</t>
        </is>
      </c>
      <c r="G211" s="3">
        <f>ROUND(D211/(100-E211)*100,2)</f>
        <v/>
      </c>
      <c r="H211" s="3" t="n">
        <v>4500</v>
      </c>
      <c r="I211" s="3">
        <f>ROUND(IF(ISNUMBER(AG211),AG211,G211)+H211,2)</f>
        <v/>
      </c>
      <c r="J211" s="2" t="inlineStr">
        <is>
          <t>продление номера — 4 500,00 ₽; Завтрак "Шведский стол"</t>
        </is>
      </c>
      <c r="K211" s="5" t="n">
        <v>46251.58333333334</v>
      </c>
      <c r="L211" t="n">
        <v>3</v>
      </c>
      <c r="M211" s="3">
        <f>I211/L211</f>
        <v/>
      </c>
      <c r="N211">
        <f>IF(M211&gt;=5100,"ставка","мин.ставка")</f>
        <v/>
      </c>
      <c r="O211" s="3">
        <f>ROUND(IF(N211="мин.ставка",L211*100,I211/102*2),2)</f>
        <v/>
      </c>
      <c r="P211" s="5" t="n">
        <v>46254.5</v>
      </c>
      <c r="Q211" t="inlineStr">
        <is>
          <t>TravelLine TNK</t>
        </is>
      </c>
      <c r="R211" s="2" t="inlineStr">
        <is>
          <t>СТАНДАРТНЫЙ ДВУХМЕСТНЫЙ НОМЕР (МАНСАРДА)</t>
        </is>
      </c>
      <c r="S211" t="n">
        <v>41</v>
      </c>
      <c r="T211" t="n">
        <v>1</v>
      </c>
      <c r="U211" t="inlineStr"/>
      <c r="V211" t="inlineStr">
        <is>
          <t>Тариф с завтраком</t>
        </is>
      </c>
      <c r="W211" t="n">
        <v>29745</v>
      </c>
      <c r="X211" s="3" t="n">
        <v>4455</v>
      </c>
      <c r="Y211" t="inlineStr">
        <is>
          <t>15%</t>
        </is>
      </c>
      <c r="Z211" t="inlineStr">
        <is>
          <t>2026-08-17, 2026-08-18, 2026-08-19</t>
        </is>
      </c>
      <c r="AA211" s="3" t="n">
        <v>25245</v>
      </c>
      <c r="AB211" t="inlineStr">
        <is>
          <t>Сошлось с услугами</t>
        </is>
      </c>
      <c r="AC211" s="2" t="inlineStr"/>
      <c r="AD211" t="n">
        <v>4455</v>
      </c>
      <c r="AE211" t="n">
        <v>0</v>
      </c>
      <c r="AF211" t="inlineStr">
        <is>
          <t>Скидка добавлена к налоговой базе</t>
        </is>
      </c>
      <c r="AG211" t="n">
        <v>29700</v>
      </c>
      <c r="AH211" t="n">
        <v>25245</v>
      </c>
      <c r="AI211" t="inlineStr">
        <is>
          <t>Полное проживание в выбранном периоде</t>
        </is>
      </c>
    </row>
    <row r="212">
      <c r="A212" t="inlineStr">
        <is>
          <t>20260831-8186-454299326</t>
        </is>
      </c>
      <c r="B212" t="n">
        <v>1</v>
      </c>
      <c r="C212" s="2" t="inlineStr">
        <is>
          <t>Анна Цыркова</t>
        </is>
      </c>
      <c r="D212" s="3" t="n">
        <v>12320</v>
      </c>
      <c r="E212" s="4" t="n">
        <v>18</v>
      </c>
      <c r="F212" t="inlineStr">
        <is>
          <t>Яндекс.Путешествия [Чайковский]</t>
        </is>
      </c>
      <c r="G212" s="3">
        <f>ROUND(D212/(100-E212)*100,2)</f>
        <v/>
      </c>
      <c r="H212" s="3" t="n">
        <v>0</v>
      </c>
      <c r="I212" s="3">
        <f>ROUND(IF(ISNUMBER(AG212),AG212,G212)+H212,2)</f>
        <v/>
      </c>
      <c r="J212" s="2" t="inlineStr">
        <is>
          <t>Завтрак "Шведский стол"</t>
        </is>
      </c>
      <c r="K212" s="5" t="n">
        <v>46265.58333333334</v>
      </c>
      <c r="L212" t="n">
        <v>2</v>
      </c>
      <c r="M212" s="3">
        <f>I212/L212</f>
        <v/>
      </c>
      <c r="N212">
        <f>IF(M212&gt;=5100,"ставка","мин.ставка")</f>
        <v/>
      </c>
      <c r="O212" s="3">
        <f>ROUND(IF(N212="мин.ставка",L212*100,I212/102*2),2)</f>
        <v/>
      </c>
      <c r="P212" s="5" t="n">
        <v>46267.5</v>
      </c>
      <c r="Q212" t="inlineStr">
        <is>
          <t>TravelLine YAX</t>
        </is>
      </c>
      <c r="R212" s="2" t="inlineStr">
        <is>
          <t>СТАНДАРТНЫЙ ОДНОМЕСТНЫЙ НОМЕР</t>
        </is>
      </c>
      <c r="S212" t="n">
        <v>24</v>
      </c>
      <c r="T212" t="n">
        <v>1</v>
      </c>
      <c r="U212" t="inlineStr"/>
      <c r="V212" t="inlineStr">
        <is>
          <t>Тариф с завтраком</t>
        </is>
      </c>
      <c r="W212" t="n">
        <v>12320</v>
      </c>
      <c r="X212" s="3" t="n">
        <v>3080</v>
      </c>
      <c r="Y212" t="inlineStr">
        <is>
          <t>20%</t>
        </is>
      </c>
      <c r="Z212" t="inlineStr">
        <is>
          <t>2026-08-31, 2026-09-01</t>
        </is>
      </c>
      <c r="AA212" s="3" t="n">
        <v>12320</v>
      </c>
      <c r="AB212" t="inlineStr">
        <is>
          <t>Сошлось по ночным тарифам</t>
        </is>
      </c>
      <c r="AC212" s="2" t="inlineStr"/>
      <c r="AD212" t="n">
        <v>3080</v>
      </c>
      <c r="AE212" t="n">
        <v>0</v>
      </c>
      <c r="AF212" t="inlineStr">
        <is>
          <t>Скидка добавлена к налоговой базе</t>
        </is>
      </c>
      <c r="AG212" t="n">
        <v>15400</v>
      </c>
      <c r="AH212" t="n">
        <v>12320</v>
      </c>
      <c r="AI212" t="inlineStr">
        <is>
          <t>Полное проживание в выбранном периоде</t>
        </is>
      </c>
    </row>
    <row r="213">
      <c r="A213" t="inlineStr">
        <is>
          <t>20260727-8186-452904323</t>
        </is>
      </c>
      <c r="B213" t="n">
        <v>1</v>
      </c>
      <c r="C213" s="2" t="inlineStr">
        <is>
          <t>Анна Чернова</t>
        </is>
      </c>
      <c r="D213" s="3" t="n">
        <v>6320</v>
      </c>
      <c r="E213" s="4" t="n">
        <v>18</v>
      </c>
      <c r="F213" t="inlineStr">
        <is>
          <t>Яндекс.Путешествия [Чайковский]</t>
        </is>
      </c>
      <c r="G213" s="3">
        <f>ROUND(D213/(100-E213)*100,2)</f>
        <v/>
      </c>
      <c r="H213" s="3" t="n">
        <v>0</v>
      </c>
      <c r="I213" s="3">
        <f>ROUND(IF(ISNUMBER(AG213),AG213,G213)+H213,2)</f>
        <v/>
      </c>
      <c r="J213" s="2" t="inlineStr">
        <is>
          <t>Завтрак "Шведский стол"</t>
        </is>
      </c>
      <c r="K213" s="5" t="n">
        <v>46230.58333333334</v>
      </c>
      <c r="L213" t="n">
        <v>1</v>
      </c>
      <c r="M213" s="3">
        <f>I213/L213</f>
        <v/>
      </c>
      <c r="N213">
        <f>IF(M213&gt;=5100,"ставка","мин.ставка")</f>
        <v/>
      </c>
      <c r="O213" s="3">
        <f>ROUND(IF(N213="мин.ставка",L213*100,I213/102*2),2)</f>
        <v/>
      </c>
      <c r="P213" s="5" t="n">
        <v>46231.5</v>
      </c>
      <c r="Q213" t="inlineStr">
        <is>
          <t>TravelLine YAX</t>
        </is>
      </c>
      <c r="R213" s="2" t="inlineStr">
        <is>
          <t>СТАНДАРТНЫЙ ДВУХМЕСТНЫЙ НОМЕР (МАНСАРДА)</t>
        </is>
      </c>
      <c r="S213" t="n">
        <v>47</v>
      </c>
      <c r="T213" t="n">
        <v>1</v>
      </c>
      <c r="U213" t="inlineStr"/>
      <c r="V213" t="inlineStr">
        <is>
          <t>Тариф с завтраком</t>
        </is>
      </c>
      <c r="W213" t="n">
        <v>6320</v>
      </c>
      <c r="X213" s="3" t="n">
        <v>1580</v>
      </c>
      <c r="Y213" t="inlineStr">
        <is>
          <t>20%</t>
        </is>
      </c>
      <c r="Z213" t="inlineStr">
        <is>
          <t>2026-07-27</t>
        </is>
      </c>
      <c r="AA213" s="3" t="n">
        <v>6320</v>
      </c>
      <c r="AB213" t="inlineStr">
        <is>
          <t>Сошлось по ночным тарифам</t>
        </is>
      </c>
      <c r="AC213" s="2" t="inlineStr"/>
      <c r="AD213" t="n">
        <v>1580</v>
      </c>
      <c r="AE213" t="n">
        <v>0</v>
      </c>
      <c r="AF213" t="inlineStr">
        <is>
          <t>Скидка добавлена к налоговой базе</t>
        </is>
      </c>
      <c r="AG213" t="n">
        <v>7900</v>
      </c>
      <c r="AH213" t="n">
        <v>6320</v>
      </c>
      <c r="AI213" t="inlineStr">
        <is>
          <t>Полное проживание в выбранном периоде</t>
        </is>
      </c>
    </row>
    <row r="214">
      <c r="A214" t="inlineStr">
        <is>
          <t>20260902-8186-463008969</t>
        </is>
      </c>
      <c r="B214" t="n">
        <v>1</v>
      </c>
      <c r="C214" s="2" t="inlineStr">
        <is>
          <t>АННА ЧЕРНОВА</t>
        </is>
      </c>
      <c r="D214" s="3" t="n">
        <v>9960</v>
      </c>
      <c r="E214" s="4" t="n">
        <v>18</v>
      </c>
      <c r="F214" t="inlineStr">
        <is>
          <t>Яндекс.Путешествия [Чайковский]</t>
        </is>
      </c>
      <c r="G214" s="3">
        <f>ROUND(D214/(100-E214)*100,2)</f>
        <v/>
      </c>
      <c r="H214" s="3" t="n">
        <v>0</v>
      </c>
      <c r="I214" s="3">
        <f>ROUND(IF(ISNUMBER(AG214),AG214,G214)+H214,2)</f>
        <v/>
      </c>
      <c r="J214" s="2" t="inlineStr">
        <is>
          <t>Завтрак "Шведский стол"</t>
        </is>
      </c>
      <c r="K214" s="5" t="n">
        <v>46267.58333333334</v>
      </c>
      <c r="L214" t="n">
        <v>1</v>
      </c>
      <c r="M214" s="3">
        <f>I214/L214</f>
        <v/>
      </c>
      <c r="N214">
        <f>IF(M214&gt;=5100,"ставка","мин.ставка")</f>
        <v/>
      </c>
      <c r="O214" s="3">
        <f>ROUND(IF(N214="мин.ставка",L214*100,I214/102*2),2)</f>
        <v/>
      </c>
      <c r="P214" s="5" t="n">
        <v>46268.5</v>
      </c>
      <c r="Q214" t="inlineStr">
        <is>
          <t>TravelLine YAX</t>
        </is>
      </c>
      <c r="R214" s="2" t="inlineStr">
        <is>
          <t>СЕМЕЙНЫЙ НОМЕР КАТЕГОРИИ "СТАНДАРТ" ВТОРОЙ КОРПУС</t>
        </is>
      </c>
      <c r="S214" t="n">
        <v>51</v>
      </c>
      <c r="T214" t="n">
        <v>2</v>
      </c>
      <c r="U214" t="inlineStr"/>
      <c r="V214" t="inlineStr">
        <is>
          <t>Тариф с завтраком</t>
        </is>
      </c>
      <c r="W214" t="n">
        <v>9960</v>
      </c>
      <c r="X214" s="3" t="n">
        <v>2490</v>
      </c>
      <c r="Y214" t="inlineStr">
        <is>
          <t>20%</t>
        </is>
      </c>
      <c r="Z214" t="inlineStr">
        <is>
          <t>2026-09-02</t>
        </is>
      </c>
      <c r="AA214" s="3" t="n">
        <v>9960</v>
      </c>
      <c r="AB214" t="inlineStr">
        <is>
          <t>Сошлось по ночным тарифам</t>
        </is>
      </c>
      <c r="AC214" s="2" t="inlineStr"/>
      <c r="AD214" t="n">
        <v>2490</v>
      </c>
      <c r="AE214" t="n">
        <v>0</v>
      </c>
      <c r="AF214" t="inlineStr">
        <is>
          <t>Скидка добавлена к налоговой базе</t>
        </is>
      </c>
      <c r="AG214" t="n">
        <v>12450</v>
      </c>
      <c r="AH214" t="n">
        <v>9960</v>
      </c>
      <c r="AI214" t="inlineStr">
        <is>
          <t>Полное проживание в выбранном периоде</t>
        </is>
      </c>
    </row>
    <row r="215">
      <c r="A215" t="inlineStr">
        <is>
          <t>20260929-8186-469009651</t>
        </is>
      </c>
      <c r="B215" t="n">
        <v>1</v>
      </c>
      <c r="C215" s="2" t="inlineStr">
        <is>
          <t>АННА ЧЕРНОВА</t>
        </is>
      </c>
      <c r="D215" s="3" t="n">
        <v>10050</v>
      </c>
      <c r="E215" s="4" t="n">
        <v>18</v>
      </c>
      <c r="F215" t="inlineStr">
        <is>
          <t>Яндекс.Путешествия [Чайковский]</t>
        </is>
      </c>
      <c r="G215" s="3">
        <f>ROUND(D215/(100-E215)*100,2)</f>
        <v/>
      </c>
      <c r="H215" s="3" t="n">
        <v>0</v>
      </c>
      <c r="I215" s="3">
        <f>ROUND(IF(ISNUMBER(AG215),AG215,G215)+H215,2)</f>
        <v/>
      </c>
      <c r="J215" s="2" t="inlineStr">
        <is>
          <t>Завтрак "Шведский стол"</t>
        </is>
      </c>
      <c r="K215" s="5" t="n">
        <v>46294.58333333334</v>
      </c>
      <c r="L215" t="n">
        <v>1</v>
      </c>
      <c r="M215" s="3">
        <f>I215/L215</f>
        <v/>
      </c>
      <c r="N215">
        <f>IF(M215&gt;=5100,"ставка","мин.ставка")</f>
        <v/>
      </c>
      <c r="O215" s="3">
        <f>ROUND(IF(N215="мин.ставка",L215*100,I215/102*2),2)</f>
        <v/>
      </c>
      <c r="P215" s="5" t="n">
        <v>46295.5</v>
      </c>
      <c r="Q215" t="inlineStr">
        <is>
          <t>TravelLine YAX</t>
        </is>
      </c>
      <c r="R215" s="2" t="inlineStr">
        <is>
          <t>УЛУЧШЕННЫЙ ДВУХМЕСТНЫЙ НОМЕР</t>
        </is>
      </c>
      <c r="S215" t="n">
        <v>21</v>
      </c>
      <c r="T215" t="n">
        <v>1</v>
      </c>
      <c r="U215" t="inlineStr"/>
      <c r="V215" t="inlineStr">
        <is>
          <t>Тариф с завтраком</t>
        </is>
      </c>
      <c r="W215" t="n">
        <v>10050</v>
      </c>
      <c r="X215" s="3" t="n">
        <v>3350</v>
      </c>
      <c r="Y215" t="inlineStr">
        <is>
          <t>25%</t>
        </is>
      </c>
      <c r="Z215" t="inlineStr">
        <is>
          <t>2026-09-29</t>
        </is>
      </c>
      <c r="AA215" s="3" t="n">
        <v>10050</v>
      </c>
      <c r="AB215" t="inlineStr">
        <is>
          <t>Сошлось по ночным тарифам</t>
        </is>
      </c>
      <c r="AC215" s="2" t="inlineStr"/>
      <c r="AD215" t="n">
        <v>3350</v>
      </c>
      <c r="AE215" t="n">
        <v>0</v>
      </c>
      <c r="AF215" t="inlineStr">
        <is>
          <t>Скидка добавлена к налоговой базе</t>
        </is>
      </c>
      <c r="AG215" t="n">
        <v>13400</v>
      </c>
      <c r="AH215" t="n">
        <v>10050</v>
      </c>
      <c r="AI215" t="inlineStr">
        <is>
          <t>Полное проживание в выбранном периоде</t>
        </is>
      </c>
    </row>
    <row r="216">
      <c r="A216" t="inlineStr">
        <is>
          <t>20260922-8186-467585284</t>
        </is>
      </c>
      <c r="B216" t="n">
        <v>1</v>
      </c>
      <c r="C216" s="2" t="inlineStr">
        <is>
          <t>Антон Кальвинов</t>
        </is>
      </c>
      <c r="D216" s="3" t="n">
        <v>18160</v>
      </c>
      <c r="E216" s="4" t="n">
        <v>20</v>
      </c>
      <c r="F216" t="inlineStr">
        <is>
          <t>ООО "КОМПАНИЯ БРОНЕВИК" [Чайковский]</t>
        </is>
      </c>
      <c r="G216" s="3">
        <f>ROUND(D216/(100-E216)*100,2)</f>
        <v/>
      </c>
      <c r="H216" s="3" t="n">
        <v>0</v>
      </c>
      <c r="I216" s="3">
        <f>ROUND(IF(ISNUMBER(AG216),AG216,G216)+H216,2)</f>
        <v/>
      </c>
      <c r="J216" s="2" t="inlineStr">
        <is>
          <t>Завтрак "Шведский стол"</t>
        </is>
      </c>
      <c r="K216" s="5" t="n">
        <v>46287.58333333334</v>
      </c>
      <c r="L216" t="n">
        <v>2</v>
      </c>
      <c r="M216" s="3">
        <f>I216/L216</f>
        <v/>
      </c>
      <c r="N216">
        <f>IF(M216&gt;=5100,"ставка","мин.ставка")</f>
        <v/>
      </c>
      <c r="O216" s="3">
        <f>ROUND(IF(N216="мин.ставка",L216*100,I216/102*2),2)</f>
        <v/>
      </c>
      <c r="P216" s="5" t="n">
        <v>46289.5</v>
      </c>
      <c r="Q216" t="inlineStr">
        <is>
          <t>TravelLine BR2</t>
        </is>
      </c>
      <c r="R216" s="2" t="inlineStr">
        <is>
          <t>СТАНДАРТНЫЙ ДВУХМЕСТНЫЙ НОМЕР</t>
        </is>
      </c>
      <c r="S216" t="n">
        <v>52</v>
      </c>
      <c r="T216" t="n">
        <v>2</v>
      </c>
      <c r="U216" t="inlineStr"/>
      <c r="V216" t="inlineStr">
        <is>
          <t>Тариф с завтраком</t>
        </is>
      </c>
      <c r="W216" t="n">
        <v>18160</v>
      </c>
      <c r="X216" s="3" t="n">
        <v>0</v>
      </c>
      <c r="Y216" t="inlineStr"/>
      <c r="Z216" t="inlineStr"/>
      <c r="AA216" s="3" t="n">
        <v>18160</v>
      </c>
      <c r="AB216" t="inlineStr">
        <is>
          <t>Сошлось по ночным тарифам</t>
        </is>
      </c>
      <c r="AC216" s="2" t="inlineStr"/>
      <c r="AD216" t="n">
        <v>0</v>
      </c>
      <c r="AE216" t="n">
        <v>0</v>
      </c>
      <c r="AF216" t="inlineStr">
        <is>
          <t>Скидки нет</t>
        </is>
      </c>
      <c r="AG216" t="n">
        <v>18160</v>
      </c>
      <c r="AH216" t="n">
        <v>18160</v>
      </c>
      <c r="AI216" t="inlineStr">
        <is>
          <t>Полное проживание в выбранном периоде</t>
        </is>
      </c>
    </row>
    <row r="217">
      <c r="A217" t="inlineStr">
        <is>
          <t>20260807-8186-454714281</t>
        </is>
      </c>
      <c r="B217" t="n">
        <v>1</v>
      </c>
      <c r="C217" s="2" t="inlineStr">
        <is>
          <t>Антон Климин</t>
        </is>
      </c>
      <c r="D217" s="3" t="n">
        <v>12782</v>
      </c>
      <c r="E217" s="4" t="n">
        <v>0</v>
      </c>
      <c r="F217" t="inlineStr">
        <is>
          <t>Прямые бронирования (стойка) [Чайковский]</t>
        </is>
      </c>
      <c r="G217" s="3">
        <f>ROUND(D217/(100-E217)*100,2)</f>
        <v/>
      </c>
      <c r="H217" s="3" t="n">
        <v>0</v>
      </c>
      <c r="I217" s="3">
        <f>ROUND(IF(ISNUMBER(AG217),AG217,G217)+H217,2)</f>
        <v/>
      </c>
      <c r="J217" s="2" t="inlineStr">
        <is>
          <t>Завтрак "Шведский стол"</t>
        </is>
      </c>
      <c r="K217" s="5" t="n">
        <v>46241.58333333334</v>
      </c>
      <c r="L217" t="n">
        <v>2</v>
      </c>
      <c r="M217" s="3">
        <f>I217/L217</f>
        <v/>
      </c>
      <c r="N217">
        <f>IF(M217&gt;=5100,"ставка","мин.ставка")</f>
        <v/>
      </c>
      <c r="O217" s="3">
        <f>ROUND(IF(N217="мин.ставка",L217*100,I217/102*2),2)</f>
        <v/>
      </c>
      <c r="P217" s="5" t="n">
        <v>46243.5</v>
      </c>
      <c r="Q217" t="inlineStr">
        <is>
          <t>TravelLine CMB</t>
        </is>
      </c>
      <c r="R217" s="2" t="inlineStr">
        <is>
          <t>СТАНДАРТНЫЙ ОДНОМЕСТНЫЙ НОМЕР</t>
        </is>
      </c>
      <c r="S217" t="n">
        <v>34</v>
      </c>
      <c r="T217" t="n">
        <v>1</v>
      </c>
      <c r="U217" t="inlineStr"/>
      <c r="V217" t="inlineStr">
        <is>
          <t>Тариф с завтраком</t>
        </is>
      </c>
      <c r="W217" t="n">
        <v>12782</v>
      </c>
      <c r="X217" s="3" t="n">
        <v>2618</v>
      </c>
      <c r="Y217" t="inlineStr">
        <is>
          <t>17%</t>
        </is>
      </c>
      <c r="Z217" t="inlineStr">
        <is>
          <t>2026-08-07, 2026-08-08</t>
        </is>
      </c>
      <c r="AA217" s="3" t="n">
        <v>12782</v>
      </c>
      <c r="AB217" t="inlineStr">
        <is>
          <t>Сошлось по ночным тарифам</t>
        </is>
      </c>
      <c r="AC217" s="2" t="inlineStr"/>
      <c r="AD217" t="n">
        <v>2618</v>
      </c>
      <c r="AE217" t="n">
        <v>0</v>
      </c>
      <c r="AF217" t="inlineStr">
        <is>
          <t>Скидка добавлена к налоговой базе</t>
        </is>
      </c>
      <c r="AG217" t="n">
        <v>15400</v>
      </c>
      <c r="AH217" t="n">
        <v>12782</v>
      </c>
      <c r="AI217" t="inlineStr">
        <is>
          <t>Полное проживание в выбранном периоде</t>
        </is>
      </c>
    </row>
    <row r="218">
      <c r="A218" t="inlineStr">
        <is>
          <t>20260922-8186-466199429</t>
        </is>
      </c>
      <c r="B218" t="n">
        <v>1</v>
      </c>
      <c r="C218" s="2" t="inlineStr">
        <is>
          <t>АНТОН КУЗЬМИН</t>
        </is>
      </c>
      <c r="D218" s="3" t="n">
        <v>27921</v>
      </c>
      <c r="E218" s="4" t="n">
        <v>18</v>
      </c>
      <c r="F218" t="inlineStr">
        <is>
          <t>ООО "ТРИВИО СЕРВИС" [Чайковский]</t>
        </is>
      </c>
      <c r="G218" s="3">
        <f>ROUND(D218/(100-E218)*100,2)</f>
        <v/>
      </c>
      <c r="H218" s="3" t="n">
        <v>9307</v>
      </c>
      <c r="I218" s="3">
        <f>ROUND(IF(ISNUMBER(AG218),AG218,G218)+H218,2)</f>
        <v/>
      </c>
      <c r="J218" s="2" t="inlineStr">
        <is>
          <t>Завтрак "Шведский стол"; Ранний заезд — 9 307,00 ₽</t>
        </is>
      </c>
      <c r="K218" s="5" t="n">
        <v>46287.29166666666</v>
      </c>
      <c r="L218" t="n">
        <v>3</v>
      </c>
      <c r="M218" s="3">
        <f>I218/L218</f>
        <v/>
      </c>
      <c r="N218">
        <f>IF(M218&gt;=5100,"ставка","мин.ставка")</f>
        <v/>
      </c>
      <c r="O218" s="3">
        <f>ROUND(IF(N218="мин.ставка",L218*100,I218/102*2),2)</f>
        <v/>
      </c>
      <c r="P218" s="5" t="n">
        <v>46290.5</v>
      </c>
      <c r="Q218" t="inlineStr">
        <is>
          <t>TravelLine TIO</t>
        </is>
      </c>
      <c r="R218" s="2" t="inlineStr">
        <is>
          <t>СТАНДАРТНЫЙ ДВУХМЕСТНЫЙ НОМЕР</t>
        </is>
      </c>
      <c r="S218" t="n">
        <v>46</v>
      </c>
      <c r="T218" t="n">
        <v>1</v>
      </c>
      <c r="U218" t="inlineStr"/>
      <c r="V218" t="inlineStr">
        <is>
          <t>Тариф с завтраком</t>
        </is>
      </c>
      <c r="W218" t="n">
        <v>37228</v>
      </c>
      <c r="X218" s="3" t="n">
        <v>0</v>
      </c>
      <c r="Y218" t="inlineStr"/>
      <c r="Z218" t="inlineStr"/>
      <c r="AA218" s="3" t="n">
        <v>27921</v>
      </c>
      <c r="AB218" t="inlineStr">
        <is>
          <t>Расхождение -9307.00 ₽</t>
        </is>
      </c>
      <c r="AC218" s="2" t="inlineStr"/>
      <c r="AD218" t="n">
        <v>0</v>
      </c>
      <c r="AE218" t="n">
        <v>0</v>
      </c>
      <c r="AF218" t="inlineStr">
        <is>
          <t>Скидки нет</t>
        </is>
      </c>
      <c r="AG218" t="n">
        <v>27921</v>
      </c>
      <c r="AH218" t="n">
        <v>27921</v>
      </c>
      <c r="AI218" t="inlineStr">
        <is>
          <t>Полное проживание в выбранном периоде</t>
        </is>
      </c>
    </row>
    <row r="219">
      <c r="A219" t="inlineStr">
        <is>
          <t>20260712-8186-420926544</t>
        </is>
      </c>
      <c r="B219" t="n">
        <v>1</v>
      </c>
      <c r="C219" s="2" t="inlineStr">
        <is>
          <t>Антон Левкович, ИРИНА ЛЕВКОВИЧ</t>
        </is>
      </c>
      <c r="D219" s="3" t="n">
        <v>64080</v>
      </c>
      <c r="E219" s="4" t="n">
        <v>18</v>
      </c>
      <c r="F219" t="inlineStr">
        <is>
          <t>Яндекс.Путешествия [Чайковский]</t>
        </is>
      </c>
      <c r="G219" s="3">
        <f>ROUND(D219/(100-E219)*100,2)</f>
        <v/>
      </c>
      <c r="H219" s="3" t="n">
        <v>0</v>
      </c>
      <c r="I219" s="3">
        <f>ROUND(IF(ISNUMBER(AG219),AG219,G219)+H219,2)</f>
        <v/>
      </c>
      <c r="J219" s="2" t="inlineStr">
        <is>
          <t>Завтрак "Шведский стол"</t>
        </is>
      </c>
      <c r="K219" s="5" t="n">
        <v>46215.58333333334</v>
      </c>
      <c r="L219" t="n">
        <v>6</v>
      </c>
      <c r="M219" s="3">
        <f>I219/L219</f>
        <v/>
      </c>
      <c r="N219">
        <f>IF(M219&gt;=5100,"ставка","мин.ставка")</f>
        <v/>
      </c>
      <c r="O219" s="3">
        <f>ROUND(IF(N219="мин.ставка",L219*100,I219/102*2),2)</f>
        <v/>
      </c>
      <c r="P219" s="5" t="n">
        <v>46221.5</v>
      </c>
      <c r="Q219" t="inlineStr">
        <is>
          <t>TravelLine YAX</t>
        </is>
      </c>
      <c r="R219" s="2" t="inlineStr">
        <is>
          <t>СТАНДАРТНЫЙ ДВУХМЕСТНЫЙ НОМЕР</t>
        </is>
      </c>
      <c r="S219" t="n">
        <v>32</v>
      </c>
      <c r="T219" t="n">
        <v>1</v>
      </c>
      <c r="U219" t="inlineStr"/>
      <c r="V219" t="inlineStr">
        <is>
          <t>Тариф с завтраком</t>
        </is>
      </c>
      <c r="W219" t="n">
        <v>64080</v>
      </c>
      <c r="X219" s="3" t="n">
        <v>16020</v>
      </c>
      <c r="Y219" t="inlineStr">
        <is>
          <t>20%</t>
        </is>
      </c>
      <c r="Z219" t="inlineStr">
        <is>
          <t>2026-07-12, 2026-07-13, 2026-07-14, 2026-07-15, 2026-07-16, 2026-07-17</t>
        </is>
      </c>
      <c r="AA219" s="3" t="n">
        <v>64080</v>
      </c>
      <c r="AB219" t="inlineStr">
        <is>
          <t>Сошлось по ночным тарифам</t>
        </is>
      </c>
      <c r="AC219" s="2" t="inlineStr"/>
      <c r="AD219" t="n">
        <v>16020</v>
      </c>
      <c r="AE219" t="n">
        <v>0</v>
      </c>
      <c r="AF219" t="inlineStr">
        <is>
          <t>Скидка добавлена к налоговой базе</t>
        </is>
      </c>
      <c r="AG219" t="n">
        <v>80100</v>
      </c>
      <c r="AH219" t="n">
        <v>64080</v>
      </c>
      <c r="AI219" t="inlineStr">
        <is>
          <t>Полное проживание в выбранном периоде</t>
        </is>
      </c>
    </row>
    <row r="220">
      <c r="A220" t="inlineStr">
        <is>
          <t>20260915-8186-462867776</t>
        </is>
      </c>
      <c r="B220" t="n">
        <v>1</v>
      </c>
      <c r="C220" s="2" t="inlineStr">
        <is>
          <t>Антон Панарин, Елена Гущина</t>
        </is>
      </c>
      <c r="D220" s="3" t="n">
        <v>26180</v>
      </c>
      <c r="E220" s="4" t="n">
        <v>15</v>
      </c>
      <c r="F220" t="inlineStr">
        <is>
          <t>ООО Тинькофф Путешествия [Чайковский]</t>
        </is>
      </c>
      <c r="G220" s="3">
        <f>ROUND(D220/(100-E220)*100,2)</f>
        <v/>
      </c>
      <c r="H220" s="3" t="n">
        <v>0</v>
      </c>
      <c r="I220" s="3">
        <f>ROUND(IF(ISNUMBER(AG220),AG220,G220)+H220,2)</f>
        <v/>
      </c>
      <c r="J220" s="2" t="inlineStr">
        <is>
          <t>Завтрак "Шведский стол"</t>
        </is>
      </c>
      <c r="K220" s="5" t="n">
        <v>46280.91666666666</v>
      </c>
      <c r="L220" t="n">
        <v>2</v>
      </c>
      <c r="M220" s="3">
        <f>I220/L220</f>
        <v/>
      </c>
      <c r="N220">
        <f>IF(M220&gt;=5100,"ставка","мин.ставка")</f>
        <v/>
      </c>
      <c r="O220" s="3">
        <f>ROUND(IF(N220="мин.ставка",L220*100,I220/102*2),2)</f>
        <v/>
      </c>
      <c r="P220" s="5" t="n">
        <v>46282.5</v>
      </c>
      <c r="Q220" t="inlineStr">
        <is>
          <t>TravelLine TNK</t>
        </is>
      </c>
      <c r="R220" s="2" t="inlineStr">
        <is>
          <t>УЛУЧШЕННЫЙ ДВУХМЕСТНЫЙ НОМЕР</t>
        </is>
      </c>
      <c r="S220" t="n">
        <v>31</v>
      </c>
      <c r="T220" t="n">
        <v>1</v>
      </c>
      <c r="U220" t="inlineStr"/>
      <c r="V220" t="inlineStr">
        <is>
          <t>Тариф с завтраком</t>
        </is>
      </c>
      <c r="W220" t="n">
        <v>26180</v>
      </c>
      <c r="X220" s="3" t="n">
        <v>4620</v>
      </c>
      <c r="Y220" t="inlineStr">
        <is>
          <t>15%</t>
        </is>
      </c>
      <c r="Z220" t="inlineStr">
        <is>
          <t>2026-09-15, 2026-09-16</t>
        </is>
      </c>
      <c r="AA220" s="3" t="n">
        <v>26180</v>
      </c>
      <c r="AB220" t="inlineStr">
        <is>
          <t>Сошлось по ночным тарифам</t>
        </is>
      </c>
      <c r="AC220" s="2" t="inlineStr"/>
      <c r="AD220" t="n">
        <v>4620</v>
      </c>
      <c r="AE220" t="n">
        <v>0</v>
      </c>
      <c r="AF220" t="inlineStr">
        <is>
          <t>Скидка добавлена к налоговой базе</t>
        </is>
      </c>
      <c r="AG220" t="n">
        <v>30800</v>
      </c>
      <c r="AH220" t="n">
        <v>26180</v>
      </c>
      <c r="AI220" t="inlineStr">
        <is>
          <t>Полное проживание в выбранном периоде</t>
        </is>
      </c>
    </row>
    <row r="221">
      <c r="A221" t="inlineStr">
        <is>
          <t>20260713-8186-448881093</t>
        </is>
      </c>
      <c r="B221" t="n">
        <v>1</v>
      </c>
      <c r="C221" s="2" t="inlineStr">
        <is>
          <t>Антон Порядин</t>
        </is>
      </c>
      <c r="D221" s="3" t="n">
        <v>6478</v>
      </c>
      <c r="E221" s="4" t="n">
        <v>18</v>
      </c>
      <c r="F221" t="inlineStr">
        <is>
          <t>ООО "Эй энд Эй" [Чайковский]</t>
        </is>
      </c>
      <c r="G221" s="3">
        <f>ROUND(D221/(100-E221)*100,2)</f>
        <v/>
      </c>
      <c r="H221" s="3" t="n">
        <v>0</v>
      </c>
      <c r="I221" s="3">
        <f>ROUND(IF(ISNUMBER(AG221),AG221,G221)+H221,2)</f>
        <v/>
      </c>
      <c r="J221" s="2" t="inlineStr">
        <is>
          <t>Завтрак "Шведский стол"</t>
        </is>
      </c>
      <c r="K221" s="5" t="n">
        <v>46216.58333333334</v>
      </c>
      <c r="L221" t="n">
        <v>1</v>
      </c>
      <c r="M221" s="3">
        <f>I221/L221</f>
        <v/>
      </c>
      <c r="N221">
        <f>IF(M221&gt;=5100,"ставка","мин.ставка")</f>
        <v/>
      </c>
      <c r="O221" s="3">
        <f>ROUND(IF(N221="мин.ставка",L221*100,I221/102*2),2)</f>
        <v/>
      </c>
      <c r="P221" s="5" t="n">
        <v>46217.5</v>
      </c>
      <c r="Q221" t="inlineStr">
        <is>
          <t>TravelLine ANA</t>
        </is>
      </c>
      <c r="R221" s="2" t="inlineStr">
        <is>
          <t>СТАНДАРТНЫЙ ДВУХМЕСТНЫЙ НОМЕР (МАНСАРДА)</t>
        </is>
      </c>
      <c r="S221" t="n">
        <v>47</v>
      </c>
      <c r="T221" t="n">
        <v>1</v>
      </c>
      <c r="U221" t="inlineStr"/>
      <c r="V221" t="inlineStr">
        <is>
          <t>Тариф с завтраком</t>
        </is>
      </c>
      <c r="W221" t="n">
        <v>6478</v>
      </c>
      <c r="X221" s="3" t="n">
        <v>1422</v>
      </c>
      <c r="Y221" t="inlineStr">
        <is>
          <t>18%</t>
        </is>
      </c>
      <c r="Z221" t="inlineStr">
        <is>
          <t>2026-07-13</t>
        </is>
      </c>
      <c r="AA221" s="3" t="n">
        <v>6478</v>
      </c>
      <c r="AB221" t="inlineStr">
        <is>
          <t>Сошлось по ночным тарифам</t>
        </is>
      </c>
      <c r="AC221" s="2" t="inlineStr"/>
      <c r="AD221" t="n">
        <v>1422</v>
      </c>
      <c r="AE221" t="n">
        <v>0</v>
      </c>
      <c r="AF221" t="inlineStr">
        <is>
          <t>Скидка добавлена к налоговой базе</t>
        </is>
      </c>
      <c r="AG221" t="n">
        <v>7900</v>
      </c>
      <c r="AH221" t="n">
        <v>6478</v>
      </c>
      <c r="AI221" t="inlineStr">
        <is>
          <t>Полное проживание в выбранном периоде</t>
        </is>
      </c>
    </row>
    <row r="222">
      <c r="A222" t="inlineStr">
        <is>
          <t>20260806-8186-450640950</t>
        </is>
      </c>
      <c r="B222" t="n">
        <v>1</v>
      </c>
      <c r="C222" s="2" t="inlineStr">
        <is>
          <t>АНТОН СЕМЕНЦОВ</t>
        </is>
      </c>
      <c r="D222" s="3" t="n">
        <v>28942.5</v>
      </c>
      <c r="E222" s="4" t="n">
        <v>15</v>
      </c>
      <c r="F222" t="inlineStr">
        <is>
          <t>ООО «12Т» (ранее ONE TWO TRIP) [Чайковский]</t>
        </is>
      </c>
      <c r="G222" s="3">
        <f>ROUND(D222/(100-E222)*100,2)</f>
        <v/>
      </c>
      <c r="H222" s="3" t="n">
        <v>0</v>
      </c>
      <c r="I222" s="3">
        <f>ROUND(IF(ISNUMBER(AG222),AG222,G222)+H222,2)</f>
        <v/>
      </c>
      <c r="J222" s="2" t="inlineStr">
        <is>
          <t>Завтрак "Шведский стол"</t>
        </is>
      </c>
      <c r="K222" s="5" t="n">
        <v>46240.58333333334</v>
      </c>
      <c r="L222" t="n">
        <v>3</v>
      </c>
      <c r="M222" s="3">
        <f>I222/L222</f>
        <v/>
      </c>
      <c r="N222">
        <f>IF(M222&gt;=5100,"ставка","мин.ставка")</f>
        <v/>
      </c>
      <c r="O222" s="3">
        <f>ROUND(IF(N222="мин.ставка",L222*100,I222/102*2),2)</f>
        <v/>
      </c>
      <c r="P222" s="5" t="n">
        <v>46243.5</v>
      </c>
      <c r="Q222" t="inlineStr">
        <is>
          <t>TravelLine OTT</t>
        </is>
      </c>
      <c r="R222" s="2" t="inlineStr">
        <is>
          <t>СТАНДАРТНЫЙ ДВУХМЕСТНЫЙ НОМЕР</t>
        </is>
      </c>
      <c r="S222" t="n">
        <v>23</v>
      </c>
      <c r="T222" t="n">
        <v>1</v>
      </c>
      <c r="U222" t="inlineStr"/>
      <c r="V222" t="inlineStr">
        <is>
          <t>Тариф с завтраком</t>
        </is>
      </c>
      <c r="W222" t="n">
        <v>86827.5</v>
      </c>
      <c r="X222" s="3" t="n">
        <v>5107.5</v>
      </c>
      <c r="Y222" t="inlineStr">
        <is>
          <t>15%</t>
        </is>
      </c>
      <c r="Z222" t="inlineStr">
        <is>
          <t>2026-08-06, 2026-08-07, 2026-08-08</t>
        </is>
      </c>
      <c r="AA222" s="3" t="n">
        <v>28942.5</v>
      </c>
      <c r="AB222" t="inlineStr">
        <is>
          <t>Сошлось по ночным тарифам</t>
        </is>
      </c>
      <c r="AC222" s="2" t="inlineStr"/>
      <c r="AD222" t="n">
        <v>5107.5</v>
      </c>
      <c r="AE222" t="n">
        <v>0</v>
      </c>
      <c r="AF222" t="inlineStr">
        <is>
          <t>Скидка добавлена к налоговой базе</t>
        </is>
      </c>
      <c r="AG222" t="n">
        <v>34050</v>
      </c>
      <c r="AH222" t="n">
        <v>28942.5</v>
      </c>
      <c r="AI222" t="inlineStr">
        <is>
          <t>Полное проживание в выбранном периоде</t>
        </is>
      </c>
    </row>
    <row r="223">
      <c r="A223" t="inlineStr">
        <is>
          <t>20260728-8186-452928899</t>
        </is>
      </c>
      <c r="B223" t="n">
        <v>1</v>
      </c>
      <c r="C223" s="2" t="inlineStr">
        <is>
          <t>Антон Тузов</t>
        </is>
      </c>
      <c r="D223" s="3" t="n">
        <v>6320</v>
      </c>
      <c r="E223" s="4" t="n">
        <v>20</v>
      </c>
      <c r="F223" t="inlineStr">
        <is>
          <t>ООО "УК ГЦБ и Т" [Чайковский]</t>
        </is>
      </c>
      <c r="G223" s="3">
        <f>ROUND(D223/(100-E223)*100,2)</f>
        <v/>
      </c>
      <c r="H223" s="3" t="n">
        <v>0</v>
      </c>
      <c r="I223" s="3">
        <f>ROUND(IF(ISNUMBER(AG223),AG223,G223)+H223,2)</f>
        <v/>
      </c>
      <c r="J223" s="2" t="inlineStr">
        <is>
          <t>Завтрак; Завтрак "Шведский стол"</t>
        </is>
      </c>
      <c r="K223" s="5" t="n">
        <v>46231.58333333334</v>
      </c>
      <c r="L223" t="n">
        <v>1</v>
      </c>
      <c r="M223" s="3">
        <f>I223/L223</f>
        <v/>
      </c>
      <c r="N223">
        <f>IF(M223&gt;=5100,"ставка","мин.ставка")</f>
        <v/>
      </c>
      <c r="O223" s="3">
        <f>ROUND(IF(N223="мин.ставка",L223*100,I223/102*2),2)</f>
        <v/>
      </c>
      <c r="P223" s="5" t="n">
        <v>46232.5</v>
      </c>
      <c r="Q223" t="inlineStr">
        <is>
          <t>TravelLine CBC</t>
        </is>
      </c>
      <c r="R223" s="2" t="inlineStr">
        <is>
          <t>СТАНДАРТНЫЙ ДВУХМЕСТНЫЙ НОМЕР (МАНСАРДА)</t>
        </is>
      </c>
      <c r="S223" t="n">
        <v>41</v>
      </c>
      <c r="T223" t="n">
        <v>1</v>
      </c>
      <c r="U223" t="inlineStr"/>
      <c r="V223" t="inlineStr">
        <is>
          <t>Тариф с завтраком</t>
        </is>
      </c>
      <c r="W223" t="n">
        <v>6320</v>
      </c>
      <c r="X223" s="3" t="n">
        <v>1580</v>
      </c>
      <c r="Y223" t="inlineStr">
        <is>
          <t>20%</t>
        </is>
      </c>
      <c r="Z223" t="inlineStr">
        <is>
          <t>2026-07-28</t>
        </is>
      </c>
      <c r="AA223" s="3" t="n">
        <v>6320</v>
      </c>
      <c r="AB223" t="inlineStr">
        <is>
          <t>Сошлось по ночным тарифам</t>
        </is>
      </c>
      <c r="AC223" s="2" t="inlineStr"/>
      <c r="AD223" t="n">
        <v>1580</v>
      </c>
      <c r="AE223" t="n">
        <v>0</v>
      </c>
      <c r="AF223" t="inlineStr">
        <is>
          <t>Скидка добавлена к налоговой базе</t>
        </is>
      </c>
      <c r="AG223" t="n">
        <v>7900</v>
      </c>
      <c r="AH223" t="n">
        <v>6320</v>
      </c>
      <c r="AI223" t="inlineStr">
        <is>
          <t>Полное проживание в выбранном периоде</t>
        </is>
      </c>
    </row>
    <row r="224">
      <c r="A224" t="inlineStr">
        <is>
          <t>20260723-8186-439560864</t>
        </is>
      </c>
      <c r="B224" t="n">
        <v>1</v>
      </c>
      <c r="C224" s="2" t="inlineStr">
        <is>
          <t>Антон Чуйко, Варвара Соловьева</t>
        </is>
      </c>
      <c r="D224" s="3" t="n">
        <v>22695</v>
      </c>
      <c r="E224" s="4" t="n">
        <v>15</v>
      </c>
      <c r="F224" t="inlineStr">
        <is>
          <t>ООО "БРОНИРОВАНИЕ ГОСТИНИЦ" (OSTROVOK) [Чайковский]</t>
        </is>
      </c>
      <c r="G224" s="3">
        <f>ROUND(D224/(100-E224)*100,2)</f>
        <v/>
      </c>
      <c r="H224" s="3" t="n">
        <v>0</v>
      </c>
      <c r="I224" s="3">
        <f>ROUND(IF(ISNUMBER(AG224),AG224,G224)+H224,2)</f>
        <v/>
      </c>
      <c r="J224" s="2" t="inlineStr">
        <is>
          <t>Завтрак "Шведский стол"</t>
        </is>
      </c>
      <c r="K224" s="5" t="n">
        <v>46226.58333333334</v>
      </c>
      <c r="L224" t="n">
        <v>2</v>
      </c>
      <c r="M224" s="3">
        <f>I224/L224</f>
        <v/>
      </c>
      <c r="N224">
        <f>IF(M224&gt;=5100,"ставка","мин.ставка")</f>
        <v/>
      </c>
      <c r="O224" s="3">
        <f>ROUND(IF(N224="мин.ставка",L224*100,I224/102*2),2)</f>
        <v/>
      </c>
      <c r="P224" s="5" t="n">
        <v>46228.5</v>
      </c>
      <c r="Q224" t="inlineStr">
        <is>
          <t>TravelLine OTK</t>
        </is>
      </c>
      <c r="R224" s="2" t="inlineStr">
        <is>
          <t>СТАНДАРТНЫЙ ДВУХМЕСТНЫЙ НОМЕР</t>
        </is>
      </c>
      <c r="S224" t="n">
        <v>42</v>
      </c>
      <c r="T224" t="n">
        <v>1</v>
      </c>
      <c r="U224" t="inlineStr"/>
      <c r="V224" t="inlineStr">
        <is>
          <t>Тариф с завтраком</t>
        </is>
      </c>
      <c r="W224" t="n">
        <v>22695</v>
      </c>
      <c r="X224" s="3" t="n">
        <v>4005</v>
      </c>
      <c r="Y224" t="inlineStr">
        <is>
          <t>15%</t>
        </is>
      </c>
      <c r="Z224" t="inlineStr">
        <is>
          <t>2026-07-23, 2026-07-24</t>
        </is>
      </c>
      <c r="AA224" s="3" t="n">
        <v>22695</v>
      </c>
      <c r="AB224" t="inlineStr">
        <is>
          <t>Сошлось по ночным тарифам</t>
        </is>
      </c>
      <c r="AC224" s="2" t="inlineStr"/>
      <c r="AD224" t="n">
        <v>4005</v>
      </c>
      <c r="AE224" t="n">
        <v>0</v>
      </c>
      <c r="AF224" t="inlineStr">
        <is>
          <t>Скидка добавлена к налоговой базе</t>
        </is>
      </c>
      <c r="AG224" t="n">
        <v>26700</v>
      </c>
      <c r="AH224" t="n">
        <v>22695</v>
      </c>
      <c r="AI224" t="inlineStr">
        <is>
          <t>Полное проживание в выбранном периоде</t>
        </is>
      </c>
    </row>
    <row r="225">
      <c r="A225" t="inlineStr">
        <is>
          <t>20260711-8186-447668511</t>
        </is>
      </c>
      <c r="B225" t="n">
        <v>1</v>
      </c>
      <c r="C225" s="2" t="inlineStr">
        <is>
          <t>Ариадна Рокоссовская, Юрий Лепский</t>
        </is>
      </c>
      <c r="D225" s="3" t="n">
        <v>12282.5</v>
      </c>
      <c r="E225" s="4" t="n">
        <v>15</v>
      </c>
      <c r="F225" t="inlineStr">
        <is>
          <t>ООО "БРОНИРОВАНИЕ ГОСТИНИЦ" (OSTROVOK) [Чайковский]</t>
        </is>
      </c>
      <c r="G225" s="3">
        <f>ROUND(D225/(100-E225)*100,2)</f>
        <v/>
      </c>
      <c r="H225" s="3" t="n">
        <v>0</v>
      </c>
      <c r="I225" s="3">
        <f>ROUND(IF(ISNUMBER(AG225),AG225,G225)+H225,2)</f>
        <v/>
      </c>
      <c r="J225" s="2" t="inlineStr">
        <is>
          <t>Завтрак "Шведский стол"</t>
        </is>
      </c>
      <c r="K225" s="5" t="n">
        <v>46214.58333333334</v>
      </c>
      <c r="L225" t="n">
        <v>1</v>
      </c>
      <c r="M225" s="3">
        <f>I225/L225</f>
        <v/>
      </c>
      <c r="N225">
        <f>IF(M225&gt;=5100,"ставка","мин.ставка")</f>
        <v/>
      </c>
      <c r="O225" s="3">
        <f>ROUND(IF(N225="мин.ставка",L225*100,I225/102*2),2)</f>
        <v/>
      </c>
      <c r="P225" s="5" t="n">
        <v>46215.5</v>
      </c>
      <c r="Q225" t="inlineStr">
        <is>
          <t>TravelLine OTK</t>
        </is>
      </c>
      <c r="R225" s="2" t="inlineStr">
        <is>
          <t>СЕМЕЙНЫЙ НОМЕР КАТЕГОРИИ "СТАНДАРТ" ВТОРОЙ КОРПУС</t>
        </is>
      </c>
      <c r="S225" t="n">
        <v>50</v>
      </c>
      <c r="T225" t="n">
        <v>2</v>
      </c>
      <c r="U225" t="inlineStr"/>
      <c r="V225" t="inlineStr">
        <is>
          <t>Тариф с завтраком</t>
        </is>
      </c>
      <c r="W225" t="n">
        <v>12282.5</v>
      </c>
      <c r="X225" s="3" t="n">
        <v>2167.5</v>
      </c>
      <c r="Y225" t="inlineStr">
        <is>
          <t>15%</t>
        </is>
      </c>
      <c r="Z225" t="inlineStr">
        <is>
          <t>2026-07-11</t>
        </is>
      </c>
      <c r="AA225" s="3" t="n">
        <v>12282.5</v>
      </c>
      <c r="AB225" t="inlineStr">
        <is>
          <t>Сошлось по ночным тарифам</t>
        </is>
      </c>
      <c r="AC225" s="2" t="inlineStr"/>
      <c r="AD225" t="n">
        <v>2167.5</v>
      </c>
      <c r="AE225" t="n">
        <v>0</v>
      </c>
      <c r="AF225" t="inlineStr">
        <is>
          <t>Скидка добавлена к налоговой базе</t>
        </is>
      </c>
      <c r="AG225" t="n">
        <v>14450</v>
      </c>
      <c r="AH225" t="n">
        <v>12282.5</v>
      </c>
      <c r="AI225" t="inlineStr">
        <is>
          <t>Полное проживание в выбранном периоде</t>
        </is>
      </c>
    </row>
    <row r="226">
      <c r="A226" t="inlineStr">
        <is>
          <t>20260904-8186-461720395</t>
        </is>
      </c>
      <c r="B226" t="n">
        <v>1</v>
      </c>
      <c r="C226" s="2" t="inlineStr">
        <is>
          <t>Арина Глебова</t>
        </is>
      </c>
      <c r="D226" s="3" t="n">
        <v>36320</v>
      </c>
      <c r="E226" s="4" t="n">
        <v>20</v>
      </c>
      <c r="F226" t="inlineStr">
        <is>
          <t>ООО "КОМПАНИЯ БРОНЕВИК" [Чайковский]</t>
        </is>
      </c>
      <c r="G226" s="3">
        <f>ROUND(D226/(100-E226)*100,2)</f>
        <v/>
      </c>
      <c r="H226" s="3" t="n">
        <v>0</v>
      </c>
      <c r="I226" s="3">
        <f>ROUND(IF(ISNUMBER(AG226),AG226,G226)+H226,2)</f>
        <v/>
      </c>
      <c r="J226" s="2" t="inlineStr">
        <is>
          <t>Завтрак "Шведский стол"</t>
        </is>
      </c>
      <c r="K226" s="5" t="n">
        <v>46269.58333333334</v>
      </c>
      <c r="L226" t="n">
        <v>4</v>
      </c>
      <c r="M226" s="3">
        <f>I226/L226</f>
        <v/>
      </c>
      <c r="N226">
        <f>IF(M226&gt;=5100,"ставка","мин.ставка")</f>
        <v/>
      </c>
      <c r="O226" s="3">
        <f>ROUND(IF(N226="мин.ставка",L226*100,I226/102*2),2)</f>
        <v/>
      </c>
      <c r="P226" s="5" t="n">
        <v>46273.5</v>
      </c>
      <c r="Q226" t="inlineStr">
        <is>
          <t>TravelLine BR2</t>
        </is>
      </c>
      <c r="R226" s="2" t="inlineStr">
        <is>
          <t>СТАНДАРТНЫЙ ДВУХМЕСТНЫЙ НОМЕР</t>
        </is>
      </c>
      <c r="S226" t="n">
        <v>58</v>
      </c>
      <c r="T226" t="n">
        <v>2</v>
      </c>
      <c r="U226" t="inlineStr"/>
      <c r="V226" t="inlineStr">
        <is>
          <t>Тариф с завтраком</t>
        </is>
      </c>
      <c r="W226" t="n">
        <v>36320</v>
      </c>
      <c r="X226" s="3" t="n">
        <v>0</v>
      </c>
      <c r="Y226" t="inlineStr"/>
      <c r="Z226" t="inlineStr"/>
      <c r="AA226" s="3" t="n">
        <v>36320</v>
      </c>
      <c r="AB226" t="inlineStr">
        <is>
          <t>Сошлось по ночным тарифам</t>
        </is>
      </c>
      <c r="AC226" s="2" t="inlineStr"/>
      <c r="AD226" t="n">
        <v>0</v>
      </c>
      <c r="AE226" t="n">
        <v>0</v>
      </c>
      <c r="AF226" t="inlineStr">
        <is>
          <t>Скидки нет</t>
        </is>
      </c>
      <c r="AG226" t="n">
        <v>36320</v>
      </c>
      <c r="AH226" t="n">
        <v>36320</v>
      </c>
      <c r="AI226" t="inlineStr">
        <is>
          <t>Полное проживание в выбранном периоде</t>
        </is>
      </c>
    </row>
    <row r="227">
      <c r="A227" t="inlineStr">
        <is>
          <t>20260824-8186-408385125</t>
        </is>
      </c>
      <c r="B227" t="n">
        <v>1</v>
      </c>
      <c r="C227" s="2" t="inlineStr">
        <is>
          <t>Арина Николаенкова</t>
        </is>
      </c>
      <c r="D227" s="3" t="n">
        <v>47281.5</v>
      </c>
      <c r="E227" s="4" t="n">
        <v>4</v>
      </c>
      <c r="F227" t="inlineStr">
        <is>
          <t>TravelLine Booking Engine [Чайковский]</t>
        </is>
      </c>
      <c r="G227" s="3">
        <f>ROUND(D227/(100-E227)*100,2)</f>
        <v/>
      </c>
      <c r="H227" s="3" t="n">
        <v>0</v>
      </c>
      <c r="I227" s="3">
        <f>ROUND(IF(ISNUMBER(AG227),AG227,G227)+H227,2)</f>
        <v/>
      </c>
      <c r="J227" s="2" t="inlineStr">
        <is>
          <t>Завтрак "Шведский стол"</t>
        </is>
      </c>
      <c r="K227" s="5" t="n">
        <v>46258.58333333334</v>
      </c>
      <c r="L227" t="n">
        <v>6</v>
      </c>
      <c r="M227" s="3">
        <f>I227/L227</f>
        <v/>
      </c>
      <c r="N227">
        <f>IF(M227&gt;=5100,"ставка","мин.ставка")</f>
        <v/>
      </c>
      <c r="O227" s="3">
        <f>ROUND(IF(N227="мин.ставка",L227*100,I227/102*2),2)</f>
        <v/>
      </c>
      <c r="P227" s="5" t="n">
        <v>46264.5</v>
      </c>
      <c r="Q227" t="inlineStr">
        <is>
          <t>TravelLine сайт</t>
        </is>
      </c>
      <c r="R227" s="2" t="inlineStr">
        <is>
          <t>СТАНДАРТНЫЙ ДВУХМЕСТНЫЙ НОМЕР (МАНСАРДА)</t>
        </is>
      </c>
      <c r="S227" t="n">
        <v>43</v>
      </c>
      <c r="T227" t="n">
        <v>1</v>
      </c>
      <c r="U227" t="inlineStr"/>
      <c r="V227" t="inlineStr">
        <is>
          <t>Тариф с завтраком</t>
        </is>
      </c>
      <c r="W227" t="n">
        <v>47281.5</v>
      </c>
      <c r="X227" s="3" t="n">
        <v>118.5</v>
      </c>
      <c r="Y227" t="inlineStr">
        <is>
          <t>1.5%</t>
        </is>
      </c>
      <c r="Z227" t="inlineStr">
        <is>
          <t>2026-08-24</t>
        </is>
      </c>
      <c r="AA227" s="3" t="n">
        <v>47281.5</v>
      </c>
      <c r="AB227" t="inlineStr">
        <is>
          <t>Сошлось по ночным тарифам</t>
        </is>
      </c>
      <c r="AC227" s="2" t="inlineStr"/>
      <c r="AD227" t="n">
        <v>118.5</v>
      </c>
      <c r="AE227" t="n">
        <v>0</v>
      </c>
      <c r="AF227" t="inlineStr">
        <is>
          <t>Скидка добавлена к налоговой базе</t>
        </is>
      </c>
      <c r="AG227" t="n">
        <v>47400</v>
      </c>
      <c r="AH227" t="n">
        <v>47281.5</v>
      </c>
      <c r="AI227" t="inlineStr">
        <is>
          <t>Полное проживание в выбранном периоде</t>
        </is>
      </c>
    </row>
    <row r="228">
      <c r="A228" t="inlineStr">
        <is>
          <t>20260929-8186-467723154</t>
        </is>
      </c>
      <c r="B228" t="n">
        <v>1</v>
      </c>
      <c r="C228" s="2" t="inlineStr">
        <is>
          <t>Аркадий Лурье, Ангелина Лурье</t>
        </is>
      </c>
      <c r="D228" s="3" t="n">
        <v>61625</v>
      </c>
      <c r="E228" s="4" t="n">
        <v>0</v>
      </c>
      <c r="F228" t="inlineStr">
        <is>
          <t>ООО "АЛЕАН ОТДЫХ" [Чайковский]</t>
        </is>
      </c>
      <c r="G228" s="3">
        <f>ROUND(D228/(100-E228)*100,2)</f>
        <v/>
      </c>
      <c r="H228" s="3" t="n">
        <v>0</v>
      </c>
      <c r="I228" s="3">
        <f>ROUND(IF(ISNUMBER(AG228),AG228,G228)+H228,2)</f>
        <v/>
      </c>
      <c r="J228" s="2" t="inlineStr"/>
      <c r="K228" s="5" t="n">
        <v>46294.58333333334</v>
      </c>
      <c r="L228" t="n">
        <v>2</v>
      </c>
      <c r="M228" s="3">
        <f>I228/L228</f>
        <v/>
      </c>
      <c r="N228">
        <f>IF(M228&gt;=5100,"ставка","мин.ставка")</f>
        <v/>
      </c>
      <c r="O228" s="3">
        <f>ROUND(IF(N228="мин.ставка",L228*100,I228/102*2),2)</f>
        <v/>
      </c>
      <c r="P228" s="5" t="n">
        <v>46300.5</v>
      </c>
      <c r="Q228" t="inlineStr">
        <is>
          <t>TravelLine ALN</t>
        </is>
      </c>
      <c r="R228" s="2" t="inlineStr">
        <is>
          <t>СТАНДАРТНЫЙ ДВУХМЕСТНЫЙ НОМЕР</t>
        </is>
      </c>
      <c r="S228" t="n">
        <v>52</v>
      </c>
      <c r="T228" t="n">
        <v>2</v>
      </c>
      <c r="U228" t="inlineStr"/>
      <c r="V228" t="inlineStr">
        <is>
          <t>Тариф с завтраком</t>
        </is>
      </c>
      <c r="W228" t="n">
        <v>61625</v>
      </c>
      <c r="X228" s="3" t="n">
        <v>10875</v>
      </c>
      <c r="Y228" t="inlineStr">
        <is>
          <t>15%</t>
        </is>
      </c>
      <c r="Z228" t="inlineStr">
        <is>
          <t>Не распределена по датам</t>
        </is>
      </c>
      <c r="AA228" s="3" t="n">
        <v>61625</v>
      </c>
      <c r="AB228" t="inlineStr">
        <is>
          <t>Сошлось по ночным тарифам</t>
        </is>
      </c>
      <c r="AC228" s="2" t="inlineStr"/>
      <c r="AD228" t="n">
        <v>0</v>
      </c>
      <c r="AE228" t="n">
        <v>0</v>
      </c>
      <c r="AF228" t="inlineStr">
        <is>
          <t>Частичный период: дата агрегированной скидки не определена; скидка не добавлена к базе</t>
        </is>
      </c>
      <c r="AG228" t="n">
        <v>22695</v>
      </c>
      <c r="AH228" t="n">
        <v>22695</v>
      </c>
      <c r="AI228" t="inlineStr">
        <is>
          <t>Частичное проживание распределено по dailyRates; скидка без даты не восстановлена</t>
        </is>
      </c>
    </row>
    <row r="229">
      <c r="A229" t="inlineStr">
        <is>
          <t>20260728-8186-453751353</t>
        </is>
      </c>
      <c r="B229" t="n">
        <v>1</v>
      </c>
      <c r="C229" s="2" t="inlineStr">
        <is>
          <t>аркадий плява</t>
        </is>
      </c>
      <c r="D229" s="3" t="n">
        <v>8900</v>
      </c>
      <c r="E229" s="4" t="n">
        <v>0</v>
      </c>
      <c r="F229" t="inlineStr">
        <is>
          <t>Прямые бронирования (стойка) [Чайковский]</t>
        </is>
      </c>
      <c r="G229" s="3">
        <f>ROUND(D229/(100-E229)*100,2)</f>
        <v/>
      </c>
      <c r="H229" s="3" t="n">
        <v>0</v>
      </c>
      <c r="I229" s="3">
        <f>ROUND(IF(ISNUMBER(AG229),AG229,G229)+H229,2)</f>
        <v/>
      </c>
      <c r="J229" s="2" t="inlineStr">
        <is>
          <t>Завтрак "Шведский стол"</t>
        </is>
      </c>
      <c r="K229" s="5" t="n">
        <v>46231.58333333334</v>
      </c>
      <c r="L229" t="n">
        <v>1</v>
      </c>
      <c r="M229" s="3">
        <f>I229/L229</f>
        <v/>
      </c>
      <c r="N229">
        <f>IF(M229&gt;=5100,"ставка","мин.ставка")</f>
        <v/>
      </c>
      <c r="O229" s="3">
        <f>ROUND(IF(N229="мин.ставка",L229*100,I229/102*2),2)</f>
        <v/>
      </c>
      <c r="P229" s="5" t="n">
        <v>46232.5</v>
      </c>
      <c r="Q229" t="inlineStr">
        <is>
          <t>TravelLine ресепшен</t>
        </is>
      </c>
      <c r="R229" s="2" t="inlineStr">
        <is>
          <t>СТАНДАРТНЫЙ ДВУХМЕСТНЫЙ НОМЕР</t>
        </is>
      </c>
      <c r="S229" t="n">
        <v>23</v>
      </c>
      <c r="T229" t="n">
        <v>1</v>
      </c>
      <c r="U229" t="inlineStr"/>
      <c r="V229" t="inlineStr">
        <is>
          <t>Тариф с завтраком</t>
        </is>
      </c>
      <c r="W229" t="n">
        <v>8900</v>
      </c>
      <c r="X229" s="3" t="n">
        <v>0</v>
      </c>
      <c r="Y229" t="inlineStr"/>
      <c r="Z229" t="inlineStr"/>
      <c r="AA229" s="3" t="n">
        <v>8900</v>
      </c>
      <c r="AB229" t="inlineStr">
        <is>
          <t>Сошлось по ночным тарифам</t>
        </is>
      </c>
      <c r="AC229" s="2" t="inlineStr"/>
      <c r="AD229" t="n">
        <v>0</v>
      </c>
      <c r="AE229" t="n">
        <v>0</v>
      </c>
      <c r="AF229" t="inlineStr">
        <is>
          <t>Скидки нет</t>
        </is>
      </c>
      <c r="AG229" t="n">
        <v>8900</v>
      </c>
      <c r="AH229" t="n">
        <v>8900</v>
      </c>
      <c r="AI229" t="inlineStr">
        <is>
          <t>Полное проживание в выбранном периоде</t>
        </is>
      </c>
    </row>
    <row r="230">
      <c r="A230" t="inlineStr">
        <is>
          <t>20260925-8186-468345543</t>
        </is>
      </c>
      <c r="B230" t="n">
        <v>1</v>
      </c>
      <c r="C230" s="2" t="inlineStr">
        <is>
          <t>Арсен Силанян, Юлия Егорова</t>
        </is>
      </c>
      <c r="D230" s="3" t="n">
        <v>14002.05</v>
      </c>
      <c r="E230" s="4" t="n">
        <v>4</v>
      </c>
      <c r="F230" t="inlineStr">
        <is>
          <t>TravelLine Booking Engine [Чайковский]</t>
        </is>
      </c>
      <c r="G230" s="3">
        <f>ROUND(D230/(100-E230)*100,2)</f>
        <v/>
      </c>
      <c r="H230" s="3" t="n">
        <v>0</v>
      </c>
      <c r="I230" s="3">
        <f>ROUND(IF(ISNUMBER(AG230),AG230,G230)+H230,2)</f>
        <v/>
      </c>
      <c r="J230" s="2" t="inlineStr">
        <is>
          <t>Завтрак "Шведский стол"</t>
        </is>
      </c>
      <c r="K230" s="5" t="n">
        <v>46290.58333333334</v>
      </c>
      <c r="L230" t="n">
        <v>1</v>
      </c>
      <c r="M230" s="3">
        <f>I230/L230</f>
        <v/>
      </c>
      <c r="N230">
        <f>IF(M230&gt;=5100,"ставка","мин.ставка")</f>
        <v/>
      </c>
      <c r="O230" s="3">
        <f>ROUND(IF(N230="мин.ставка",L230*100,I230/102*2),2)</f>
        <v/>
      </c>
      <c r="P230" s="5" t="n">
        <v>46291.5</v>
      </c>
      <c r="Q230" t="inlineStr">
        <is>
          <t>TravelLine сайт</t>
        </is>
      </c>
      <c r="R230" s="2" t="inlineStr">
        <is>
          <t>СЕМЕЙНЫЙ НОМЕР КАТЕГОРИИ "СТАНДАРТ" ВТОРОЙ КОРПУС</t>
        </is>
      </c>
      <c r="S230" t="n">
        <v>51</v>
      </c>
      <c r="T230" t="n">
        <v>2</v>
      </c>
      <c r="U230" t="inlineStr"/>
      <c r="V230" t="inlineStr">
        <is>
          <t>Тариф с завтраком</t>
        </is>
      </c>
      <c r="W230" t="n">
        <v>14002.05</v>
      </c>
      <c r="X230" s="3" t="n">
        <v>447.95</v>
      </c>
      <c r="Y230" t="inlineStr">
        <is>
          <t>3.1%</t>
        </is>
      </c>
      <c r="Z230" t="inlineStr">
        <is>
          <t>2026-09-25</t>
        </is>
      </c>
      <c r="AA230" s="3" t="n">
        <v>14002.05</v>
      </c>
      <c r="AB230" t="inlineStr">
        <is>
          <t>Сошлось по ночным тарифам</t>
        </is>
      </c>
      <c r="AC230" s="2" t="inlineStr"/>
      <c r="AD230" t="n">
        <v>447.95</v>
      </c>
      <c r="AE230" t="n">
        <v>0</v>
      </c>
      <c r="AF230" t="inlineStr">
        <is>
          <t>Скидка добавлена к налоговой базе</t>
        </is>
      </c>
      <c r="AG230" t="n">
        <v>14450</v>
      </c>
      <c r="AH230" t="n">
        <v>14002.05</v>
      </c>
      <c r="AI230" t="inlineStr">
        <is>
          <t>Полное проживание в выбранном периоде</t>
        </is>
      </c>
    </row>
    <row r="231">
      <c r="A231" t="inlineStr">
        <is>
          <t>20260807-8186-455506727</t>
        </is>
      </c>
      <c r="B231" t="n">
        <v>1</v>
      </c>
      <c r="C231" s="2" t="inlineStr">
        <is>
          <t>Арсений Молотков, Екатерина Молоткова</t>
        </is>
      </c>
      <c r="D231" s="3" t="n">
        <v>8217</v>
      </c>
      <c r="E231" s="4" t="n">
        <v>18</v>
      </c>
      <c r="F231" t="inlineStr">
        <is>
          <t>Яндекс.Путешествия [Чайковский]</t>
        </is>
      </c>
      <c r="G231" s="3">
        <f>ROUND(D231/(100-E231)*100,2)</f>
        <v/>
      </c>
      <c r="H231" s="3" t="n">
        <v>0</v>
      </c>
      <c r="I231" s="3">
        <f>ROUND(IF(ISNUMBER(AG231),AG231,G231)+H231,2)</f>
        <v/>
      </c>
      <c r="J231" s="2" t="inlineStr">
        <is>
          <t>Завтрак "Шведский стол"</t>
        </is>
      </c>
      <c r="K231" s="5" t="n">
        <v>46241.58333333334</v>
      </c>
      <c r="L231" t="n">
        <v>1</v>
      </c>
      <c r="M231" s="3">
        <f>I231/L231</f>
        <v/>
      </c>
      <c r="N231">
        <f>IF(M231&gt;=5100,"ставка","мин.ставка")</f>
        <v/>
      </c>
      <c r="O231" s="3">
        <f>ROUND(IF(N231="мин.ставка",L231*100,I231/102*2),2)</f>
        <v/>
      </c>
      <c r="P231" s="5" t="n">
        <v>46242.5</v>
      </c>
      <c r="Q231" t="inlineStr">
        <is>
          <t>TravelLine YAX</t>
        </is>
      </c>
      <c r="R231" s="2" t="inlineStr">
        <is>
          <t>СТАНДАРТНЫЙ ДВУХМЕСТНЫЙ НОМЕР (МАНСАРДА)</t>
        </is>
      </c>
      <c r="S231" t="n">
        <v>41</v>
      </c>
      <c r="T231" t="n">
        <v>1</v>
      </c>
      <c r="U231" t="inlineStr"/>
      <c r="V231" t="inlineStr">
        <is>
          <t>Тариф с завтраком</t>
        </is>
      </c>
      <c r="W231" t="n">
        <v>8217</v>
      </c>
      <c r="X231" s="3" t="n">
        <v>1683</v>
      </c>
      <c r="Y231" t="inlineStr">
        <is>
          <t>17%</t>
        </is>
      </c>
      <c r="Z231" t="inlineStr">
        <is>
          <t>2026-08-07</t>
        </is>
      </c>
      <c r="AA231" s="3" t="n">
        <v>8217</v>
      </c>
      <c r="AB231" t="inlineStr">
        <is>
          <t>Сошлось по ночным тарифам</t>
        </is>
      </c>
      <c r="AC231" s="2" t="inlineStr"/>
      <c r="AD231" t="n">
        <v>1683</v>
      </c>
      <c r="AE231" t="n">
        <v>0</v>
      </c>
      <c r="AF231" t="inlineStr">
        <is>
          <t>Скидка добавлена к налоговой базе</t>
        </is>
      </c>
      <c r="AG231" t="n">
        <v>9900</v>
      </c>
      <c r="AH231" t="n">
        <v>8217</v>
      </c>
      <c r="AI231" t="inlineStr">
        <is>
          <t>Полное проживание в выбранном периоде</t>
        </is>
      </c>
    </row>
    <row r="232">
      <c r="A232" t="inlineStr">
        <is>
          <t>20260821-8186-445193379</t>
        </is>
      </c>
      <c r="B232" t="n">
        <v>1</v>
      </c>
      <c r="C232" s="2" t="inlineStr">
        <is>
          <t>Артем Белоногов</t>
        </is>
      </c>
      <c r="D232" s="3" t="n">
        <v>6764</v>
      </c>
      <c r="E232" s="4" t="n">
        <v>17</v>
      </c>
      <c r="F232" t="inlineStr">
        <is>
          <t>ООО «Интернет Трэвел» (OZON) [Чайковский]</t>
        </is>
      </c>
      <c r="G232" s="3">
        <f>ROUND(D232/(100-E232)*100,2)</f>
        <v/>
      </c>
      <c r="H232" s="3" t="n">
        <v>0</v>
      </c>
      <c r="I232" s="3">
        <f>ROUND(IF(ISNUMBER(AG232),AG232,G232)+H232,2)</f>
        <v/>
      </c>
      <c r="J232" s="2" t="inlineStr">
        <is>
          <t>Завтрак "Шведский стол"</t>
        </is>
      </c>
      <c r="K232" s="5" t="n">
        <v>46255.58333333334</v>
      </c>
      <c r="L232" t="n">
        <v>1</v>
      </c>
      <c r="M232" s="3">
        <f>I232/L232</f>
        <v/>
      </c>
      <c r="N232">
        <f>IF(M232&gt;=5100,"ставка","мин.ставка")</f>
        <v/>
      </c>
      <c r="O232" s="3">
        <f>ROUND(IF(N232="мин.ставка",L232*100,I232/102*2),2)</f>
        <v/>
      </c>
      <c r="P232" s="5" t="n">
        <v>46256.5</v>
      </c>
      <c r="Q232" t="inlineStr">
        <is>
          <t>TravelLine OZ2</t>
        </is>
      </c>
      <c r="R232" s="2" t="inlineStr">
        <is>
          <t>СТАНДАРТНЫЙ ДВУХМЕСТНЫЙ НОМЕР (МАНСАРДА)</t>
        </is>
      </c>
      <c r="S232" t="n">
        <v>43</v>
      </c>
      <c r="T232" t="n">
        <v>1</v>
      </c>
      <c r="U232" t="inlineStr"/>
      <c r="V232" t="inlineStr">
        <is>
          <t>Тариф с завтраком</t>
        </is>
      </c>
      <c r="W232" t="n">
        <v>6764</v>
      </c>
      <c r="X232" s="3" t="n">
        <v>0</v>
      </c>
      <c r="Y232" t="inlineStr"/>
      <c r="Z232" t="inlineStr"/>
      <c r="AA232" s="3" t="n">
        <v>6764</v>
      </c>
      <c r="AB232" t="inlineStr">
        <is>
          <t>Сошлось по ночным тарифам</t>
        </is>
      </c>
      <c r="AC232" s="2" t="inlineStr"/>
      <c r="AD232" t="n">
        <v>0</v>
      </c>
      <c r="AE232" t="n">
        <v>0</v>
      </c>
      <c r="AF232" t="inlineStr">
        <is>
          <t>Скидки нет</t>
        </is>
      </c>
      <c r="AG232" t="n">
        <v>6764</v>
      </c>
      <c r="AH232" t="n">
        <v>6764</v>
      </c>
      <c r="AI232" t="inlineStr">
        <is>
          <t>Полное проживание в выбранном периоде</t>
        </is>
      </c>
    </row>
    <row r="233">
      <c r="A233" t="inlineStr">
        <is>
          <t>20260822-8186-445188441</t>
        </is>
      </c>
      <c r="B233" t="n">
        <v>1</v>
      </c>
      <c r="C233" s="2" t="inlineStr">
        <is>
          <t>Артем Белоногов</t>
        </is>
      </c>
      <c r="D233" s="3" t="n">
        <v>6557</v>
      </c>
      <c r="E233" s="4" t="n">
        <v>17</v>
      </c>
      <c r="F233" t="inlineStr">
        <is>
          <t>ООО «Интернет Трэвел» (OZON) [Чайковский]</t>
        </is>
      </c>
      <c r="G233" s="3">
        <f>ROUND(D233/(100-E233)*100,2)</f>
        <v/>
      </c>
      <c r="H233" s="3" t="n">
        <v>0</v>
      </c>
      <c r="I233" s="3">
        <f>ROUND(IF(ISNUMBER(AG233),AG233,G233)+H233,2)</f>
        <v/>
      </c>
      <c r="J233" s="2" t="inlineStr">
        <is>
          <t>Завтрак "Шведский стол"</t>
        </is>
      </c>
      <c r="K233" s="5" t="n">
        <v>46256.58333333334</v>
      </c>
      <c r="L233" t="n">
        <v>1</v>
      </c>
      <c r="M233" s="3">
        <f>I233/L233</f>
        <v/>
      </c>
      <c r="N233">
        <f>IF(M233&gt;=5100,"ставка","мин.ставка")</f>
        <v/>
      </c>
      <c r="O233" s="3">
        <f>ROUND(IF(N233="мин.ставка",L233*100,I233/102*2),2)</f>
        <v/>
      </c>
      <c r="P233" s="5" t="n">
        <v>46257.5</v>
      </c>
      <c r="Q233" t="inlineStr">
        <is>
          <t>TravelLine OZ2</t>
        </is>
      </c>
      <c r="R233" s="2" t="inlineStr">
        <is>
          <t>СТАНДАРТНЫЙ ДВУХМЕСТНЫЙ НОМЕР (МАНСАРДА)</t>
        </is>
      </c>
      <c r="S233" t="n">
        <v>43</v>
      </c>
      <c r="T233" t="n">
        <v>1</v>
      </c>
      <c r="U233" t="inlineStr"/>
      <c r="V233" t="inlineStr">
        <is>
          <t>Тариф с завтраком</t>
        </is>
      </c>
      <c r="W233" t="n">
        <v>6557</v>
      </c>
      <c r="X233" s="3" t="n">
        <v>1343</v>
      </c>
      <c r="Y233" t="inlineStr">
        <is>
          <t>17%</t>
        </is>
      </c>
      <c r="Z233" t="inlineStr">
        <is>
          <t>2026-08-22</t>
        </is>
      </c>
      <c r="AA233" s="3" t="n">
        <v>6557</v>
      </c>
      <c r="AB233" t="inlineStr">
        <is>
          <t>Сошлось по ночным тарифам</t>
        </is>
      </c>
      <c r="AC233" s="2" t="inlineStr"/>
      <c r="AD233" t="n">
        <v>1343</v>
      </c>
      <c r="AE233" t="n">
        <v>0</v>
      </c>
      <c r="AF233" t="inlineStr">
        <is>
          <t>Скидка добавлена к налоговой базе</t>
        </is>
      </c>
      <c r="AG233" t="n">
        <v>7900</v>
      </c>
      <c r="AH233" t="n">
        <v>6557</v>
      </c>
      <c r="AI233" t="inlineStr">
        <is>
          <t>Полное проживание в выбранном периоде</t>
        </is>
      </c>
    </row>
    <row r="234">
      <c r="A234" t="inlineStr">
        <is>
          <t>20260930-8186-466726157</t>
        </is>
      </c>
      <c r="B234" t="n">
        <v>1</v>
      </c>
      <c r="C234" s="2" t="inlineStr">
        <is>
          <t>АРТЕМ ВОРОБЕЙ-РОМАНОВ</t>
        </is>
      </c>
      <c r="D234" s="3" t="n">
        <v>11680</v>
      </c>
      <c r="E234" s="4" t="n">
        <v>20</v>
      </c>
      <c r="F234" t="inlineStr">
        <is>
          <t>ООО "ХБ-ПРО" [Чайковский]</t>
        </is>
      </c>
      <c r="G234" s="3">
        <f>ROUND(D234/(100-E234)*100,2)</f>
        <v/>
      </c>
      <c r="H234" s="3" t="n">
        <v>0</v>
      </c>
      <c r="I234" s="3">
        <f>ROUND(IF(ISNUMBER(AG234),AG234,G234)+H234,2)</f>
        <v/>
      </c>
      <c r="J234" s="2" t="inlineStr"/>
      <c r="K234" s="5" t="n">
        <v>46295.58333333334</v>
      </c>
      <c r="L234" t="n">
        <v>1</v>
      </c>
      <c r="M234" s="3">
        <f>I234/L234</f>
        <v/>
      </c>
      <c r="N234">
        <f>IF(M234&gt;=5100,"ставка","мин.ставка")</f>
        <v/>
      </c>
      <c r="O234" s="3">
        <f>ROUND(IF(N234="мин.ставка",L234*100,I234/102*2),2)</f>
        <v/>
      </c>
      <c r="P234" s="5" t="n">
        <v>46297.5</v>
      </c>
      <c r="Q234" t="inlineStr">
        <is>
          <t>TravelLine UTS</t>
        </is>
      </c>
      <c r="R234" s="2" t="inlineStr">
        <is>
          <t>СТАНДАРТНЫЙ ОДНОМЕСТНЫЙ НОМЕР</t>
        </is>
      </c>
      <c r="S234" t="n">
        <v>34</v>
      </c>
      <c r="T234" t="n">
        <v>1</v>
      </c>
      <c r="U234" t="inlineStr"/>
      <c r="V234" t="inlineStr">
        <is>
          <t>Тариф с завтраком</t>
        </is>
      </c>
      <c r="W234" t="n">
        <v>11680</v>
      </c>
      <c r="X234" s="3" t="n">
        <v>0</v>
      </c>
      <c r="Y234" t="inlineStr"/>
      <c r="Z234" t="inlineStr"/>
      <c r="AA234" s="3" t="n">
        <v>11680</v>
      </c>
      <c r="AB234" t="inlineStr">
        <is>
          <t>Сошлось по ночным тарифам</t>
        </is>
      </c>
      <c r="AC234" s="2" t="inlineStr"/>
      <c r="AD234" t="n">
        <v>0</v>
      </c>
      <c r="AE234" t="n">
        <v>0</v>
      </c>
      <c r="AF234" t="inlineStr">
        <is>
          <t>Скидки нет</t>
        </is>
      </c>
      <c r="AG234" t="n">
        <v>6160</v>
      </c>
      <c r="AH234" t="n">
        <v>6160</v>
      </c>
      <c r="AI234" t="inlineStr">
        <is>
          <t>Частичное проживание распределено по dailyRates</t>
        </is>
      </c>
    </row>
    <row r="235">
      <c r="A235" t="inlineStr">
        <is>
          <t>20260922-8186-467596417</t>
        </is>
      </c>
      <c r="B235" t="n">
        <v>1</v>
      </c>
      <c r="C235" s="2" t="inlineStr">
        <is>
          <t>Артем Дертев, Виринея Дертева</t>
        </is>
      </c>
      <c r="D235" s="3" t="n">
        <v>21945</v>
      </c>
      <c r="E235" s="4" t="n">
        <v>18</v>
      </c>
      <c r="F235" t="inlineStr">
        <is>
          <t>Яндекс.Путешествия [Чайковский]</t>
        </is>
      </c>
      <c r="G235" s="3">
        <f>ROUND(D235/(100-E235)*100,2)</f>
        <v/>
      </c>
      <c r="H235" s="3" t="n">
        <v>0</v>
      </c>
      <c r="I235" s="3">
        <f>ROUND(IF(ISNUMBER(AG235),AG235,G235)+H235,2)</f>
        <v/>
      </c>
      <c r="J235" s="2" t="inlineStr">
        <is>
          <t>Завтрак "Шведский стол"</t>
        </is>
      </c>
      <c r="K235" s="5" t="n">
        <v>46287.58333333334</v>
      </c>
      <c r="L235" t="n">
        <v>2</v>
      </c>
      <c r="M235" s="3">
        <f>I235/L235</f>
        <v/>
      </c>
      <c r="N235">
        <f>IF(M235&gt;=5100,"ставка","мин.ставка")</f>
        <v/>
      </c>
      <c r="O235" s="3">
        <f>ROUND(IF(N235="мин.ставка",L235*100,I235/102*2),2)</f>
        <v/>
      </c>
      <c r="P235" s="5" t="n">
        <v>46289.5</v>
      </c>
      <c r="Q235" t="inlineStr">
        <is>
          <t>TravelLine YAX</t>
        </is>
      </c>
      <c r="R235" s="2" t="inlineStr">
        <is>
          <t>УЛУЧШЕННЫЙ ДВУХМЕСТНЫЙ НОМЕР</t>
        </is>
      </c>
      <c r="S235" t="n">
        <v>21</v>
      </c>
      <c r="T235" t="n">
        <v>1</v>
      </c>
      <c r="U235" t="inlineStr"/>
      <c r="V235" t="inlineStr">
        <is>
          <t>Тариф с завтраком</t>
        </is>
      </c>
      <c r="W235" t="n">
        <v>21945</v>
      </c>
      <c r="X235" s="3" t="n">
        <v>7315</v>
      </c>
      <c r="Y235" t="inlineStr">
        <is>
          <t>25%</t>
        </is>
      </c>
      <c r="Z235" t="inlineStr">
        <is>
          <t>2026-09-22, 2026-09-23</t>
        </is>
      </c>
      <c r="AA235" s="3" t="n">
        <v>21945</v>
      </c>
      <c r="AB235" t="inlineStr">
        <is>
          <t>Сошлось по ночным тарифам</t>
        </is>
      </c>
      <c r="AC235" s="2" t="inlineStr"/>
      <c r="AD235" t="n">
        <v>7315</v>
      </c>
      <c r="AE235" t="n">
        <v>0</v>
      </c>
      <c r="AF235" t="inlineStr">
        <is>
          <t>Скидка добавлена к налоговой базе</t>
        </is>
      </c>
      <c r="AG235" t="n">
        <v>29260</v>
      </c>
      <c r="AH235" t="n">
        <v>21945</v>
      </c>
      <c r="AI235" t="inlineStr">
        <is>
          <t>Полное проживание в выбранном периоде</t>
        </is>
      </c>
    </row>
    <row r="236">
      <c r="A236" t="inlineStr">
        <is>
          <t>20260727-8186-447561905</t>
        </is>
      </c>
      <c r="B236" t="n">
        <v>1</v>
      </c>
      <c r="C236" s="2" t="inlineStr">
        <is>
          <t>Артём Зельдич, Анастасия Кондратьева</t>
        </is>
      </c>
      <c r="D236" s="3" t="n">
        <v>40584</v>
      </c>
      <c r="E236" s="4" t="n">
        <v>18</v>
      </c>
      <c r="F236" t="inlineStr">
        <is>
          <t>Яндекс.Путешествия [Чайковский]</t>
        </is>
      </c>
      <c r="G236" s="3">
        <f>ROUND(D236/(100-E236)*100,2)</f>
        <v/>
      </c>
      <c r="H236" s="3" t="n">
        <v>0</v>
      </c>
      <c r="I236" s="3">
        <f>ROUND(IF(ISNUMBER(AG236),AG236,G236)+H236,2)</f>
        <v/>
      </c>
      <c r="J236" s="2" t="inlineStr">
        <is>
          <t>Завтрак "Шведский стол"</t>
        </is>
      </c>
      <c r="K236" s="5" t="n">
        <v>46230.58333333334</v>
      </c>
      <c r="L236" t="n">
        <v>4</v>
      </c>
      <c r="M236" s="3">
        <f>I236/L236</f>
        <v/>
      </c>
      <c r="N236">
        <f>IF(M236&gt;=5100,"ставка","мин.ставка")</f>
        <v/>
      </c>
      <c r="O236" s="3">
        <f>ROUND(IF(N236="мин.ставка",L236*100,I236/102*2),2)</f>
        <v/>
      </c>
      <c r="P236" s="5" t="n">
        <v>46234.5</v>
      </c>
      <c r="Q236" t="inlineStr">
        <is>
          <t>TravelLine YAX</t>
        </is>
      </c>
      <c r="R236" s="2" t="inlineStr">
        <is>
          <t>СТАНДАРТНЫЙ ДВУХМЕСТНЫЙ НОМЕР</t>
        </is>
      </c>
      <c r="S236" t="n">
        <v>36</v>
      </c>
      <c r="T236" t="n">
        <v>1</v>
      </c>
      <c r="U236" t="inlineStr"/>
      <c r="V236" t="inlineStr">
        <is>
          <t>Тариф с завтраком</t>
        </is>
      </c>
      <c r="W236" t="n">
        <v>40584</v>
      </c>
      <c r="X236" s="3" t="n">
        <v>10146</v>
      </c>
      <c r="Y236" t="inlineStr">
        <is>
          <t>20%</t>
        </is>
      </c>
      <c r="Z236" t="inlineStr">
        <is>
          <t>2026-07-27, 2026-07-28, 2026-07-29, 2026-07-30</t>
        </is>
      </c>
      <c r="AA236" s="3" t="n">
        <v>40584</v>
      </c>
      <c r="AB236" t="inlineStr">
        <is>
          <t>Сошлось по ночным тарифам</t>
        </is>
      </c>
      <c r="AC236" s="2" t="inlineStr"/>
      <c r="AD236" t="n">
        <v>10146</v>
      </c>
      <c r="AE236" t="n">
        <v>0</v>
      </c>
      <c r="AF236" t="inlineStr">
        <is>
          <t>Скидка добавлена к налоговой базе</t>
        </is>
      </c>
      <c r="AG236" t="n">
        <v>50730</v>
      </c>
      <c r="AH236" t="n">
        <v>40584</v>
      </c>
      <c r="AI236" t="inlineStr">
        <is>
          <t>Полное проживание в выбранном периоде</t>
        </is>
      </c>
    </row>
    <row r="237">
      <c r="A237" t="inlineStr">
        <is>
          <t>20260803-8186-450274713</t>
        </is>
      </c>
      <c r="B237" t="n">
        <v>1</v>
      </c>
      <c r="C237" s="2" t="inlineStr">
        <is>
          <t>Артем Кавалерян</t>
        </is>
      </c>
      <c r="D237" s="3" t="n">
        <v>124679.75</v>
      </c>
      <c r="E237" s="4" t="n">
        <v>4</v>
      </c>
      <c r="F237" t="inlineStr">
        <is>
          <t>TravelLine Booking Engine [Чайковский]</t>
        </is>
      </c>
      <c r="G237" s="3">
        <f>ROUND(D237/(100-E237)*100,2)</f>
        <v/>
      </c>
      <c r="H237" s="3" t="n">
        <v>2640</v>
      </c>
      <c r="I237" s="3">
        <f>ROUND(IF(ISNUMBER(AG237),AG237,G237)+H237,2)</f>
        <v/>
      </c>
      <c r="J237" s="2" t="inlineStr">
        <is>
          <t>продление номера — 2 640,00 ₽; Завтрак "Шведский стол"</t>
        </is>
      </c>
      <c r="K237" s="5" t="n">
        <v>46237.58333333334</v>
      </c>
      <c r="L237" t="n">
        <v>11</v>
      </c>
      <c r="M237" s="3">
        <f>I237/L237</f>
        <v/>
      </c>
      <c r="N237">
        <f>IF(M237&gt;=5100,"ставка","мин.ставка")</f>
        <v/>
      </c>
      <c r="O237" s="3">
        <f>ROUND(IF(N237="мин.ставка",L237*100,I237/102*2),2)</f>
        <v/>
      </c>
      <c r="P237" s="5" t="n">
        <v>46248.5</v>
      </c>
      <c r="Q237" t="inlineStr">
        <is>
          <t>TravelLine сайт</t>
        </is>
      </c>
      <c r="R237" s="2" t="inlineStr">
        <is>
          <t>СТАНДАРТНЫЙ ДВУХМЕСТНЫЙ НОМЕР</t>
        </is>
      </c>
      <c r="S237" t="n">
        <v>55</v>
      </c>
      <c r="T237" t="n">
        <v>2</v>
      </c>
      <c r="U237" t="inlineStr"/>
      <c r="V237" t="inlineStr">
        <is>
          <t>Тариф с завтраком</t>
        </is>
      </c>
      <c r="W237" t="n">
        <v>127319.75</v>
      </c>
      <c r="X237" s="3" t="n">
        <v>170.25</v>
      </c>
      <c r="Y237" t="inlineStr">
        <is>
          <t>1.5%</t>
        </is>
      </c>
      <c r="Z237" t="inlineStr">
        <is>
          <t>2026-08-03</t>
        </is>
      </c>
      <c r="AA237" s="3" t="n">
        <v>124679.75</v>
      </c>
      <c r="AB237" t="inlineStr">
        <is>
          <t>Сошлось с услугами</t>
        </is>
      </c>
      <c r="AC237" s="2" t="inlineStr"/>
      <c r="AD237" t="n">
        <v>170.25</v>
      </c>
      <c r="AE237" t="n">
        <v>0</v>
      </c>
      <c r="AF237" t="inlineStr">
        <is>
          <t>Скидка добавлена к налоговой базе</t>
        </is>
      </c>
      <c r="AG237" t="n">
        <v>124850</v>
      </c>
      <c r="AH237" t="n">
        <v>124679.75</v>
      </c>
      <c r="AI237" t="inlineStr">
        <is>
          <t>Полное проживание в выбранном периоде</t>
        </is>
      </c>
    </row>
    <row r="238">
      <c r="A238" t="inlineStr">
        <is>
          <t>20260828-8186-459849342</t>
        </is>
      </c>
      <c r="B238" t="n">
        <v>1</v>
      </c>
      <c r="C238" s="2" t="inlineStr">
        <is>
          <t>Артём Калинин, Александра Конторина</t>
        </is>
      </c>
      <c r="D238" s="3" t="n">
        <v>21360</v>
      </c>
      <c r="E238" s="4" t="n">
        <v>20</v>
      </c>
      <c r="F238" t="inlineStr">
        <is>
          <t>ООО "КОМПАНИЯ БРОНЕВИК" [Чайковский]</t>
        </is>
      </c>
      <c r="G238" s="3">
        <f>ROUND(D238/(100-E238)*100,2)</f>
        <v/>
      </c>
      <c r="H238" s="3" t="n">
        <v>0</v>
      </c>
      <c r="I238" s="3">
        <f>ROUND(IF(ISNUMBER(AG238),AG238,G238)+H238,2)</f>
        <v/>
      </c>
      <c r="J238" s="2" t="inlineStr">
        <is>
          <t>Завтрак "Шведский стол"</t>
        </is>
      </c>
      <c r="K238" s="5" t="n">
        <v>46262.58333333334</v>
      </c>
      <c r="L238" t="n">
        <v>2</v>
      </c>
      <c r="M238" s="3">
        <f>I238/L238</f>
        <v/>
      </c>
      <c r="N238">
        <f>IF(M238&gt;=5100,"ставка","мин.ставка")</f>
        <v/>
      </c>
      <c r="O238" s="3">
        <f>ROUND(IF(N238="мин.ставка",L238*100,I238/102*2),2)</f>
        <v/>
      </c>
      <c r="P238" s="5" t="n">
        <v>46264.5</v>
      </c>
      <c r="Q238" t="inlineStr">
        <is>
          <t>TravelLine BR2</t>
        </is>
      </c>
      <c r="R238" s="2" t="inlineStr">
        <is>
          <t>СТАНДАРТНЫЙ ДВУХМЕСТНЫЙ НОМЕР</t>
        </is>
      </c>
      <c r="S238" t="n">
        <v>22</v>
      </c>
      <c r="T238" t="n">
        <v>1</v>
      </c>
      <c r="U238" t="inlineStr"/>
      <c r="V238" t="inlineStr">
        <is>
          <t>Тариф с завтраком</t>
        </is>
      </c>
      <c r="W238" t="n">
        <v>21360</v>
      </c>
      <c r="X238" s="3" t="n">
        <v>0</v>
      </c>
      <c r="Y238" t="inlineStr"/>
      <c r="Z238" t="inlineStr"/>
      <c r="AA238" s="3" t="n">
        <v>21360</v>
      </c>
      <c r="AB238" t="inlineStr">
        <is>
          <t>Сошлось по ночным тарифам</t>
        </is>
      </c>
      <c r="AC238" s="2" t="inlineStr"/>
      <c r="AD238" t="n">
        <v>0</v>
      </c>
      <c r="AE238" t="n">
        <v>0</v>
      </c>
      <c r="AF238" t="inlineStr">
        <is>
          <t>Скидки нет</t>
        </is>
      </c>
      <c r="AG238" t="n">
        <v>21360</v>
      </c>
      <c r="AH238" t="n">
        <v>21360</v>
      </c>
      <c r="AI238" t="inlineStr">
        <is>
          <t>Полное проживание в выбранном периоде</t>
        </is>
      </c>
    </row>
    <row r="239">
      <c r="A239" t="inlineStr">
        <is>
          <t>20260918-8186-466399590</t>
        </is>
      </c>
      <c r="B239" t="n">
        <v>1</v>
      </c>
      <c r="C239" s="2" t="inlineStr">
        <is>
          <t>АРТЁМ КИРИЧЕНКО, Виолетта Хисамова</t>
        </is>
      </c>
      <c r="D239" s="3" t="n">
        <v>17248.2</v>
      </c>
      <c r="E239" s="4" t="n">
        <v>4</v>
      </c>
      <c r="F239" t="inlineStr">
        <is>
          <t>TravelLine Booking Engine [Чайковский]</t>
        </is>
      </c>
      <c r="G239" s="3">
        <f>ROUND(D239/(100-E239)*100,2)</f>
        <v/>
      </c>
      <c r="H239" s="3" t="n">
        <v>0</v>
      </c>
      <c r="I239" s="3">
        <f>ROUND(IF(ISNUMBER(AG239),AG239,G239)+H239,2)</f>
        <v/>
      </c>
      <c r="J239" s="2" t="inlineStr">
        <is>
          <t>Завтрак "Шведский стол"</t>
        </is>
      </c>
      <c r="K239" s="5" t="n">
        <v>46283.58333333334</v>
      </c>
      <c r="L239" t="n">
        <v>1</v>
      </c>
      <c r="M239" s="3">
        <f>I239/L239</f>
        <v/>
      </c>
      <c r="N239">
        <f>IF(M239&gt;=5100,"ставка","мин.ставка")</f>
        <v/>
      </c>
      <c r="O239" s="3">
        <f>ROUND(IF(N239="мин.ставка",L239*100,I239/102*2),2)</f>
        <v/>
      </c>
      <c r="P239" s="5" t="n">
        <v>46284.5</v>
      </c>
      <c r="Q239" t="inlineStr">
        <is>
          <t>TravelLine сайт</t>
        </is>
      </c>
      <c r="R239" s="2" t="inlineStr">
        <is>
          <t>ЛЮКС ВТОРОЙ КОРПУС</t>
        </is>
      </c>
      <c r="S239" t="n">
        <v>53</v>
      </c>
      <c r="T239" t="n">
        <v>2</v>
      </c>
      <c r="U239" t="inlineStr"/>
      <c r="V239" t="inlineStr">
        <is>
          <t>Тариф с завтраком</t>
        </is>
      </c>
      <c r="W239" t="n">
        <v>17248.2</v>
      </c>
      <c r="X239" s="3" t="n">
        <v>551.8</v>
      </c>
      <c r="Y239" t="inlineStr">
        <is>
          <t>3.1%</t>
        </is>
      </c>
      <c r="Z239" t="inlineStr">
        <is>
          <t>2026-09-18</t>
        </is>
      </c>
      <c r="AA239" s="3" t="n">
        <v>17248.2</v>
      </c>
      <c r="AB239" t="inlineStr">
        <is>
          <t>Сошлось по ночным тарифам</t>
        </is>
      </c>
      <c r="AC239" s="2" t="inlineStr"/>
      <c r="AD239" t="n">
        <v>551.8</v>
      </c>
      <c r="AE239" t="n">
        <v>0</v>
      </c>
      <c r="AF239" t="inlineStr">
        <is>
          <t>Скидка добавлена к налоговой базе</t>
        </is>
      </c>
      <c r="AG239" t="n">
        <v>17800</v>
      </c>
      <c r="AH239" t="n">
        <v>17248.2</v>
      </c>
      <c r="AI239" t="inlineStr">
        <is>
          <t>Полное проживание в выбранном периоде</t>
        </is>
      </c>
    </row>
    <row r="240">
      <c r="A240" t="inlineStr">
        <is>
          <t>20260727-8186-449472645</t>
        </is>
      </c>
      <c r="B240" t="n">
        <v>1</v>
      </c>
      <c r="C240" s="2" t="inlineStr">
        <is>
          <t>Артем Лисичкин, Полина Григорьева</t>
        </is>
      </c>
      <c r="D240" s="3" t="n">
        <v>8217</v>
      </c>
      <c r="E240" s="4" t="n">
        <v>17</v>
      </c>
      <c r="F240" t="inlineStr">
        <is>
          <t>ООО «Дубль Гис» (OTELLO) [Чайковский]</t>
        </is>
      </c>
      <c r="G240" s="3">
        <f>ROUND(D240/(100-E240)*100,2)</f>
        <v/>
      </c>
      <c r="H240" s="3" t="n">
        <v>0</v>
      </c>
      <c r="I240" s="3">
        <f>ROUND(IF(ISNUMBER(AG240),AG240,G240)+H240,2)</f>
        <v/>
      </c>
      <c r="J240" s="2" t="inlineStr">
        <is>
          <t>Завтрак "Шведский стол"</t>
        </is>
      </c>
      <c r="K240" s="5" t="n">
        <v>46230.58333333334</v>
      </c>
      <c r="L240" t="n">
        <v>1</v>
      </c>
      <c r="M240" s="3">
        <f>I240/L240</f>
        <v/>
      </c>
      <c r="N240">
        <f>IF(M240&gt;=5100,"ставка","мин.ставка")</f>
        <v/>
      </c>
      <c r="O240" s="3">
        <f>ROUND(IF(N240="мин.ставка",L240*100,I240/102*2),2)</f>
        <v/>
      </c>
      <c r="P240" s="5" t="n">
        <v>46231.5</v>
      </c>
      <c r="Q240" t="inlineStr">
        <is>
          <t>TravelLine OL2</t>
        </is>
      </c>
      <c r="R240" s="2" t="inlineStr">
        <is>
          <t>СТАНДАРТНЫЙ ДВУХМЕСТНЫЙ НОМЕР (МАНСАРДА)</t>
        </is>
      </c>
      <c r="S240" t="n">
        <v>41</v>
      </c>
      <c r="T240" t="n">
        <v>1</v>
      </c>
      <c r="U240" t="inlineStr"/>
      <c r="V240" t="inlineStr">
        <is>
          <t>Тариф с завтраком</t>
        </is>
      </c>
      <c r="W240" t="n">
        <v>8217</v>
      </c>
      <c r="X240" s="3" t="n">
        <v>1683</v>
      </c>
      <c r="Y240" t="inlineStr">
        <is>
          <t>17%</t>
        </is>
      </c>
      <c r="Z240" t="inlineStr">
        <is>
          <t>2026-07-27</t>
        </is>
      </c>
      <c r="AA240" s="3" t="n">
        <v>8217</v>
      </c>
      <c r="AB240" t="inlineStr">
        <is>
          <t>Сошлось по ночным тарифам</t>
        </is>
      </c>
      <c r="AC240" s="2" t="inlineStr"/>
      <c r="AD240" t="n">
        <v>1683</v>
      </c>
      <c r="AE240" t="n">
        <v>0</v>
      </c>
      <c r="AF240" t="inlineStr">
        <is>
          <t>Скидка добавлена к налоговой базе</t>
        </is>
      </c>
      <c r="AG240" t="n">
        <v>9900</v>
      </c>
      <c r="AH240" t="n">
        <v>8217</v>
      </c>
      <c r="AI240" t="inlineStr">
        <is>
          <t>Полное проживание в выбранном периоде</t>
        </is>
      </c>
    </row>
    <row r="241">
      <c r="A241" t="inlineStr">
        <is>
          <t>20260829-8186-462311294</t>
        </is>
      </c>
      <c r="B241" t="n">
        <v>1</v>
      </c>
      <c r="C241" s="2" t="inlineStr">
        <is>
          <t>Артем Соколовский, ЮЛИЯ СОКОЛОВСКАЯ</t>
        </is>
      </c>
      <c r="D241" s="3" t="n">
        <v>12015</v>
      </c>
      <c r="E241" s="4" t="n">
        <v>0</v>
      </c>
      <c r="F241" t="inlineStr">
        <is>
          <t>Прямые бронирования (стойка) [Чайковский]</t>
        </is>
      </c>
      <c r="G241" s="3">
        <f>ROUND(D241/(100-E241)*100,2)</f>
        <v/>
      </c>
      <c r="H241" s="3" t="n">
        <v>0</v>
      </c>
      <c r="I241" s="3">
        <f>ROUND(IF(ISNUMBER(AG241),AG241,G241)+H241,2)</f>
        <v/>
      </c>
      <c r="J241" s="2" t="inlineStr">
        <is>
          <t>Завтрак "Шведский стол"</t>
        </is>
      </c>
      <c r="K241" s="5" t="n">
        <v>46263.58333333334</v>
      </c>
      <c r="L241" t="n">
        <v>1</v>
      </c>
      <c r="M241" s="3">
        <f>I241/L241</f>
        <v/>
      </c>
      <c r="N241">
        <f>IF(M241&gt;=5100,"ставка","мин.ставка")</f>
        <v/>
      </c>
      <c r="O241" s="3">
        <f>ROUND(IF(N241="мин.ставка",L241*100,I241/102*2),2)</f>
        <v/>
      </c>
      <c r="P241" s="5" t="n">
        <v>46264.5</v>
      </c>
      <c r="Q241" t="inlineStr">
        <is>
          <t>TravelLine ресепшен</t>
        </is>
      </c>
      <c r="R241" s="2" t="inlineStr">
        <is>
          <t>СТАНДАРТНЫЙ ДВУХМЕСТНЫЙ НОМЕР</t>
        </is>
      </c>
      <c r="S241" t="n">
        <v>36</v>
      </c>
      <c r="T241" t="n">
        <v>1</v>
      </c>
      <c r="U241" t="inlineStr"/>
      <c r="V241" t="inlineStr">
        <is>
          <t>Тариф с завтраком</t>
        </is>
      </c>
      <c r="W241" t="n">
        <v>12015</v>
      </c>
      <c r="X241" s="3" t="n">
        <v>1335</v>
      </c>
      <c r="Y241" t="inlineStr">
        <is>
          <t>10%</t>
        </is>
      </c>
      <c r="Z241" t="inlineStr">
        <is>
          <t>2026-08-29</t>
        </is>
      </c>
      <c r="AA241" s="3" t="n">
        <v>12015</v>
      </c>
      <c r="AB241" t="inlineStr">
        <is>
          <t>Сошлось по ночным тарифам</t>
        </is>
      </c>
      <c r="AC241" s="2" t="inlineStr"/>
      <c r="AD241" t="n">
        <v>1335</v>
      </c>
      <c r="AE241" t="n">
        <v>0</v>
      </c>
      <c r="AF241" t="inlineStr">
        <is>
          <t>Скидка добавлена к налоговой базе</t>
        </is>
      </c>
      <c r="AG241" t="n">
        <v>13350</v>
      </c>
      <c r="AH241" t="n">
        <v>12015</v>
      </c>
      <c r="AI241" t="inlineStr">
        <is>
          <t>Полное проживание в выбранном периоде</t>
        </is>
      </c>
    </row>
    <row r="242">
      <c r="A242" t="inlineStr">
        <is>
          <t>20260717-8186-443674528</t>
        </is>
      </c>
      <c r="B242" t="n">
        <v>1</v>
      </c>
      <c r="C242" s="2" t="inlineStr">
        <is>
          <t>АРТЕМ СПИВАКОВ, ЭММА СПИВАКОВА</t>
        </is>
      </c>
      <c r="D242" s="3" t="n">
        <v>21360</v>
      </c>
      <c r="E242" s="4" t="n">
        <v>18</v>
      </c>
      <c r="F242" t="inlineStr">
        <is>
          <t>Яндекс.Путешествия [Чайковский]</t>
        </is>
      </c>
      <c r="G242" s="3">
        <f>ROUND(D242/(100-E242)*100,2)</f>
        <v/>
      </c>
      <c r="H242" s="3" t="n">
        <v>0</v>
      </c>
      <c r="I242" s="3">
        <f>ROUND(IF(ISNUMBER(AG242),AG242,G242)+H242,2)</f>
        <v/>
      </c>
      <c r="J242" s="2" t="inlineStr">
        <is>
          <t>Завтрак "Шведский стол"</t>
        </is>
      </c>
      <c r="K242" s="5" t="n">
        <v>46220.58333333334</v>
      </c>
      <c r="L242" t="n">
        <v>2</v>
      </c>
      <c r="M242" s="3">
        <f>I242/L242</f>
        <v/>
      </c>
      <c r="N242">
        <f>IF(M242&gt;=5100,"ставка","мин.ставка")</f>
        <v/>
      </c>
      <c r="O242" s="3">
        <f>ROUND(IF(N242="мин.ставка",L242*100,I242/102*2),2)</f>
        <v/>
      </c>
      <c r="P242" s="5" t="n">
        <v>46222.5</v>
      </c>
      <c r="Q242" t="inlineStr">
        <is>
          <t>TravelLine YAX</t>
        </is>
      </c>
      <c r="R242" s="2" t="inlineStr">
        <is>
          <t>СТАНДАРТНЫЙ ДВУХМЕСТНЫЙ НОМЕР</t>
        </is>
      </c>
      <c r="S242" t="n">
        <v>58</v>
      </c>
      <c r="T242" t="n">
        <v>2</v>
      </c>
      <c r="U242" t="inlineStr"/>
      <c r="V242" t="inlineStr">
        <is>
          <t>Тариф с завтраком</t>
        </is>
      </c>
      <c r="W242" t="n">
        <v>21360</v>
      </c>
      <c r="X242" s="3" t="n">
        <v>5340</v>
      </c>
      <c r="Y242" t="inlineStr">
        <is>
          <t>20%</t>
        </is>
      </c>
      <c r="Z242" t="inlineStr">
        <is>
          <t>2026-07-17, 2026-07-18</t>
        </is>
      </c>
      <c r="AA242" s="3" t="n">
        <v>21360</v>
      </c>
      <c r="AB242" t="inlineStr">
        <is>
          <t>Сошлось по ночным тарифам</t>
        </is>
      </c>
      <c r="AC242" s="2" t="inlineStr"/>
      <c r="AD242" t="n">
        <v>5340</v>
      </c>
      <c r="AE242" t="n">
        <v>0</v>
      </c>
      <c r="AF242" t="inlineStr">
        <is>
          <t>Скидка добавлена к налоговой базе</t>
        </is>
      </c>
      <c r="AG242" t="n">
        <v>26700</v>
      </c>
      <c r="AH242" t="n">
        <v>21360</v>
      </c>
      <c r="AI242" t="inlineStr">
        <is>
          <t>Полное проживание в выбранном периоде</t>
        </is>
      </c>
    </row>
    <row r="243">
      <c r="A243" t="inlineStr">
        <is>
          <t>20260730-8186-451142955</t>
        </is>
      </c>
      <c r="B243" t="n">
        <v>1</v>
      </c>
      <c r="C243" s="2" t="inlineStr">
        <is>
          <t>Артём Шкилёв</t>
        </is>
      </c>
      <c r="D243" s="3" t="n">
        <v>33000</v>
      </c>
      <c r="E243" s="4" t="n">
        <v>0</v>
      </c>
      <c r="F243" t="inlineStr">
        <is>
          <t>Прямые бронирования (стойка) [Чайковский]</t>
        </is>
      </c>
      <c r="G243" s="3">
        <f>ROUND(D243/(100-E243)*100,2)</f>
        <v/>
      </c>
      <c r="H243" s="3" t="n">
        <v>0</v>
      </c>
      <c r="I243" s="3">
        <f>ROUND(IF(ISNUMBER(AG243),AG243,G243)+H243,2)</f>
        <v/>
      </c>
      <c r="J243" s="2" t="inlineStr">
        <is>
          <t>Завтрак "Шведский стол"</t>
        </is>
      </c>
      <c r="K243" s="5" t="n">
        <v>46233.58333333334</v>
      </c>
      <c r="L243" t="n">
        <v>2</v>
      </c>
      <c r="M243" s="3">
        <f>I243/L243</f>
        <v/>
      </c>
      <c r="N243">
        <f>IF(M243&gt;=5100,"ставка","мин.ставка")</f>
        <v/>
      </c>
      <c r="O243" s="3">
        <f>ROUND(IF(N243="мин.ставка",L243*100,I243/102*2),2)</f>
        <v/>
      </c>
      <c r="P243" s="5" t="n">
        <v>46235.5</v>
      </c>
      <c r="Q243" t="inlineStr">
        <is>
          <t>TravelLine ресепшен</t>
        </is>
      </c>
      <c r="R243" s="2" t="inlineStr">
        <is>
          <t>ПОЛУЛЮКС</t>
        </is>
      </c>
      <c r="S243" t="n">
        <v>25</v>
      </c>
      <c r="T243" t="n">
        <v>1</v>
      </c>
      <c r="U243" t="inlineStr"/>
      <c r="V243" t="inlineStr">
        <is>
          <t>Тариф с завтраком</t>
        </is>
      </c>
      <c r="W243" t="n">
        <v>33000</v>
      </c>
      <c r="X243" s="3" t="n">
        <v>0</v>
      </c>
      <c r="Y243" t="inlineStr"/>
      <c r="Z243" t="inlineStr"/>
      <c r="AA243" s="3" t="n">
        <v>33000</v>
      </c>
      <c r="AB243" t="inlineStr">
        <is>
          <t>Сошлось по ночным тарифам</t>
        </is>
      </c>
      <c r="AC243" s="2" t="inlineStr"/>
      <c r="AD243" t="n">
        <v>0</v>
      </c>
      <c r="AE243" t="n">
        <v>0</v>
      </c>
      <c r="AF243" t="inlineStr">
        <is>
          <t>Скидки нет</t>
        </is>
      </c>
      <c r="AG243" t="n">
        <v>33000</v>
      </c>
      <c r="AH243" t="n">
        <v>33000</v>
      </c>
      <c r="AI243" t="inlineStr">
        <is>
          <t>Полное проживание в выбранном периоде</t>
        </is>
      </c>
    </row>
    <row r="244">
      <c r="A244" t="inlineStr">
        <is>
          <t>20260911-8186-464717084</t>
        </is>
      </c>
      <c r="B244" t="n">
        <v>1</v>
      </c>
      <c r="C244" s="2" t="inlineStr">
        <is>
          <t>Артур Абуляев</t>
        </is>
      </c>
      <c r="D244" s="3" t="n">
        <v>20000</v>
      </c>
      <c r="E244" s="4" t="n">
        <v>20</v>
      </c>
      <c r="F244" t="inlineStr">
        <is>
          <t>ООО «Дубль Гис» (OTELLO) [Чайковский]</t>
        </is>
      </c>
      <c r="G244" s="3">
        <f>ROUND(D244/(100-E244)*100,2)</f>
        <v/>
      </c>
      <c r="H244" s="3" t="n">
        <v>0</v>
      </c>
      <c r="I244" s="3">
        <f>ROUND(IF(ISNUMBER(AG244),AG244,G244)+H244,2)</f>
        <v/>
      </c>
      <c r="J244" s="2" t="inlineStr"/>
      <c r="K244" s="5" t="n">
        <v>46276.58333333334</v>
      </c>
      <c r="L244" t="n">
        <v>2</v>
      </c>
      <c r="M244" s="3">
        <f>I244/L244</f>
        <v/>
      </c>
      <c r="N244">
        <f>IF(M244&gt;=5100,"ставка","мин.ставка")</f>
        <v/>
      </c>
      <c r="O244" s="3">
        <f>ROUND(IF(N244="мин.ставка",L244*100,I244/102*2),2)</f>
        <v/>
      </c>
      <c r="P244" s="5" t="n">
        <v>46278.5</v>
      </c>
      <c r="Q244" t="inlineStr">
        <is>
          <t>TravelLine OL2</t>
        </is>
      </c>
      <c r="R244" s="2" t="inlineStr">
        <is>
          <t>ЛЮКС ВТОРОЙ КОРПУС</t>
        </is>
      </c>
      <c r="S244" t="n">
        <v>57</v>
      </c>
      <c r="T244" t="n">
        <v>2</v>
      </c>
      <c r="U244" t="inlineStr"/>
      <c r="V244" t="inlineStr">
        <is>
          <t>Основной тариф без завтрака</t>
        </is>
      </c>
      <c r="W244" t="n">
        <v>20000</v>
      </c>
      <c r="X244" s="3" t="n">
        <v>5000</v>
      </c>
      <c r="Y244" t="inlineStr">
        <is>
          <t>20%</t>
        </is>
      </c>
      <c r="Z244" t="inlineStr">
        <is>
          <t>2026-09-11, 2026-09-12</t>
        </is>
      </c>
      <c r="AA244" s="3" t="n">
        <v>20000</v>
      </c>
      <c r="AB244" t="inlineStr">
        <is>
          <t>Сошлось по ночным тарифам</t>
        </is>
      </c>
      <c r="AC244" s="2" t="inlineStr"/>
      <c r="AD244" t="n">
        <v>5000</v>
      </c>
      <c r="AE244" t="n">
        <v>0</v>
      </c>
      <c r="AF244" t="inlineStr">
        <is>
          <t>Скидка добавлена к налоговой базе</t>
        </is>
      </c>
      <c r="AG244" t="n">
        <v>25000</v>
      </c>
      <c r="AH244" t="n">
        <v>20000</v>
      </c>
      <c r="AI244" t="inlineStr">
        <is>
          <t>Полное проживание в выбранном периоде</t>
        </is>
      </c>
    </row>
    <row r="245">
      <c r="A245" t="inlineStr">
        <is>
          <t>20260830-8186-462320006</t>
        </is>
      </c>
      <c r="B245" t="n">
        <v>1</v>
      </c>
      <c r="C245" s="2" t="inlineStr">
        <is>
          <t>АРХИП ЗАМОСКОВНЫЙ</t>
        </is>
      </c>
      <c r="D245" s="3" t="n">
        <v>6636</v>
      </c>
      <c r="E245" s="4" t="n">
        <v>16</v>
      </c>
      <c r="F245" t="inlineStr">
        <is>
          <t>ООО "БРОНИРОВАНИЕ ГОСТИНИЦ" (OSTROVOK) [Чайковский]</t>
        </is>
      </c>
      <c r="G245" s="3">
        <f>ROUND(D245/(100-E245)*100,2)</f>
        <v/>
      </c>
      <c r="H245" s="3" t="n">
        <v>0</v>
      </c>
      <c r="I245" s="3">
        <f>ROUND(IF(ISNUMBER(AG245),AG245,G245)+H245,2)</f>
        <v/>
      </c>
      <c r="J245" s="2" t="inlineStr">
        <is>
          <t>Завтрак "Шведский стол"</t>
        </is>
      </c>
      <c r="K245" s="5" t="n">
        <v>46264.58333333334</v>
      </c>
      <c r="L245" t="n">
        <v>1</v>
      </c>
      <c r="M245" s="3">
        <f>I245/L245</f>
        <v/>
      </c>
      <c r="N245">
        <f>IF(M245&gt;=5100,"ставка","мин.ставка")</f>
        <v/>
      </c>
      <c r="O245" s="3">
        <f>ROUND(IF(N245="мин.ставка",L245*100,I245/102*2),2)</f>
        <v/>
      </c>
      <c r="P245" s="5" t="n">
        <v>46265.5</v>
      </c>
      <c r="Q245" t="inlineStr">
        <is>
          <t>TravelLine OTK</t>
        </is>
      </c>
      <c r="R245" s="2" t="inlineStr">
        <is>
          <t>СТАНДАРТНЫЙ ДВУХМЕСТНЫЙ НОМЕР</t>
        </is>
      </c>
      <c r="S245" t="n">
        <v>36</v>
      </c>
      <c r="T245" t="n">
        <v>1</v>
      </c>
      <c r="U245" t="inlineStr"/>
      <c r="V245" t="inlineStr">
        <is>
          <t>Тариф с завтраком</t>
        </is>
      </c>
      <c r="W245" t="n">
        <v>6636</v>
      </c>
      <c r="X245" s="3" t="n">
        <v>1264</v>
      </c>
      <c r="Y245" t="inlineStr">
        <is>
          <t>16%</t>
        </is>
      </c>
      <c r="Z245" t="inlineStr">
        <is>
          <t>2026-08-30</t>
        </is>
      </c>
      <c r="AA245" s="3" t="n">
        <v>6636</v>
      </c>
      <c r="AB245" t="inlineStr">
        <is>
          <t>Сошлось по ночным тарифам</t>
        </is>
      </c>
      <c r="AC245" s="2" t="inlineStr"/>
      <c r="AD245" t="n">
        <v>1264</v>
      </c>
      <c r="AE245" t="n">
        <v>0</v>
      </c>
      <c r="AF245" t="inlineStr">
        <is>
          <t>Скидка добавлена к налоговой базе</t>
        </is>
      </c>
      <c r="AG245" t="n">
        <v>7900</v>
      </c>
      <c r="AH245" t="n">
        <v>6636</v>
      </c>
      <c r="AI245" t="inlineStr">
        <is>
          <t>Полное проживание в выбранном периоде</t>
        </is>
      </c>
    </row>
    <row r="246">
      <c r="A246" t="inlineStr">
        <is>
          <t>20260830-8186-462361686</t>
        </is>
      </c>
      <c r="B246" t="n">
        <v>1</v>
      </c>
      <c r="C246" s="2" t="inlineStr">
        <is>
          <t>Ася Абрамова</t>
        </is>
      </c>
      <c r="D246" s="3" t="n">
        <v>11122</v>
      </c>
      <c r="E246" s="4" t="n">
        <v>18</v>
      </c>
      <c r="F246" t="inlineStr">
        <is>
          <t>Яндекс.Путешествия [Чайковский]</t>
        </is>
      </c>
      <c r="G246" s="3">
        <f>ROUND(D246/(100-E246)*100,2)</f>
        <v/>
      </c>
      <c r="H246" s="3" t="n">
        <v>2560</v>
      </c>
      <c r="I246" s="3">
        <f>ROUND(IF(ISNUMBER(AG246),AG246,G246)+H246,2)</f>
        <v/>
      </c>
      <c r="J246" s="2" t="inlineStr">
        <is>
          <t>продление номера — 2 560,00 ₽; Завтрак "Шведский стол"</t>
        </is>
      </c>
      <c r="K246" s="5" t="n">
        <v>46264.58333333334</v>
      </c>
      <c r="L246" t="n">
        <v>1</v>
      </c>
      <c r="M246" s="3">
        <f>I246/L246</f>
        <v/>
      </c>
      <c r="N246">
        <f>IF(M246&gt;=5100,"ставка","мин.ставка")</f>
        <v/>
      </c>
      <c r="O246" s="3">
        <f>ROUND(IF(N246="мин.ставка",L246*100,I246/102*2),2)</f>
        <v/>
      </c>
      <c r="P246" s="5" t="n">
        <v>46265.66666666666</v>
      </c>
      <c r="Q246" t="inlineStr">
        <is>
          <t>TravelLine YAX</t>
        </is>
      </c>
      <c r="R246" s="2" t="inlineStr">
        <is>
          <t>ЛЮКС ВТОРОЙ КОРПУС</t>
        </is>
      </c>
      <c r="S246" t="n">
        <v>53</v>
      </c>
      <c r="T246" t="n">
        <v>2</v>
      </c>
      <c r="U246" t="inlineStr"/>
      <c r="V246" t="inlineStr">
        <is>
          <t>Тариф с завтраком</t>
        </is>
      </c>
      <c r="W246" t="n">
        <v>13682</v>
      </c>
      <c r="X246" s="3" t="n">
        <v>2278</v>
      </c>
      <c r="Y246" t="inlineStr">
        <is>
          <t>17%</t>
        </is>
      </c>
      <c r="Z246" t="inlineStr">
        <is>
          <t>2026-08-30</t>
        </is>
      </c>
      <c r="AA246" s="3" t="n">
        <v>11122</v>
      </c>
      <c r="AB246" t="inlineStr">
        <is>
          <t>Сошлось с услугами</t>
        </is>
      </c>
      <c r="AC246" s="2" t="inlineStr"/>
      <c r="AD246" t="n">
        <v>2278</v>
      </c>
      <c r="AE246" t="n">
        <v>0</v>
      </c>
      <c r="AF246" t="inlineStr">
        <is>
          <t>Скидка добавлена к налоговой базе</t>
        </is>
      </c>
      <c r="AG246" t="n">
        <v>13400</v>
      </c>
      <c r="AH246" t="n">
        <v>11122</v>
      </c>
      <c r="AI246" t="inlineStr">
        <is>
          <t>Полное проживание в выбранном периоде</t>
        </is>
      </c>
    </row>
    <row r="247">
      <c r="A247" t="inlineStr">
        <is>
          <t>20260816-8186-458968810</t>
        </is>
      </c>
      <c r="B247" t="n">
        <v>1</v>
      </c>
      <c r="C247" s="2" t="inlineStr">
        <is>
          <t>Ахмед Гамзатов, Наталья Воробьёва</t>
        </is>
      </c>
      <c r="D247" s="3" t="n">
        <v>32752.5</v>
      </c>
      <c r="E247" s="4" t="n">
        <v>4</v>
      </c>
      <c r="F247" t="inlineStr">
        <is>
          <t>TravelLine Booking Engine [Чайковский]</t>
        </is>
      </c>
      <c r="G247" s="3">
        <f>ROUND(D247/(100-E247)*100,2)</f>
        <v/>
      </c>
      <c r="H247" s="3" t="n">
        <v>0</v>
      </c>
      <c r="I247" s="3">
        <f>ROUND(IF(ISNUMBER(AG247),AG247,G247)+H247,2)</f>
        <v/>
      </c>
      <c r="J247" s="2" t="inlineStr">
        <is>
          <t>Завтрак "Шведский стол"</t>
        </is>
      </c>
      <c r="K247" s="5" t="n">
        <v>46250.58333333334</v>
      </c>
      <c r="L247" t="n">
        <v>2</v>
      </c>
      <c r="M247" s="3">
        <f>I247/L247</f>
        <v/>
      </c>
      <c r="N247">
        <f>IF(M247&gt;=5100,"ставка","мин.ставка")</f>
        <v/>
      </c>
      <c r="O247" s="3">
        <f>ROUND(IF(N247="мин.ставка",L247*100,I247/102*2),2)</f>
        <v/>
      </c>
      <c r="P247" s="5" t="n">
        <v>46252.5</v>
      </c>
      <c r="Q247" t="inlineStr">
        <is>
          <t>TravelLine сайт</t>
        </is>
      </c>
      <c r="R247" s="2" t="inlineStr">
        <is>
          <t>ПОЛУЛЮКС</t>
        </is>
      </c>
      <c r="S247" t="n">
        <v>25</v>
      </c>
      <c r="T247" t="n">
        <v>1</v>
      </c>
      <c r="U247" t="inlineStr"/>
      <c r="V247" t="inlineStr">
        <is>
          <t>Тариф с завтраком</t>
        </is>
      </c>
      <c r="W247" t="n">
        <v>32752.5</v>
      </c>
      <c r="X247" s="3" t="n">
        <v>247.5</v>
      </c>
      <c r="Y247" t="inlineStr">
        <is>
          <t>1.5%</t>
        </is>
      </c>
      <c r="Z247" t="inlineStr">
        <is>
          <t>2026-08-16</t>
        </is>
      </c>
      <c r="AA247" s="3" t="n">
        <v>32752.5</v>
      </c>
      <c r="AB247" t="inlineStr">
        <is>
          <t>Сошлось по ночным тарифам</t>
        </is>
      </c>
      <c r="AC247" s="2" t="inlineStr"/>
      <c r="AD247" t="n">
        <v>247.5</v>
      </c>
      <c r="AE247" t="n">
        <v>0</v>
      </c>
      <c r="AF247" t="inlineStr">
        <is>
          <t>Скидка добавлена к налоговой базе</t>
        </is>
      </c>
      <c r="AG247" t="n">
        <v>33000</v>
      </c>
      <c r="AH247" t="n">
        <v>32752.5</v>
      </c>
      <c r="AI247" t="inlineStr">
        <is>
          <t>Полное проживание в выбранном периоде</t>
        </is>
      </c>
    </row>
    <row r="248">
      <c r="A248" t="inlineStr">
        <is>
          <t>20260703-8186-447441430</t>
        </is>
      </c>
      <c r="B248" t="n">
        <v>1</v>
      </c>
      <c r="C248" s="2" t="inlineStr">
        <is>
          <t>Баатр Лиджиев, Виктория Лиджиева</t>
        </is>
      </c>
      <c r="D248" s="3" t="n">
        <v>5880</v>
      </c>
      <c r="E248" s="4" t="n">
        <v>18</v>
      </c>
      <c r="F248" t="inlineStr">
        <is>
          <t>Яндекс.Путешествия [Чайковский]</t>
        </is>
      </c>
      <c r="G248" s="3">
        <f>ROUND(D248/(100-E248)*100,2)</f>
        <v/>
      </c>
      <c r="H248" s="3" t="n">
        <v>0</v>
      </c>
      <c r="I248" s="3">
        <f>ROUND(IF(ISNUMBER(AG248),AG248,G248)+H248,2)</f>
        <v/>
      </c>
      <c r="J248" s="2" t="inlineStr"/>
      <c r="K248" s="5" t="n">
        <v>46206.58333333334</v>
      </c>
      <c r="L248" t="n">
        <v>1</v>
      </c>
      <c r="M248" s="3">
        <f>I248/L248</f>
        <v/>
      </c>
      <c r="N248">
        <f>IF(M248&gt;=5100,"ставка","мин.ставка")</f>
        <v/>
      </c>
      <c r="O248" s="3">
        <f>ROUND(IF(N248="мин.ставка",L248*100,I248/102*2),2)</f>
        <v/>
      </c>
      <c r="P248" s="5" t="n">
        <v>46207.5</v>
      </c>
      <c r="Q248" t="inlineStr">
        <is>
          <t>TravelLine YAX</t>
        </is>
      </c>
      <c r="R248" s="2" t="inlineStr">
        <is>
          <t>СЕМЕЙНЫЙ НОМЕР КАТЕГОРИИ "СТАНДАРТ" ВТОРОЙ КОРПУС</t>
        </is>
      </c>
      <c r="S248" t="n">
        <v>51</v>
      </c>
      <c r="T248" t="n">
        <v>2</v>
      </c>
      <c r="U248" t="inlineStr"/>
      <c r="V248" t="inlineStr">
        <is>
          <t>Основной тариф без завтрака</t>
        </is>
      </c>
      <c r="W248" t="n">
        <v>5880</v>
      </c>
      <c r="X248" s="3" t="n">
        <v>1470</v>
      </c>
      <c r="Y248" t="inlineStr">
        <is>
          <t>20%</t>
        </is>
      </c>
      <c r="Z248" t="inlineStr">
        <is>
          <t>2026-07-03</t>
        </is>
      </c>
      <c r="AA248" s="3" t="n">
        <v>5880</v>
      </c>
      <c r="AB248" t="inlineStr">
        <is>
          <t>Сошлось по ночным тарифам</t>
        </is>
      </c>
      <c r="AC248" s="2" t="inlineStr"/>
      <c r="AD248" t="n">
        <v>1470</v>
      </c>
      <c r="AE248" t="n">
        <v>0</v>
      </c>
      <c r="AF248" t="inlineStr">
        <is>
          <t>Скидка добавлена к налоговой базе</t>
        </is>
      </c>
      <c r="AG248" t="n">
        <v>7350</v>
      </c>
      <c r="AH248" t="n">
        <v>5880</v>
      </c>
      <c r="AI248" t="inlineStr">
        <is>
          <t>Полное проживание в выбранном периоде</t>
        </is>
      </c>
    </row>
    <row r="249">
      <c r="A249" t="inlineStr">
        <is>
          <t>20260630-8186-444910095</t>
        </is>
      </c>
      <c r="B249" t="n">
        <v>1</v>
      </c>
      <c r="C249" s="2" t="inlineStr">
        <is>
          <t>Булат Зарипов, САФИНА ЗАРИПОВА</t>
        </is>
      </c>
      <c r="D249" s="3" t="n">
        <v>32160</v>
      </c>
      <c r="E249" s="4" t="n">
        <v>20</v>
      </c>
      <c r="F249" t="inlineStr">
        <is>
          <t>ООО "УК ГЦБ и Т" [Чайковский]</t>
        </is>
      </c>
      <c r="G249" s="3">
        <f>ROUND(D249/(100-E249)*100,2)</f>
        <v/>
      </c>
      <c r="H249" s="3" t="n">
        <v>0</v>
      </c>
      <c r="I249" s="3">
        <f>ROUND(IF(ISNUMBER(AG249),AG249,G249)+H249,2)</f>
        <v/>
      </c>
      <c r="J249" s="2" t="inlineStr"/>
      <c r="K249" s="5" t="n">
        <v>46203.58333333334</v>
      </c>
      <c r="L249" t="n">
        <v>2</v>
      </c>
      <c r="M249" s="3">
        <f>I249/L249</f>
        <v/>
      </c>
      <c r="N249">
        <f>IF(M249&gt;=5100,"ставка","мин.ставка")</f>
        <v/>
      </c>
      <c r="O249" s="3">
        <f>ROUND(IF(N249="мин.ставка",L249*100,I249/102*2),2)</f>
        <v/>
      </c>
      <c r="P249" s="5" t="n">
        <v>46206.5</v>
      </c>
      <c r="Q249" t="inlineStr">
        <is>
          <t>TravelLine CBC</t>
        </is>
      </c>
      <c r="R249" s="2" t="inlineStr">
        <is>
          <t>ПОЛУЛЮКС</t>
        </is>
      </c>
      <c r="S249" t="n">
        <v>11</v>
      </c>
      <c r="T249" t="n">
        <v>1</v>
      </c>
      <c r="U249" t="inlineStr"/>
      <c r="V249" t="inlineStr">
        <is>
          <t>Тариф с завтраком</t>
        </is>
      </c>
      <c r="W249" t="n">
        <v>38160</v>
      </c>
      <c r="X249" s="3" t="n">
        <v>8040</v>
      </c>
      <c r="Y249" t="inlineStr">
        <is>
          <t>20%</t>
        </is>
      </c>
      <c r="Z249" t="inlineStr">
        <is>
          <t>2026-06-30, 2026-07-01, 2026-07-02</t>
        </is>
      </c>
      <c r="AA249" s="3" t="n">
        <v>32160</v>
      </c>
      <c r="AB249" t="inlineStr">
        <is>
          <t>Сошлось с услугами</t>
        </is>
      </c>
      <c r="AC249" s="2" t="inlineStr"/>
      <c r="AD249" t="n">
        <v>5360</v>
      </c>
      <c r="AE249" t="n">
        <v>0</v>
      </c>
      <c r="AF249" t="inlineStr">
        <is>
          <t>Ночи скидки определены по dailyRates; в базу добавлена только часть выбранного периода</t>
        </is>
      </c>
      <c r="AG249" t="n">
        <v>26800</v>
      </c>
      <c r="AH249" t="n">
        <v>21440</v>
      </c>
      <c r="AI249" t="inlineStr">
        <is>
          <t>Частичное проживание распределено по dailyRates; допуслуги без даты исключены</t>
        </is>
      </c>
    </row>
    <row r="250">
      <c r="A250" t="inlineStr">
        <is>
          <t>20260903-8186-463232143</t>
        </is>
      </c>
      <c r="B250" t="n">
        <v>1</v>
      </c>
      <c r="C250" s="2" t="inlineStr">
        <is>
          <t>Вадим Галий</t>
        </is>
      </c>
      <c r="D250" s="3" t="n">
        <v>9080</v>
      </c>
      <c r="E250" s="4" t="n">
        <v>20</v>
      </c>
      <c r="F250" t="inlineStr">
        <is>
          <t>ООО "КОМПАНИЯ БРОНЕВИК" [Чайковский]</t>
        </is>
      </c>
      <c r="G250" s="3">
        <f>ROUND(D250/(100-E250)*100,2)</f>
        <v/>
      </c>
      <c r="H250" s="3" t="n">
        <v>0</v>
      </c>
      <c r="I250" s="3">
        <f>ROUND(IF(ISNUMBER(AG250),AG250,G250)+H250,2)</f>
        <v/>
      </c>
      <c r="J250" s="2" t="inlineStr">
        <is>
          <t>Завтрак "Шведский стол"</t>
        </is>
      </c>
      <c r="K250" s="5" t="n">
        <v>46268.58333333334</v>
      </c>
      <c r="L250" t="n">
        <v>1</v>
      </c>
      <c r="M250" s="3">
        <f>I250/L250</f>
        <v/>
      </c>
      <c r="N250">
        <f>IF(M250&gt;=5100,"ставка","мин.ставка")</f>
        <v/>
      </c>
      <c r="O250" s="3">
        <f>ROUND(IF(N250="мин.ставка",L250*100,I250/102*2),2)</f>
        <v/>
      </c>
      <c r="P250" s="5" t="n">
        <v>46269.5</v>
      </c>
      <c r="Q250" t="inlineStr">
        <is>
          <t>TravelLine BR2</t>
        </is>
      </c>
      <c r="R250" s="2" t="inlineStr">
        <is>
          <t>СТАНДАРТНЫЙ ДВУХМЕСТНЫЙ НОМЕР</t>
        </is>
      </c>
      <c r="S250" t="n">
        <v>33</v>
      </c>
      <c r="T250" t="n">
        <v>1</v>
      </c>
      <c r="U250" t="inlineStr"/>
      <c r="V250" t="inlineStr">
        <is>
          <t>Тариф с завтраком</t>
        </is>
      </c>
      <c r="W250" t="n">
        <v>9080</v>
      </c>
      <c r="X250" s="3" t="n">
        <v>0</v>
      </c>
      <c r="Y250" t="inlineStr"/>
      <c r="Z250" t="inlineStr"/>
      <c r="AA250" s="3" t="n">
        <v>9080</v>
      </c>
      <c r="AB250" t="inlineStr">
        <is>
          <t>Сошлось по ночным тарифам</t>
        </is>
      </c>
      <c r="AC250" s="2" t="inlineStr"/>
      <c r="AD250" t="n">
        <v>0</v>
      </c>
      <c r="AE250" t="n">
        <v>0</v>
      </c>
      <c r="AF250" t="inlineStr">
        <is>
          <t>Скидки нет</t>
        </is>
      </c>
      <c r="AG250" t="n">
        <v>9080</v>
      </c>
      <c r="AH250" t="n">
        <v>9080</v>
      </c>
      <c r="AI250" t="inlineStr">
        <is>
          <t>Полное проживание в выбранном периоде</t>
        </is>
      </c>
    </row>
    <row r="251">
      <c r="A251" t="inlineStr">
        <is>
          <t>20260905-8186-462987029</t>
        </is>
      </c>
      <c r="B251" t="n">
        <v>1</v>
      </c>
      <c r="C251" s="2" t="inlineStr">
        <is>
          <t>Вадим Заречный, Мария Заречная</t>
        </is>
      </c>
      <c r="D251" s="3" t="n">
        <v>13200</v>
      </c>
      <c r="E251" s="4" t="n">
        <v>18</v>
      </c>
      <c r="F251" t="inlineStr">
        <is>
          <t>Яндекс.Путешествия [Чайковский]</t>
        </is>
      </c>
      <c r="G251" s="3">
        <f>ROUND(D251/(100-E251)*100,2)</f>
        <v/>
      </c>
      <c r="H251" s="3" t="n">
        <v>0</v>
      </c>
      <c r="I251" s="3">
        <f>ROUND(IF(ISNUMBER(AG251),AG251,G251)+H251,2)</f>
        <v/>
      </c>
      <c r="J251" s="2" t="inlineStr">
        <is>
          <t>Завтрак "Шведский стол"</t>
        </is>
      </c>
      <c r="K251" s="5" t="n">
        <v>46270.58333333334</v>
      </c>
      <c r="L251" t="n">
        <v>1</v>
      </c>
      <c r="M251" s="3">
        <f>I251/L251</f>
        <v/>
      </c>
      <c r="N251">
        <f>IF(M251&gt;=5100,"ставка","мин.ставка")</f>
        <v/>
      </c>
      <c r="O251" s="3">
        <f>ROUND(IF(N251="мин.ставка",L251*100,I251/102*2),2)</f>
        <v/>
      </c>
      <c r="P251" s="5" t="n">
        <v>46271.5</v>
      </c>
      <c r="Q251" t="inlineStr">
        <is>
          <t>TravelLine YAX</t>
        </is>
      </c>
      <c r="R251" s="2" t="inlineStr">
        <is>
          <t>ПОЛУЛЮКС</t>
        </is>
      </c>
      <c r="S251" t="n">
        <v>35</v>
      </c>
      <c r="T251" t="n">
        <v>1</v>
      </c>
      <c r="U251" t="inlineStr"/>
      <c r="V251" t="inlineStr">
        <is>
          <t>Тариф с завтраком</t>
        </is>
      </c>
      <c r="W251" t="n">
        <v>13200</v>
      </c>
      <c r="X251" s="3" t="n">
        <v>3300</v>
      </c>
      <c r="Y251" t="inlineStr">
        <is>
          <t>20%</t>
        </is>
      </c>
      <c r="Z251" t="inlineStr">
        <is>
          <t>2026-09-05</t>
        </is>
      </c>
      <c r="AA251" s="3" t="n">
        <v>13200</v>
      </c>
      <c r="AB251" t="inlineStr">
        <is>
          <t>Сошлось по ночным тарифам</t>
        </is>
      </c>
      <c r="AC251" s="2" t="inlineStr"/>
      <c r="AD251" t="n">
        <v>3300</v>
      </c>
      <c r="AE251" t="n">
        <v>0</v>
      </c>
      <c r="AF251" t="inlineStr">
        <is>
          <t>Скидка добавлена к налоговой базе</t>
        </is>
      </c>
      <c r="AG251" t="n">
        <v>16500</v>
      </c>
      <c r="AH251" t="n">
        <v>13200</v>
      </c>
      <c r="AI251" t="inlineStr">
        <is>
          <t>Полное проживание в выбранном периоде</t>
        </is>
      </c>
    </row>
    <row r="252">
      <c r="A252" t="inlineStr">
        <is>
          <t>20260808-8186-430692839</t>
        </is>
      </c>
      <c r="B252" t="n">
        <v>1</v>
      </c>
      <c r="C252" s="2" t="inlineStr">
        <is>
          <t>Вадим Кравков, Ольга Добродеева</t>
        </is>
      </c>
      <c r="D252" s="3" t="n">
        <v>55402.5</v>
      </c>
      <c r="E252" s="4" t="n">
        <v>17</v>
      </c>
      <c r="F252" t="inlineStr">
        <is>
          <t>ООО «Интернет Трэвел» (OZON) [Чайковский]</t>
        </is>
      </c>
      <c r="G252" s="3">
        <f>ROUND(D252/(100-E252)*100,2)</f>
        <v/>
      </c>
      <c r="H252" s="3" t="n">
        <v>600</v>
      </c>
      <c r="I252" s="3">
        <f>ROUND(IF(ISNUMBER(AG252),AG252,G252)+H252,2)</f>
        <v/>
      </c>
      <c r="J252" s="2" t="inlineStr">
        <is>
          <t>продление номера — 600,00 ₽; Завтрак "Шведский стол"</t>
        </is>
      </c>
      <c r="K252" s="5" t="n">
        <v>46242.58333333334</v>
      </c>
      <c r="L252" t="n">
        <v>5</v>
      </c>
      <c r="M252" s="3">
        <f>I252/L252</f>
        <v/>
      </c>
      <c r="N252">
        <f>IF(M252&gt;=5100,"ставка","мин.ставка")</f>
        <v/>
      </c>
      <c r="O252" s="3">
        <f>ROUND(IF(N252="мин.ставка",L252*100,I252/102*2),2)</f>
        <v/>
      </c>
      <c r="P252" s="5" t="n">
        <v>46247.5</v>
      </c>
      <c r="Q252" t="inlineStr">
        <is>
          <t>TravelLine OZ2</t>
        </is>
      </c>
      <c r="R252" s="2" t="inlineStr">
        <is>
          <t>СТАНДАРТНЫЙ ДВУХМЕСТНЫЙ НОМЕР</t>
        </is>
      </c>
      <c r="S252" t="n">
        <v>26</v>
      </c>
      <c r="T252" t="n">
        <v>1</v>
      </c>
      <c r="U252" t="inlineStr"/>
      <c r="V252" t="inlineStr">
        <is>
          <t>Тариф с завтраком</t>
        </is>
      </c>
      <c r="W252" t="n">
        <v>56002.5</v>
      </c>
      <c r="X252" s="3" t="n">
        <v>11347.5</v>
      </c>
      <c r="Y252" t="inlineStr">
        <is>
          <t>17%</t>
        </is>
      </c>
      <c r="Z252" t="inlineStr">
        <is>
          <t>2026-08-08, 2026-08-09, 2026-08-10, 2026-08-11, 2026-08-12</t>
        </is>
      </c>
      <c r="AA252" s="3" t="n">
        <v>55402.5</v>
      </c>
      <c r="AB252" t="inlineStr">
        <is>
          <t>Сошлось с услугами</t>
        </is>
      </c>
      <c r="AC252" s="2" t="inlineStr"/>
      <c r="AD252" t="n">
        <v>11347.5</v>
      </c>
      <c r="AE252" t="n">
        <v>0</v>
      </c>
      <c r="AF252" t="inlineStr">
        <is>
          <t>Скидка добавлена к налоговой базе</t>
        </is>
      </c>
      <c r="AG252" t="n">
        <v>66750</v>
      </c>
      <c r="AH252" t="n">
        <v>55402.5</v>
      </c>
      <c r="AI252" t="inlineStr">
        <is>
          <t>Полное проживание в выбранном периоде</t>
        </is>
      </c>
    </row>
    <row r="253">
      <c r="A253" t="inlineStr">
        <is>
          <t>20260710-8186-449282931</t>
        </is>
      </c>
      <c r="B253" t="n">
        <v>1</v>
      </c>
      <c r="C253" s="2" t="inlineStr">
        <is>
          <t>вадим Макаренко</t>
        </is>
      </c>
      <c r="D253" s="3" t="n">
        <v>12350</v>
      </c>
      <c r="E253" s="4" t="n">
        <v>0</v>
      </c>
      <c r="F253" t="inlineStr">
        <is>
          <t>Прямые бронирования (стойка) [Чайковский]</t>
        </is>
      </c>
      <c r="G253" s="3">
        <f>ROUND(D253/(100-E253)*100,2)</f>
        <v/>
      </c>
      <c r="H253" s="3" t="n">
        <v>0</v>
      </c>
      <c r="I253" s="3">
        <f>ROUND(IF(ISNUMBER(AG253),AG253,G253)+H253,2)</f>
        <v/>
      </c>
      <c r="J253" s="2" t="inlineStr">
        <is>
          <t>Завтрак "Шведский стол"</t>
        </is>
      </c>
      <c r="K253" s="5" t="n">
        <v>46213.58333333334</v>
      </c>
      <c r="L253" t="n">
        <v>1</v>
      </c>
      <c r="M253" s="3">
        <f>I253/L253</f>
        <v/>
      </c>
      <c r="N253">
        <f>IF(M253&gt;=5100,"ставка","мин.ставка")</f>
        <v/>
      </c>
      <c r="O253" s="3">
        <f>ROUND(IF(N253="мин.ставка",L253*100,I253/102*2),2)</f>
        <v/>
      </c>
      <c r="P253" s="5" t="n">
        <v>46214.5</v>
      </c>
      <c r="Q253" t="inlineStr">
        <is>
          <t>TravelLine ресепшен</t>
        </is>
      </c>
      <c r="R253" s="2" t="inlineStr">
        <is>
          <t>СТАНДАРТНЫЙ ДВУХМЕСТНЫЙ НОМЕР</t>
        </is>
      </c>
      <c r="S253" t="n">
        <v>46</v>
      </c>
      <c r="T253" t="n">
        <v>1</v>
      </c>
      <c r="U253" t="inlineStr"/>
      <c r="V253" t="inlineStr">
        <is>
          <t>Тариф с завтраком</t>
        </is>
      </c>
      <c r="W253" t="n">
        <v>12350</v>
      </c>
      <c r="X253" s="3" t="n">
        <v>0</v>
      </c>
      <c r="Y253" t="inlineStr"/>
      <c r="Z253" t="inlineStr"/>
      <c r="AA253" s="3" t="n">
        <v>12350</v>
      </c>
      <c r="AB253" t="inlineStr">
        <is>
          <t>Сошлось по ночным тарифам</t>
        </is>
      </c>
      <c r="AC253" s="2" t="inlineStr"/>
      <c r="AD253" t="n">
        <v>0</v>
      </c>
      <c r="AE253" t="n">
        <v>0</v>
      </c>
      <c r="AF253" t="inlineStr">
        <is>
          <t>Скидки нет</t>
        </is>
      </c>
      <c r="AG253" t="n">
        <v>12350</v>
      </c>
      <c r="AH253" t="n">
        <v>12350</v>
      </c>
      <c r="AI253" t="inlineStr">
        <is>
          <t>Полное проживание в выбранном периоде</t>
        </is>
      </c>
    </row>
    <row r="254">
      <c r="A254" t="inlineStr">
        <is>
          <t>20260731-8186-450013552</t>
        </is>
      </c>
      <c r="B254" t="n">
        <v>1</v>
      </c>
      <c r="C254" s="2" t="inlineStr">
        <is>
          <t>Вадим Сосков, Кирилл Балуев</t>
        </is>
      </c>
      <c r="D254" s="3" t="n">
        <v>7920</v>
      </c>
      <c r="E254" s="4" t="n">
        <v>18</v>
      </c>
      <c r="F254" t="inlineStr">
        <is>
          <t>Яндекс.Путешествия [Чайковский]</t>
        </is>
      </c>
      <c r="G254" s="3">
        <f>ROUND(D254/(100-E254)*100,2)</f>
        <v/>
      </c>
      <c r="H254" s="3" t="n">
        <v>0</v>
      </c>
      <c r="I254" s="3">
        <f>ROUND(IF(ISNUMBER(AG254),AG254,G254)+H254,2)</f>
        <v/>
      </c>
      <c r="J254" s="2" t="inlineStr">
        <is>
          <t>Завтрак "Шведский стол"</t>
        </is>
      </c>
      <c r="K254" s="5" t="n">
        <v>46234.58333333334</v>
      </c>
      <c r="L254" t="n">
        <v>1</v>
      </c>
      <c r="M254" s="3">
        <f>I254/L254</f>
        <v/>
      </c>
      <c r="N254">
        <f>IF(M254&gt;=5100,"ставка","мин.ставка")</f>
        <v/>
      </c>
      <c r="O254" s="3">
        <f>ROUND(IF(N254="мин.ставка",L254*100,I254/102*2),2)</f>
        <v/>
      </c>
      <c r="P254" s="5" t="n">
        <v>46235.5</v>
      </c>
      <c r="Q254" t="inlineStr">
        <is>
          <t>TravelLine YAX</t>
        </is>
      </c>
      <c r="R254" s="2" t="inlineStr">
        <is>
          <t>СТАНДАРТНЫЙ ДВУХМЕСТНЫЙ НОМЕР (МАНСАРДА)</t>
        </is>
      </c>
      <c r="S254" t="n">
        <v>47</v>
      </c>
      <c r="T254" t="n">
        <v>1</v>
      </c>
      <c r="U254" t="inlineStr"/>
      <c r="V254" t="inlineStr">
        <is>
          <t>Тариф с завтраком</t>
        </is>
      </c>
      <c r="W254" t="n">
        <v>7920</v>
      </c>
      <c r="X254" s="3" t="n">
        <v>1980</v>
      </c>
      <c r="Y254" t="inlineStr">
        <is>
          <t>20%</t>
        </is>
      </c>
      <c r="Z254" t="inlineStr">
        <is>
          <t>2026-07-31</t>
        </is>
      </c>
      <c r="AA254" s="3" t="n">
        <v>7920</v>
      </c>
      <c r="AB254" t="inlineStr">
        <is>
          <t>Сошлось по ночным тарифам</t>
        </is>
      </c>
      <c r="AC254" s="2" t="inlineStr"/>
      <c r="AD254" t="n">
        <v>1980</v>
      </c>
      <c r="AE254" t="n">
        <v>0</v>
      </c>
      <c r="AF254" t="inlineStr">
        <is>
          <t>Скидка добавлена к налоговой базе</t>
        </is>
      </c>
      <c r="AG254" t="n">
        <v>9900</v>
      </c>
      <c r="AH254" t="n">
        <v>7920</v>
      </c>
      <c r="AI254" t="inlineStr">
        <is>
          <t>Полное проживание в выбранном периоде</t>
        </is>
      </c>
    </row>
    <row r="255">
      <c r="A255" t="inlineStr">
        <is>
          <t>20260717-8186-450249391</t>
        </is>
      </c>
      <c r="B255" t="n">
        <v>1</v>
      </c>
      <c r="C255" s="2" t="inlineStr">
        <is>
          <t>Вадим Стародубов</t>
        </is>
      </c>
      <c r="D255" s="3" t="n">
        <v>8624.1</v>
      </c>
      <c r="E255" s="4" t="n">
        <v>4</v>
      </c>
      <c r="F255" t="inlineStr">
        <is>
          <t>TravelLine Booking Engine [Чайковский]</t>
        </is>
      </c>
      <c r="G255" s="3">
        <f>ROUND(D255/(100-E255)*100,2)</f>
        <v/>
      </c>
      <c r="H255" s="3" t="n">
        <v>0</v>
      </c>
      <c r="I255" s="3">
        <f>ROUND(IF(ISNUMBER(AG255),AG255,G255)+H255,2)</f>
        <v/>
      </c>
      <c r="J255" s="2" t="inlineStr">
        <is>
          <t>Завтрак "Шведский стол"</t>
        </is>
      </c>
      <c r="K255" s="5" t="n">
        <v>46220.89583333334</v>
      </c>
      <c r="L255" t="n">
        <v>1</v>
      </c>
      <c r="M255" s="3">
        <f>I255/L255</f>
        <v/>
      </c>
      <c r="N255">
        <f>IF(M255&gt;=5100,"ставка","мин.ставка")</f>
        <v/>
      </c>
      <c r="O255" s="3">
        <f>ROUND(IF(N255="мин.ставка",L255*100,I255/102*2),2)</f>
        <v/>
      </c>
      <c r="P255" s="5" t="n">
        <v>46221.5</v>
      </c>
      <c r="Q255" t="inlineStr">
        <is>
          <t>TravelLine сайт</t>
        </is>
      </c>
      <c r="R255" s="2" t="inlineStr">
        <is>
          <t>СЕМЕЙНЫЙ НОМЕР КАТЕГОРИИ "СТАНДАРТ" ВТОРОЙ КОРПУС</t>
        </is>
      </c>
      <c r="S255" t="n">
        <v>50</v>
      </c>
      <c r="T255" t="n">
        <v>2</v>
      </c>
      <c r="U255" t="inlineStr"/>
      <c r="V255" t="inlineStr">
        <is>
          <t>Тариф с завтраком</t>
        </is>
      </c>
      <c r="W255" t="n">
        <v>16324.1</v>
      </c>
      <c r="X255" s="3" t="n">
        <v>275.9</v>
      </c>
      <c r="Y255" t="inlineStr">
        <is>
          <t>3.1%</t>
        </is>
      </c>
      <c r="Z255" t="inlineStr">
        <is>
          <t>2026-07-17</t>
        </is>
      </c>
      <c r="AA255" s="3" t="n">
        <v>8624.1</v>
      </c>
      <c r="AB255" t="inlineStr">
        <is>
          <t>Сошлось по ночным тарифам</t>
        </is>
      </c>
      <c r="AC255" s="2" t="inlineStr"/>
      <c r="AD255" t="n">
        <v>275.9</v>
      </c>
      <c r="AE255" t="n">
        <v>0</v>
      </c>
      <c r="AF255" t="inlineStr">
        <is>
          <t>Скидка добавлена к налоговой базе</t>
        </is>
      </c>
      <c r="AG255" t="n">
        <v>8900</v>
      </c>
      <c r="AH255" t="n">
        <v>8624.1</v>
      </c>
      <c r="AI255" t="inlineStr">
        <is>
          <t>Полное проживание в выбранном периоде</t>
        </is>
      </c>
    </row>
    <row r="256">
      <c r="A256" t="inlineStr">
        <is>
          <t>20260717-8186-450249391</t>
        </is>
      </c>
      <c r="B256" t="n">
        <v>1</v>
      </c>
      <c r="C256" s="2" t="inlineStr">
        <is>
          <t>Вадим Стародубов</t>
        </is>
      </c>
      <c r="D256" s="3" t="n">
        <v>7700</v>
      </c>
      <c r="E256" s="4" t="n">
        <v>4</v>
      </c>
      <c r="F256" t="inlineStr">
        <is>
          <t>TravelLine Booking Engine [Чайковский]</t>
        </is>
      </c>
      <c r="G256" s="3">
        <f>ROUND(D256/(100-E256)*100,2)</f>
        <v/>
      </c>
      <c r="H256" s="3" t="n">
        <v>0</v>
      </c>
      <c r="I256" s="3">
        <f>ROUND(IF(ISNUMBER(AG256),AG256,G256)+H256,2)</f>
        <v/>
      </c>
      <c r="J256" s="2" t="inlineStr">
        <is>
          <t>Завтрак "Шведский стол"</t>
        </is>
      </c>
      <c r="K256" s="5" t="n">
        <v>46221.89583333334</v>
      </c>
      <c r="L256" t="n">
        <v>1</v>
      </c>
      <c r="M256" s="3">
        <f>I256/L256</f>
        <v/>
      </c>
      <c r="N256">
        <f>IF(M256&gt;=5100,"ставка","мин.ставка")</f>
        <v/>
      </c>
      <c r="O256" s="3">
        <f>ROUND(IF(N256="мин.ставка",L256*100,I256/102*2),2)</f>
        <v/>
      </c>
      <c r="P256" s="5" t="n">
        <v>46222.5</v>
      </c>
      <c r="Q256" t="inlineStr">
        <is>
          <t>TravelLine сайт</t>
        </is>
      </c>
      <c r="R256" s="2" t="inlineStr">
        <is>
          <t>СТАНДАРТНЫЙ ОДНОМЕСТНЫЙ НОМЕР</t>
        </is>
      </c>
      <c r="S256" t="n">
        <v>34</v>
      </c>
      <c r="T256" t="n">
        <v>1</v>
      </c>
      <c r="U256" t="inlineStr"/>
      <c r="V256" t="inlineStr">
        <is>
          <t>Тариф с завтраком</t>
        </is>
      </c>
      <c r="W256" t="n">
        <v>16324.1</v>
      </c>
      <c r="X256" s="3" t="n">
        <v>0</v>
      </c>
      <c r="Y256" t="inlineStr"/>
      <c r="Z256" t="inlineStr"/>
      <c r="AA256" s="3" t="n">
        <v>7700</v>
      </c>
      <c r="AB256" t="inlineStr">
        <is>
          <t>Сошлось по ночным тарифам</t>
        </is>
      </c>
      <c r="AC256" s="2" t="inlineStr"/>
      <c r="AD256" t="n">
        <v>0</v>
      </c>
      <c r="AE256" t="n">
        <v>0</v>
      </c>
      <c r="AF256" t="inlineStr">
        <is>
          <t>Скидки нет</t>
        </is>
      </c>
      <c r="AG256" t="n">
        <v>7700</v>
      </c>
      <c r="AH256" t="n">
        <v>7700</v>
      </c>
      <c r="AI256" t="inlineStr">
        <is>
          <t>Полное проживание в выбранном периоде</t>
        </is>
      </c>
    </row>
    <row r="257">
      <c r="A257" t="inlineStr">
        <is>
          <t>20260820-8186-429042947</t>
        </is>
      </c>
      <c r="B257" t="n">
        <v>1</v>
      </c>
      <c r="C257" s="2" t="inlineStr">
        <is>
          <t>Валентин Классен, Светлана Классен</t>
        </is>
      </c>
      <c r="D257" s="3" t="n">
        <v>11347.5</v>
      </c>
      <c r="E257" s="4" t="n">
        <v>20</v>
      </c>
      <c r="F257" t="inlineStr">
        <is>
          <t>ООО «Дубль Гис» (OTELLO) [Чайковский]</t>
        </is>
      </c>
      <c r="G257" s="3">
        <f>ROUND(D257/(100-E257)*100,2)</f>
        <v/>
      </c>
      <c r="H257" s="3" t="n">
        <v>0</v>
      </c>
      <c r="I257" s="3">
        <f>ROUND(IF(ISNUMBER(AG257),AG257,G257)+H257,2)</f>
        <v/>
      </c>
      <c r="J257" s="2" t="inlineStr">
        <is>
          <t>Завтрак "Шведский стол"</t>
        </is>
      </c>
      <c r="K257" s="5" t="n">
        <v>46254.58333333334</v>
      </c>
      <c r="L257" t="n">
        <v>1</v>
      </c>
      <c r="M257" s="3">
        <f>I257/L257</f>
        <v/>
      </c>
      <c r="N257">
        <f>IF(M257&gt;=5100,"ставка","мин.ставка")</f>
        <v/>
      </c>
      <c r="O257" s="3">
        <f>ROUND(IF(N257="мин.ставка",L257*100,I257/102*2),2)</f>
        <v/>
      </c>
      <c r="P257" s="5" t="n">
        <v>46255.5</v>
      </c>
      <c r="Q257" t="inlineStr">
        <is>
          <t>TravelLine OL2</t>
        </is>
      </c>
      <c r="R257" s="2" t="inlineStr">
        <is>
          <t>СТАНДАРТНЫЙ ДВУХМЕСТНЫЙ НОМЕР</t>
        </is>
      </c>
      <c r="S257" t="n">
        <v>23</v>
      </c>
      <c r="T257" t="n">
        <v>1</v>
      </c>
      <c r="U257" t="inlineStr"/>
      <c r="V257" t="inlineStr">
        <is>
          <t>Тариф с завтраком</t>
        </is>
      </c>
      <c r="W257" t="n">
        <v>11347.5</v>
      </c>
      <c r="X257" s="3" t="n">
        <v>2002.5</v>
      </c>
      <c r="Y257" t="inlineStr">
        <is>
          <t>15%</t>
        </is>
      </c>
      <c r="Z257" t="inlineStr">
        <is>
          <t>2026-08-20</t>
        </is>
      </c>
      <c r="AA257" s="3" t="n">
        <v>11347.5</v>
      </c>
      <c r="AB257" t="inlineStr">
        <is>
          <t>Сошлось по ночным тарифам</t>
        </is>
      </c>
      <c r="AC257" s="2" t="inlineStr"/>
      <c r="AD257" t="n">
        <v>2002.5</v>
      </c>
      <c r="AE257" t="n">
        <v>0</v>
      </c>
      <c r="AF257" t="inlineStr">
        <is>
          <t>Скидка добавлена к налоговой базе</t>
        </is>
      </c>
      <c r="AG257" t="n">
        <v>13350</v>
      </c>
      <c r="AH257" t="n">
        <v>11347.5</v>
      </c>
      <c r="AI257" t="inlineStr">
        <is>
          <t>Полное проживание в выбранном периоде</t>
        </is>
      </c>
    </row>
    <row r="258">
      <c r="A258" t="inlineStr">
        <is>
          <t>20260907-8186-418353081</t>
        </is>
      </c>
      <c r="B258" t="n">
        <v>1</v>
      </c>
      <c r="C258" s="2" t="inlineStr">
        <is>
          <t>Валентина Кустарева</t>
        </is>
      </c>
      <c r="D258" s="3" t="n">
        <v>26180</v>
      </c>
      <c r="E258" s="4" t="n">
        <v>15</v>
      </c>
      <c r="F258" t="inlineStr">
        <is>
          <t>ООО Тинькофф Путешествия [Чайковский]</t>
        </is>
      </c>
      <c r="G258" s="3">
        <f>ROUND(D258/(100-E258)*100,2)</f>
        <v/>
      </c>
      <c r="H258" s="3" t="n">
        <v>0</v>
      </c>
      <c r="I258" s="3">
        <f>ROUND(IF(ISNUMBER(AG258),AG258,G258)+H258,2)</f>
        <v/>
      </c>
      <c r="J258" s="2" t="inlineStr">
        <is>
          <t>Завтрак "Шведский стол"</t>
        </is>
      </c>
      <c r="K258" s="5" t="n">
        <v>46272.58333333334</v>
      </c>
      <c r="L258" t="n">
        <v>4</v>
      </c>
      <c r="M258" s="3">
        <f>I258/L258</f>
        <v/>
      </c>
      <c r="N258">
        <f>IF(M258&gt;=5100,"ставка","мин.ставка")</f>
        <v/>
      </c>
      <c r="O258" s="3">
        <f>ROUND(IF(N258="мин.ставка",L258*100,I258/102*2),2)</f>
        <v/>
      </c>
      <c r="P258" s="5" t="n">
        <v>46276.5</v>
      </c>
      <c r="Q258" t="inlineStr">
        <is>
          <t>TravelLine TNK</t>
        </is>
      </c>
      <c r="R258" s="2" t="inlineStr">
        <is>
          <t>СТАНДАРТНЫЙ ОДНОМЕСТНЫЙ НОМЕР</t>
        </is>
      </c>
      <c r="S258" t="n">
        <v>34</v>
      </c>
      <c r="T258" t="n">
        <v>1</v>
      </c>
      <c r="U258" t="inlineStr"/>
      <c r="V258" t="inlineStr">
        <is>
          <t>Тариф с завтраком</t>
        </is>
      </c>
      <c r="W258" t="n">
        <v>26180</v>
      </c>
      <c r="X258" s="3" t="n">
        <v>4620</v>
      </c>
      <c r="Y258" t="inlineStr">
        <is>
          <t>15%</t>
        </is>
      </c>
      <c r="Z258" t="inlineStr">
        <is>
          <t>2026-09-07, 2026-09-08, 2026-09-09, 2026-09-10</t>
        </is>
      </c>
      <c r="AA258" s="3" t="n">
        <v>26180</v>
      </c>
      <c r="AB258" t="inlineStr">
        <is>
          <t>Сошлось по ночным тарифам</t>
        </is>
      </c>
      <c r="AC258" s="2" t="inlineStr"/>
      <c r="AD258" t="n">
        <v>4620</v>
      </c>
      <c r="AE258" t="n">
        <v>0</v>
      </c>
      <c r="AF258" t="inlineStr">
        <is>
          <t>Скидка добавлена к налоговой базе</t>
        </is>
      </c>
      <c r="AG258" t="n">
        <v>30800</v>
      </c>
      <c r="AH258" t="n">
        <v>26180</v>
      </c>
      <c r="AI258" t="inlineStr">
        <is>
          <t>Полное проживание в выбранном периоде</t>
        </is>
      </c>
    </row>
    <row r="259">
      <c r="A259" t="inlineStr">
        <is>
          <t>20260907-8186-452894032</t>
        </is>
      </c>
      <c r="B259" t="n">
        <v>1</v>
      </c>
      <c r="C259" s="2" t="inlineStr">
        <is>
          <t>ВАЛЕНТИНА ХРОМОВА, ИРИНА ШАФИЕВА</t>
        </is>
      </c>
      <c r="D259" s="3" t="n">
        <v>18160</v>
      </c>
      <c r="E259" s="4" t="n">
        <v>20</v>
      </c>
      <c r="F259" t="inlineStr">
        <is>
          <t>ООО "ХБ-ПРО" [Чайковский]</t>
        </is>
      </c>
      <c r="G259" s="3">
        <f>ROUND(D259/(100-E259)*100,2)</f>
        <v/>
      </c>
      <c r="H259" s="3" t="n">
        <v>4000</v>
      </c>
      <c r="I259" s="3">
        <f>ROUND(IF(ISNUMBER(AG259),AG259,G259)+H259,2)</f>
        <v/>
      </c>
      <c r="J259" s="2" t="inlineStr">
        <is>
          <t>продление номера — 4 000,00 ₽; Завтрак "Шведский стол"</t>
        </is>
      </c>
      <c r="K259" s="5" t="n">
        <v>46272.58333333334</v>
      </c>
      <c r="L259" t="n">
        <v>2</v>
      </c>
      <c r="M259" s="3">
        <f>I259/L259</f>
        <v/>
      </c>
      <c r="N259">
        <f>IF(M259&gt;=5100,"ставка","мин.ставка")</f>
        <v/>
      </c>
      <c r="O259" s="3">
        <f>ROUND(IF(N259="мин.ставка",L259*100,I259/102*2),2)</f>
        <v/>
      </c>
      <c r="P259" s="5" t="n">
        <v>46274.5</v>
      </c>
      <c r="Q259" t="inlineStr">
        <is>
          <t>TravelLine UTS</t>
        </is>
      </c>
      <c r="R259" s="2" t="inlineStr">
        <is>
          <t>СТАНДАРТНЫЙ ДВУХМЕСТНЫЙ НОМЕР</t>
        </is>
      </c>
      <c r="S259" t="n">
        <v>26</v>
      </c>
      <c r="T259" t="n">
        <v>1</v>
      </c>
      <c r="U259" t="inlineStr"/>
      <c r="V259" t="inlineStr">
        <is>
          <t>Тариф с завтраком</t>
        </is>
      </c>
      <c r="W259" t="n">
        <v>22160</v>
      </c>
      <c r="X259" s="3" t="n">
        <v>0</v>
      </c>
      <c r="Y259" t="inlineStr"/>
      <c r="Z259" t="inlineStr"/>
      <c r="AA259" s="3" t="n">
        <v>18160</v>
      </c>
      <c r="AB259" t="inlineStr">
        <is>
          <t>Сошлось с услугами</t>
        </is>
      </c>
      <c r="AC259" s="2" t="inlineStr"/>
      <c r="AD259" t="n">
        <v>0</v>
      </c>
      <c r="AE259" t="n">
        <v>0</v>
      </c>
      <c r="AF259" t="inlineStr">
        <is>
          <t>Скидки нет</t>
        </is>
      </c>
      <c r="AG259" t="n">
        <v>18160</v>
      </c>
      <c r="AH259" t="n">
        <v>18160</v>
      </c>
      <c r="AI259" t="inlineStr">
        <is>
          <t>Полное проживание в выбранном периоде</t>
        </is>
      </c>
    </row>
    <row r="260">
      <c r="A260" t="inlineStr">
        <is>
          <t>20260807-8186-443876865</t>
        </is>
      </c>
      <c r="B260" t="n">
        <v>1</v>
      </c>
      <c r="C260" s="2" t="inlineStr">
        <is>
          <t>ВАЛЕРИЙ ЖИЛИН, Марина Жилина</t>
        </is>
      </c>
      <c r="D260" s="3" t="n">
        <v>26700</v>
      </c>
      <c r="E260" s="4" t="n">
        <v>0</v>
      </c>
      <c r="F260" t="inlineStr">
        <is>
          <t>Прямые бронирования (стойка) [Чайковский]</t>
        </is>
      </c>
      <c r="G260" s="3">
        <f>ROUND(D260/(100-E260)*100,2)</f>
        <v/>
      </c>
      <c r="H260" s="3" t="n">
        <v>0</v>
      </c>
      <c r="I260" s="3">
        <f>ROUND(IF(ISNUMBER(AG260),AG260,G260)+H260,2)</f>
        <v/>
      </c>
      <c r="J260" s="2" t="inlineStr">
        <is>
          <t>Завтрак "Шведский стол"</t>
        </is>
      </c>
      <c r="K260" s="5" t="n">
        <v>46241.58333333334</v>
      </c>
      <c r="L260" t="n">
        <v>2</v>
      </c>
      <c r="M260" s="3">
        <f>I260/L260</f>
        <v/>
      </c>
      <c r="N260">
        <f>IF(M260&gt;=5100,"ставка","мин.ставка")</f>
        <v/>
      </c>
      <c r="O260" s="3">
        <f>ROUND(IF(N260="мин.ставка",L260*100,I260/102*2),2)</f>
        <v/>
      </c>
      <c r="P260" s="5" t="n">
        <v>46243.5</v>
      </c>
      <c r="Q260" t="inlineStr">
        <is>
          <t>TravelLine ресепшен</t>
        </is>
      </c>
      <c r="R260" s="2" t="inlineStr">
        <is>
          <t>СТАНДАРТНЫЙ ДВУХМЕСТНЫЙ НОМЕР</t>
        </is>
      </c>
      <c r="S260" t="n">
        <v>52</v>
      </c>
      <c r="T260" t="n">
        <v>2</v>
      </c>
      <c r="U260" t="inlineStr"/>
      <c r="V260" t="inlineStr">
        <is>
          <t>Тариф с завтраком</t>
        </is>
      </c>
      <c r="W260" t="n">
        <v>26700</v>
      </c>
      <c r="X260" s="3" t="n">
        <v>0</v>
      </c>
      <c r="Y260" t="inlineStr"/>
      <c r="Z260" t="inlineStr"/>
      <c r="AA260" s="3" t="n">
        <v>26700</v>
      </c>
      <c r="AB260" t="inlineStr">
        <is>
          <t>Сошлось по ночным тарифам</t>
        </is>
      </c>
      <c r="AC260" s="2" t="inlineStr"/>
      <c r="AD260" t="n">
        <v>0</v>
      </c>
      <c r="AE260" t="n">
        <v>0</v>
      </c>
      <c r="AF260" t="inlineStr">
        <is>
          <t>Скидки нет</t>
        </is>
      </c>
      <c r="AG260" t="n">
        <v>26700</v>
      </c>
      <c r="AH260" t="n">
        <v>26700</v>
      </c>
      <c r="AI260" t="inlineStr">
        <is>
          <t>Полное проживание в выбранном периоде</t>
        </is>
      </c>
    </row>
    <row r="261">
      <c r="A261" t="inlineStr">
        <is>
          <t>20260629-8186-437245802</t>
        </is>
      </c>
      <c r="B261" t="n">
        <v>1</v>
      </c>
      <c r="C261" s="2" t="inlineStr">
        <is>
          <t>Валерий Марунич</t>
        </is>
      </c>
      <c r="D261" s="3" t="n">
        <v>36320</v>
      </c>
      <c r="E261" s="4" t="n">
        <v>20</v>
      </c>
      <c r="F261" t="inlineStr">
        <is>
          <t>ООО "УК ГЦБ и Т" [Чайковский]</t>
        </is>
      </c>
      <c r="G261" s="3">
        <f>ROUND(D261/(100-E261)*100,2)</f>
        <v/>
      </c>
      <c r="H261" s="3" t="n">
        <v>0</v>
      </c>
      <c r="I261" s="3">
        <f>ROUND(IF(ISNUMBER(AG261),AG261,G261)+H261,2)</f>
        <v/>
      </c>
      <c r="J261" s="2" t="inlineStr"/>
      <c r="K261" s="5" t="n">
        <v>46202.58333333334</v>
      </c>
      <c r="L261" t="n">
        <v>2</v>
      </c>
      <c r="M261" s="3">
        <f>I261/L261</f>
        <v/>
      </c>
      <c r="N261">
        <f>IF(M261&gt;=5100,"ставка","мин.ставка")</f>
        <v/>
      </c>
      <c r="O261" s="3">
        <f>ROUND(IF(N261="мин.ставка",L261*100,I261/102*2),2)</f>
        <v/>
      </c>
      <c r="P261" s="5" t="n">
        <v>46206.5</v>
      </c>
      <c r="Q261" t="inlineStr">
        <is>
          <t>TravelLine CBC</t>
        </is>
      </c>
      <c r="R261" s="2" t="inlineStr">
        <is>
          <t>СТАНДАРТНЫЙ ДВУХМЕСТНЫЙ НОМЕР</t>
        </is>
      </c>
      <c r="S261" t="n">
        <v>58</v>
      </c>
      <c r="T261" t="n">
        <v>2</v>
      </c>
      <c r="U261" t="inlineStr"/>
      <c r="V261" t="inlineStr">
        <is>
          <t>Тариф с завтраком</t>
        </is>
      </c>
      <c r="W261" t="n">
        <v>36320</v>
      </c>
      <c r="X261" s="3" t="n">
        <v>9080</v>
      </c>
      <c r="Y261" t="inlineStr">
        <is>
          <t>20%</t>
        </is>
      </c>
      <c r="Z261" t="inlineStr">
        <is>
          <t>2026-06-29, 2026-06-30, 2026-07-01, 2026-07-02</t>
        </is>
      </c>
      <c r="AA261" s="3" t="n">
        <v>36320</v>
      </c>
      <c r="AB261" t="inlineStr">
        <is>
          <t>Сошлось по ночным тарифам</t>
        </is>
      </c>
      <c r="AC261" s="2" t="inlineStr"/>
      <c r="AD261" t="n">
        <v>4540</v>
      </c>
      <c r="AE261" t="n">
        <v>0</v>
      </c>
      <c r="AF261" t="inlineStr">
        <is>
          <t>Ночи скидки определены по dailyRates; в базу добавлена только часть выбранного периода</t>
        </is>
      </c>
      <c r="AG261" t="n">
        <v>22700</v>
      </c>
      <c r="AH261" t="n">
        <v>18160</v>
      </c>
      <c r="AI261" t="inlineStr">
        <is>
          <t>Частичное проживание распределено по dailyRates</t>
        </is>
      </c>
    </row>
    <row r="262">
      <c r="A262" t="inlineStr">
        <is>
          <t>20260827-8186-460711943</t>
        </is>
      </c>
      <c r="B262" t="n">
        <v>1</v>
      </c>
      <c r="C262" s="2" t="inlineStr">
        <is>
          <t>Валерий Трач, Екатерина Можайская</t>
        </is>
      </c>
      <c r="D262" s="3" t="n">
        <v>35028</v>
      </c>
      <c r="E262" s="4" t="n">
        <v>16</v>
      </c>
      <c r="F262" t="inlineStr">
        <is>
          <t>ООО "БРОНИРОВАНИЕ ГОСТИНИЦ" (OSTROVOK) [Чайковский]</t>
        </is>
      </c>
      <c r="G262" s="3">
        <f>ROUND(D262/(100-E262)*100,2)</f>
        <v/>
      </c>
      <c r="H262" s="3" t="n">
        <v>3000</v>
      </c>
      <c r="I262" s="3">
        <f>ROUND(IF(ISNUMBER(AG262),AG262,G262)+H262,2)</f>
        <v/>
      </c>
      <c r="J262" s="2" t="inlineStr">
        <is>
          <t>продление номера — 3 000,00 ₽</t>
        </is>
      </c>
      <c r="K262" s="5" t="n">
        <v>46261.58333333334</v>
      </c>
      <c r="L262" t="n">
        <v>3</v>
      </c>
      <c r="M262" s="3">
        <f>I262/L262</f>
        <v/>
      </c>
      <c r="N262">
        <f>IF(M262&gt;=5100,"ставка","мин.ставка")</f>
        <v/>
      </c>
      <c r="O262" s="3">
        <f>ROUND(IF(N262="мин.ставка",L262*100,I262/102*2),2)</f>
        <v/>
      </c>
      <c r="P262" s="5" t="n">
        <v>46264.5</v>
      </c>
      <c r="Q262" t="inlineStr">
        <is>
          <t>TravelLine OTK</t>
        </is>
      </c>
      <c r="R262" s="2" t="inlineStr">
        <is>
          <t>УЛУЧШЕННЫЙ ДВУХМЕСТНЫЙ НОМЕР</t>
        </is>
      </c>
      <c r="S262" t="n">
        <v>31</v>
      </c>
      <c r="T262" t="n">
        <v>1</v>
      </c>
      <c r="U262" t="inlineStr"/>
      <c r="V262" t="inlineStr">
        <is>
          <t>Основной тариф без завтрака</t>
        </is>
      </c>
      <c r="W262" t="n">
        <v>38028</v>
      </c>
      <c r="X262" s="3" t="n">
        <v>6672</v>
      </c>
      <c r="Y262" t="inlineStr">
        <is>
          <t>16%</t>
        </is>
      </c>
      <c r="Z262" t="inlineStr">
        <is>
          <t>2026-08-27, 2026-08-28, 2026-08-29</t>
        </is>
      </c>
      <c r="AA262" s="3" t="n">
        <v>35028</v>
      </c>
      <c r="AB262" t="inlineStr">
        <is>
          <t>Сошлось с услугами</t>
        </is>
      </c>
      <c r="AC262" s="2" t="inlineStr"/>
      <c r="AD262" t="n">
        <v>6672</v>
      </c>
      <c r="AE262" t="n">
        <v>0</v>
      </c>
      <c r="AF262" t="inlineStr">
        <is>
          <t>Скидка добавлена к налоговой базе</t>
        </is>
      </c>
      <c r="AG262" t="n">
        <v>41700</v>
      </c>
      <c r="AH262" t="n">
        <v>35028</v>
      </c>
      <c r="AI262" t="inlineStr">
        <is>
          <t>Полное проживание в выбранном периоде</t>
        </is>
      </c>
    </row>
    <row r="263">
      <c r="A263" t="inlineStr">
        <is>
          <t>20260910-8186-463566252</t>
        </is>
      </c>
      <c r="B263" t="n">
        <v>1</v>
      </c>
      <c r="C263" s="2" t="inlineStr">
        <is>
          <t>ВАЛЕРИЙ ШАЛАЕВ, АЛЛА ШАЛАЕВА</t>
        </is>
      </c>
      <c r="D263" s="3" t="n">
        <v>11347.5</v>
      </c>
      <c r="E263" s="4" t="n">
        <v>15</v>
      </c>
      <c r="F263" t="inlineStr">
        <is>
          <t>ООО "АКАДЕМ-ОНЛАЙН" [Чайковский]</t>
        </is>
      </c>
      <c r="G263" s="3">
        <f>ROUND(D263/(100-E263)*100,2)</f>
        <v/>
      </c>
      <c r="H263" s="3" t="n">
        <v>0</v>
      </c>
      <c r="I263" s="3">
        <f>ROUND(IF(ISNUMBER(AG263),AG263,G263)+H263,2)</f>
        <v/>
      </c>
      <c r="J263" s="2" t="inlineStr">
        <is>
          <t>Завтрак "Шведский стол"</t>
        </is>
      </c>
      <c r="K263" s="5" t="n">
        <v>46275.58333333334</v>
      </c>
      <c r="L263" t="n">
        <v>1</v>
      </c>
      <c r="M263" s="3">
        <f>I263/L263</f>
        <v/>
      </c>
      <c r="N263">
        <f>IF(M263&gt;=5100,"ставка","мин.ставка")</f>
        <v/>
      </c>
      <c r="O263" s="3">
        <f>ROUND(IF(N263="мин.ставка",L263*100,I263/102*2),2)</f>
        <v/>
      </c>
      <c r="P263" s="5" t="n">
        <v>46276.58333333334</v>
      </c>
      <c r="Q263" t="inlineStr">
        <is>
          <t>TravelLine ACS</t>
        </is>
      </c>
      <c r="R263" s="2" t="inlineStr">
        <is>
          <t>СТАНДАРТНЫЙ ДВУХМЕСТНЫЙ НОМЕР</t>
        </is>
      </c>
      <c r="S263" t="n">
        <v>46</v>
      </c>
      <c r="T263" t="n">
        <v>1</v>
      </c>
      <c r="U263" t="inlineStr"/>
      <c r="V263" t="inlineStr">
        <is>
          <t>Тариф с завтраком</t>
        </is>
      </c>
      <c r="W263" t="n">
        <v>52815</v>
      </c>
      <c r="X263" s="3" t="n">
        <v>2002.5</v>
      </c>
      <c r="Y263" t="inlineStr">
        <is>
          <t>15%</t>
        </is>
      </c>
      <c r="Z263" t="inlineStr">
        <is>
          <t>2026-09-10</t>
        </is>
      </c>
      <c r="AA263" s="3" t="n">
        <v>11347.5</v>
      </c>
      <c r="AB263" t="inlineStr">
        <is>
          <t>Сошлось по ночным тарифам</t>
        </is>
      </c>
      <c r="AC263" s="2" t="inlineStr"/>
      <c r="AD263" t="n">
        <v>2002.5</v>
      </c>
      <c r="AE263" t="n">
        <v>0</v>
      </c>
      <c r="AF263" t="inlineStr">
        <is>
          <t>Скидка добавлена к налоговой базе</t>
        </is>
      </c>
      <c r="AG263" t="n">
        <v>13350</v>
      </c>
      <c r="AH263" t="n">
        <v>11347.5</v>
      </c>
      <c r="AI263" t="inlineStr">
        <is>
          <t>Полное проживание в выбранном периоде</t>
        </is>
      </c>
    </row>
    <row r="264">
      <c r="A264" t="inlineStr">
        <is>
          <t>20260910-8186-463566252</t>
        </is>
      </c>
      <c r="B264" t="n">
        <v>1</v>
      </c>
      <c r="C264" s="2" t="inlineStr">
        <is>
          <t>ВАЛЕРИЙ ШАЛАЕВ, АЛЛА ШАЛАЕВА</t>
        </is>
      </c>
      <c r="D264" s="3" t="n">
        <v>34042.5</v>
      </c>
      <c r="E264" s="4" t="n">
        <v>15</v>
      </c>
      <c r="F264" t="inlineStr">
        <is>
          <t>ООО "АКАДЕМ-ОНЛАЙН" [Чайковский]</t>
        </is>
      </c>
      <c r="G264" s="3">
        <f>ROUND(D264/(100-E264)*100,2)</f>
        <v/>
      </c>
      <c r="H264" s="3" t="n">
        <v>7425</v>
      </c>
      <c r="I264" s="3">
        <f>ROUND(IF(ISNUMBER(AG264),AG264,G264)+H264,2)</f>
        <v/>
      </c>
      <c r="J264" s="2" t="inlineStr">
        <is>
          <t>продление номера — 7 425,00 ₽; Завтрак "Шведский стол"</t>
        </is>
      </c>
      <c r="K264" s="5" t="n">
        <v>46276.58333333334</v>
      </c>
      <c r="L264" t="n">
        <v>3</v>
      </c>
      <c r="M264" s="3">
        <f>I264/L264</f>
        <v/>
      </c>
      <c r="N264">
        <f>IF(M264&gt;=5100,"ставка","мин.ставка")</f>
        <v/>
      </c>
      <c r="O264" s="3">
        <f>ROUND(IF(N264="мин.ставка",L264*100,I264/102*2),2)</f>
        <v/>
      </c>
      <c r="P264" s="5" t="n">
        <v>46279.79166666666</v>
      </c>
      <c r="Q264" t="inlineStr">
        <is>
          <t>TravelLine ACS</t>
        </is>
      </c>
      <c r="R264" s="2" t="inlineStr">
        <is>
          <t>ПОЛУЛЮКС</t>
        </is>
      </c>
      <c r="S264" t="n">
        <v>11</v>
      </c>
      <c r="T264" t="n">
        <v>1</v>
      </c>
      <c r="U264" t="inlineStr"/>
      <c r="V264" t="inlineStr">
        <is>
          <t>Тариф с завтраком</t>
        </is>
      </c>
      <c r="W264" t="n">
        <v>52815</v>
      </c>
      <c r="X264" s="3" t="n">
        <v>6007.5</v>
      </c>
      <c r="Y264" t="inlineStr">
        <is>
          <t>15%</t>
        </is>
      </c>
      <c r="Z264" t="inlineStr">
        <is>
          <t>2026-09-11, 2026-09-12, 2026-09-13</t>
        </is>
      </c>
      <c r="AA264" s="3" t="n">
        <v>34042.5</v>
      </c>
      <c r="AB264" t="inlineStr">
        <is>
          <t>Сошлось с услугами</t>
        </is>
      </c>
      <c r="AC264" s="2" t="inlineStr"/>
      <c r="AD264" t="n">
        <v>6007.5</v>
      </c>
      <c r="AE264" t="n">
        <v>0</v>
      </c>
      <c r="AF264" t="inlineStr">
        <is>
          <t>Скидка добавлена к налоговой базе</t>
        </is>
      </c>
      <c r="AG264" t="n">
        <v>40050</v>
      </c>
      <c r="AH264" t="n">
        <v>34042.5</v>
      </c>
      <c r="AI264" t="inlineStr">
        <is>
          <t>Полное проживание в выбранном периоде</t>
        </is>
      </c>
    </row>
    <row r="265">
      <c r="A265" t="inlineStr">
        <is>
          <t>20260901-8186-421880912</t>
        </is>
      </c>
      <c r="B265" t="n">
        <v>1</v>
      </c>
      <c r="C265" s="2" t="inlineStr">
        <is>
          <t>ВАЛЕРИЯ ЛОГИНОВА, СОФИЯ ЛОГИНОВА</t>
        </is>
      </c>
      <c r="D265" s="3" t="n">
        <v>45390</v>
      </c>
      <c r="E265" s="4" t="n">
        <v>0</v>
      </c>
      <c r="F265" t="inlineStr">
        <is>
          <t>ООО "АЛЕАН ОТДЫХ" [Чайковский]</t>
        </is>
      </c>
      <c r="G265" s="3">
        <f>ROUND(D265/(100-E265)*100,2)</f>
        <v/>
      </c>
      <c r="H265" s="3" t="n">
        <v>0</v>
      </c>
      <c r="I265" s="3">
        <f>ROUND(IF(ISNUMBER(AG265),AG265,G265)+H265,2)</f>
        <v/>
      </c>
      <c r="J265" s="2" t="inlineStr">
        <is>
          <t>meal_bf_buffet_1; meal_bf_buffet_1; Завтрак "Шведский стол"</t>
        </is>
      </c>
      <c r="K265" s="5" t="n">
        <v>46266.58333333334</v>
      </c>
      <c r="L265" t="n">
        <v>4</v>
      </c>
      <c r="M265" s="3">
        <f>I265/L265</f>
        <v/>
      </c>
      <c r="N265">
        <f>IF(M265&gt;=5100,"ставка","мин.ставка")</f>
        <v/>
      </c>
      <c r="O265" s="3">
        <f>ROUND(IF(N265="мин.ставка",L265*100,I265/102*2),2)</f>
        <v/>
      </c>
      <c r="P265" s="5" t="n">
        <v>46270.5</v>
      </c>
      <c r="Q265" t="inlineStr">
        <is>
          <t>TravelLine ALN</t>
        </is>
      </c>
      <c r="R265" s="2" t="inlineStr">
        <is>
          <t>СТАНДАРТНЫЙ ДВУХМЕСТНЫЙ НОМЕР</t>
        </is>
      </c>
      <c r="S265" t="n">
        <v>23</v>
      </c>
      <c r="T265" t="n">
        <v>1</v>
      </c>
      <c r="U265" t="inlineStr"/>
      <c r="V265" t="inlineStr">
        <is>
          <t>Тариф с завтраком</t>
        </is>
      </c>
      <c r="W265" t="n">
        <v>45390</v>
      </c>
      <c r="X265" s="3" t="n">
        <v>8010</v>
      </c>
      <c r="Y265" t="inlineStr">
        <is>
          <t>15%</t>
        </is>
      </c>
      <c r="Z265" t="inlineStr">
        <is>
          <t>2026-09-01, 2026-09-02, 2026-09-03, 2026-09-04</t>
        </is>
      </c>
      <c r="AA265" s="3" t="n">
        <v>45390</v>
      </c>
      <c r="AB265" t="inlineStr">
        <is>
          <t>Сошлось по ночным тарифам</t>
        </is>
      </c>
      <c r="AC265" s="2" t="inlineStr"/>
      <c r="AD265" t="n">
        <v>8010</v>
      </c>
      <c r="AE265" t="n">
        <v>0</v>
      </c>
      <c r="AF265" t="inlineStr">
        <is>
          <t>Скидка добавлена к налоговой базе</t>
        </is>
      </c>
      <c r="AG265" t="n">
        <v>53400</v>
      </c>
      <c r="AH265" t="n">
        <v>45390</v>
      </c>
      <c r="AI265" t="inlineStr">
        <is>
          <t>Полное проживание в выбранном периоде</t>
        </is>
      </c>
    </row>
    <row r="266">
      <c r="A266" t="inlineStr">
        <is>
          <t>20260824-8186-451489646</t>
        </is>
      </c>
      <c r="B266" t="n">
        <v>1</v>
      </c>
      <c r="C266" s="2" t="inlineStr">
        <is>
          <t>Варвара Белоусова</t>
        </is>
      </c>
      <c r="D266" s="3" t="n">
        <v>7655.1</v>
      </c>
      <c r="E266" s="4" t="n">
        <v>4</v>
      </c>
      <c r="F266" t="inlineStr">
        <is>
          <t>TravelLine Booking Engine [Чайковский]</t>
        </is>
      </c>
      <c r="G266" s="3">
        <f>ROUND(D266/(100-E266)*100,2)</f>
        <v/>
      </c>
      <c r="H266" s="3" t="n">
        <v>0</v>
      </c>
      <c r="I266" s="3">
        <f>ROUND(IF(ISNUMBER(AG266),AG266,G266)+H266,2)</f>
        <v/>
      </c>
      <c r="J266" s="2" t="inlineStr">
        <is>
          <t>Завтрак "Шведский стол"</t>
        </is>
      </c>
      <c r="K266" s="5" t="n">
        <v>46258.58333333334</v>
      </c>
      <c r="L266" t="n">
        <v>1</v>
      </c>
      <c r="M266" s="3">
        <f>I266/L266</f>
        <v/>
      </c>
      <c r="N266">
        <f>IF(M266&gt;=5100,"ставка","мин.ставка")</f>
        <v/>
      </c>
      <c r="O266" s="3">
        <f>ROUND(IF(N266="мин.ставка",L266*100,I266/102*2),2)</f>
        <v/>
      </c>
      <c r="P266" s="5" t="n">
        <v>46259.5</v>
      </c>
      <c r="Q266" t="inlineStr">
        <is>
          <t>TravelLine сайт</t>
        </is>
      </c>
      <c r="R266" s="2" t="inlineStr">
        <is>
          <t>СТАНДАРТНЫЙ ДВУХМЕСТНЫЙ НОМЕР (МАНСАРДА)</t>
        </is>
      </c>
      <c r="S266" t="n">
        <v>41</v>
      </c>
      <c r="T266" t="n">
        <v>1</v>
      </c>
      <c r="U266" t="inlineStr"/>
      <c r="V266" t="inlineStr">
        <is>
          <t>Тариф с завтраком</t>
        </is>
      </c>
      <c r="W266" t="n">
        <v>24903.3</v>
      </c>
      <c r="X266" s="3" t="n">
        <v>244.9</v>
      </c>
      <c r="Y266" t="inlineStr">
        <is>
          <t>3.1%</t>
        </is>
      </c>
      <c r="Z266" t="inlineStr">
        <is>
          <t>2026-08-24</t>
        </is>
      </c>
      <c r="AA266" s="3" t="n">
        <v>7655.1</v>
      </c>
      <c r="AB266" t="inlineStr">
        <is>
          <t>Сошлось по ночным тарифам</t>
        </is>
      </c>
      <c r="AC266" s="2" t="inlineStr"/>
      <c r="AD266" t="n">
        <v>244.9</v>
      </c>
      <c r="AE266" t="n">
        <v>0</v>
      </c>
      <c r="AF266" t="inlineStr">
        <is>
          <t>Скидка добавлена к налоговой базе</t>
        </is>
      </c>
      <c r="AG266" t="n">
        <v>7900</v>
      </c>
      <c r="AH266" t="n">
        <v>7655.1</v>
      </c>
      <c r="AI266" t="inlineStr">
        <is>
          <t>Полное проживание в выбранном периоде</t>
        </is>
      </c>
    </row>
    <row r="267">
      <c r="A267" t="inlineStr">
        <is>
          <t>20260928-8186-468485371</t>
        </is>
      </c>
      <c r="B267" t="n">
        <v>1</v>
      </c>
      <c r="C267" s="2" t="inlineStr">
        <is>
          <t>Вардан Есоян</t>
        </is>
      </c>
      <c r="D267" s="3" t="n">
        <v>27921</v>
      </c>
      <c r="E267" s="4" t="n">
        <v>18</v>
      </c>
      <c r="F267" t="inlineStr">
        <is>
          <t>ООО "Эй энд Эй" [Чайковский]</t>
        </is>
      </c>
      <c r="G267" s="3">
        <f>ROUND(D267/(100-E267)*100,2)</f>
        <v/>
      </c>
      <c r="H267" s="3" t="n">
        <v>0</v>
      </c>
      <c r="I267" s="3">
        <f>ROUND(IF(ISNUMBER(AG267),AG267,G267)+H267,2)</f>
        <v/>
      </c>
      <c r="J267" s="2" t="inlineStr">
        <is>
          <t>Завтрак "Шведский стол"</t>
        </is>
      </c>
      <c r="K267" s="5" t="n">
        <v>46293.58333333334</v>
      </c>
      <c r="L267" t="n">
        <v>3</v>
      </c>
      <c r="M267" s="3">
        <f>I267/L267</f>
        <v/>
      </c>
      <c r="N267">
        <f>IF(M267&gt;=5100,"ставка","мин.ставка")</f>
        <v/>
      </c>
      <c r="O267" s="3">
        <f>ROUND(IF(N267="мин.ставка",L267*100,I267/102*2),2)</f>
        <v/>
      </c>
      <c r="P267" s="5" t="n">
        <v>46296.5</v>
      </c>
      <c r="Q267" t="inlineStr">
        <is>
          <t>TravelLine ANA</t>
        </is>
      </c>
      <c r="R267" s="2" t="inlineStr">
        <is>
          <t>СТАНДАРТНЫЙ ДВУХМЕСТНЫЙ НОМЕР</t>
        </is>
      </c>
      <c r="S267" t="n">
        <v>33</v>
      </c>
      <c r="T267" t="n">
        <v>1</v>
      </c>
      <c r="U267" t="inlineStr"/>
      <c r="V267" t="inlineStr">
        <is>
          <t>Тариф с завтраком</t>
        </is>
      </c>
      <c r="W267" t="n">
        <v>27921</v>
      </c>
      <c r="X267" s="3" t="n">
        <v>6129</v>
      </c>
      <c r="Y267" t="inlineStr">
        <is>
          <t>18%</t>
        </is>
      </c>
      <c r="Z267" t="inlineStr">
        <is>
          <t>2026-09-28, 2026-09-29, 2026-09-30</t>
        </is>
      </c>
      <c r="AA267" s="3" t="n">
        <v>27921</v>
      </c>
      <c r="AB267" t="inlineStr">
        <is>
          <t>Сошлось по ночным тарифам</t>
        </is>
      </c>
      <c r="AC267" s="2" t="inlineStr"/>
      <c r="AD267" t="n">
        <v>6129</v>
      </c>
      <c r="AE267" t="n">
        <v>0</v>
      </c>
      <c r="AF267" t="inlineStr">
        <is>
          <t>Скидка добавлена к налоговой базе</t>
        </is>
      </c>
      <c r="AG267" t="n">
        <v>34050</v>
      </c>
      <c r="AH267" t="n">
        <v>27921</v>
      </c>
      <c r="AI267" t="inlineStr">
        <is>
          <t>Полное проживание в выбранном периоде</t>
        </is>
      </c>
    </row>
    <row r="268">
      <c r="A268" t="inlineStr">
        <is>
          <t>20260811-8186-455189264</t>
        </is>
      </c>
      <c r="B268" t="n">
        <v>1</v>
      </c>
      <c r="C268" s="2" t="inlineStr">
        <is>
          <t>ВАсилий Козин, Марина Мицик</t>
        </is>
      </c>
      <c r="D268" s="3" t="n">
        <v>39636.15</v>
      </c>
      <c r="E268" s="4" t="n">
        <v>4</v>
      </c>
      <c r="F268" t="inlineStr">
        <is>
          <t>TravelLine Booking Engine [Чайковский]</t>
        </is>
      </c>
      <c r="G268" s="3">
        <f>ROUND(D268/(100-E268)*100,2)</f>
        <v/>
      </c>
      <c r="H268" s="3" t="n">
        <v>0</v>
      </c>
      <c r="I268" s="3">
        <f>ROUND(IF(ISNUMBER(AG268),AG268,G268)+H268,2)</f>
        <v/>
      </c>
      <c r="J268" s="2" t="inlineStr">
        <is>
          <t>Завтрак "Шведский стол"</t>
        </is>
      </c>
      <c r="K268" s="5" t="n">
        <v>46245.58333333334</v>
      </c>
      <c r="L268" t="n">
        <v>3</v>
      </c>
      <c r="M268" s="3">
        <f>I268/L268</f>
        <v/>
      </c>
      <c r="N268">
        <f>IF(M268&gt;=5100,"ставка","мин.ставка")</f>
        <v/>
      </c>
      <c r="O268" s="3">
        <f>ROUND(IF(N268="мин.ставка",L268*100,I268/102*2),2)</f>
        <v/>
      </c>
      <c r="P268" s="5" t="n">
        <v>46248.5</v>
      </c>
      <c r="Q268" t="inlineStr">
        <is>
          <t>TravelLine сайт</t>
        </is>
      </c>
      <c r="R268" s="2" t="inlineStr">
        <is>
          <t>СТАНДАРТНЫЙ ДВУХМЕСТНЫЙ НОМЕР</t>
        </is>
      </c>
      <c r="S268" t="n">
        <v>32</v>
      </c>
      <c r="T268" t="n">
        <v>1</v>
      </c>
      <c r="U268" t="inlineStr"/>
      <c r="V268" t="inlineStr">
        <is>
          <t>Тариф с завтраком</t>
        </is>
      </c>
      <c r="W268" t="n">
        <v>39636.15</v>
      </c>
      <c r="X268" s="3" t="n">
        <v>413.85</v>
      </c>
      <c r="Y268" t="inlineStr">
        <is>
          <t>3.1%</t>
        </is>
      </c>
      <c r="Z268" t="inlineStr">
        <is>
          <t>2026-08-11</t>
        </is>
      </c>
      <c r="AA268" s="3" t="n">
        <v>39636.15</v>
      </c>
      <c r="AB268" t="inlineStr">
        <is>
          <t>Сошлось по ночным тарифам</t>
        </is>
      </c>
      <c r="AC268" s="2" t="inlineStr"/>
      <c r="AD268" t="n">
        <v>413.85</v>
      </c>
      <c r="AE268" t="n">
        <v>0</v>
      </c>
      <c r="AF268" t="inlineStr">
        <is>
          <t>Скидка добавлена к налоговой базе</t>
        </is>
      </c>
      <c r="AG268" t="n">
        <v>40050</v>
      </c>
      <c r="AH268" t="n">
        <v>39636.15</v>
      </c>
      <c r="AI268" t="inlineStr">
        <is>
          <t>Полное проживание в выбранном периоде</t>
        </is>
      </c>
    </row>
    <row r="269">
      <c r="A269" t="inlineStr">
        <is>
          <t>20260811-8186-456721547</t>
        </is>
      </c>
      <c r="B269" t="n">
        <v>1</v>
      </c>
      <c r="C269" s="2" t="inlineStr">
        <is>
          <t>Василий Лаптев, мария Лаптева</t>
        </is>
      </c>
      <c r="D269" s="3" t="n">
        <v>89000</v>
      </c>
      <c r="E269" s="4" t="n">
        <v>0</v>
      </c>
      <c r="F269" t="inlineStr">
        <is>
          <t>Прямые бронирования (стойка) [Чайковский]</t>
        </is>
      </c>
      <c r="G269" s="3">
        <f>ROUND(D269/(100-E269)*100,2)</f>
        <v/>
      </c>
      <c r="H269" s="3" t="n">
        <v>0</v>
      </c>
      <c r="I269" s="3">
        <f>ROUND(IF(ISNUMBER(AG269),AG269,G269)+H269,2)</f>
        <v/>
      </c>
      <c r="J269" s="2" t="inlineStr">
        <is>
          <t>Завтрак "Шведский стол"</t>
        </is>
      </c>
      <c r="K269" s="5" t="n">
        <v>46245.58333333334</v>
      </c>
      <c r="L269" t="n">
        <v>5</v>
      </c>
      <c r="M269" s="3">
        <f>I269/L269</f>
        <v/>
      </c>
      <c r="N269">
        <f>IF(M269&gt;=5100,"ставка","мин.ставка")</f>
        <v/>
      </c>
      <c r="O269" s="3">
        <f>ROUND(IF(N269="мин.ставка",L269*100,I269/102*2),2)</f>
        <v/>
      </c>
      <c r="P269" s="5" t="n">
        <v>46250.5</v>
      </c>
      <c r="Q269" t="inlineStr">
        <is>
          <t>TravelLine ресепшен</t>
        </is>
      </c>
      <c r="R269" s="2" t="inlineStr">
        <is>
          <t>ЛЮКС ВТОРОЙ КОРПУС</t>
        </is>
      </c>
      <c r="S269" t="n">
        <v>54</v>
      </c>
      <c r="T269" t="n">
        <v>2</v>
      </c>
      <c r="U269" t="inlineStr"/>
      <c r="V269" t="inlineStr">
        <is>
          <t>Тариф с завтраком</t>
        </is>
      </c>
      <c r="W269" t="n">
        <v>89000</v>
      </c>
      <c r="X269" s="3" t="n">
        <v>0</v>
      </c>
      <c r="Y269" t="inlineStr"/>
      <c r="Z269" t="inlineStr"/>
      <c r="AA269" s="3" t="n">
        <v>89000</v>
      </c>
      <c r="AB269" t="inlineStr">
        <is>
          <t>Сошлось по ночным тарифам</t>
        </is>
      </c>
      <c r="AC269" s="2" t="inlineStr"/>
      <c r="AD269" t="n">
        <v>0</v>
      </c>
      <c r="AE269" t="n">
        <v>0</v>
      </c>
      <c r="AF269" t="inlineStr">
        <is>
          <t>Скидки нет</t>
        </is>
      </c>
      <c r="AG269" t="n">
        <v>89000</v>
      </c>
      <c r="AH269" t="n">
        <v>89000</v>
      </c>
      <c r="AI269" t="inlineStr">
        <is>
          <t>Полное проживание в выбранном периоде</t>
        </is>
      </c>
    </row>
    <row r="270">
      <c r="A270" t="inlineStr">
        <is>
          <t>20260716-8186-439058294</t>
        </is>
      </c>
      <c r="B270" t="n">
        <v>1</v>
      </c>
      <c r="C270" s="2" t="inlineStr">
        <is>
          <t>ВАСИЛИЙ ЛИМАНСКИЙ, АЛЛА ЛИМАНСКАЯ, ЛЕОНИД ЛИМАНСКИЙ</t>
        </is>
      </c>
      <c r="D270" s="3" t="n">
        <v>34042.5</v>
      </c>
      <c r="E270" s="4" t="n">
        <v>15</v>
      </c>
      <c r="F270" t="inlineStr">
        <is>
          <t>ООО "БРОНИРОВАНИЕ ГОСТИНИЦ" (OSTROVOK) [Чайковский]</t>
        </is>
      </c>
      <c r="G270" s="3">
        <f>ROUND(D270/(100-E270)*100,2)</f>
        <v/>
      </c>
      <c r="H270" s="3" t="n">
        <v>8400</v>
      </c>
      <c r="I270" s="3">
        <f>ROUND(IF(ISNUMBER(AG270),AG270,G270)+H270,2)</f>
        <v/>
      </c>
      <c r="J270" s="2" t="inlineStr">
        <is>
          <t>продление номера — 8 400,00 ₽; Завтрак "Шведский стол"</t>
        </is>
      </c>
      <c r="K270" s="5" t="n">
        <v>46219.58333333334</v>
      </c>
      <c r="L270" t="n">
        <v>3</v>
      </c>
      <c r="M270" s="3">
        <f>I270/L270</f>
        <v/>
      </c>
      <c r="N270">
        <f>IF(M270&gt;=5100,"ставка","мин.ставка")</f>
        <v/>
      </c>
      <c r="O270" s="3">
        <f>ROUND(IF(N270="мин.ставка",L270*100,I270/102*2),2)</f>
        <v/>
      </c>
      <c r="P270" s="5" t="n">
        <v>46222.5</v>
      </c>
      <c r="Q270" t="inlineStr">
        <is>
          <t>TravelLine OTK</t>
        </is>
      </c>
      <c r="R270" s="2" t="inlineStr">
        <is>
          <t>СЕМЕЙНЫЙ НОМЕР КАТЕГОРИИ "СТАНДАРТ" ВТОРОЙ КОРПУС</t>
        </is>
      </c>
      <c r="S270" t="n">
        <v>51</v>
      </c>
      <c r="T270" t="n">
        <v>2</v>
      </c>
      <c r="U270" t="inlineStr"/>
      <c r="V270" t="inlineStr">
        <is>
          <t>Тариф с завтраком</t>
        </is>
      </c>
      <c r="W270" t="n">
        <v>42442.5</v>
      </c>
      <c r="X270" s="3" t="n">
        <v>6007.5</v>
      </c>
      <c r="Y270" t="inlineStr">
        <is>
          <t>15%</t>
        </is>
      </c>
      <c r="Z270" t="inlineStr">
        <is>
          <t>2026-07-16, 2026-07-17, 2026-07-18</t>
        </is>
      </c>
      <c r="AA270" s="3" t="n">
        <v>34042.5</v>
      </c>
      <c r="AB270" t="inlineStr">
        <is>
          <t>Сошлось с услугами</t>
        </is>
      </c>
      <c r="AC270" s="2" t="inlineStr"/>
      <c r="AD270" t="n">
        <v>6007.5</v>
      </c>
      <c r="AE270" t="n">
        <v>0</v>
      </c>
      <c r="AF270" t="inlineStr">
        <is>
          <t>Скидка добавлена к налоговой базе</t>
        </is>
      </c>
      <c r="AG270" t="n">
        <v>40050</v>
      </c>
      <c r="AH270" t="n">
        <v>34042.5</v>
      </c>
      <c r="AI270" t="inlineStr">
        <is>
          <t>Полное проживание в выбранном периоде</t>
        </is>
      </c>
    </row>
    <row r="271">
      <c r="A271" t="inlineStr">
        <is>
          <t>20260815-8186-458848369</t>
        </is>
      </c>
      <c r="B271" t="n">
        <v>1</v>
      </c>
      <c r="C271" s="2" t="inlineStr">
        <is>
          <t>Василий Федоров, Юлия Федорова</t>
        </is>
      </c>
      <c r="D271" s="3" t="n">
        <v>13860</v>
      </c>
      <c r="E271" s="4" t="n">
        <v>0</v>
      </c>
      <c r="F271" t="inlineStr">
        <is>
          <t>Прямые бронирования (стойка) [Чайковский]</t>
        </is>
      </c>
      <c r="G271" s="3">
        <f>ROUND(D271/(100-E271)*100,2)</f>
        <v/>
      </c>
      <c r="H271" s="3" t="n">
        <v>0</v>
      </c>
      <c r="I271" s="3">
        <f>ROUND(IF(ISNUMBER(AG271),AG271,G271)+H271,2)</f>
        <v/>
      </c>
      <c r="J271" s="2" t="inlineStr">
        <is>
          <t>Завтрак "Шведский стол"</t>
        </is>
      </c>
      <c r="K271" s="5" t="n">
        <v>46249.58333333334</v>
      </c>
      <c r="L271" t="n">
        <v>1</v>
      </c>
      <c r="M271" s="3">
        <f>I271/L271</f>
        <v/>
      </c>
      <c r="N271">
        <f>IF(M271&gt;=5100,"ставка","мин.ставка")</f>
        <v/>
      </c>
      <c r="O271" s="3">
        <f>ROUND(IF(N271="мин.ставка",L271*100,I271/102*2),2)</f>
        <v/>
      </c>
      <c r="P271" s="5" t="n">
        <v>46250.5</v>
      </c>
      <c r="Q271" t="inlineStr">
        <is>
          <t>TravelLine ресепшен</t>
        </is>
      </c>
      <c r="R271" s="2" t="inlineStr">
        <is>
          <t>УЛУЧШЕННЫЙ ДВУХМЕСТНЫЙ НОМЕР</t>
        </is>
      </c>
      <c r="S271" t="n">
        <v>31</v>
      </c>
      <c r="T271" t="n">
        <v>1</v>
      </c>
      <c r="U271" t="inlineStr"/>
      <c r="V271" t="inlineStr">
        <is>
          <t>Тариф с завтраком</t>
        </is>
      </c>
      <c r="W271" t="n">
        <v>13860</v>
      </c>
      <c r="X271" s="3" t="n">
        <v>1540</v>
      </c>
      <c r="Y271" t="inlineStr">
        <is>
          <t>10%</t>
        </is>
      </c>
      <c r="Z271" t="inlineStr">
        <is>
          <t>2026-08-15</t>
        </is>
      </c>
      <c r="AA271" s="3" t="n">
        <v>13860</v>
      </c>
      <c r="AB271" t="inlineStr">
        <is>
          <t>Сошлось по ночным тарифам</t>
        </is>
      </c>
      <c r="AC271" s="2" t="inlineStr"/>
      <c r="AD271" t="n">
        <v>1540</v>
      </c>
      <c r="AE271" t="n">
        <v>0</v>
      </c>
      <c r="AF271" t="inlineStr">
        <is>
          <t>Скидка добавлена к налоговой базе</t>
        </is>
      </c>
      <c r="AG271" t="n">
        <v>15400</v>
      </c>
      <c r="AH271" t="n">
        <v>13860</v>
      </c>
      <c r="AI271" t="inlineStr">
        <is>
          <t>Полное проживание в выбранном периоде</t>
        </is>
      </c>
    </row>
    <row r="272">
      <c r="A272" t="inlineStr">
        <is>
          <t>20260907-8186-458413850</t>
        </is>
      </c>
      <c r="B272" t="n">
        <v>1</v>
      </c>
      <c r="C272" s="2" t="inlineStr">
        <is>
          <t>ВЕНЕРА Мкртычян, ТАТЬЯНА Жидкова</t>
        </is>
      </c>
      <c r="D272" s="3" t="n">
        <v>53400</v>
      </c>
      <c r="E272" s="4" t="n">
        <v>20</v>
      </c>
      <c r="F272" t="inlineStr">
        <is>
          <t>ООО "КОМПАНИЯ БРОНЕВИК" [Чайковский]</t>
        </is>
      </c>
      <c r="G272" s="3">
        <f>ROUND(D272/(100-E272)*100,2)</f>
        <v/>
      </c>
      <c r="H272" s="3" t="n">
        <v>0</v>
      </c>
      <c r="I272" s="3">
        <f>ROUND(IF(ISNUMBER(AG272),AG272,G272)+H272,2)</f>
        <v/>
      </c>
      <c r="J272" s="2" t="inlineStr">
        <is>
          <t>Завтрак "Шведский стол"</t>
        </is>
      </c>
      <c r="K272" s="5" t="n">
        <v>46272.58333333334</v>
      </c>
      <c r="L272" t="n">
        <v>5</v>
      </c>
      <c r="M272" s="3">
        <f>I272/L272</f>
        <v/>
      </c>
      <c r="N272">
        <f>IF(M272&gt;=5100,"ставка","мин.ставка")</f>
        <v/>
      </c>
      <c r="O272" s="3">
        <f>ROUND(IF(N272="мин.ставка",L272*100,I272/102*2),2)</f>
        <v/>
      </c>
      <c r="P272" s="5" t="n">
        <v>46277.5</v>
      </c>
      <c r="Q272" t="inlineStr">
        <is>
          <t>TravelLine BR2</t>
        </is>
      </c>
      <c r="R272" s="2" t="inlineStr">
        <is>
          <t>УЛУЧШЕННЫЙ ДВУХМЕСТНЫЙ НОМЕР</t>
        </is>
      </c>
      <c r="S272" t="n">
        <v>59</v>
      </c>
      <c r="T272" t="n">
        <v>2</v>
      </c>
      <c r="U272" t="inlineStr"/>
      <c r="V272" t="inlineStr">
        <is>
          <t>Тариф с завтраком</t>
        </is>
      </c>
      <c r="W272" t="n">
        <v>53400</v>
      </c>
      <c r="X272" s="3" t="n">
        <v>0</v>
      </c>
      <c r="Y272" t="inlineStr"/>
      <c r="Z272" t="inlineStr"/>
      <c r="AA272" s="3" t="n">
        <v>53400</v>
      </c>
      <c r="AB272" t="inlineStr">
        <is>
          <t>Сошлось по ночным тарифам</t>
        </is>
      </c>
      <c r="AC272" s="2" t="inlineStr"/>
      <c r="AD272" t="n">
        <v>0</v>
      </c>
      <c r="AE272" t="n">
        <v>0</v>
      </c>
      <c r="AF272" t="inlineStr">
        <is>
          <t>Скидки нет</t>
        </is>
      </c>
      <c r="AG272" t="n">
        <v>53400</v>
      </c>
      <c r="AH272" t="n">
        <v>53400</v>
      </c>
      <c r="AI272" t="inlineStr">
        <is>
          <t>Полное проживание в выбранном периоде</t>
        </is>
      </c>
    </row>
    <row r="273">
      <c r="A273" t="inlineStr">
        <is>
          <t>20260812-8186-457461972</t>
        </is>
      </c>
      <c r="B273" t="n">
        <v>1</v>
      </c>
      <c r="C273" s="2" t="inlineStr">
        <is>
          <t>Вера Аксенова, Иван Васильев</t>
        </is>
      </c>
      <c r="D273" s="3" t="n">
        <v>57352.05</v>
      </c>
      <c r="E273" s="4" t="n">
        <v>4</v>
      </c>
      <c r="F273" t="inlineStr">
        <is>
          <t>TravelLine Booking Engine [Чайковский]</t>
        </is>
      </c>
      <c r="G273" s="3">
        <f>ROUND(D273/(100-E273)*100,2)</f>
        <v/>
      </c>
      <c r="H273" s="3" t="n">
        <v>0</v>
      </c>
      <c r="I273" s="3">
        <f>ROUND(IF(ISNUMBER(AG273),AG273,G273)+H273,2)</f>
        <v/>
      </c>
      <c r="J273" s="2" t="inlineStr">
        <is>
          <t>Завтрак "Шведский стол"</t>
        </is>
      </c>
      <c r="K273" s="5" t="n">
        <v>46246.58333333334</v>
      </c>
      <c r="L273" t="n">
        <v>4</v>
      </c>
      <c r="M273" s="3">
        <f>I273/L273</f>
        <v/>
      </c>
      <c r="N273">
        <f>IF(M273&gt;=5100,"ставка","мин.ставка")</f>
        <v/>
      </c>
      <c r="O273" s="3">
        <f>ROUND(IF(N273="мин.ставка",L273*100,I273/102*2),2)</f>
        <v/>
      </c>
      <c r="P273" s="5" t="n">
        <v>46250.5</v>
      </c>
      <c r="Q273" t="inlineStr">
        <is>
          <t>TravelLine сайт</t>
        </is>
      </c>
      <c r="R273" s="2" t="inlineStr">
        <is>
          <t>СЕМЕЙНЫЙ НОМЕР КАТЕГОРИИ "СТАНДАРТ" ВТОРОЙ КОРПУС</t>
        </is>
      </c>
      <c r="S273" t="n">
        <v>50</v>
      </c>
      <c r="T273" t="n">
        <v>2</v>
      </c>
      <c r="U273" t="inlineStr"/>
      <c r="V273" t="inlineStr">
        <is>
          <t>Тариф с завтраком</t>
        </is>
      </c>
      <c r="W273" t="n">
        <v>57352.05</v>
      </c>
      <c r="X273" s="3" t="n">
        <v>447.95</v>
      </c>
      <c r="Y273" t="inlineStr">
        <is>
          <t>3.1%</t>
        </is>
      </c>
      <c r="Z273" t="inlineStr">
        <is>
          <t>2026-08-12</t>
        </is>
      </c>
      <c r="AA273" s="3" t="n">
        <v>57352.05</v>
      </c>
      <c r="AB273" t="inlineStr">
        <is>
          <t>Сошлось по ночным тарифам</t>
        </is>
      </c>
      <c r="AC273" s="2" t="inlineStr"/>
      <c r="AD273" t="n">
        <v>447.95</v>
      </c>
      <c r="AE273" t="n">
        <v>0</v>
      </c>
      <c r="AF273" t="inlineStr">
        <is>
          <t>Скидка добавлена к налоговой базе</t>
        </is>
      </c>
      <c r="AG273" t="n">
        <v>57800</v>
      </c>
      <c r="AH273" t="n">
        <v>57352.05</v>
      </c>
      <c r="AI273" t="inlineStr">
        <is>
          <t>Полное проживание в выбранном периоде</t>
        </is>
      </c>
    </row>
    <row r="274">
      <c r="A274" t="inlineStr">
        <is>
          <t>20260801-8186-431054708</t>
        </is>
      </c>
      <c r="B274" t="n">
        <v>1</v>
      </c>
      <c r="C274" s="2" t="inlineStr">
        <is>
          <t>ВЕРА БАКШИЦКАЯ, АННА АНТОНОВА</t>
        </is>
      </c>
      <c r="D274" s="3" t="n">
        <v>55440</v>
      </c>
      <c r="E274" s="4" t="n">
        <v>0</v>
      </c>
      <c r="F274" t="inlineStr">
        <is>
          <t>Прямые бронирования (стойка) [Чайковский]</t>
        </is>
      </c>
      <c r="G274" s="3">
        <f>ROUND(D274/(100-E274)*100,2)</f>
        <v/>
      </c>
      <c r="H274" s="3" t="n">
        <v>0</v>
      </c>
      <c r="I274" s="3">
        <f>ROUND(IF(ISNUMBER(AG274),AG274,G274)+H274,2)</f>
        <v/>
      </c>
      <c r="J274" s="2" t="inlineStr">
        <is>
          <t>Завтрак "Шведский стол"</t>
        </is>
      </c>
      <c r="K274" s="5" t="n">
        <v>46235.58333333334</v>
      </c>
      <c r="L274" t="n">
        <v>7</v>
      </c>
      <c r="M274" s="3">
        <f>I274/L274</f>
        <v/>
      </c>
      <c r="N274">
        <f>IF(M274&gt;=5100,"ставка","мин.ставка")</f>
        <v/>
      </c>
      <c r="O274" s="3">
        <f>ROUND(IF(N274="мин.ставка",L274*100,I274/102*2),2)</f>
        <v/>
      </c>
      <c r="P274" s="5" t="n">
        <v>46242.5</v>
      </c>
      <c r="Q274" t="inlineStr">
        <is>
          <t>TravelLine ресепшен</t>
        </is>
      </c>
      <c r="R274" s="2" t="inlineStr">
        <is>
          <t>СТАНДАРТНЫЙ ДВУХМЕСТНЫЙ НОМЕР (МАНСАРДА)</t>
        </is>
      </c>
      <c r="S274" t="n">
        <v>45</v>
      </c>
      <c r="T274" t="n">
        <v>1</v>
      </c>
      <c r="U274" t="inlineStr"/>
      <c r="V274" t="inlineStr">
        <is>
          <t>Тариф с завтраком</t>
        </is>
      </c>
      <c r="W274" t="n">
        <v>55440</v>
      </c>
      <c r="X274" s="3" t="n">
        <v>13860</v>
      </c>
      <c r="Y274" t="inlineStr">
        <is>
          <t>20%</t>
        </is>
      </c>
      <c r="Z274" t="inlineStr">
        <is>
          <t>2026-08-01, 2026-08-02, 2026-08-03, 2026-08-04, 2026-08-05, 2026-08-06, 2026-08-07</t>
        </is>
      </c>
      <c r="AA274" s="3" t="n">
        <v>55440</v>
      </c>
      <c r="AB274" t="inlineStr">
        <is>
          <t>Сошлось по ночным тарифам</t>
        </is>
      </c>
      <c r="AC274" s="2" t="inlineStr"/>
      <c r="AD274" t="n">
        <v>13860</v>
      </c>
      <c r="AE274" t="n">
        <v>0</v>
      </c>
      <c r="AF274" t="inlineStr">
        <is>
          <t>Скидка добавлена к налоговой базе</t>
        </is>
      </c>
      <c r="AG274" t="n">
        <v>69300</v>
      </c>
      <c r="AH274" t="n">
        <v>55440</v>
      </c>
      <c r="AI274" t="inlineStr">
        <is>
          <t>Полное проживание в выбранном периоде</t>
        </is>
      </c>
    </row>
    <row r="275">
      <c r="A275" t="inlineStr">
        <is>
          <t>20260701-8186-445037030</t>
        </is>
      </c>
      <c r="B275" t="n">
        <v>1</v>
      </c>
      <c r="C275" s="2" t="inlineStr">
        <is>
          <t>Вера Веселова</t>
        </is>
      </c>
      <c r="D275" s="3" t="n">
        <v>46400</v>
      </c>
      <c r="E275" s="4" t="n">
        <v>18</v>
      </c>
      <c r="F275" t="inlineStr">
        <is>
          <t>Яндекс.Путешествия [Чайковский]</t>
        </is>
      </c>
      <c r="G275" s="3">
        <f>ROUND(D275/(100-E275)*100,2)</f>
        <v/>
      </c>
      <c r="H275" s="3" t="n">
        <v>0</v>
      </c>
      <c r="I275" s="3">
        <f>ROUND(IF(ISNUMBER(AG275),AG275,G275)+H275,2)</f>
        <v/>
      </c>
      <c r="J275" s="2" t="inlineStr">
        <is>
          <t>Завтрак "Шведский стол"</t>
        </is>
      </c>
      <c r="K275" s="5" t="n">
        <v>46204.58333333334</v>
      </c>
      <c r="L275" t="n">
        <v>4</v>
      </c>
      <c r="M275" s="3">
        <f>I275/L275</f>
        <v/>
      </c>
      <c r="N275">
        <f>IF(M275&gt;=5100,"ставка","мин.ставка")</f>
        <v/>
      </c>
      <c r="O275" s="3">
        <f>ROUND(IF(N275="мин.ставка",L275*100,I275/102*2),2)</f>
        <v/>
      </c>
      <c r="P275" s="5" t="n">
        <v>46208.5</v>
      </c>
      <c r="Q275" t="inlineStr">
        <is>
          <t>TravelLine YAX</t>
        </is>
      </c>
      <c r="R275" s="2" t="inlineStr">
        <is>
          <t>ПОЛУЛЮКС</t>
        </is>
      </c>
      <c r="S275" t="n">
        <v>25</v>
      </c>
      <c r="T275" t="n">
        <v>1</v>
      </c>
      <c r="U275" t="inlineStr"/>
      <c r="V275" t="inlineStr">
        <is>
          <t>Тариф с завтраком</t>
        </is>
      </c>
      <c r="W275" t="n">
        <v>46400</v>
      </c>
      <c r="X275" s="3" t="n">
        <v>11600</v>
      </c>
      <c r="Y275" t="inlineStr">
        <is>
          <t>20%</t>
        </is>
      </c>
      <c r="Z275" t="inlineStr">
        <is>
          <t>2026-07-01, 2026-07-02, 2026-07-03, 2026-07-04</t>
        </is>
      </c>
      <c r="AA275" s="3" t="n">
        <v>46400</v>
      </c>
      <c r="AB275" t="inlineStr">
        <is>
          <t>Сошлось по ночным тарифам</t>
        </is>
      </c>
      <c r="AC275" s="2" t="inlineStr"/>
      <c r="AD275" t="n">
        <v>11600</v>
      </c>
      <c r="AE275" t="n">
        <v>0</v>
      </c>
      <c r="AF275" t="inlineStr">
        <is>
          <t>Скидка добавлена к налоговой базе</t>
        </is>
      </c>
      <c r="AG275" t="n">
        <v>58000</v>
      </c>
      <c r="AH275" t="n">
        <v>46400</v>
      </c>
      <c r="AI275" t="inlineStr">
        <is>
          <t>Полное проживание в выбранном периоде</t>
        </is>
      </c>
    </row>
    <row r="276">
      <c r="A276" t="inlineStr">
        <is>
          <t>20260925-8186-468362135</t>
        </is>
      </c>
      <c r="B276" t="n">
        <v>1</v>
      </c>
      <c r="C276" s="2" t="inlineStr">
        <is>
          <t>Вера Голубь</t>
        </is>
      </c>
      <c r="D276" s="3" t="n">
        <v>9534</v>
      </c>
      <c r="E276" s="4" t="n">
        <v>16</v>
      </c>
      <c r="F276" t="inlineStr">
        <is>
          <t>ООО "БРОНИРОВАНИЕ ГОСТИНИЦ" (OSTROVOK) [Чайковский]</t>
        </is>
      </c>
      <c r="G276" s="3">
        <f>ROUND(D276/(100-E276)*100,2)</f>
        <v/>
      </c>
      <c r="H276" s="3" t="n">
        <v>0</v>
      </c>
      <c r="I276" s="3">
        <f>ROUND(IF(ISNUMBER(AG276),AG276,G276)+H276,2)</f>
        <v/>
      </c>
      <c r="J276" s="2" t="inlineStr">
        <is>
          <t>Завтрак "Шведский стол"</t>
        </is>
      </c>
      <c r="K276" s="5" t="n">
        <v>46290.58333333334</v>
      </c>
      <c r="L276" t="n">
        <v>1</v>
      </c>
      <c r="M276" s="3">
        <f>I276/L276</f>
        <v/>
      </c>
      <c r="N276">
        <f>IF(M276&gt;=5100,"ставка","мин.ставка")</f>
        <v/>
      </c>
      <c r="O276" s="3">
        <f>ROUND(IF(N276="мин.ставка",L276*100,I276/102*2),2)</f>
        <v/>
      </c>
      <c r="P276" s="5" t="n">
        <v>46291.5</v>
      </c>
      <c r="Q276" t="inlineStr">
        <is>
          <t>TravelLine OTK</t>
        </is>
      </c>
      <c r="R276" s="2" t="inlineStr">
        <is>
          <t>СТАНДАРТНЫЙ ДВУХМЕСТНЫЙ НОМЕР</t>
        </is>
      </c>
      <c r="S276" t="n">
        <v>46</v>
      </c>
      <c r="T276" t="n">
        <v>1</v>
      </c>
      <c r="U276" t="inlineStr"/>
      <c r="V276" t="inlineStr">
        <is>
          <t>Тариф с завтраком</t>
        </is>
      </c>
      <c r="W276" t="n">
        <v>9534</v>
      </c>
      <c r="X276" s="3" t="n">
        <v>1816</v>
      </c>
      <c r="Y276" t="inlineStr">
        <is>
          <t>16%</t>
        </is>
      </c>
      <c r="Z276" t="inlineStr">
        <is>
          <t>2026-09-25</t>
        </is>
      </c>
      <c r="AA276" s="3" t="n">
        <v>9534</v>
      </c>
      <c r="AB276" t="inlineStr">
        <is>
          <t>Сошлось по ночным тарифам</t>
        </is>
      </c>
      <c r="AC276" s="2" t="inlineStr"/>
      <c r="AD276" t="n">
        <v>1816</v>
      </c>
      <c r="AE276" t="n">
        <v>0</v>
      </c>
      <c r="AF276" t="inlineStr">
        <is>
          <t>Скидка добавлена к налоговой базе</t>
        </is>
      </c>
      <c r="AG276" t="n">
        <v>11350</v>
      </c>
      <c r="AH276" t="n">
        <v>9534</v>
      </c>
      <c r="AI276" t="inlineStr">
        <is>
          <t>Полное проживание в выбранном периоде</t>
        </is>
      </c>
    </row>
    <row r="277">
      <c r="A277" t="inlineStr">
        <is>
          <t>20260706-8186-447621903</t>
        </is>
      </c>
      <c r="B277" t="n">
        <v>1</v>
      </c>
      <c r="C277" s="2" t="inlineStr">
        <is>
          <t>Вера Скитыба</t>
        </is>
      </c>
      <c r="D277" s="3" t="n">
        <v>19805</v>
      </c>
      <c r="E277" s="4" t="n">
        <v>15</v>
      </c>
      <c r="F277" t="inlineStr">
        <is>
          <t>ООО Тинькофф Путешествия [Чайковский]</t>
        </is>
      </c>
      <c r="G277" s="3">
        <f>ROUND(D277/(100-E277)*100,2)</f>
        <v/>
      </c>
      <c r="H277" s="3" t="n">
        <v>0</v>
      </c>
      <c r="I277" s="3">
        <f>ROUND(IF(ISNUMBER(AG277),AG277,G277)+H277,2)</f>
        <v/>
      </c>
      <c r="J277" s="2" t="inlineStr">
        <is>
          <t>Завтрак "Шведский стол"</t>
        </is>
      </c>
      <c r="K277" s="5" t="n">
        <v>46209.58333333334</v>
      </c>
      <c r="L277" t="n">
        <v>2</v>
      </c>
      <c r="M277" s="3">
        <f>I277/L277</f>
        <v/>
      </c>
      <c r="N277">
        <f>IF(M277&gt;=5100,"ставка","мин.ставка")</f>
        <v/>
      </c>
      <c r="O277" s="3">
        <f>ROUND(IF(N277="мин.ставка",L277*100,I277/102*2),2)</f>
        <v/>
      </c>
      <c r="P277" s="5" t="n">
        <v>46211.5</v>
      </c>
      <c r="Q277" t="inlineStr">
        <is>
          <t>TravelLine TNK</t>
        </is>
      </c>
      <c r="R277" s="2" t="inlineStr">
        <is>
          <t>УЛУЧШЕННЫЙ ДВУХМЕСТНЫЙ НОМЕР</t>
        </is>
      </c>
      <c r="S277" t="n">
        <v>31</v>
      </c>
      <c r="T277" t="n">
        <v>1</v>
      </c>
      <c r="U277" t="inlineStr"/>
      <c r="V277" t="inlineStr">
        <is>
          <t>Тариф с завтраком</t>
        </is>
      </c>
      <c r="W277" t="n">
        <v>19805</v>
      </c>
      <c r="X277" s="3" t="n">
        <v>3495</v>
      </c>
      <c r="Y277" t="inlineStr">
        <is>
          <t>15%</t>
        </is>
      </c>
      <c r="Z277" t="inlineStr">
        <is>
          <t>2026-07-06, 2026-07-07</t>
        </is>
      </c>
      <c r="AA277" s="3" t="n">
        <v>19805</v>
      </c>
      <c r="AB277" t="inlineStr">
        <is>
          <t>Сошлось по ночным тарифам</t>
        </is>
      </c>
      <c r="AC277" s="2" t="inlineStr"/>
      <c r="AD277" t="n">
        <v>3495</v>
      </c>
      <c r="AE277" t="n">
        <v>0</v>
      </c>
      <c r="AF277" t="inlineStr">
        <is>
          <t>Скидка добавлена к налоговой базе</t>
        </is>
      </c>
      <c r="AG277" t="n">
        <v>23300</v>
      </c>
      <c r="AH277" t="n">
        <v>19805</v>
      </c>
      <c r="AI277" t="inlineStr">
        <is>
          <t>Полное проживание в выбранном периоде</t>
        </is>
      </c>
    </row>
    <row r="278">
      <c r="A278" t="inlineStr">
        <is>
          <t>20260918-8186-461156942</t>
        </is>
      </c>
      <c r="B278" t="n">
        <v>1</v>
      </c>
      <c r="C278" s="2" t="inlineStr">
        <is>
          <t>ВЕРОНИКА ВОЛКОВА, НИКОЛАЙ КАРАПЧЕЕВ</t>
        </is>
      </c>
      <c r="D278" s="3" t="n">
        <v>22780</v>
      </c>
      <c r="E278" s="4" t="n">
        <v>15</v>
      </c>
      <c r="F278" t="inlineStr">
        <is>
          <t>ООО "АКАДЕМ-ОНЛАЙН" [Чайковский]</t>
        </is>
      </c>
      <c r="G278" s="3">
        <f>ROUND(D278/(100-E278)*100,2)</f>
        <v/>
      </c>
      <c r="H278" s="3" t="n">
        <v>10700</v>
      </c>
      <c r="I278" s="3">
        <f>ROUND(IF(ISNUMBER(AG278),AG278,G278)+H278,2)</f>
        <v/>
      </c>
      <c r="J278" s="2" t="inlineStr">
        <is>
          <t>продление номера — 4 000,00 ₽; Завтрак "Шведский стол"; Поздний выезд — 6 700,00 ₽</t>
        </is>
      </c>
      <c r="K278" s="5" t="n">
        <v>46283.58333333334</v>
      </c>
      <c r="L278" t="n">
        <v>2</v>
      </c>
      <c r="M278" s="3">
        <f>I278/L278</f>
        <v/>
      </c>
      <c r="N278">
        <f>IF(M278&gt;=5100,"ставка","мин.ставка")</f>
        <v/>
      </c>
      <c r="O278" s="3">
        <f>ROUND(IF(N278="мин.ставка",L278*100,I278/102*2),2)</f>
        <v/>
      </c>
      <c r="P278" s="5" t="n">
        <v>46285.875</v>
      </c>
      <c r="Q278" t="inlineStr">
        <is>
          <t>TravelLine ACS</t>
        </is>
      </c>
      <c r="R278" s="2" t="inlineStr">
        <is>
          <t>УЛУЧШЕННЫЙ ДВУХМЕСТНЫЙ НОМЕР</t>
        </is>
      </c>
      <c r="S278" t="n">
        <v>21</v>
      </c>
      <c r="T278" t="n">
        <v>1</v>
      </c>
      <c r="U278" t="inlineStr"/>
      <c r="V278" t="inlineStr">
        <is>
          <t>Тариф с завтраком</t>
        </is>
      </c>
      <c r="W278" t="n">
        <v>33480</v>
      </c>
      <c r="X278" s="3" t="n">
        <v>4020</v>
      </c>
      <c r="Y278" t="inlineStr">
        <is>
          <t>15%</t>
        </is>
      </c>
      <c r="Z278" t="inlineStr">
        <is>
          <t>2026-09-18, 2026-09-19</t>
        </is>
      </c>
      <c r="AA278" s="3" t="n">
        <v>22780</v>
      </c>
      <c r="AB278" t="inlineStr">
        <is>
          <t>Расхождение -6700.00 ₽</t>
        </is>
      </c>
      <c r="AC278" s="2" t="inlineStr"/>
      <c r="AD278" t="n">
        <v>4020</v>
      </c>
      <c r="AE278" t="n">
        <v>0</v>
      </c>
      <c r="AF278" t="inlineStr">
        <is>
          <t>Скидка добавлена к налоговой базе</t>
        </is>
      </c>
      <c r="AG278" t="n">
        <v>26800</v>
      </c>
      <c r="AH278" t="n">
        <v>22780</v>
      </c>
      <c r="AI278" t="inlineStr">
        <is>
          <t>Полное проживание в выбранном периоде</t>
        </is>
      </c>
    </row>
    <row r="279">
      <c r="A279" t="inlineStr">
        <is>
          <t>20260901-8186-461814037</t>
        </is>
      </c>
      <c r="B279" t="n">
        <v>1</v>
      </c>
      <c r="C279" s="2" t="inlineStr">
        <is>
          <t>Вероника Левина</t>
        </is>
      </c>
      <c r="D279" s="3" t="n">
        <v>19295</v>
      </c>
      <c r="E279" s="4" t="n">
        <v>15</v>
      </c>
      <c r="F279" t="inlineStr">
        <is>
          <t>ООО «12Т» (ранее ONE TWO TRIP) [Чайковский]</t>
        </is>
      </c>
      <c r="G279" s="3">
        <f>ROUND(D279/(100-E279)*100,2)</f>
        <v/>
      </c>
      <c r="H279" s="3" t="n">
        <v>0</v>
      </c>
      <c r="I279" s="3">
        <f>ROUND(IF(ISNUMBER(AG279),AG279,G279)+H279,2)</f>
        <v/>
      </c>
      <c r="J279" s="2" t="inlineStr">
        <is>
          <t>Завтрак "Шведский стол"</t>
        </is>
      </c>
      <c r="K279" s="5" t="n">
        <v>46266.58333333334</v>
      </c>
      <c r="L279" t="n">
        <v>2</v>
      </c>
      <c r="M279" s="3">
        <f>I279/L279</f>
        <v/>
      </c>
      <c r="N279">
        <f>IF(M279&gt;=5100,"ставка","мин.ставка")</f>
        <v/>
      </c>
      <c r="O279" s="3">
        <f>ROUND(IF(N279="мин.ставка",L279*100,I279/102*2),2)</f>
        <v/>
      </c>
      <c r="P279" s="5" t="n">
        <v>46268.5</v>
      </c>
      <c r="Q279" t="inlineStr">
        <is>
          <t>TravelLine OTT</t>
        </is>
      </c>
      <c r="R279" s="2" t="inlineStr">
        <is>
          <t>СТАНДАРТНЫЙ ДВУХМЕСТНЫЙ НОМЕР</t>
        </is>
      </c>
      <c r="S279" t="n">
        <v>33</v>
      </c>
      <c r="T279" t="n">
        <v>1</v>
      </c>
      <c r="U279" t="inlineStr"/>
      <c r="V279" t="inlineStr">
        <is>
          <t>Тариф с завтраком</t>
        </is>
      </c>
      <c r="W279" t="n">
        <v>19295</v>
      </c>
      <c r="X279" s="3" t="n">
        <v>3405</v>
      </c>
      <c r="Y279" t="inlineStr">
        <is>
          <t>15%</t>
        </is>
      </c>
      <c r="Z279" t="inlineStr">
        <is>
          <t>2026-09-01, 2026-09-02</t>
        </is>
      </c>
      <c r="AA279" s="3" t="n">
        <v>19295</v>
      </c>
      <c r="AB279" t="inlineStr">
        <is>
          <t>Сошлось по ночным тарифам</t>
        </is>
      </c>
      <c r="AC279" s="2" t="inlineStr"/>
      <c r="AD279" t="n">
        <v>3405</v>
      </c>
      <c r="AE279" t="n">
        <v>0</v>
      </c>
      <c r="AF279" t="inlineStr">
        <is>
          <t>Скидка добавлена к налоговой базе</t>
        </is>
      </c>
      <c r="AG279" t="n">
        <v>22700</v>
      </c>
      <c r="AH279" t="n">
        <v>19295</v>
      </c>
      <c r="AI279" t="inlineStr">
        <is>
          <t>Полное проживание в выбранном периоде</t>
        </is>
      </c>
    </row>
    <row r="280">
      <c r="A280" t="inlineStr">
        <is>
          <t>20260722-8186-423776337</t>
        </is>
      </c>
      <c r="B280" t="n">
        <v>1</v>
      </c>
      <c r="C280" s="2" t="inlineStr">
        <is>
          <t>Вероника Новик, Роман Хвостов</t>
        </is>
      </c>
      <c r="D280" s="3" t="n">
        <v>74760</v>
      </c>
      <c r="E280" s="4" t="n">
        <v>18</v>
      </c>
      <c r="F280" t="inlineStr">
        <is>
          <t>Яндекс.Путешествия [Чайковский]</t>
        </is>
      </c>
      <c r="G280" s="3">
        <f>ROUND(D280/(100-E280)*100,2)</f>
        <v/>
      </c>
      <c r="H280" s="3" t="n">
        <v>0</v>
      </c>
      <c r="I280" s="3">
        <f>ROUND(IF(ISNUMBER(AG280),AG280,G280)+H280,2)</f>
        <v/>
      </c>
      <c r="J280" s="2" t="inlineStr">
        <is>
          <t>Завтрак "Шведский стол"</t>
        </is>
      </c>
      <c r="K280" s="5" t="n">
        <v>46225.58333333334</v>
      </c>
      <c r="L280" t="n">
        <v>7</v>
      </c>
      <c r="M280" s="3">
        <f>I280/L280</f>
        <v/>
      </c>
      <c r="N280">
        <f>IF(M280&gt;=5100,"ставка","мин.ставка")</f>
        <v/>
      </c>
      <c r="O280" s="3">
        <f>ROUND(IF(N280="мин.ставка",L280*100,I280/102*2),2)</f>
        <v/>
      </c>
      <c r="P280" s="5" t="n">
        <v>46232.5</v>
      </c>
      <c r="Q280" t="inlineStr">
        <is>
          <t>TravelLine YAX</t>
        </is>
      </c>
      <c r="R280" s="2" t="inlineStr">
        <is>
          <t>СТАНДАРТНЫЙ ДВУХМЕСТНЫЙ НОМЕР</t>
        </is>
      </c>
      <c r="S280" t="n">
        <v>33</v>
      </c>
      <c r="T280" t="n">
        <v>1</v>
      </c>
      <c r="U280" t="inlineStr"/>
      <c r="V280" t="inlineStr">
        <is>
          <t>Тариф с завтраком</t>
        </is>
      </c>
      <c r="W280" t="n">
        <v>74760</v>
      </c>
      <c r="X280" s="3" t="n">
        <v>18690</v>
      </c>
      <c r="Y280" t="inlineStr">
        <is>
          <t>20%</t>
        </is>
      </c>
      <c r="Z280" t="inlineStr">
        <is>
          <t>2026-07-22, 2026-07-23, 2026-07-24, 2026-07-25, 2026-07-26, 2026-07-27, 2026-07-28</t>
        </is>
      </c>
      <c r="AA280" s="3" t="n">
        <v>74760</v>
      </c>
      <c r="AB280" t="inlineStr">
        <is>
          <t>Сошлось по ночным тарифам</t>
        </is>
      </c>
      <c r="AC280" s="2" t="inlineStr"/>
      <c r="AD280" t="n">
        <v>18690</v>
      </c>
      <c r="AE280" t="n">
        <v>0</v>
      </c>
      <c r="AF280" t="inlineStr">
        <is>
          <t>Скидка добавлена к налоговой базе</t>
        </is>
      </c>
      <c r="AG280" t="n">
        <v>93450</v>
      </c>
      <c r="AH280" t="n">
        <v>74760</v>
      </c>
      <c r="AI280" t="inlineStr">
        <is>
          <t>Полное проживание в выбранном периоде</t>
        </is>
      </c>
    </row>
    <row r="281">
      <c r="A281" t="inlineStr">
        <is>
          <t>20260809-8186-453143190</t>
        </is>
      </c>
      <c r="B281" t="n">
        <v>1</v>
      </c>
      <c r="C281" s="2" t="inlineStr">
        <is>
          <t>ВЕРОНИКА СЕРЕБРЯКОВА</t>
        </is>
      </c>
      <c r="D281" s="3" t="n">
        <v>18160</v>
      </c>
      <c r="E281" s="4" t="n">
        <v>18</v>
      </c>
      <c r="F281" t="inlineStr">
        <is>
          <t>Яндекс.Путешествия [Чайковский]</t>
        </is>
      </c>
      <c r="G281" s="3">
        <f>ROUND(D281/(100-E281)*100,2)</f>
        <v/>
      </c>
      <c r="H281" s="3" t="n">
        <v>0</v>
      </c>
      <c r="I281" s="3">
        <f>ROUND(IF(ISNUMBER(AG281),AG281,G281)+H281,2)</f>
        <v/>
      </c>
      <c r="J281" s="2" t="inlineStr">
        <is>
          <t>Завтрак "Шведский стол"</t>
        </is>
      </c>
      <c r="K281" s="5" t="n">
        <v>46243.58333333334</v>
      </c>
      <c r="L281" t="n">
        <v>2</v>
      </c>
      <c r="M281" s="3">
        <f>I281/L281</f>
        <v/>
      </c>
      <c r="N281">
        <f>IF(M281&gt;=5100,"ставка","мин.ставка")</f>
        <v/>
      </c>
      <c r="O281" s="3">
        <f>ROUND(IF(N281="мин.ставка",L281*100,I281/102*2),2)</f>
        <v/>
      </c>
      <c r="P281" s="5" t="n">
        <v>46245.5</v>
      </c>
      <c r="Q281" t="inlineStr">
        <is>
          <t>TravelLine YAX</t>
        </is>
      </c>
      <c r="R281" s="2" t="inlineStr">
        <is>
          <t>СТАНДАРТНЫЙ ДВУХМЕСТНЫЙ НОМЕР</t>
        </is>
      </c>
      <c r="S281" t="n">
        <v>46</v>
      </c>
      <c r="T281" t="n">
        <v>1</v>
      </c>
      <c r="U281" t="inlineStr"/>
      <c r="V281" t="inlineStr">
        <is>
          <t>Тариф с завтраком</t>
        </is>
      </c>
      <c r="W281" t="n">
        <v>18160</v>
      </c>
      <c r="X281" s="3" t="n">
        <v>4540</v>
      </c>
      <c r="Y281" t="inlineStr">
        <is>
          <t>20%</t>
        </is>
      </c>
      <c r="Z281" t="inlineStr">
        <is>
          <t>2026-08-09, 2026-08-10</t>
        </is>
      </c>
      <c r="AA281" s="3" t="n">
        <v>18160</v>
      </c>
      <c r="AB281" t="inlineStr">
        <is>
          <t>Сошлось по ночным тарифам</t>
        </is>
      </c>
      <c r="AC281" s="2" t="inlineStr"/>
      <c r="AD281" t="n">
        <v>4540</v>
      </c>
      <c r="AE281" t="n">
        <v>0</v>
      </c>
      <c r="AF281" t="inlineStr">
        <is>
          <t>Скидка добавлена к налоговой базе</t>
        </is>
      </c>
      <c r="AG281" t="n">
        <v>22700</v>
      </c>
      <c r="AH281" t="n">
        <v>18160</v>
      </c>
      <c r="AI281" t="inlineStr">
        <is>
          <t>Полное проживание в выбранном периоде</t>
        </is>
      </c>
    </row>
    <row r="282">
      <c r="A282" t="inlineStr">
        <is>
          <t>20260710-8186-449179588</t>
        </is>
      </c>
      <c r="B282" t="n">
        <v>1</v>
      </c>
      <c r="C282" s="2" t="inlineStr">
        <is>
          <t>Виктор Дьяков</t>
        </is>
      </c>
      <c r="D282" s="3" t="n">
        <v>9315</v>
      </c>
      <c r="E282" s="4" t="n">
        <v>0</v>
      </c>
      <c r="F282" t="inlineStr">
        <is>
          <t>Прямые бронирования (стойка) [Чайковский]</t>
        </is>
      </c>
      <c r="G282" s="3">
        <f>ROUND(D282/(100-E282)*100,2)</f>
        <v/>
      </c>
      <c r="H282" s="3" t="n">
        <v>0</v>
      </c>
      <c r="I282" s="3">
        <f>ROUND(IF(ISNUMBER(AG282),AG282,G282)+H282,2)</f>
        <v/>
      </c>
      <c r="J282" s="2" t="inlineStr">
        <is>
          <t>Завтрак "Шведский стол"</t>
        </is>
      </c>
      <c r="K282" s="5" t="n">
        <v>46213.58333333334</v>
      </c>
      <c r="L282" t="n">
        <v>1</v>
      </c>
      <c r="M282" s="3">
        <f>I282/L282</f>
        <v/>
      </c>
      <c r="N282">
        <f>IF(M282&gt;=5100,"ставка","мин.ставка")</f>
        <v/>
      </c>
      <c r="O282" s="3">
        <f>ROUND(IF(N282="мин.ставка",L282*100,I282/102*2),2)</f>
        <v/>
      </c>
      <c r="P282" s="5" t="n">
        <v>46214.5</v>
      </c>
      <c r="Q282" t="inlineStr">
        <is>
          <t>TravelLine ресепшен</t>
        </is>
      </c>
      <c r="R282" s="2" t="inlineStr">
        <is>
          <t>СТАНДАРТНЫЙ ДВУХМЕСТНЫЙ НОМЕР</t>
        </is>
      </c>
      <c r="S282" t="n">
        <v>52</v>
      </c>
      <c r="T282" t="n">
        <v>2</v>
      </c>
      <c r="U282" t="inlineStr"/>
      <c r="V282" t="inlineStr">
        <is>
          <t>Тариф с завтраком</t>
        </is>
      </c>
      <c r="W282" t="n">
        <v>9315</v>
      </c>
      <c r="X282" s="3" t="n">
        <v>1035</v>
      </c>
      <c r="Y282" t="inlineStr">
        <is>
          <t>10%</t>
        </is>
      </c>
      <c r="Z282" t="inlineStr">
        <is>
          <t>2026-07-10</t>
        </is>
      </c>
      <c r="AA282" s="3" t="n">
        <v>9315</v>
      </c>
      <c r="AB282" t="inlineStr">
        <is>
          <t>Сошлось по ночным тарифам</t>
        </is>
      </c>
      <c r="AC282" s="2" t="inlineStr"/>
      <c r="AD282" t="n">
        <v>1035</v>
      </c>
      <c r="AE282" t="n">
        <v>0</v>
      </c>
      <c r="AF282" t="inlineStr">
        <is>
          <t>Скидка добавлена к налоговой базе</t>
        </is>
      </c>
      <c r="AG282" t="n">
        <v>10350</v>
      </c>
      <c r="AH282" t="n">
        <v>9315</v>
      </c>
      <c r="AI282" t="inlineStr">
        <is>
          <t>Полное проживание в выбранном периоде</t>
        </is>
      </c>
    </row>
    <row r="283">
      <c r="A283" t="inlineStr">
        <is>
          <t>20260822-8186-425651545</t>
        </is>
      </c>
      <c r="B283" t="n">
        <v>1</v>
      </c>
      <c r="C283" s="2" t="inlineStr">
        <is>
          <t>Виктор Дюков, Лариса Дюкова</t>
        </is>
      </c>
      <c r="D283" s="3" t="n">
        <v>60876</v>
      </c>
      <c r="E283" s="4" t="n">
        <v>18</v>
      </c>
      <c r="F283" t="inlineStr">
        <is>
          <t>Яндекс.Путешествия [Чайковский]</t>
        </is>
      </c>
      <c r="G283" s="3">
        <f>ROUND(D283/(100-E283)*100,2)</f>
        <v/>
      </c>
      <c r="H283" s="3" t="n">
        <v>0</v>
      </c>
      <c r="I283" s="3">
        <f>ROUND(IF(ISNUMBER(AG283),AG283,G283)+H283,2)</f>
        <v/>
      </c>
      <c r="J283" s="2" t="inlineStr">
        <is>
          <t>Завтрак "Шведский стол"</t>
        </is>
      </c>
      <c r="K283" s="5" t="n">
        <v>46256.58333333334</v>
      </c>
      <c r="L283" t="n">
        <v>6</v>
      </c>
      <c r="M283" s="3">
        <f>I283/L283</f>
        <v/>
      </c>
      <c r="N283">
        <f>IF(M283&gt;=5100,"ставка","мин.ставка")</f>
        <v/>
      </c>
      <c r="O283" s="3">
        <f>ROUND(IF(N283="мин.ставка",L283*100,I283/102*2),2)</f>
        <v/>
      </c>
      <c r="P283" s="5" t="n">
        <v>46262.5</v>
      </c>
      <c r="Q283" t="inlineStr">
        <is>
          <t>TravelLine YAX</t>
        </is>
      </c>
      <c r="R283" s="2" t="inlineStr">
        <is>
          <t>СТАНДАРТНЫЙ ДВУХМЕСТНЫЙ НОМЕР</t>
        </is>
      </c>
      <c r="S283" t="n">
        <v>36</v>
      </c>
      <c r="T283" t="n">
        <v>1</v>
      </c>
      <c r="U283" t="inlineStr"/>
      <c r="V283" t="inlineStr">
        <is>
          <t>Тариф с завтраком</t>
        </is>
      </c>
      <c r="W283" t="n">
        <v>182928</v>
      </c>
      <c r="X283" s="3" t="n">
        <v>15219</v>
      </c>
      <c r="Y283" t="inlineStr">
        <is>
          <t>20%</t>
        </is>
      </c>
      <c r="Z283" t="inlineStr">
        <is>
          <t>2026-08-22, 2026-08-23, 2026-08-24, 2026-08-25, 2026-08-26, 2026-08-27</t>
        </is>
      </c>
      <c r="AA283" s="3" t="n">
        <v>60876</v>
      </c>
      <c r="AB283" t="inlineStr">
        <is>
          <t>Сошлось по ночным тарифам</t>
        </is>
      </c>
      <c r="AC283" s="2" t="inlineStr"/>
      <c r="AD283" t="n">
        <v>15219</v>
      </c>
      <c r="AE283" t="n">
        <v>0</v>
      </c>
      <c r="AF283" t="inlineStr">
        <is>
          <t>Скидка добавлена к налоговой базе</t>
        </is>
      </c>
      <c r="AG283" t="n">
        <v>76095</v>
      </c>
      <c r="AH283" t="n">
        <v>60876</v>
      </c>
      <c r="AI283" t="inlineStr">
        <is>
          <t>Полное проживание в выбранном периоде</t>
        </is>
      </c>
    </row>
    <row r="284">
      <c r="A284" t="inlineStr">
        <is>
          <t>20260810-8186-439226204</t>
        </is>
      </c>
      <c r="B284" t="n">
        <v>1</v>
      </c>
      <c r="C284" s="2" t="inlineStr">
        <is>
          <t>ВИКТОР МАРТЫНОВ</t>
        </is>
      </c>
      <c r="D284" s="3" t="n">
        <v>21440</v>
      </c>
      <c r="E284" s="4" t="n">
        <v>20</v>
      </c>
      <c r="F284" t="inlineStr">
        <is>
          <t>ООО "ХБ-ПРО" [Чайковский]</t>
        </is>
      </c>
      <c r="G284" s="3">
        <f>ROUND(D284/(100-E284)*100,2)</f>
        <v/>
      </c>
      <c r="H284" s="3" t="n">
        <v>0</v>
      </c>
      <c r="I284" s="3">
        <f>ROUND(IF(ISNUMBER(AG284),AG284,G284)+H284,2)</f>
        <v/>
      </c>
      <c r="J284" s="2" t="inlineStr">
        <is>
          <t>Завтрак "Шведский стол"</t>
        </is>
      </c>
      <c r="K284" s="5" t="n">
        <v>46244.58333333334</v>
      </c>
      <c r="L284" t="n">
        <v>2</v>
      </c>
      <c r="M284" s="3">
        <f>I284/L284</f>
        <v/>
      </c>
      <c r="N284">
        <f>IF(M284&gt;=5100,"ставка","мин.ставка")</f>
        <v/>
      </c>
      <c r="O284" s="3">
        <f>ROUND(IF(N284="мин.ставка",L284*100,I284/102*2),2)</f>
        <v/>
      </c>
      <c r="P284" s="5" t="n">
        <v>46246.5</v>
      </c>
      <c r="Q284" t="inlineStr">
        <is>
          <t>TravelLine UTS</t>
        </is>
      </c>
      <c r="R284" s="2" t="inlineStr">
        <is>
          <t>УЛУЧШЕННЫЙ ДВУХМЕСТНЫЙ НОМЕР</t>
        </is>
      </c>
      <c r="S284" t="n">
        <v>56</v>
      </c>
      <c r="T284" t="n">
        <v>2</v>
      </c>
      <c r="U284" t="inlineStr"/>
      <c r="V284" t="inlineStr">
        <is>
          <t>Тариф с завтраком</t>
        </is>
      </c>
      <c r="W284" t="n">
        <v>21440</v>
      </c>
      <c r="X284" s="3" t="n">
        <v>0</v>
      </c>
      <c r="Y284" t="inlineStr"/>
      <c r="Z284" t="inlineStr"/>
      <c r="AA284" s="3" t="n">
        <v>21440</v>
      </c>
      <c r="AB284" t="inlineStr">
        <is>
          <t>Сошлось по ночным тарифам</t>
        </is>
      </c>
      <c r="AC284" s="2" t="inlineStr"/>
      <c r="AD284" t="n">
        <v>0</v>
      </c>
      <c r="AE284" t="n">
        <v>0</v>
      </c>
      <c r="AF284" t="inlineStr">
        <is>
          <t>Скидки нет</t>
        </is>
      </c>
      <c r="AG284" t="n">
        <v>21440</v>
      </c>
      <c r="AH284" t="n">
        <v>21440</v>
      </c>
      <c r="AI284" t="inlineStr">
        <is>
          <t>Полное проживание в выбранном периоде</t>
        </is>
      </c>
    </row>
    <row r="285">
      <c r="A285" t="inlineStr">
        <is>
          <t>20260721-8186-448633630</t>
        </is>
      </c>
      <c r="B285" t="n">
        <v>1</v>
      </c>
      <c r="C285" s="2" t="inlineStr">
        <is>
          <t>Виктор Распутин</t>
        </is>
      </c>
      <c r="D285" s="3" t="n">
        <v>27240</v>
      </c>
      <c r="E285" s="4" t="n">
        <v>18</v>
      </c>
      <c r="F285" t="inlineStr">
        <is>
          <t>Яндекс.Путешествия [Чайковский]</t>
        </is>
      </c>
      <c r="G285" s="3">
        <f>ROUND(D285/(100-E285)*100,2)</f>
        <v/>
      </c>
      <c r="H285" s="3" t="n">
        <v>960</v>
      </c>
      <c r="I285" s="3">
        <f>ROUND(IF(ISNUMBER(AG285),AG285,G285)+H285,2)</f>
        <v/>
      </c>
      <c r="J285" s="2" t="inlineStr">
        <is>
          <t>продление номера — 960,00 ₽; Завтрак "Шведский стол"</t>
        </is>
      </c>
      <c r="K285" s="5" t="n">
        <v>46224.58333333334</v>
      </c>
      <c r="L285" t="n">
        <v>3</v>
      </c>
      <c r="M285" s="3">
        <f>I285/L285</f>
        <v/>
      </c>
      <c r="N285">
        <f>IF(M285&gt;=5100,"ставка","мин.ставка")</f>
        <v/>
      </c>
      <c r="O285" s="3">
        <f>ROUND(IF(N285="мин.ставка",L285*100,I285/102*2),2)</f>
        <v/>
      </c>
      <c r="P285" s="5" t="n">
        <v>46227.5</v>
      </c>
      <c r="Q285" t="inlineStr">
        <is>
          <t>TravelLine YAX</t>
        </is>
      </c>
      <c r="R285" s="2" t="inlineStr">
        <is>
          <t>СТАНДАРТНЫЙ ДВУХМЕСТНЫЙ НОМЕР</t>
        </is>
      </c>
      <c r="S285" t="n">
        <v>52</v>
      </c>
      <c r="T285" t="n">
        <v>2</v>
      </c>
      <c r="U285" t="inlineStr"/>
      <c r="V285" t="inlineStr">
        <is>
          <t>Тариф с завтраком</t>
        </is>
      </c>
      <c r="W285" t="n">
        <v>28200</v>
      </c>
      <c r="X285" s="3" t="n">
        <v>6810</v>
      </c>
      <c r="Y285" t="inlineStr">
        <is>
          <t>20%</t>
        </is>
      </c>
      <c r="Z285" t="inlineStr">
        <is>
          <t>2026-07-21, 2026-07-22, 2026-07-23</t>
        </is>
      </c>
      <c r="AA285" s="3" t="n">
        <v>27240</v>
      </c>
      <c r="AB285" t="inlineStr">
        <is>
          <t>Сошлось с услугами</t>
        </is>
      </c>
      <c r="AC285" s="2" t="inlineStr"/>
      <c r="AD285" t="n">
        <v>6810</v>
      </c>
      <c r="AE285" t="n">
        <v>0</v>
      </c>
      <c r="AF285" t="inlineStr">
        <is>
          <t>Скидка добавлена к налоговой базе</t>
        </is>
      </c>
      <c r="AG285" t="n">
        <v>34050</v>
      </c>
      <c r="AH285" t="n">
        <v>27240</v>
      </c>
      <c r="AI285" t="inlineStr">
        <is>
          <t>Полное проживание в выбранном периоде</t>
        </is>
      </c>
    </row>
    <row r="286">
      <c r="A286" t="inlineStr">
        <is>
          <t>20260712-8186-449238818</t>
        </is>
      </c>
      <c r="B286" t="n">
        <v>1</v>
      </c>
      <c r="C286" s="2" t="inlineStr">
        <is>
          <t>ВИКТОР САЛИВОНЕНКО</t>
        </is>
      </c>
      <c r="D286" s="3" t="n">
        <v>13114</v>
      </c>
      <c r="E286" s="4" t="n">
        <v>0</v>
      </c>
      <c r="F286" t="inlineStr">
        <is>
          <t>Прямые бронирования (стойка) [Чайковский]</t>
        </is>
      </c>
      <c r="G286" s="3">
        <f>ROUND(D286/(100-E286)*100,2)</f>
        <v/>
      </c>
      <c r="H286" s="3" t="n">
        <v>0</v>
      </c>
      <c r="I286" s="3">
        <f>ROUND(IF(ISNUMBER(AG286),AG286,G286)+H286,2)</f>
        <v/>
      </c>
      <c r="J286" s="2" t="inlineStr">
        <is>
          <t>Завтрак "Шведский стол"</t>
        </is>
      </c>
      <c r="K286" s="5" t="n">
        <v>46215.58333333334</v>
      </c>
      <c r="L286" t="n">
        <v>2</v>
      </c>
      <c r="M286" s="3">
        <f>I286/L286</f>
        <v/>
      </c>
      <c r="N286">
        <f>IF(M286&gt;=5100,"ставка","мин.ставка")</f>
        <v/>
      </c>
      <c r="O286" s="3">
        <f>ROUND(IF(N286="мин.ставка",L286*100,I286/102*2),2)</f>
        <v/>
      </c>
      <c r="P286" s="5" t="n">
        <v>46217.5</v>
      </c>
      <c r="Q286" t="inlineStr">
        <is>
          <t>TravelLine CMB</t>
        </is>
      </c>
      <c r="R286" s="2" t="inlineStr">
        <is>
          <t>СТАНДАРТНЫЙ ДВУХМЕСТНЫЙ НОМЕР (МАНСАРДА)</t>
        </is>
      </c>
      <c r="S286" t="n">
        <v>41</v>
      </c>
      <c r="T286" t="n">
        <v>1</v>
      </c>
      <c r="U286" t="inlineStr"/>
      <c r="V286" t="inlineStr">
        <is>
          <t>Тариф с завтраком</t>
        </is>
      </c>
      <c r="W286" t="n">
        <v>13114</v>
      </c>
      <c r="X286" s="3" t="n">
        <v>2686</v>
      </c>
      <c r="Y286" t="inlineStr">
        <is>
          <t>17%</t>
        </is>
      </c>
      <c r="Z286" t="inlineStr">
        <is>
          <t>2026-07-12, 2026-07-13</t>
        </is>
      </c>
      <c r="AA286" s="3" t="n">
        <v>13114</v>
      </c>
      <c r="AB286" t="inlineStr">
        <is>
          <t>Сошлось по ночным тарифам</t>
        </is>
      </c>
      <c r="AC286" s="2" t="inlineStr"/>
      <c r="AD286" t="n">
        <v>2686</v>
      </c>
      <c r="AE286" t="n">
        <v>0</v>
      </c>
      <c r="AF286" t="inlineStr">
        <is>
          <t>Скидка добавлена к налоговой базе</t>
        </is>
      </c>
      <c r="AG286" t="n">
        <v>15800</v>
      </c>
      <c r="AH286" t="n">
        <v>13114</v>
      </c>
      <c r="AI286" t="inlineStr">
        <is>
          <t>Полное проживание в выбранном периоде</t>
        </is>
      </c>
    </row>
    <row r="287">
      <c r="A287" t="inlineStr">
        <is>
          <t>20260711-8186-431323267</t>
        </is>
      </c>
      <c r="B287" t="n">
        <v>1</v>
      </c>
      <c r="C287" s="2" t="inlineStr">
        <is>
          <t>Виктор Соломенцев</t>
        </is>
      </c>
      <c r="D287" s="3" t="n">
        <v>37682</v>
      </c>
      <c r="E287" s="4" t="n">
        <v>17</v>
      </c>
      <c r="F287" t="inlineStr">
        <is>
          <t>ООО «Дубль Гис» (OTELLO) [Чайковский]</t>
        </is>
      </c>
      <c r="G287" s="3">
        <f>ROUND(D287/(100-E287)*100,2)</f>
        <v/>
      </c>
      <c r="H287" s="3" t="n">
        <v>0</v>
      </c>
      <c r="I287" s="3">
        <f>ROUND(IF(ISNUMBER(AG287),AG287,G287)+H287,2)</f>
        <v/>
      </c>
      <c r="J287" s="2" t="inlineStr">
        <is>
          <t>Завтрак "Шведский стол"</t>
        </is>
      </c>
      <c r="K287" s="5" t="n">
        <v>46214.58333333334</v>
      </c>
      <c r="L287" t="n">
        <v>4</v>
      </c>
      <c r="M287" s="3">
        <f>I287/L287</f>
        <v/>
      </c>
      <c r="N287">
        <f>IF(M287&gt;=5100,"ставка","мин.ставка")</f>
        <v/>
      </c>
      <c r="O287" s="3">
        <f>ROUND(IF(N287="мин.ставка",L287*100,I287/102*2),2)</f>
        <v/>
      </c>
      <c r="P287" s="5" t="n">
        <v>46218.5</v>
      </c>
      <c r="Q287" t="inlineStr">
        <is>
          <t>TravelLine OL2</t>
        </is>
      </c>
      <c r="R287" s="2" t="inlineStr">
        <is>
          <t>СТАНДАРТНЫЙ ДВУХМЕСТНЫЙ НОМЕР</t>
        </is>
      </c>
      <c r="S287" t="n">
        <v>46</v>
      </c>
      <c r="T287" t="n">
        <v>1</v>
      </c>
      <c r="U287" t="inlineStr"/>
      <c r="V287" t="inlineStr">
        <is>
          <t>Тариф с завтраком</t>
        </is>
      </c>
      <c r="W287" t="n">
        <v>37682</v>
      </c>
      <c r="X287" s="3" t="n">
        <v>7718</v>
      </c>
      <c r="Y287" t="inlineStr">
        <is>
          <t>17%</t>
        </is>
      </c>
      <c r="Z287" t="inlineStr">
        <is>
          <t>2026-07-11, 2026-07-12, 2026-07-13, 2026-07-14</t>
        </is>
      </c>
      <c r="AA287" s="3" t="n">
        <v>37682</v>
      </c>
      <c r="AB287" t="inlineStr">
        <is>
          <t>Сошлось по ночным тарифам</t>
        </is>
      </c>
      <c r="AC287" s="2" t="inlineStr"/>
      <c r="AD287" t="n">
        <v>7718</v>
      </c>
      <c r="AE287" t="n">
        <v>0</v>
      </c>
      <c r="AF287" t="inlineStr">
        <is>
          <t>Скидка добавлена к налоговой базе</t>
        </is>
      </c>
      <c r="AG287" t="n">
        <v>45400</v>
      </c>
      <c r="AH287" t="n">
        <v>37682</v>
      </c>
      <c r="AI287" t="inlineStr">
        <is>
          <t>Полное проживание в выбранном периоде</t>
        </is>
      </c>
    </row>
    <row r="288">
      <c r="A288" t="inlineStr">
        <is>
          <t>20260911-8186-427435236</t>
        </is>
      </c>
      <c r="B288" t="n">
        <v>1</v>
      </c>
      <c r="C288" s="2" t="inlineStr">
        <is>
          <t>Виктория Ветренко, АНАСТАСИЯ ХАБАРОВА</t>
        </is>
      </c>
      <c r="D288" s="3" t="n">
        <v>19651.5</v>
      </c>
      <c r="E288" s="4" t="n">
        <v>4</v>
      </c>
      <c r="F288" t="inlineStr">
        <is>
          <t>TravelLine Booking Engine [Чайковский]</t>
        </is>
      </c>
      <c r="G288" s="3">
        <f>ROUND(D288/(100-E288)*100,2)</f>
        <v/>
      </c>
      <c r="H288" s="3" t="n">
        <v>0</v>
      </c>
      <c r="I288" s="3">
        <f>ROUND(IF(ISNUMBER(AG288),AG288,G288)+H288,2)</f>
        <v/>
      </c>
      <c r="J288" s="2" t="inlineStr">
        <is>
          <t>Завтрак "Шведский стол"</t>
        </is>
      </c>
      <c r="K288" s="5" t="n">
        <v>46276.58333333334</v>
      </c>
      <c r="L288" t="n">
        <v>2</v>
      </c>
      <c r="M288" s="3">
        <f>I288/L288</f>
        <v/>
      </c>
      <c r="N288">
        <f>IF(M288&gt;=5100,"ставка","мин.ставка")</f>
        <v/>
      </c>
      <c r="O288" s="3">
        <f>ROUND(IF(N288="мин.ставка",L288*100,I288/102*2),2)</f>
        <v/>
      </c>
      <c r="P288" s="5" t="n">
        <v>46278.5</v>
      </c>
      <c r="Q288" t="inlineStr">
        <is>
          <t>TravelLine сайт</t>
        </is>
      </c>
      <c r="R288" s="2" t="inlineStr">
        <is>
          <t>СТАНДАРТНЫЙ ДВУХМЕСТНЫЙ НОМЕР (МАНСАРДА)</t>
        </is>
      </c>
      <c r="S288" t="n">
        <v>43</v>
      </c>
      <c r="T288" t="n">
        <v>1</v>
      </c>
      <c r="U288" t="inlineStr"/>
      <c r="V288" t="inlineStr">
        <is>
          <t>Тариф с завтраком</t>
        </is>
      </c>
      <c r="W288" t="n">
        <v>19651.5</v>
      </c>
      <c r="X288" s="3" t="n">
        <v>148.5</v>
      </c>
      <c r="Y288" t="inlineStr">
        <is>
          <t>1.5%</t>
        </is>
      </c>
      <c r="Z288" t="inlineStr">
        <is>
          <t>2026-09-11</t>
        </is>
      </c>
      <c r="AA288" s="3" t="n">
        <v>19651.5</v>
      </c>
      <c r="AB288" t="inlineStr">
        <is>
          <t>Сошлось по ночным тарифам</t>
        </is>
      </c>
      <c r="AC288" s="2" t="inlineStr"/>
      <c r="AD288" t="n">
        <v>148.5</v>
      </c>
      <c r="AE288" t="n">
        <v>0</v>
      </c>
      <c r="AF288" t="inlineStr">
        <is>
          <t>Скидка добавлена к налоговой базе</t>
        </is>
      </c>
      <c r="AG288" t="n">
        <v>19800</v>
      </c>
      <c r="AH288" t="n">
        <v>19651.5</v>
      </c>
      <c r="AI288" t="inlineStr">
        <is>
          <t>Полное проживание в выбранном периоде</t>
        </is>
      </c>
    </row>
    <row r="289">
      <c r="A289" t="inlineStr">
        <is>
          <t>20260917-8186-465935315</t>
        </is>
      </c>
      <c r="B289" t="n">
        <v>1</v>
      </c>
      <c r="C289" s="2" t="inlineStr">
        <is>
          <t>Виктория Гриценко</t>
        </is>
      </c>
      <c r="D289" s="3" t="n">
        <v>9534</v>
      </c>
      <c r="E289" s="4" t="n">
        <v>16</v>
      </c>
      <c r="F289" t="inlineStr">
        <is>
          <t>ООО "БРОНИРОВАНИЕ ГОСТИНИЦ" (OSTROVOK) [Чайковский]</t>
        </is>
      </c>
      <c r="G289" s="3">
        <f>ROUND(D289/(100-E289)*100,2)</f>
        <v/>
      </c>
      <c r="H289" s="3" t="n">
        <v>0</v>
      </c>
      <c r="I289" s="3">
        <f>ROUND(IF(ISNUMBER(AG289),AG289,G289)+H289,2)</f>
        <v/>
      </c>
      <c r="J289" s="2" t="inlineStr">
        <is>
          <t>Завтрак "Шведский стол"</t>
        </is>
      </c>
      <c r="K289" s="5" t="n">
        <v>46282.58333333334</v>
      </c>
      <c r="L289" t="n">
        <v>1</v>
      </c>
      <c r="M289" s="3">
        <f>I289/L289</f>
        <v/>
      </c>
      <c r="N289">
        <f>IF(M289&gt;=5100,"ставка","мин.ставка")</f>
        <v/>
      </c>
      <c r="O289" s="3">
        <f>ROUND(IF(N289="мин.ставка",L289*100,I289/102*2),2)</f>
        <v/>
      </c>
      <c r="P289" s="5" t="n">
        <v>46283.5</v>
      </c>
      <c r="Q289" t="inlineStr">
        <is>
          <t>TravelLine OTK</t>
        </is>
      </c>
      <c r="R289" s="2" t="inlineStr">
        <is>
          <t>СТАНДАРТНЫЙ ДВУХМЕСТНЫЙ НОМЕР</t>
        </is>
      </c>
      <c r="S289" t="n">
        <v>22</v>
      </c>
      <c r="T289" t="n">
        <v>1</v>
      </c>
      <c r="U289" t="inlineStr"/>
      <c r="V289" t="inlineStr">
        <is>
          <t>Тариф с завтраком</t>
        </is>
      </c>
      <c r="W289" t="n">
        <v>9534</v>
      </c>
      <c r="X289" s="3" t="n">
        <v>1816</v>
      </c>
      <c r="Y289" t="inlineStr">
        <is>
          <t>16%</t>
        </is>
      </c>
      <c r="Z289" t="inlineStr">
        <is>
          <t>2026-09-17</t>
        </is>
      </c>
      <c r="AA289" s="3" t="n">
        <v>9534</v>
      </c>
      <c r="AB289" t="inlineStr">
        <is>
          <t>Сошлось по ночным тарифам</t>
        </is>
      </c>
      <c r="AC289" s="2" t="inlineStr"/>
      <c r="AD289" t="n">
        <v>1816</v>
      </c>
      <c r="AE289" t="n">
        <v>0</v>
      </c>
      <c r="AF289" t="inlineStr">
        <is>
          <t>Скидка добавлена к налоговой базе</t>
        </is>
      </c>
      <c r="AG289" t="n">
        <v>11350</v>
      </c>
      <c r="AH289" t="n">
        <v>9534</v>
      </c>
      <c r="AI289" t="inlineStr">
        <is>
          <t>Полное проживание в выбранном периоде</t>
        </is>
      </c>
    </row>
    <row r="290">
      <c r="A290" t="inlineStr">
        <is>
          <t>20260729-8186-451492736</t>
        </is>
      </c>
      <c r="B290" t="n">
        <v>1</v>
      </c>
      <c r="C290" s="2" t="inlineStr">
        <is>
          <t>Виктория Квинт</t>
        </is>
      </c>
      <c r="D290" s="3" t="n">
        <v>10215</v>
      </c>
      <c r="E290" s="4" t="n">
        <v>0</v>
      </c>
      <c r="F290" t="inlineStr">
        <is>
          <t>Прямые бронирования (стойка) [Чайковский]</t>
        </is>
      </c>
      <c r="G290" s="3">
        <f>ROUND(D290/(100-E290)*100,2)</f>
        <v/>
      </c>
      <c r="H290" s="3" t="n">
        <v>0</v>
      </c>
      <c r="I290" s="3">
        <f>ROUND(IF(ISNUMBER(AG290),AG290,G290)+H290,2)</f>
        <v/>
      </c>
      <c r="J290" s="2" t="inlineStr">
        <is>
          <t>Завтрак "Шведский стол"</t>
        </is>
      </c>
      <c r="K290" s="5" t="n">
        <v>46232.58333333334</v>
      </c>
      <c r="L290" t="n">
        <v>1</v>
      </c>
      <c r="M290" s="3">
        <f>I290/L290</f>
        <v/>
      </c>
      <c r="N290">
        <f>IF(M290&gt;=5100,"ставка","мин.ставка")</f>
        <v/>
      </c>
      <c r="O290" s="3">
        <f>ROUND(IF(N290="мин.ставка",L290*100,I290/102*2),2)</f>
        <v/>
      </c>
      <c r="P290" s="5" t="n">
        <v>46233.5</v>
      </c>
      <c r="Q290" t="inlineStr">
        <is>
          <t>TravelLine ресепшен</t>
        </is>
      </c>
      <c r="R290" s="2" t="inlineStr">
        <is>
          <t>СТАНДАРТНЫЙ ДВУХМЕСТНЫЙ НОМЕР</t>
        </is>
      </c>
      <c r="S290" t="n">
        <v>52</v>
      </c>
      <c r="T290" t="n">
        <v>2</v>
      </c>
      <c r="U290" t="inlineStr"/>
      <c r="V290" t="inlineStr">
        <is>
          <t>Тариф с завтраком</t>
        </is>
      </c>
      <c r="W290" t="n">
        <v>10215</v>
      </c>
      <c r="X290" s="3" t="n">
        <v>1135</v>
      </c>
      <c r="Y290" t="inlineStr">
        <is>
          <t>10%</t>
        </is>
      </c>
      <c r="Z290" t="inlineStr">
        <is>
          <t>2026-07-29</t>
        </is>
      </c>
      <c r="AA290" s="3" t="n">
        <v>10215</v>
      </c>
      <c r="AB290" t="inlineStr">
        <is>
          <t>Сошлось по ночным тарифам</t>
        </is>
      </c>
      <c r="AC290" s="2" t="inlineStr"/>
      <c r="AD290" t="n">
        <v>1135</v>
      </c>
      <c r="AE290" t="n">
        <v>0</v>
      </c>
      <c r="AF290" t="inlineStr">
        <is>
          <t>Скидка добавлена к налоговой базе</t>
        </is>
      </c>
      <c r="AG290" t="n">
        <v>11350</v>
      </c>
      <c r="AH290" t="n">
        <v>10215</v>
      </c>
      <c r="AI290" t="inlineStr">
        <is>
          <t>Полное проживание в выбранном периоде</t>
        </is>
      </c>
    </row>
    <row r="291">
      <c r="A291" t="inlineStr">
        <is>
          <t>20260818-8186-422878428</t>
        </is>
      </c>
      <c r="B291" t="n">
        <v>1</v>
      </c>
      <c r="C291" s="2" t="inlineStr">
        <is>
          <t>ВИКТОРИЯ НИКОЛАЕВА, АНДРЕЙ НИКОЛАЕВ</t>
        </is>
      </c>
      <c r="D291" s="3" t="n">
        <v>23760</v>
      </c>
      <c r="E291" s="4" t="n">
        <v>0</v>
      </c>
      <c r="F291" t="inlineStr">
        <is>
          <t>Прямые бронирования (стойка) [Чайковский]</t>
        </is>
      </c>
      <c r="G291" s="3">
        <f>ROUND(D291/(100-E291)*100,2)</f>
        <v/>
      </c>
      <c r="H291" s="3" t="n">
        <v>0</v>
      </c>
      <c r="I291" s="3">
        <f>ROUND(IF(ISNUMBER(AG291),AG291,G291)+H291,2)</f>
        <v/>
      </c>
      <c r="J291" s="2" t="inlineStr">
        <is>
          <t>Завтрак "Шведский стол"</t>
        </is>
      </c>
      <c r="K291" s="5" t="n">
        <v>46252.58333333334</v>
      </c>
      <c r="L291" t="n">
        <v>3</v>
      </c>
      <c r="M291" s="3">
        <f>I291/L291</f>
        <v/>
      </c>
      <c r="N291">
        <f>IF(M291&gt;=5100,"ставка","мин.ставка")</f>
        <v/>
      </c>
      <c r="O291" s="3">
        <f>ROUND(IF(N291="мин.ставка",L291*100,I291/102*2),2)</f>
        <v/>
      </c>
      <c r="P291" s="5" t="n">
        <v>46255.5</v>
      </c>
      <c r="Q291" t="inlineStr">
        <is>
          <t>TravelLine ресепшен</t>
        </is>
      </c>
      <c r="R291" s="2" t="inlineStr">
        <is>
          <t>СТАНДАРТНЫЙ ДВУХМЕСТНЫЙ НОМЕР (МАНСАРДА)</t>
        </is>
      </c>
      <c r="S291" t="n">
        <v>43</v>
      </c>
      <c r="T291" t="n">
        <v>1</v>
      </c>
      <c r="U291" t="inlineStr"/>
      <c r="V291" t="inlineStr">
        <is>
          <t>Тариф с завтраком</t>
        </is>
      </c>
      <c r="W291" t="n">
        <v>23760</v>
      </c>
      <c r="X291" s="3" t="n">
        <v>5940</v>
      </c>
      <c r="Y291" t="inlineStr">
        <is>
          <t>20%</t>
        </is>
      </c>
      <c r="Z291" t="inlineStr">
        <is>
          <t>2026-08-18, 2026-08-19, 2026-08-20</t>
        </is>
      </c>
      <c r="AA291" s="3" t="n">
        <v>23760</v>
      </c>
      <c r="AB291" t="inlineStr">
        <is>
          <t>Сошлось по ночным тарифам</t>
        </is>
      </c>
      <c r="AC291" s="2" t="inlineStr"/>
      <c r="AD291" t="n">
        <v>5940</v>
      </c>
      <c r="AE291" t="n">
        <v>0</v>
      </c>
      <c r="AF291" t="inlineStr">
        <is>
          <t>Скидка добавлена к налоговой базе</t>
        </is>
      </c>
      <c r="AG291" t="n">
        <v>29700</v>
      </c>
      <c r="AH291" t="n">
        <v>23760</v>
      </c>
      <c r="AI291" t="inlineStr">
        <is>
          <t>Полное проживание в выбранном периоде</t>
        </is>
      </c>
    </row>
    <row r="292">
      <c r="A292" t="inlineStr">
        <is>
          <t>20260819-8186-452060793</t>
        </is>
      </c>
      <c r="B292" t="n">
        <v>1</v>
      </c>
      <c r="C292" s="2" t="inlineStr">
        <is>
          <t>Виталий Быков, Алина Быкова</t>
        </is>
      </c>
      <c r="D292" s="3" t="n">
        <v>79200</v>
      </c>
      <c r="E292" s="4" t="n">
        <v>20</v>
      </c>
      <c r="F292" t="inlineStr">
        <is>
          <t>ООО "КОМПАНИЯ БРОНЕВИК" [Чайковский]</t>
        </is>
      </c>
      <c r="G292" s="3">
        <f>ROUND(D292/(100-E292)*100,2)</f>
        <v/>
      </c>
      <c r="H292" s="3" t="n">
        <v>0</v>
      </c>
      <c r="I292" s="3">
        <f>ROUND(IF(ISNUMBER(AG292),AG292,G292)+H292,2)</f>
        <v/>
      </c>
      <c r="J292" s="2" t="inlineStr">
        <is>
          <t>Завтрак "Шведский стол"</t>
        </is>
      </c>
      <c r="K292" s="5" t="n">
        <v>46253.58333333334</v>
      </c>
      <c r="L292" t="n">
        <v>6</v>
      </c>
      <c r="M292" s="3">
        <f>I292/L292</f>
        <v/>
      </c>
      <c r="N292">
        <f>IF(M292&gt;=5100,"ставка","мин.ставка")</f>
        <v/>
      </c>
      <c r="O292" s="3">
        <f>ROUND(IF(N292="мин.ставка",L292*100,I292/102*2),2)</f>
        <v/>
      </c>
      <c r="P292" s="5" t="n">
        <v>46259.5</v>
      </c>
      <c r="Q292" t="inlineStr">
        <is>
          <t>TravelLine BR2</t>
        </is>
      </c>
      <c r="R292" s="2" t="inlineStr">
        <is>
          <t>ПОЛУЛЮКС</t>
        </is>
      </c>
      <c r="S292" t="n">
        <v>25</v>
      </c>
      <c r="T292" t="n">
        <v>1</v>
      </c>
      <c r="U292" t="inlineStr"/>
      <c r="V292" t="inlineStr">
        <is>
          <t>Тариф с завтраком</t>
        </is>
      </c>
      <c r="W292" t="n">
        <v>79200</v>
      </c>
      <c r="X292" s="3" t="n">
        <v>19800</v>
      </c>
      <c r="Y292" t="inlineStr">
        <is>
          <t>20%</t>
        </is>
      </c>
      <c r="Z292" t="inlineStr">
        <is>
          <t>2026-08-19, 2026-08-20, 2026-08-21, 2026-08-22, 2026-08-23, 2026-08-24</t>
        </is>
      </c>
      <c r="AA292" s="3" t="n">
        <v>79200</v>
      </c>
      <c r="AB292" t="inlineStr">
        <is>
          <t>Сошлось по ночным тарифам</t>
        </is>
      </c>
      <c r="AC292" s="2" t="inlineStr"/>
      <c r="AD292" t="n">
        <v>19800</v>
      </c>
      <c r="AE292" t="n">
        <v>0</v>
      </c>
      <c r="AF292" t="inlineStr">
        <is>
          <t>Скидка добавлена к налоговой базе</t>
        </is>
      </c>
      <c r="AG292" t="n">
        <v>99000</v>
      </c>
      <c r="AH292" t="n">
        <v>79200</v>
      </c>
      <c r="AI292" t="inlineStr">
        <is>
          <t>Полное проживание в выбранном периоде</t>
        </is>
      </c>
    </row>
    <row r="293">
      <c r="A293" t="inlineStr">
        <is>
          <t>20260727-8186-442199480</t>
        </is>
      </c>
      <c r="B293" t="n">
        <v>1</v>
      </c>
      <c r="C293" s="2" t="inlineStr">
        <is>
          <t>Виталий Давыдов, Анастасия Королева</t>
        </is>
      </c>
      <c r="D293" s="3" t="n">
        <v>34042.5</v>
      </c>
      <c r="E293" s="4" t="n">
        <v>15</v>
      </c>
      <c r="F293" t="inlineStr">
        <is>
          <t>ООО Тинькофф Путешествия [Чайковский]</t>
        </is>
      </c>
      <c r="G293" s="3">
        <f>ROUND(D293/(100-E293)*100,2)</f>
        <v/>
      </c>
      <c r="H293" s="3" t="n">
        <v>0</v>
      </c>
      <c r="I293" s="3">
        <f>ROUND(IF(ISNUMBER(AG293),AG293,G293)+H293,2)</f>
        <v/>
      </c>
      <c r="J293" s="2" t="inlineStr">
        <is>
          <t>Завтрак "Шведский стол"</t>
        </is>
      </c>
      <c r="K293" s="5" t="n">
        <v>46230.66666666666</v>
      </c>
      <c r="L293" t="n">
        <v>3</v>
      </c>
      <c r="M293" s="3">
        <f>I293/L293</f>
        <v/>
      </c>
      <c r="N293">
        <f>IF(M293&gt;=5100,"ставка","мин.ставка")</f>
        <v/>
      </c>
      <c r="O293" s="3">
        <f>ROUND(IF(N293="мин.ставка",L293*100,I293/102*2),2)</f>
        <v/>
      </c>
      <c r="P293" s="5" t="n">
        <v>46233.5</v>
      </c>
      <c r="Q293" t="inlineStr">
        <is>
          <t>TravelLine TNK</t>
        </is>
      </c>
      <c r="R293" s="2" t="inlineStr">
        <is>
          <t>СТАНДАРТНЫЙ ДВУХМЕСТНЫЙ НОМЕР</t>
        </is>
      </c>
      <c r="S293" t="n">
        <v>44</v>
      </c>
      <c r="T293" t="n">
        <v>1</v>
      </c>
      <c r="U293" t="inlineStr"/>
      <c r="V293" t="inlineStr">
        <is>
          <t>Тариф с завтраком</t>
        </is>
      </c>
      <c r="W293" t="n">
        <v>34042.5</v>
      </c>
      <c r="X293" s="3" t="n">
        <v>6007.5</v>
      </c>
      <c r="Y293" t="inlineStr">
        <is>
          <t>15%</t>
        </is>
      </c>
      <c r="Z293" t="inlineStr">
        <is>
          <t>2026-07-27, 2026-07-28, 2026-07-29</t>
        </is>
      </c>
      <c r="AA293" s="3" t="n">
        <v>34042.5</v>
      </c>
      <c r="AB293" t="inlineStr">
        <is>
          <t>Сошлось по ночным тарифам</t>
        </is>
      </c>
      <c r="AC293" s="2" t="inlineStr"/>
      <c r="AD293" t="n">
        <v>6007.5</v>
      </c>
      <c r="AE293" t="n">
        <v>0</v>
      </c>
      <c r="AF293" t="inlineStr">
        <is>
          <t>Скидка добавлена к налоговой базе</t>
        </is>
      </c>
      <c r="AG293" t="n">
        <v>40050</v>
      </c>
      <c r="AH293" t="n">
        <v>34042.5</v>
      </c>
      <c r="AI293" t="inlineStr">
        <is>
          <t>Полное проживание в выбранном периоде</t>
        </is>
      </c>
    </row>
    <row r="294">
      <c r="A294" t="inlineStr">
        <is>
          <t>20260919-8186-459516081</t>
        </is>
      </c>
      <c r="B294" t="n">
        <v>1</v>
      </c>
      <c r="C294" s="2" t="inlineStr">
        <is>
          <t>Виталий Игумнов</t>
        </is>
      </c>
      <c r="D294" s="3" t="n">
        <v>10215</v>
      </c>
      <c r="E294" s="4" t="n">
        <v>0</v>
      </c>
      <c r="F294" t="inlineStr">
        <is>
          <t>Прямые бронирования (стойка) [Чайковский]</t>
        </is>
      </c>
      <c r="G294" s="3">
        <f>ROUND(D294/(100-E294)*100,2)</f>
        <v/>
      </c>
      <c r="H294" s="3" t="n">
        <v>0</v>
      </c>
      <c r="I294" s="3">
        <f>ROUND(IF(ISNUMBER(AG294),AG294,G294)+H294,2)</f>
        <v/>
      </c>
      <c r="J294" s="2" t="inlineStr">
        <is>
          <t>Завтрак "Шведский стол"</t>
        </is>
      </c>
      <c r="K294" s="5" t="n">
        <v>46284.58333333334</v>
      </c>
      <c r="L294" t="n">
        <v>1</v>
      </c>
      <c r="M294" s="3">
        <f>I294/L294</f>
        <v/>
      </c>
      <c r="N294">
        <f>IF(M294&gt;=5100,"ставка","мин.ставка")</f>
        <v/>
      </c>
      <c r="O294" s="3">
        <f>ROUND(IF(N294="мин.ставка",L294*100,I294/102*2),2)</f>
        <v/>
      </c>
      <c r="P294" s="5" t="n">
        <v>46285.5</v>
      </c>
      <c r="Q294" t="inlineStr">
        <is>
          <t>TravelLine ресепшен</t>
        </is>
      </c>
      <c r="R294" s="2" t="inlineStr">
        <is>
          <t>СТАНДАРТНЫЙ ДВУХМЕСТНЫЙ НОМЕР</t>
        </is>
      </c>
      <c r="S294" t="n">
        <v>23</v>
      </c>
      <c r="T294" t="n">
        <v>1</v>
      </c>
      <c r="U294" t="inlineStr"/>
      <c r="V294" t="inlineStr">
        <is>
          <t>Тариф с завтраком</t>
        </is>
      </c>
      <c r="W294" t="n">
        <v>10215</v>
      </c>
      <c r="X294" s="3" t="n">
        <v>1135</v>
      </c>
      <c r="Y294" t="inlineStr">
        <is>
          <t>10%</t>
        </is>
      </c>
      <c r="Z294" t="inlineStr">
        <is>
          <t>2026-09-19</t>
        </is>
      </c>
      <c r="AA294" s="3" t="n">
        <v>10215</v>
      </c>
      <c r="AB294" t="inlineStr">
        <is>
          <t>Сошлось по ночным тарифам</t>
        </is>
      </c>
      <c r="AC294" s="2" t="inlineStr"/>
      <c r="AD294" t="n">
        <v>1135</v>
      </c>
      <c r="AE294" t="n">
        <v>0</v>
      </c>
      <c r="AF294" t="inlineStr">
        <is>
          <t>Скидка добавлена к налоговой базе</t>
        </is>
      </c>
      <c r="AG294" t="n">
        <v>11350</v>
      </c>
      <c r="AH294" t="n">
        <v>10215</v>
      </c>
      <c r="AI294" t="inlineStr">
        <is>
          <t>Полное проживание в выбранном периоде</t>
        </is>
      </c>
    </row>
    <row r="295">
      <c r="A295" t="inlineStr">
        <is>
          <t>20260702-8186-445307388</t>
        </is>
      </c>
      <c r="B295" t="n">
        <v>1</v>
      </c>
      <c r="C295" s="2" t="inlineStr">
        <is>
          <t>Виталина Никифоренко, Андрей Никифоренко</t>
        </is>
      </c>
      <c r="D295" s="3" t="n">
        <v>21360</v>
      </c>
      <c r="E295" s="4" t="n">
        <v>20</v>
      </c>
      <c r="F295" t="inlineStr">
        <is>
          <t>ООО "КОМПАНИЯ БРОНЕВИК" [Чайковский]</t>
        </is>
      </c>
      <c r="G295" s="3">
        <f>ROUND(D295/(100-E295)*100,2)</f>
        <v/>
      </c>
      <c r="H295" s="3" t="n">
        <v>0</v>
      </c>
      <c r="I295" s="3">
        <f>ROUND(IF(ISNUMBER(AG295),AG295,G295)+H295,2)</f>
        <v/>
      </c>
      <c r="J295" s="2" t="inlineStr">
        <is>
          <t>Завтрак "Шведский стол"</t>
        </is>
      </c>
      <c r="K295" s="5" t="n">
        <v>46205.58333333334</v>
      </c>
      <c r="L295" t="n">
        <v>2</v>
      </c>
      <c r="M295" s="3">
        <f>I295/L295</f>
        <v/>
      </c>
      <c r="N295">
        <f>IF(M295&gt;=5100,"ставка","мин.ставка")</f>
        <v/>
      </c>
      <c r="O295" s="3">
        <f>ROUND(IF(N295="мин.ставка",L295*100,I295/102*2),2)</f>
        <v/>
      </c>
      <c r="P295" s="5" t="n">
        <v>46207.5</v>
      </c>
      <c r="Q295" t="inlineStr">
        <is>
          <t>TravelLine BR2</t>
        </is>
      </c>
      <c r="R295" s="2" t="inlineStr">
        <is>
          <t>СТАНДАРТНЫЙ ДВУХМЕСТНЫЙ НОМЕР</t>
        </is>
      </c>
      <c r="S295" t="n">
        <v>36</v>
      </c>
      <c r="T295" t="n">
        <v>1</v>
      </c>
      <c r="U295" t="inlineStr"/>
      <c r="V295" t="inlineStr">
        <is>
          <t>Тариф с завтраком</t>
        </is>
      </c>
      <c r="W295" t="n">
        <v>21360</v>
      </c>
      <c r="X295" s="3" t="n">
        <v>0</v>
      </c>
      <c r="Y295" t="inlineStr"/>
      <c r="Z295" t="inlineStr"/>
      <c r="AA295" s="3" t="n">
        <v>21360</v>
      </c>
      <c r="AB295" t="inlineStr">
        <is>
          <t>Сошлось по ночным тарифам</t>
        </is>
      </c>
      <c r="AC295" s="2" t="inlineStr"/>
      <c r="AD295" t="n">
        <v>0</v>
      </c>
      <c r="AE295" t="n">
        <v>0</v>
      </c>
      <c r="AF295" t="inlineStr">
        <is>
          <t>Скидки нет</t>
        </is>
      </c>
      <c r="AG295" t="n">
        <v>21360</v>
      </c>
      <c r="AH295" t="n">
        <v>21360</v>
      </c>
      <c r="AI295" t="inlineStr">
        <is>
          <t>Полное проживание в выбранном периоде</t>
        </is>
      </c>
    </row>
    <row r="296">
      <c r="A296" t="inlineStr">
        <is>
          <t>20260708-8186-448546782</t>
        </is>
      </c>
      <c r="B296" t="n">
        <v>1</v>
      </c>
      <c r="C296" s="2" t="inlineStr">
        <is>
          <t>ВИТАЛИЯ МИТРЯЕВА, ALEKSEJS VAZENINS</t>
        </is>
      </c>
      <c r="D296" s="3" t="n">
        <v>8415</v>
      </c>
      <c r="E296" s="4" t="n">
        <v>15</v>
      </c>
      <c r="F296" t="inlineStr">
        <is>
          <t>ООО Тинькофф Путешествия [Чайковский]</t>
        </is>
      </c>
      <c r="G296" s="3">
        <f>ROUND(D296/(100-E296)*100,2)</f>
        <v/>
      </c>
      <c r="H296" s="3" t="n">
        <v>0</v>
      </c>
      <c r="I296" s="3">
        <f>ROUND(IF(ISNUMBER(AG296),AG296,G296)+H296,2)</f>
        <v/>
      </c>
      <c r="J296" s="2" t="inlineStr">
        <is>
          <t>Завтрак "Шведский стол"</t>
        </is>
      </c>
      <c r="K296" s="5" t="n">
        <v>46211.75</v>
      </c>
      <c r="L296" t="n">
        <v>1</v>
      </c>
      <c r="M296" s="3">
        <f>I296/L296</f>
        <v/>
      </c>
      <c r="N296">
        <f>IF(M296&gt;=5100,"ставка","мин.ставка")</f>
        <v/>
      </c>
      <c r="O296" s="3">
        <f>ROUND(IF(N296="мин.ставка",L296*100,I296/102*2),2)</f>
        <v/>
      </c>
      <c r="P296" s="5" t="n">
        <v>46212.5</v>
      </c>
      <c r="Q296" t="inlineStr">
        <is>
          <t>TravelLine TNK</t>
        </is>
      </c>
      <c r="R296" s="2" t="inlineStr">
        <is>
          <t>СТАНДАРТНЫЙ ДВУХМЕСТНЫЙ НОМЕР (МАНСАРДА)</t>
        </is>
      </c>
      <c r="S296" t="n">
        <v>41</v>
      </c>
      <c r="T296" t="n">
        <v>1</v>
      </c>
      <c r="U296" t="inlineStr"/>
      <c r="V296" t="inlineStr">
        <is>
          <t>Тариф с завтраком</t>
        </is>
      </c>
      <c r="W296" t="n">
        <v>8415</v>
      </c>
      <c r="X296" s="3" t="n">
        <v>1485</v>
      </c>
      <c r="Y296" t="inlineStr">
        <is>
          <t>15%</t>
        </is>
      </c>
      <c r="Z296" t="inlineStr">
        <is>
          <t>2026-07-08</t>
        </is>
      </c>
      <c r="AA296" s="3" t="n">
        <v>8415</v>
      </c>
      <c r="AB296" t="inlineStr">
        <is>
          <t>Сошлось по ночным тарифам</t>
        </is>
      </c>
      <c r="AC296" s="2" t="inlineStr"/>
      <c r="AD296" t="n">
        <v>1485</v>
      </c>
      <c r="AE296" t="n">
        <v>0</v>
      </c>
      <c r="AF296" t="inlineStr">
        <is>
          <t>Скидка добавлена к налоговой базе</t>
        </is>
      </c>
      <c r="AG296" t="n">
        <v>9900</v>
      </c>
      <c r="AH296" t="n">
        <v>8415</v>
      </c>
      <c r="AI296" t="inlineStr">
        <is>
          <t>Полное проживание в выбранном периоде</t>
        </is>
      </c>
    </row>
    <row r="297">
      <c r="A297" t="inlineStr">
        <is>
          <t>20260823-8186-458774122</t>
        </is>
      </c>
      <c r="B297" t="n">
        <v>1</v>
      </c>
      <c r="C297" s="2" t="inlineStr">
        <is>
          <t>Виталия Митряева, ALEKSEJS VAZENINS</t>
        </is>
      </c>
      <c r="D297" s="3" t="n">
        <v>26180</v>
      </c>
      <c r="E297" s="4" t="n">
        <v>15</v>
      </c>
      <c r="F297" t="inlineStr">
        <is>
          <t>ООО Тинькофф Путешествия [Чайковский]</t>
        </is>
      </c>
      <c r="G297" s="3">
        <f>ROUND(D297/(100-E297)*100,2)</f>
        <v/>
      </c>
      <c r="H297" s="3" t="n">
        <v>0</v>
      </c>
      <c r="I297" s="3">
        <f>ROUND(IF(ISNUMBER(AG297),AG297,G297)+H297,2)</f>
        <v/>
      </c>
      <c r="J297" s="2" t="inlineStr">
        <is>
          <t>Завтрак "Шведский стол"</t>
        </is>
      </c>
      <c r="K297" s="5" t="n">
        <v>46257.58333333334</v>
      </c>
      <c r="L297" t="n">
        <v>2</v>
      </c>
      <c r="M297" s="3">
        <f>I297/L297</f>
        <v/>
      </c>
      <c r="N297">
        <f>IF(M297&gt;=5100,"ставка","мин.ставка")</f>
        <v/>
      </c>
      <c r="O297" s="3">
        <f>ROUND(IF(N297="мин.ставка",L297*100,I297/102*2),2)</f>
        <v/>
      </c>
      <c r="P297" s="5" t="n">
        <v>46259.5</v>
      </c>
      <c r="Q297" t="inlineStr">
        <is>
          <t>TravelLine TNK</t>
        </is>
      </c>
      <c r="R297" s="2" t="inlineStr">
        <is>
          <t>УЛУЧШЕННЫЙ ДВУХМЕСТНЫЙ НОМЕР</t>
        </is>
      </c>
      <c r="S297" t="n">
        <v>21</v>
      </c>
      <c r="T297" t="n">
        <v>1</v>
      </c>
      <c r="U297" t="inlineStr"/>
      <c r="V297" t="inlineStr">
        <is>
          <t>Тариф с завтраком</t>
        </is>
      </c>
      <c r="W297" t="n">
        <v>26180</v>
      </c>
      <c r="X297" s="3" t="n">
        <v>4620</v>
      </c>
      <c r="Y297" t="inlineStr">
        <is>
          <t>15%</t>
        </is>
      </c>
      <c r="Z297" t="inlineStr">
        <is>
          <t>2026-08-23, 2026-08-24</t>
        </is>
      </c>
      <c r="AA297" s="3" t="n">
        <v>26180</v>
      </c>
      <c r="AB297" t="inlineStr">
        <is>
          <t>Сошлось по ночным тарифам</t>
        </is>
      </c>
      <c r="AC297" s="2" t="inlineStr"/>
      <c r="AD297" t="n">
        <v>4620</v>
      </c>
      <c r="AE297" t="n">
        <v>0</v>
      </c>
      <c r="AF297" t="inlineStr">
        <is>
          <t>Скидка добавлена к налоговой базе</t>
        </is>
      </c>
      <c r="AG297" t="n">
        <v>30800</v>
      </c>
      <c r="AH297" t="n">
        <v>26180</v>
      </c>
      <c r="AI297" t="inlineStr">
        <is>
          <t>Полное проживание в выбранном периоде</t>
        </is>
      </c>
    </row>
    <row r="298">
      <c r="A298" t="inlineStr">
        <is>
          <t>20260925-8186-468376304</t>
        </is>
      </c>
      <c r="B298" t="n">
        <v>1</v>
      </c>
      <c r="C298" s="2" t="inlineStr">
        <is>
          <t>Виталия Митряева, ALEKSEJS VAZENINS</t>
        </is>
      </c>
      <c r="D298" s="3" t="n">
        <v>12015</v>
      </c>
      <c r="E298" s="4" t="n">
        <v>0</v>
      </c>
      <c r="F298" t="inlineStr">
        <is>
          <t>Прямые бронирования (стойка) [Чайковский]</t>
        </is>
      </c>
      <c r="G298" s="3">
        <f>ROUND(D298/(100-E298)*100,2)</f>
        <v/>
      </c>
      <c r="H298" s="3" t="n">
        <v>0</v>
      </c>
      <c r="I298" s="3">
        <f>ROUND(IF(ISNUMBER(AG298),AG298,G298)+H298,2)</f>
        <v/>
      </c>
      <c r="J298" s="2" t="inlineStr">
        <is>
          <t>Завтрак "Шведский стол"</t>
        </is>
      </c>
      <c r="K298" s="5" t="n">
        <v>46290.58333333334</v>
      </c>
      <c r="L298" t="n">
        <v>1</v>
      </c>
      <c r="M298" s="3">
        <f>I298/L298</f>
        <v/>
      </c>
      <c r="N298">
        <f>IF(M298&gt;=5100,"ставка","мин.ставка")</f>
        <v/>
      </c>
      <c r="O298" s="3">
        <f>ROUND(IF(N298="мин.ставка",L298*100,I298/102*2),2)</f>
        <v/>
      </c>
      <c r="P298" s="5" t="n">
        <v>46291.5</v>
      </c>
      <c r="Q298" t="inlineStr">
        <is>
          <t>TravelLine ресепшен</t>
        </is>
      </c>
      <c r="R298" s="2" t="inlineStr">
        <is>
          <t>СТАНДАРТНЫЙ ДВУХМЕСТНЫЙ НОМЕР</t>
        </is>
      </c>
      <c r="S298" t="n">
        <v>52</v>
      </c>
      <c r="T298" t="n">
        <v>2</v>
      </c>
      <c r="U298" t="inlineStr"/>
      <c r="V298" t="inlineStr">
        <is>
          <t>Тариф с завтраком</t>
        </is>
      </c>
      <c r="W298" t="n">
        <v>12015</v>
      </c>
      <c r="X298" s="3" t="n">
        <v>1335</v>
      </c>
      <c r="Y298" t="inlineStr">
        <is>
          <t>10%</t>
        </is>
      </c>
      <c r="Z298" t="inlineStr">
        <is>
          <t>2026-09-25</t>
        </is>
      </c>
      <c r="AA298" s="3" t="n">
        <v>12015</v>
      </c>
      <c r="AB298" t="inlineStr">
        <is>
          <t>Сошлось по ночным тарифам</t>
        </is>
      </c>
      <c r="AC298" s="2" t="inlineStr"/>
      <c r="AD298" t="n">
        <v>1335</v>
      </c>
      <c r="AE298" t="n">
        <v>0</v>
      </c>
      <c r="AF298" t="inlineStr">
        <is>
          <t>Скидка добавлена к налоговой базе</t>
        </is>
      </c>
      <c r="AG298" t="n">
        <v>13350</v>
      </c>
      <c r="AH298" t="n">
        <v>12015</v>
      </c>
      <c r="AI298" t="inlineStr">
        <is>
          <t>Полное проживание в выбранном периоде</t>
        </is>
      </c>
    </row>
    <row r="299">
      <c r="A299" t="inlineStr">
        <is>
          <t>20260902-8186-458677364</t>
        </is>
      </c>
      <c r="B299" t="n">
        <v>1</v>
      </c>
      <c r="C299" s="2" t="inlineStr">
        <is>
          <t>ВЛАДИМИР ГРИГОРЬЕВ, ВАСИЛИСА ГРИГОРЬЕВА</t>
        </is>
      </c>
      <c r="D299" s="3" t="n">
        <v>11214</v>
      </c>
      <c r="E299" s="4" t="n">
        <v>16</v>
      </c>
      <c r="F299" t="inlineStr">
        <is>
          <t>ООО "БРОНИРОВАНИЕ ГОСТИНИЦ" (OSTROVOK) [Чайковский]</t>
        </is>
      </c>
      <c r="G299" s="3">
        <f>ROUND(D299/(100-E299)*100,2)</f>
        <v/>
      </c>
      <c r="H299" s="3" t="n">
        <v>0</v>
      </c>
      <c r="I299" s="3">
        <f>ROUND(IF(ISNUMBER(AG299),AG299,G299)+H299,2)</f>
        <v/>
      </c>
      <c r="J299" s="2" t="inlineStr">
        <is>
          <t>Завтрак "Шведский стол"</t>
        </is>
      </c>
      <c r="K299" s="5" t="n">
        <v>46267.58333333334</v>
      </c>
      <c r="L299" t="n">
        <v>1</v>
      </c>
      <c r="M299" s="3">
        <f>I299/L299</f>
        <v/>
      </c>
      <c r="N299">
        <f>IF(M299&gt;=5100,"ставка","мин.ставка")</f>
        <v/>
      </c>
      <c r="O299" s="3">
        <f>ROUND(IF(N299="мин.ставка",L299*100,I299/102*2),2)</f>
        <v/>
      </c>
      <c r="P299" s="5" t="n">
        <v>46268.5</v>
      </c>
      <c r="Q299" t="inlineStr">
        <is>
          <t>TravelLine OTK</t>
        </is>
      </c>
      <c r="R299" s="2" t="inlineStr">
        <is>
          <t>СТАНДАРТНЫЙ ДВУХМЕСТНЫЙ НОМЕР</t>
        </is>
      </c>
      <c r="S299" t="n">
        <v>44</v>
      </c>
      <c r="T299" t="n">
        <v>1</v>
      </c>
      <c r="U299" t="inlineStr"/>
      <c r="V299" t="inlineStr">
        <is>
          <t>Тариф с завтраком</t>
        </is>
      </c>
      <c r="W299" t="n">
        <v>11214</v>
      </c>
      <c r="X299" s="3" t="n">
        <v>2136</v>
      </c>
      <c r="Y299" t="inlineStr">
        <is>
          <t>16%</t>
        </is>
      </c>
      <c r="Z299" t="inlineStr">
        <is>
          <t>2026-09-02</t>
        </is>
      </c>
      <c r="AA299" s="3" t="n">
        <v>11214</v>
      </c>
      <c r="AB299" t="inlineStr">
        <is>
          <t>Сошлось по ночным тарифам</t>
        </is>
      </c>
      <c r="AC299" s="2" t="inlineStr"/>
      <c r="AD299" t="n">
        <v>2136</v>
      </c>
      <c r="AE299" t="n">
        <v>0</v>
      </c>
      <c r="AF299" t="inlineStr">
        <is>
          <t>Скидка добавлена к налоговой базе</t>
        </is>
      </c>
      <c r="AG299" t="n">
        <v>13350</v>
      </c>
      <c r="AH299" t="n">
        <v>11214</v>
      </c>
      <c r="AI299" t="inlineStr">
        <is>
          <t>Полное проживание в выбранном периоде</t>
        </is>
      </c>
    </row>
    <row r="300">
      <c r="A300" t="inlineStr">
        <is>
          <t>20260705-8186-443519477</t>
        </is>
      </c>
      <c r="B300" t="n">
        <v>1</v>
      </c>
      <c r="C300" s="2" t="inlineStr">
        <is>
          <t>Владимир Леляков, Людмила Лелякова</t>
        </is>
      </c>
      <c r="D300" s="3" t="n">
        <v>42720</v>
      </c>
      <c r="E300" s="4" t="n">
        <v>18</v>
      </c>
      <c r="F300" t="inlineStr">
        <is>
          <t>Яндекс.Путешествия [Чайковский]</t>
        </is>
      </c>
      <c r="G300" s="3">
        <f>ROUND(D300/(100-E300)*100,2)</f>
        <v/>
      </c>
      <c r="H300" s="3" t="n">
        <v>0</v>
      </c>
      <c r="I300" s="3">
        <f>ROUND(IF(ISNUMBER(AG300),AG300,G300)+H300,2)</f>
        <v/>
      </c>
      <c r="J300" s="2" t="inlineStr">
        <is>
          <t>Завтрак "Шведский стол"</t>
        </is>
      </c>
      <c r="K300" s="5" t="n">
        <v>46208.58333333334</v>
      </c>
      <c r="L300" t="n">
        <v>4</v>
      </c>
      <c r="M300" s="3">
        <f>I300/L300</f>
        <v/>
      </c>
      <c r="N300">
        <f>IF(M300&gt;=5100,"ставка","мин.ставка")</f>
        <v/>
      </c>
      <c r="O300" s="3">
        <f>ROUND(IF(N300="мин.ставка",L300*100,I300/102*2),2)</f>
        <v/>
      </c>
      <c r="P300" s="5" t="n">
        <v>46212.5</v>
      </c>
      <c r="Q300" t="inlineStr">
        <is>
          <t>TravelLine YAX</t>
        </is>
      </c>
      <c r="R300" s="2" t="inlineStr">
        <is>
          <t>СТАНДАРТНЫЙ ДВУХМЕСТНЫЙ НОМЕР</t>
        </is>
      </c>
      <c r="S300" t="n">
        <v>33</v>
      </c>
      <c r="T300" t="n">
        <v>1</v>
      </c>
      <c r="U300" t="inlineStr"/>
      <c r="V300" t="inlineStr">
        <is>
          <t>Тариф с завтраком</t>
        </is>
      </c>
      <c r="W300" t="n">
        <v>42720</v>
      </c>
      <c r="X300" s="3" t="n">
        <v>10680</v>
      </c>
      <c r="Y300" t="inlineStr">
        <is>
          <t>20%</t>
        </is>
      </c>
      <c r="Z300" t="inlineStr">
        <is>
          <t>2026-07-05, 2026-07-06, 2026-07-07, 2026-07-08</t>
        </is>
      </c>
      <c r="AA300" s="3" t="n">
        <v>42720</v>
      </c>
      <c r="AB300" t="inlineStr">
        <is>
          <t>Сошлось по ночным тарифам</t>
        </is>
      </c>
      <c r="AC300" s="2" t="inlineStr"/>
      <c r="AD300" t="n">
        <v>10680</v>
      </c>
      <c r="AE300" t="n">
        <v>0</v>
      </c>
      <c r="AF300" t="inlineStr">
        <is>
          <t>Скидка добавлена к налоговой базе</t>
        </is>
      </c>
      <c r="AG300" t="n">
        <v>53400</v>
      </c>
      <c r="AH300" t="n">
        <v>42720</v>
      </c>
      <c r="AI300" t="inlineStr">
        <is>
          <t>Полное проживание в выбранном периоде</t>
        </is>
      </c>
    </row>
    <row r="301">
      <c r="A301" t="inlineStr">
        <is>
          <t>20260802-8186-436566081</t>
        </is>
      </c>
      <c r="B301" t="n">
        <v>1</v>
      </c>
      <c r="C301" s="2" t="inlineStr">
        <is>
          <t>Владимир Лысак, ЛАРИСА ЛЫСАК</t>
        </is>
      </c>
      <c r="D301" s="3" t="n">
        <v>45722.6</v>
      </c>
      <c r="E301" s="4" t="n">
        <v>4</v>
      </c>
      <c r="F301" t="inlineStr">
        <is>
          <t>TravelLine Booking Engine [Чайковский]</t>
        </is>
      </c>
      <c r="G301" s="3">
        <f>ROUND(D301/(100-E301)*100,2)</f>
        <v/>
      </c>
      <c r="H301" s="3" t="n">
        <v>0</v>
      </c>
      <c r="I301" s="3">
        <f>ROUND(IF(ISNUMBER(AG301),AG301,G301)+H301,2)</f>
        <v/>
      </c>
      <c r="J301" s="2" t="inlineStr">
        <is>
          <t>Завтрак "Шведский стол"</t>
        </is>
      </c>
      <c r="K301" s="5" t="n">
        <v>46236.58333333334</v>
      </c>
      <c r="L301" t="n">
        <v>3</v>
      </c>
      <c r="M301" s="3">
        <f>I301/L301</f>
        <v/>
      </c>
      <c r="N301">
        <f>IF(M301&gt;=5100,"ставка","мин.ставка")</f>
        <v/>
      </c>
      <c r="O301" s="3">
        <f>ROUND(IF(N301="мин.ставка",L301*100,I301/102*2),2)</f>
        <v/>
      </c>
      <c r="P301" s="5" t="n">
        <v>46239.5</v>
      </c>
      <c r="Q301" t="inlineStr">
        <is>
          <t>TravelLine сайт</t>
        </is>
      </c>
      <c r="R301" s="2" t="inlineStr">
        <is>
          <t>УЛУЧШЕННЫЙ ДВУХМЕСТНЫЙ НОМЕР</t>
        </is>
      </c>
      <c r="S301" t="n">
        <v>56</v>
      </c>
      <c r="T301" t="n">
        <v>2</v>
      </c>
      <c r="U301" t="inlineStr"/>
      <c r="V301" t="inlineStr">
        <is>
          <t>Тариф с завтраком</t>
        </is>
      </c>
      <c r="W301" t="n">
        <v>45722.6</v>
      </c>
      <c r="X301" s="3" t="n">
        <v>477.4</v>
      </c>
      <c r="Y301" t="inlineStr">
        <is>
          <t>3.1%</t>
        </is>
      </c>
      <c r="Z301" t="inlineStr">
        <is>
          <t>2026-08-02</t>
        </is>
      </c>
      <c r="AA301" s="3" t="n">
        <v>45722.6</v>
      </c>
      <c r="AB301" t="inlineStr">
        <is>
          <t>Сошлось по ночным тарифам</t>
        </is>
      </c>
      <c r="AC301" s="2" t="inlineStr"/>
      <c r="AD301" t="n">
        <v>477.4</v>
      </c>
      <c r="AE301" t="n">
        <v>0</v>
      </c>
      <c r="AF301" t="inlineStr">
        <is>
          <t>Скидка добавлена к налоговой базе</t>
        </is>
      </c>
      <c r="AG301" t="n">
        <v>46200</v>
      </c>
      <c r="AH301" t="n">
        <v>45722.6</v>
      </c>
      <c r="AI301" t="inlineStr">
        <is>
          <t>Полное проживание в выбранном периоде</t>
        </is>
      </c>
    </row>
    <row r="302">
      <c r="A302" t="inlineStr">
        <is>
          <t>20260913-8186-455450648</t>
        </is>
      </c>
      <c r="B302" t="n">
        <v>1</v>
      </c>
      <c r="C302" s="2" t="inlineStr">
        <is>
          <t>Владимир Мареев</t>
        </is>
      </c>
      <c r="D302" s="3" t="n">
        <v>56750</v>
      </c>
      <c r="E302" s="4" t="n">
        <v>0</v>
      </c>
      <c r="F302" t="inlineStr">
        <is>
          <t>Прямые бронирования (стойка) [Чайковский]</t>
        </is>
      </c>
      <c r="G302" s="3">
        <f>ROUND(D302/(100-E302)*100,2)</f>
        <v/>
      </c>
      <c r="H302" s="3" t="n">
        <v>5675</v>
      </c>
      <c r="I302" s="3">
        <f>ROUND(IF(ISNUMBER(AG302),AG302,G302)+H302,2)</f>
        <v/>
      </c>
      <c r="J302" s="2" t="inlineStr">
        <is>
          <t>Завтрак "Шведский стол"; Поздний выезд — 5 675,00 ₽</t>
        </is>
      </c>
      <c r="K302" s="5" t="n">
        <v>46278.58333333334</v>
      </c>
      <c r="L302" t="n">
        <v>5</v>
      </c>
      <c r="M302" s="3">
        <f>I302/L302</f>
        <v/>
      </c>
      <c r="N302">
        <f>IF(M302&gt;=5100,"ставка","мин.ставка")</f>
        <v/>
      </c>
      <c r="O302" s="3">
        <f>ROUND(IF(N302="мин.ставка",L302*100,I302/102*2),2)</f>
        <v/>
      </c>
      <c r="P302" s="5" t="n">
        <v>46283.75</v>
      </c>
      <c r="Q302" t="inlineStr">
        <is>
          <t>TravelLine ресепшен</t>
        </is>
      </c>
      <c r="R302" s="2" t="inlineStr">
        <is>
          <t>СТАНДАРТНЫЙ ДВУХМЕСТНЫЙ НОМЕР</t>
        </is>
      </c>
      <c r="S302" t="n">
        <v>44</v>
      </c>
      <c r="T302" t="n">
        <v>1</v>
      </c>
      <c r="U302" t="inlineStr"/>
      <c r="V302" t="inlineStr">
        <is>
          <t>Тариф с завтраком</t>
        </is>
      </c>
      <c r="W302" t="n">
        <v>62425</v>
      </c>
      <c r="X302" s="3" t="n">
        <v>0</v>
      </c>
      <c r="Y302" t="inlineStr"/>
      <c r="Z302" t="inlineStr"/>
      <c r="AA302" s="3" t="n">
        <v>56750</v>
      </c>
      <c r="AB302" t="inlineStr">
        <is>
          <t>Расхождение -5675.00 ₽</t>
        </is>
      </c>
      <c r="AC302" s="2" t="inlineStr"/>
      <c r="AD302" t="n">
        <v>0</v>
      </c>
      <c r="AE302" t="n">
        <v>0</v>
      </c>
      <c r="AF302" t="inlineStr">
        <is>
          <t>Скидки нет</t>
        </is>
      </c>
      <c r="AG302" t="n">
        <v>56750</v>
      </c>
      <c r="AH302" t="n">
        <v>56750</v>
      </c>
      <c r="AI302" t="inlineStr">
        <is>
          <t>Полное проживание в выбранном периоде</t>
        </is>
      </c>
    </row>
    <row r="303">
      <c r="A303" t="inlineStr">
        <is>
          <t>20260911-8186-429110332</t>
        </is>
      </c>
      <c r="B303" t="n">
        <v>1</v>
      </c>
      <c r="C303" s="2" t="inlineStr">
        <is>
          <t>ВЛАДИМИР МОРОЗОВ, ИРИНА МОРОЗОВА</t>
        </is>
      </c>
      <c r="D303" s="3" t="n">
        <v>47520</v>
      </c>
      <c r="E303" s="4" t="n">
        <v>20</v>
      </c>
      <c r="F303" t="inlineStr">
        <is>
          <t>ООО "КОМПАНИЯ БРОНЕВИК" [Чайковский]</t>
        </is>
      </c>
      <c r="G303" s="3">
        <f>ROUND(D303/(100-E303)*100,2)</f>
        <v/>
      </c>
      <c r="H303" s="3" t="n">
        <v>600</v>
      </c>
      <c r="I303" s="3">
        <f>ROUND(IF(ISNUMBER(AG303),AG303,G303)+H303,2)</f>
        <v/>
      </c>
      <c r="J303" s="2" t="inlineStr">
        <is>
          <t>продление номера — 600,00 ₽; Завтрак "Шведский стол"</t>
        </is>
      </c>
      <c r="K303" s="5" t="n">
        <v>46276.58333333334</v>
      </c>
      <c r="L303" t="n">
        <v>6</v>
      </c>
      <c r="M303" s="3">
        <f>I303/L303</f>
        <v/>
      </c>
      <c r="N303">
        <f>IF(M303&gt;=5100,"ставка","мин.ставка")</f>
        <v/>
      </c>
      <c r="O303" s="3">
        <f>ROUND(IF(N303="мин.ставка",L303*100,I303/102*2),2)</f>
        <v/>
      </c>
      <c r="P303" s="5" t="n">
        <v>46282.5</v>
      </c>
      <c r="Q303" t="inlineStr">
        <is>
          <t>TravelLine BR2</t>
        </is>
      </c>
      <c r="R303" s="2" t="inlineStr">
        <is>
          <t>СТАНДАРТНЫЙ ДВУХМЕСТНЫЙ НОМЕР (МАНСАРДА)</t>
        </is>
      </c>
      <c r="S303" t="n">
        <v>41</v>
      </c>
      <c r="T303" t="n">
        <v>1</v>
      </c>
      <c r="U303" t="inlineStr"/>
      <c r="V303" t="inlineStr">
        <is>
          <t>Тариф с завтраком</t>
        </is>
      </c>
      <c r="W303" t="n">
        <v>48120</v>
      </c>
      <c r="X303" s="3" t="n">
        <v>0</v>
      </c>
      <c r="Y303" t="inlineStr"/>
      <c r="Z303" t="inlineStr"/>
      <c r="AA303" s="3" t="n">
        <v>47520</v>
      </c>
      <c r="AB303" t="inlineStr">
        <is>
          <t>Сошлось с услугами</t>
        </is>
      </c>
      <c r="AC303" s="2" t="inlineStr"/>
      <c r="AD303" t="n">
        <v>0</v>
      </c>
      <c r="AE303" t="n">
        <v>0</v>
      </c>
      <c r="AF303" t="inlineStr">
        <is>
          <t>Скидки нет</t>
        </is>
      </c>
      <c r="AG303" t="n">
        <v>47520</v>
      </c>
      <c r="AH303" t="n">
        <v>47520</v>
      </c>
      <c r="AI303" t="inlineStr">
        <is>
          <t>Полное проживание в выбранном периоде</t>
        </is>
      </c>
    </row>
    <row r="304">
      <c r="A304" t="inlineStr">
        <is>
          <t>20260723-8186-447820200</t>
        </is>
      </c>
      <c r="B304" t="n">
        <v>1</v>
      </c>
      <c r="C304" s="2" t="inlineStr">
        <is>
          <t>Владимир Переверзев, Инна Переверзева</t>
        </is>
      </c>
      <c r="D304" s="3" t="n">
        <v>15840</v>
      </c>
      <c r="E304" s="4" t="n">
        <v>18</v>
      </c>
      <c r="F304" t="inlineStr">
        <is>
          <t>Яндекс.Путешествия [Чайковский]</t>
        </is>
      </c>
      <c r="G304" s="3">
        <f>ROUND(D304/(100-E304)*100,2)</f>
        <v/>
      </c>
      <c r="H304" s="3" t="n">
        <v>0</v>
      </c>
      <c r="I304" s="3">
        <f>ROUND(IF(ISNUMBER(AG304),AG304,G304)+H304,2)</f>
        <v/>
      </c>
      <c r="J304" s="2" t="inlineStr">
        <is>
          <t>Завтрак "Шведский стол"</t>
        </is>
      </c>
      <c r="K304" s="5" t="n">
        <v>46226.58333333334</v>
      </c>
      <c r="L304" t="n">
        <v>2</v>
      </c>
      <c r="M304" s="3">
        <f>I304/L304</f>
        <v/>
      </c>
      <c r="N304">
        <f>IF(M304&gt;=5100,"ставка","мин.ставка")</f>
        <v/>
      </c>
      <c r="O304" s="3">
        <f>ROUND(IF(N304="мин.ставка",L304*100,I304/102*2),2)</f>
        <v/>
      </c>
      <c r="P304" s="5" t="n">
        <v>46228.5</v>
      </c>
      <c r="Q304" t="inlineStr">
        <is>
          <t>TravelLine YAX</t>
        </is>
      </c>
      <c r="R304" s="2" t="inlineStr">
        <is>
          <t>СТАНДАРТНЫЙ ДВУХМЕСТНЫЙ НОМЕР (МАНСАРДА)</t>
        </is>
      </c>
      <c r="S304" t="n">
        <v>41</v>
      </c>
      <c r="T304" t="n">
        <v>1</v>
      </c>
      <c r="U304" t="inlineStr"/>
      <c r="V304" t="inlineStr">
        <is>
          <t>Тариф с завтраком</t>
        </is>
      </c>
      <c r="W304" t="n">
        <v>15840</v>
      </c>
      <c r="X304" s="3" t="n">
        <v>3960</v>
      </c>
      <c r="Y304" t="inlineStr">
        <is>
          <t>20%</t>
        </is>
      </c>
      <c r="Z304" t="inlineStr">
        <is>
          <t>2026-07-23, 2026-07-24</t>
        </is>
      </c>
      <c r="AA304" s="3" t="n">
        <v>15840</v>
      </c>
      <c r="AB304" t="inlineStr">
        <is>
          <t>Сошлось по ночным тарифам</t>
        </is>
      </c>
      <c r="AC304" s="2" t="inlineStr"/>
      <c r="AD304" t="n">
        <v>3960</v>
      </c>
      <c r="AE304" t="n">
        <v>0</v>
      </c>
      <c r="AF304" t="inlineStr">
        <is>
          <t>Скидка добавлена к налоговой базе</t>
        </is>
      </c>
      <c r="AG304" t="n">
        <v>19800</v>
      </c>
      <c r="AH304" t="n">
        <v>15840</v>
      </c>
      <c r="AI304" t="inlineStr">
        <is>
          <t>Полное проживание в выбранном периоде</t>
        </is>
      </c>
    </row>
    <row r="305">
      <c r="A305" t="inlineStr">
        <is>
          <t>20260921-8186-465754536</t>
        </is>
      </c>
      <c r="B305" t="n">
        <v>1</v>
      </c>
      <c r="C305" s="2" t="inlineStr">
        <is>
          <t>Владимир Платонов</t>
        </is>
      </c>
      <c r="D305" s="3" t="n">
        <v>27240</v>
      </c>
      <c r="E305" s="4" t="n">
        <v>20</v>
      </c>
      <c r="F305" t="inlineStr">
        <is>
          <t>ООО «Дубль Гис» (OTELLO) [Чайковский]</t>
        </is>
      </c>
      <c r="G305" s="3">
        <f>ROUND(D305/(100-E305)*100,2)</f>
        <v/>
      </c>
      <c r="H305" s="3" t="n">
        <v>5675</v>
      </c>
      <c r="I305" s="3">
        <f>ROUND(IF(ISNUMBER(AG305),AG305,G305)+H305,2)</f>
        <v/>
      </c>
      <c r="J305" s="2" t="inlineStr">
        <is>
          <t>продление номера — 5 675,00 ₽; Завтрак "Шведский стол"</t>
        </is>
      </c>
      <c r="K305" s="5" t="n">
        <v>46286.58333333334</v>
      </c>
      <c r="L305" t="n">
        <v>3</v>
      </c>
      <c r="M305" s="3">
        <f>I305/L305</f>
        <v/>
      </c>
      <c r="N305">
        <f>IF(M305&gt;=5100,"ставка","мин.ставка")</f>
        <v/>
      </c>
      <c r="O305" s="3">
        <f>ROUND(IF(N305="мин.ставка",L305*100,I305/102*2),2)</f>
        <v/>
      </c>
      <c r="P305" s="5" t="n">
        <v>46289.83333333334</v>
      </c>
      <c r="Q305" t="inlineStr">
        <is>
          <t>TravelLine OL2</t>
        </is>
      </c>
      <c r="R305" s="2" t="inlineStr">
        <is>
          <t>СТАНДАРТНЫЙ ДВУХМЕСТНЫЙ НОМЕР</t>
        </is>
      </c>
      <c r="S305" t="n">
        <v>23</v>
      </c>
      <c r="T305" t="n">
        <v>1</v>
      </c>
      <c r="U305" t="inlineStr"/>
      <c r="V305" t="inlineStr">
        <is>
          <t>Тариф с завтраком</t>
        </is>
      </c>
      <c r="W305" t="n">
        <v>32915</v>
      </c>
      <c r="X305" s="3" t="n">
        <v>6810</v>
      </c>
      <c r="Y305" t="inlineStr">
        <is>
          <t>20%</t>
        </is>
      </c>
      <c r="Z305" t="inlineStr">
        <is>
          <t>2026-09-21, 2026-09-22, 2026-09-23</t>
        </is>
      </c>
      <c r="AA305" s="3" t="n">
        <v>27240</v>
      </c>
      <c r="AB305" t="inlineStr">
        <is>
          <t>Сошлось с услугами</t>
        </is>
      </c>
      <c r="AC305" s="2" t="inlineStr"/>
      <c r="AD305" t="n">
        <v>6810</v>
      </c>
      <c r="AE305" t="n">
        <v>0</v>
      </c>
      <c r="AF305" t="inlineStr">
        <is>
          <t>Скидка добавлена к налоговой базе</t>
        </is>
      </c>
      <c r="AG305" t="n">
        <v>34050</v>
      </c>
      <c r="AH305" t="n">
        <v>27240</v>
      </c>
      <c r="AI305" t="inlineStr">
        <is>
          <t>Полное проживание в выбранном периоде</t>
        </is>
      </c>
    </row>
    <row r="306">
      <c r="A306" t="inlineStr">
        <is>
          <t>20260716-8186-449844870</t>
        </is>
      </c>
      <c r="B306" t="n">
        <v>1</v>
      </c>
      <c r="C306" s="2" t="inlineStr">
        <is>
          <t>Владимир Преображенский</t>
        </is>
      </c>
      <c r="D306" s="3" t="n">
        <v>8900</v>
      </c>
      <c r="E306" s="4" t="n">
        <v>0</v>
      </c>
      <c r="F306" t="inlineStr">
        <is>
          <t>Прямые бронирования (стойка) [Чайковский]</t>
        </is>
      </c>
      <c r="G306" s="3">
        <f>ROUND(D306/(100-E306)*100,2)</f>
        <v/>
      </c>
      <c r="H306" s="3" t="n">
        <v>0</v>
      </c>
      <c r="I306" s="3">
        <f>ROUND(IF(ISNUMBER(AG306),AG306,G306)+H306,2)</f>
        <v/>
      </c>
      <c r="J306" s="2" t="inlineStr">
        <is>
          <t>Завтрак "Шведский стол"</t>
        </is>
      </c>
      <c r="K306" s="5" t="n">
        <v>46219.58333333334</v>
      </c>
      <c r="L306" t="n">
        <v>1</v>
      </c>
      <c r="M306" s="3">
        <f>I306/L306</f>
        <v/>
      </c>
      <c r="N306">
        <f>IF(M306&gt;=5100,"ставка","мин.ставка")</f>
        <v/>
      </c>
      <c r="O306" s="3">
        <f>ROUND(IF(N306="мин.ставка",L306*100,I306/102*2),2)</f>
        <v/>
      </c>
      <c r="P306" s="5" t="n">
        <v>46220.5</v>
      </c>
      <c r="Q306" t="inlineStr">
        <is>
          <t>TravelLine ресепшен</t>
        </is>
      </c>
      <c r="R306" s="2" t="inlineStr">
        <is>
          <t>СЕМЕЙНЫЙ НОМЕР КАТЕГОРИИ "СТАНДАРТ" ВТОРОЙ КОРПУС</t>
        </is>
      </c>
      <c r="S306" t="n">
        <v>50</v>
      </c>
      <c r="T306" t="n">
        <v>2</v>
      </c>
      <c r="U306" t="inlineStr"/>
      <c r="V306" t="inlineStr">
        <is>
          <t>Тариф с завтраком</t>
        </is>
      </c>
      <c r="W306" t="n">
        <v>8900</v>
      </c>
      <c r="X306" s="3" t="n">
        <v>0</v>
      </c>
      <c r="Y306" t="inlineStr"/>
      <c r="Z306" t="inlineStr"/>
      <c r="AA306" s="3" t="n">
        <v>8900</v>
      </c>
      <c r="AB306" t="inlineStr">
        <is>
          <t>Сошлось по ночным тарифам</t>
        </is>
      </c>
      <c r="AC306" s="2" t="inlineStr"/>
      <c r="AD306" t="n">
        <v>0</v>
      </c>
      <c r="AE306" t="n">
        <v>0</v>
      </c>
      <c r="AF306" t="inlineStr">
        <is>
          <t>Скидки нет</t>
        </is>
      </c>
      <c r="AG306" t="n">
        <v>8900</v>
      </c>
      <c r="AH306" t="n">
        <v>8900</v>
      </c>
      <c r="AI306" t="inlineStr">
        <is>
          <t>Полное проживание в выбранном периоде</t>
        </is>
      </c>
    </row>
    <row r="307">
      <c r="A307" t="inlineStr">
        <is>
          <t>20260905-8186-456371079</t>
        </is>
      </c>
      <c r="B307" t="n">
        <v>1</v>
      </c>
      <c r="C307" s="2" t="inlineStr">
        <is>
          <t>Владимир Сагадиев, Эльвира Идиятуллина</t>
        </is>
      </c>
      <c r="D307" s="3" t="n">
        <v>7920</v>
      </c>
      <c r="E307" s="4" t="n">
        <v>20</v>
      </c>
      <c r="F307" t="inlineStr">
        <is>
          <t>ООО "КОМПАНИЯ БРОНЕВИК" [Чайковский]</t>
        </is>
      </c>
      <c r="G307" s="3">
        <f>ROUND(D307/(100-E307)*100,2)</f>
        <v/>
      </c>
      <c r="H307" s="3" t="n">
        <v>0</v>
      </c>
      <c r="I307" s="3">
        <f>ROUND(IF(ISNUMBER(AG307),AG307,G307)+H307,2)</f>
        <v/>
      </c>
      <c r="J307" s="2" t="inlineStr">
        <is>
          <t>Завтрак "Шведский стол"</t>
        </is>
      </c>
      <c r="K307" s="5" t="n">
        <v>46270.58333333334</v>
      </c>
      <c r="L307" t="n">
        <v>1</v>
      </c>
      <c r="M307" s="3">
        <f>I307/L307</f>
        <v/>
      </c>
      <c r="N307">
        <f>IF(M307&gt;=5100,"ставка","мин.ставка")</f>
        <v/>
      </c>
      <c r="O307" s="3">
        <f>ROUND(IF(N307="мин.ставка",L307*100,I307/102*2),2)</f>
        <v/>
      </c>
      <c r="P307" s="5" t="n">
        <v>46271.5</v>
      </c>
      <c r="Q307" t="inlineStr">
        <is>
          <t>TravelLine BR2</t>
        </is>
      </c>
      <c r="R307" s="2" t="inlineStr">
        <is>
          <t>СТАНДАРТНЫЙ ДВУХМЕСТНЫЙ НОМЕР (МАНСАРДА)</t>
        </is>
      </c>
      <c r="S307" t="n">
        <v>47</v>
      </c>
      <c r="T307" t="n">
        <v>1</v>
      </c>
      <c r="U307" t="inlineStr"/>
      <c r="V307" t="inlineStr">
        <is>
          <t>Тариф с завтраком</t>
        </is>
      </c>
      <c r="W307" t="n">
        <v>7920</v>
      </c>
      <c r="X307" s="3" t="n">
        <v>0</v>
      </c>
      <c r="Y307" t="inlineStr"/>
      <c r="Z307" t="inlineStr"/>
      <c r="AA307" s="3" t="n">
        <v>7920</v>
      </c>
      <c r="AB307" t="inlineStr">
        <is>
          <t>Сошлось по ночным тарифам</t>
        </is>
      </c>
      <c r="AC307" s="2" t="inlineStr"/>
      <c r="AD307" t="n">
        <v>0</v>
      </c>
      <c r="AE307" t="n">
        <v>0</v>
      </c>
      <c r="AF307" t="inlineStr">
        <is>
          <t>Скидки нет</t>
        </is>
      </c>
      <c r="AG307" t="n">
        <v>7920</v>
      </c>
      <c r="AH307" t="n">
        <v>7920</v>
      </c>
      <c r="AI307" t="inlineStr">
        <is>
          <t>Полное проживание в выбранном периоде</t>
        </is>
      </c>
    </row>
    <row r="308">
      <c r="A308" t="inlineStr">
        <is>
          <t>20260809-8186-451108107</t>
        </is>
      </c>
      <c r="B308" t="n">
        <v>1</v>
      </c>
      <c r="C308" s="2" t="inlineStr">
        <is>
          <t>Владимир Серебренный, Елена Серебренная</t>
        </is>
      </c>
      <c r="D308" s="3" t="n">
        <v>55402.5</v>
      </c>
      <c r="E308" s="4" t="n">
        <v>17</v>
      </c>
      <c r="F308" t="inlineStr">
        <is>
          <t>ООО «Интернет Трэвел» (OZON) [Чайковский]</t>
        </is>
      </c>
      <c r="G308" s="3">
        <f>ROUND(D308/(100-E308)*100,2)</f>
        <v/>
      </c>
      <c r="H308" s="3" t="n">
        <v>0</v>
      </c>
      <c r="I308" s="3">
        <f>ROUND(IF(ISNUMBER(AG308),AG308,G308)+H308,2)</f>
        <v/>
      </c>
      <c r="J308" s="2" t="inlineStr">
        <is>
          <t>Завтрак "Шведский стол"</t>
        </is>
      </c>
      <c r="K308" s="5" t="n">
        <v>46243.58333333334</v>
      </c>
      <c r="L308" t="n">
        <v>5</v>
      </c>
      <c r="M308" s="3">
        <f>I308/L308</f>
        <v/>
      </c>
      <c r="N308">
        <f>IF(M308&gt;=5100,"ставка","мин.ставка")</f>
        <v/>
      </c>
      <c r="O308" s="3">
        <f>ROUND(IF(N308="мин.ставка",L308*100,I308/102*2),2)</f>
        <v/>
      </c>
      <c r="P308" s="5" t="n">
        <v>46248.5</v>
      </c>
      <c r="Q308" t="inlineStr">
        <is>
          <t>TravelLine OZ2</t>
        </is>
      </c>
      <c r="R308" s="2" t="inlineStr">
        <is>
          <t>СТАНДАРТНЫЙ ДВУХМЕСТНЫЙ НОМЕР</t>
        </is>
      </c>
      <c r="S308" t="n">
        <v>23</v>
      </c>
      <c r="T308" t="n">
        <v>1</v>
      </c>
      <c r="U308" t="inlineStr"/>
      <c r="V308" t="inlineStr">
        <is>
          <t>Тариф с завтраком</t>
        </is>
      </c>
      <c r="W308" t="n">
        <v>55402.5</v>
      </c>
      <c r="X308" s="3" t="n">
        <v>11347.5</v>
      </c>
      <c r="Y308" t="inlineStr">
        <is>
          <t>17%</t>
        </is>
      </c>
      <c r="Z308" t="inlineStr">
        <is>
          <t>2026-08-09, 2026-08-10, 2026-08-11, 2026-08-12, 2026-08-13</t>
        </is>
      </c>
      <c r="AA308" s="3" t="n">
        <v>55402.5</v>
      </c>
      <c r="AB308" t="inlineStr">
        <is>
          <t>Сошлось по ночным тарифам</t>
        </is>
      </c>
      <c r="AC308" s="2" t="inlineStr"/>
      <c r="AD308" t="n">
        <v>11347.5</v>
      </c>
      <c r="AE308" t="n">
        <v>0</v>
      </c>
      <c r="AF308" t="inlineStr">
        <is>
          <t>Скидка добавлена к налоговой базе</t>
        </is>
      </c>
      <c r="AG308" t="n">
        <v>66750</v>
      </c>
      <c r="AH308" t="n">
        <v>55402.5</v>
      </c>
      <c r="AI308" t="inlineStr">
        <is>
          <t>Полное проживание в выбранном периоде</t>
        </is>
      </c>
    </row>
    <row r="309">
      <c r="A309" t="inlineStr">
        <is>
          <t>20260809-8186-455020540</t>
        </is>
      </c>
      <c r="B309" t="n">
        <v>1</v>
      </c>
      <c r="C309" s="2" t="inlineStr">
        <is>
          <t>Владимир Скрипкин, ОЛЕСЯ ГАЛАНОВА</t>
        </is>
      </c>
      <c r="D309" s="3" t="n">
        <v>35048.2</v>
      </c>
      <c r="E309" s="4" t="n">
        <v>4</v>
      </c>
      <c r="F309" t="inlineStr">
        <is>
          <t>TravelLine Booking Engine [Чайковский]</t>
        </is>
      </c>
      <c r="G309" s="3">
        <f>ROUND(D309/(100-E309)*100,2)</f>
        <v/>
      </c>
      <c r="H309" s="3" t="n">
        <v>0</v>
      </c>
      <c r="I309" s="3">
        <f>ROUND(IF(ISNUMBER(AG309),AG309,G309)+H309,2)</f>
        <v/>
      </c>
      <c r="J309" s="2" t="inlineStr">
        <is>
          <t>Завтрак "Шведский стол"</t>
        </is>
      </c>
      <c r="K309" s="5" t="n">
        <v>46243.58333333334</v>
      </c>
      <c r="L309" t="n">
        <v>2</v>
      </c>
      <c r="M309" s="3">
        <f>I309/L309</f>
        <v/>
      </c>
      <c r="N309">
        <f>IF(M309&gt;=5100,"ставка","мин.ставка")</f>
        <v/>
      </c>
      <c r="O309" s="3">
        <f>ROUND(IF(N309="мин.ставка",L309*100,I309/102*2),2)</f>
        <v/>
      </c>
      <c r="P309" s="5" t="n">
        <v>46245.5</v>
      </c>
      <c r="Q309" t="inlineStr">
        <is>
          <t>TravelLine сайт</t>
        </is>
      </c>
      <c r="R309" s="2" t="inlineStr">
        <is>
          <t>ЛЮКС ВТОРОЙ КОРПУС</t>
        </is>
      </c>
      <c r="S309" t="n">
        <v>57</v>
      </c>
      <c r="T309" t="n">
        <v>2</v>
      </c>
      <c r="U309" t="inlineStr"/>
      <c r="V309" t="inlineStr">
        <is>
          <t>Тариф с завтраком</t>
        </is>
      </c>
      <c r="W309" t="n">
        <v>35048.2</v>
      </c>
      <c r="X309" s="3" t="n">
        <v>551.8</v>
      </c>
      <c r="Y309" t="inlineStr">
        <is>
          <t>3.1%</t>
        </is>
      </c>
      <c r="Z309" t="inlineStr">
        <is>
          <t>2026-08-09</t>
        </is>
      </c>
      <c r="AA309" s="3" t="n">
        <v>35048.2</v>
      </c>
      <c r="AB309" t="inlineStr">
        <is>
          <t>Сошлось по ночным тарифам</t>
        </is>
      </c>
      <c r="AC309" s="2" t="inlineStr"/>
      <c r="AD309" t="n">
        <v>551.8</v>
      </c>
      <c r="AE309" t="n">
        <v>0</v>
      </c>
      <c r="AF309" t="inlineStr">
        <is>
          <t>Скидка добавлена к налоговой базе</t>
        </is>
      </c>
      <c r="AG309" t="n">
        <v>35600</v>
      </c>
      <c r="AH309" t="n">
        <v>35048.2</v>
      </c>
      <c r="AI309" t="inlineStr">
        <is>
          <t>Полное проживание в выбранном периоде</t>
        </is>
      </c>
    </row>
    <row r="310">
      <c r="A310" t="inlineStr">
        <is>
          <t>20260924-8186-466459177</t>
        </is>
      </c>
      <c r="B310" t="n">
        <v>1</v>
      </c>
      <c r="C310" s="2" t="inlineStr">
        <is>
          <t>Владимир Туров</t>
        </is>
      </c>
      <c r="D310" s="3" t="n">
        <v>12320</v>
      </c>
      <c r="E310" s="4" t="n">
        <v>20</v>
      </c>
      <c r="F310" t="inlineStr">
        <is>
          <t>ООО «Дубль Гис» (OTELLO) [Чайковский]</t>
        </is>
      </c>
      <c r="G310" s="3">
        <f>ROUND(D310/(100-E310)*100,2)</f>
        <v/>
      </c>
      <c r="H310" s="3" t="n">
        <v>0</v>
      </c>
      <c r="I310" s="3">
        <f>ROUND(IF(ISNUMBER(AG310),AG310,G310)+H310,2)</f>
        <v/>
      </c>
      <c r="J310" s="2" t="inlineStr">
        <is>
          <t>Завтрак "Шведский стол"</t>
        </is>
      </c>
      <c r="K310" s="5" t="n">
        <v>46289.58333333334</v>
      </c>
      <c r="L310" t="n">
        <v>2</v>
      </c>
      <c r="M310" s="3">
        <f>I310/L310</f>
        <v/>
      </c>
      <c r="N310">
        <f>IF(M310&gt;=5100,"ставка","мин.ставка")</f>
        <v/>
      </c>
      <c r="O310" s="3">
        <f>ROUND(IF(N310="мин.ставка",L310*100,I310/102*2),2)</f>
        <v/>
      </c>
      <c r="P310" s="5" t="n">
        <v>46291.5</v>
      </c>
      <c r="Q310" t="inlineStr">
        <is>
          <t>TravelLine OL2</t>
        </is>
      </c>
      <c r="R310" s="2" t="inlineStr">
        <is>
          <t>СТАНДАРТНЫЙ ОДНОМЕСТНЫЙ НОМЕР</t>
        </is>
      </c>
      <c r="S310" t="n">
        <v>34</v>
      </c>
      <c r="T310" t="n">
        <v>1</v>
      </c>
      <c r="U310" t="inlineStr"/>
      <c r="V310" t="inlineStr">
        <is>
          <t>Тариф с завтраком</t>
        </is>
      </c>
      <c r="W310" t="n">
        <v>12320</v>
      </c>
      <c r="X310" s="3" t="n">
        <v>3080</v>
      </c>
      <c r="Y310" t="inlineStr">
        <is>
          <t>20%</t>
        </is>
      </c>
      <c r="Z310" t="inlineStr">
        <is>
          <t>2026-09-24, 2026-09-25</t>
        </is>
      </c>
      <c r="AA310" s="3" t="n">
        <v>12320</v>
      </c>
      <c r="AB310" t="inlineStr">
        <is>
          <t>Сошлось по ночным тарифам</t>
        </is>
      </c>
      <c r="AC310" s="2" t="inlineStr"/>
      <c r="AD310" t="n">
        <v>3080</v>
      </c>
      <c r="AE310" t="n">
        <v>0</v>
      </c>
      <c r="AF310" t="inlineStr">
        <is>
          <t>Скидка добавлена к налоговой базе</t>
        </is>
      </c>
      <c r="AG310" t="n">
        <v>15400</v>
      </c>
      <c r="AH310" t="n">
        <v>12320</v>
      </c>
      <c r="AI310" t="inlineStr">
        <is>
          <t>Полное проживание в выбранном периоде</t>
        </is>
      </c>
    </row>
    <row r="311">
      <c r="A311" t="inlineStr">
        <is>
          <t>20260820-8186-457770556</t>
        </is>
      </c>
      <c r="B311" t="n">
        <v>1</v>
      </c>
      <c r="C311" s="2" t="inlineStr">
        <is>
          <t>ВЛАДИМИР ХРУСТАЛЕВ, АЛИНА ХРУСТАЛЕВА</t>
        </is>
      </c>
      <c r="D311" s="3" t="n">
        <v>49130</v>
      </c>
      <c r="E311" s="4" t="n">
        <v>15</v>
      </c>
      <c r="F311" t="inlineStr">
        <is>
          <t>ООО "АКАДЕМ-ОНЛАЙН" [Чайковский]</t>
        </is>
      </c>
      <c r="G311" s="3">
        <f>ROUND(D311/(100-E311)*100,2)</f>
        <v/>
      </c>
      <c r="H311" s="3" t="n">
        <v>0</v>
      </c>
      <c r="I311" s="3">
        <f>ROUND(IF(ISNUMBER(AG311),AG311,G311)+H311,2)</f>
        <v/>
      </c>
      <c r="J311" s="2" t="inlineStr">
        <is>
          <t>Завтрак "Шведский стол"</t>
        </is>
      </c>
      <c r="K311" s="5" t="n">
        <v>46254.58333333334</v>
      </c>
      <c r="L311" t="n">
        <v>4</v>
      </c>
      <c r="M311" s="3">
        <f>I311/L311</f>
        <v/>
      </c>
      <c r="N311">
        <f>IF(M311&gt;=5100,"ставка","мин.ставка")</f>
        <v/>
      </c>
      <c r="O311" s="3">
        <f>ROUND(IF(N311="мин.ставка",L311*100,I311/102*2),2)</f>
        <v/>
      </c>
      <c r="P311" s="5" t="n">
        <v>46258.5</v>
      </c>
      <c r="Q311" t="inlineStr">
        <is>
          <t>TravelLine ACS</t>
        </is>
      </c>
      <c r="R311" s="2" t="inlineStr">
        <is>
          <t>СЕМЕЙНЫЙ НОМЕР КАТЕГОРИИ "СТАНДАРТ" ВТОРОЙ КОРПУС</t>
        </is>
      </c>
      <c r="S311" t="n">
        <v>51</v>
      </c>
      <c r="T311" t="n">
        <v>2</v>
      </c>
      <c r="U311" t="inlineStr"/>
      <c r="V311" t="inlineStr">
        <is>
          <t>Тариф с завтраком</t>
        </is>
      </c>
      <c r="W311" t="n">
        <v>49130</v>
      </c>
      <c r="X311" s="3" t="n">
        <v>8670</v>
      </c>
      <c r="Y311" t="inlineStr">
        <is>
          <t>15%</t>
        </is>
      </c>
      <c r="Z311" t="inlineStr">
        <is>
          <t>2026-08-20, 2026-08-21, 2026-08-22, 2026-08-23</t>
        </is>
      </c>
      <c r="AA311" s="3" t="n">
        <v>49130</v>
      </c>
      <c r="AB311" t="inlineStr">
        <is>
          <t>Сошлось по ночным тарифам</t>
        </is>
      </c>
      <c r="AC311" s="2" t="inlineStr"/>
      <c r="AD311" t="n">
        <v>8670</v>
      </c>
      <c r="AE311" t="n">
        <v>0</v>
      </c>
      <c r="AF311" t="inlineStr">
        <is>
          <t>Скидка добавлена к налоговой базе</t>
        </is>
      </c>
      <c r="AG311" t="n">
        <v>57800</v>
      </c>
      <c r="AH311" t="n">
        <v>49130</v>
      </c>
      <c r="AI311" t="inlineStr">
        <is>
          <t>Полное проживание в выбранном периоде</t>
        </is>
      </c>
    </row>
    <row r="312">
      <c r="A312" t="inlineStr">
        <is>
          <t>20260819-8186-459426235</t>
        </is>
      </c>
      <c r="B312" t="n">
        <v>1</v>
      </c>
      <c r="C312" s="2" t="inlineStr">
        <is>
          <t>Владимир Чебан</t>
        </is>
      </c>
      <c r="D312" s="3" t="n">
        <v>10375</v>
      </c>
      <c r="E312" s="4" t="n">
        <v>18</v>
      </c>
      <c r="F312" t="inlineStr">
        <is>
          <t>Яндекс.Путешествия [Чайковский]</t>
        </is>
      </c>
      <c r="G312" s="3">
        <f>ROUND(D312/(100-E312)*100,2)</f>
        <v/>
      </c>
      <c r="H312" s="3" t="n">
        <v>0</v>
      </c>
      <c r="I312" s="3">
        <f>ROUND(IF(ISNUMBER(AG312),AG312,G312)+H312,2)</f>
        <v/>
      </c>
      <c r="J312" s="2" t="inlineStr"/>
      <c r="K312" s="5" t="n">
        <v>46253.58333333334</v>
      </c>
      <c r="L312" t="n">
        <v>1</v>
      </c>
      <c r="M312" s="3">
        <f>I312/L312</f>
        <v/>
      </c>
      <c r="N312">
        <f>IF(M312&gt;=5100,"ставка","мин.ставка")</f>
        <v/>
      </c>
      <c r="O312" s="3">
        <f>ROUND(IF(N312="мин.ставка",L312*100,I312/102*2),2)</f>
        <v/>
      </c>
      <c r="P312" s="5" t="n">
        <v>46254.5</v>
      </c>
      <c r="Q312" t="inlineStr">
        <is>
          <t>TravelLine YAX</t>
        </is>
      </c>
      <c r="R312" s="2" t="inlineStr">
        <is>
          <t>ЛЮКС ВТОРОЙ КОРПУС</t>
        </is>
      </c>
      <c r="S312" t="n">
        <v>53</v>
      </c>
      <c r="T312" t="n">
        <v>2</v>
      </c>
      <c r="U312" t="inlineStr"/>
      <c r="V312" t="inlineStr">
        <is>
          <t>Основной тариф без завтрака</t>
        </is>
      </c>
      <c r="W312" t="n">
        <v>10375</v>
      </c>
      <c r="X312" s="3" t="n">
        <v>2125</v>
      </c>
      <c r="Y312" t="inlineStr">
        <is>
          <t>17%</t>
        </is>
      </c>
      <c r="Z312" t="inlineStr">
        <is>
          <t>2026-08-19</t>
        </is>
      </c>
      <c r="AA312" s="3" t="n">
        <v>10375</v>
      </c>
      <c r="AB312" t="inlineStr">
        <is>
          <t>Сошлось по ночным тарифам</t>
        </is>
      </c>
      <c r="AC312" s="2" t="inlineStr"/>
      <c r="AD312" t="n">
        <v>2125</v>
      </c>
      <c r="AE312" t="n">
        <v>0</v>
      </c>
      <c r="AF312" t="inlineStr">
        <is>
          <t>Скидка добавлена к налоговой базе</t>
        </is>
      </c>
      <c r="AG312" t="n">
        <v>12500</v>
      </c>
      <c r="AH312" t="n">
        <v>10375</v>
      </c>
      <c r="AI312" t="inlineStr">
        <is>
          <t>Полное проживание в выбранном периоде</t>
        </is>
      </c>
    </row>
    <row r="313">
      <c r="A313" t="inlineStr">
        <is>
          <t>20260730-8186-453823911</t>
        </is>
      </c>
      <c r="B313" t="n">
        <v>1</v>
      </c>
      <c r="C313" s="2" t="inlineStr">
        <is>
          <t>Владимир Чудинов, Татьяна Чудинова</t>
        </is>
      </c>
      <c r="D313" s="3" t="n">
        <v>71200</v>
      </c>
      <c r="E313" s="4" t="n">
        <v>0</v>
      </c>
      <c r="F313" t="inlineStr">
        <is>
          <t>Прямые бронирования (стойка) [Чайковский]</t>
        </is>
      </c>
      <c r="G313" s="3">
        <f>ROUND(D313/(100-E313)*100,2)</f>
        <v/>
      </c>
      <c r="H313" s="3" t="n">
        <v>2960</v>
      </c>
      <c r="I313" s="3">
        <f>ROUND(IF(ISNUMBER(AG313),AG313,G313)+H313,2)</f>
        <v/>
      </c>
      <c r="J313" s="2" t="inlineStr">
        <is>
          <t>Завтрак "Шведский стол"; Поздний выезд — 2 960,00 ₽</t>
        </is>
      </c>
      <c r="K313" s="5" t="n">
        <v>46233.58333333334</v>
      </c>
      <c r="L313" t="n">
        <v>4</v>
      </c>
      <c r="M313" s="3">
        <f>I313/L313</f>
        <v/>
      </c>
      <c r="N313">
        <f>IF(M313&gt;=5100,"ставка","мин.ставка")</f>
        <v/>
      </c>
      <c r="O313" s="3">
        <f>ROUND(IF(N313="мин.ставка",L313*100,I313/102*2),2)</f>
        <v/>
      </c>
      <c r="P313" s="5" t="n">
        <v>46237.66666666666</v>
      </c>
      <c r="Q313" t="inlineStr">
        <is>
          <t>TravelLine ресепшен</t>
        </is>
      </c>
      <c r="R313" s="2" t="inlineStr">
        <is>
          <t>ЛЮКС ВТОРОЙ КОРПУС</t>
        </is>
      </c>
      <c r="S313" t="n">
        <v>57</v>
      </c>
      <c r="T313" t="n">
        <v>2</v>
      </c>
      <c r="U313" t="inlineStr"/>
      <c r="V313" t="inlineStr">
        <is>
          <t>Тариф с завтраком</t>
        </is>
      </c>
      <c r="W313" t="n">
        <v>74160</v>
      </c>
      <c r="X313" s="3" t="n">
        <v>0</v>
      </c>
      <c r="Y313" t="inlineStr"/>
      <c r="Z313" t="inlineStr"/>
      <c r="AA313" s="3" t="n">
        <v>71200</v>
      </c>
      <c r="AB313" t="inlineStr">
        <is>
          <t>Расхождение -2960.00 ₽</t>
        </is>
      </c>
      <c r="AC313" s="2" t="inlineStr"/>
      <c r="AD313" t="n">
        <v>0</v>
      </c>
      <c r="AE313" t="n">
        <v>0</v>
      </c>
      <c r="AF313" t="inlineStr">
        <is>
          <t>Скидки нет</t>
        </is>
      </c>
      <c r="AG313" t="n">
        <v>71200</v>
      </c>
      <c r="AH313" t="n">
        <v>71200</v>
      </c>
      <c r="AI313" t="inlineStr">
        <is>
          <t>Полное проживание в выбранном периоде</t>
        </is>
      </c>
    </row>
    <row r="314">
      <c r="A314" t="inlineStr">
        <is>
          <t>20260805-8186-456094227</t>
        </is>
      </c>
      <c r="B314" t="n">
        <v>1</v>
      </c>
      <c r="C314" s="2" t="inlineStr">
        <is>
          <t>Владислав Догадин, ИННА ВАРГИНА</t>
        </is>
      </c>
      <c r="D314" s="3" t="n">
        <v>14774</v>
      </c>
      <c r="E314" s="4" t="n">
        <v>18</v>
      </c>
      <c r="F314" t="inlineStr">
        <is>
          <t>Яндекс.Путешествия [Чайковский]</t>
        </is>
      </c>
      <c r="G314" s="3">
        <f>ROUND(D314/(100-E314)*100,2)</f>
        <v/>
      </c>
      <c r="H314" s="3" t="n">
        <v>0</v>
      </c>
      <c r="I314" s="3">
        <f>ROUND(IF(ISNUMBER(AG314),AG314,G314)+H314,2)</f>
        <v/>
      </c>
      <c r="J314" s="2" t="inlineStr">
        <is>
          <t>Завтрак "Шведский стол"</t>
        </is>
      </c>
      <c r="K314" s="5" t="n">
        <v>46239.58333333334</v>
      </c>
      <c r="L314" t="n">
        <v>1</v>
      </c>
      <c r="M314" s="3">
        <f>I314/L314</f>
        <v/>
      </c>
      <c r="N314">
        <f>IF(M314&gt;=5100,"ставка","мин.ставка")</f>
        <v/>
      </c>
      <c r="O314" s="3">
        <f>ROUND(IF(N314="мин.ставка",L314*100,I314/102*2),2)</f>
        <v/>
      </c>
      <c r="P314" s="5" t="n">
        <v>46240.5</v>
      </c>
      <c r="Q314" t="inlineStr">
        <is>
          <t>TravelLine YAX</t>
        </is>
      </c>
      <c r="R314" s="2" t="inlineStr">
        <is>
          <t>ЛЮКС ВТОРОЙ КОРПУС</t>
        </is>
      </c>
      <c r="S314" t="n">
        <v>57</v>
      </c>
      <c r="T314" t="n">
        <v>2</v>
      </c>
      <c r="U314" t="inlineStr"/>
      <c r="V314" t="inlineStr">
        <is>
          <t>Тариф с завтраком</t>
        </is>
      </c>
      <c r="W314" t="n">
        <v>14774</v>
      </c>
      <c r="X314" s="3" t="n">
        <v>3026</v>
      </c>
      <c r="Y314" t="inlineStr">
        <is>
          <t>17%</t>
        </is>
      </c>
      <c r="Z314" t="inlineStr">
        <is>
          <t>2026-08-05</t>
        </is>
      </c>
      <c r="AA314" s="3" t="n">
        <v>14774</v>
      </c>
      <c r="AB314" t="inlineStr">
        <is>
          <t>Сошлось по ночным тарифам</t>
        </is>
      </c>
      <c r="AC314" s="2" t="inlineStr"/>
      <c r="AD314" t="n">
        <v>3026</v>
      </c>
      <c r="AE314" t="n">
        <v>0</v>
      </c>
      <c r="AF314" t="inlineStr">
        <is>
          <t>Скидка добавлена к налоговой базе</t>
        </is>
      </c>
      <c r="AG314" t="n">
        <v>17800</v>
      </c>
      <c r="AH314" t="n">
        <v>14774</v>
      </c>
      <c r="AI314" t="inlineStr">
        <is>
          <t>Полное проживание в выбранном периоде</t>
        </is>
      </c>
    </row>
    <row r="315">
      <c r="A315" t="inlineStr">
        <is>
          <t>20260821-8186-458016331</t>
        </is>
      </c>
      <c r="B315" t="n">
        <v>1</v>
      </c>
      <c r="C315" s="2" t="inlineStr">
        <is>
          <t>ВЛАДИСЛАВ КОТЕНКО, ВИКТОРИЯ КОТЕНКО</t>
        </is>
      </c>
      <c r="D315" s="3" t="n">
        <v>11214</v>
      </c>
      <c r="E315" s="4" t="n">
        <v>16</v>
      </c>
      <c r="F315" t="inlineStr">
        <is>
          <t>ООО "БРОНИРОВАНИЕ ГОСТИНИЦ" (OSTROVOK) [Чайковский]</t>
        </is>
      </c>
      <c r="G315" s="3">
        <f>ROUND(D315/(100-E315)*100,2)</f>
        <v/>
      </c>
      <c r="H315" s="3" t="n">
        <v>0</v>
      </c>
      <c r="I315" s="3">
        <f>ROUND(IF(ISNUMBER(AG315),AG315,G315)+H315,2)</f>
        <v/>
      </c>
      <c r="J315" s="2" t="inlineStr">
        <is>
          <t>Завтрак "Шведский стол"</t>
        </is>
      </c>
      <c r="K315" s="5" t="n">
        <v>46255.58333333334</v>
      </c>
      <c r="L315" t="n">
        <v>1</v>
      </c>
      <c r="M315" s="3">
        <f>I315/L315</f>
        <v/>
      </c>
      <c r="N315">
        <f>IF(M315&gt;=5100,"ставка","мин.ставка")</f>
        <v/>
      </c>
      <c r="O315" s="3">
        <f>ROUND(IF(N315="мин.ставка",L315*100,I315/102*2),2)</f>
        <v/>
      </c>
      <c r="P315" s="5" t="n">
        <v>46256.5</v>
      </c>
      <c r="Q315" t="inlineStr">
        <is>
          <t>TravelLine OTK</t>
        </is>
      </c>
      <c r="R315" s="2" t="inlineStr">
        <is>
          <t>СТАНДАРТНЫЙ ДВУХМЕСТНЫЙ НОМЕР</t>
        </is>
      </c>
      <c r="S315" t="n">
        <v>23</v>
      </c>
      <c r="T315" t="n">
        <v>1</v>
      </c>
      <c r="U315" t="inlineStr"/>
      <c r="V315" t="inlineStr">
        <is>
          <t>Тариф с завтраком</t>
        </is>
      </c>
      <c r="W315" t="n">
        <v>11214</v>
      </c>
      <c r="X315" s="3" t="n">
        <v>2136</v>
      </c>
      <c r="Y315" t="inlineStr">
        <is>
          <t>16%</t>
        </is>
      </c>
      <c r="Z315" t="inlineStr">
        <is>
          <t>2026-08-21</t>
        </is>
      </c>
      <c r="AA315" s="3" t="n">
        <v>11214</v>
      </c>
      <c r="AB315" t="inlineStr">
        <is>
          <t>Сошлось по ночным тарифам</t>
        </is>
      </c>
      <c r="AC315" s="2" t="inlineStr"/>
      <c r="AD315" t="n">
        <v>2136</v>
      </c>
      <c r="AE315" t="n">
        <v>0</v>
      </c>
      <c r="AF315" t="inlineStr">
        <is>
          <t>Скидка добавлена к налоговой базе</t>
        </is>
      </c>
      <c r="AG315" t="n">
        <v>13350</v>
      </c>
      <c r="AH315" t="n">
        <v>11214</v>
      </c>
      <c r="AI315" t="inlineStr">
        <is>
          <t>Полное проживание в выбранном периоде</t>
        </is>
      </c>
    </row>
    <row r="316">
      <c r="A316" t="inlineStr">
        <is>
          <t>20260704-8186-442805120</t>
        </is>
      </c>
      <c r="B316" t="n">
        <v>1</v>
      </c>
      <c r="C316" s="2" t="inlineStr">
        <is>
          <t>Владислав Фрол</t>
        </is>
      </c>
      <c r="D316" s="3" t="n">
        <v>34050</v>
      </c>
      <c r="E316" s="4" t="n">
        <v>0</v>
      </c>
      <c r="F316" t="inlineStr">
        <is>
          <t>Прямые бронирования (стойка) [Чайковский]</t>
        </is>
      </c>
      <c r="G316" s="3">
        <f>ROUND(D316/(100-E316)*100,2)</f>
        <v/>
      </c>
      <c r="H316" s="3" t="n">
        <v>0</v>
      </c>
      <c r="I316" s="3">
        <f>ROUND(IF(ISNUMBER(AG316),AG316,G316)+H316,2)</f>
        <v/>
      </c>
      <c r="J316" s="2" t="inlineStr">
        <is>
          <t>Завтрак "Шведский стол"</t>
        </is>
      </c>
      <c r="K316" s="5" t="n">
        <v>46207.58333333334</v>
      </c>
      <c r="L316" t="n">
        <v>3</v>
      </c>
      <c r="M316" s="3">
        <f>I316/L316</f>
        <v/>
      </c>
      <c r="N316">
        <f>IF(M316&gt;=5100,"ставка","мин.ставка")</f>
        <v/>
      </c>
      <c r="O316" s="3">
        <f>ROUND(IF(N316="мин.ставка",L316*100,I316/102*2),2)</f>
        <v/>
      </c>
      <c r="P316" s="5" t="n">
        <v>46210.5</v>
      </c>
      <c r="Q316" t="inlineStr">
        <is>
          <t>TravelLine ресепшен</t>
        </is>
      </c>
      <c r="R316" s="2" t="inlineStr">
        <is>
          <t>СТАНДАРТНЫЙ ДВУХМЕСТНЫЙ НОМЕР</t>
        </is>
      </c>
      <c r="S316" t="n">
        <v>36</v>
      </c>
      <c r="T316" t="n">
        <v>1</v>
      </c>
      <c r="U316" t="inlineStr"/>
      <c r="V316" t="inlineStr">
        <is>
          <t>Тариф с завтраком</t>
        </is>
      </c>
      <c r="W316" t="n">
        <v>34050</v>
      </c>
      <c r="X316" s="3" t="n">
        <v>0</v>
      </c>
      <c r="Y316" t="inlineStr"/>
      <c r="Z316" t="inlineStr"/>
      <c r="AA316" s="3" t="n">
        <v>34050</v>
      </c>
      <c r="AB316" t="inlineStr">
        <is>
          <t>Сошлось по ночным тарифам</t>
        </is>
      </c>
      <c r="AC316" s="2" t="inlineStr"/>
      <c r="AD316" t="n">
        <v>0</v>
      </c>
      <c r="AE316" t="n">
        <v>0</v>
      </c>
      <c r="AF316" t="inlineStr">
        <is>
          <t>Скидки нет</t>
        </is>
      </c>
      <c r="AG316" t="n">
        <v>34050</v>
      </c>
      <c r="AH316" t="n">
        <v>34050</v>
      </c>
      <c r="AI316" t="inlineStr">
        <is>
          <t>Полное проживание в выбранном периоде</t>
        </is>
      </c>
    </row>
    <row r="317">
      <c r="A317" t="inlineStr">
        <is>
          <t>20260919-8186-461966803</t>
        </is>
      </c>
      <c r="B317" t="n">
        <v>1</v>
      </c>
      <c r="C317" s="2" t="inlineStr">
        <is>
          <t>ВЛАДИСЛАВ ШУЛЯКОВСКИЙ, Анастасия Бальчюнайте</t>
        </is>
      </c>
      <c r="D317" s="3" t="n">
        <v>29700</v>
      </c>
      <c r="E317" s="4" t="n">
        <v>0</v>
      </c>
      <c r="F317" t="inlineStr">
        <is>
          <t>Прямые бронирования (стойка) [Чайковский]</t>
        </is>
      </c>
      <c r="G317" s="3">
        <f>ROUND(D317/(100-E317)*100,2)</f>
        <v/>
      </c>
      <c r="H317" s="3" t="n">
        <v>0</v>
      </c>
      <c r="I317" s="3">
        <f>ROUND(IF(ISNUMBER(AG317),AG317,G317)+H317,2)</f>
        <v/>
      </c>
      <c r="J317" s="2" t="inlineStr">
        <is>
          <t>Завтрак "Шведский стол"</t>
        </is>
      </c>
      <c r="K317" s="5" t="n">
        <v>46283.58333333334</v>
      </c>
      <c r="L317" t="n">
        <v>2</v>
      </c>
      <c r="M317" s="3">
        <f>I317/L317</f>
        <v/>
      </c>
      <c r="N317">
        <f>IF(M317&gt;=5100,"ставка","мин.ставка")</f>
        <v/>
      </c>
      <c r="O317" s="3">
        <f>ROUND(IF(N317="мин.ставка",L317*100,I317/102*2),2)</f>
        <v/>
      </c>
      <c r="P317" s="5" t="n">
        <v>46285.5</v>
      </c>
      <c r="Q317" t="inlineStr">
        <is>
          <t>TravelLine ресепшен</t>
        </is>
      </c>
      <c r="R317" s="2" t="inlineStr">
        <is>
          <t>ПОЛУЛЮКС</t>
        </is>
      </c>
      <c r="S317" t="n">
        <v>35</v>
      </c>
      <c r="T317" t="n">
        <v>1</v>
      </c>
      <c r="U317" t="inlineStr"/>
      <c r="V317" t="inlineStr">
        <is>
          <t>Тариф с завтраком</t>
        </is>
      </c>
      <c r="W317" t="n">
        <v>29700</v>
      </c>
      <c r="X317" s="3" t="n">
        <v>3300</v>
      </c>
      <c r="Y317" t="inlineStr">
        <is>
          <t>10%</t>
        </is>
      </c>
      <c r="Z317" t="inlineStr">
        <is>
          <t>2026-09-18, 2026-09-19</t>
        </is>
      </c>
      <c r="AA317" s="3" t="n">
        <v>29700</v>
      </c>
      <c r="AB317" t="inlineStr">
        <is>
          <t>Сошлось по ночным тарифам</t>
        </is>
      </c>
      <c r="AC317" s="2" t="inlineStr"/>
      <c r="AD317" t="n">
        <v>3300</v>
      </c>
      <c r="AE317" t="n">
        <v>0</v>
      </c>
      <c r="AF317" t="inlineStr">
        <is>
          <t>Скидка добавлена к налоговой базе</t>
        </is>
      </c>
      <c r="AG317" t="n">
        <v>33000</v>
      </c>
      <c r="AH317" t="n">
        <v>29700</v>
      </c>
      <c r="AI317" t="inlineStr">
        <is>
          <t>Полное проживание в выбранном периоде</t>
        </is>
      </c>
    </row>
    <row r="318">
      <c r="A318" t="inlineStr">
        <is>
          <t>20260728-8186-448644670</t>
        </is>
      </c>
      <c r="B318" t="n">
        <v>1</v>
      </c>
      <c r="C318" s="2" t="inlineStr">
        <is>
          <t>Вячеслав Бойков, Юлия Бойкова</t>
        </is>
      </c>
      <c r="D318" s="3" t="n">
        <v>9593.1</v>
      </c>
      <c r="E318" s="4" t="n">
        <v>4</v>
      </c>
      <c r="F318" t="inlineStr">
        <is>
          <t>TravelLine Booking Engine [Чайковский]</t>
        </is>
      </c>
      <c r="G318" s="3">
        <f>ROUND(D318/(100-E318)*100,2)</f>
        <v/>
      </c>
      <c r="H318" s="3" t="n">
        <v>0</v>
      </c>
      <c r="I318" s="3">
        <f>ROUND(IF(ISNUMBER(AG318),AG318,G318)+H318,2)</f>
        <v/>
      </c>
      <c r="J318" s="2" t="inlineStr">
        <is>
          <t>Завтрак "Шведский стол"</t>
        </is>
      </c>
      <c r="K318" s="5" t="n">
        <v>46231.58333333334</v>
      </c>
      <c r="L318" t="n">
        <v>1</v>
      </c>
      <c r="M318" s="3">
        <f>I318/L318</f>
        <v/>
      </c>
      <c r="N318">
        <f>IF(M318&gt;=5100,"ставка","мин.ставка")</f>
        <v/>
      </c>
      <c r="O318" s="3">
        <f>ROUND(IF(N318="мин.ставка",L318*100,I318/102*2),2)</f>
        <v/>
      </c>
      <c r="P318" s="5" t="n">
        <v>46232.5</v>
      </c>
      <c r="Q318" t="inlineStr">
        <is>
          <t>TravelLine сайт</t>
        </is>
      </c>
      <c r="R318" s="2" t="inlineStr">
        <is>
          <t>СТАНДАРТНЫЙ ДВУХМЕСТНЫЙ НОМЕР (МАНСАРДА)</t>
        </is>
      </c>
      <c r="S318" t="n">
        <v>45</v>
      </c>
      <c r="T318" t="n">
        <v>1</v>
      </c>
      <c r="U318" t="inlineStr"/>
      <c r="V318" t="inlineStr">
        <is>
          <t>Тариф с завтраком</t>
        </is>
      </c>
      <c r="W318" t="n">
        <v>9593.1</v>
      </c>
      <c r="X318" s="3" t="n">
        <v>306.9</v>
      </c>
      <c r="Y318" t="inlineStr">
        <is>
          <t>3.1%</t>
        </is>
      </c>
      <c r="Z318" t="inlineStr">
        <is>
          <t>2026-07-28</t>
        </is>
      </c>
      <c r="AA318" s="3" t="n">
        <v>9593.1</v>
      </c>
      <c r="AB318" t="inlineStr">
        <is>
          <t>Сошлось по ночным тарифам</t>
        </is>
      </c>
      <c r="AC318" s="2" t="inlineStr"/>
      <c r="AD318" t="n">
        <v>306.9</v>
      </c>
      <c r="AE318" t="n">
        <v>0</v>
      </c>
      <c r="AF318" t="inlineStr">
        <is>
          <t>Скидка добавлена к налоговой базе</t>
        </is>
      </c>
      <c r="AG318" t="n">
        <v>9900</v>
      </c>
      <c r="AH318" t="n">
        <v>9593.1</v>
      </c>
      <c r="AI318" t="inlineStr">
        <is>
          <t>Полное проживание в выбранном периоде</t>
        </is>
      </c>
    </row>
    <row r="319">
      <c r="A319" t="inlineStr">
        <is>
          <t>20260817-8186-450378148</t>
        </is>
      </c>
      <c r="B319" t="n">
        <v>1</v>
      </c>
      <c r="C319" s="2" t="inlineStr">
        <is>
          <t>Вячеслав Горбунов</t>
        </is>
      </c>
      <c r="D319" s="3" t="n">
        <v>66732</v>
      </c>
      <c r="E319" s="4" t="n">
        <v>20</v>
      </c>
      <c r="F319" t="inlineStr">
        <is>
          <t>ООО «Дубль Гис» (OTELLO) [Чайковский]</t>
        </is>
      </c>
      <c r="G319" s="3">
        <f>ROUND(D319/(100-E319)*100,2)</f>
        <v/>
      </c>
      <c r="H319" s="3" t="n">
        <v>0</v>
      </c>
      <c r="I319" s="3">
        <f>ROUND(IF(ISNUMBER(AG319),AG319,G319)+H319,2)</f>
        <v/>
      </c>
      <c r="J319" s="2" t="inlineStr">
        <is>
          <t>Завтрак "Шведский стол"</t>
        </is>
      </c>
      <c r="K319" s="5" t="n">
        <v>46251.58333333334</v>
      </c>
      <c r="L319" t="n">
        <v>6</v>
      </c>
      <c r="M319" s="3">
        <f>I319/L319</f>
        <v/>
      </c>
      <c r="N319">
        <f>IF(M319&gt;=5100,"ставка","мин.ставка")</f>
        <v/>
      </c>
      <c r="O319" s="3">
        <f>ROUND(IF(N319="мин.ставка",L319*100,I319/102*2),2)</f>
        <v/>
      </c>
      <c r="P319" s="5" t="n">
        <v>46257.5</v>
      </c>
      <c r="Q319" t="inlineStr">
        <is>
          <t>TravelLine OL2</t>
        </is>
      </c>
      <c r="R319" s="2" t="inlineStr">
        <is>
          <t>УЛУЧШЕННЫЙ ДВУХМЕСТНЫЙ НОМЕР</t>
        </is>
      </c>
      <c r="S319" t="n">
        <v>21</v>
      </c>
      <c r="T319" t="n">
        <v>1</v>
      </c>
      <c r="U319" t="inlineStr"/>
      <c r="V319" t="inlineStr">
        <is>
          <t>Тариф с завтраком</t>
        </is>
      </c>
      <c r="W319" t="n">
        <v>66732</v>
      </c>
      <c r="X319" s="3" t="n">
        <v>13668</v>
      </c>
      <c r="Y319" t="inlineStr">
        <is>
          <t>17%</t>
        </is>
      </c>
      <c r="Z319" t="inlineStr">
        <is>
          <t>2026-08-17, 2026-08-18, 2026-08-19, 2026-08-20, 2026-08-21, 2026-08-22</t>
        </is>
      </c>
      <c r="AA319" s="3" t="n">
        <v>66732</v>
      </c>
      <c r="AB319" t="inlineStr">
        <is>
          <t>Сошлось по ночным тарифам</t>
        </is>
      </c>
      <c r="AC319" s="2" t="inlineStr"/>
      <c r="AD319" t="n">
        <v>13668</v>
      </c>
      <c r="AE319" t="n">
        <v>0</v>
      </c>
      <c r="AF319" t="inlineStr">
        <is>
          <t>Скидка добавлена к налоговой базе</t>
        </is>
      </c>
      <c r="AG319" t="n">
        <v>80400</v>
      </c>
      <c r="AH319" t="n">
        <v>66732</v>
      </c>
      <c r="AI319" t="inlineStr">
        <is>
          <t>Полное проживание в выбранном периоде</t>
        </is>
      </c>
    </row>
    <row r="320">
      <c r="A320" t="inlineStr">
        <is>
          <t>20260927-8186-462083511</t>
        </is>
      </c>
      <c r="B320" t="n">
        <v>1</v>
      </c>
      <c r="C320" s="2" t="inlineStr">
        <is>
          <t>Вячеслав Жарников</t>
        </is>
      </c>
      <c r="D320" s="3" t="n">
        <v>31440</v>
      </c>
      <c r="E320" s="4" t="n">
        <v>18</v>
      </c>
      <c r="F320" t="inlineStr">
        <is>
          <t>Яндекс.Путешествия [Чайковский]</t>
        </is>
      </c>
      <c r="G320" s="3">
        <f>ROUND(D320/(100-E320)*100,2)</f>
        <v/>
      </c>
      <c r="H320" s="3" t="n">
        <v>0</v>
      </c>
      <c r="I320" s="3">
        <f>ROUND(IF(ISNUMBER(AG320),AG320,G320)+H320,2)</f>
        <v/>
      </c>
      <c r="J320" s="2" t="inlineStr"/>
      <c r="K320" s="5" t="n">
        <v>46292.58333333334</v>
      </c>
      <c r="L320" t="n">
        <v>4</v>
      </c>
      <c r="M320" s="3">
        <f>I320/L320</f>
        <v/>
      </c>
      <c r="N320">
        <f>IF(M320&gt;=5100,"ставка","мин.ставка")</f>
        <v/>
      </c>
      <c r="O320" s="3">
        <f>ROUND(IF(N320="мин.ставка",L320*100,I320/102*2),2)</f>
        <v/>
      </c>
      <c r="P320" s="5" t="n">
        <v>46297.5</v>
      </c>
      <c r="Q320" t="inlineStr">
        <is>
          <t>TravelLine YAX</t>
        </is>
      </c>
      <c r="R320" s="2" t="inlineStr">
        <is>
          <t>СТАНДАРТНЫЙ ДВУХМЕСТНЫЙ НОМЕР (МАНСАРДА)</t>
        </is>
      </c>
      <c r="S320" t="n">
        <v>45</v>
      </c>
      <c r="T320" t="n">
        <v>1</v>
      </c>
      <c r="U320" t="inlineStr"/>
      <c r="V320" t="inlineStr">
        <is>
          <t>Тариф с завтраком</t>
        </is>
      </c>
      <c r="W320" t="n">
        <v>31440</v>
      </c>
      <c r="X320" s="3" t="n">
        <v>7860</v>
      </c>
      <c r="Y320" t="inlineStr">
        <is>
          <t>20%</t>
        </is>
      </c>
      <c r="Z320" t="inlineStr">
        <is>
          <t>Не распределена по датам</t>
        </is>
      </c>
      <c r="AA320" s="3" t="n">
        <v>31440</v>
      </c>
      <c r="AB320" t="inlineStr">
        <is>
          <t>Сошлось по ночным тарифам</t>
        </is>
      </c>
      <c r="AC320" s="2" t="inlineStr"/>
      <c r="AD320" t="n">
        <v>0</v>
      </c>
      <c r="AE320" t="n">
        <v>0</v>
      </c>
      <c r="AF320" t="inlineStr">
        <is>
          <t>Частичный период: дата агрегированной скидки не определена; скидка не добавлена к базе</t>
        </is>
      </c>
      <c r="AG320" t="n">
        <v>25280</v>
      </c>
      <c r="AH320" t="n">
        <v>25280</v>
      </c>
      <c r="AI320" t="inlineStr">
        <is>
          <t>Частичное проживание распределено по dailyRates; скидка без даты не восстановлена</t>
        </is>
      </c>
    </row>
    <row r="321">
      <c r="A321" t="inlineStr">
        <is>
          <t>20260724-8186-452306866</t>
        </is>
      </c>
      <c r="B321" t="n">
        <v>1</v>
      </c>
      <c r="C321" s="2" t="inlineStr">
        <is>
          <t>ВЯЧЕСЛАВ ЛАЗАРЕВ, АННА ЛАЗАРЕВА</t>
        </is>
      </c>
      <c r="D321" s="3" t="n">
        <v>13090</v>
      </c>
      <c r="E321" s="4" t="n">
        <v>15</v>
      </c>
      <c r="F321" t="inlineStr">
        <is>
          <t>ООО "БРОНИРОВАНИЕ ГОСТИНИЦ" (OSTROVOK) [Чайковский]</t>
        </is>
      </c>
      <c r="G321" s="3">
        <f>ROUND(D321/(100-E321)*100,2)</f>
        <v/>
      </c>
      <c r="H321" s="3" t="n">
        <v>0</v>
      </c>
      <c r="I321" s="3">
        <f>ROUND(IF(ISNUMBER(AG321),AG321,G321)+H321,2)</f>
        <v/>
      </c>
      <c r="J321" s="2" t="inlineStr">
        <is>
          <t>Завтрак "Шведский стол"</t>
        </is>
      </c>
      <c r="K321" s="5" t="n">
        <v>46227.58333333334</v>
      </c>
      <c r="L321" t="n">
        <v>1</v>
      </c>
      <c r="M321" s="3">
        <f>I321/L321</f>
        <v/>
      </c>
      <c r="N321">
        <f>IF(M321&gt;=5100,"ставка","мин.ставка")</f>
        <v/>
      </c>
      <c r="O321" s="3">
        <f>ROUND(IF(N321="мин.ставка",L321*100,I321/102*2),2)</f>
        <v/>
      </c>
      <c r="P321" s="5" t="n">
        <v>46228.5</v>
      </c>
      <c r="Q321" t="inlineStr">
        <is>
          <t>TravelLine OTK</t>
        </is>
      </c>
      <c r="R321" s="2" t="inlineStr">
        <is>
          <t>УЛУЧШЕННЫЙ ДВУХМЕСТНЫЙ НОМЕР</t>
        </is>
      </c>
      <c r="S321" t="n">
        <v>31</v>
      </c>
      <c r="T321" t="n">
        <v>1</v>
      </c>
      <c r="U321" t="inlineStr"/>
      <c r="V321" t="inlineStr">
        <is>
          <t>Тариф с завтраком</t>
        </is>
      </c>
      <c r="W321" t="n">
        <v>13090</v>
      </c>
      <c r="X321" s="3" t="n">
        <v>2310</v>
      </c>
      <c r="Y321" t="inlineStr">
        <is>
          <t>15%</t>
        </is>
      </c>
      <c r="Z321" t="inlineStr">
        <is>
          <t>2026-07-24</t>
        </is>
      </c>
      <c r="AA321" s="3" t="n">
        <v>13090</v>
      </c>
      <c r="AB321" t="inlineStr">
        <is>
          <t>Сошлось по ночным тарифам</t>
        </is>
      </c>
      <c r="AC321" s="2" t="inlineStr"/>
      <c r="AD321" t="n">
        <v>2310</v>
      </c>
      <c r="AE321" t="n">
        <v>0</v>
      </c>
      <c r="AF321" t="inlineStr">
        <is>
          <t>Скидка добавлена к налоговой базе</t>
        </is>
      </c>
      <c r="AG321" t="n">
        <v>15400</v>
      </c>
      <c r="AH321" t="n">
        <v>13090</v>
      </c>
      <c r="AI321" t="inlineStr">
        <is>
          <t>Полное проживание в выбранном периоде</t>
        </is>
      </c>
    </row>
    <row r="322">
      <c r="A322" t="inlineStr">
        <is>
          <t>20260719-8186-446751193</t>
        </is>
      </c>
      <c r="B322" t="n">
        <v>1</v>
      </c>
      <c r="C322" s="2" t="inlineStr">
        <is>
          <t>Вячеслав Осипов</t>
        </is>
      </c>
      <c r="D322" s="3" t="n">
        <v>34050</v>
      </c>
      <c r="E322" s="4" t="n">
        <v>0</v>
      </c>
      <c r="F322" t="inlineStr">
        <is>
          <t>Прямые бронирования (стойка) [Чайковский]</t>
        </is>
      </c>
      <c r="G322" s="3">
        <f>ROUND(D322/(100-E322)*100,2)</f>
        <v/>
      </c>
      <c r="H322" s="3" t="n">
        <v>0</v>
      </c>
      <c r="I322" s="3">
        <f>ROUND(IF(ISNUMBER(AG322),AG322,G322)+H322,2)</f>
        <v/>
      </c>
      <c r="J322" s="2" t="inlineStr">
        <is>
          <t>Завтрак "Шведский стол"</t>
        </is>
      </c>
      <c r="K322" s="5" t="n">
        <v>46222.58333333334</v>
      </c>
      <c r="L322" t="n">
        <v>3</v>
      </c>
      <c r="M322" s="3">
        <f>I322/L322</f>
        <v/>
      </c>
      <c r="N322">
        <f>IF(M322&gt;=5100,"ставка","мин.ставка")</f>
        <v/>
      </c>
      <c r="O322" s="3">
        <f>ROUND(IF(N322="мин.ставка",L322*100,I322/102*2),2)</f>
        <v/>
      </c>
      <c r="P322" s="5" t="n">
        <v>46225.5</v>
      </c>
      <c r="Q322" t="inlineStr">
        <is>
          <t>TravelLine ресепшен</t>
        </is>
      </c>
      <c r="R322" s="2" t="inlineStr">
        <is>
          <t>СТАНДАРТНЫЙ ДВУХМЕСТНЫЙ НОМЕР</t>
        </is>
      </c>
      <c r="S322" t="n">
        <v>33</v>
      </c>
      <c r="T322" t="n">
        <v>1</v>
      </c>
      <c r="U322" t="inlineStr"/>
      <c r="V322" t="inlineStr">
        <is>
          <t>Тариф с завтраком</t>
        </is>
      </c>
      <c r="W322" t="n">
        <v>34050</v>
      </c>
      <c r="X322" s="3" t="n">
        <v>0</v>
      </c>
      <c r="Y322" t="inlineStr"/>
      <c r="Z322" t="inlineStr"/>
      <c r="AA322" s="3" t="n">
        <v>34050</v>
      </c>
      <c r="AB322" t="inlineStr">
        <is>
          <t>Сошлось по ночным тарифам</t>
        </is>
      </c>
      <c r="AC322" s="2" t="inlineStr"/>
      <c r="AD322" t="n">
        <v>0</v>
      </c>
      <c r="AE322" t="n">
        <v>0</v>
      </c>
      <c r="AF322" t="inlineStr">
        <is>
          <t>Скидки нет</t>
        </is>
      </c>
      <c r="AG322" t="n">
        <v>34050</v>
      </c>
      <c r="AH322" t="n">
        <v>34050</v>
      </c>
      <c r="AI322" t="inlineStr">
        <is>
          <t>Полное проживание в выбранном периоде</t>
        </is>
      </c>
    </row>
    <row r="323">
      <c r="A323" t="inlineStr">
        <is>
          <t>20260825-8186-444275504</t>
        </is>
      </c>
      <c r="B323" t="n">
        <v>1</v>
      </c>
      <c r="C323" s="2" t="inlineStr">
        <is>
          <t>Вячеслав Смирнов, МАРИЯ УСТЕНКО</t>
        </is>
      </c>
      <c r="D323" s="3" t="n">
        <v>51750</v>
      </c>
      <c r="E323" s="4" t="n">
        <v>4</v>
      </c>
      <c r="F323" t="inlineStr">
        <is>
          <t>TravelLine Booking Engine [Чайковский]</t>
        </is>
      </c>
      <c r="G323" s="3">
        <f>ROUND(D323/(100-E323)*100,2)</f>
        <v/>
      </c>
      <c r="H323" s="3" t="n">
        <v>8400</v>
      </c>
      <c r="I323" s="3">
        <f>ROUND(IF(ISNUMBER(AG323),AG323,G323)+H323,2)</f>
        <v/>
      </c>
      <c r="J323" s="2" t="inlineStr">
        <is>
          <t>дополнительное место для ребенка — 2 800,00 ₽; продление номера — 5 600,00 ₽; Завтрак "Шведский стол"</t>
        </is>
      </c>
      <c r="K323" s="5" t="n">
        <v>46259.58333333334</v>
      </c>
      <c r="L323" t="n">
        <v>3</v>
      </c>
      <c r="M323" s="3">
        <f>I323/L323</f>
        <v/>
      </c>
      <c r="N323">
        <f>IF(M323&gt;=5100,"ставка","мин.ставка")</f>
        <v/>
      </c>
      <c r="O323" s="3">
        <f>ROUND(IF(N323="мин.ставка",L323*100,I323/102*2),2)</f>
        <v/>
      </c>
      <c r="P323" s="5" t="n">
        <v>46262.5</v>
      </c>
      <c r="Q323" t="inlineStr">
        <is>
          <t>TravelLine сайт</t>
        </is>
      </c>
      <c r="R323" s="2" t="inlineStr">
        <is>
          <t>СЕМЕЙНЫЙ НОМЕР КАТЕГОРИИ "СТАНДАРТ" ВТОРОЙ КОРПУС</t>
        </is>
      </c>
      <c r="S323" t="n">
        <v>51</v>
      </c>
      <c r="T323" t="n">
        <v>2</v>
      </c>
      <c r="U323" t="inlineStr"/>
      <c r="V323" t="inlineStr">
        <is>
          <t>Тариф с завтраком</t>
        </is>
      </c>
      <c r="W323" t="n">
        <v>60150</v>
      </c>
      <c r="X323" s="3" t="n">
        <v>0</v>
      </c>
      <c r="Y323" t="inlineStr"/>
      <c r="Z323" t="inlineStr"/>
      <c r="AA323" s="3" t="n">
        <v>51750</v>
      </c>
      <c r="AB323" t="inlineStr">
        <is>
          <t>Сошлось с услугами</t>
        </is>
      </c>
      <c r="AC323" s="2" t="inlineStr"/>
      <c r="AD323" t="n">
        <v>0</v>
      </c>
      <c r="AE323" t="n">
        <v>0</v>
      </c>
      <c r="AF323" t="inlineStr">
        <is>
          <t>Скидки нет</t>
        </is>
      </c>
      <c r="AG323" t="n">
        <v>51750</v>
      </c>
      <c r="AH323" t="n">
        <v>51750</v>
      </c>
      <c r="AI323" t="inlineStr">
        <is>
          <t>Полное проживание в выбранном периоде</t>
        </is>
      </c>
    </row>
    <row r="324">
      <c r="A324" t="inlineStr">
        <is>
          <t>20260704-8186-405164282</t>
        </is>
      </c>
      <c r="B324" t="n">
        <v>1</v>
      </c>
      <c r="C324" s="2" t="inlineStr">
        <is>
          <t>ВЯЧЕСЛАВ СУНГУРОВ, Елена Сунгурова</t>
        </is>
      </c>
      <c r="D324" s="3" t="n">
        <v>97515</v>
      </c>
      <c r="E324" s="4" t="n">
        <v>17</v>
      </c>
      <c r="F324" t="inlineStr">
        <is>
          <t>ООО "ОНЛАЙН ИННОВАЦИИ" (101 Отель) [Чайковский]</t>
        </is>
      </c>
      <c r="G324" s="3">
        <f>ROUND(D324/(100-E324)*100,2)</f>
        <v/>
      </c>
      <c r="H324" s="3" t="n">
        <v>0</v>
      </c>
      <c r="I324" s="3">
        <f>ROUND(IF(ISNUMBER(AG324),AG324,G324)+H324,2)</f>
        <v/>
      </c>
      <c r="J324" s="2" t="inlineStr">
        <is>
          <t>Завтрак "Шведский стол"</t>
        </is>
      </c>
      <c r="K324" s="5" t="n">
        <v>46204.58333333334</v>
      </c>
      <c r="L324" t="n">
        <v>10</v>
      </c>
      <c r="M324" s="3">
        <f>I324/L324</f>
        <v/>
      </c>
      <c r="N324">
        <f>IF(M324&gt;=5100,"ставка","мин.ставка")</f>
        <v/>
      </c>
      <c r="O324" s="3">
        <f>ROUND(IF(N324="мин.ставка",L324*100,I324/102*2),2)</f>
        <v/>
      </c>
      <c r="P324" s="5" t="n">
        <v>46214.5</v>
      </c>
      <c r="Q324" t="inlineStr">
        <is>
          <t>TravelLine H1C</t>
        </is>
      </c>
      <c r="R324" s="2" t="inlineStr">
        <is>
          <t>СТАНДАРТНЫЙ ДВУХМЕСТНЫЙ НОМЕР (МАНСАРДА)</t>
        </is>
      </c>
      <c r="S324" t="n">
        <v>45</v>
      </c>
      <c r="T324" t="n">
        <v>1</v>
      </c>
      <c r="U324" t="inlineStr"/>
      <c r="V324" t="inlineStr">
        <is>
          <t>Тариф с завтраком</t>
        </is>
      </c>
      <c r="W324" t="n">
        <v>195030</v>
      </c>
      <c r="X324" s="3" t="n">
        <v>1485</v>
      </c>
      <c r="Y324" t="inlineStr">
        <is>
          <t>15%</t>
        </is>
      </c>
      <c r="Z324" t="inlineStr">
        <is>
          <t>2026-07-01</t>
        </is>
      </c>
      <c r="AA324" s="3" t="n">
        <v>97515</v>
      </c>
      <c r="AB324" t="inlineStr">
        <is>
          <t>Сошлось по ночным тарифам</t>
        </is>
      </c>
      <c r="AC324" s="2" t="inlineStr"/>
      <c r="AD324" t="n">
        <v>1485</v>
      </c>
      <c r="AE324" t="n">
        <v>0</v>
      </c>
      <c r="AF324" t="inlineStr">
        <is>
          <t>Скидка добавлена к налоговой базе</t>
        </is>
      </c>
      <c r="AG324" t="n">
        <v>99000</v>
      </c>
      <c r="AH324" t="n">
        <v>97515</v>
      </c>
      <c r="AI324" t="inlineStr">
        <is>
          <t>Полное проживание в выбранном периоде</t>
        </is>
      </c>
    </row>
    <row r="325">
      <c r="A325" t="inlineStr">
        <is>
          <t>20260729-8186-400177380</t>
        </is>
      </c>
      <c r="B325" t="n">
        <v>1</v>
      </c>
      <c r="C325" s="2" t="inlineStr">
        <is>
          <t>ВЯЧЕСЛАВ ТКАЧЕВ, ВЕРА Скворцова</t>
        </is>
      </c>
      <c r="D325" s="3" t="n">
        <v>59400</v>
      </c>
      <c r="E325" s="4" t="n">
        <v>0</v>
      </c>
      <c r="F325" t="inlineStr">
        <is>
          <t>Прямые бронирования (стойка) [Чайковский]</t>
        </is>
      </c>
      <c r="G325" s="3">
        <f>ROUND(D325/(100-E325)*100,2)</f>
        <v/>
      </c>
      <c r="H325" s="3" t="n">
        <v>0</v>
      </c>
      <c r="I325" s="3">
        <f>ROUND(IF(ISNUMBER(AG325),AG325,G325)+H325,2)</f>
        <v/>
      </c>
      <c r="J325" s="2" t="inlineStr">
        <is>
          <t>Завтрак "Шведский стол"</t>
        </is>
      </c>
      <c r="K325" s="5" t="n">
        <v>46232.58333333334</v>
      </c>
      <c r="L325" t="n">
        <v>4</v>
      </c>
      <c r="M325" s="3">
        <f>I325/L325</f>
        <v/>
      </c>
      <c r="N325">
        <f>IF(M325&gt;=5100,"ставка","мин.ставка")</f>
        <v/>
      </c>
      <c r="O325" s="3">
        <f>ROUND(IF(N325="мин.ставка",L325*100,I325/102*2),2)</f>
        <v/>
      </c>
      <c r="P325" s="5" t="n">
        <v>46236.5</v>
      </c>
      <c r="Q325" t="inlineStr">
        <is>
          <t>TravelLine ресепшен</t>
        </is>
      </c>
      <c r="R325" s="2" t="inlineStr">
        <is>
          <t>ПОЛУЛЮКС</t>
        </is>
      </c>
      <c r="S325" t="n">
        <v>11</v>
      </c>
      <c r="T325" t="n">
        <v>1</v>
      </c>
      <c r="U325" t="inlineStr"/>
      <c r="V325" t="inlineStr">
        <is>
          <t>Тариф с завтраком</t>
        </is>
      </c>
      <c r="W325" t="n">
        <v>59400</v>
      </c>
      <c r="X325" s="3" t="n">
        <v>6600</v>
      </c>
      <c r="Y325" t="inlineStr">
        <is>
          <t>10%</t>
        </is>
      </c>
      <c r="Z325" t="inlineStr">
        <is>
          <t>2026-07-29, 2026-07-30, 2026-07-31, 2026-08-01</t>
        </is>
      </c>
      <c r="AA325" s="3" t="n">
        <v>59400</v>
      </c>
      <c r="AB325" t="inlineStr">
        <is>
          <t>Сошлось по ночным тарифам</t>
        </is>
      </c>
      <c r="AC325" s="2" t="inlineStr"/>
      <c r="AD325" t="n">
        <v>6600</v>
      </c>
      <c r="AE325" t="n">
        <v>0</v>
      </c>
      <c r="AF325" t="inlineStr">
        <is>
          <t>Скидка добавлена к налоговой базе</t>
        </is>
      </c>
      <c r="AG325" t="n">
        <v>66000</v>
      </c>
      <c r="AH325" t="n">
        <v>59400</v>
      </c>
      <c r="AI325" t="inlineStr">
        <is>
          <t>Полное проживание в выбранном периоде</t>
        </is>
      </c>
    </row>
    <row r="326">
      <c r="A326" t="inlineStr">
        <is>
          <t>20260721-8186-426049066</t>
        </is>
      </c>
      <c r="B326" t="n">
        <v>1</v>
      </c>
      <c r="C326" s="2" t="inlineStr">
        <is>
          <t>Галина Лещева</t>
        </is>
      </c>
      <c r="D326" s="3" t="n">
        <v>20368</v>
      </c>
      <c r="E326" s="4" t="n">
        <v>18</v>
      </c>
      <c r="F326" t="inlineStr">
        <is>
          <t>Яндекс.Путешествия [Чайковский]</t>
        </is>
      </c>
      <c r="G326" s="3">
        <f>ROUND(D326/(100-E326)*100,2)</f>
        <v/>
      </c>
      <c r="H326" s="3" t="n">
        <v>0</v>
      </c>
      <c r="I326" s="3">
        <f>ROUND(IF(ISNUMBER(AG326),AG326,G326)+H326,2)</f>
        <v/>
      </c>
      <c r="J326" s="2" t="inlineStr">
        <is>
          <t>Завтрак "Шведский стол"</t>
        </is>
      </c>
      <c r="K326" s="5" t="n">
        <v>46224.58333333334</v>
      </c>
      <c r="L326" t="n">
        <v>2</v>
      </c>
      <c r="M326" s="3">
        <f>I326/L326</f>
        <v/>
      </c>
      <c r="N326">
        <f>IF(M326&gt;=5100,"ставка","мин.ставка")</f>
        <v/>
      </c>
      <c r="O326" s="3">
        <f>ROUND(IF(N326="мин.ставка",L326*100,I326/102*2),2)</f>
        <v/>
      </c>
      <c r="P326" s="5" t="n">
        <v>46226.58333333334</v>
      </c>
      <c r="Q326" t="inlineStr">
        <is>
          <t>TravelLine YAX</t>
        </is>
      </c>
      <c r="R326" s="2" t="inlineStr">
        <is>
          <t>ПОЛУЛЮКС</t>
        </is>
      </c>
      <c r="S326" t="n">
        <v>11</v>
      </c>
      <c r="T326" t="n">
        <v>1</v>
      </c>
      <c r="U326" t="inlineStr"/>
      <c r="V326" t="inlineStr">
        <is>
          <t>Тариф с завтраком</t>
        </is>
      </c>
      <c r="W326" t="n">
        <v>65664</v>
      </c>
      <c r="X326" s="3" t="n">
        <v>1072</v>
      </c>
      <c r="Y326" t="inlineStr">
        <is>
          <t>5%</t>
        </is>
      </c>
      <c r="Z326" t="inlineStr">
        <is>
          <t>2026-07-21, 2026-07-22</t>
        </is>
      </c>
      <c r="AA326" s="3" t="n">
        <v>20368</v>
      </c>
      <c r="AB326" t="inlineStr">
        <is>
          <t>Сошлось по ночным тарифам</t>
        </is>
      </c>
      <c r="AC326" s="2" t="inlineStr"/>
      <c r="AD326" t="n">
        <v>1072</v>
      </c>
      <c r="AE326" t="n">
        <v>0</v>
      </c>
      <c r="AF326" t="inlineStr">
        <is>
          <t>Скидка добавлена к налоговой базе</t>
        </is>
      </c>
      <c r="AG326" t="n">
        <v>21440</v>
      </c>
      <c r="AH326" t="n">
        <v>20368</v>
      </c>
      <c r="AI326" t="inlineStr">
        <is>
          <t>Полное проживание в выбранном периоде</t>
        </is>
      </c>
    </row>
    <row r="327">
      <c r="A327" t="inlineStr">
        <is>
          <t>20260721-8186-426049066</t>
        </is>
      </c>
      <c r="B327" t="n">
        <v>1</v>
      </c>
      <c r="C327" s="2" t="inlineStr">
        <is>
          <t>Галина Лещева</t>
        </is>
      </c>
      <c r="D327" s="3" t="n">
        <v>10184</v>
      </c>
      <c r="E327" s="4" t="n">
        <v>18</v>
      </c>
      <c r="F327" t="inlineStr">
        <is>
          <t>Яндекс.Путешествия [Чайковский]</t>
        </is>
      </c>
      <c r="G327" s="3">
        <f>ROUND(D327/(100-E327)*100,2)</f>
        <v/>
      </c>
      <c r="H327" s="3" t="n">
        <v>0</v>
      </c>
      <c r="I327" s="3">
        <f>ROUND(IF(ISNUMBER(AG327),AG327,G327)+H327,2)</f>
        <v/>
      </c>
      <c r="J327" s="2" t="inlineStr">
        <is>
          <t>Завтрак "Шведский стол"</t>
        </is>
      </c>
      <c r="K327" s="5" t="n">
        <v>46226.58333333334</v>
      </c>
      <c r="L327" t="n">
        <v>1</v>
      </c>
      <c r="M327" s="3">
        <f>I327/L327</f>
        <v/>
      </c>
      <c r="N327">
        <f>IF(M327&gt;=5100,"ставка","мин.ставка")</f>
        <v/>
      </c>
      <c r="O327" s="3">
        <f>ROUND(IF(N327="мин.ставка",L327*100,I327/102*2),2)</f>
        <v/>
      </c>
      <c r="P327" s="5" t="n">
        <v>46227.5</v>
      </c>
      <c r="Q327" t="inlineStr">
        <is>
          <t>TravelLine YAX</t>
        </is>
      </c>
      <c r="R327" s="2" t="inlineStr">
        <is>
          <t>УЛУЧШЕННЫЙ ДВУХМЕСТНЫЙ НОМЕР</t>
        </is>
      </c>
      <c r="S327" t="n">
        <v>21</v>
      </c>
      <c r="T327" t="n">
        <v>1</v>
      </c>
      <c r="U327" t="inlineStr"/>
      <c r="V327" t="inlineStr">
        <is>
          <t>Тариф с завтраком</t>
        </is>
      </c>
      <c r="W327" t="n">
        <v>65664</v>
      </c>
      <c r="X327" s="3" t="n">
        <v>2546</v>
      </c>
      <c r="Y327" t="inlineStr">
        <is>
          <t>20%</t>
        </is>
      </c>
      <c r="Z327" t="inlineStr">
        <is>
          <t>2026-07-23</t>
        </is>
      </c>
      <c r="AA327" s="3" t="n">
        <v>10184</v>
      </c>
      <c r="AB327" t="inlineStr">
        <is>
          <t>Сошлось по ночным тарифам</t>
        </is>
      </c>
      <c r="AC327" s="2" t="inlineStr"/>
      <c r="AD327" t="n">
        <v>2546</v>
      </c>
      <c r="AE327" t="n">
        <v>0</v>
      </c>
      <c r="AF327" t="inlineStr">
        <is>
          <t>Скидка добавлена к налоговой базе</t>
        </is>
      </c>
      <c r="AG327" t="n">
        <v>12730</v>
      </c>
      <c r="AH327" t="n">
        <v>10184</v>
      </c>
      <c r="AI327" t="inlineStr">
        <is>
          <t>Полное проживание в выбранном периоде</t>
        </is>
      </c>
    </row>
    <row r="328">
      <c r="A328" t="inlineStr">
        <is>
          <t>20260821-8186-458221934</t>
        </is>
      </c>
      <c r="B328" t="n">
        <v>1</v>
      </c>
      <c r="C328" s="2" t="inlineStr">
        <is>
          <t>ГАЛИНА ЛУКЬЯНОВА, ТИМОФЕЙ КОТАРЕВ</t>
        </is>
      </c>
      <c r="D328" s="3" t="n">
        <v>39270</v>
      </c>
      <c r="E328" s="4" t="n">
        <v>15</v>
      </c>
      <c r="F328" t="inlineStr">
        <is>
          <t>ООО "Библио-Глобус Туроператор" [Чайковский]</t>
        </is>
      </c>
      <c r="G328" s="3">
        <f>ROUND(D328/(100-E328)*100,2)</f>
        <v/>
      </c>
      <c r="H328" s="3" t="n">
        <v>0</v>
      </c>
      <c r="I328" s="3">
        <f>ROUND(IF(ISNUMBER(AG328),AG328,G328)+H328,2)</f>
        <v/>
      </c>
      <c r="J328" s="2" t="inlineStr">
        <is>
          <t>Завтрак "Шведский стол"</t>
        </is>
      </c>
      <c r="K328" s="5" t="n">
        <v>46255.58333333334</v>
      </c>
      <c r="L328" t="n">
        <v>3</v>
      </c>
      <c r="M328" s="3">
        <f>I328/L328</f>
        <v/>
      </c>
      <c r="N328">
        <f>IF(M328&gt;=5100,"ставка","мин.ставка")</f>
        <v/>
      </c>
      <c r="O328" s="3">
        <f>ROUND(IF(N328="мин.ставка",L328*100,I328/102*2),2)</f>
        <v/>
      </c>
      <c r="P328" s="5" t="n">
        <v>46258.5</v>
      </c>
      <c r="Q328" t="inlineStr">
        <is>
          <t>TravelLine BGL</t>
        </is>
      </c>
      <c r="R328" s="2" t="inlineStr">
        <is>
          <t>УЛУЧШЕННЫЙ ДВУХМЕСТНЫЙ НОМЕР</t>
        </is>
      </c>
      <c r="S328" t="n">
        <v>56</v>
      </c>
      <c r="T328" t="n">
        <v>2</v>
      </c>
      <c r="U328" t="inlineStr"/>
      <c r="V328" t="inlineStr">
        <is>
          <t>Тариф с завтраком</t>
        </is>
      </c>
      <c r="W328" t="n">
        <v>39270</v>
      </c>
      <c r="X328" s="3" t="n">
        <v>0</v>
      </c>
      <c r="Y328" t="inlineStr"/>
      <c r="Z328" t="inlineStr"/>
      <c r="AA328" s="3" t="n">
        <v>39270</v>
      </c>
      <c r="AB328" t="inlineStr">
        <is>
          <t>Сошлось по ночным тарифам</t>
        </is>
      </c>
      <c r="AC328" s="2" t="inlineStr"/>
      <c r="AD328" t="n">
        <v>0</v>
      </c>
      <c r="AE328" t="n">
        <v>0</v>
      </c>
      <c r="AF328" t="inlineStr">
        <is>
          <t>Скидки нет</t>
        </is>
      </c>
      <c r="AG328" t="n">
        <v>39270</v>
      </c>
      <c r="AH328" t="n">
        <v>39270</v>
      </c>
      <c r="AI328" t="inlineStr">
        <is>
          <t>Полное проживание в выбранном периоде</t>
        </is>
      </c>
    </row>
    <row r="329">
      <c r="A329" t="inlineStr">
        <is>
          <t>20260820-8186-458200934</t>
        </is>
      </c>
      <c r="B329" t="n">
        <v>1</v>
      </c>
      <c r="C329" s="2" t="inlineStr">
        <is>
          <t>Галуст Шахбазян</t>
        </is>
      </c>
      <c r="D329" s="3" t="n">
        <v>6160</v>
      </c>
      <c r="E329" s="4" t="n">
        <v>20</v>
      </c>
      <c r="F329" t="inlineStr">
        <is>
          <t>ООО "КОМПАНИЯ БРОНЕВИК" [Чайковский]</t>
        </is>
      </c>
      <c r="G329" s="3">
        <f>ROUND(D329/(100-E329)*100,2)</f>
        <v/>
      </c>
      <c r="H329" s="3" t="n">
        <v>0</v>
      </c>
      <c r="I329" s="3">
        <f>ROUND(IF(ISNUMBER(AG329),AG329,G329)+H329,2)</f>
        <v/>
      </c>
      <c r="J329" s="2" t="inlineStr">
        <is>
          <t>Завтрак "Шведский стол"</t>
        </is>
      </c>
      <c r="K329" s="5" t="n">
        <v>46254.58333333334</v>
      </c>
      <c r="L329" t="n">
        <v>1</v>
      </c>
      <c r="M329" s="3">
        <f>I329/L329</f>
        <v/>
      </c>
      <c r="N329">
        <f>IF(M329&gt;=5100,"ставка","мин.ставка")</f>
        <v/>
      </c>
      <c r="O329" s="3">
        <f>ROUND(IF(N329="мин.ставка",L329*100,I329/102*2),2)</f>
        <v/>
      </c>
      <c r="P329" s="5" t="n">
        <v>46255.5</v>
      </c>
      <c r="Q329" t="inlineStr">
        <is>
          <t>TravelLine BR2</t>
        </is>
      </c>
      <c r="R329" s="2" t="inlineStr">
        <is>
          <t>СТАНДАРТНЫЙ ОДНОМЕСТНЫЙ НОМЕР</t>
        </is>
      </c>
      <c r="S329" t="n">
        <v>34</v>
      </c>
      <c r="T329" t="n">
        <v>1</v>
      </c>
      <c r="U329" t="inlineStr"/>
      <c r="V329" t="inlineStr">
        <is>
          <t>Тариф с завтраком</t>
        </is>
      </c>
      <c r="W329" t="n">
        <v>6160</v>
      </c>
      <c r="X329" s="3" t="n">
        <v>0</v>
      </c>
      <c r="Y329" t="inlineStr"/>
      <c r="Z329" t="inlineStr"/>
      <c r="AA329" s="3" t="n">
        <v>6160</v>
      </c>
      <c r="AB329" t="inlineStr">
        <is>
          <t>Сошлось по ночным тарифам</t>
        </is>
      </c>
      <c r="AC329" s="2" t="inlineStr"/>
      <c r="AD329" t="n">
        <v>0</v>
      </c>
      <c r="AE329" t="n">
        <v>0</v>
      </c>
      <c r="AF329" t="inlineStr">
        <is>
          <t>Скидки нет</t>
        </is>
      </c>
      <c r="AG329" t="n">
        <v>6160</v>
      </c>
      <c r="AH329" t="n">
        <v>6160</v>
      </c>
      <c r="AI329" t="inlineStr">
        <is>
          <t>Полное проживание в выбранном периоде</t>
        </is>
      </c>
    </row>
    <row r="330">
      <c r="A330" t="inlineStr">
        <is>
          <t>20260719-8186-450387635</t>
        </is>
      </c>
      <c r="B330" t="n">
        <v>1</v>
      </c>
      <c r="C330" s="2" t="inlineStr">
        <is>
          <t>Гельфида Хасаншина, Гусман Хасаншин</t>
        </is>
      </c>
      <c r="D330" s="3" t="n">
        <v>7920</v>
      </c>
      <c r="E330" s="4" t="n">
        <v>18</v>
      </c>
      <c r="F330" t="inlineStr">
        <is>
          <t>Яндекс.Путешествия [Чайковский]</t>
        </is>
      </c>
      <c r="G330" s="3">
        <f>ROUND(D330/(100-E330)*100,2)</f>
        <v/>
      </c>
      <c r="H330" s="3" t="n">
        <v>0</v>
      </c>
      <c r="I330" s="3">
        <f>ROUND(IF(ISNUMBER(AG330),AG330,G330)+H330,2)</f>
        <v/>
      </c>
      <c r="J330" s="2" t="inlineStr">
        <is>
          <t>Завтрак "Шведский стол"</t>
        </is>
      </c>
      <c r="K330" s="5" t="n">
        <v>46222.58333333334</v>
      </c>
      <c r="L330" t="n">
        <v>1</v>
      </c>
      <c r="M330" s="3">
        <f>I330/L330</f>
        <v/>
      </c>
      <c r="N330">
        <f>IF(M330&gt;=5100,"ставка","мин.ставка")</f>
        <v/>
      </c>
      <c r="O330" s="3">
        <f>ROUND(IF(N330="мин.ставка",L330*100,I330/102*2),2)</f>
        <v/>
      </c>
      <c r="P330" s="5" t="n">
        <v>46223.5</v>
      </c>
      <c r="Q330" t="inlineStr">
        <is>
          <t>TravelLine YAX</t>
        </is>
      </c>
      <c r="R330" s="2" t="inlineStr">
        <is>
          <t>СТАНДАРТНЫЙ ДВУХМЕСТНЫЙ НОМЕР (МАНСАРДА)</t>
        </is>
      </c>
      <c r="S330" t="n">
        <v>43</v>
      </c>
      <c r="T330" t="n">
        <v>1</v>
      </c>
      <c r="U330" t="inlineStr"/>
      <c r="V330" t="inlineStr">
        <is>
          <t>Тариф с завтраком</t>
        </is>
      </c>
      <c r="W330" t="n">
        <v>7920</v>
      </c>
      <c r="X330" s="3" t="n">
        <v>1980</v>
      </c>
      <c r="Y330" t="inlineStr">
        <is>
          <t>20%</t>
        </is>
      </c>
      <c r="Z330" t="inlineStr">
        <is>
          <t>2026-07-19</t>
        </is>
      </c>
      <c r="AA330" s="3" t="n">
        <v>7920</v>
      </c>
      <c r="AB330" t="inlineStr">
        <is>
          <t>Сошлось по ночным тарифам</t>
        </is>
      </c>
      <c r="AC330" s="2" t="inlineStr"/>
      <c r="AD330" t="n">
        <v>1980</v>
      </c>
      <c r="AE330" t="n">
        <v>0</v>
      </c>
      <c r="AF330" t="inlineStr">
        <is>
          <t>Скидка добавлена к налоговой базе</t>
        </is>
      </c>
      <c r="AG330" t="n">
        <v>9900</v>
      </c>
      <c r="AH330" t="n">
        <v>7920</v>
      </c>
      <c r="AI330" t="inlineStr">
        <is>
          <t>Полное проживание в выбранном периоде</t>
        </is>
      </c>
    </row>
    <row r="331">
      <c r="A331" t="inlineStr">
        <is>
          <t>20260918-8186-466778125</t>
        </is>
      </c>
      <c r="B331" t="n">
        <v>1</v>
      </c>
      <c r="C331" s="2" t="inlineStr">
        <is>
          <t>Георги Гасиев, Айдар Иксанов</t>
        </is>
      </c>
      <c r="D331" s="3" t="n">
        <v>9375</v>
      </c>
      <c r="E331" s="4" t="n">
        <v>18</v>
      </c>
      <c r="F331" t="inlineStr">
        <is>
          <t>Яндекс.Путешествия [Чайковский]</t>
        </is>
      </c>
      <c r="G331" s="3">
        <f>ROUND(D331/(100-E331)*100,2)</f>
        <v/>
      </c>
      <c r="H331" s="3" t="n">
        <v>0</v>
      </c>
      <c r="I331" s="3">
        <f>ROUND(IF(ISNUMBER(AG331),AG331,G331)+H331,2)</f>
        <v/>
      </c>
      <c r="J331" s="2" t="inlineStr"/>
      <c r="K331" s="5" t="n">
        <v>46283.58333333334</v>
      </c>
      <c r="L331" t="n">
        <v>1</v>
      </c>
      <c r="M331" s="3">
        <f>I331/L331</f>
        <v/>
      </c>
      <c r="N331">
        <f>IF(M331&gt;=5100,"ставка","мин.ставка")</f>
        <v/>
      </c>
      <c r="O331" s="3">
        <f>ROUND(IF(N331="мин.ставка",L331*100,I331/102*2),2)</f>
        <v/>
      </c>
      <c r="P331" s="5" t="n">
        <v>46284.5</v>
      </c>
      <c r="Q331" t="inlineStr">
        <is>
          <t>TravelLine YAX</t>
        </is>
      </c>
      <c r="R331" s="2" t="inlineStr">
        <is>
          <t>СЕМЕЙНЫЙ НОМЕР КАТЕГОРИИ "СТАНДАРТ" ВТОРОЙ КОРПУС</t>
        </is>
      </c>
      <c r="S331" t="n">
        <v>51</v>
      </c>
      <c r="T331" t="n">
        <v>2</v>
      </c>
      <c r="U331" t="inlineStr"/>
      <c r="V331" t="inlineStr">
        <is>
          <t>Основной тариф без завтрака</t>
        </is>
      </c>
      <c r="W331" t="n">
        <v>9375</v>
      </c>
      <c r="X331" s="3" t="n">
        <v>3125</v>
      </c>
      <c r="Y331" t="inlineStr">
        <is>
          <t>25%</t>
        </is>
      </c>
      <c r="Z331" t="inlineStr">
        <is>
          <t>2026-09-18</t>
        </is>
      </c>
      <c r="AA331" s="3" t="n">
        <v>9375</v>
      </c>
      <c r="AB331" t="inlineStr">
        <is>
          <t>Сошлось по ночным тарифам</t>
        </is>
      </c>
      <c r="AC331" s="2" t="inlineStr"/>
      <c r="AD331" t="n">
        <v>3125</v>
      </c>
      <c r="AE331" t="n">
        <v>0</v>
      </c>
      <c r="AF331" t="inlineStr">
        <is>
          <t>Скидка добавлена к налоговой базе</t>
        </is>
      </c>
      <c r="AG331" t="n">
        <v>12500</v>
      </c>
      <c r="AH331" t="n">
        <v>9375</v>
      </c>
      <c r="AI331" t="inlineStr">
        <is>
          <t>Полное проживание в выбранном периоде</t>
        </is>
      </c>
    </row>
    <row r="332">
      <c r="A332" t="inlineStr">
        <is>
          <t>20260927-8186-468595858</t>
        </is>
      </c>
      <c r="B332" t="n">
        <v>1</v>
      </c>
      <c r="C332" s="2" t="inlineStr">
        <is>
          <t>ГЛЕБ КРЫЛОВ, ДАРЬЯ КРЫЛОВА</t>
        </is>
      </c>
      <c r="D332" s="3" t="n">
        <v>55440</v>
      </c>
      <c r="E332" s="4" t="n">
        <v>16</v>
      </c>
      <c r="F332" t="inlineStr">
        <is>
          <t>ООО "БРОНИРОВАНИЕ ГОСТИНИЦ" (OSTROVOK) [Чайковский]</t>
        </is>
      </c>
      <c r="G332" s="3">
        <f>ROUND(D332/(100-E332)*100,2)</f>
        <v/>
      </c>
      <c r="H332" s="3" t="n">
        <v>0</v>
      </c>
      <c r="I332" s="3">
        <f>ROUND(IF(ISNUMBER(AG332),AG332,G332)+H332,2)</f>
        <v/>
      </c>
      <c r="J332" s="2" t="inlineStr">
        <is>
          <t>Завтрак "Шведский стол"</t>
        </is>
      </c>
      <c r="K332" s="5" t="n">
        <v>46292.58333333334</v>
      </c>
      <c r="L332" t="n">
        <v>4</v>
      </c>
      <c r="M332" s="3">
        <f>I332/L332</f>
        <v/>
      </c>
      <c r="N332">
        <f>IF(M332&gt;=5100,"ставка","мин.ставка")</f>
        <v/>
      </c>
      <c r="O332" s="3">
        <f>ROUND(IF(N332="мин.ставка",L332*100,I332/102*2),2)</f>
        <v/>
      </c>
      <c r="P332" s="5" t="n">
        <v>46296.5</v>
      </c>
      <c r="Q332" t="inlineStr">
        <is>
          <t>TravelLine OTK</t>
        </is>
      </c>
      <c r="R332" s="2" t="inlineStr">
        <is>
          <t>ПОЛУЛЮКС</t>
        </is>
      </c>
      <c r="S332" t="n">
        <v>11</v>
      </c>
      <c r="T332" t="n">
        <v>1</v>
      </c>
      <c r="U332" t="inlineStr"/>
      <c r="V332" t="inlineStr">
        <is>
          <t>Тариф с завтраком</t>
        </is>
      </c>
      <c r="W332" t="n">
        <v>55440</v>
      </c>
      <c r="X332" s="3" t="n">
        <v>10560</v>
      </c>
      <c r="Y332" t="inlineStr">
        <is>
          <t>16%</t>
        </is>
      </c>
      <c r="Z332" t="inlineStr">
        <is>
          <t>2026-09-27, 2026-09-28, 2026-09-29, 2026-09-30</t>
        </is>
      </c>
      <c r="AA332" s="3" t="n">
        <v>55440</v>
      </c>
      <c r="AB332" t="inlineStr">
        <is>
          <t>Сошлось по ночным тарифам</t>
        </is>
      </c>
      <c r="AC332" s="2" t="inlineStr"/>
      <c r="AD332" t="n">
        <v>10560</v>
      </c>
      <c r="AE332" t="n">
        <v>0</v>
      </c>
      <c r="AF332" t="inlineStr">
        <is>
          <t>Скидка добавлена к налоговой базе</t>
        </is>
      </c>
      <c r="AG332" t="n">
        <v>66000</v>
      </c>
      <c r="AH332" t="n">
        <v>55440</v>
      </c>
      <c r="AI332" t="inlineStr">
        <is>
          <t>Полное проживание в выбранном периоде</t>
        </is>
      </c>
    </row>
    <row r="333">
      <c r="A333" t="inlineStr">
        <is>
          <t>20260811-8186-457781287</t>
        </is>
      </c>
      <c r="B333" t="n">
        <v>1</v>
      </c>
      <c r="C333" s="2" t="inlineStr">
        <is>
          <t>ГЛЕБ УХАНОВ</t>
        </is>
      </c>
      <c r="D333" s="3" t="n">
        <v>12035</v>
      </c>
      <c r="E333" s="4" t="n">
        <v>0</v>
      </c>
      <c r="F333" t="inlineStr">
        <is>
          <t>Прямые бронирования (стойка) [Чайковский]</t>
        </is>
      </c>
      <c r="G333" s="3">
        <f>ROUND(D333/(100-E333)*100,2)</f>
        <v/>
      </c>
      <c r="H333" s="3" t="n">
        <v>0</v>
      </c>
      <c r="I333" s="3">
        <f>ROUND(IF(ISNUMBER(AG333),AG333,G333)+H333,2)</f>
        <v/>
      </c>
      <c r="J333" s="2" t="inlineStr">
        <is>
          <t>Завтрак "Шведский стол"</t>
        </is>
      </c>
      <c r="K333" s="5" t="n">
        <v>46245.58333333334</v>
      </c>
      <c r="L333" t="n">
        <v>1</v>
      </c>
      <c r="M333" s="3">
        <f>I333/L333</f>
        <v/>
      </c>
      <c r="N333">
        <f>IF(M333&gt;=5100,"ставка","мин.ставка")</f>
        <v/>
      </c>
      <c r="O333" s="3">
        <f>ROUND(IF(N333="мин.ставка",L333*100,I333/102*2),2)</f>
        <v/>
      </c>
      <c r="P333" s="5" t="n">
        <v>46246.5</v>
      </c>
      <c r="Q333" t="inlineStr">
        <is>
          <t>TravelLine CMB</t>
        </is>
      </c>
      <c r="R333" s="2" t="inlineStr">
        <is>
          <t>ПОЛУЛЮКС</t>
        </is>
      </c>
      <c r="S333" t="n">
        <v>25</v>
      </c>
      <c r="T333" t="n">
        <v>1</v>
      </c>
      <c r="U333" t="inlineStr"/>
      <c r="V333" t="inlineStr">
        <is>
          <t>Тариф с завтраком</t>
        </is>
      </c>
      <c r="W333" t="n">
        <v>12035</v>
      </c>
      <c r="X333" s="3" t="n">
        <v>2465</v>
      </c>
      <c r="Y333" t="inlineStr">
        <is>
          <t>17%</t>
        </is>
      </c>
      <c r="Z333" t="inlineStr">
        <is>
          <t>2026-08-11</t>
        </is>
      </c>
      <c r="AA333" s="3" t="n">
        <v>12035</v>
      </c>
      <c r="AB333" t="inlineStr">
        <is>
          <t>Сошлось по ночным тарифам</t>
        </is>
      </c>
      <c r="AC333" s="2" t="inlineStr"/>
      <c r="AD333" t="n">
        <v>2465</v>
      </c>
      <c r="AE333" t="n">
        <v>0</v>
      </c>
      <c r="AF333" t="inlineStr">
        <is>
          <t>Скидка добавлена к налоговой базе</t>
        </is>
      </c>
      <c r="AG333" t="n">
        <v>14500</v>
      </c>
      <c r="AH333" t="n">
        <v>12035</v>
      </c>
      <c r="AI333" t="inlineStr">
        <is>
          <t>Полное проживание в выбранном периоде</t>
        </is>
      </c>
    </row>
    <row r="334">
      <c r="A334" t="inlineStr">
        <is>
          <t>20260809-8186-447790512</t>
        </is>
      </c>
      <c r="B334" t="n">
        <v>1</v>
      </c>
      <c r="C334" s="2" t="inlineStr">
        <is>
          <t>Гульнара Булавлёва, Антон Булавлёв</t>
        </is>
      </c>
      <c r="D334" s="3" t="n">
        <v>22695</v>
      </c>
      <c r="E334" s="4" t="n">
        <v>15</v>
      </c>
      <c r="F334" t="inlineStr">
        <is>
          <t>ООО Тинькофф Путешествия [Чайковский]</t>
        </is>
      </c>
      <c r="G334" s="3">
        <f>ROUND(D334/(100-E334)*100,2)</f>
        <v/>
      </c>
      <c r="H334" s="3" t="n">
        <v>0</v>
      </c>
      <c r="I334" s="3">
        <f>ROUND(IF(ISNUMBER(AG334),AG334,G334)+H334,2)</f>
        <v/>
      </c>
      <c r="J334" s="2" t="inlineStr">
        <is>
          <t>Завтрак "Шведский стол"</t>
        </is>
      </c>
      <c r="K334" s="5" t="n">
        <v>46243.58333333334</v>
      </c>
      <c r="L334" t="n">
        <v>2</v>
      </c>
      <c r="M334" s="3">
        <f>I334/L334</f>
        <v/>
      </c>
      <c r="N334">
        <f>IF(M334&gt;=5100,"ставка","мин.ставка")</f>
        <v/>
      </c>
      <c r="O334" s="3">
        <f>ROUND(IF(N334="мин.ставка",L334*100,I334/102*2),2)</f>
        <v/>
      </c>
      <c r="P334" s="5" t="n">
        <v>46245.5</v>
      </c>
      <c r="Q334" t="inlineStr">
        <is>
          <t>TravelLine TNK</t>
        </is>
      </c>
      <c r="R334" s="2" t="inlineStr">
        <is>
          <t>СТАНДАРТНЫЙ ДВУХМЕСТНЫЙ НОМЕР</t>
        </is>
      </c>
      <c r="S334" t="n">
        <v>22</v>
      </c>
      <c r="T334" t="n">
        <v>1</v>
      </c>
      <c r="U334" t="inlineStr"/>
      <c r="V334" t="inlineStr">
        <is>
          <t>Тариф с завтраком</t>
        </is>
      </c>
      <c r="W334" t="n">
        <v>22695</v>
      </c>
      <c r="X334" s="3" t="n">
        <v>4005</v>
      </c>
      <c r="Y334" t="inlineStr">
        <is>
          <t>15%</t>
        </is>
      </c>
      <c r="Z334" t="inlineStr">
        <is>
          <t>2026-08-09, 2026-08-10</t>
        </is>
      </c>
      <c r="AA334" s="3" t="n">
        <v>22695</v>
      </c>
      <c r="AB334" t="inlineStr">
        <is>
          <t>Сошлось по ночным тарифам</t>
        </is>
      </c>
      <c r="AC334" s="2" t="inlineStr"/>
      <c r="AD334" t="n">
        <v>4005</v>
      </c>
      <c r="AE334" t="n">
        <v>0</v>
      </c>
      <c r="AF334" t="inlineStr">
        <is>
          <t>Скидка добавлена к налоговой базе</t>
        </is>
      </c>
      <c r="AG334" t="n">
        <v>26700</v>
      </c>
      <c r="AH334" t="n">
        <v>22695</v>
      </c>
      <c r="AI334" t="inlineStr">
        <is>
          <t>Полное проживание в выбранном периоде</t>
        </is>
      </c>
    </row>
    <row r="335">
      <c r="A335" t="inlineStr">
        <is>
          <t>20260726-8186-453190843</t>
        </is>
      </c>
      <c r="B335" t="n">
        <v>1</v>
      </c>
      <c r="C335" s="2" t="inlineStr">
        <is>
          <t>Дамир Мерсаитов, Алиса Левина</t>
        </is>
      </c>
      <c r="D335" s="3" t="n">
        <v>9265</v>
      </c>
      <c r="E335" s="4" t="n">
        <v>15</v>
      </c>
      <c r="F335" t="inlineStr">
        <is>
          <t>ООО "БРОНИРОВАНИЕ ГОСТИНИЦ" (OSTROVOK) [Чайковский]</t>
        </is>
      </c>
      <c r="G335" s="3">
        <f>ROUND(D335/(100-E335)*100,2)</f>
        <v/>
      </c>
      <c r="H335" s="3" t="n">
        <v>0</v>
      </c>
      <c r="I335" s="3">
        <f>ROUND(IF(ISNUMBER(AG335),AG335,G335)+H335,2)</f>
        <v/>
      </c>
      <c r="J335" s="2" t="inlineStr">
        <is>
          <t>Завтрак "Шведский стол"</t>
        </is>
      </c>
      <c r="K335" s="5" t="n">
        <v>46229.58333333334</v>
      </c>
      <c r="L335" t="n">
        <v>1</v>
      </c>
      <c r="M335" s="3">
        <f>I335/L335</f>
        <v/>
      </c>
      <c r="N335">
        <f>IF(M335&gt;=5100,"ставка","мин.ставка")</f>
        <v/>
      </c>
      <c r="O335" s="3">
        <f>ROUND(IF(N335="мин.ставка",L335*100,I335/102*2),2)</f>
        <v/>
      </c>
      <c r="P335" s="5" t="n">
        <v>46230.5</v>
      </c>
      <c r="Q335" t="inlineStr">
        <is>
          <t>TravelLine OTK</t>
        </is>
      </c>
      <c r="R335" s="2" t="inlineStr">
        <is>
          <t>СТАНДАРТНЫЙ ДВУХМЕСТНЫЙ НОМЕР</t>
        </is>
      </c>
      <c r="S335" t="n">
        <v>22</v>
      </c>
      <c r="T335" t="n">
        <v>1</v>
      </c>
      <c r="U335" t="inlineStr"/>
      <c r="V335" t="inlineStr">
        <is>
          <t>Тариф с завтраком</t>
        </is>
      </c>
      <c r="W335" t="n">
        <v>9265</v>
      </c>
      <c r="X335" s="3" t="n">
        <v>1635</v>
      </c>
      <c r="Y335" t="inlineStr">
        <is>
          <t>15%</t>
        </is>
      </c>
      <c r="Z335" t="inlineStr">
        <is>
          <t>2026-07-26</t>
        </is>
      </c>
      <c r="AA335" s="3" t="n">
        <v>9265</v>
      </c>
      <c r="AB335" t="inlineStr">
        <is>
          <t>Сошлось по ночным тарифам</t>
        </is>
      </c>
      <c r="AC335" s="2" t="inlineStr"/>
      <c r="AD335" t="n">
        <v>1635</v>
      </c>
      <c r="AE335" t="n">
        <v>0</v>
      </c>
      <c r="AF335" t="inlineStr">
        <is>
          <t>Скидка добавлена к налоговой базе</t>
        </is>
      </c>
      <c r="AG335" t="n">
        <v>10900</v>
      </c>
      <c r="AH335" t="n">
        <v>9265</v>
      </c>
      <c r="AI335" t="inlineStr">
        <is>
          <t>Полное проживание в выбранном периоде</t>
        </is>
      </c>
    </row>
    <row r="336">
      <c r="A336" t="inlineStr">
        <is>
          <t>20260826-8186-461708579</t>
        </is>
      </c>
      <c r="B336" t="n">
        <v>1</v>
      </c>
      <c r="C336" s="2" t="inlineStr">
        <is>
          <t>ДАНИИЛ КАПЛАН</t>
        </is>
      </c>
      <c r="D336" s="3" t="n">
        <v>9080</v>
      </c>
      <c r="E336" s="4" t="n">
        <v>20</v>
      </c>
      <c r="F336" t="inlineStr">
        <is>
          <t>ООО "ХБ-ПРО" [Чайковский]</t>
        </is>
      </c>
      <c r="G336" s="3">
        <f>ROUND(D336/(100-E336)*100,2)</f>
        <v/>
      </c>
      <c r="H336" s="3" t="n">
        <v>0</v>
      </c>
      <c r="I336" s="3">
        <f>ROUND(IF(ISNUMBER(AG336),AG336,G336)+H336,2)</f>
        <v/>
      </c>
      <c r="J336" s="2" t="inlineStr">
        <is>
          <t>Завтрак "Шведский стол"</t>
        </is>
      </c>
      <c r="K336" s="5" t="n">
        <v>46260.58333333334</v>
      </c>
      <c r="L336" t="n">
        <v>1</v>
      </c>
      <c r="M336" s="3">
        <f>I336/L336</f>
        <v/>
      </c>
      <c r="N336">
        <f>IF(M336&gt;=5100,"ставка","мин.ставка")</f>
        <v/>
      </c>
      <c r="O336" s="3">
        <f>ROUND(IF(N336="мин.ставка",L336*100,I336/102*2),2)</f>
        <v/>
      </c>
      <c r="P336" s="5" t="n">
        <v>46261.5</v>
      </c>
      <c r="Q336" t="inlineStr">
        <is>
          <t>TravelLine UTS</t>
        </is>
      </c>
      <c r="R336" s="2" t="inlineStr">
        <is>
          <t>ПОЛУЛЮКС</t>
        </is>
      </c>
      <c r="S336" t="n">
        <v>11</v>
      </c>
      <c r="T336" t="n">
        <v>1</v>
      </c>
      <c r="U336" t="inlineStr"/>
      <c r="V336" t="inlineStr">
        <is>
          <t>Тариф с завтраком</t>
        </is>
      </c>
      <c r="W336" t="n">
        <v>9080</v>
      </c>
      <c r="X336" s="3" t="n">
        <v>0</v>
      </c>
      <c r="Y336" t="inlineStr"/>
      <c r="Z336" t="inlineStr"/>
      <c r="AA336" s="3" t="n">
        <v>9080</v>
      </c>
      <c r="AB336" t="inlineStr">
        <is>
          <t>Сошлось по ночным тарифам</t>
        </is>
      </c>
      <c r="AC336" s="2" t="inlineStr"/>
      <c r="AD336" t="n">
        <v>0</v>
      </c>
      <c r="AE336" t="n">
        <v>0</v>
      </c>
      <c r="AF336" t="inlineStr">
        <is>
          <t>Скидки нет</t>
        </is>
      </c>
      <c r="AG336" t="n">
        <v>9080</v>
      </c>
      <c r="AH336" t="n">
        <v>9080</v>
      </c>
      <c r="AI336" t="inlineStr">
        <is>
          <t>Полное проживание в выбранном периоде</t>
        </is>
      </c>
    </row>
    <row r="337">
      <c r="A337" t="inlineStr">
        <is>
          <t>20260902-8186-455809317</t>
        </is>
      </c>
      <c r="B337" t="n">
        <v>1</v>
      </c>
      <c r="C337" s="2" t="inlineStr">
        <is>
          <t>ДАНИИЛ НИКОЛАЕВ</t>
        </is>
      </c>
      <c r="D337" s="3" t="n">
        <v>18160</v>
      </c>
      <c r="E337" s="4" t="n">
        <v>20</v>
      </c>
      <c r="F337" t="inlineStr">
        <is>
          <t>ООО "ХБ-ПРО" [Чайковский]</t>
        </is>
      </c>
      <c r="G337" s="3">
        <f>ROUND(D337/(100-E337)*100,2)</f>
        <v/>
      </c>
      <c r="H337" s="3" t="n">
        <v>0</v>
      </c>
      <c r="I337" s="3">
        <f>ROUND(IF(ISNUMBER(AG337),AG337,G337)+H337,2)</f>
        <v/>
      </c>
      <c r="J337" s="2" t="inlineStr">
        <is>
          <t>Завтрак "Шведский стол"</t>
        </is>
      </c>
      <c r="K337" s="5" t="n">
        <v>46267.58333333334</v>
      </c>
      <c r="L337" t="n">
        <v>2</v>
      </c>
      <c r="M337" s="3">
        <f>I337/L337</f>
        <v/>
      </c>
      <c r="N337">
        <f>IF(M337&gt;=5100,"ставка","мин.ставка")</f>
        <v/>
      </c>
      <c r="O337" s="3">
        <f>ROUND(IF(N337="мин.ставка",L337*100,I337/102*2),2)</f>
        <v/>
      </c>
      <c r="P337" s="5" t="n">
        <v>46269.5</v>
      </c>
      <c r="Q337" t="inlineStr">
        <is>
          <t>TravelLine UTS</t>
        </is>
      </c>
      <c r="R337" s="2" t="inlineStr">
        <is>
          <t>СТАНДАРТНЫЙ ДВУХМЕСТНЫЙ НОМЕР</t>
        </is>
      </c>
      <c r="S337" t="n">
        <v>32</v>
      </c>
      <c r="T337" t="n">
        <v>1</v>
      </c>
      <c r="U337" t="inlineStr"/>
      <c r="V337" t="inlineStr">
        <is>
          <t>Тариф с завтраком</t>
        </is>
      </c>
      <c r="W337" t="n">
        <v>18160</v>
      </c>
      <c r="X337" s="3" t="n">
        <v>0</v>
      </c>
      <c r="Y337" t="inlineStr"/>
      <c r="Z337" t="inlineStr"/>
      <c r="AA337" s="3" t="n">
        <v>18160</v>
      </c>
      <c r="AB337" t="inlineStr">
        <is>
          <t>Сошлось по ночным тарифам</t>
        </is>
      </c>
      <c r="AC337" s="2" t="inlineStr"/>
      <c r="AD337" t="n">
        <v>0</v>
      </c>
      <c r="AE337" t="n">
        <v>0</v>
      </c>
      <c r="AF337" t="inlineStr">
        <is>
          <t>Скидки нет</t>
        </is>
      </c>
      <c r="AG337" t="n">
        <v>18160</v>
      </c>
      <c r="AH337" t="n">
        <v>18160</v>
      </c>
      <c r="AI337" t="inlineStr">
        <is>
          <t>Полное проживание в выбранном периоде</t>
        </is>
      </c>
    </row>
    <row r="338">
      <c r="A338" t="inlineStr">
        <is>
          <t>20260807-8186-414520274</t>
        </is>
      </c>
      <c r="B338" t="n">
        <v>1</v>
      </c>
      <c r="C338" s="2" t="inlineStr">
        <is>
          <t>Даниил Чернышов, Анастасия Басанец</t>
        </is>
      </c>
      <c r="D338" s="3" t="n">
        <v>29548</v>
      </c>
      <c r="E338" s="4" t="n">
        <v>17</v>
      </c>
      <c r="F338" t="inlineStr">
        <is>
          <t>ООО «Интернет Трэвел» (OZON) [Чайковский]</t>
        </is>
      </c>
      <c r="G338" s="3">
        <f>ROUND(D338/(100-E338)*100,2)</f>
        <v/>
      </c>
      <c r="H338" s="3" t="n">
        <v>0</v>
      </c>
      <c r="I338" s="3">
        <f>ROUND(IF(ISNUMBER(AG338),AG338,G338)+H338,2)</f>
        <v/>
      </c>
      <c r="J338" s="2" t="inlineStr">
        <is>
          <t>Завтрак "Шведский стол"</t>
        </is>
      </c>
      <c r="K338" s="5" t="n">
        <v>46241.58333333334</v>
      </c>
      <c r="L338" t="n">
        <v>2</v>
      </c>
      <c r="M338" s="3">
        <f>I338/L338</f>
        <v/>
      </c>
      <c r="N338">
        <f>IF(M338&gt;=5100,"ставка","мин.ставка")</f>
        <v/>
      </c>
      <c r="O338" s="3">
        <f>ROUND(IF(N338="мин.ставка",L338*100,I338/102*2),2)</f>
        <v/>
      </c>
      <c r="P338" s="5" t="n">
        <v>46243.5</v>
      </c>
      <c r="Q338" t="inlineStr">
        <is>
          <t>TravelLine OZ2</t>
        </is>
      </c>
      <c r="R338" s="2" t="inlineStr">
        <is>
          <t>ЛЮКС</t>
        </is>
      </c>
      <c r="S338" t="n">
        <v>57</v>
      </c>
      <c r="T338" t="n">
        <v>2</v>
      </c>
      <c r="U338" t="inlineStr"/>
      <c r="V338" t="inlineStr">
        <is>
          <t>Тариф с завтраком</t>
        </is>
      </c>
      <c r="W338" t="n">
        <v>29548</v>
      </c>
      <c r="X338" s="3" t="n">
        <v>6052</v>
      </c>
      <c r="Y338" t="inlineStr">
        <is>
          <t>17%</t>
        </is>
      </c>
      <c r="Z338" t="inlineStr">
        <is>
          <t>2026-08-07, 2026-08-08</t>
        </is>
      </c>
      <c r="AA338" s="3" t="n">
        <v>29548</v>
      </c>
      <c r="AB338" t="inlineStr">
        <is>
          <t>Сошлось по ночным тарифам</t>
        </is>
      </c>
      <c r="AC338" s="2" t="inlineStr"/>
      <c r="AD338" t="n">
        <v>6052</v>
      </c>
      <c r="AE338" t="n">
        <v>0</v>
      </c>
      <c r="AF338" t="inlineStr">
        <is>
          <t>Скидка добавлена к налоговой базе</t>
        </is>
      </c>
      <c r="AG338" t="n">
        <v>35600</v>
      </c>
      <c r="AH338" t="n">
        <v>29548</v>
      </c>
      <c r="AI338" t="inlineStr">
        <is>
          <t>Полное проживание в выбранном периоде</t>
        </is>
      </c>
    </row>
    <row r="339">
      <c r="A339" t="inlineStr">
        <is>
          <t>20260831-8186-462238401</t>
        </is>
      </c>
      <c r="B339" t="n">
        <v>1</v>
      </c>
      <c r="C339" s="2" t="inlineStr">
        <is>
          <t>Даниил Чугунов</t>
        </is>
      </c>
      <c r="D339" s="3" t="n">
        <v>5687.99</v>
      </c>
      <c r="E339" s="4" t="n">
        <v>17</v>
      </c>
      <c r="F339" t="inlineStr">
        <is>
          <t>ООО «Интернет Трэвел» (OZON) [Чайковский]</t>
        </is>
      </c>
      <c r="G339" s="3">
        <f>ROUND(D339/(100-E339)*100,2)</f>
        <v/>
      </c>
      <c r="H339" s="3" t="n">
        <v>0</v>
      </c>
      <c r="I339" s="3">
        <f>ROUND(IF(ISNUMBER(AG339),AG339,G339)+H339,2)</f>
        <v/>
      </c>
      <c r="J339" s="2" t="inlineStr">
        <is>
          <t>Завтрак "Шведский стол"</t>
        </is>
      </c>
      <c r="K339" s="5" t="n">
        <v>46265.58333333334</v>
      </c>
      <c r="L339" t="n">
        <v>1</v>
      </c>
      <c r="M339" s="3">
        <f>I339/L339</f>
        <v/>
      </c>
      <c r="N339">
        <f>IF(M339&gt;=5100,"ставка","мин.ставка")</f>
        <v/>
      </c>
      <c r="O339" s="3">
        <f>ROUND(IF(N339="мин.ставка",L339*100,I339/102*2),2)</f>
        <v/>
      </c>
      <c r="P339" s="5" t="n">
        <v>46266.5</v>
      </c>
      <c r="Q339" t="inlineStr">
        <is>
          <t>TravelLine OZ2</t>
        </is>
      </c>
      <c r="R339" s="2" t="inlineStr">
        <is>
          <t>СТАНДАРТНЫЙ ДВУХМЕСТНЫЙ НОМЕР</t>
        </is>
      </c>
      <c r="S339" t="n">
        <v>36</v>
      </c>
      <c r="T339" t="n">
        <v>1</v>
      </c>
      <c r="U339" t="inlineStr"/>
      <c r="V339" t="inlineStr">
        <is>
          <t>Тариф с завтраком</t>
        </is>
      </c>
      <c r="W339" t="n">
        <v>5687.99</v>
      </c>
      <c r="X339" s="3" t="n">
        <v>1165.01</v>
      </c>
      <c r="Y339" t="inlineStr">
        <is>
          <t>17%</t>
        </is>
      </c>
      <c r="Z339" t="inlineStr">
        <is>
          <t>2026-08-31</t>
        </is>
      </c>
      <c r="AA339" s="3" t="n">
        <v>5687.99</v>
      </c>
      <c r="AB339" t="inlineStr">
        <is>
          <t>Сошлось по ночным тарифам</t>
        </is>
      </c>
      <c r="AC339" s="2" t="inlineStr"/>
      <c r="AD339" t="n">
        <v>1165.01</v>
      </c>
      <c r="AE339" t="n">
        <v>0</v>
      </c>
      <c r="AF339" t="inlineStr">
        <is>
          <t>Скидка добавлена к налоговой базе</t>
        </is>
      </c>
      <c r="AG339" t="n">
        <v>6853</v>
      </c>
      <c r="AH339" t="n">
        <v>5687.99</v>
      </c>
      <c r="AI339" t="inlineStr">
        <is>
          <t>Полное проживание в выбранном периоде</t>
        </is>
      </c>
    </row>
    <row r="340">
      <c r="A340" t="inlineStr">
        <is>
          <t>20260818-8186-458712643</t>
        </is>
      </c>
      <c r="B340" t="n">
        <v>1</v>
      </c>
      <c r="C340" s="2" t="inlineStr">
        <is>
          <t>Дарья Адамович</t>
        </is>
      </c>
      <c r="D340" s="3" t="n">
        <v>11020</v>
      </c>
      <c r="E340" s="4" t="n">
        <v>18</v>
      </c>
      <c r="F340" t="inlineStr">
        <is>
          <t>Яндекс.Путешествия [Чайковский]</t>
        </is>
      </c>
      <c r="G340" s="3">
        <f>ROUND(D340/(100-E340)*100,2)</f>
        <v/>
      </c>
      <c r="H340" s="3" t="n">
        <v>0</v>
      </c>
      <c r="I340" s="3">
        <f>ROUND(IF(ISNUMBER(AG340),AG340,G340)+H340,2)</f>
        <v/>
      </c>
      <c r="J340" s="2" t="inlineStr">
        <is>
          <t>Завтрак "Шведский стол"</t>
        </is>
      </c>
      <c r="K340" s="5" t="n">
        <v>46252.58333333334</v>
      </c>
      <c r="L340" t="n">
        <v>1</v>
      </c>
      <c r="M340" s="3">
        <f>I340/L340</f>
        <v/>
      </c>
      <c r="N340">
        <f>IF(M340&gt;=5100,"ставка","мин.ставка")</f>
        <v/>
      </c>
      <c r="O340" s="3">
        <f>ROUND(IF(N340="мин.ставка",L340*100,I340/102*2),2)</f>
        <v/>
      </c>
      <c r="P340" s="5" t="n">
        <v>46253.5</v>
      </c>
      <c r="Q340" t="inlineStr">
        <is>
          <t>TravelLine YAX</t>
        </is>
      </c>
      <c r="R340" s="2" t="inlineStr">
        <is>
          <t>ПОЛУЛЮКС</t>
        </is>
      </c>
      <c r="S340" t="n">
        <v>25</v>
      </c>
      <c r="T340" t="n">
        <v>1</v>
      </c>
      <c r="U340" t="inlineStr"/>
      <c r="V340" t="inlineStr">
        <is>
          <t>Тариф с завтраком</t>
        </is>
      </c>
      <c r="W340" t="n">
        <v>11020</v>
      </c>
      <c r="X340" s="3" t="n">
        <v>2755</v>
      </c>
      <c r="Y340" t="inlineStr">
        <is>
          <t>20%</t>
        </is>
      </c>
      <c r="Z340" t="inlineStr">
        <is>
          <t>2026-08-18</t>
        </is>
      </c>
      <c r="AA340" s="3" t="n">
        <v>11020</v>
      </c>
      <c r="AB340" t="inlineStr">
        <is>
          <t>Сошлось по ночным тарифам</t>
        </is>
      </c>
      <c r="AC340" s="2" t="inlineStr"/>
      <c r="AD340" t="n">
        <v>2755</v>
      </c>
      <c r="AE340" t="n">
        <v>0</v>
      </c>
      <c r="AF340" t="inlineStr">
        <is>
          <t>Скидка добавлена к налоговой базе</t>
        </is>
      </c>
      <c r="AG340" t="n">
        <v>13775</v>
      </c>
      <c r="AH340" t="n">
        <v>11020</v>
      </c>
      <c r="AI340" t="inlineStr">
        <is>
          <t>Полное проживание в выбранном периоде</t>
        </is>
      </c>
    </row>
    <row r="341">
      <c r="A341" t="inlineStr">
        <is>
          <t>20260910-8186-427551341</t>
        </is>
      </c>
      <c r="B341" t="n">
        <v>1</v>
      </c>
      <c r="C341" s="2" t="inlineStr">
        <is>
          <t>Дарья Гордеева, Дина Щербакова</t>
        </is>
      </c>
      <c r="D341" s="3" t="n">
        <v>36045</v>
      </c>
      <c r="E341" s="4" t="n">
        <v>0</v>
      </c>
      <c r="F341" t="inlineStr">
        <is>
          <t>Прямые бронирования (стойка) [Чайковский]</t>
        </is>
      </c>
      <c r="G341" s="3">
        <f>ROUND(D341/(100-E341)*100,2)</f>
        <v/>
      </c>
      <c r="H341" s="3" t="n">
        <v>0</v>
      </c>
      <c r="I341" s="3">
        <f>ROUND(IF(ISNUMBER(AG341),AG341,G341)+H341,2)</f>
        <v/>
      </c>
      <c r="J341" s="2" t="inlineStr">
        <is>
          <t>Завтрак "Шведский стол"</t>
        </is>
      </c>
      <c r="K341" s="5" t="n">
        <v>46275.58333333334</v>
      </c>
      <c r="L341" t="n">
        <v>3</v>
      </c>
      <c r="M341" s="3">
        <f>I341/L341</f>
        <v/>
      </c>
      <c r="N341">
        <f>IF(M341&gt;=5100,"ставка","мин.ставка")</f>
        <v/>
      </c>
      <c r="O341" s="3">
        <f>ROUND(IF(N341="мин.ставка",L341*100,I341/102*2),2)</f>
        <v/>
      </c>
      <c r="P341" s="5" t="n">
        <v>46278.5</v>
      </c>
      <c r="Q341" t="inlineStr">
        <is>
          <t>TravelLine ресепшен</t>
        </is>
      </c>
      <c r="R341" s="2" t="inlineStr">
        <is>
          <t>СТАНДАРТНЫЙ ДВУХМЕСТНЫЙ НОМЕР</t>
        </is>
      </c>
      <c r="S341" t="n">
        <v>26</v>
      </c>
      <c r="T341" t="n">
        <v>1</v>
      </c>
      <c r="U341" t="inlineStr"/>
      <c r="V341" t="inlineStr">
        <is>
          <t>Тариф с завтраком</t>
        </is>
      </c>
      <c r="W341" t="n">
        <v>216270</v>
      </c>
      <c r="X341" s="3" t="n">
        <v>4005</v>
      </c>
      <c r="Y341" t="inlineStr">
        <is>
          <t>10%</t>
        </is>
      </c>
      <c r="Z341" t="inlineStr">
        <is>
          <t>2026-09-10, 2026-09-11, 2026-09-12</t>
        </is>
      </c>
      <c r="AA341" s="3" t="n">
        <v>36045</v>
      </c>
      <c r="AB341" t="inlineStr">
        <is>
          <t>Сошлось по ночным тарифам</t>
        </is>
      </c>
      <c r="AC341" s="2" t="inlineStr"/>
      <c r="AD341" t="n">
        <v>4005</v>
      </c>
      <c r="AE341" t="n">
        <v>0</v>
      </c>
      <c r="AF341" t="inlineStr">
        <is>
          <t>Скидка добавлена к налоговой базе</t>
        </is>
      </c>
      <c r="AG341" t="n">
        <v>40050</v>
      </c>
      <c r="AH341" t="n">
        <v>36045</v>
      </c>
      <c r="AI341" t="inlineStr">
        <is>
          <t>Полное проживание в выбранном периоде</t>
        </is>
      </c>
    </row>
    <row r="342">
      <c r="A342" t="inlineStr">
        <is>
          <t>20260930-8186-461353021</t>
        </is>
      </c>
      <c r="B342" t="n">
        <v>1</v>
      </c>
      <c r="C342" s="2" t="inlineStr">
        <is>
          <t>ДАРЬЯ ДЕМЧЕНКО</t>
        </is>
      </c>
      <c r="D342" s="3" t="n">
        <v>12264</v>
      </c>
      <c r="E342" s="4" t="n">
        <v>16</v>
      </c>
      <c r="F342" t="inlineStr">
        <is>
          <t>ООО "БРОНИРОВАНИЕ ГОСТИНИЦ" (OSTROVOK) [Чайковский]</t>
        </is>
      </c>
      <c r="G342" s="3">
        <f>ROUND(D342/(100-E342)*100,2)</f>
        <v/>
      </c>
      <c r="H342" s="3" t="n">
        <v>0</v>
      </c>
      <c r="I342" s="3">
        <f>ROUND(IF(ISNUMBER(AG342),AG342,G342)+H342,2)</f>
        <v/>
      </c>
      <c r="J342" s="2" t="inlineStr"/>
      <c r="K342" s="5" t="n">
        <v>46295.58333333334</v>
      </c>
      <c r="L342" t="n">
        <v>1</v>
      </c>
      <c r="M342" s="3">
        <f>I342/L342</f>
        <v/>
      </c>
      <c r="N342">
        <f>IF(M342&gt;=5100,"ставка","мин.ставка")</f>
        <v/>
      </c>
      <c r="O342" s="3">
        <f>ROUND(IF(N342="мин.ставка",L342*100,I342/102*2),2)</f>
        <v/>
      </c>
      <c r="P342" s="5" t="n">
        <v>46297.5</v>
      </c>
      <c r="Q342" t="inlineStr">
        <is>
          <t>TravelLine OTK</t>
        </is>
      </c>
      <c r="R342" s="2" t="inlineStr">
        <is>
          <t>СТАНДАРТНЫЙ ОДНОМЕСТНЫЙ НОМЕР</t>
        </is>
      </c>
      <c r="S342" t="n">
        <v>24</v>
      </c>
      <c r="T342" t="n">
        <v>1</v>
      </c>
      <c r="U342" t="inlineStr"/>
      <c r="V342" t="inlineStr">
        <is>
          <t>Тариф с завтраком</t>
        </is>
      </c>
      <c r="W342" t="n">
        <v>12264</v>
      </c>
      <c r="X342" s="3" t="n">
        <v>2336</v>
      </c>
      <c r="Y342" t="inlineStr">
        <is>
          <t>16%</t>
        </is>
      </c>
      <c r="Z342" t="inlineStr">
        <is>
          <t>Не распределена по датам</t>
        </is>
      </c>
      <c r="AA342" s="3" t="n">
        <v>12264</v>
      </c>
      <c r="AB342" t="inlineStr">
        <is>
          <t>Сошлось по ночным тарифам</t>
        </is>
      </c>
      <c r="AC342" s="2" t="inlineStr"/>
      <c r="AD342" t="n">
        <v>0</v>
      </c>
      <c r="AE342" t="n">
        <v>0</v>
      </c>
      <c r="AF342" t="inlineStr">
        <is>
          <t>Частичный период: дата агрегированной скидки не определена; скидка не добавлена к базе</t>
        </is>
      </c>
      <c r="AG342" t="n">
        <v>6468</v>
      </c>
      <c r="AH342" t="n">
        <v>6468</v>
      </c>
      <c r="AI342" t="inlineStr">
        <is>
          <t>Частичное проживание распределено по dailyRates; скидка без даты не восстановлена</t>
        </is>
      </c>
    </row>
    <row r="343">
      <c r="A343" t="inlineStr">
        <is>
          <t>20260802-8186-428643420</t>
        </is>
      </c>
      <c r="B343" t="n">
        <v>1</v>
      </c>
      <c r="C343" s="2" t="inlineStr">
        <is>
          <t>Дарья Задорина, ДМИТРИЙ ЗАХАРОВ</t>
        </is>
      </c>
      <c r="D343" s="3" t="n">
        <v>91922.60000000001</v>
      </c>
      <c r="E343" s="4" t="n">
        <v>4</v>
      </c>
      <c r="F343" t="inlineStr">
        <is>
          <t>TravelLine Booking Engine [Чайковский]</t>
        </is>
      </c>
      <c r="G343" s="3">
        <f>ROUND(D343/(100-E343)*100,2)</f>
        <v/>
      </c>
      <c r="H343" s="3" t="n">
        <v>0</v>
      </c>
      <c r="I343" s="3">
        <f>ROUND(IF(ISNUMBER(AG343),AG343,G343)+H343,2)</f>
        <v/>
      </c>
      <c r="J343" s="2" t="inlineStr">
        <is>
          <t>Завтрак "Шведский стол"</t>
        </is>
      </c>
      <c r="K343" s="5" t="n">
        <v>46236.72916666666</v>
      </c>
      <c r="L343" t="n">
        <v>6</v>
      </c>
      <c r="M343" s="3">
        <f>I343/L343</f>
        <v/>
      </c>
      <c r="N343">
        <f>IF(M343&gt;=5100,"ставка","мин.ставка")</f>
        <v/>
      </c>
      <c r="O343" s="3">
        <f>ROUND(IF(N343="мин.ставка",L343*100,I343/102*2),2)</f>
        <v/>
      </c>
      <c r="P343" s="5" t="n">
        <v>46242.5</v>
      </c>
      <c r="Q343" t="inlineStr">
        <is>
          <t>TravelLine сайт</t>
        </is>
      </c>
      <c r="R343" s="2" t="inlineStr">
        <is>
          <t>УЛУЧШЕННЫЙ ДВУХМЕСТНЫЙ НОМЕР</t>
        </is>
      </c>
      <c r="S343" t="n">
        <v>31</v>
      </c>
      <c r="T343" t="n">
        <v>1</v>
      </c>
      <c r="U343" t="inlineStr"/>
      <c r="V343" t="inlineStr">
        <is>
          <t>Тариф с завтраком</t>
        </is>
      </c>
      <c r="W343" t="n">
        <v>91922.60000000001</v>
      </c>
      <c r="X343" s="3" t="n">
        <v>477.4</v>
      </c>
      <c r="Y343" t="inlineStr">
        <is>
          <t>3.1%</t>
        </is>
      </c>
      <c r="Z343" t="inlineStr">
        <is>
          <t>2026-08-02</t>
        </is>
      </c>
      <c r="AA343" s="3" t="n">
        <v>91922.60000000001</v>
      </c>
      <c r="AB343" t="inlineStr">
        <is>
          <t>Сошлось по ночным тарифам</t>
        </is>
      </c>
      <c r="AC343" s="2" t="inlineStr"/>
      <c r="AD343" t="n">
        <v>477.4</v>
      </c>
      <c r="AE343" t="n">
        <v>0</v>
      </c>
      <c r="AF343" t="inlineStr">
        <is>
          <t>Скидка добавлена к налоговой базе</t>
        </is>
      </c>
      <c r="AG343" t="n">
        <v>92400</v>
      </c>
      <c r="AH343" t="n">
        <v>91922.60000000001</v>
      </c>
      <c r="AI343" t="inlineStr">
        <is>
          <t>Полное проживание в выбранном периоде</t>
        </is>
      </c>
    </row>
    <row r="344">
      <c r="A344" t="inlineStr">
        <is>
          <t>20260717-8186-433932355</t>
        </is>
      </c>
      <c r="B344" t="n">
        <v>1</v>
      </c>
      <c r="C344" s="2" t="inlineStr">
        <is>
          <t>Дарья Кондрашина, ВЛАДИМИР ГУРИКОВ</t>
        </is>
      </c>
      <c r="D344" s="3" t="n">
        <v>22161</v>
      </c>
      <c r="E344" s="4" t="n">
        <v>17</v>
      </c>
      <c r="F344" t="inlineStr">
        <is>
          <t>ООО «Дубль Гис» (OTELLO) [Чайковский]</t>
        </is>
      </c>
      <c r="G344" s="3">
        <f>ROUND(D344/(100-E344)*100,2)</f>
        <v/>
      </c>
      <c r="H344" s="3" t="n">
        <v>0</v>
      </c>
      <c r="I344" s="3">
        <f>ROUND(IF(ISNUMBER(AG344),AG344,G344)+H344,2)</f>
        <v/>
      </c>
      <c r="J344" s="2" t="inlineStr">
        <is>
          <t>Завтрак "Шведский стол"</t>
        </is>
      </c>
      <c r="K344" s="5" t="n">
        <v>46220.58333333334</v>
      </c>
      <c r="L344" t="n">
        <v>2</v>
      </c>
      <c r="M344" s="3">
        <f>I344/L344</f>
        <v/>
      </c>
      <c r="N344">
        <f>IF(M344&gt;=5100,"ставка","мин.ставка")</f>
        <v/>
      </c>
      <c r="O344" s="3">
        <f>ROUND(IF(N344="мин.ставка",L344*100,I344/102*2),2)</f>
        <v/>
      </c>
      <c r="P344" s="5" t="n">
        <v>46222.5</v>
      </c>
      <c r="Q344" t="inlineStr">
        <is>
          <t>TravelLine OL2</t>
        </is>
      </c>
      <c r="R344" s="2" t="inlineStr">
        <is>
          <t>СТАНДАРТНЫЙ ДВУХМЕСТНЫЙ НОМЕР</t>
        </is>
      </c>
      <c r="S344" t="n">
        <v>23</v>
      </c>
      <c r="T344" t="n">
        <v>1</v>
      </c>
      <c r="U344" t="inlineStr"/>
      <c r="V344" t="inlineStr">
        <is>
          <t>Тариф с завтраком</t>
        </is>
      </c>
      <c r="W344" t="n">
        <v>22161</v>
      </c>
      <c r="X344" s="3" t="n">
        <v>4539</v>
      </c>
      <c r="Y344" t="inlineStr">
        <is>
          <t>17%</t>
        </is>
      </c>
      <c r="Z344" t="inlineStr">
        <is>
          <t>2026-07-17, 2026-07-18</t>
        </is>
      </c>
      <c r="AA344" s="3" t="n">
        <v>22161</v>
      </c>
      <c r="AB344" t="inlineStr">
        <is>
          <t>Сошлось по ночным тарифам</t>
        </is>
      </c>
      <c r="AC344" s="2" t="inlineStr"/>
      <c r="AD344" t="n">
        <v>4539</v>
      </c>
      <c r="AE344" t="n">
        <v>0</v>
      </c>
      <c r="AF344" t="inlineStr">
        <is>
          <t>Скидка добавлена к налоговой базе</t>
        </is>
      </c>
      <c r="AG344" t="n">
        <v>26700</v>
      </c>
      <c r="AH344" t="n">
        <v>22161</v>
      </c>
      <c r="AI344" t="inlineStr">
        <is>
          <t>Полное проживание в выбранном периоде</t>
        </is>
      </c>
    </row>
    <row r="345">
      <c r="A345" t="inlineStr">
        <is>
          <t>20260814-8186-430261857</t>
        </is>
      </c>
      <c r="B345" t="n">
        <v>1</v>
      </c>
      <c r="C345" s="2" t="inlineStr">
        <is>
          <t>Дарья Кучуб, Виктор Кучуб</t>
        </is>
      </c>
      <c r="D345" s="3" t="n">
        <v>22695</v>
      </c>
      <c r="E345" s="4" t="n">
        <v>15</v>
      </c>
      <c r="F345" t="inlineStr">
        <is>
          <t>ООО Тинькофф Путешествия [Чайковский]</t>
        </is>
      </c>
      <c r="G345" s="3">
        <f>ROUND(D345/(100-E345)*100,2)</f>
        <v/>
      </c>
      <c r="H345" s="3" t="n">
        <v>0</v>
      </c>
      <c r="I345" s="3">
        <f>ROUND(IF(ISNUMBER(AG345),AG345,G345)+H345,2)</f>
        <v/>
      </c>
      <c r="J345" s="2" t="inlineStr">
        <is>
          <t>Завтрак "Шведский стол"</t>
        </is>
      </c>
      <c r="K345" s="5" t="n">
        <v>46248.91666666666</v>
      </c>
      <c r="L345" t="n">
        <v>2</v>
      </c>
      <c r="M345" s="3">
        <f>I345/L345</f>
        <v/>
      </c>
      <c r="N345">
        <f>IF(M345&gt;=5100,"ставка","мин.ставка")</f>
        <v/>
      </c>
      <c r="O345" s="3">
        <f>ROUND(IF(N345="мин.ставка",L345*100,I345/102*2),2)</f>
        <v/>
      </c>
      <c r="P345" s="5" t="n">
        <v>46250.5</v>
      </c>
      <c r="Q345" t="inlineStr">
        <is>
          <t>TravelLine TNK</t>
        </is>
      </c>
      <c r="R345" s="2" t="inlineStr">
        <is>
          <t>СТАНДАРТНЫЙ ДВУХМЕСТНЫЙ НОМЕР</t>
        </is>
      </c>
      <c r="S345" t="n">
        <v>58</v>
      </c>
      <c r="T345" t="n">
        <v>2</v>
      </c>
      <c r="U345" t="inlineStr"/>
      <c r="V345" t="inlineStr">
        <is>
          <t>Тариф с завтраком</t>
        </is>
      </c>
      <c r="W345" t="n">
        <v>22695</v>
      </c>
      <c r="X345" s="3" t="n">
        <v>4005</v>
      </c>
      <c r="Y345" t="inlineStr">
        <is>
          <t>15%</t>
        </is>
      </c>
      <c r="Z345" t="inlineStr">
        <is>
          <t>2026-08-14, 2026-08-15</t>
        </is>
      </c>
      <c r="AA345" s="3" t="n">
        <v>22695</v>
      </c>
      <c r="AB345" t="inlineStr">
        <is>
          <t>Сошлось по ночным тарифам</t>
        </is>
      </c>
      <c r="AC345" s="2" t="inlineStr"/>
      <c r="AD345" t="n">
        <v>4005</v>
      </c>
      <c r="AE345" t="n">
        <v>0</v>
      </c>
      <c r="AF345" t="inlineStr">
        <is>
          <t>Скидка добавлена к налоговой базе</t>
        </is>
      </c>
      <c r="AG345" t="n">
        <v>26700</v>
      </c>
      <c r="AH345" t="n">
        <v>22695</v>
      </c>
      <c r="AI345" t="inlineStr">
        <is>
          <t>Полное проживание в выбранном периоде</t>
        </is>
      </c>
    </row>
    <row r="346">
      <c r="A346" t="inlineStr">
        <is>
          <t>20260728-8186-453096527</t>
        </is>
      </c>
      <c r="B346" t="n">
        <v>1</v>
      </c>
      <c r="C346" s="2" t="inlineStr">
        <is>
          <t>Дарья Лихачева</t>
        </is>
      </c>
      <c r="D346" s="3" t="n">
        <v>7120</v>
      </c>
      <c r="E346" s="4" t="n">
        <v>20</v>
      </c>
      <c r="F346" t="inlineStr">
        <is>
          <t>ООО "УК ГЦБ и Т" [Чайковский]</t>
        </is>
      </c>
      <c r="G346" s="3">
        <f>ROUND(D346/(100-E346)*100,2)</f>
        <v/>
      </c>
      <c r="H346" s="3" t="n">
        <v>0</v>
      </c>
      <c r="I346" s="3">
        <f>ROUND(IF(ISNUMBER(AG346),AG346,G346)+H346,2)</f>
        <v/>
      </c>
      <c r="J346" s="2" t="inlineStr">
        <is>
          <t>Завтрак; Завтрак "Шведский стол"</t>
        </is>
      </c>
      <c r="K346" s="5" t="n">
        <v>46231.58333333334</v>
      </c>
      <c r="L346" t="n">
        <v>1</v>
      </c>
      <c r="M346" s="3">
        <f>I346/L346</f>
        <v/>
      </c>
      <c r="N346">
        <f>IF(M346&gt;=5100,"ставка","мин.ставка")</f>
        <v/>
      </c>
      <c r="O346" s="3">
        <f>ROUND(IF(N346="мин.ставка",L346*100,I346/102*2),2)</f>
        <v/>
      </c>
      <c r="P346" s="5" t="n">
        <v>46232.5</v>
      </c>
      <c r="Q346" t="inlineStr">
        <is>
          <t>TravelLine CBC</t>
        </is>
      </c>
      <c r="R346" s="2" t="inlineStr">
        <is>
          <t>СТАНДАРТНЫЙ ДВУХМЕСТНЫЙ НОМЕР</t>
        </is>
      </c>
      <c r="S346" t="n">
        <v>22</v>
      </c>
      <c r="T346" t="n">
        <v>1</v>
      </c>
      <c r="U346" t="inlineStr"/>
      <c r="V346" t="inlineStr">
        <is>
          <t>Тариф с завтраком</t>
        </is>
      </c>
      <c r="W346" t="n">
        <v>7120</v>
      </c>
      <c r="X346" s="3" t="n">
        <v>1780</v>
      </c>
      <c r="Y346" t="inlineStr">
        <is>
          <t>20%</t>
        </is>
      </c>
      <c r="Z346" t="inlineStr">
        <is>
          <t>2026-07-28</t>
        </is>
      </c>
      <c r="AA346" s="3" t="n">
        <v>7120</v>
      </c>
      <c r="AB346" t="inlineStr">
        <is>
          <t>Сошлось по ночным тарифам</t>
        </is>
      </c>
      <c r="AC346" s="2" t="inlineStr"/>
      <c r="AD346" t="n">
        <v>1780</v>
      </c>
      <c r="AE346" t="n">
        <v>0</v>
      </c>
      <c r="AF346" t="inlineStr">
        <is>
          <t>Скидка добавлена к налоговой базе</t>
        </is>
      </c>
      <c r="AG346" t="n">
        <v>8900</v>
      </c>
      <c r="AH346" t="n">
        <v>7120</v>
      </c>
      <c r="AI346" t="inlineStr">
        <is>
          <t>Полное проживание в выбранном периоде</t>
        </is>
      </c>
    </row>
    <row r="347">
      <c r="A347" t="inlineStr">
        <is>
          <t>20260919-8186-466367569</t>
        </is>
      </c>
      <c r="B347" t="n">
        <v>1</v>
      </c>
      <c r="C347" s="2" t="inlineStr">
        <is>
          <t>Дарья Сенникова, Никита Веселков</t>
        </is>
      </c>
      <c r="D347" s="3" t="n">
        <v>14850</v>
      </c>
      <c r="E347" s="4" t="n">
        <v>18</v>
      </c>
      <c r="F347" t="inlineStr">
        <is>
          <t>Яндекс.Путешествия [Чайковский]</t>
        </is>
      </c>
      <c r="G347" s="3">
        <f>ROUND(D347/(100-E347)*100,2)</f>
        <v/>
      </c>
      <c r="H347" s="3" t="n">
        <v>0</v>
      </c>
      <c r="I347" s="3">
        <f>ROUND(IF(ISNUMBER(AG347),AG347,G347)+H347,2)</f>
        <v/>
      </c>
      <c r="J347" s="2" t="inlineStr">
        <is>
          <t>Завтрак "Шведский стол"</t>
        </is>
      </c>
      <c r="K347" s="5" t="n">
        <v>46284.58333333334</v>
      </c>
      <c r="L347" t="n">
        <v>2</v>
      </c>
      <c r="M347" s="3">
        <f>I347/L347</f>
        <v/>
      </c>
      <c r="N347">
        <f>IF(M347&gt;=5100,"ставка","мин.ставка")</f>
        <v/>
      </c>
      <c r="O347" s="3">
        <f>ROUND(IF(N347="мин.ставка",L347*100,I347/102*2),2)</f>
        <v/>
      </c>
      <c r="P347" s="5" t="n">
        <v>46286.5</v>
      </c>
      <c r="Q347" t="inlineStr">
        <is>
          <t>TravelLine YAX</t>
        </is>
      </c>
      <c r="R347" s="2" t="inlineStr">
        <is>
          <t>СТАНДАРТНЫЙ ДВУХМЕСТНЫЙ НОМЕР (МАНСАРДА)</t>
        </is>
      </c>
      <c r="S347" t="n">
        <v>45</v>
      </c>
      <c r="T347" t="n">
        <v>1</v>
      </c>
      <c r="U347" t="inlineStr"/>
      <c r="V347" t="inlineStr">
        <is>
          <t>Тариф с завтраком</t>
        </is>
      </c>
      <c r="W347" t="n">
        <v>14850</v>
      </c>
      <c r="X347" s="3" t="n">
        <v>4950</v>
      </c>
      <c r="Y347" t="inlineStr">
        <is>
          <t>25%</t>
        </is>
      </c>
      <c r="Z347" t="inlineStr">
        <is>
          <t>2026-09-19, 2026-09-20</t>
        </is>
      </c>
      <c r="AA347" s="3" t="n">
        <v>14850</v>
      </c>
      <c r="AB347" t="inlineStr">
        <is>
          <t>Сошлось по ночным тарифам</t>
        </is>
      </c>
      <c r="AC347" s="2" t="inlineStr"/>
      <c r="AD347" t="n">
        <v>4950</v>
      </c>
      <c r="AE347" t="n">
        <v>0</v>
      </c>
      <c r="AF347" t="inlineStr">
        <is>
          <t>Скидка добавлена к налоговой базе</t>
        </is>
      </c>
      <c r="AG347" t="n">
        <v>19800</v>
      </c>
      <c r="AH347" t="n">
        <v>14850</v>
      </c>
      <c r="AI347" t="inlineStr">
        <is>
          <t>Полное проживание в выбранном периоде</t>
        </is>
      </c>
    </row>
    <row r="348">
      <c r="A348" t="inlineStr">
        <is>
          <t>20260703-8186-442896088</t>
        </is>
      </c>
      <c r="B348" t="n">
        <v>1</v>
      </c>
      <c r="C348" s="2" t="inlineStr">
        <is>
          <t>Дарья Ханеева</t>
        </is>
      </c>
      <c r="D348" s="3" t="n">
        <v>45400</v>
      </c>
      <c r="E348" s="4" t="n">
        <v>20</v>
      </c>
      <c r="F348" t="inlineStr">
        <is>
          <t>ООО "КОМПАНИЯ БРОНЕВИК" [Чайковский]</t>
        </is>
      </c>
      <c r="G348" s="3">
        <f>ROUND(D348/(100-E348)*100,2)</f>
        <v/>
      </c>
      <c r="H348" s="3" t="n">
        <v>0</v>
      </c>
      <c r="I348" s="3">
        <f>ROUND(IF(ISNUMBER(AG348),AG348,G348)+H348,2)</f>
        <v/>
      </c>
      <c r="J348" s="2" t="inlineStr">
        <is>
          <t>Завтрак "Шведский стол"</t>
        </is>
      </c>
      <c r="K348" s="5" t="n">
        <v>46206.58333333334</v>
      </c>
      <c r="L348" t="n">
        <v>5</v>
      </c>
      <c r="M348" s="3">
        <f>I348/L348</f>
        <v/>
      </c>
      <c r="N348">
        <f>IF(M348&gt;=5100,"ставка","мин.ставка")</f>
        <v/>
      </c>
      <c r="O348" s="3">
        <f>ROUND(IF(N348="мин.ставка",L348*100,I348/102*2),2)</f>
        <v/>
      </c>
      <c r="P348" s="5" t="n">
        <v>46211.5</v>
      </c>
      <c r="Q348" t="inlineStr">
        <is>
          <t>TravelLine BR2</t>
        </is>
      </c>
      <c r="R348" s="2" t="inlineStr">
        <is>
          <t>СТАНДАРТНЫЙ ДВУХМЕСТНЫЙ НОМЕР</t>
        </is>
      </c>
      <c r="S348" t="n">
        <v>44</v>
      </c>
      <c r="T348" t="n">
        <v>1</v>
      </c>
      <c r="U348" t="inlineStr"/>
      <c r="V348" t="inlineStr">
        <is>
          <t>Тариф с завтраком</t>
        </is>
      </c>
      <c r="W348" t="n">
        <v>45400</v>
      </c>
      <c r="X348" s="3" t="n">
        <v>0</v>
      </c>
      <c r="Y348" t="inlineStr"/>
      <c r="Z348" t="inlineStr"/>
      <c r="AA348" s="3" t="n">
        <v>45400</v>
      </c>
      <c r="AB348" t="inlineStr">
        <is>
          <t>Сошлось по ночным тарифам</t>
        </is>
      </c>
      <c r="AC348" s="2" t="inlineStr"/>
      <c r="AD348" t="n">
        <v>0</v>
      </c>
      <c r="AE348" t="n">
        <v>0</v>
      </c>
      <c r="AF348" t="inlineStr">
        <is>
          <t>Скидки нет</t>
        </is>
      </c>
      <c r="AG348" t="n">
        <v>45400</v>
      </c>
      <c r="AH348" t="n">
        <v>45400</v>
      </c>
      <c r="AI348" t="inlineStr">
        <is>
          <t>Полное проживание в выбранном периоде</t>
        </is>
      </c>
    </row>
    <row r="349">
      <c r="A349" t="inlineStr">
        <is>
          <t>20260724-8186-448787264</t>
        </is>
      </c>
      <c r="B349" t="n">
        <v>1</v>
      </c>
      <c r="C349" s="2" t="inlineStr">
        <is>
          <t>Дарья Цявук</t>
        </is>
      </c>
      <c r="D349" s="3" t="n">
        <v>27240</v>
      </c>
      <c r="E349" s="4" t="n">
        <v>18</v>
      </c>
      <c r="F349" t="inlineStr">
        <is>
          <t>Яндекс.Путешествия [Чайковский]</t>
        </is>
      </c>
      <c r="G349" s="3">
        <f>ROUND(D349/(100-E349)*100,2)</f>
        <v/>
      </c>
      <c r="H349" s="3" t="n">
        <v>0</v>
      </c>
      <c r="I349" s="3">
        <f>ROUND(IF(ISNUMBER(AG349),AG349,G349)+H349,2)</f>
        <v/>
      </c>
      <c r="J349" s="2" t="inlineStr">
        <is>
          <t>Завтрак "Шведский стол"</t>
        </is>
      </c>
      <c r="K349" s="5" t="n">
        <v>46227.58333333334</v>
      </c>
      <c r="L349" t="n">
        <v>3</v>
      </c>
      <c r="M349" s="3">
        <f>I349/L349</f>
        <v/>
      </c>
      <c r="N349">
        <f>IF(M349&gt;=5100,"ставка","мин.ставка")</f>
        <v/>
      </c>
      <c r="O349" s="3">
        <f>ROUND(IF(N349="мин.ставка",L349*100,I349/102*2),2)</f>
        <v/>
      </c>
      <c r="P349" s="5" t="n">
        <v>46230.5</v>
      </c>
      <c r="Q349" t="inlineStr">
        <is>
          <t>TravelLine YAX</t>
        </is>
      </c>
      <c r="R349" s="2" t="inlineStr">
        <is>
          <t>СТАНДАРТНЫЙ ДВУХМЕСТНЫЙ НОМЕР</t>
        </is>
      </c>
      <c r="S349" t="n">
        <v>46</v>
      </c>
      <c r="T349" t="n">
        <v>1</v>
      </c>
      <c r="U349" t="inlineStr"/>
      <c r="V349" t="inlineStr">
        <is>
          <t>Тариф с завтраком</t>
        </is>
      </c>
      <c r="W349" t="n">
        <v>27240</v>
      </c>
      <c r="X349" s="3" t="n">
        <v>6810</v>
      </c>
      <c r="Y349" t="inlineStr">
        <is>
          <t>20%</t>
        </is>
      </c>
      <c r="Z349" t="inlineStr">
        <is>
          <t>2026-07-24, 2026-07-25, 2026-07-26</t>
        </is>
      </c>
      <c r="AA349" s="3" t="n">
        <v>27240</v>
      </c>
      <c r="AB349" t="inlineStr">
        <is>
          <t>Сошлось по ночным тарифам</t>
        </is>
      </c>
      <c r="AC349" s="2" t="inlineStr"/>
      <c r="AD349" t="n">
        <v>6810</v>
      </c>
      <c r="AE349" t="n">
        <v>0</v>
      </c>
      <c r="AF349" t="inlineStr">
        <is>
          <t>Скидка добавлена к налоговой базе</t>
        </is>
      </c>
      <c r="AG349" t="n">
        <v>34050</v>
      </c>
      <c r="AH349" t="n">
        <v>27240</v>
      </c>
      <c r="AI349" t="inlineStr">
        <is>
          <t>Полное проживание в выбранном периоде</t>
        </is>
      </c>
    </row>
    <row r="350">
      <c r="A350" t="inlineStr">
        <is>
          <t>20260930-8186-466725363</t>
        </is>
      </c>
      <c r="B350" t="n">
        <v>1</v>
      </c>
      <c r="C350" s="2" t="inlineStr">
        <is>
          <t>ДАРЬЯ ЩИГОЛЕВА</t>
        </is>
      </c>
      <c r="D350" s="3" t="n">
        <v>11115</v>
      </c>
      <c r="E350" s="4" t="n">
        <v>18</v>
      </c>
      <c r="F350" t="inlineStr">
        <is>
          <t>Яндекс.Путешествия [Чайковский]</t>
        </is>
      </c>
      <c r="G350" s="3">
        <f>ROUND(D350/(100-E350)*100,2)</f>
        <v/>
      </c>
      <c r="H350" s="3" t="n">
        <v>0</v>
      </c>
      <c r="I350" s="3">
        <f>ROUND(IF(ISNUMBER(AG350),AG350,G350)+H350,2)</f>
        <v/>
      </c>
      <c r="J350" s="2" t="inlineStr"/>
      <c r="K350" s="5" t="n">
        <v>46295.58333333334</v>
      </c>
      <c r="L350" t="n">
        <v>1</v>
      </c>
      <c r="M350" s="3">
        <f>I350/L350</f>
        <v/>
      </c>
      <c r="N350">
        <f>IF(M350&gt;=5100,"ставка","мин.ставка")</f>
        <v/>
      </c>
      <c r="O350" s="3">
        <f>ROUND(IF(N350="мин.ставка",L350*100,I350/102*2),2)</f>
        <v/>
      </c>
      <c r="P350" s="5" t="n">
        <v>46297.5</v>
      </c>
      <c r="Q350" t="inlineStr">
        <is>
          <t>TravelLine YAX</t>
        </is>
      </c>
      <c r="R350" s="2" t="inlineStr">
        <is>
          <t>СТАНДАРТНЫЙ ДВУХМЕСТНЫЙ НОМЕР (МАНСАРДА)</t>
        </is>
      </c>
      <c r="S350" t="n">
        <v>43</v>
      </c>
      <c r="T350" t="n">
        <v>1</v>
      </c>
      <c r="U350" t="inlineStr"/>
      <c r="V350" t="inlineStr">
        <is>
          <t>Тариф с завтраком</t>
        </is>
      </c>
      <c r="W350" t="n">
        <v>11115</v>
      </c>
      <c r="X350" s="3" t="n">
        <v>3705</v>
      </c>
      <c r="Y350" t="inlineStr">
        <is>
          <t>25%</t>
        </is>
      </c>
      <c r="Z350" t="inlineStr">
        <is>
          <t>Не распределена по датам</t>
        </is>
      </c>
      <c r="AA350" s="3" t="n">
        <v>11115</v>
      </c>
      <c r="AB350" t="inlineStr">
        <is>
          <t>Сошлось по ночным тарифам</t>
        </is>
      </c>
      <c r="AC350" s="2" t="inlineStr"/>
      <c r="AD350" t="n">
        <v>0</v>
      </c>
      <c r="AE350" t="n">
        <v>0</v>
      </c>
      <c r="AF350" t="inlineStr">
        <is>
          <t>Частичный период: дата агрегированной скидки не определена; скидка не добавлена к базе</t>
        </is>
      </c>
      <c r="AG350" t="n">
        <v>5628.75</v>
      </c>
      <c r="AH350" t="n">
        <v>5628.75</v>
      </c>
      <c r="AI350" t="inlineStr">
        <is>
          <t>Частичное проживание распределено по dailyRates; скидка без даты не восстановлена</t>
        </is>
      </c>
    </row>
    <row r="351">
      <c r="A351" t="inlineStr">
        <is>
          <t>20260906-8186-461460789</t>
        </is>
      </c>
      <c r="B351" t="n">
        <v>1</v>
      </c>
      <c r="C351" s="2" t="inlineStr">
        <is>
          <t>ДЕНИС АФАНАСЬЕВ, Дарья Афанасьева</t>
        </is>
      </c>
      <c r="D351" s="3" t="n">
        <v>9751.5</v>
      </c>
      <c r="E351" s="4" t="n">
        <v>4</v>
      </c>
      <c r="F351" t="inlineStr">
        <is>
          <t>TravelLine Booking Engine [Чайковский]</t>
        </is>
      </c>
      <c r="G351" s="3">
        <f>ROUND(D351/(100-E351)*100,2)</f>
        <v/>
      </c>
      <c r="H351" s="3" t="n">
        <v>0</v>
      </c>
      <c r="I351" s="3">
        <f>ROUND(IF(ISNUMBER(AG351),AG351,G351)+H351,2)</f>
        <v/>
      </c>
      <c r="J351" s="2" t="inlineStr">
        <is>
          <t>Завтрак "Шведский стол"</t>
        </is>
      </c>
      <c r="K351" s="5" t="n">
        <v>46271.58333333334</v>
      </c>
      <c r="L351" t="n">
        <v>1</v>
      </c>
      <c r="M351" s="3">
        <f>I351/L351</f>
        <v/>
      </c>
      <c r="N351">
        <f>IF(M351&gt;=5100,"ставка","мин.ставка")</f>
        <v/>
      </c>
      <c r="O351" s="3">
        <f>ROUND(IF(N351="мин.ставка",L351*100,I351/102*2),2)</f>
        <v/>
      </c>
      <c r="P351" s="5" t="n">
        <v>46272.5</v>
      </c>
      <c r="Q351" t="inlineStr">
        <is>
          <t>TravelLine сайт</t>
        </is>
      </c>
      <c r="R351" s="2" t="inlineStr">
        <is>
          <t>СТАНДАРТНЫЙ ДВУХМЕСТНЫЙ НОМЕР</t>
        </is>
      </c>
      <c r="S351" t="n">
        <v>44</v>
      </c>
      <c r="T351" t="n">
        <v>1</v>
      </c>
      <c r="U351" t="inlineStr"/>
      <c r="V351" t="inlineStr">
        <is>
          <t>Тариф с завтраком</t>
        </is>
      </c>
      <c r="W351" t="n">
        <v>9751.5</v>
      </c>
      <c r="X351" s="3" t="n">
        <v>148.5</v>
      </c>
      <c r="Y351" t="inlineStr">
        <is>
          <t>1.5%</t>
        </is>
      </c>
      <c r="Z351" t="inlineStr">
        <is>
          <t>2026-09-06</t>
        </is>
      </c>
      <c r="AA351" s="3" t="n">
        <v>9751.5</v>
      </c>
      <c r="AB351" t="inlineStr">
        <is>
          <t>Сошлось по ночным тарифам</t>
        </is>
      </c>
      <c r="AC351" s="2" t="inlineStr"/>
      <c r="AD351" t="n">
        <v>148.5</v>
      </c>
      <c r="AE351" t="n">
        <v>0</v>
      </c>
      <c r="AF351" t="inlineStr">
        <is>
          <t>Скидка добавлена к налоговой базе</t>
        </is>
      </c>
      <c r="AG351" t="n">
        <v>9900</v>
      </c>
      <c r="AH351" t="n">
        <v>9751.5</v>
      </c>
      <c r="AI351" t="inlineStr">
        <is>
          <t>Полное проживание в выбранном периоде</t>
        </is>
      </c>
    </row>
    <row r="352">
      <c r="A352" t="inlineStr">
        <is>
          <t>20260905-8186-460958284</t>
        </is>
      </c>
      <c r="B352" t="n">
        <v>1</v>
      </c>
      <c r="C352" s="2" t="inlineStr">
        <is>
          <t>Денис Борисов, Екатерина Полосухина</t>
        </is>
      </c>
      <c r="D352" s="3" t="n">
        <v>21360</v>
      </c>
      <c r="E352" s="4" t="n">
        <v>17</v>
      </c>
      <c r="F352" t="inlineStr">
        <is>
          <t>ООО «Интернет Трэвел» (OZON) [Чайковский]</t>
        </is>
      </c>
      <c r="G352" s="3">
        <f>ROUND(D352/(100-E352)*100,2)</f>
        <v/>
      </c>
      <c r="H352" s="3" t="n">
        <v>0</v>
      </c>
      <c r="I352" s="3">
        <f>ROUND(IF(ISNUMBER(AG352),AG352,G352)+H352,2)</f>
        <v/>
      </c>
      <c r="J352" s="2" t="inlineStr">
        <is>
          <t>Завтрак "Шведский стол"</t>
        </is>
      </c>
      <c r="K352" s="5" t="n">
        <v>46270.58333333334</v>
      </c>
      <c r="L352" t="n">
        <v>2</v>
      </c>
      <c r="M352" s="3">
        <f>I352/L352</f>
        <v/>
      </c>
      <c r="N352">
        <f>IF(M352&gt;=5100,"ставка","мин.ставка")</f>
        <v/>
      </c>
      <c r="O352" s="3">
        <f>ROUND(IF(N352="мин.ставка",L352*100,I352/102*2),2)</f>
        <v/>
      </c>
      <c r="P352" s="5" t="n">
        <v>46272.5</v>
      </c>
      <c r="Q352" t="inlineStr">
        <is>
          <t>TravelLine OZ2</t>
        </is>
      </c>
      <c r="R352" s="2" t="inlineStr">
        <is>
          <t>СТАНДАРТНЫЙ ДВУХМЕСТНЫЙ НОМЕР</t>
        </is>
      </c>
      <c r="S352" t="n">
        <v>22</v>
      </c>
      <c r="T352" t="n">
        <v>1</v>
      </c>
      <c r="U352" t="inlineStr"/>
      <c r="V352" t="inlineStr">
        <is>
          <t>Тариф с завтраком</t>
        </is>
      </c>
      <c r="W352" t="n">
        <v>21360</v>
      </c>
      <c r="X352" s="3" t="n">
        <v>5340</v>
      </c>
      <c r="Y352" t="inlineStr">
        <is>
          <t>20%</t>
        </is>
      </c>
      <c r="Z352" t="inlineStr">
        <is>
          <t>2026-09-05, 2026-09-06</t>
        </is>
      </c>
      <c r="AA352" s="3" t="n">
        <v>21360</v>
      </c>
      <c r="AB352" t="inlineStr">
        <is>
          <t>Сошлось по ночным тарифам</t>
        </is>
      </c>
      <c r="AC352" s="2" t="inlineStr"/>
      <c r="AD352" t="n">
        <v>5340</v>
      </c>
      <c r="AE352" t="n">
        <v>0</v>
      </c>
      <c r="AF352" t="inlineStr">
        <is>
          <t>Скидка добавлена к налоговой базе</t>
        </is>
      </c>
      <c r="AG352" t="n">
        <v>26700</v>
      </c>
      <c r="AH352" t="n">
        <v>21360</v>
      </c>
      <c r="AI352" t="inlineStr">
        <is>
          <t>Полное проживание в выбранном периоде</t>
        </is>
      </c>
    </row>
    <row r="353">
      <c r="A353" t="inlineStr">
        <is>
          <t>20260723-8186-452699334</t>
        </is>
      </c>
      <c r="B353" t="n">
        <v>1</v>
      </c>
      <c r="C353" s="2" t="inlineStr">
        <is>
          <t>Денис Грузинов</t>
        </is>
      </c>
      <c r="D353" s="3" t="n">
        <v>10215</v>
      </c>
      <c r="E353" s="4" t="n">
        <v>0</v>
      </c>
      <c r="F353" t="inlineStr">
        <is>
          <t>Прямые бронирования (стойка) [Чайковский]</t>
        </is>
      </c>
      <c r="G353" s="3">
        <f>ROUND(D353/(100-E353)*100,2)</f>
        <v/>
      </c>
      <c r="H353" s="3" t="n">
        <v>0</v>
      </c>
      <c r="I353" s="3">
        <f>ROUND(IF(ISNUMBER(AG353),AG353,G353)+H353,2)</f>
        <v/>
      </c>
      <c r="J353" s="2" t="inlineStr">
        <is>
          <t>Завтрак "Шведский стол"</t>
        </is>
      </c>
      <c r="K353" s="5" t="n">
        <v>46226.58333333334</v>
      </c>
      <c r="L353" t="n">
        <v>1</v>
      </c>
      <c r="M353" s="3">
        <f>I353/L353</f>
        <v/>
      </c>
      <c r="N353">
        <f>IF(M353&gt;=5100,"ставка","мин.ставка")</f>
        <v/>
      </c>
      <c r="O353" s="3">
        <f>ROUND(IF(N353="мин.ставка",L353*100,I353/102*2),2)</f>
        <v/>
      </c>
      <c r="P353" s="5" t="n">
        <v>46227.5</v>
      </c>
      <c r="Q353" t="inlineStr">
        <is>
          <t>TravelLine ресепшен</t>
        </is>
      </c>
      <c r="R353" s="2" t="inlineStr">
        <is>
          <t>СТАНДАРТНЫЙ ДВУХМЕСТНЫЙ НОМЕР</t>
        </is>
      </c>
      <c r="S353" t="n">
        <v>55</v>
      </c>
      <c r="T353" t="n">
        <v>2</v>
      </c>
      <c r="U353" t="inlineStr"/>
      <c r="V353" t="inlineStr">
        <is>
          <t>Тариф с завтраком</t>
        </is>
      </c>
      <c r="W353" t="n">
        <v>10215</v>
      </c>
      <c r="X353" s="3" t="n">
        <v>1135</v>
      </c>
      <c r="Y353" t="inlineStr">
        <is>
          <t>10%</t>
        </is>
      </c>
      <c r="Z353" t="inlineStr">
        <is>
          <t>2026-07-23</t>
        </is>
      </c>
      <c r="AA353" s="3" t="n">
        <v>10215</v>
      </c>
      <c r="AB353" t="inlineStr">
        <is>
          <t>Сошлось по ночным тарифам</t>
        </is>
      </c>
      <c r="AC353" s="2" t="inlineStr"/>
      <c r="AD353" t="n">
        <v>1135</v>
      </c>
      <c r="AE353" t="n">
        <v>0</v>
      </c>
      <c r="AF353" t="inlineStr">
        <is>
          <t>Скидка добавлена к налоговой базе</t>
        </is>
      </c>
      <c r="AG353" t="n">
        <v>11350</v>
      </c>
      <c r="AH353" t="n">
        <v>10215</v>
      </c>
      <c r="AI353" t="inlineStr">
        <is>
          <t>Полное проживание в выбранном периоде</t>
        </is>
      </c>
    </row>
    <row r="354">
      <c r="A354" t="inlineStr">
        <is>
          <t>20260724-8186-449406216</t>
        </is>
      </c>
      <c r="B354" t="n">
        <v>1</v>
      </c>
      <c r="C354" s="2" t="inlineStr">
        <is>
          <t>Денис Грузинов</t>
        </is>
      </c>
      <c r="D354" s="3" t="n">
        <v>20430</v>
      </c>
      <c r="E354" s="4" t="n">
        <v>0</v>
      </c>
      <c r="F354" t="inlineStr">
        <is>
          <t>Прямые бронирования (стойка) [Чайковский]</t>
        </is>
      </c>
      <c r="G354" s="3">
        <f>ROUND(D354/(100-E354)*100,2)</f>
        <v/>
      </c>
      <c r="H354" s="3" t="n">
        <v>0</v>
      </c>
      <c r="I354" s="3">
        <f>ROUND(IF(ISNUMBER(AG354),AG354,G354)+H354,2)</f>
        <v/>
      </c>
      <c r="J354" s="2" t="inlineStr">
        <is>
          <t>Завтрак "Шведский стол"</t>
        </is>
      </c>
      <c r="K354" s="5" t="n">
        <v>46227.58333333334</v>
      </c>
      <c r="L354" t="n">
        <v>2</v>
      </c>
      <c r="M354" s="3">
        <f>I354/L354</f>
        <v/>
      </c>
      <c r="N354">
        <f>IF(M354&gt;=5100,"ставка","мин.ставка")</f>
        <v/>
      </c>
      <c r="O354" s="3">
        <f>ROUND(IF(N354="мин.ставка",L354*100,I354/102*2),2)</f>
        <v/>
      </c>
      <c r="P354" s="5" t="n">
        <v>46229.5</v>
      </c>
      <c r="Q354" t="inlineStr">
        <is>
          <t>TravelLine ресепшен</t>
        </is>
      </c>
      <c r="R354" s="2" t="inlineStr">
        <is>
          <t>СТАНДАРТНЫЙ ДВУХМЕСТНЫЙ НОМЕР</t>
        </is>
      </c>
      <c r="S354" t="n">
        <v>23</v>
      </c>
      <c r="T354" t="n">
        <v>1</v>
      </c>
      <c r="U354" t="inlineStr"/>
      <c r="V354" t="inlineStr">
        <is>
          <t>Тариф с завтраком</t>
        </is>
      </c>
      <c r="W354" t="n">
        <v>20430</v>
      </c>
      <c r="X354" s="3" t="n">
        <v>2270</v>
      </c>
      <c r="Y354" t="inlineStr">
        <is>
          <t>10%</t>
        </is>
      </c>
      <c r="Z354" t="inlineStr">
        <is>
          <t>2026-07-24, 2026-07-25</t>
        </is>
      </c>
      <c r="AA354" s="3" t="n">
        <v>20430</v>
      </c>
      <c r="AB354" t="inlineStr">
        <is>
          <t>Сошлось по ночным тарифам</t>
        </is>
      </c>
      <c r="AC354" s="2" t="inlineStr"/>
      <c r="AD354" t="n">
        <v>2270</v>
      </c>
      <c r="AE354" t="n">
        <v>0</v>
      </c>
      <c r="AF354" t="inlineStr">
        <is>
          <t>Скидка добавлена к налоговой базе</t>
        </is>
      </c>
      <c r="AG354" t="n">
        <v>22700</v>
      </c>
      <c r="AH354" t="n">
        <v>20430</v>
      </c>
      <c r="AI354" t="inlineStr">
        <is>
          <t>Полное проживание в выбранном периоде</t>
        </is>
      </c>
    </row>
    <row r="355">
      <c r="A355" t="inlineStr">
        <is>
          <t>20260924-8186-466578898</t>
        </is>
      </c>
      <c r="B355" t="n">
        <v>1</v>
      </c>
      <c r="C355" s="2" t="inlineStr">
        <is>
          <t>Денис Дроздов</t>
        </is>
      </c>
      <c r="D355" s="3" t="n">
        <v>18160</v>
      </c>
      <c r="E355" s="4" t="n">
        <v>20</v>
      </c>
      <c r="F355" t="inlineStr">
        <is>
          <t>ООО «Дубль Гис» (OTELLO) [Чайковский]</t>
        </is>
      </c>
      <c r="G355" s="3">
        <f>ROUND(D355/(100-E355)*100,2)</f>
        <v/>
      </c>
      <c r="H355" s="3" t="n">
        <v>0</v>
      </c>
      <c r="I355" s="3">
        <f>ROUND(IF(ISNUMBER(AG355),AG355,G355)+H355,2)</f>
        <v/>
      </c>
      <c r="J355" s="2" t="inlineStr">
        <is>
          <t>Завтрак "Шведский стол"</t>
        </is>
      </c>
      <c r="K355" s="5" t="n">
        <v>46289.58333333334</v>
      </c>
      <c r="L355" t="n">
        <v>2</v>
      </c>
      <c r="M355" s="3">
        <f>I355/L355</f>
        <v/>
      </c>
      <c r="N355">
        <f>IF(M355&gt;=5100,"ставка","мин.ставка")</f>
        <v/>
      </c>
      <c r="O355" s="3">
        <f>ROUND(IF(N355="мин.ставка",L355*100,I355/102*2),2)</f>
        <v/>
      </c>
      <c r="P355" s="5" t="n">
        <v>46291.5</v>
      </c>
      <c r="Q355" t="inlineStr">
        <is>
          <t>TravelLine OL2</t>
        </is>
      </c>
      <c r="R355" s="2" t="inlineStr">
        <is>
          <t>СТАНДАРТНЫЙ ДВУХМЕСТНЫЙ НОМЕР</t>
        </is>
      </c>
      <c r="S355" t="n">
        <v>22</v>
      </c>
      <c r="T355" t="n">
        <v>1</v>
      </c>
      <c r="U355" t="inlineStr"/>
      <c r="V355" t="inlineStr">
        <is>
          <t>Тариф с завтраком</t>
        </is>
      </c>
      <c r="W355" t="n">
        <v>36320</v>
      </c>
      <c r="X355" s="3" t="n">
        <v>4540</v>
      </c>
      <c r="Y355" t="inlineStr">
        <is>
          <t>20%</t>
        </is>
      </c>
      <c r="Z355" t="inlineStr">
        <is>
          <t>2026-09-24, 2026-09-25</t>
        </is>
      </c>
      <c r="AA355" s="3" t="n">
        <v>18160</v>
      </c>
      <c r="AB355" t="inlineStr">
        <is>
          <t>Сошлось по ночным тарифам</t>
        </is>
      </c>
      <c r="AC355" s="2" t="inlineStr"/>
      <c r="AD355" t="n">
        <v>4540</v>
      </c>
      <c r="AE355" t="n">
        <v>0</v>
      </c>
      <c r="AF355" t="inlineStr">
        <is>
          <t>Скидка добавлена к налоговой базе</t>
        </is>
      </c>
      <c r="AG355" t="n">
        <v>22700</v>
      </c>
      <c r="AH355" t="n">
        <v>18160</v>
      </c>
      <c r="AI355" t="inlineStr">
        <is>
          <t>Полное проживание в выбранном периоде</t>
        </is>
      </c>
    </row>
    <row r="356">
      <c r="A356" t="inlineStr">
        <is>
          <t>20260707-8186-448228838</t>
        </is>
      </c>
      <c r="B356" t="n">
        <v>1</v>
      </c>
      <c r="C356" s="2" t="inlineStr">
        <is>
          <t>Денис Евдокимов</t>
        </is>
      </c>
      <c r="D356" s="3" t="n">
        <v>26100</v>
      </c>
      <c r="E356" s="4" t="n">
        <v>0</v>
      </c>
      <c r="F356" t="inlineStr">
        <is>
          <t>Прямые бронирования (стойка) [Чайковский]</t>
        </is>
      </c>
      <c r="G356" s="3">
        <f>ROUND(D356/(100-E356)*100,2)</f>
        <v/>
      </c>
      <c r="H356" s="3" t="n">
        <v>0</v>
      </c>
      <c r="I356" s="3">
        <f>ROUND(IF(ISNUMBER(AG356),AG356,G356)+H356,2)</f>
        <v/>
      </c>
      <c r="J356" s="2" t="inlineStr">
        <is>
          <t>Завтрак "Шведский стол"</t>
        </is>
      </c>
      <c r="K356" s="5" t="n">
        <v>46210.58333333334</v>
      </c>
      <c r="L356" t="n">
        <v>2</v>
      </c>
      <c r="M356" s="3">
        <f>I356/L356</f>
        <v/>
      </c>
      <c r="N356">
        <f>IF(M356&gt;=5100,"ставка","мин.ставка")</f>
        <v/>
      </c>
      <c r="O356" s="3">
        <f>ROUND(IF(N356="мин.ставка",L356*100,I356/102*2),2)</f>
        <v/>
      </c>
      <c r="P356" s="5" t="n">
        <v>46212.5</v>
      </c>
      <c r="Q356" t="inlineStr">
        <is>
          <t>TravelLine ресепшен</t>
        </is>
      </c>
      <c r="R356" s="2" t="inlineStr">
        <is>
          <t>ЛЮКС ВТОРОЙ КОРПУС</t>
        </is>
      </c>
      <c r="S356" t="n">
        <v>57</v>
      </c>
      <c r="T356" t="n">
        <v>2</v>
      </c>
      <c r="U356" t="inlineStr"/>
      <c r="V356" t="inlineStr">
        <is>
          <t>Тариф с завтраком</t>
        </is>
      </c>
      <c r="W356" t="n">
        <v>26100</v>
      </c>
      <c r="X356" s="3" t="n">
        <v>2900</v>
      </c>
      <c r="Y356" t="inlineStr">
        <is>
          <t>10%</t>
        </is>
      </c>
      <c r="Z356" t="inlineStr">
        <is>
          <t>2026-07-07, 2026-07-08</t>
        </is>
      </c>
      <c r="AA356" s="3" t="n">
        <v>26100</v>
      </c>
      <c r="AB356" t="inlineStr">
        <is>
          <t>Сошлось по ночным тарифам</t>
        </is>
      </c>
      <c r="AC356" s="2" t="inlineStr"/>
      <c r="AD356" t="n">
        <v>2900</v>
      </c>
      <c r="AE356" t="n">
        <v>0</v>
      </c>
      <c r="AF356" t="inlineStr">
        <is>
          <t>Скидка добавлена к налоговой базе</t>
        </is>
      </c>
      <c r="AG356" t="n">
        <v>29000</v>
      </c>
      <c r="AH356" t="n">
        <v>26100</v>
      </c>
      <c r="AI356" t="inlineStr">
        <is>
          <t>Полное проживание в выбранном периоде</t>
        </is>
      </c>
    </row>
    <row r="357">
      <c r="A357" t="inlineStr">
        <is>
          <t>20260719-8186-450701107</t>
        </is>
      </c>
      <c r="B357" t="n">
        <v>1</v>
      </c>
      <c r="C357" s="2" t="inlineStr">
        <is>
          <t>Денис Евдокимов</t>
        </is>
      </c>
      <c r="D357" s="3" t="n">
        <v>56880</v>
      </c>
      <c r="E357" s="4" t="n">
        <v>0</v>
      </c>
      <c r="F357" t="inlineStr">
        <is>
          <t>Прямые бронирования (стойка) [Чайковский]</t>
        </is>
      </c>
      <c r="G357" s="3">
        <f>ROUND(D357/(100-E357)*100,2)</f>
        <v/>
      </c>
      <c r="H357" s="3" t="n">
        <v>0</v>
      </c>
      <c r="I357" s="3">
        <f>ROUND(IF(ISNUMBER(AG357),AG357,G357)+H357,2)</f>
        <v/>
      </c>
      <c r="J357" s="2" t="inlineStr">
        <is>
          <t>Завтрак "Шведский стол"</t>
        </is>
      </c>
      <c r="K357" s="5" t="n">
        <v>46222.58333333334</v>
      </c>
      <c r="L357" t="n">
        <v>4</v>
      </c>
      <c r="M357" s="3">
        <f>I357/L357</f>
        <v/>
      </c>
      <c r="N357">
        <f>IF(M357&gt;=5100,"ставка","мин.ставка")</f>
        <v/>
      </c>
      <c r="O357" s="3">
        <f>ROUND(IF(N357="мин.ставка",L357*100,I357/102*2),2)</f>
        <v/>
      </c>
      <c r="P357" s="5" t="n">
        <v>46226.5</v>
      </c>
      <c r="Q357" t="inlineStr">
        <is>
          <t>TravelLine ресепшен</t>
        </is>
      </c>
      <c r="R357" s="2" t="inlineStr">
        <is>
          <t>ЛЮКС ВТОРОЙ КОРПУС</t>
        </is>
      </c>
      <c r="S357" t="n">
        <v>53</v>
      </c>
      <c r="T357" t="n">
        <v>2</v>
      </c>
      <c r="U357" t="inlineStr"/>
      <c r="V357" t="inlineStr">
        <is>
          <t>Тариф с завтраком</t>
        </is>
      </c>
      <c r="W357" t="n">
        <v>56880</v>
      </c>
      <c r="X357" s="3" t="n">
        <v>6320</v>
      </c>
      <c r="Y357" t="inlineStr">
        <is>
          <t>10%</t>
        </is>
      </c>
      <c r="Z357" t="inlineStr">
        <is>
          <t>2026-07-19, 2026-07-20, 2026-07-21, 2026-07-22</t>
        </is>
      </c>
      <c r="AA357" s="3" t="n">
        <v>56880</v>
      </c>
      <c r="AB357" t="inlineStr">
        <is>
          <t>Сошлось по ночным тарифам</t>
        </is>
      </c>
      <c r="AC357" s="2" t="inlineStr"/>
      <c r="AD357" t="n">
        <v>6320</v>
      </c>
      <c r="AE357" t="n">
        <v>0</v>
      </c>
      <c r="AF357" t="inlineStr">
        <is>
          <t>Скидка добавлена к налоговой базе</t>
        </is>
      </c>
      <c r="AG357" t="n">
        <v>63200</v>
      </c>
      <c r="AH357" t="n">
        <v>56880</v>
      </c>
      <c r="AI357" t="inlineStr">
        <is>
          <t>Полное проживание в выбранном периоде</t>
        </is>
      </c>
    </row>
    <row r="358">
      <c r="A358" t="inlineStr">
        <is>
          <t>20260811-8186-457632332</t>
        </is>
      </c>
      <c r="B358" t="n">
        <v>1</v>
      </c>
      <c r="C358" s="2" t="inlineStr">
        <is>
          <t>Денис Евдокимов</t>
        </is>
      </c>
      <c r="D358" s="3" t="n">
        <v>13050</v>
      </c>
      <c r="E358" s="4" t="n">
        <v>0</v>
      </c>
      <c r="F358" t="inlineStr">
        <is>
          <t>Прямые бронирования (стойка) [Чайковский]</t>
        </is>
      </c>
      <c r="G358" s="3">
        <f>ROUND(D358/(100-E358)*100,2)</f>
        <v/>
      </c>
      <c r="H358" s="3" t="n">
        <v>0</v>
      </c>
      <c r="I358" s="3">
        <f>ROUND(IF(ISNUMBER(AG358),AG358,G358)+H358,2)</f>
        <v/>
      </c>
      <c r="J358" s="2" t="inlineStr">
        <is>
          <t>Завтрак "Шведский стол"</t>
        </is>
      </c>
      <c r="K358" s="5" t="n">
        <v>46245.58333333334</v>
      </c>
      <c r="L358" t="n">
        <v>1</v>
      </c>
      <c r="M358" s="3">
        <f>I358/L358</f>
        <v/>
      </c>
      <c r="N358">
        <f>IF(M358&gt;=5100,"ставка","мин.ставка")</f>
        <v/>
      </c>
      <c r="O358" s="3">
        <f>ROUND(IF(N358="мин.ставка",L358*100,I358/102*2),2)</f>
        <v/>
      </c>
      <c r="P358" s="5" t="n">
        <v>46246.5</v>
      </c>
      <c r="Q358" t="inlineStr">
        <is>
          <t>TravelLine ресепшен</t>
        </is>
      </c>
      <c r="R358" s="2" t="inlineStr">
        <is>
          <t>ПОЛУЛЮКС</t>
        </is>
      </c>
      <c r="S358" t="n">
        <v>35</v>
      </c>
      <c r="T358" t="n">
        <v>1</v>
      </c>
      <c r="U358" t="inlineStr"/>
      <c r="V358" t="inlineStr">
        <is>
          <t>Тариф с завтраком</t>
        </is>
      </c>
      <c r="W358" t="n">
        <v>13050</v>
      </c>
      <c r="X358" s="3" t="n">
        <v>1450</v>
      </c>
      <c r="Y358" t="inlineStr">
        <is>
          <t>10%</t>
        </is>
      </c>
      <c r="Z358" t="inlineStr">
        <is>
          <t>2026-08-11</t>
        </is>
      </c>
      <c r="AA358" s="3" t="n">
        <v>13050</v>
      </c>
      <c r="AB358" t="inlineStr">
        <is>
          <t>Сошлось по ночным тарифам</t>
        </is>
      </c>
      <c r="AC358" s="2" t="inlineStr"/>
      <c r="AD358" t="n">
        <v>1450</v>
      </c>
      <c r="AE358" t="n">
        <v>0</v>
      </c>
      <c r="AF358" t="inlineStr">
        <is>
          <t>Скидка добавлена к налоговой базе</t>
        </is>
      </c>
      <c r="AG358" t="n">
        <v>14500</v>
      </c>
      <c r="AH358" t="n">
        <v>13050</v>
      </c>
      <c r="AI358" t="inlineStr">
        <is>
          <t>Полное проживание в выбранном периоде</t>
        </is>
      </c>
    </row>
    <row r="359">
      <c r="A359" t="inlineStr">
        <is>
          <t>20260812-8186-458096485</t>
        </is>
      </c>
      <c r="B359" t="n">
        <v>1</v>
      </c>
      <c r="C359" s="2" t="inlineStr">
        <is>
          <t>Денис Евдокимов</t>
        </is>
      </c>
      <c r="D359" s="3" t="n">
        <v>13050</v>
      </c>
      <c r="E359" s="4" t="n">
        <v>0</v>
      </c>
      <c r="F359" t="inlineStr">
        <is>
          <t>Прямые бронирования (стойка) [Чайковский]</t>
        </is>
      </c>
      <c r="G359" s="3">
        <f>ROUND(D359/(100-E359)*100,2)</f>
        <v/>
      </c>
      <c r="H359" s="3" t="n">
        <v>0</v>
      </c>
      <c r="I359" s="3">
        <f>ROUND(IF(ISNUMBER(AG359),AG359,G359)+H359,2)</f>
        <v/>
      </c>
      <c r="J359" s="2" t="inlineStr">
        <is>
          <t>Завтрак "Шведский стол"</t>
        </is>
      </c>
      <c r="K359" s="5" t="n">
        <v>46246.58333333334</v>
      </c>
      <c r="L359" t="n">
        <v>1</v>
      </c>
      <c r="M359" s="3">
        <f>I359/L359</f>
        <v/>
      </c>
      <c r="N359">
        <f>IF(M359&gt;=5100,"ставка","мин.ставка")</f>
        <v/>
      </c>
      <c r="O359" s="3">
        <f>ROUND(IF(N359="мин.ставка",L359*100,I359/102*2),2)</f>
        <v/>
      </c>
      <c r="P359" s="5" t="n">
        <v>46247.5</v>
      </c>
      <c r="Q359" t="inlineStr">
        <is>
          <t>TravelLine ресепшен</t>
        </is>
      </c>
      <c r="R359" s="2" t="inlineStr">
        <is>
          <t>ПОЛУЛЮКС</t>
        </is>
      </c>
      <c r="S359" t="n">
        <v>35</v>
      </c>
      <c r="T359" t="n">
        <v>1</v>
      </c>
      <c r="U359" t="inlineStr"/>
      <c r="V359" t="inlineStr">
        <is>
          <t>Тариф с завтраком</t>
        </is>
      </c>
      <c r="W359" t="n">
        <v>13050</v>
      </c>
      <c r="X359" s="3" t="n">
        <v>1450</v>
      </c>
      <c r="Y359" t="inlineStr">
        <is>
          <t>10%</t>
        </is>
      </c>
      <c r="Z359" t="inlineStr">
        <is>
          <t>2026-08-12</t>
        </is>
      </c>
      <c r="AA359" s="3" t="n">
        <v>13050</v>
      </c>
      <c r="AB359" t="inlineStr">
        <is>
          <t>Сошлось по ночным тарифам</t>
        </is>
      </c>
      <c r="AC359" s="2" t="inlineStr"/>
      <c r="AD359" t="n">
        <v>1450</v>
      </c>
      <c r="AE359" t="n">
        <v>0</v>
      </c>
      <c r="AF359" t="inlineStr">
        <is>
          <t>Скидка добавлена к налоговой базе</t>
        </is>
      </c>
      <c r="AG359" t="n">
        <v>14500</v>
      </c>
      <c r="AH359" t="n">
        <v>13050</v>
      </c>
      <c r="AI359" t="inlineStr">
        <is>
          <t>Полное проживание в выбранном периоде</t>
        </is>
      </c>
    </row>
    <row r="360">
      <c r="A360" t="inlineStr">
        <is>
          <t>20260908-8186-464591169</t>
        </is>
      </c>
      <c r="B360" t="n">
        <v>1</v>
      </c>
      <c r="C360" s="2" t="inlineStr">
        <is>
          <t>Денис Евдокимов</t>
        </is>
      </c>
      <c r="D360" s="3" t="n">
        <v>14220</v>
      </c>
      <c r="E360" s="4" t="n">
        <v>0</v>
      </c>
      <c r="F360" t="inlineStr">
        <is>
          <t>Прямые бронирования (стойка) [Чайковский]</t>
        </is>
      </c>
      <c r="G360" s="3">
        <f>ROUND(D360/(100-E360)*100,2)</f>
        <v/>
      </c>
      <c r="H360" s="3" t="n">
        <v>7110</v>
      </c>
      <c r="I360" s="3">
        <f>ROUND(IF(ISNUMBER(AG360),AG360,G360)+H360,2)</f>
        <v/>
      </c>
      <c r="J360" s="2" t="inlineStr">
        <is>
          <t>продление номера — 7 110,00 ₽; Завтрак "Шведский стол"</t>
        </is>
      </c>
      <c r="K360" s="5" t="n">
        <v>46273.58333333334</v>
      </c>
      <c r="L360" t="n">
        <v>1</v>
      </c>
      <c r="M360" s="3">
        <f>I360/L360</f>
        <v/>
      </c>
      <c r="N360">
        <f>IF(M360&gt;=5100,"ставка","мин.ставка")</f>
        <v/>
      </c>
      <c r="O360" s="3">
        <f>ROUND(IF(N360="мин.ставка",L360*100,I360/102*2),2)</f>
        <v/>
      </c>
      <c r="P360" s="5" t="n">
        <v>46274.75</v>
      </c>
      <c r="Q360" t="inlineStr">
        <is>
          <t>TravelLine ресепшен</t>
        </is>
      </c>
      <c r="R360" s="2" t="inlineStr">
        <is>
          <t>ЛЮКС ВТОРОЙ КОРПУС</t>
        </is>
      </c>
      <c r="S360" t="n">
        <v>54</v>
      </c>
      <c r="T360" t="n">
        <v>2</v>
      </c>
      <c r="U360" t="inlineStr"/>
      <c r="V360" t="inlineStr">
        <is>
          <t>Тариф с завтраком</t>
        </is>
      </c>
      <c r="W360" t="n">
        <v>21330</v>
      </c>
      <c r="X360" s="3" t="n">
        <v>1580</v>
      </c>
      <c r="Y360" t="inlineStr">
        <is>
          <t>10%</t>
        </is>
      </c>
      <c r="Z360" t="inlineStr">
        <is>
          <t>2026-09-08</t>
        </is>
      </c>
      <c r="AA360" s="3" t="n">
        <v>14220</v>
      </c>
      <c r="AB360" t="inlineStr">
        <is>
          <t>Сошлось с услугами</t>
        </is>
      </c>
      <c r="AC360" s="2" t="inlineStr"/>
      <c r="AD360" t="n">
        <v>1580</v>
      </c>
      <c r="AE360" t="n">
        <v>0</v>
      </c>
      <c r="AF360" t="inlineStr">
        <is>
          <t>Скидка добавлена к налоговой базе</t>
        </is>
      </c>
      <c r="AG360" t="n">
        <v>15800</v>
      </c>
      <c r="AH360" t="n">
        <v>14220</v>
      </c>
      <c r="AI360" t="inlineStr">
        <is>
          <t>Полное проживание в выбранном периоде</t>
        </is>
      </c>
    </row>
    <row r="361">
      <c r="A361" t="inlineStr">
        <is>
          <t>20260914-8186-464859122</t>
        </is>
      </c>
      <c r="B361" t="n">
        <v>1</v>
      </c>
      <c r="C361" s="2" t="inlineStr">
        <is>
          <t>Денис Евдокимов</t>
        </is>
      </c>
      <c r="D361" s="3" t="n">
        <v>14220</v>
      </c>
      <c r="E361" s="4" t="n">
        <v>0</v>
      </c>
      <c r="F361" t="inlineStr">
        <is>
          <t>Прямые бронирования (стойка) [Чайковский]</t>
        </is>
      </c>
      <c r="G361" s="3">
        <f>ROUND(D361/(100-E361)*100,2)</f>
        <v/>
      </c>
      <c r="H361" s="3" t="n">
        <v>0</v>
      </c>
      <c r="I361" s="3">
        <f>ROUND(IF(ISNUMBER(AG361),AG361,G361)+H361,2)</f>
        <v/>
      </c>
      <c r="J361" s="2" t="inlineStr">
        <is>
          <t>Завтрак "Шведский стол"</t>
        </is>
      </c>
      <c r="K361" s="5" t="n">
        <v>46279.58333333334</v>
      </c>
      <c r="L361" t="n">
        <v>1</v>
      </c>
      <c r="M361" s="3">
        <f>I361/L361</f>
        <v/>
      </c>
      <c r="N361">
        <f>IF(M361&gt;=5100,"ставка","мин.ставка")</f>
        <v/>
      </c>
      <c r="O361" s="3">
        <f>ROUND(IF(N361="мин.ставка",L361*100,I361/102*2),2)</f>
        <v/>
      </c>
      <c r="P361" s="5" t="n">
        <v>46280.5</v>
      </c>
      <c r="Q361" t="inlineStr">
        <is>
          <t>TravelLine ресепшен</t>
        </is>
      </c>
      <c r="R361" s="2" t="inlineStr">
        <is>
          <t>ЛЮКС ВТОРОЙ КОРПУС</t>
        </is>
      </c>
      <c r="S361" t="n">
        <v>57</v>
      </c>
      <c r="T361" t="n">
        <v>2</v>
      </c>
      <c r="U361" t="inlineStr"/>
      <c r="V361" t="inlineStr">
        <is>
          <t>Тариф с завтраком</t>
        </is>
      </c>
      <c r="W361" t="n">
        <v>14220</v>
      </c>
      <c r="X361" s="3" t="n">
        <v>1580</v>
      </c>
      <c r="Y361" t="inlineStr">
        <is>
          <t>10%</t>
        </is>
      </c>
      <c r="Z361" t="inlineStr">
        <is>
          <t>2026-09-14</t>
        </is>
      </c>
      <c r="AA361" s="3" t="n">
        <v>14220</v>
      </c>
      <c r="AB361" t="inlineStr">
        <is>
          <t>Сошлось по ночным тарифам</t>
        </is>
      </c>
      <c r="AC361" s="2" t="inlineStr"/>
      <c r="AD361" t="n">
        <v>1580</v>
      </c>
      <c r="AE361" t="n">
        <v>0</v>
      </c>
      <c r="AF361" t="inlineStr">
        <is>
          <t>Скидка добавлена к налоговой базе</t>
        </is>
      </c>
      <c r="AG361" t="n">
        <v>15800</v>
      </c>
      <c r="AH361" t="n">
        <v>14220</v>
      </c>
      <c r="AI361" t="inlineStr">
        <is>
          <t>Полное проживание в выбранном периоде</t>
        </is>
      </c>
    </row>
    <row r="362">
      <c r="A362" t="inlineStr">
        <is>
          <t>20260915-8186-466067897</t>
        </is>
      </c>
      <c r="B362" t="n">
        <v>1</v>
      </c>
      <c r="C362" s="2" t="inlineStr">
        <is>
          <t>Денис Евдокимов</t>
        </is>
      </c>
      <c r="D362" s="3" t="n">
        <v>13050</v>
      </c>
      <c r="E362" s="4" t="n">
        <v>0</v>
      </c>
      <c r="F362" t="inlineStr">
        <is>
          <t>Прямые бронирования (стойка) [Чайковский]</t>
        </is>
      </c>
      <c r="G362" s="3">
        <f>ROUND(D362/(100-E362)*100,2)</f>
        <v/>
      </c>
      <c r="H362" s="3" t="n">
        <v>0</v>
      </c>
      <c r="I362" s="3">
        <f>ROUND(IF(ISNUMBER(AG362),AG362,G362)+H362,2)</f>
        <v/>
      </c>
      <c r="J362" s="2" t="inlineStr">
        <is>
          <t>Завтрак "Шведский стол"</t>
        </is>
      </c>
      <c r="K362" s="5" t="n">
        <v>46280.58333333334</v>
      </c>
      <c r="L362" t="n">
        <v>1</v>
      </c>
      <c r="M362" s="3">
        <f>I362/L362</f>
        <v/>
      </c>
      <c r="N362">
        <f>IF(M362&gt;=5100,"ставка","мин.ставка")</f>
        <v/>
      </c>
      <c r="O362" s="3">
        <f>ROUND(IF(N362="мин.ставка",L362*100,I362/102*2),2)</f>
        <v/>
      </c>
      <c r="P362" s="5" t="n">
        <v>46281.5</v>
      </c>
      <c r="Q362" t="inlineStr">
        <is>
          <t>TravelLine ресепшен</t>
        </is>
      </c>
      <c r="R362" s="2" t="inlineStr">
        <is>
          <t>ПОЛУЛЮКС</t>
        </is>
      </c>
      <c r="S362" t="n">
        <v>11</v>
      </c>
      <c r="T362" t="n">
        <v>1</v>
      </c>
      <c r="U362" t="inlineStr"/>
      <c r="V362" t="inlineStr">
        <is>
          <t>Тариф с завтраком</t>
        </is>
      </c>
      <c r="W362" t="n">
        <v>13050</v>
      </c>
      <c r="X362" s="3" t="n">
        <v>1450</v>
      </c>
      <c r="Y362" t="inlineStr">
        <is>
          <t>10%</t>
        </is>
      </c>
      <c r="Z362" t="inlineStr">
        <is>
          <t>2026-09-15</t>
        </is>
      </c>
      <c r="AA362" s="3" t="n">
        <v>13050</v>
      </c>
      <c r="AB362" t="inlineStr">
        <is>
          <t>Сошлось по ночным тарифам</t>
        </is>
      </c>
      <c r="AC362" s="2" t="inlineStr"/>
      <c r="AD362" t="n">
        <v>1450</v>
      </c>
      <c r="AE362" t="n">
        <v>0</v>
      </c>
      <c r="AF362" t="inlineStr">
        <is>
          <t>Скидка добавлена к налоговой базе</t>
        </is>
      </c>
      <c r="AG362" t="n">
        <v>14500</v>
      </c>
      <c r="AH362" t="n">
        <v>13050</v>
      </c>
      <c r="AI362" t="inlineStr">
        <is>
          <t>Полное проживание в выбранном периоде</t>
        </is>
      </c>
    </row>
    <row r="363">
      <c r="A363" t="inlineStr">
        <is>
          <t>20260726-8186-453457921</t>
        </is>
      </c>
      <c r="B363" t="n">
        <v>1</v>
      </c>
      <c r="C363" s="2" t="inlineStr">
        <is>
          <t>Денис Зуев, Софья Артемьева</t>
        </is>
      </c>
      <c r="D363" s="3" t="n">
        <v>10900</v>
      </c>
      <c r="E363" s="4" t="n">
        <v>0</v>
      </c>
      <c r="F363" t="inlineStr">
        <is>
          <t>Прямые бронирования (стойка) [Чайковский]</t>
        </is>
      </c>
      <c r="G363" s="3">
        <f>ROUND(D363/(100-E363)*100,2)</f>
        <v/>
      </c>
      <c r="H363" s="3" t="n">
        <v>0</v>
      </c>
      <c r="I363" s="3">
        <f>ROUND(IF(ISNUMBER(AG363),AG363,G363)+H363,2)</f>
        <v/>
      </c>
      <c r="J363" s="2" t="inlineStr">
        <is>
          <t>Завтрак "Шведский стол"</t>
        </is>
      </c>
      <c r="K363" s="5" t="n">
        <v>46229.58333333334</v>
      </c>
      <c r="L363" t="n">
        <v>1</v>
      </c>
      <c r="M363" s="3">
        <f>I363/L363</f>
        <v/>
      </c>
      <c r="N363">
        <f>IF(M363&gt;=5100,"ставка","мин.ставка")</f>
        <v/>
      </c>
      <c r="O363" s="3">
        <f>ROUND(IF(N363="мин.ставка",L363*100,I363/102*2),2)</f>
        <v/>
      </c>
      <c r="P363" s="5" t="n">
        <v>46230.5</v>
      </c>
      <c r="Q363" t="inlineStr">
        <is>
          <t>TravelLine ресепшен</t>
        </is>
      </c>
      <c r="R363" s="2" t="inlineStr">
        <is>
          <t>СТАНДАРТНЫЙ ДВУХМЕСТНЫЙ НОМЕР</t>
        </is>
      </c>
      <c r="S363" t="n">
        <v>36</v>
      </c>
      <c r="T363" t="n">
        <v>1</v>
      </c>
      <c r="U363" t="inlineStr"/>
      <c r="V363" t="inlineStr">
        <is>
          <t>Тариф с завтраком</t>
        </is>
      </c>
      <c r="W363" t="n">
        <v>10900</v>
      </c>
      <c r="X363" s="3" t="n">
        <v>0</v>
      </c>
      <c r="Y363" t="inlineStr"/>
      <c r="Z363" t="inlineStr"/>
      <c r="AA363" s="3" t="n">
        <v>10900</v>
      </c>
      <c r="AB363" t="inlineStr">
        <is>
          <t>Сошлось по ночным тарифам</t>
        </is>
      </c>
      <c r="AC363" s="2" t="inlineStr"/>
      <c r="AD363" t="n">
        <v>0</v>
      </c>
      <c r="AE363" t="n">
        <v>0</v>
      </c>
      <c r="AF363" t="inlineStr">
        <is>
          <t>Скидки нет</t>
        </is>
      </c>
      <c r="AG363" t="n">
        <v>10900</v>
      </c>
      <c r="AH363" t="n">
        <v>10900</v>
      </c>
      <c r="AI363" t="inlineStr">
        <is>
          <t>Полное проживание в выбранном периоде</t>
        </is>
      </c>
    </row>
    <row r="364">
      <c r="A364" t="inlineStr">
        <is>
          <t>20260826-8186-430091613</t>
        </is>
      </c>
      <c r="B364" t="n">
        <v>1</v>
      </c>
      <c r="C364" s="2" t="inlineStr">
        <is>
          <t>Денис Клевцов, Екатерина Клевцова</t>
        </is>
      </c>
      <c r="D364" s="3" t="n">
        <v>13200</v>
      </c>
      <c r="E364" s="4" t="n">
        <v>18</v>
      </c>
      <c r="F364" t="inlineStr">
        <is>
          <t>Яндекс.Путешествия [Чайковский]</t>
        </is>
      </c>
      <c r="G364" s="3">
        <f>ROUND(D364/(100-E364)*100,2)</f>
        <v/>
      </c>
      <c r="H364" s="3" t="n">
        <v>0</v>
      </c>
      <c r="I364" s="3">
        <f>ROUND(IF(ISNUMBER(AG364),AG364,G364)+H364,2)</f>
        <v/>
      </c>
      <c r="J364" s="2" t="inlineStr">
        <is>
          <t>Завтрак "Шведский стол"</t>
        </is>
      </c>
      <c r="K364" s="5" t="n">
        <v>46260.58333333334</v>
      </c>
      <c r="L364" t="n">
        <v>1</v>
      </c>
      <c r="M364" s="3">
        <f>I364/L364</f>
        <v/>
      </c>
      <c r="N364">
        <f>IF(M364&gt;=5100,"ставка","мин.ставка")</f>
        <v/>
      </c>
      <c r="O364" s="3">
        <f>ROUND(IF(N364="мин.ставка",L364*100,I364/102*2),2)</f>
        <v/>
      </c>
      <c r="P364" s="5" t="n">
        <v>46261.5</v>
      </c>
      <c r="Q364" t="inlineStr">
        <is>
          <t>TravelLine YAX</t>
        </is>
      </c>
      <c r="R364" s="2" t="inlineStr">
        <is>
          <t>ПОЛУЛЮКС</t>
        </is>
      </c>
      <c r="S364" t="n">
        <v>25</v>
      </c>
      <c r="T364" t="n">
        <v>1</v>
      </c>
      <c r="U364" t="inlineStr"/>
      <c r="V364" t="inlineStr">
        <is>
          <t>Тариф с завтраком</t>
        </is>
      </c>
      <c r="W364" t="n">
        <v>13200</v>
      </c>
      <c r="X364" s="3" t="n">
        <v>3300</v>
      </c>
      <c r="Y364" t="inlineStr">
        <is>
          <t>20%</t>
        </is>
      </c>
      <c r="Z364" t="inlineStr">
        <is>
          <t>2026-08-26</t>
        </is>
      </c>
      <c r="AA364" s="3" t="n">
        <v>13200</v>
      </c>
      <c r="AB364" t="inlineStr">
        <is>
          <t>Сошлось по ночным тарифам</t>
        </is>
      </c>
      <c r="AC364" s="2" t="inlineStr"/>
      <c r="AD364" t="n">
        <v>3300</v>
      </c>
      <c r="AE364" t="n">
        <v>0</v>
      </c>
      <c r="AF364" t="inlineStr">
        <is>
          <t>Скидка добавлена к налоговой базе</t>
        </is>
      </c>
      <c r="AG364" t="n">
        <v>16500</v>
      </c>
      <c r="AH364" t="n">
        <v>13200</v>
      </c>
      <c r="AI364" t="inlineStr">
        <is>
          <t>Полное проживание в выбранном периоде</t>
        </is>
      </c>
    </row>
    <row r="365">
      <c r="A365" t="inlineStr">
        <is>
          <t>20260720-8186-450692954</t>
        </is>
      </c>
      <c r="B365" t="n">
        <v>1</v>
      </c>
      <c r="C365" s="2" t="inlineStr">
        <is>
          <t>ДЕНИС ЛАЗУРЕНКО</t>
        </is>
      </c>
      <c r="D365" s="3" t="n">
        <v>11390</v>
      </c>
      <c r="E365" s="4" t="n">
        <v>15</v>
      </c>
      <c r="F365" t="inlineStr">
        <is>
          <t>ООО "БРОНИРОВАНИЕ ГОСТИНИЦ" (OSTROVOK) [Чайковский]</t>
        </is>
      </c>
      <c r="G365" s="3">
        <f>ROUND(D365/(100-E365)*100,2)</f>
        <v/>
      </c>
      <c r="H365" s="3" t="n">
        <v>0</v>
      </c>
      <c r="I365" s="3">
        <f>ROUND(IF(ISNUMBER(AG365),AG365,G365)+H365,2)</f>
        <v/>
      </c>
      <c r="J365" s="2" t="inlineStr">
        <is>
          <t>Завтрак "Шведский стол"</t>
        </is>
      </c>
      <c r="K365" s="5" t="n">
        <v>46223.58333333334</v>
      </c>
      <c r="L365" t="n">
        <v>1</v>
      </c>
      <c r="M365" s="3">
        <f>I365/L365</f>
        <v/>
      </c>
      <c r="N365">
        <f>IF(M365&gt;=5100,"ставка","мин.ставка")</f>
        <v/>
      </c>
      <c r="O365" s="3">
        <f>ROUND(IF(N365="мин.ставка",L365*100,I365/102*2),2)</f>
        <v/>
      </c>
      <c r="P365" s="5" t="n">
        <v>46224.5</v>
      </c>
      <c r="Q365" t="inlineStr">
        <is>
          <t>TravelLine OTK</t>
        </is>
      </c>
      <c r="R365" s="2" t="inlineStr">
        <is>
          <t>УЛУЧШЕННЫЙ ДВУХМЕСТНЫЙ НОМЕР</t>
        </is>
      </c>
      <c r="S365" t="n">
        <v>31</v>
      </c>
      <c r="T365" t="n">
        <v>1</v>
      </c>
      <c r="U365" t="inlineStr"/>
      <c r="V365" t="inlineStr">
        <is>
          <t>Тариф с завтраком</t>
        </is>
      </c>
      <c r="W365" t="n">
        <v>11390</v>
      </c>
      <c r="X365" s="3" t="n">
        <v>2010</v>
      </c>
      <c r="Y365" t="inlineStr">
        <is>
          <t>15%</t>
        </is>
      </c>
      <c r="Z365" t="inlineStr">
        <is>
          <t>2026-07-20</t>
        </is>
      </c>
      <c r="AA365" s="3" t="n">
        <v>11390</v>
      </c>
      <c r="AB365" t="inlineStr">
        <is>
          <t>Сошлось по ночным тарифам</t>
        </is>
      </c>
      <c r="AC365" s="2" t="inlineStr"/>
      <c r="AD365" t="n">
        <v>2010</v>
      </c>
      <c r="AE365" t="n">
        <v>0</v>
      </c>
      <c r="AF365" t="inlineStr">
        <is>
          <t>Скидка добавлена к налоговой базе</t>
        </is>
      </c>
      <c r="AG365" t="n">
        <v>13400</v>
      </c>
      <c r="AH365" t="n">
        <v>11390</v>
      </c>
      <c r="AI365" t="inlineStr">
        <is>
          <t>Полное проживание в выбранном периоде</t>
        </is>
      </c>
    </row>
    <row r="366">
      <c r="A366" t="inlineStr">
        <is>
          <t>20260711-8186-410900231</t>
        </is>
      </c>
      <c r="B366" t="n">
        <v>1</v>
      </c>
      <c r="C366" s="2" t="inlineStr">
        <is>
          <t>Денис НИКИТИН, Наталья Никитина, Георгий Никитин</t>
        </is>
      </c>
      <c r="D366" s="3" t="n">
        <v>17250</v>
      </c>
      <c r="E366" s="4" t="n">
        <v>0</v>
      </c>
      <c r="F366" t="inlineStr">
        <is>
          <t>Прямые бронирования (стойка) [Чайковский]</t>
        </is>
      </c>
      <c r="G366" s="3">
        <f>ROUND(D366/(100-E366)*100,2)</f>
        <v/>
      </c>
      <c r="H366" s="3" t="n">
        <v>0</v>
      </c>
      <c r="I366" s="3">
        <f>ROUND(IF(ISNUMBER(AG366),AG366,G366)+H366,2)</f>
        <v/>
      </c>
      <c r="J366" s="2" t="inlineStr">
        <is>
          <t>Завтрак "Шведский стол"</t>
        </is>
      </c>
      <c r="K366" s="5" t="n">
        <v>46214.58333333334</v>
      </c>
      <c r="L366" t="n">
        <v>1</v>
      </c>
      <c r="M366" s="3">
        <f>I366/L366</f>
        <v/>
      </c>
      <c r="N366">
        <f>IF(M366&gt;=5100,"ставка","мин.ставка")</f>
        <v/>
      </c>
      <c r="O366" s="3">
        <f>ROUND(IF(N366="мин.ставка",L366*100,I366/102*2),2)</f>
        <v/>
      </c>
      <c r="P366" s="5" t="n">
        <v>46215.5</v>
      </c>
      <c r="Q366" t="inlineStr">
        <is>
          <t>TravelLine ресепшен</t>
        </is>
      </c>
      <c r="R366" s="2" t="inlineStr">
        <is>
          <t>семейный номер категории "стандарт"</t>
        </is>
      </c>
      <c r="S366" t="n">
        <v>51</v>
      </c>
      <c r="T366" t="n">
        <v>2</v>
      </c>
      <c r="U366" t="inlineStr"/>
      <c r="V366" t="inlineStr">
        <is>
          <t>Тариф с завтраком</t>
        </is>
      </c>
      <c r="W366" t="n">
        <v>17250</v>
      </c>
      <c r="X366" s="3" t="n">
        <v>0</v>
      </c>
      <c r="Y366" t="inlineStr"/>
      <c r="Z366" t="inlineStr"/>
      <c r="AA366" s="3" t="n">
        <v>17250</v>
      </c>
      <c r="AB366" t="inlineStr">
        <is>
          <t>Сошлось по ночным тарифам</t>
        </is>
      </c>
      <c r="AC366" s="2" t="inlineStr"/>
      <c r="AD366" t="n">
        <v>0</v>
      </c>
      <c r="AE366" t="n">
        <v>0</v>
      </c>
      <c r="AF366" t="inlineStr">
        <is>
          <t>Скидки нет</t>
        </is>
      </c>
      <c r="AG366" t="n">
        <v>17250</v>
      </c>
      <c r="AH366" t="n">
        <v>17250</v>
      </c>
      <c r="AI366" t="inlineStr">
        <is>
          <t>Полное проживание в выбранном периоде</t>
        </is>
      </c>
    </row>
    <row r="367">
      <c r="A367" t="inlineStr">
        <is>
          <t>20260901-8186-455767839</t>
        </is>
      </c>
      <c r="B367" t="n">
        <v>1</v>
      </c>
      <c r="C367" s="2" t="inlineStr">
        <is>
          <t>Денис Петров</t>
        </is>
      </c>
      <c r="D367" s="3" t="n">
        <v>27240</v>
      </c>
      <c r="E367" s="4" t="n">
        <v>20</v>
      </c>
      <c r="F367" t="inlineStr">
        <is>
          <t>ООО "КОМПАНИЯ БРОНЕВИК" [Чайковский]</t>
        </is>
      </c>
      <c r="G367" s="3">
        <f>ROUND(D367/(100-E367)*100,2)</f>
        <v/>
      </c>
      <c r="H367" s="3" t="n">
        <v>9080</v>
      </c>
      <c r="I367" s="3">
        <f>ROUND(IF(ISNUMBER(AG367),AG367,G367)+H367,2)</f>
        <v/>
      </c>
      <c r="J367" s="2" t="inlineStr">
        <is>
          <t>Завтрак "Шведский стол"; Поздний выезд — 9 080,00 ₽</t>
        </is>
      </c>
      <c r="K367" s="5" t="n">
        <v>46266.58333333334</v>
      </c>
      <c r="L367" t="n">
        <v>3</v>
      </c>
      <c r="M367" s="3">
        <f>I367/L367</f>
        <v/>
      </c>
      <c r="N367">
        <f>IF(M367&gt;=5100,"ставка","мин.ставка")</f>
        <v/>
      </c>
      <c r="O367" s="3">
        <f>ROUND(IF(N367="мин.ставка",L367*100,I367/102*2),2)</f>
        <v/>
      </c>
      <c r="P367" s="5" t="n">
        <v>46269.875</v>
      </c>
      <c r="Q367" t="inlineStr">
        <is>
          <t>TravelLine BR2</t>
        </is>
      </c>
      <c r="R367" s="2" t="inlineStr">
        <is>
          <t>СТАНДАРТНЫЙ ДВУХМЕСТНЫЙ НОМЕР</t>
        </is>
      </c>
      <c r="S367" t="n">
        <v>36</v>
      </c>
      <c r="T367" t="n">
        <v>1</v>
      </c>
      <c r="U367" t="inlineStr"/>
      <c r="V367" t="inlineStr">
        <is>
          <t>Тариф с завтраком</t>
        </is>
      </c>
      <c r="W367" t="n">
        <v>36320</v>
      </c>
      <c r="X367" s="3" t="n">
        <v>0</v>
      </c>
      <c r="Y367" t="inlineStr"/>
      <c r="Z367" t="inlineStr"/>
      <c r="AA367" s="3" t="n">
        <v>27240</v>
      </c>
      <c r="AB367" t="inlineStr">
        <is>
          <t>Расхождение -9080.00 ₽</t>
        </is>
      </c>
      <c r="AC367" s="2" t="inlineStr"/>
      <c r="AD367" t="n">
        <v>0</v>
      </c>
      <c r="AE367" t="n">
        <v>0</v>
      </c>
      <c r="AF367" t="inlineStr">
        <is>
          <t>Скидки нет</t>
        </is>
      </c>
      <c r="AG367" t="n">
        <v>27240</v>
      </c>
      <c r="AH367" t="n">
        <v>27240</v>
      </c>
      <c r="AI367" t="inlineStr">
        <is>
          <t>Полное проживание в выбранном периоде</t>
        </is>
      </c>
    </row>
    <row r="368">
      <c r="A368" t="inlineStr">
        <is>
          <t>20260810-8186-453530368</t>
        </is>
      </c>
      <c r="B368" t="n">
        <v>1</v>
      </c>
      <c r="C368" s="2" t="inlineStr">
        <is>
          <t>Денис Рыбин</t>
        </is>
      </c>
      <c r="D368" s="3" t="n">
        <v>6314</v>
      </c>
      <c r="E368" s="4" t="n">
        <v>18</v>
      </c>
      <c r="F368" t="inlineStr">
        <is>
          <t>ООО "ТРИВИО СЕРВИС" [Чайковский]</t>
        </is>
      </c>
      <c r="G368" s="3">
        <f>ROUND(D368/(100-E368)*100,2)</f>
        <v/>
      </c>
      <c r="H368" s="3" t="n">
        <v>0</v>
      </c>
      <c r="I368" s="3">
        <f>ROUND(IF(ISNUMBER(AG368),AG368,G368)+H368,2)</f>
        <v/>
      </c>
      <c r="J368" s="2" t="inlineStr">
        <is>
          <t>Завтрак "Шведский стол"</t>
        </is>
      </c>
      <c r="K368" s="5" t="n">
        <v>46245.58333333334</v>
      </c>
      <c r="L368" t="n">
        <v>1</v>
      </c>
      <c r="M368" s="3">
        <f>I368/L368</f>
        <v/>
      </c>
      <c r="N368">
        <f>IF(M368&gt;=5100,"ставка","мин.ставка")</f>
        <v/>
      </c>
      <c r="O368" s="3">
        <f>ROUND(IF(N368="мин.ставка",L368*100,I368/102*2),2)</f>
        <v/>
      </c>
      <c r="P368" s="5" t="n">
        <v>46246.5</v>
      </c>
      <c r="Q368" t="inlineStr">
        <is>
          <t>TravelLine TIO</t>
        </is>
      </c>
      <c r="R368" s="2" t="inlineStr">
        <is>
          <t>СТАНДАРТНЫЙ ОДНОМЕСТНЫЙ НОМЕР</t>
        </is>
      </c>
      <c r="S368" t="n">
        <v>34</v>
      </c>
      <c r="T368" t="n">
        <v>1</v>
      </c>
      <c r="U368" t="inlineStr"/>
      <c r="V368" t="inlineStr">
        <is>
          <t>Тариф с завтраком</t>
        </is>
      </c>
      <c r="W368" t="n">
        <v>6314</v>
      </c>
      <c r="X368" s="3" t="n">
        <v>1386</v>
      </c>
      <c r="Y368" t="inlineStr">
        <is>
          <t>18%</t>
        </is>
      </c>
      <c r="Z368" t="inlineStr">
        <is>
          <t>2026-08-11</t>
        </is>
      </c>
      <c r="AA368" s="3" t="n">
        <v>6314</v>
      </c>
      <c r="AB368" t="inlineStr">
        <is>
          <t>Сошлось по ночным тарифам</t>
        </is>
      </c>
      <c r="AC368" s="2" t="inlineStr"/>
      <c r="AD368" t="n">
        <v>1386</v>
      </c>
      <c r="AE368" t="n">
        <v>0</v>
      </c>
      <c r="AF368" t="inlineStr">
        <is>
          <t>Скидка добавлена к налоговой базе</t>
        </is>
      </c>
      <c r="AG368" t="n">
        <v>7700</v>
      </c>
      <c r="AH368" t="n">
        <v>6314</v>
      </c>
      <c r="AI368" t="inlineStr">
        <is>
          <t>Полное проживание в выбранном периоде</t>
        </is>
      </c>
    </row>
    <row r="369">
      <c r="A369" t="inlineStr">
        <is>
          <t>20260708-8186-448169391</t>
        </is>
      </c>
      <c r="B369" t="n">
        <v>1</v>
      </c>
      <c r="C369" s="2" t="inlineStr">
        <is>
          <t>Денис Янке, Ксения Гнатишина</t>
        </is>
      </c>
      <c r="D369" s="3" t="n">
        <v>13695</v>
      </c>
      <c r="E369" s="4" t="n">
        <v>17</v>
      </c>
      <c r="F369" t="inlineStr">
        <is>
          <t>ООО «Интернет Трэвел» (OZON) [Чайковский]</t>
        </is>
      </c>
      <c r="G369" s="3">
        <f>ROUND(D369/(100-E369)*100,2)</f>
        <v/>
      </c>
      <c r="H369" s="3" t="n">
        <v>0</v>
      </c>
      <c r="I369" s="3">
        <f>ROUND(IF(ISNUMBER(AG369),AG369,G369)+H369,2)</f>
        <v/>
      </c>
      <c r="J369" s="2" t="inlineStr">
        <is>
          <t>Завтрак "Шведский стол"</t>
        </is>
      </c>
      <c r="K369" s="5" t="n">
        <v>46211.58333333334</v>
      </c>
      <c r="L369" t="n">
        <v>1</v>
      </c>
      <c r="M369" s="3">
        <f>I369/L369</f>
        <v/>
      </c>
      <c r="N369">
        <f>IF(M369&gt;=5100,"ставка","мин.ставка")</f>
        <v/>
      </c>
      <c r="O369" s="3">
        <f>ROUND(IF(N369="мин.ставка",L369*100,I369/102*2),2)</f>
        <v/>
      </c>
      <c r="P369" s="5" t="n">
        <v>46212.5</v>
      </c>
      <c r="Q369" t="inlineStr">
        <is>
          <t>TravelLine OZ2</t>
        </is>
      </c>
      <c r="R369" s="2" t="inlineStr">
        <is>
          <t>ПОЛУЛЮКС</t>
        </is>
      </c>
      <c r="S369" t="n">
        <v>25</v>
      </c>
      <c r="T369" t="n">
        <v>1</v>
      </c>
      <c r="U369" t="inlineStr"/>
      <c r="V369" t="inlineStr">
        <is>
          <t>Тариф с завтраком</t>
        </is>
      </c>
      <c r="W369" t="n">
        <v>13695</v>
      </c>
      <c r="X369" s="3" t="n">
        <v>2805</v>
      </c>
      <c r="Y369" t="inlineStr">
        <is>
          <t>17%</t>
        </is>
      </c>
      <c r="Z369" t="inlineStr">
        <is>
          <t>2026-07-08</t>
        </is>
      </c>
      <c r="AA369" s="3" t="n">
        <v>13695</v>
      </c>
      <c r="AB369" t="inlineStr">
        <is>
          <t>Сошлось по ночным тарифам</t>
        </is>
      </c>
      <c r="AC369" s="2" t="inlineStr"/>
      <c r="AD369" t="n">
        <v>2805</v>
      </c>
      <c r="AE369" t="n">
        <v>0</v>
      </c>
      <c r="AF369" t="inlineStr">
        <is>
          <t>Скидка добавлена к налоговой базе</t>
        </is>
      </c>
      <c r="AG369" t="n">
        <v>16500</v>
      </c>
      <c r="AH369" t="n">
        <v>13695</v>
      </c>
      <c r="AI369" t="inlineStr">
        <is>
          <t>Полное проживание в выбранном периоде</t>
        </is>
      </c>
    </row>
    <row r="370">
      <c r="A370" t="inlineStr">
        <is>
          <t>20260810-8186-438161193</t>
        </is>
      </c>
      <c r="B370" t="n">
        <v>1</v>
      </c>
      <c r="C370" s="2" t="inlineStr">
        <is>
          <t>Диляра Газизова, Ралина Газизова</t>
        </is>
      </c>
      <c r="D370" s="3" t="n">
        <v>42075</v>
      </c>
      <c r="E370" s="4" t="n">
        <v>0</v>
      </c>
      <c r="F370" t="inlineStr">
        <is>
          <t>ООО «ХОМЛИН ЛЭНД» (ПЕГАС) [Чайковский]</t>
        </is>
      </c>
      <c r="G370" s="3">
        <f>ROUND(D370/(100-E370)*100,2)</f>
        <v/>
      </c>
      <c r="H370" s="3" t="n">
        <v>0</v>
      </c>
      <c r="I370" s="3">
        <f>ROUND(IF(ISNUMBER(AG370),AG370,G370)+H370,2)</f>
        <v/>
      </c>
      <c r="J370" s="2" t="inlineStr">
        <is>
          <t>Завтрак "Шведский стол"</t>
        </is>
      </c>
      <c r="K370" s="5" t="n">
        <v>46244.58333333334</v>
      </c>
      <c r="L370" t="n">
        <v>5</v>
      </c>
      <c r="M370" s="3">
        <f>I370/L370</f>
        <v/>
      </c>
      <c r="N370">
        <f>IF(M370&gt;=5100,"ставка","мин.ставка")</f>
        <v/>
      </c>
      <c r="O370" s="3">
        <f>ROUND(IF(N370="мин.ставка",L370*100,I370/102*2),2)</f>
        <v/>
      </c>
      <c r="P370" s="5" t="n">
        <v>46249.5</v>
      </c>
      <c r="Q370" t="inlineStr">
        <is>
          <t>TravelLine PGS</t>
        </is>
      </c>
      <c r="R370" s="2" t="inlineStr">
        <is>
          <t>СТАНДАРТНЫЙ ДВУХМЕСТНЫЙ НОМЕР (МАНСАРДА)</t>
        </is>
      </c>
      <c r="S370" t="n">
        <v>45</v>
      </c>
      <c r="T370" t="n">
        <v>1</v>
      </c>
      <c r="U370" t="inlineStr"/>
      <c r="V370" t="inlineStr">
        <is>
          <t>Тариф с завтраком</t>
        </is>
      </c>
      <c r="W370" t="n">
        <v>42075</v>
      </c>
      <c r="X370" s="3" t="n">
        <v>7425</v>
      </c>
      <c r="Y370" t="inlineStr">
        <is>
          <t>15%</t>
        </is>
      </c>
      <c r="Z370" t="inlineStr">
        <is>
          <t>2026-08-10, 2026-08-11, 2026-08-12, 2026-08-13, 2026-08-14</t>
        </is>
      </c>
      <c r="AA370" s="3" t="n">
        <v>42075</v>
      </c>
      <c r="AB370" t="inlineStr">
        <is>
          <t>Сошлось по ночным тарифам</t>
        </is>
      </c>
      <c r="AC370" s="2" t="inlineStr"/>
      <c r="AD370" t="n">
        <v>7425</v>
      </c>
      <c r="AE370" t="n">
        <v>0</v>
      </c>
      <c r="AF370" t="inlineStr">
        <is>
          <t>Скидка добавлена к налоговой базе</t>
        </is>
      </c>
      <c r="AG370" t="n">
        <v>49500</v>
      </c>
      <c r="AH370" t="n">
        <v>42075</v>
      </c>
      <c r="AI370" t="inlineStr">
        <is>
          <t>Полное проживание в выбранном периоде</t>
        </is>
      </c>
    </row>
    <row r="371">
      <c r="A371" t="inlineStr">
        <is>
          <t>20260720-8186-451489596</t>
        </is>
      </c>
      <c r="B371" t="n">
        <v>1</v>
      </c>
      <c r="C371" s="2" t="inlineStr">
        <is>
          <t>Динара Гарипова, Наталья Зубкова</t>
        </is>
      </c>
      <c r="D371" s="3" t="n">
        <v>10680</v>
      </c>
      <c r="E371" s="4" t="n">
        <v>18</v>
      </c>
      <c r="F371" t="inlineStr">
        <is>
          <t>Яндекс.Путешествия [Чайковский]</t>
        </is>
      </c>
      <c r="G371" s="3">
        <f>ROUND(D371/(100-E371)*100,2)</f>
        <v/>
      </c>
      <c r="H371" s="3" t="n">
        <v>0</v>
      </c>
      <c r="I371" s="3">
        <f>ROUND(IF(ISNUMBER(AG371),AG371,G371)+H371,2)</f>
        <v/>
      </c>
      <c r="J371" s="2" t="inlineStr">
        <is>
          <t>Завтрак "Шведский стол"</t>
        </is>
      </c>
      <c r="K371" s="5" t="n">
        <v>46223.58333333334</v>
      </c>
      <c r="L371" t="n">
        <v>1</v>
      </c>
      <c r="M371" s="3">
        <f>I371/L371</f>
        <v/>
      </c>
      <c r="N371">
        <f>IF(M371&gt;=5100,"ставка","мин.ставка")</f>
        <v/>
      </c>
      <c r="O371" s="3">
        <f>ROUND(IF(N371="мин.ставка",L371*100,I371/102*2),2)</f>
        <v/>
      </c>
      <c r="P371" s="5" t="n">
        <v>46224.5</v>
      </c>
      <c r="Q371" t="inlineStr">
        <is>
          <t>TravelLine YAX</t>
        </is>
      </c>
      <c r="R371" s="2" t="inlineStr">
        <is>
          <t>СТАНДАРТНЫЙ ДВУХМЕСТНЫЙ НОМЕР</t>
        </is>
      </c>
      <c r="S371" t="n">
        <v>26</v>
      </c>
      <c r="T371" t="n">
        <v>1</v>
      </c>
      <c r="U371" t="inlineStr"/>
      <c r="V371" t="inlineStr">
        <is>
          <t>Тариф с завтраком</t>
        </is>
      </c>
      <c r="W371" t="n">
        <v>10680</v>
      </c>
      <c r="X371" s="3" t="n">
        <v>2670</v>
      </c>
      <c r="Y371" t="inlineStr">
        <is>
          <t>20%</t>
        </is>
      </c>
      <c r="Z371" t="inlineStr">
        <is>
          <t>2026-07-20</t>
        </is>
      </c>
      <c r="AA371" s="3" t="n">
        <v>10680</v>
      </c>
      <c r="AB371" t="inlineStr">
        <is>
          <t>Сошлось по ночным тарифам</t>
        </is>
      </c>
      <c r="AC371" s="2" t="inlineStr"/>
      <c r="AD371" t="n">
        <v>2670</v>
      </c>
      <c r="AE371" t="n">
        <v>0</v>
      </c>
      <c r="AF371" t="inlineStr">
        <is>
          <t>Скидка добавлена к налоговой базе</t>
        </is>
      </c>
      <c r="AG371" t="n">
        <v>13350</v>
      </c>
      <c r="AH371" t="n">
        <v>10680</v>
      </c>
      <c r="AI371" t="inlineStr">
        <is>
          <t>Полное проживание в выбранном периоде</t>
        </is>
      </c>
    </row>
    <row r="372">
      <c r="A372" t="inlineStr">
        <is>
          <t>20260808-8186-457026340</t>
        </is>
      </c>
      <c r="B372" t="n">
        <v>1</v>
      </c>
      <c r="C372" s="2" t="inlineStr">
        <is>
          <t>Дмитрий Агеев</t>
        </is>
      </c>
      <c r="D372" s="3" t="n">
        <v>13350</v>
      </c>
      <c r="E372" s="4" t="n">
        <v>0</v>
      </c>
      <c r="F372" t="inlineStr">
        <is>
          <t>Прямые бронирования (стойка) [Чайковский]</t>
        </is>
      </c>
      <c r="G372" s="3">
        <f>ROUND(D372/(100-E372)*100,2)</f>
        <v/>
      </c>
      <c r="H372" s="3" t="n">
        <v>0</v>
      </c>
      <c r="I372" s="3">
        <f>ROUND(IF(ISNUMBER(AG372),AG372,G372)+H372,2)</f>
        <v/>
      </c>
      <c r="J372" s="2" t="inlineStr">
        <is>
          <t>Завтрак "Шведский стол"</t>
        </is>
      </c>
      <c r="K372" s="5" t="n">
        <v>46242.58333333334</v>
      </c>
      <c r="L372" t="n">
        <v>1</v>
      </c>
      <c r="M372" s="3">
        <f>I372/L372</f>
        <v/>
      </c>
      <c r="N372">
        <f>IF(M372&gt;=5100,"ставка","мин.ставка")</f>
        <v/>
      </c>
      <c r="O372" s="3">
        <f>ROUND(IF(N372="мин.ставка",L372*100,I372/102*2),2)</f>
        <v/>
      </c>
      <c r="P372" s="5" t="n">
        <v>46243.5</v>
      </c>
      <c r="Q372" t="inlineStr">
        <is>
          <t>TravelLine ресепшен</t>
        </is>
      </c>
      <c r="R372" s="2" t="inlineStr">
        <is>
          <t>СТАНДАРТНЫЙ ДВУХМЕСТНЫЙ НОМЕР</t>
        </is>
      </c>
      <c r="S372" t="n">
        <v>44</v>
      </c>
      <c r="T372" t="n">
        <v>1</v>
      </c>
      <c r="U372" t="inlineStr"/>
      <c r="V372" t="inlineStr">
        <is>
          <t>Тариф с завтраком</t>
        </is>
      </c>
      <c r="W372" t="n">
        <v>13350</v>
      </c>
      <c r="X372" s="3" t="n">
        <v>0</v>
      </c>
      <c r="Y372" t="inlineStr"/>
      <c r="Z372" t="inlineStr"/>
      <c r="AA372" s="3" t="n">
        <v>13350</v>
      </c>
      <c r="AB372" t="inlineStr">
        <is>
          <t>Сошлось по ночным тарифам</t>
        </is>
      </c>
      <c r="AC372" s="2" t="inlineStr"/>
      <c r="AD372" t="n">
        <v>0</v>
      </c>
      <c r="AE372" t="n">
        <v>0</v>
      </c>
      <c r="AF372" t="inlineStr">
        <is>
          <t>Скидки нет</t>
        </is>
      </c>
      <c r="AG372" t="n">
        <v>13350</v>
      </c>
      <c r="AH372" t="n">
        <v>13350</v>
      </c>
      <c r="AI372" t="inlineStr">
        <is>
          <t>Полное проживание в выбранном периоде</t>
        </is>
      </c>
    </row>
    <row r="373">
      <c r="A373" t="inlineStr">
        <is>
          <t>20260715-8186-450097245</t>
        </is>
      </c>
      <c r="B373" t="n">
        <v>1</v>
      </c>
      <c r="C373" s="2" t="inlineStr">
        <is>
          <t>ДМИТРИЙ АКСЕНОВ</t>
        </is>
      </c>
      <c r="D373" s="3" t="n">
        <v>28440</v>
      </c>
      <c r="E373" s="4" t="n">
        <v>0</v>
      </c>
      <c r="F373" t="inlineStr">
        <is>
          <t>Прямые бронирования (стойка) [Чайковский]</t>
        </is>
      </c>
      <c r="G373" s="3">
        <f>ROUND(D373/(100-E373)*100,2)</f>
        <v/>
      </c>
      <c r="H373" s="3" t="n">
        <v>0</v>
      </c>
      <c r="I373" s="3">
        <f>ROUND(IF(ISNUMBER(AG373),AG373,G373)+H373,2)</f>
        <v/>
      </c>
      <c r="J373" s="2" t="inlineStr">
        <is>
          <t>Завтрак "Шведский стол"</t>
        </is>
      </c>
      <c r="K373" s="5" t="n">
        <v>46218.58333333334</v>
      </c>
      <c r="L373" t="n">
        <v>2</v>
      </c>
      <c r="M373" s="3">
        <f>I373/L373</f>
        <v/>
      </c>
      <c r="N373">
        <f>IF(M373&gt;=5100,"ставка","мин.ставка")</f>
        <v/>
      </c>
      <c r="O373" s="3">
        <f>ROUND(IF(N373="мин.ставка",L373*100,I373/102*2),2)</f>
        <v/>
      </c>
      <c r="P373" s="5" t="n">
        <v>46220.5</v>
      </c>
      <c r="Q373" t="inlineStr">
        <is>
          <t>TravelLine ресепшен</t>
        </is>
      </c>
      <c r="R373" s="2" t="inlineStr">
        <is>
          <t>ЛЮКС ВТОРОЙ КОРПУС</t>
        </is>
      </c>
      <c r="S373" t="n">
        <v>53</v>
      </c>
      <c r="T373" t="n">
        <v>2</v>
      </c>
      <c r="U373" t="inlineStr"/>
      <c r="V373" t="inlineStr">
        <is>
          <t>Тариф с завтраком</t>
        </is>
      </c>
      <c r="W373" t="n">
        <v>28440</v>
      </c>
      <c r="X373" s="3" t="n">
        <v>3160</v>
      </c>
      <c r="Y373" t="inlineStr">
        <is>
          <t>10%</t>
        </is>
      </c>
      <c r="Z373" t="inlineStr">
        <is>
          <t>2026-07-15, 2026-07-16</t>
        </is>
      </c>
      <c r="AA373" s="3" t="n">
        <v>28440</v>
      </c>
      <c r="AB373" t="inlineStr">
        <is>
          <t>Сошлось по ночным тарифам</t>
        </is>
      </c>
      <c r="AC373" s="2" t="inlineStr"/>
      <c r="AD373" t="n">
        <v>3160</v>
      </c>
      <c r="AE373" t="n">
        <v>0</v>
      </c>
      <c r="AF373" t="inlineStr">
        <is>
          <t>Скидка добавлена к налоговой базе</t>
        </is>
      </c>
      <c r="AG373" t="n">
        <v>31600</v>
      </c>
      <c r="AH373" t="n">
        <v>28440</v>
      </c>
      <c r="AI373" t="inlineStr">
        <is>
          <t>Полное проживание в выбранном периоде</t>
        </is>
      </c>
    </row>
    <row r="374">
      <c r="A374" t="inlineStr">
        <is>
          <t>20260920-8186-467291466</t>
        </is>
      </c>
      <c r="B374" t="n">
        <v>1</v>
      </c>
      <c r="C374" s="2" t="inlineStr">
        <is>
          <t>Дмитрий Алешков, Кристина аЛЕШКОВА</t>
        </is>
      </c>
      <c r="D374" s="3" t="n">
        <v>9900</v>
      </c>
      <c r="E374" s="4" t="n">
        <v>0</v>
      </c>
      <c r="F374" t="inlineStr">
        <is>
          <t>Прямые бронирования (стойка) [Чайковский]</t>
        </is>
      </c>
      <c r="G374" s="3">
        <f>ROUND(D374/(100-E374)*100,2)</f>
        <v/>
      </c>
      <c r="H374" s="3" t="n">
        <v>0</v>
      </c>
      <c r="I374" s="3">
        <f>ROUND(IF(ISNUMBER(AG374),AG374,G374)+H374,2)</f>
        <v/>
      </c>
      <c r="J374" s="2" t="inlineStr">
        <is>
          <t>Завтрак "Шведский стол"</t>
        </is>
      </c>
      <c r="K374" s="5" t="n">
        <v>46285.58333333334</v>
      </c>
      <c r="L374" t="n">
        <v>1</v>
      </c>
      <c r="M374" s="3">
        <f>I374/L374</f>
        <v/>
      </c>
      <c r="N374">
        <f>IF(M374&gt;=5100,"ставка","мин.ставка")</f>
        <v/>
      </c>
      <c r="O374" s="3">
        <f>ROUND(IF(N374="мин.ставка",L374*100,I374/102*2),2)</f>
        <v/>
      </c>
      <c r="P374" s="5" t="n">
        <v>46286.5</v>
      </c>
      <c r="Q374" t="inlineStr">
        <is>
          <t>TravelLine ресепшен</t>
        </is>
      </c>
      <c r="R374" s="2" t="inlineStr">
        <is>
          <t>СТАНДАРТНЫЙ ДВУХМЕСТНЫЙ НОМЕР (МАНСАРДА)</t>
        </is>
      </c>
      <c r="S374" t="n">
        <v>43</v>
      </c>
      <c r="T374" t="n">
        <v>1</v>
      </c>
      <c r="U374" t="inlineStr"/>
      <c r="V374" t="inlineStr">
        <is>
          <t>Тариф с завтраком</t>
        </is>
      </c>
      <c r="W374" t="n">
        <v>9900</v>
      </c>
      <c r="X374" s="3" t="n">
        <v>0</v>
      </c>
      <c r="Y374" t="inlineStr"/>
      <c r="Z374" t="inlineStr"/>
      <c r="AA374" s="3" t="n">
        <v>9900</v>
      </c>
      <c r="AB374" t="inlineStr">
        <is>
          <t>Сошлось по ночным тарифам</t>
        </is>
      </c>
      <c r="AC374" s="2" t="inlineStr"/>
      <c r="AD374" t="n">
        <v>0</v>
      </c>
      <c r="AE374" t="n">
        <v>0</v>
      </c>
      <c r="AF374" t="inlineStr">
        <is>
          <t>Скидки нет</t>
        </is>
      </c>
      <c r="AG374" t="n">
        <v>9900</v>
      </c>
      <c r="AH374" t="n">
        <v>9900</v>
      </c>
      <c r="AI374" t="inlineStr">
        <is>
          <t>Полное проживание в выбранном периоде</t>
        </is>
      </c>
    </row>
    <row r="375">
      <c r="A375" t="inlineStr">
        <is>
          <t>20260713-8186-449918669</t>
        </is>
      </c>
      <c r="B375" t="n">
        <v>1</v>
      </c>
      <c r="C375" s="2" t="inlineStr">
        <is>
          <t>Дмитрий Барменков</t>
        </is>
      </c>
      <c r="D375" s="3" t="n">
        <v>9647.5</v>
      </c>
      <c r="E375" s="4" t="n">
        <v>15</v>
      </c>
      <c r="F375" t="inlineStr">
        <is>
          <t>ООО "БРОНИРОВАНИЕ ГОСТИНИЦ" (OSTROVOK) [Чайковский]</t>
        </is>
      </c>
      <c r="G375" s="3">
        <f>ROUND(D375/(100-E375)*100,2)</f>
        <v/>
      </c>
      <c r="H375" s="3" t="n">
        <v>0</v>
      </c>
      <c r="I375" s="3">
        <f>ROUND(IF(ISNUMBER(AG375),AG375,G375)+H375,2)</f>
        <v/>
      </c>
      <c r="J375" s="2" t="inlineStr">
        <is>
          <t>Завтрак "Шведский стол"</t>
        </is>
      </c>
      <c r="K375" s="5" t="n">
        <v>46216.58333333334</v>
      </c>
      <c r="L375" t="n">
        <v>1</v>
      </c>
      <c r="M375" s="3">
        <f>I375/L375</f>
        <v/>
      </c>
      <c r="N375">
        <f>IF(M375&gt;=5100,"ставка","мин.ставка")</f>
        <v/>
      </c>
      <c r="O375" s="3">
        <f>ROUND(IF(N375="мин.ставка",L375*100,I375/102*2),2)</f>
        <v/>
      </c>
      <c r="P375" s="5" t="n">
        <v>46217.5</v>
      </c>
      <c r="Q375" t="inlineStr">
        <is>
          <t>TravelLine OTK</t>
        </is>
      </c>
      <c r="R375" s="2" t="inlineStr">
        <is>
          <t>СТАНДАРТНЫЙ ДВУХМЕСТНЫЙ НОМЕР</t>
        </is>
      </c>
      <c r="S375" t="n">
        <v>42</v>
      </c>
      <c r="T375" t="n">
        <v>1</v>
      </c>
      <c r="U375" t="inlineStr"/>
      <c r="V375" t="inlineStr">
        <is>
          <t>Тариф с завтраком</t>
        </is>
      </c>
      <c r="W375" t="n">
        <v>9647.5</v>
      </c>
      <c r="X375" s="3" t="n">
        <v>1702.5</v>
      </c>
      <c r="Y375" t="inlineStr">
        <is>
          <t>15%</t>
        </is>
      </c>
      <c r="Z375" t="inlineStr">
        <is>
          <t>2026-07-13</t>
        </is>
      </c>
      <c r="AA375" s="3" t="n">
        <v>9647.5</v>
      </c>
      <c r="AB375" t="inlineStr">
        <is>
          <t>Сошлось по ночным тарифам</t>
        </is>
      </c>
      <c r="AC375" s="2" t="inlineStr"/>
      <c r="AD375" t="n">
        <v>1702.5</v>
      </c>
      <c r="AE375" t="n">
        <v>0</v>
      </c>
      <c r="AF375" t="inlineStr">
        <is>
          <t>Скидка добавлена к налоговой базе</t>
        </is>
      </c>
      <c r="AG375" t="n">
        <v>11350</v>
      </c>
      <c r="AH375" t="n">
        <v>9647.5</v>
      </c>
      <c r="AI375" t="inlineStr">
        <is>
          <t>Полное проживание в выбранном периоде</t>
        </is>
      </c>
    </row>
    <row r="376">
      <c r="A376" t="inlineStr">
        <is>
          <t>20260722-8186-443640267</t>
        </is>
      </c>
      <c r="B376" t="n">
        <v>1</v>
      </c>
      <c r="C376" s="2" t="inlineStr">
        <is>
          <t>Дмитрий Батюшенков</t>
        </is>
      </c>
      <c r="D376" s="3" t="n">
        <v>18160</v>
      </c>
      <c r="E376" s="4" t="n">
        <v>20</v>
      </c>
      <c r="F376" t="inlineStr">
        <is>
          <t>ООО "ХБ-ПРО" [Чайковский]</t>
        </is>
      </c>
      <c r="G376" s="3">
        <f>ROUND(D376/(100-E376)*100,2)</f>
        <v/>
      </c>
      <c r="H376" s="3" t="n">
        <v>0</v>
      </c>
      <c r="I376" s="3">
        <f>ROUND(IF(ISNUMBER(AG376),AG376,G376)+H376,2)</f>
        <v/>
      </c>
      <c r="J376" s="2" t="inlineStr">
        <is>
          <t>Завтрак "Шведский стол"</t>
        </is>
      </c>
      <c r="K376" s="5" t="n">
        <v>46225.58333333334</v>
      </c>
      <c r="L376" t="n">
        <v>2</v>
      </c>
      <c r="M376" s="3">
        <f>I376/L376</f>
        <v/>
      </c>
      <c r="N376">
        <f>IF(M376&gt;=5100,"ставка","мин.ставка")</f>
        <v/>
      </c>
      <c r="O376" s="3">
        <f>ROUND(IF(N376="мин.ставка",L376*100,I376/102*2),2)</f>
        <v/>
      </c>
      <c r="P376" s="5" t="n">
        <v>46227.5</v>
      </c>
      <c r="Q376" t="inlineStr">
        <is>
          <t>TravelLine UTS</t>
        </is>
      </c>
      <c r="R376" s="2" t="inlineStr">
        <is>
          <t>СТАНДАРТНЫЙ ДВУХМЕСТНЫЙ НОМЕР</t>
        </is>
      </c>
      <c r="S376" t="n">
        <v>23</v>
      </c>
      <c r="T376" t="n">
        <v>1</v>
      </c>
      <c r="U376" t="inlineStr"/>
      <c r="V376" t="inlineStr">
        <is>
          <t>Тариф с завтраком</t>
        </is>
      </c>
      <c r="W376" t="n">
        <v>18160</v>
      </c>
      <c r="X376" s="3" t="n">
        <v>0</v>
      </c>
      <c r="Y376" t="inlineStr"/>
      <c r="Z376" t="inlineStr"/>
      <c r="AA376" s="3" t="n">
        <v>18160</v>
      </c>
      <c r="AB376" t="inlineStr">
        <is>
          <t>Сошлось по ночным тарифам</t>
        </is>
      </c>
      <c r="AC376" s="2" t="inlineStr"/>
      <c r="AD376" t="n">
        <v>0</v>
      </c>
      <c r="AE376" t="n">
        <v>0</v>
      </c>
      <c r="AF376" t="inlineStr">
        <is>
          <t>Скидки нет</t>
        </is>
      </c>
      <c r="AG376" t="n">
        <v>18160</v>
      </c>
      <c r="AH376" t="n">
        <v>18160</v>
      </c>
      <c r="AI376" t="inlineStr">
        <is>
          <t>Полное проживание в выбранном периоде</t>
        </is>
      </c>
    </row>
    <row r="377">
      <c r="A377" t="inlineStr">
        <is>
          <t>20260706-8186-447671235</t>
        </is>
      </c>
      <c r="B377" t="n">
        <v>1</v>
      </c>
      <c r="C377" s="2" t="inlineStr">
        <is>
          <t>Дмитрий Ермолин, Эллина Ермолина</t>
        </is>
      </c>
      <c r="D377" s="3" t="n">
        <v>13346.75</v>
      </c>
      <c r="E377" s="4" t="n">
        <v>4</v>
      </c>
      <c r="F377" t="inlineStr">
        <is>
          <t>TravelLine Booking Engine [Чайковский]</t>
        </is>
      </c>
      <c r="G377" s="3">
        <f>ROUND(D377/(100-E377)*100,2)</f>
        <v/>
      </c>
      <c r="H377" s="3" t="n">
        <v>0</v>
      </c>
      <c r="I377" s="3">
        <f>ROUND(IF(ISNUMBER(AG377),AG377,G377)+H377,2)</f>
        <v/>
      </c>
      <c r="J377" s="2" t="inlineStr">
        <is>
          <t>Завтрак "Шведский стол"</t>
        </is>
      </c>
      <c r="K377" s="5" t="n">
        <v>46209.58333333334</v>
      </c>
      <c r="L377" t="n">
        <v>1</v>
      </c>
      <c r="M377" s="3">
        <f>I377/L377</f>
        <v/>
      </c>
      <c r="N377">
        <f>IF(M377&gt;=5100,"ставка","мин.ставка")</f>
        <v/>
      </c>
      <c r="O377" s="3">
        <f>ROUND(IF(N377="мин.ставка",L377*100,I377/102*2),2)</f>
        <v/>
      </c>
      <c r="P377" s="5" t="n">
        <v>46210.5</v>
      </c>
      <c r="Q377" t="inlineStr">
        <is>
          <t>TravelLine сайт</t>
        </is>
      </c>
      <c r="R377" s="2" t="inlineStr">
        <is>
          <t>ПОЛУЛЮКС</t>
        </is>
      </c>
      <c r="S377" t="n">
        <v>35</v>
      </c>
      <c r="T377" t="n">
        <v>1</v>
      </c>
      <c r="U377" t="inlineStr"/>
      <c r="V377" t="inlineStr">
        <is>
          <t>Тариф с завтраком</t>
        </is>
      </c>
      <c r="W377" t="n">
        <v>13346.75</v>
      </c>
      <c r="X377" s="3" t="n">
        <v>203.25</v>
      </c>
      <c r="Y377" t="inlineStr">
        <is>
          <t>1.5%</t>
        </is>
      </c>
      <c r="Z377" t="inlineStr">
        <is>
          <t>2026-07-06</t>
        </is>
      </c>
      <c r="AA377" s="3" t="n">
        <v>13346.75</v>
      </c>
      <c r="AB377" t="inlineStr">
        <is>
          <t>Сошлось по ночным тарифам</t>
        </is>
      </c>
      <c r="AC377" s="2" t="inlineStr"/>
      <c r="AD377" t="n">
        <v>203.25</v>
      </c>
      <c r="AE377" t="n">
        <v>0</v>
      </c>
      <c r="AF377" t="inlineStr">
        <is>
          <t>Скидка добавлена к налоговой базе</t>
        </is>
      </c>
      <c r="AG377" t="n">
        <v>13550</v>
      </c>
      <c r="AH377" t="n">
        <v>13346.75</v>
      </c>
      <c r="AI377" t="inlineStr">
        <is>
          <t>Полное проживание в выбранном периоде</t>
        </is>
      </c>
    </row>
    <row r="378">
      <c r="A378" t="inlineStr">
        <is>
          <t>20260723-8186-449405536</t>
        </is>
      </c>
      <c r="B378" t="n">
        <v>1</v>
      </c>
      <c r="C378" s="2" t="inlineStr">
        <is>
          <t>Дмитрий Козлов</t>
        </is>
      </c>
      <c r="D378" s="3" t="n">
        <v>20430</v>
      </c>
      <c r="E378" s="4" t="n">
        <v>0</v>
      </c>
      <c r="F378" t="inlineStr">
        <is>
          <t>Прямые бронирования (стойка) [Чайковский]</t>
        </is>
      </c>
      <c r="G378" s="3">
        <f>ROUND(D378/(100-E378)*100,2)</f>
        <v/>
      </c>
      <c r="H378" s="3" t="n">
        <v>0</v>
      </c>
      <c r="I378" s="3">
        <f>ROUND(IF(ISNUMBER(AG378),AG378,G378)+H378,2)</f>
        <v/>
      </c>
      <c r="J378" s="2" t="inlineStr">
        <is>
          <t>Завтрак "Шведский стол"</t>
        </is>
      </c>
      <c r="K378" s="5" t="n">
        <v>46227.58333333334</v>
      </c>
      <c r="L378" t="n">
        <v>2</v>
      </c>
      <c r="M378" s="3">
        <f>I378/L378</f>
        <v/>
      </c>
      <c r="N378">
        <f>IF(M378&gt;=5100,"ставка","мин.ставка")</f>
        <v/>
      </c>
      <c r="O378" s="3">
        <f>ROUND(IF(N378="мин.ставка",L378*100,I378/102*2),2)</f>
        <v/>
      </c>
      <c r="P378" s="5" t="n">
        <v>46229.5</v>
      </c>
      <c r="Q378" t="inlineStr">
        <is>
          <t>TravelLine ресепшен</t>
        </is>
      </c>
      <c r="R378" s="2" t="inlineStr">
        <is>
          <t>СТАНДАРТНЫЙ ДВУХМЕСТНЫЙ НОМЕР</t>
        </is>
      </c>
      <c r="S378" t="n">
        <v>55</v>
      </c>
      <c r="T378" t="n">
        <v>2</v>
      </c>
      <c r="U378" t="inlineStr"/>
      <c r="V378" t="inlineStr">
        <is>
          <t>Тариф с завтраком</t>
        </is>
      </c>
      <c r="W378" t="n">
        <v>20430</v>
      </c>
      <c r="X378" s="3" t="n">
        <v>2270</v>
      </c>
      <c r="Y378" t="inlineStr">
        <is>
          <t>10%</t>
        </is>
      </c>
      <c r="Z378" t="inlineStr">
        <is>
          <t>2026-07-24, 2026-07-25</t>
        </is>
      </c>
      <c r="AA378" s="3" t="n">
        <v>20430</v>
      </c>
      <c r="AB378" t="inlineStr">
        <is>
          <t>Сошлось по ночным тарифам</t>
        </is>
      </c>
      <c r="AC378" s="2" t="inlineStr"/>
      <c r="AD378" t="n">
        <v>2270</v>
      </c>
      <c r="AE378" t="n">
        <v>0</v>
      </c>
      <c r="AF378" t="inlineStr">
        <is>
          <t>Скидка добавлена к налоговой базе</t>
        </is>
      </c>
      <c r="AG378" t="n">
        <v>22700</v>
      </c>
      <c r="AH378" t="n">
        <v>20430</v>
      </c>
      <c r="AI378" t="inlineStr">
        <is>
          <t>Полное проживание в выбранном периоде</t>
        </is>
      </c>
    </row>
    <row r="379">
      <c r="A379" t="inlineStr">
        <is>
          <t>20260919-8186-465134993</t>
        </is>
      </c>
      <c r="B379" t="n">
        <v>1</v>
      </c>
      <c r="C379" s="2" t="inlineStr">
        <is>
          <t>ДМИТРИЙ Козлов</t>
        </is>
      </c>
      <c r="D379" s="3" t="n">
        <v>11850</v>
      </c>
      <c r="E379" s="4" t="n">
        <v>18</v>
      </c>
      <c r="F379" t="inlineStr">
        <is>
          <t>Яндекс.Путешествия [Чайковский]</t>
        </is>
      </c>
      <c r="G379" s="3">
        <f>ROUND(D379/(100-E379)*100,2)</f>
        <v/>
      </c>
      <c r="H379" s="3" t="n">
        <v>0</v>
      </c>
      <c r="I379" s="3">
        <f>ROUND(IF(ISNUMBER(AG379),AG379,G379)+H379,2)</f>
        <v/>
      </c>
      <c r="J379" s="2" t="inlineStr">
        <is>
          <t>Завтрак "Шведский стол"</t>
        </is>
      </c>
      <c r="K379" s="5" t="n">
        <v>46284.58333333334</v>
      </c>
      <c r="L379" t="n">
        <v>2</v>
      </c>
      <c r="M379" s="3">
        <f>I379/L379</f>
        <v/>
      </c>
      <c r="N379">
        <f>IF(M379&gt;=5100,"ставка","мин.ставка")</f>
        <v/>
      </c>
      <c r="O379" s="3">
        <f>ROUND(IF(N379="мин.ставка",L379*100,I379/102*2),2)</f>
        <v/>
      </c>
      <c r="P379" s="5" t="n">
        <v>46286.5</v>
      </c>
      <c r="Q379" t="inlineStr">
        <is>
          <t>TravelLine YAX</t>
        </is>
      </c>
      <c r="R379" s="2" t="inlineStr">
        <is>
          <t>СТАНДАРТНЫЙ ДВУХМЕСТНЫЙ НОМЕР (МАНСАРДА)</t>
        </is>
      </c>
      <c r="S379" t="n">
        <v>47</v>
      </c>
      <c r="T379" t="n">
        <v>1</v>
      </c>
      <c r="U379" t="inlineStr"/>
      <c r="V379" t="inlineStr">
        <is>
          <t>Тариф с завтраком</t>
        </is>
      </c>
      <c r="W379" t="n">
        <v>11850</v>
      </c>
      <c r="X379" s="3" t="n">
        <v>3950</v>
      </c>
      <c r="Y379" t="inlineStr">
        <is>
          <t>25%</t>
        </is>
      </c>
      <c r="Z379" t="inlineStr">
        <is>
          <t>2026-09-19, 2026-09-20</t>
        </is>
      </c>
      <c r="AA379" s="3" t="n">
        <v>11850</v>
      </c>
      <c r="AB379" t="inlineStr">
        <is>
          <t>Сошлось по ночным тарифам</t>
        </is>
      </c>
      <c r="AC379" s="2" t="inlineStr"/>
      <c r="AD379" t="n">
        <v>3950</v>
      </c>
      <c r="AE379" t="n">
        <v>0</v>
      </c>
      <c r="AF379" t="inlineStr">
        <is>
          <t>Скидка добавлена к налоговой базе</t>
        </is>
      </c>
      <c r="AG379" t="n">
        <v>15800</v>
      </c>
      <c r="AH379" t="n">
        <v>11850</v>
      </c>
      <c r="AI379" t="inlineStr">
        <is>
          <t>Полное проживание в выбранном периоде</t>
        </is>
      </c>
    </row>
    <row r="380">
      <c r="A380" t="inlineStr">
        <is>
          <t>20260830-8186-441259447</t>
        </is>
      </c>
      <c r="B380" t="n">
        <v>1</v>
      </c>
      <c r="C380" s="2" t="inlineStr">
        <is>
          <t>Дмитрий Куковенко, Оксана Патрова</t>
        </is>
      </c>
      <c r="D380" s="3" t="n">
        <v>16434</v>
      </c>
      <c r="E380" s="4" t="n">
        <v>17</v>
      </c>
      <c r="F380" t="inlineStr">
        <is>
          <t>ООО «Интернет Трэвел» (OZON) [Чайковский]</t>
        </is>
      </c>
      <c r="G380" s="3">
        <f>ROUND(D380/(100-E380)*100,2)</f>
        <v/>
      </c>
      <c r="H380" s="3" t="n">
        <v>0</v>
      </c>
      <c r="I380" s="3">
        <f>ROUND(IF(ISNUMBER(AG380),AG380,G380)+H380,2)</f>
        <v/>
      </c>
      <c r="J380" s="2" t="inlineStr">
        <is>
          <t>Завтрак "Шведский стол"</t>
        </is>
      </c>
      <c r="K380" s="5" t="n">
        <v>46264.58333333334</v>
      </c>
      <c r="L380" t="n">
        <v>2</v>
      </c>
      <c r="M380" s="3">
        <f>I380/L380</f>
        <v/>
      </c>
      <c r="N380">
        <f>IF(M380&gt;=5100,"ставка","мин.ставка")</f>
        <v/>
      </c>
      <c r="O380" s="3">
        <f>ROUND(IF(N380="мин.ставка",L380*100,I380/102*2),2)</f>
        <v/>
      </c>
      <c r="P380" s="5" t="n">
        <v>46266.5</v>
      </c>
      <c r="Q380" t="inlineStr">
        <is>
          <t>TravelLine OZ2</t>
        </is>
      </c>
      <c r="R380" s="2" t="inlineStr">
        <is>
          <t>СТАНДАРТНЫЙ ДВУХМЕСТНЫЙ НОМЕР</t>
        </is>
      </c>
      <c r="S380" t="n">
        <v>46</v>
      </c>
      <c r="T380" t="n">
        <v>1</v>
      </c>
      <c r="U380" t="inlineStr"/>
      <c r="V380" t="inlineStr">
        <is>
          <t>Тариф с завтраком</t>
        </is>
      </c>
      <c r="W380" t="n">
        <v>16434</v>
      </c>
      <c r="X380" s="3" t="n">
        <v>3366</v>
      </c>
      <c r="Y380" t="inlineStr">
        <is>
          <t>17%</t>
        </is>
      </c>
      <c r="Z380" t="inlineStr">
        <is>
          <t>2026-08-30, 2026-08-31</t>
        </is>
      </c>
      <c r="AA380" s="3" t="n">
        <v>16434</v>
      </c>
      <c r="AB380" t="inlineStr">
        <is>
          <t>Сошлось по ночным тарифам</t>
        </is>
      </c>
      <c r="AC380" s="2" t="inlineStr"/>
      <c r="AD380" t="n">
        <v>3366</v>
      </c>
      <c r="AE380" t="n">
        <v>0</v>
      </c>
      <c r="AF380" t="inlineStr">
        <is>
          <t>Скидка добавлена к налоговой базе</t>
        </is>
      </c>
      <c r="AG380" t="n">
        <v>19800</v>
      </c>
      <c r="AH380" t="n">
        <v>16434</v>
      </c>
      <c r="AI380" t="inlineStr">
        <is>
          <t>Полное проживание в выбранном периоде</t>
        </is>
      </c>
    </row>
    <row r="381">
      <c r="A381" t="inlineStr">
        <is>
          <t>20260801-8186-441245788</t>
        </is>
      </c>
      <c r="B381" t="n">
        <v>1</v>
      </c>
      <c r="C381" s="2" t="inlineStr">
        <is>
          <t>Дмитрий Кусков</t>
        </is>
      </c>
      <c r="D381" s="3" t="n">
        <v>7461.3</v>
      </c>
      <c r="E381" s="4" t="n">
        <v>4</v>
      </c>
      <c r="F381" t="inlineStr">
        <is>
          <t>TravelLine Booking Engine [Чайковский]</t>
        </is>
      </c>
      <c r="G381" s="3">
        <f>ROUND(D381/(100-E381)*100,2)</f>
        <v/>
      </c>
      <c r="H381" s="3" t="n">
        <v>0</v>
      </c>
      <c r="I381" s="3">
        <f>ROUND(IF(ISNUMBER(AG381),AG381,G381)+H381,2)</f>
        <v/>
      </c>
      <c r="J381" s="2" t="inlineStr">
        <is>
          <t>Завтрак "Шведский стол"</t>
        </is>
      </c>
      <c r="K381" s="5" t="n">
        <v>46235.58333333334</v>
      </c>
      <c r="L381" t="n">
        <v>1</v>
      </c>
      <c r="M381" s="3">
        <f>I381/L381</f>
        <v/>
      </c>
      <c r="N381">
        <f>IF(M381&gt;=5100,"ставка","мин.ставка")</f>
        <v/>
      </c>
      <c r="O381" s="3">
        <f>ROUND(IF(N381="мин.ставка",L381*100,I381/102*2),2)</f>
        <v/>
      </c>
      <c r="P381" s="5" t="n">
        <v>46236.5</v>
      </c>
      <c r="Q381" t="inlineStr">
        <is>
          <t>TravelLine сайт</t>
        </is>
      </c>
      <c r="R381" s="2" t="inlineStr">
        <is>
          <t>СТАНДАРТНЫЙ ОДНОМЕСТНЫЙ НОМЕР</t>
        </is>
      </c>
      <c r="S381" t="n">
        <v>24</v>
      </c>
      <c r="T381" t="n">
        <v>1</v>
      </c>
      <c r="U381" t="inlineStr"/>
      <c r="V381" t="inlineStr">
        <is>
          <t>Тариф с завтраком</t>
        </is>
      </c>
      <c r="W381" t="n">
        <v>7461.3</v>
      </c>
      <c r="X381" s="3" t="n">
        <v>238.7</v>
      </c>
      <c r="Y381" t="inlineStr">
        <is>
          <t>3.1%</t>
        </is>
      </c>
      <c r="Z381" t="inlineStr">
        <is>
          <t>2026-08-01</t>
        </is>
      </c>
      <c r="AA381" s="3" t="n">
        <v>7461.3</v>
      </c>
      <c r="AB381" t="inlineStr">
        <is>
          <t>Сошлось по ночным тарифам</t>
        </is>
      </c>
      <c r="AC381" s="2" t="inlineStr"/>
      <c r="AD381" t="n">
        <v>238.7</v>
      </c>
      <c r="AE381" t="n">
        <v>0</v>
      </c>
      <c r="AF381" t="inlineStr">
        <is>
          <t>Скидка добавлена к налоговой базе</t>
        </is>
      </c>
      <c r="AG381" t="n">
        <v>7700</v>
      </c>
      <c r="AH381" t="n">
        <v>7461.3</v>
      </c>
      <c r="AI381" t="inlineStr">
        <is>
          <t>Полное проживание в выбранном периоде</t>
        </is>
      </c>
    </row>
    <row r="382">
      <c r="A382" t="inlineStr">
        <is>
          <t>20260925-8186-467835315</t>
        </is>
      </c>
      <c r="B382" t="n">
        <v>1</v>
      </c>
      <c r="C382" s="2" t="inlineStr">
        <is>
          <t>Дмитрий ЛЕБЕДЕВ, Анастасия Сирык</t>
        </is>
      </c>
      <c r="D382" s="3" t="n">
        <v>33000</v>
      </c>
      <c r="E382" s="4" t="n">
        <v>0</v>
      </c>
      <c r="F382" t="inlineStr">
        <is>
          <t>Прямые бронирования (стойка) [Чайковский]</t>
        </is>
      </c>
      <c r="G382" s="3">
        <f>ROUND(D382/(100-E382)*100,2)</f>
        <v/>
      </c>
      <c r="H382" s="3" t="n">
        <v>0</v>
      </c>
      <c r="I382" s="3">
        <f>ROUND(IF(ISNUMBER(AG382),AG382,G382)+H382,2)</f>
        <v/>
      </c>
      <c r="J382" s="2" t="inlineStr">
        <is>
          <t>Завтрак "Шведский стол"</t>
        </is>
      </c>
      <c r="K382" s="5" t="n">
        <v>46290.64583333334</v>
      </c>
      <c r="L382" t="n">
        <v>2</v>
      </c>
      <c r="M382" s="3">
        <f>I382/L382</f>
        <v/>
      </c>
      <c r="N382">
        <f>IF(M382&gt;=5100,"ставка","мин.ставка")</f>
        <v/>
      </c>
      <c r="O382" s="3">
        <f>ROUND(IF(N382="мин.ставка",L382*100,I382/102*2),2)</f>
        <v/>
      </c>
      <c r="P382" s="5" t="n">
        <v>46292.5</v>
      </c>
      <c r="Q382" t="inlineStr">
        <is>
          <t>TravelLine ресепшен</t>
        </is>
      </c>
      <c r="R382" s="2" t="inlineStr">
        <is>
          <t>ПОЛУЛЮКС</t>
        </is>
      </c>
      <c r="S382" t="n">
        <v>25</v>
      </c>
      <c r="T382" t="n">
        <v>1</v>
      </c>
      <c r="U382" t="inlineStr"/>
      <c r="V382" t="inlineStr">
        <is>
          <t>Тариф с завтраком</t>
        </is>
      </c>
      <c r="W382" t="n">
        <v>33000</v>
      </c>
      <c r="X382" s="3" t="n">
        <v>0</v>
      </c>
      <c r="Y382" t="inlineStr"/>
      <c r="Z382" t="inlineStr"/>
      <c r="AA382" s="3" t="n">
        <v>33000</v>
      </c>
      <c r="AB382" t="inlineStr">
        <is>
          <t>Сошлось по ночным тарифам</t>
        </is>
      </c>
      <c r="AC382" s="2" t="inlineStr"/>
      <c r="AD382" t="n">
        <v>0</v>
      </c>
      <c r="AE382" t="n">
        <v>0</v>
      </c>
      <c r="AF382" t="inlineStr">
        <is>
          <t>Скидки нет</t>
        </is>
      </c>
      <c r="AG382" t="n">
        <v>33000</v>
      </c>
      <c r="AH382" t="n">
        <v>33000</v>
      </c>
      <c r="AI382" t="inlineStr">
        <is>
          <t>Полное проживание в выбранном периоде</t>
        </is>
      </c>
    </row>
    <row r="383">
      <c r="A383" t="inlineStr">
        <is>
          <t>20260826-8186-460136123</t>
        </is>
      </c>
      <c r="B383" t="n">
        <v>1</v>
      </c>
      <c r="C383" s="2" t="inlineStr">
        <is>
          <t>Дмитрий Лемешов</t>
        </is>
      </c>
      <c r="D383" s="3" t="n">
        <v>18614</v>
      </c>
      <c r="E383" s="4" t="n">
        <v>18</v>
      </c>
      <c r="F383" t="inlineStr">
        <is>
          <t>ООО "Эй энд Эй" [Чайковский]</t>
        </is>
      </c>
      <c r="G383" s="3">
        <f>ROUND(D383/(100-E383)*100,2)</f>
        <v/>
      </c>
      <c r="H383" s="3" t="n">
        <v>0</v>
      </c>
      <c r="I383" s="3">
        <f>ROUND(IF(ISNUMBER(AG383),AG383,G383)+H383,2)</f>
        <v/>
      </c>
      <c r="J383" s="2" t="inlineStr">
        <is>
          <t>Завтрак "Шведский стол"</t>
        </is>
      </c>
      <c r="K383" s="5" t="n">
        <v>46260.58333333334</v>
      </c>
      <c r="L383" t="n">
        <v>2</v>
      </c>
      <c r="M383" s="3">
        <f>I383/L383</f>
        <v/>
      </c>
      <c r="N383">
        <f>IF(M383&gt;=5100,"ставка","мин.ставка")</f>
        <v/>
      </c>
      <c r="O383" s="3">
        <f>ROUND(IF(N383="мин.ставка",L383*100,I383/102*2),2)</f>
        <v/>
      </c>
      <c r="P383" s="5" t="n">
        <v>46262.5</v>
      </c>
      <c r="Q383" t="inlineStr">
        <is>
          <t>TravelLine ANA</t>
        </is>
      </c>
      <c r="R383" s="2" t="inlineStr">
        <is>
          <t>СТАНДАРТНЫЙ ДВУХМЕСТНЫЙ НОМЕР</t>
        </is>
      </c>
      <c r="S383" t="n">
        <v>42</v>
      </c>
      <c r="T383" t="n">
        <v>1</v>
      </c>
      <c r="U383" t="inlineStr"/>
      <c r="V383" t="inlineStr">
        <is>
          <t>Тариф с завтраком</t>
        </is>
      </c>
      <c r="W383" t="n">
        <v>18614</v>
      </c>
      <c r="X383" s="3" t="n">
        <v>4086</v>
      </c>
      <c r="Y383" t="inlineStr">
        <is>
          <t>18%</t>
        </is>
      </c>
      <c r="Z383" t="inlineStr">
        <is>
          <t>2026-08-26, 2026-08-27</t>
        </is>
      </c>
      <c r="AA383" s="3" t="n">
        <v>18614</v>
      </c>
      <c r="AB383" t="inlineStr">
        <is>
          <t>Сошлось по ночным тарифам</t>
        </is>
      </c>
      <c r="AC383" s="2" t="inlineStr"/>
      <c r="AD383" t="n">
        <v>4086</v>
      </c>
      <c r="AE383" t="n">
        <v>0</v>
      </c>
      <c r="AF383" t="inlineStr">
        <is>
          <t>Скидка добавлена к налоговой базе</t>
        </is>
      </c>
      <c r="AG383" t="n">
        <v>22700</v>
      </c>
      <c r="AH383" t="n">
        <v>18614</v>
      </c>
      <c r="AI383" t="inlineStr">
        <is>
          <t>Полное проживание в выбранном периоде</t>
        </is>
      </c>
    </row>
    <row r="384">
      <c r="A384" t="inlineStr">
        <is>
          <t>20260913-8186-455450232</t>
        </is>
      </c>
      <c r="B384" t="n">
        <v>1</v>
      </c>
      <c r="C384" s="2" t="inlineStr">
        <is>
          <t>Дмитрий Липсон</t>
        </is>
      </c>
      <c r="D384" s="3" t="n">
        <v>56750</v>
      </c>
      <c r="E384" s="4" t="n">
        <v>0</v>
      </c>
      <c r="F384" t="inlineStr">
        <is>
          <t>Прямые бронирования (стойка) [Чайковский]</t>
        </is>
      </c>
      <c r="G384" s="3">
        <f>ROUND(D384/(100-E384)*100,2)</f>
        <v/>
      </c>
      <c r="H384" s="3" t="n">
        <v>5675</v>
      </c>
      <c r="I384" s="3">
        <f>ROUND(IF(ISNUMBER(AG384),AG384,G384)+H384,2)</f>
        <v/>
      </c>
      <c r="J384" s="2" t="inlineStr">
        <is>
          <t>Завтрак "Шведский стол"; Поздний выезд — 5 675,00 ₽</t>
        </is>
      </c>
      <c r="K384" s="5" t="n">
        <v>46278.58333333334</v>
      </c>
      <c r="L384" t="n">
        <v>5</v>
      </c>
      <c r="M384" s="3">
        <f>I384/L384</f>
        <v/>
      </c>
      <c r="N384">
        <f>IF(M384&gt;=5100,"ставка","мин.ставка")</f>
        <v/>
      </c>
      <c r="O384" s="3">
        <f>ROUND(IF(N384="мин.ставка",L384*100,I384/102*2),2)</f>
        <v/>
      </c>
      <c r="P384" s="5" t="n">
        <v>46283.75</v>
      </c>
      <c r="Q384" t="inlineStr">
        <is>
          <t>TravelLine ресепшен</t>
        </is>
      </c>
      <c r="R384" s="2" t="inlineStr">
        <is>
          <t>СТАНДАРТНЫЙ ДВУХМЕСТНЫЙ НОМЕР</t>
        </is>
      </c>
      <c r="S384" t="n">
        <v>32</v>
      </c>
      <c r="T384" t="n">
        <v>1</v>
      </c>
      <c r="U384" t="inlineStr"/>
      <c r="V384" t="inlineStr">
        <is>
          <t>Тариф с завтраком</t>
        </is>
      </c>
      <c r="W384" t="n">
        <v>62425</v>
      </c>
      <c r="X384" s="3" t="n">
        <v>0</v>
      </c>
      <c r="Y384" t="inlineStr"/>
      <c r="Z384" t="inlineStr"/>
      <c r="AA384" s="3" t="n">
        <v>56750</v>
      </c>
      <c r="AB384" t="inlineStr">
        <is>
          <t>Расхождение -5675.00 ₽</t>
        </is>
      </c>
      <c r="AC384" s="2" t="inlineStr"/>
      <c r="AD384" t="n">
        <v>0</v>
      </c>
      <c r="AE384" t="n">
        <v>0</v>
      </c>
      <c r="AF384" t="inlineStr">
        <is>
          <t>Скидки нет</t>
        </is>
      </c>
      <c r="AG384" t="n">
        <v>56750</v>
      </c>
      <c r="AH384" t="n">
        <v>56750</v>
      </c>
      <c r="AI384" t="inlineStr">
        <is>
          <t>Полное проживание в выбранном периоде</t>
        </is>
      </c>
    </row>
    <row r="385">
      <c r="A385" t="inlineStr">
        <is>
          <t>20260701-8186-446547107</t>
        </is>
      </c>
      <c r="B385" t="n">
        <v>1</v>
      </c>
      <c r="C385" s="2" t="inlineStr">
        <is>
          <t>ДМИТРИЙ МАЛЫШЕВ, АЛЕКСАНДРА АШАПАТОВА</t>
        </is>
      </c>
      <c r="D385" s="3" t="n">
        <v>49300</v>
      </c>
      <c r="E385" s="4" t="n">
        <v>15</v>
      </c>
      <c r="F385" t="inlineStr">
        <is>
          <t>ООО "БРОНИРОВАНИЕ ГОСТИНИЦ" (OSTROVOK) [Чайковский]</t>
        </is>
      </c>
      <c r="G385" s="3">
        <f>ROUND(D385/(100-E385)*100,2)</f>
        <v/>
      </c>
      <c r="H385" s="3" t="n">
        <v>0</v>
      </c>
      <c r="I385" s="3">
        <f>ROUND(IF(ISNUMBER(AG385),AG385,G385)+H385,2)</f>
        <v/>
      </c>
      <c r="J385" s="2" t="inlineStr"/>
      <c r="K385" s="5" t="n">
        <v>46204.58333333334</v>
      </c>
      <c r="L385" t="n">
        <v>4</v>
      </c>
      <c r="M385" s="3">
        <f>I385/L385</f>
        <v/>
      </c>
      <c r="N385">
        <f>IF(M385&gt;=5100,"ставка","мин.ставка")</f>
        <v/>
      </c>
      <c r="O385" s="3">
        <f>ROUND(IF(N385="мин.ставка",L385*100,I385/102*2),2)</f>
        <v/>
      </c>
      <c r="P385" s="5" t="n">
        <v>46208.5</v>
      </c>
      <c r="Q385" t="inlineStr">
        <is>
          <t>TravelLine OTK</t>
        </is>
      </c>
      <c r="R385" s="2" t="inlineStr">
        <is>
          <t>ЛЮКС ВТОРОЙ КОРПУС</t>
        </is>
      </c>
      <c r="S385" t="n">
        <v>57</v>
      </c>
      <c r="T385" t="n">
        <v>2</v>
      </c>
      <c r="U385" t="inlineStr"/>
      <c r="V385" t="inlineStr">
        <is>
          <t>Основной тариф без завтрака</t>
        </is>
      </c>
      <c r="W385" t="n">
        <v>49300</v>
      </c>
      <c r="X385" s="3" t="n">
        <v>8700</v>
      </c>
      <c r="Y385" t="inlineStr">
        <is>
          <t>15%</t>
        </is>
      </c>
      <c r="Z385" t="inlineStr">
        <is>
          <t>2026-07-01, 2026-07-02, 2026-07-03, 2026-07-04</t>
        </is>
      </c>
      <c r="AA385" s="3" t="n">
        <v>49300</v>
      </c>
      <c r="AB385" t="inlineStr">
        <is>
          <t>Сошлось по ночным тарифам</t>
        </is>
      </c>
      <c r="AC385" s="2" t="inlineStr"/>
      <c r="AD385" t="n">
        <v>8700</v>
      </c>
      <c r="AE385" t="n">
        <v>0</v>
      </c>
      <c r="AF385" t="inlineStr">
        <is>
          <t>Скидка добавлена к налоговой базе</t>
        </is>
      </c>
      <c r="AG385" t="n">
        <v>58000</v>
      </c>
      <c r="AH385" t="n">
        <v>49300</v>
      </c>
      <c r="AI385" t="inlineStr">
        <is>
          <t>Полное проживание в выбранном периоде</t>
        </is>
      </c>
    </row>
    <row r="386">
      <c r="A386" t="inlineStr">
        <is>
          <t>20260706-8186-446293658</t>
        </is>
      </c>
      <c r="B386" t="n">
        <v>1</v>
      </c>
      <c r="C386" s="2" t="inlineStr">
        <is>
          <t>Дмитрий Марченко</t>
        </is>
      </c>
      <c r="D386" s="3" t="n">
        <v>30000</v>
      </c>
      <c r="E386" s="4" t="n">
        <v>0</v>
      </c>
      <c r="F386" t="inlineStr">
        <is>
          <t>Прямые бронирования (стойка) [Чайковский]</t>
        </is>
      </c>
      <c r="G386" s="3">
        <f>ROUND(D386/(100-E386)*100,2)</f>
        <v/>
      </c>
      <c r="H386" s="3" t="n">
        <v>0</v>
      </c>
      <c r="I386" s="3">
        <f>ROUND(IF(ISNUMBER(AG386),AG386,G386)+H386,2)</f>
        <v/>
      </c>
      <c r="J386" s="2" t="inlineStr">
        <is>
          <t>Завтрак "Шведский стол"</t>
        </is>
      </c>
      <c r="K386" s="5" t="n">
        <v>46209.58333333334</v>
      </c>
      <c r="L386" t="n">
        <v>2</v>
      </c>
      <c r="M386" s="3">
        <f>I386/L386</f>
        <v/>
      </c>
      <c r="N386">
        <f>IF(M386&gt;=5100,"ставка","мин.ставка")</f>
        <v/>
      </c>
      <c r="O386" s="3">
        <f>ROUND(IF(N386="мин.ставка",L386*100,I386/102*2),2)</f>
        <v/>
      </c>
      <c r="P386" s="5" t="n">
        <v>46211.5</v>
      </c>
      <c r="Q386" t="inlineStr">
        <is>
          <t>TravelLine ресепшен</t>
        </is>
      </c>
      <c r="R386" s="2" t="inlineStr">
        <is>
          <t>СТАНДАРТНЫЙ ДВУХМЕСТНЫЙ НОМЕР</t>
        </is>
      </c>
      <c r="S386" t="n">
        <v>46</v>
      </c>
      <c r="T386" t="n">
        <v>1</v>
      </c>
      <c r="U386" t="inlineStr"/>
      <c r="V386" t="inlineStr">
        <is>
          <t>Тариф с завтраком</t>
        </is>
      </c>
      <c r="W386" t="n">
        <v>30000</v>
      </c>
      <c r="X386" s="3" t="n">
        <v>0</v>
      </c>
      <c r="Y386" t="inlineStr"/>
      <c r="Z386" t="inlineStr"/>
      <c r="AA386" s="3" t="n">
        <v>30000</v>
      </c>
      <c r="AB386" t="inlineStr">
        <is>
          <t>Сошлось по ночным тарифам</t>
        </is>
      </c>
      <c r="AC386" s="2" t="inlineStr"/>
      <c r="AD386" t="n">
        <v>0</v>
      </c>
      <c r="AE386" t="n">
        <v>0</v>
      </c>
      <c r="AF386" t="inlineStr">
        <is>
          <t>Скидки нет</t>
        </is>
      </c>
      <c r="AG386" t="n">
        <v>30000</v>
      </c>
      <c r="AH386" t="n">
        <v>30000</v>
      </c>
      <c r="AI386" t="inlineStr">
        <is>
          <t>Полное проживание в выбранном периоде</t>
        </is>
      </c>
    </row>
    <row r="387">
      <c r="A387" t="inlineStr">
        <is>
          <t>20260720-8186-446146197</t>
        </is>
      </c>
      <c r="B387" t="n">
        <v>1</v>
      </c>
      <c r="C387" s="2" t="inlineStr">
        <is>
          <t>ДМИТРИЙ МЕШКОВ, НАДЕЖДА ЕВДОКИМОВА</t>
        </is>
      </c>
      <c r="D387" s="3" t="n">
        <v>21360</v>
      </c>
      <c r="E387" s="4" t="n">
        <v>20</v>
      </c>
      <c r="F387" t="inlineStr">
        <is>
          <t>ООО "КОМПАНИЯ БРОНЕВИК" [Чайковский]</t>
        </is>
      </c>
      <c r="G387" s="3">
        <f>ROUND(D387/(100-E387)*100,2)</f>
        <v/>
      </c>
      <c r="H387" s="3" t="n">
        <v>0</v>
      </c>
      <c r="I387" s="3">
        <f>ROUND(IF(ISNUMBER(AG387),AG387,G387)+H387,2)</f>
        <v/>
      </c>
      <c r="J387" s="2" t="inlineStr">
        <is>
          <t>Завтрак "Шведский стол"</t>
        </is>
      </c>
      <c r="K387" s="5" t="n">
        <v>46223.58333333334</v>
      </c>
      <c r="L387" t="n">
        <v>2</v>
      </c>
      <c r="M387" s="3">
        <f>I387/L387</f>
        <v/>
      </c>
      <c r="N387">
        <f>IF(M387&gt;=5100,"ставка","мин.ставка")</f>
        <v/>
      </c>
      <c r="O387" s="3">
        <f>ROUND(IF(N387="мин.ставка",L387*100,I387/102*2),2)</f>
        <v/>
      </c>
      <c r="P387" s="5" t="n">
        <v>46225.5</v>
      </c>
      <c r="Q387" t="inlineStr">
        <is>
          <t>TravelLine BR2</t>
        </is>
      </c>
      <c r="R387" s="2" t="inlineStr">
        <is>
          <t>СТАНДАРТНЫЙ ДВУХМЕСТНЫЙ НОМЕР</t>
        </is>
      </c>
      <c r="S387" t="n">
        <v>23</v>
      </c>
      <c r="T387" t="n">
        <v>1</v>
      </c>
      <c r="U387" t="inlineStr"/>
      <c r="V387" t="inlineStr">
        <is>
          <t>Тариф с завтраком</t>
        </is>
      </c>
      <c r="W387" t="n">
        <v>21360</v>
      </c>
      <c r="X387" s="3" t="n">
        <v>0</v>
      </c>
      <c r="Y387" t="inlineStr"/>
      <c r="Z387" t="inlineStr"/>
      <c r="AA387" s="3" t="n">
        <v>21360</v>
      </c>
      <c r="AB387" t="inlineStr">
        <is>
          <t>Сошлось по ночным тарифам</t>
        </is>
      </c>
      <c r="AC387" s="2" t="inlineStr"/>
      <c r="AD387" t="n">
        <v>0</v>
      </c>
      <c r="AE387" t="n">
        <v>0</v>
      </c>
      <c r="AF387" t="inlineStr">
        <is>
          <t>Скидки нет</t>
        </is>
      </c>
      <c r="AG387" t="n">
        <v>21360</v>
      </c>
      <c r="AH387" t="n">
        <v>21360</v>
      </c>
      <c r="AI387" t="inlineStr">
        <is>
          <t>Полное проживание в выбранном периоде</t>
        </is>
      </c>
    </row>
    <row r="388">
      <c r="A388" t="inlineStr">
        <is>
          <t>20260723-8186-449919086</t>
        </is>
      </c>
      <c r="B388" t="n">
        <v>1</v>
      </c>
      <c r="C388" s="2" t="inlineStr">
        <is>
          <t>Дмитрий Мещеряков</t>
        </is>
      </c>
      <c r="D388" s="3" t="n">
        <v>6764</v>
      </c>
      <c r="E388" s="4" t="n">
        <v>18</v>
      </c>
      <c r="F388" t="inlineStr">
        <is>
          <t>Яндекс.Путешествия [Чайковский]</t>
        </is>
      </c>
      <c r="G388" s="3">
        <f>ROUND(D388/(100-E388)*100,2)</f>
        <v/>
      </c>
      <c r="H388" s="3" t="n">
        <v>0</v>
      </c>
      <c r="I388" s="3">
        <f>ROUND(IF(ISNUMBER(AG388),AG388,G388)+H388,2)</f>
        <v/>
      </c>
      <c r="J388" s="2" t="inlineStr">
        <is>
          <t>Завтрак "Шведский стол"</t>
        </is>
      </c>
      <c r="K388" s="5" t="n">
        <v>46226.58333333334</v>
      </c>
      <c r="L388" t="n">
        <v>1</v>
      </c>
      <c r="M388" s="3">
        <f>I388/L388</f>
        <v/>
      </c>
      <c r="N388">
        <f>IF(M388&gt;=5100,"ставка","мин.ставка")</f>
        <v/>
      </c>
      <c r="O388" s="3">
        <f>ROUND(IF(N388="мин.ставка",L388*100,I388/102*2),2)</f>
        <v/>
      </c>
      <c r="P388" s="5" t="n">
        <v>46227.5</v>
      </c>
      <c r="Q388" t="inlineStr">
        <is>
          <t>TravelLine YAX</t>
        </is>
      </c>
      <c r="R388" s="2" t="inlineStr">
        <is>
          <t>СЕМЕЙНЫЙ НОМЕР КАТЕГОРИИ "СТАНДАРТ" ВТОРОЙ КОРПУС</t>
        </is>
      </c>
      <c r="S388" t="n">
        <v>51</v>
      </c>
      <c r="T388" t="n">
        <v>2</v>
      </c>
      <c r="U388" t="inlineStr"/>
      <c r="V388" t="inlineStr">
        <is>
          <t>Тариф с завтраком</t>
        </is>
      </c>
      <c r="W388" t="n">
        <v>6764</v>
      </c>
      <c r="X388" s="3" t="n">
        <v>1691</v>
      </c>
      <c r="Y388" t="inlineStr">
        <is>
          <t>20%</t>
        </is>
      </c>
      <c r="Z388" t="inlineStr">
        <is>
          <t>2026-07-23</t>
        </is>
      </c>
      <c r="AA388" s="3" t="n">
        <v>6764</v>
      </c>
      <c r="AB388" t="inlineStr">
        <is>
          <t>Сошлось по ночным тарифам</t>
        </is>
      </c>
      <c r="AC388" s="2" t="inlineStr"/>
      <c r="AD388" t="n">
        <v>1691</v>
      </c>
      <c r="AE388" t="n">
        <v>0</v>
      </c>
      <c r="AF388" t="inlineStr">
        <is>
          <t>Скидка добавлена к налоговой базе</t>
        </is>
      </c>
      <c r="AG388" t="n">
        <v>8455</v>
      </c>
      <c r="AH388" t="n">
        <v>6764</v>
      </c>
      <c r="AI388" t="inlineStr">
        <is>
          <t>Полное проживание в выбранном периоде</t>
        </is>
      </c>
    </row>
    <row r="389">
      <c r="A389" t="inlineStr">
        <is>
          <t>20260907-8186-434979838</t>
        </is>
      </c>
      <c r="B389" t="n">
        <v>1</v>
      </c>
      <c r="C389" s="2" t="inlineStr">
        <is>
          <t>Дмитрий Мироненков</t>
        </is>
      </c>
      <c r="D389" s="3" t="n">
        <v>31600</v>
      </c>
      <c r="E389" s="4" t="n">
        <v>0</v>
      </c>
      <c r="F389" t="inlineStr">
        <is>
          <t>Прямые бронирования (стойка) [Чайковский]</t>
        </is>
      </c>
      <c r="G389" s="3">
        <f>ROUND(D389/(100-E389)*100,2)</f>
        <v/>
      </c>
      <c r="H389" s="3" t="n">
        <v>0</v>
      </c>
      <c r="I389" s="3">
        <f>ROUND(IF(ISNUMBER(AG389),AG389,G389)+H389,2)</f>
        <v/>
      </c>
      <c r="J389" s="2" t="inlineStr">
        <is>
          <t>Завтрак "Шведский стол"</t>
        </is>
      </c>
      <c r="K389" s="5" t="n">
        <v>46272.58333333334</v>
      </c>
      <c r="L389" t="n">
        <v>4</v>
      </c>
      <c r="M389" s="3">
        <f>I389/L389</f>
        <v/>
      </c>
      <c r="N389">
        <f>IF(M389&gt;=5100,"ставка","мин.ставка")</f>
        <v/>
      </c>
      <c r="O389" s="3">
        <f>ROUND(IF(N389="мин.ставка",L389*100,I389/102*2),2)</f>
        <v/>
      </c>
      <c r="P389" s="5" t="n">
        <v>46276.5</v>
      </c>
      <c r="Q389" t="inlineStr">
        <is>
          <t>TravelLine ресепшен</t>
        </is>
      </c>
      <c r="R389" s="2" t="inlineStr">
        <is>
          <t>СТАНДАРТНЫЙ ДВУХМЕСТНЫЙ НОМЕР (МАНСАРДА)</t>
        </is>
      </c>
      <c r="S389" t="n">
        <v>43</v>
      </c>
      <c r="T389" t="n">
        <v>1</v>
      </c>
      <c r="U389" t="inlineStr"/>
      <c r="V389" t="inlineStr">
        <is>
          <t>Тариф с завтраком</t>
        </is>
      </c>
      <c r="W389" t="n">
        <v>31600</v>
      </c>
      <c r="X389" s="3" t="n">
        <v>0</v>
      </c>
      <c r="Y389" t="inlineStr"/>
      <c r="Z389" t="inlineStr"/>
      <c r="AA389" s="3" t="n">
        <v>31600</v>
      </c>
      <c r="AB389" t="inlineStr">
        <is>
          <t>Сошлось по ночным тарифам</t>
        </is>
      </c>
      <c r="AC389" s="2" t="inlineStr"/>
      <c r="AD389" t="n">
        <v>0</v>
      </c>
      <c r="AE389" t="n">
        <v>0</v>
      </c>
      <c r="AF389" t="inlineStr">
        <is>
          <t>Скидки нет</t>
        </is>
      </c>
      <c r="AG389" t="n">
        <v>31600</v>
      </c>
      <c r="AH389" t="n">
        <v>31600</v>
      </c>
      <c r="AI389" t="inlineStr">
        <is>
          <t>Полное проживание в выбранном периоде</t>
        </is>
      </c>
    </row>
    <row r="390">
      <c r="A390" t="inlineStr">
        <is>
          <t>20260729-8186-454076275</t>
        </is>
      </c>
      <c r="B390" t="n">
        <v>1</v>
      </c>
      <c r="C390" s="2" t="inlineStr">
        <is>
          <t>Дмитрий Мольский</t>
        </is>
      </c>
      <c r="D390" s="3" t="n">
        <v>14220</v>
      </c>
      <c r="E390" s="4" t="n">
        <v>0</v>
      </c>
      <c r="F390" t="inlineStr">
        <is>
          <t>Прямые бронирования (стойка) [Чайковский]</t>
        </is>
      </c>
      <c r="G390" s="3">
        <f>ROUND(D390/(100-E390)*100,2)</f>
        <v/>
      </c>
      <c r="H390" s="3" t="n">
        <v>0</v>
      </c>
      <c r="I390" s="3">
        <f>ROUND(IF(ISNUMBER(AG390),AG390,G390)+H390,2)</f>
        <v/>
      </c>
      <c r="J390" s="2" t="inlineStr">
        <is>
          <t>Завтрак "Шведский стол"</t>
        </is>
      </c>
      <c r="K390" s="5" t="n">
        <v>46232.58333333334</v>
      </c>
      <c r="L390" t="n">
        <v>1</v>
      </c>
      <c r="M390" s="3">
        <f>I390/L390</f>
        <v/>
      </c>
      <c r="N390">
        <f>IF(M390&gt;=5100,"ставка","мин.ставка")</f>
        <v/>
      </c>
      <c r="O390" s="3">
        <f>ROUND(IF(N390="мин.ставка",L390*100,I390/102*2),2)</f>
        <v/>
      </c>
      <c r="P390" s="5" t="n">
        <v>46233.5</v>
      </c>
      <c r="Q390" t="inlineStr">
        <is>
          <t>TravelLine ресепшен</t>
        </is>
      </c>
      <c r="R390" s="2" t="inlineStr">
        <is>
          <t>ЛЮКС ВТОРОЙ КОРПУС</t>
        </is>
      </c>
      <c r="S390" t="n">
        <v>54</v>
      </c>
      <c r="T390" t="n">
        <v>2</v>
      </c>
      <c r="U390" t="inlineStr"/>
      <c r="V390" t="inlineStr">
        <is>
          <t>Тариф с завтраком</t>
        </is>
      </c>
      <c r="W390" t="n">
        <v>14220</v>
      </c>
      <c r="X390" s="3" t="n">
        <v>1580</v>
      </c>
      <c r="Y390" t="inlineStr">
        <is>
          <t>10%</t>
        </is>
      </c>
      <c r="Z390" t="inlineStr">
        <is>
          <t>2026-07-29</t>
        </is>
      </c>
      <c r="AA390" s="3" t="n">
        <v>14220</v>
      </c>
      <c r="AB390" t="inlineStr">
        <is>
          <t>Сошлось по ночным тарифам</t>
        </is>
      </c>
      <c r="AC390" s="2" t="inlineStr"/>
      <c r="AD390" t="n">
        <v>1580</v>
      </c>
      <c r="AE390" t="n">
        <v>0</v>
      </c>
      <c r="AF390" t="inlineStr">
        <is>
          <t>Скидка добавлена к налоговой базе</t>
        </is>
      </c>
      <c r="AG390" t="n">
        <v>15800</v>
      </c>
      <c r="AH390" t="n">
        <v>14220</v>
      </c>
      <c r="AI390" t="inlineStr">
        <is>
          <t>Полное проживание в выбранном периоде</t>
        </is>
      </c>
    </row>
    <row r="391">
      <c r="A391" t="inlineStr">
        <is>
          <t>20260811-8186-457717969</t>
        </is>
      </c>
      <c r="B391" t="n">
        <v>1</v>
      </c>
      <c r="C391" s="2" t="inlineStr">
        <is>
          <t>Дмитрий Мольский</t>
        </is>
      </c>
      <c r="D391" s="3" t="n">
        <v>11205</v>
      </c>
      <c r="E391" s="4" t="n">
        <v>0</v>
      </c>
      <c r="F391" t="inlineStr">
        <is>
          <t>Прямые бронирования (стойка) [Чайковский]</t>
        </is>
      </c>
      <c r="G391" s="3">
        <f>ROUND(D391/(100-E391)*100,2)</f>
        <v/>
      </c>
      <c r="H391" s="3" t="n">
        <v>0</v>
      </c>
      <c r="I391" s="3">
        <f>ROUND(IF(ISNUMBER(AG391),AG391,G391)+H391,2)</f>
        <v/>
      </c>
      <c r="J391" s="2" t="inlineStr">
        <is>
          <t>Завтрак "Шведский стол"</t>
        </is>
      </c>
      <c r="K391" s="5" t="n">
        <v>46245.58333333334</v>
      </c>
      <c r="L391" t="n">
        <v>1</v>
      </c>
      <c r="M391" s="3">
        <f>I391/L391</f>
        <v/>
      </c>
      <c r="N391">
        <f>IF(M391&gt;=5100,"ставка","мин.ставка")</f>
        <v/>
      </c>
      <c r="O391" s="3">
        <f>ROUND(IF(N391="мин.ставка",L391*100,I391/102*2),2)</f>
        <v/>
      </c>
      <c r="P391" s="5" t="n">
        <v>46246.5</v>
      </c>
      <c r="Q391" t="inlineStr">
        <is>
          <t>TravelLine ресепшен</t>
        </is>
      </c>
      <c r="R391" s="2" t="inlineStr">
        <is>
          <t>СЕМЕЙНЫЙ НОМЕР КАТЕГОРИИ "СТАНДАРТ" ВТОРОЙ КОРПУС</t>
        </is>
      </c>
      <c r="S391" t="n">
        <v>50</v>
      </c>
      <c r="T391" t="n">
        <v>2</v>
      </c>
      <c r="U391" t="inlineStr"/>
      <c r="V391" t="inlineStr">
        <is>
          <t>Тариф с завтраком</t>
        </is>
      </c>
      <c r="W391" t="n">
        <v>11205</v>
      </c>
      <c r="X391" s="3" t="n">
        <v>1245</v>
      </c>
      <c r="Y391" t="inlineStr">
        <is>
          <t>10%</t>
        </is>
      </c>
      <c r="Z391" t="inlineStr">
        <is>
          <t>2026-08-11</t>
        </is>
      </c>
      <c r="AA391" s="3" t="n">
        <v>11205</v>
      </c>
      <c r="AB391" t="inlineStr">
        <is>
          <t>Сошлось по ночным тарифам</t>
        </is>
      </c>
      <c r="AC391" s="2" t="inlineStr"/>
      <c r="AD391" t="n">
        <v>1245</v>
      </c>
      <c r="AE391" t="n">
        <v>0</v>
      </c>
      <c r="AF391" t="inlineStr">
        <is>
          <t>Скидка добавлена к налоговой базе</t>
        </is>
      </c>
      <c r="AG391" t="n">
        <v>12450</v>
      </c>
      <c r="AH391" t="n">
        <v>11205</v>
      </c>
      <c r="AI391" t="inlineStr">
        <is>
          <t>Полное проживание в выбранном периоде</t>
        </is>
      </c>
    </row>
    <row r="392">
      <c r="A392" t="inlineStr">
        <is>
          <t>20260904-8186-463700480</t>
        </is>
      </c>
      <c r="B392" t="n">
        <v>1</v>
      </c>
      <c r="C392" s="2" t="inlineStr">
        <is>
          <t>Дмитрий Мольский</t>
        </is>
      </c>
      <c r="D392" s="3" t="n">
        <v>14240</v>
      </c>
      <c r="E392" s="4" t="n">
        <v>0</v>
      </c>
      <c r="F392" t="inlineStr">
        <is>
          <t>Прямые бронирования (стойка) [Чайковский]</t>
        </is>
      </c>
      <c r="G392" s="3">
        <f>ROUND(D392/(100-E392)*100,2)</f>
        <v/>
      </c>
      <c r="H392" s="3" t="n">
        <v>300</v>
      </c>
      <c r="I392" s="3">
        <f>ROUND(IF(ISNUMBER(AG392),AG392,G392)+H392,2)</f>
        <v/>
      </c>
      <c r="J392" s="2" t="inlineStr">
        <is>
          <t>продление номера — 300,00 ₽</t>
        </is>
      </c>
      <c r="K392" s="5" t="n">
        <v>46269.58333333334</v>
      </c>
      <c r="L392" t="n">
        <v>1</v>
      </c>
      <c r="M392" s="3">
        <f>I392/L392</f>
        <v/>
      </c>
      <c r="N392">
        <f>IF(M392&gt;=5100,"ставка","мин.ставка")</f>
        <v/>
      </c>
      <c r="O392" s="3">
        <f>ROUND(IF(N392="мин.ставка",L392*100,I392/102*2),2)</f>
        <v/>
      </c>
      <c r="P392" s="5" t="n">
        <v>46270.5</v>
      </c>
      <c r="Q392" t="inlineStr">
        <is>
          <t>TravelLine ресепшен</t>
        </is>
      </c>
      <c r="R392" s="2" t="inlineStr">
        <is>
          <t>ЛЮКС ВТОРОЙ КОРПУС</t>
        </is>
      </c>
      <c r="S392" t="n">
        <v>53</v>
      </c>
      <c r="T392" t="n">
        <v>2</v>
      </c>
      <c r="U392" t="inlineStr"/>
      <c r="V392" t="inlineStr">
        <is>
          <t>Основной тариф без завтрака</t>
        </is>
      </c>
      <c r="W392" t="n">
        <v>14540</v>
      </c>
      <c r="X392" s="3" t="n">
        <v>0</v>
      </c>
      <c r="Y392" t="inlineStr"/>
      <c r="Z392" t="inlineStr"/>
      <c r="AA392" s="3" t="n">
        <v>14240</v>
      </c>
      <c r="AB392" t="inlineStr">
        <is>
          <t>Сошлось с услугами</t>
        </is>
      </c>
      <c r="AC392" s="2" t="inlineStr"/>
      <c r="AD392" t="n">
        <v>0</v>
      </c>
      <c r="AE392" t="n">
        <v>0</v>
      </c>
      <c r="AF392" t="inlineStr">
        <is>
          <t>Скидки нет</t>
        </is>
      </c>
      <c r="AG392" t="n">
        <v>14240</v>
      </c>
      <c r="AH392" t="n">
        <v>14240</v>
      </c>
      <c r="AI392" t="inlineStr">
        <is>
          <t>Полное проживание в выбранном периоде</t>
        </is>
      </c>
    </row>
    <row r="393">
      <c r="A393" t="inlineStr">
        <is>
          <t>20260809-8186-453699779</t>
        </is>
      </c>
      <c r="B393" t="n">
        <v>1</v>
      </c>
      <c r="C393" s="2" t="inlineStr">
        <is>
          <t>ДМИТРИЙ Москвин</t>
        </is>
      </c>
      <c r="D393" s="3" t="n">
        <v>27240</v>
      </c>
      <c r="E393" s="4" t="n">
        <v>20</v>
      </c>
      <c r="F393" t="inlineStr">
        <is>
          <t>ООО "КОМПАНИЯ БРОНЕВИК" [Чайковский]</t>
        </is>
      </c>
      <c r="G393" s="3">
        <f>ROUND(D393/(100-E393)*100,2)</f>
        <v/>
      </c>
      <c r="H393" s="3" t="n">
        <v>0</v>
      </c>
      <c r="I393" s="3">
        <f>ROUND(IF(ISNUMBER(AG393),AG393,G393)+H393,2)</f>
        <v/>
      </c>
      <c r="J393" s="2" t="inlineStr">
        <is>
          <t>Завтрак "Шведский стол"</t>
        </is>
      </c>
      <c r="K393" s="5" t="n">
        <v>46243.58333333334</v>
      </c>
      <c r="L393" t="n">
        <v>3</v>
      </c>
      <c r="M393" s="3">
        <f>I393/L393</f>
        <v/>
      </c>
      <c r="N393">
        <f>IF(M393&gt;=5100,"ставка","мин.ставка")</f>
        <v/>
      </c>
      <c r="O393" s="3">
        <f>ROUND(IF(N393="мин.ставка",L393*100,I393/102*2),2)</f>
        <v/>
      </c>
      <c r="P393" s="5" t="n">
        <v>46246.5</v>
      </c>
      <c r="Q393" t="inlineStr">
        <is>
          <t>TravelLine BR2</t>
        </is>
      </c>
      <c r="R393" s="2" t="inlineStr">
        <is>
          <t>СТАНДАРТНЫЙ ДВУХМЕСТНЫЙ НОМЕР</t>
        </is>
      </c>
      <c r="S393" t="n">
        <v>58</v>
      </c>
      <c r="T393" t="n">
        <v>2</v>
      </c>
      <c r="U393" t="inlineStr"/>
      <c r="V393" t="inlineStr">
        <is>
          <t>Тариф с завтраком</t>
        </is>
      </c>
      <c r="W393" t="n">
        <v>27240</v>
      </c>
      <c r="X393" s="3" t="n">
        <v>0</v>
      </c>
      <c r="Y393" t="inlineStr"/>
      <c r="Z393" t="inlineStr"/>
      <c r="AA393" s="3" t="n">
        <v>27240</v>
      </c>
      <c r="AB393" t="inlineStr">
        <is>
          <t>Сошлось по ночным тарифам</t>
        </is>
      </c>
      <c r="AC393" s="2" t="inlineStr"/>
      <c r="AD393" t="n">
        <v>0</v>
      </c>
      <c r="AE393" t="n">
        <v>0</v>
      </c>
      <c r="AF393" t="inlineStr">
        <is>
          <t>Скидки нет</t>
        </is>
      </c>
      <c r="AG393" t="n">
        <v>27240</v>
      </c>
      <c r="AH393" t="n">
        <v>27240</v>
      </c>
      <c r="AI393" t="inlineStr">
        <is>
          <t>Полное проживание в выбранном периоде</t>
        </is>
      </c>
    </row>
    <row r="394">
      <c r="A394" t="inlineStr">
        <is>
          <t>20260728-8186-453942448</t>
        </is>
      </c>
      <c r="B394" t="n">
        <v>1</v>
      </c>
      <c r="C394" s="2" t="inlineStr">
        <is>
          <t>ДМИТРИЙ МУРАНОВ</t>
        </is>
      </c>
      <c r="D394" s="3" t="n">
        <v>13400</v>
      </c>
      <c r="E394" s="4" t="n">
        <v>0</v>
      </c>
      <c r="F394" t="inlineStr">
        <is>
          <t>Прямые бронирования (стойка) [Чайковский]</t>
        </is>
      </c>
      <c r="G394" s="3">
        <f>ROUND(D394/(100-E394)*100,2)</f>
        <v/>
      </c>
      <c r="H394" s="3" t="n">
        <v>0</v>
      </c>
      <c r="I394" s="3">
        <f>ROUND(IF(ISNUMBER(AG394),AG394,G394)+H394,2)</f>
        <v/>
      </c>
      <c r="J394" s="2" t="inlineStr">
        <is>
          <t>Завтрак "Шведский стол"</t>
        </is>
      </c>
      <c r="K394" s="5" t="n">
        <v>46231.58333333334</v>
      </c>
      <c r="L394" t="n">
        <v>1</v>
      </c>
      <c r="M394" s="3">
        <f>I394/L394</f>
        <v/>
      </c>
      <c r="N394">
        <f>IF(M394&gt;=5100,"ставка","мин.ставка")</f>
        <v/>
      </c>
      <c r="O394" s="3">
        <f>ROUND(IF(N394="мин.ставка",L394*100,I394/102*2),2)</f>
        <v/>
      </c>
      <c r="P394" s="5" t="n">
        <v>46232.5</v>
      </c>
      <c r="Q394" t="inlineStr">
        <is>
          <t>TravelLine ресепшен</t>
        </is>
      </c>
      <c r="R394" s="2" t="inlineStr">
        <is>
          <t>УЛУЧШЕННЫЙ ДВУХМЕСТНЫЙ НОМЕР</t>
        </is>
      </c>
      <c r="S394" t="n">
        <v>31</v>
      </c>
      <c r="T394" t="n">
        <v>1</v>
      </c>
      <c r="U394" t="inlineStr"/>
      <c r="V394" t="inlineStr">
        <is>
          <t>Тариф с завтраком</t>
        </is>
      </c>
      <c r="W394" t="n">
        <v>13400</v>
      </c>
      <c r="X394" s="3" t="n">
        <v>0</v>
      </c>
      <c r="Y394" t="inlineStr"/>
      <c r="Z394" t="inlineStr"/>
      <c r="AA394" s="3" t="n">
        <v>13400</v>
      </c>
      <c r="AB394" t="inlineStr">
        <is>
          <t>Сошлось по ночным тарифам</t>
        </is>
      </c>
      <c r="AC394" s="2" t="inlineStr"/>
      <c r="AD394" t="n">
        <v>0</v>
      </c>
      <c r="AE394" t="n">
        <v>0</v>
      </c>
      <c r="AF394" t="inlineStr">
        <is>
          <t>Скидки нет</t>
        </is>
      </c>
      <c r="AG394" t="n">
        <v>13400</v>
      </c>
      <c r="AH394" t="n">
        <v>13400</v>
      </c>
      <c r="AI394" t="inlineStr">
        <is>
          <t>Полное проживание в выбранном периоде</t>
        </is>
      </c>
    </row>
    <row r="395">
      <c r="A395" t="inlineStr">
        <is>
          <t>20260911-8186-426784331</t>
        </is>
      </c>
      <c r="B395" t="n">
        <v>1</v>
      </c>
      <c r="C395" s="2" t="inlineStr">
        <is>
          <t>ДМИТРИЙ МЯСНИКОВ, СОФЬЯ МЯСНИКОВА</t>
        </is>
      </c>
      <c r="D395" s="3" t="n">
        <v>45390</v>
      </c>
      <c r="E395" s="4" t="n">
        <v>0</v>
      </c>
      <c r="F395" t="inlineStr">
        <is>
          <t>ООО "АЛЕАН ОТДЫХ" [Чайковский]</t>
        </is>
      </c>
      <c r="G395" s="3">
        <f>ROUND(D395/(100-E395)*100,2)</f>
        <v/>
      </c>
      <c r="H395" s="3" t="n">
        <v>0</v>
      </c>
      <c r="I395" s="3">
        <f>ROUND(IF(ISNUMBER(AG395),AG395,G395)+H395,2)</f>
        <v/>
      </c>
      <c r="J395" s="2" t="inlineStr">
        <is>
          <t>meal_bf_buffet_1; meal_bf_buffet_1; Завтрак "Шведский стол"</t>
        </is>
      </c>
      <c r="K395" s="5" t="n">
        <v>46276.58333333334</v>
      </c>
      <c r="L395" t="n">
        <v>4</v>
      </c>
      <c r="M395" s="3">
        <f>I395/L395</f>
        <v/>
      </c>
      <c r="N395">
        <f>IF(M395&gt;=5100,"ставка","мин.ставка")</f>
        <v/>
      </c>
      <c r="O395" s="3">
        <f>ROUND(IF(N395="мин.ставка",L395*100,I395/102*2),2)</f>
        <v/>
      </c>
      <c r="P395" s="5" t="n">
        <v>46280.5</v>
      </c>
      <c r="Q395" t="inlineStr">
        <is>
          <t>TravelLine ALN</t>
        </is>
      </c>
      <c r="R395" s="2" t="inlineStr">
        <is>
          <t>УЛУЧШЕННЫЙ ДВУХМЕСТНЫЙ НОМЕР</t>
        </is>
      </c>
      <c r="S395" t="n">
        <v>31</v>
      </c>
      <c r="T395" t="n">
        <v>1</v>
      </c>
      <c r="U395" t="inlineStr"/>
      <c r="V395" t="inlineStr">
        <is>
          <t>Тариф с завтраком</t>
        </is>
      </c>
      <c r="W395" t="n">
        <v>45390</v>
      </c>
      <c r="X395" s="3" t="n">
        <v>8010</v>
      </c>
      <c r="Y395" t="inlineStr">
        <is>
          <t>15%</t>
        </is>
      </c>
      <c r="Z395" t="inlineStr">
        <is>
          <t>2026-09-11, 2026-09-12, 2026-09-13, 2026-09-14</t>
        </is>
      </c>
      <c r="AA395" s="3" t="n">
        <v>45390</v>
      </c>
      <c r="AB395" t="inlineStr">
        <is>
          <t>Сошлось по ночным тарифам</t>
        </is>
      </c>
      <c r="AC395" s="2" t="inlineStr"/>
      <c r="AD395" t="n">
        <v>8010</v>
      </c>
      <c r="AE395" t="n">
        <v>0</v>
      </c>
      <c r="AF395" t="inlineStr">
        <is>
          <t>Скидка добавлена к налоговой базе</t>
        </is>
      </c>
      <c r="AG395" t="n">
        <v>53400</v>
      </c>
      <c r="AH395" t="n">
        <v>45390</v>
      </c>
      <c r="AI395" t="inlineStr">
        <is>
          <t>Полное проживание в выбранном периоде</t>
        </is>
      </c>
    </row>
    <row r="396">
      <c r="A396" t="inlineStr">
        <is>
          <t>20260917-8186-463970139</t>
        </is>
      </c>
      <c r="B396" t="n">
        <v>1</v>
      </c>
      <c r="C396" s="2" t="inlineStr">
        <is>
          <t>Дмитрий Неклюдов, Екатерина Бессонова</t>
        </is>
      </c>
      <c r="D396" s="3" t="n">
        <v>30260</v>
      </c>
      <c r="E396" s="4" t="n">
        <v>15</v>
      </c>
      <c r="F396" t="inlineStr">
        <is>
          <t>ООО Тинькофф Путешествия [Чайковский]</t>
        </is>
      </c>
      <c r="G396" s="3">
        <f>ROUND(D396/(100-E396)*100,2)</f>
        <v/>
      </c>
      <c r="H396" s="3" t="n">
        <v>0</v>
      </c>
      <c r="I396" s="3">
        <f>ROUND(IF(ISNUMBER(AG396),AG396,G396)+H396,2)</f>
        <v/>
      </c>
      <c r="J396" s="2" t="inlineStr">
        <is>
          <t>Завтрак "Шведский стол"</t>
        </is>
      </c>
      <c r="K396" s="5" t="n">
        <v>46282.58333333334</v>
      </c>
      <c r="L396" t="n">
        <v>2</v>
      </c>
      <c r="M396" s="3">
        <f>I396/L396</f>
        <v/>
      </c>
      <c r="N396">
        <f>IF(M396&gt;=5100,"ставка","мин.ставка")</f>
        <v/>
      </c>
      <c r="O396" s="3">
        <f>ROUND(IF(N396="мин.ставка",L396*100,I396/102*2),2)</f>
        <v/>
      </c>
      <c r="P396" s="5" t="n">
        <v>46284.5</v>
      </c>
      <c r="Q396" t="inlineStr">
        <is>
          <t>TravelLine TNK</t>
        </is>
      </c>
      <c r="R396" s="2" t="inlineStr">
        <is>
          <t>ЛЮКС ВТОРОЙ КОРПУС</t>
        </is>
      </c>
      <c r="S396" t="n">
        <v>54</v>
      </c>
      <c r="T396" t="n">
        <v>2</v>
      </c>
      <c r="U396" t="inlineStr"/>
      <c r="V396" t="inlineStr">
        <is>
          <t>Тариф с завтраком</t>
        </is>
      </c>
      <c r="W396" t="n">
        <v>30260</v>
      </c>
      <c r="X396" s="3" t="n">
        <v>5340</v>
      </c>
      <c r="Y396" t="inlineStr">
        <is>
          <t>15%</t>
        </is>
      </c>
      <c r="Z396" t="inlineStr">
        <is>
          <t>2026-09-17, 2026-09-18</t>
        </is>
      </c>
      <c r="AA396" s="3" t="n">
        <v>30260</v>
      </c>
      <c r="AB396" t="inlineStr">
        <is>
          <t>Сошлось по ночным тарифам</t>
        </is>
      </c>
      <c r="AC396" s="2" t="inlineStr"/>
      <c r="AD396" t="n">
        <v>5340</v>
      </c>
      <c r="AE396" t="n">
        <v>0</v>
      </c>
      <c r="AF396" t="inlineStr">
        <is>
          <t>Скидка добавлена к налоговой базе</t>
        </is>
      </c>
      <c r="AG396" t="n">
        <v>35600</v>
      </c>
      <c r="AH396" t="n">
        <v>30260</v>
      </c>
      <c r="AI396" t="inlineStr">
        <is>
          <t>Полное проживание в выбранном периоде</t>
        </is>
      </c>
    </row>
    <row r="397">
      <c r="A397" t="inlineStr">
        <is>
          <t>20260905-8186-463933189</t>
        </is>
      </c>
      <c r="B397" t="n">
        <v>1</v>
      </c>
      <c r="C397" s="2" t="inlineStr">
        <is>
          <t>Дмитрий Носков</t>
        </is>
      </c>
      <c r="D397" s="3" t="n">
        <v>40050</v>
      </c>
      <c r="E397" s="4" t="n">
        <v>18</v>
      </c>
      <c r="F397" t="inlineStr">
        <is>
          <t>Яндекс.Путешествия [Чайковский]</t>
        </is>
      </c>
      <c r="G397" s="3">
        <f>ROUND(D397/(100-E397)*100,2)</f>
        <v/>
      </c>
      <c r="H397" s="3" t="n">
        <v>0</v>
      </c>
      <c r="I397" s="3">
        <f>ROUND(IF(ISNUMBER(AG397),AG397,G397)+H397,2)</f>
        <v/>
      </c>
      <c r="J397" s="2" t="inlineStr">
        <is>
          <t>Завтрак "Шведский стол"</t>
        </is>
      </c>
      <c r="K397" s="5" t="n">
        <v>46270.58333333334</v>
      </c>
      <c r="L397" t="n">
        <v>3</v>
      </c>
      <c r="M397" s="3">
        <f>I397/L397</f>
        <v/>
      </c>
      <c r="N397">
        <f>IF(M397&gt;=5100,"ставка","мин.ставка")</f>
        <v/>
      </c>
      <c r="O397" s="3">
        <f>ROUND(IF(N397="мин.ставка",L397*100,I397/102*2),2)</f>
        <v/>
      </c>
      <c r="P397" s="5" t="n">
        <v>46273.5</v>
      </c>
      <c r="Q397" t="inlineStr">
        <is>
          <t>TravelLine YAX</t>
        </is>
      </c>
      <c r="R397" s="2" t="inlineStr">
        <is>
          <t>ЛЮКС ВТОРОЙ КОРПУС</t>
        </is>
      </c>
      <c r="S397" t="n">
        <v>54</v>
      </c>
      <c r="T397" t="n">
        <v>2</v>
      </c>
      <c r="U397" t="inlineStr"/>
      <c r="V397" t="inlineStr">
        <is>
          <t>Тариф с завтраком</t>
        </is>
      </c>
      <c r="W397" t="n">
        <v>40050</v>
      </c>
      <c r="X397" s="3" t="n">
        <v>13350</v>
      </c>
      <c r="Y397" t="inlineStr">
        <is>
          <t>25%</t>
        </is>
      </c>
      <c r="Z397" t="inlineStr">
        <is>
          <t>2026-09-05, 2026-09-06, 2026-09-07</t>
        </is>
      </c>
      <c r="AA397" s="3" t="n">
        <v>40050</v>
      </c>
      <c r="AB397" t="inlineStr">
        <is>
          <t>Сошлось по ночным тарифам</t>
        </is>
      </c>
      <c r="AC397" s="2" t="inlineStr"/>
      <c r="AD397" t="n">
        <v>13350</v>
      </c>
      <c r="AE397" t="n">
        <v>0</v>
      </c>
      <c r="AF397" t="inlineStr">
        <is>
          <t>Скидка добавлена к налоговой базе</t>
        </is>
      </c>
      <c r="AG397" t="n">
        <v>53400</v>
      </c>
      <c r="AH397" t="n">
        <v>40050</v>
      </c>
      <c r="AI397" t="inlineStr">
        <is>
          <t>Полное проживание в выбранном периоде</t>
        </is>
      </c>
    </row>
    <row r="398">
      <c r="A398" t="inlineStr">
        <is>
          <t>20260716-8186-440572559</t>
        </is>
      </c>
      <c r="B398" t="n">
        <v>1</v>
      </c>
      <c r="C398" s="2" t="inlineStr">
        <is>
          <t>Дмитрий Самусевич, Эвелина Комарова</t>
        </is>
      </c>
      <c r="D398" s="3" t="n">
        <v>25564</v>
      </c>
      <c r="E398" s="4" t="n">
        <v>17</v>
      </c>
      <c r="F398" t="inlineStr">
        <is>
          <t>ООО «Интернет Трэвел» (OZON) [Чайковский]</t>
        </is>
      </c>
      <c r="G398" s="3">
        <f>ROUND(D398/(100-E398)*100,2)</f>
        <v/>
      </c>
      <c r="H398" s="3" t="n">
        <v>0</v>
      </c>
      <c r="I398" s="3">
        <f>ROUND(IF(ISNUMBER(AG398),AG398,G398)+H398,2)</f>
        <v/>
      </c>
      <c r="J398" s="2" t="inlineStr">
        <is>
          <t>Завтрак "Шведский стол"</t>
        </is>
      </c>
      <c r="K398" s="5" t="n">
        <v>46219.58333333334</v>
      </c>
      <c r="L398" t="n">
        <v>2</v>
      </c>
      <c r="M398" s="3">
        <f>I398/L398</f>
        <v/>
      </c>
      <c r="N398">
        <f>IF(M398&gt;=5100,"ставка","мин.ставка")</f>
        <v/>
      </c>
      <c r="O398" s="3">
        <f>ROUND(IF(N398="мин.ставка",L398*100,I398/102*2),2)</f>
        <v/>
      </c>
      <c r="P398" s="5" t="n">
        <v>46221.5</v>
      </c>
      <c r="Q398" t="inlineStr">
        <is>
          <t>TravelLine OZ2</t>
        </is>
      </c>
      <c r="R398" s="2" t="inlineStr">
        <is>
          <t>УЛУЧШЕННЫЙ ДВУХМЕСТНЫЙ НОМЕР</t>
        </is>
      </c>
      <c r="S398" t="n">
        <v>56</v>
      </c>
      <c r="T398" t="n">
        <v>2</v>
      </c>
      <c r="U398" t="inlineStr"/>
      <c r="V398" t="inlineStr">
        <is>
          <t>Тариф с завтраком</t>
        </is>
      </c>
      <c r="W398" t="n">
        <v>25564</v>
      </c>
      <c r="X398" s="3" t="n">
        <v>5236</v>
      </c>
      <c r="Y398" t="inlineStr">
        <is>
          <t>17%</t>
        </is>
      </c>
      <c r="Z398" t="inlineStr">
        <is>
          <t>2026-07-16, 2026-07-17</t>
        </is>
      </c>
      <c r="AA398" s="3" t="n">
        <v>25564</v>
      </c>
      <c r="AB398" t="inlineStr">
        <is>
          <t>Сошлось по ночным тарифам</t>
        </is>
      </c>
      <c r="AC398" s="2" t="inlineStr"/>
      <c r="AD398" t="n">
        <v>5236</v>
      </c>
      <c r="AE398" t="n">
        <v>0</v>
      </c>
      <c r="AF398" t="inlineStr">
        <is>
          <t>Скидка добавлена к налоговой базе</t>
        </is>
      </c>
      <c r="AG398" t="n">
        <v>30800</v>
      </c>
      <c r="AH398" t="n">
        <v>25564</v>
      </c>
      <c r="AI398" t="inlineStr">
        <is>
          <t>Полное проживание в выбранном периоде</t>
        </is>
      </c>
    </row>
    <row r="399">
      <c r="A399" t="inlineStr">
        <is>
          <t>20260710-8186-421541572</t>
        </is>
      </c>
      <c r="B399" t="n">
        <v>1</v>
      </c>
      <c r="C399" s="2" t="inlineStr">
        <is>
          <t>Дмитрий Семенов, Татьяна Семенова</t>
        </is>
      </c>
      <c r="D399" s="3" t="n">
        <v>26286.15</v>
      </c>
      <c r="E399" s="4" t="n">
        <v>4</v>
      </c>
      <c r="F399" t="inlineStr">
        <is>
          <t>TravelLine Booking Engine [Чайковский]</t>
        </is>
      </c>
      <c r="G399" s="3">
        <f>ROUND(D399/(100-E399)*100,2)</f>
        <v/>
      </c>
      <c r="H399" s="3" t="n">
        <v>0</v>
      </c>
      <c r="I399" s="3">
        <f>ROUND(IF(ISNUMBER(AG399),AG399,G399)+H399,2)</f>
        <v/>
      </c>
      <c r="J399" s="2" t="inlineStr">
        <is>
          <t>Завтрак "Шведский стол"</t>
        </is>
      </c>
      <c r="K399" s="5" t="n">
        <v>46213.58333333334</v>
      </c>
      <c r="L399" t="n">
        <v>2</v>
      </c>
      <c r="M399" s="3">
        <f>I399/L399</f>
        <v/>
      </c>
      <c r="N399">
        <f>IF(M399&gt;=5100,"ставка","мин.ставка")</f>
        <v/>
      </c>
      <c r="O399" s="3">
        <f>ROUND(IF(N399="мин.ставка",L399*100,I399/102*2),2)</f>
        <v/>
      </c>
      <c r="P399" s="5" t="n">
        <v>46215.5</v>
      </c>
      <c r="Q399" t="inlineStr">
        <is>
          <t>TravelLine сайт</t>
        </is>
      </c>
      <c r="R399" s="2" t="inlineStr">
        <is>
          <t>СТАНДАРТНЫЙ ДВУХМЕСТНЫЙ НОМЕР</t>
        </is>
      </c>
      <c r="S399" t="n">
        <v>44</v>
      </c>
      <c r="T399" t="n">
        <v>1</v>
      </c>
      <c r="U399" t="inlineStr"/>
      <c r="V399" t="inlineStr">
        <is>
          <t>Тариф с завтраком</t>
        </is>
      </c>
      <c r="W399" t="n">
        <v>26286.15</v>
      </c>
      <c r="X399" s="3" t="n">
        <v>413.85</v>
      </c>
      <c r="Y399" t="inlineStr">
        <is>
          <t>3.1%</t>
        </is>
      </c>
      <c r="Z399" t="inlineStr">
        <is>
          <t>2026-07-10</t>
        </is>
      </c>
      <c r="AA399" s="3" t="n">
        <v>26286.15</v>
      </c>
      <c r="AB399" t="inlineStr">
        <is>
          <t>Сошлось по ночным тарифам</t>
        </is>
      </c>
      <c r="AC399" s="2" t="inlineStr"/>
      <c r="AD399" t="n">
        <v>413.85</v>
      </c>
      <c r="AE399" t="n">
        <v>0</v>
      </c>
      <c r="AF399" t="inlineStr">
        <is>
          <t>Скидка добавлена к налоговой базе</t>
        </is>
      </c>
      <c r="AG399" t="n">
        <v>26700</v>
      </c>
      <c r="AH399" t="n">
        <v>26286.15</v>
      </c>
      <c r="AI399" t="inlineStr">
        <is>
          <t>Полное проживание в выбранном периоде</t>
        </is>
      </c>
    </row>
    <row r="400">
      <c r="A400" t="inlineStr">
        <is>
          <t>20260706-8186-448146879</t>
        </is>
      </c>
      <c r="B400" t="n">
        <v>1</v>
      </c>
      <c r="C400" s="2" t="inlineStr">
        <is>
          <t>ДМИТРИЙ СЕРОВ</t>
        </is>
      </c>
      <c r="D400" s="3" t="n">
        <v>19805</v>
      </c>
      <c r="E400" s="4" t="n">
        <v>15</v>
      </c>
      <c r="F400" t="inlineStr">
        <is>
          <t>ООО "БРОНИРОВАНИЕ ГОСТИНИЦ" (OSTROVOK) [Чайковский]</t>
        </is>
      </c>
      <c r="G400" s="3">
        <f>ROUND(D400/(100-E400)*100,2)</f>
        <v/>
      </c>
      <c r="H400" s="3" t="n">
        <v>0</v>
      </c>
      <c r="I400" s="3">
        <f>ROUND(IF(ISNUMBER(AG400),AG400,G400)+H400,2)</f>
        <v/>
      </c>
      <c r="J400" s="2" t="inlineStr">
        <is>
          <t>Завтрак "Шведский стол"</t>
        </is>
      </c>
      <c r="K400" s="5" t="n">
        <v>46209.58333333334</v>
      </c>
      <c r="L400" t="n">
        <v>2</v>
      </c>
      <c r="M400" s="3">
        <f>I400/L400</f>
        <v/>
      </c>
      <c r="N400">
        <f>IF(M400&gt;=5100,"ставка","мин.ставка")</f>
        <v/>
      </c>
      <c r="O400" s="3">
        <f>ROUND(IF(N400="мин.ставка",L400*100,I400/102*2),2)</f>
        <v/>
      </c>
      <c r="P400" s="5" t="n">
        <v>46211.5</v>
      </c>
      <c r="Q400" t="inlineStr">
        <is>
          <t>TravelLine OTK</t>
        </is>
      </c>
      <c r="R400" s="2" t="inlineStr">
        <is>
          <t>УЛУЧШЕННЫЙ ДВУХМЕСТНЫЙ НОМЕР</t>
        </is>
      </c>
      <c r="S400" t="n">
        <v>59</v>
      </c>
      <c r="T400" t="n">
        <v>2</v>
      </c>
      <c r="U400" t="inlineStr"/>
      <c r="V400" t="inlineStr">
        <is>
          <t>Тариф с завтраком</t>
        </is>
      </c>
      <c r="W400" t="n">
        <v>19805</v>
      </c>
      <c r="X400" s="3" t="n">
        <v>3495</v>
      </c>
      <c r="Y400" t="inlineStr">
        <is>
          <t>15%</t>
        </is>
      </c>
      <c r="Z400" t="inlineStr">
        <is>
          <t>2026-07-06, 2026-07-07</t>
        </is>
      </c>
      <c r="AA400" s="3" t="n">
        <v>19805</v>
      </c>
      <c r="AB400" t="inlineStr">
        <is>
          <t>Сошлось по ночным тарифам</t>
        </is>
      </c>
      <c r="AC400" s="2" t="inlineStr"/>
      <c r="AD400" t="n">
        <v>3495</v>
      </c>
      <c r="AE400" t="n">
        <v>0</v>
      </c>
      <c r="AF400" t="inlineStr">
        <is>
          <t>Скидка добавлена к налоговой базе</t>
        </is>
      </c>
      <c r="AG400" t="n">
        <v>23300</v>
      </c>
      <c r="AH400" t="n">
        <v>19805</v>
      </c>
      <c r="AI400" t="inlineStr">
        <is>
          <t>Полное проживание в выбранном периоде</t>
        </is>
      </c>
    </row>
    <row r="401">
      <c r="A401" t="inlineStr">
        <is>
          <t>20260708-8186-448548633</t>
        </is>
      </c>
      <c r="B401" t="n">
        <v>1</v>
      </c>
      <c r="C401" s="2" t="inlineStr">
        <is>
          <t>ДМИТРИЙ СЕРОВ</t>
        </is>
      </c>
      <c r="D401" s="3" t="n">
        <v>7900</v>
      </c>
      <c r="E401" s="4" t="n">
        <v>0</v>
      </c>
      <c r="F401" t="inlineStr">
        <is>
          <t>Прямые бронирования (стойка) [Чайковский]</t>
        </is>
      </c>
      <c r="G401" s="3">
        <f>ROUND(D401/(100-E401)*100,2)</f>
        <v/>
      </c>
      <c r="H401" s="3" t="n">
        <v>0</v>
      </c>
      <c r="I401" s="3">
        <f>ROUND(IF(ISNUMBER(AG401),AG401,G401)+H401,2)</f>
        <v/>
      </c>
      <c r="J401" s="2" t="inlineStr">
        <is>
          <t>Завтрак "Шведский стол"</t>
        </is>
      </c>
      <c r="K401" s="5" t="n">
        <v>46211.58333333334</v>
      </c>
      <c r="L401" t="n">
        <v>1</v>
      </c>
      <c r="M401" s="3">
        <f>I401/L401</f>
        <v/>
      </c>
      <c r="N401">
        <f>IF(M401&gt;=5100,"ставка","мин.ставка")</f>
        <v/>
      </c>
      <c r="O401" s="3">
        <f>ROUND(IF(N401="мин.ставка",L401*100,I401/102*2),2)</f>
        <v/>
      </c>
      <c r="P401" s="5" t="n">
        <v>46212.5</v>
      </c>
      <c r="Q401" t="inlineStr">
        <is>
          <t>TravelLine ресепшен</t>
        </is>
      </c>
      <c r="R401" s="2" t="inlineStr">
        <is>
          <t>УЛУЧШЕННЫЙ ДВУХМЕСТНЫЙ НОМЕР</t>
        </is>
      </c>
      <c r="S401" t="n">
        <v>59</v>
      </c>
      <c r="T401" t="n">
        <v>2</v>
      </c>
      <c r="U401" t="inlineStr"/>
      <c r="V401" t="inlineStr">
        <is>
          <t>Тариф с завтраком</t>
        </is>
      </c>
      <c r="W401" t="n">
        <v>7900</v>
      </c>
      <c r="X401" s="3" t="n">
        <v>0</v>
      </c>
      <c r="Y401" t="inlineStr"/>
      <c r="Z401" t="inlineStr"/>
      <c r="AA401" s="3" t="n">
        <v>7900</v>
      </c>
      <c r="AB401" t="inlineStr">
        <is>
          <t>Сошлось по ночным тарифам</t>
        </is>
      </c>
      <c r="AC401" s="2" t="inlineStr"/>
      <c r="AD401" t="n">
        <v>0</v>
      </c>
      <c r="AE401" t="n">
        <v>0</v>
      </c>
      <c r="AF401" t="inlineStr">
        <is>
          <t>Скидки нет</t>
        </is>
      </c>
      <c r="AG401" t="n">
        <v>7900</v>
      </c>
      <c r="AH401" t="n">
        <v>7900</v>
      </c>
      <c r="AI401" t="inlineStr">
        <is>
          <t>Полное проживание в выбранном периоде</t>
        </is>
      </c>
    </row>
    <row r="402">
      <c r="A402" t="inlineStr">
        <is>
          <t>20260709-8186-448813635</t>
        </is>
      </c>
      <c r="B402" t="n">
        <v>1</v>
      </c>
      <c r="C402" s="2" t="inlineStr">
        <is>
          <t>ДМИТРИЙ СЕРОВ</t>
        </is>
      </c>
      <c r="D402" s="3" t="n">
        <v>7900</v>
      </c>
      <c r="E402" s="4" t="n">
        <v>0</v>
      </c>
      <c r="F402" t="inlineStr">
        <is>
          <t>Прямые бронирования (стойка) [Чайковский]</t>
        </is>
      </c>
      <c r="G402" s="3">
        <f>ROUND(D402/(100-E402)*100,2)</f>
        <v/>
      </c>
      <c r="H402" s="3" t="n">
        <v>0</v>
      </c>
      <c r="I402" s="3">
        <f>ROUND(IF(ISNUMBER(AG402),AG402,G402)+H402,2)</f>
        <v/>
      </c>
      <c r="J402" s="2" t="inlineStr">
        <is>
          <t>Завтрак "Шведский стол"</t>
        </is>
      </c>
      <c r="K402" s="5" t="n">
        <v>46212.58333333334</v>
      </c>
      <c r="L402" t="n">
        <v>1</v>
      </c>
      <c r="M402" s="3">
        <f>I402/L402</f>
        <v/>
      </c>
      <c r="N402">
        <f>IF(M402&gt;=5100,"ставка","мин.ставка")</f>
        <v/>
      </c>
      <c r="O402" s="3">
        <f>ROUND(IF(N402="мин.ставка",L402*100,I402/102*2),2)</f>
        <v/>
      </c>
      <c r="P402" s="5" t="n">
        <v>46213.5</v>
      </c>
      <c r="Q402" t="inlineStr">
        <is>
          <t>TravelLine ресепшен</t>
        </is>
      </c>
      <c r="R402" s="2" t="inlineStr">
        <is>
          <t>УЛУЧШЕННЫЙ ДВУХМЕСТНЫЙ НОМЕР</t>
        </is>
      </c>
      <c r="S402" t="n">
        <v>59</v>
      </c>
      <c r="T402" t="n">
        <v>2</v>
      </c>
      <c r="U402" t="inlineStr"/>
      <c r="V402" t="inlineStr">
        <is>
          <t>Тариф с завтраком</t>
        </is>
      </c>
      <c r="W402" t="n">
        <v>7900</v>
      </c>
      <c r="X402" s="3" t="n">
        <v>0</v>
      </c>
      <c r="Y402" t="inlineStr"/>
      <c r="Z402" t="inlineStr"/>
      <c r="AA402" s="3" t="n">
        <v>7900</v>
      </c>
      <c r="AB402" t="inlineStr">
        <is>
          <t>Сошлось по ночным тарифам</t>
        </is>
      </c>
      <c r="AC402" s="2" t="inlineStr"/>
      <c r="AD402" t="n">
        <v>0</v>
      </c>
      <c r="AE402" t="n">
        <v>0</v>
      </c>
      <c r="AF402" t="inlineStr">
        <is>
          <t>Скидки нет</t>
        </is>
      </c>
      <c r="AG402" t="n">
        <v>7900</v>
      </c>
      <c r="AH402" t="n">
        <v>7900</v>
      </c>
      <c r="AI402" t="inlineStr">
        <is>
          <t>Полное проживание в выбранном периоде</t>
        </is>
      </c>
    </row>
    <row r="403">
      <c r="A403" t="inlineStr">
        <is>
          <t>20260811-8186-457810096</t>
        </is>
      </c>
      <c r="B403" t="n">
        <v>1</v>
      </c>
      <c r="C403" s="2" t="inlineStr">
        <is>
          <t>ДМИТРИЙ СЕРОВ</t>
        </is>
      </c>
      <c r="D403" s="3" t="n">
        <v>12180</v>
      </c>
      <c r="E403" s="4" t="n">
        <v>16</v>
      </c>
      <c r="F403" t="inlineStr">
        <is>
          <t>ООО "БРОНИРОВАНИЕ ГОСТИНИЦ" (OSTROVOK) [Чайковский]</t>
        </is>
      </c>
      <c r="G403" s="3">
        <f>ROUND(D403/(100-E403)*100,2)</f>
        <v/>
      </c>
      <c r="H403" s="3" t="n">
        <v>350</v>
      </c>
      <c r="I403" s="3">
        <f>ROUND(IF(ISNUMBER(AG403),AG403,G403)+H403,2)</f>
        <v/>
      </c>
      <c r="J403" s="2" t="inlineStr">
        <is>
          <t>продление номера — 350,00 ₽; Завтрак "Шведский стол"</t>
        </is>
      </c>
      <c r="K403" s="5" t="n">
        <v>46245.58333333334</v>
      </c>
      <c r="L403" t="n">
        <v>1</v>
      </c>
      <c r="M403" s="3">
        <f>I403/L403</f>
        <v/>
      </c>
      <c r="N403">
        <f>IF(M403&gt;=5100,"ставка","мин.ставка")</f>
        <v/>
      </c>
      <c r="O403" s="3">
        <f>ROUND(IF(N403="мин.ставка",L403*100,I403/102*2),2)</f>
        <v/>
      </c>
      <c r="P403" s="5" t="n">
        <v>46246.5</v>
      </c>
      <c r="Q403" t="inlineStr">
        <is>
          <t>TravelLine OTK</t>
        </is>
      </c>
      <c r="R403" s="2" t="inlineStr">
        <is>
          <t>ПОЛУЛЮКС</t>
        </is>
      </c>
      <c r="S403" t="n">
        <v>11</v>
      </c>
      <c r="T403" t="n">
        <v>1</v>
      </c>
      <c r="U403" t="inlineStr"/>
      <c r="V403" t="inlineStr">
        <is>
          <t>Тариф с завтраком</t>
        </is>
      </c>
      <c r="W403" t="n">
        <v>12530</v>
      </c>
      <c r="X403" s="3" t="n">
        <v>2320</v>
      </c>
      <c r="Y403" t="inlineStr">
        <is>
          <t>16%</t>
        </is>
      </c>
      <c r="Z403" t="inlineStr">
        <is>
          <t>2026-08-11</t>
        </is>
      </c>
      <c r="AA403" s="3" t="n">
        <v>12180</v>
      </c>
      <c r="AB403" t="inlineStr">
        <is>
          <t>Сошлось с услугами</t>
        </is>
      </c>
      <c r="AC403" s="2" t="inlineStr"/>
      <c r="AD403" t="n">
        <v>2320</v>
      </c>
      <c r="AE403" t="n">
        <v>0</v>
      </c>
      <c r="AF403" t="inlineStr">
        <is>
          <t>Скидка добавлена к налоговой базе</t>
        </is>
      </c>
      <c r="AG403" t="n">
        <v>14500</v>
      </c>
      <c r="AH403" t="n">
        <v>12180</v>
      </c>
      <c r="AI403" t="inlineStr">
        <is>
          <t>Полное проживание в выбранном периоде</t>
        </is>
      </c>
    </row>
    <row r="404">
      <c r="A404" t="inlineStr">
        <is>
          <t>20260812-8186-458120356</t>
        </is>
      </c>
      <c r="B404" t="n">
        <v>1</v>
      </c>
      <c r="C404" s="2" t="inlineStr">
        <is>
          <t>ДМИТРИЙ СЕРОВ</t>
        </is>
      </c>
      <c r="D404" s="3" t="n">
        <v>12180</v>
      </c>
      <c r="E404" s="4" t="n">
        <v>16</v>
      </c>
      <c r="F404" t="inlineStr">
        <is>
          <t>ООО "БРОНИРОВАНИЕ ГОСТИНИЦ" (OSTROVOK) [Чайковский]</t>
        </is>
      </c>
      <c r="G404" s="3">
        <f>ROUND(D404/(100-E404)*100,2)</f>
        <v/>
      </c>
      <c r="H404" s="3" t="n">
        <v>0</v>
      </c>
      <c r="I404" s="3">
        <f>ROUND(IF(ISNUMBER(AG404),AG404,G404)+H404,2)</f>
        <v/>
      </c>
      <c r="J404" s="2" t="inlineStr">
        <is>
          <t>Завтрак "Шведский стол"</t>
        </is>
      </c>
      <c r="K404" s="5" t="n">
        <v>46246.58333333334</v>
      </c>
      <c r="L404" t="n">
        <v>1</v>
      </c>
      <c r="M404" s="3">
        <f>I404/L404</f>
        <v/>
      </c>
      <c r="N404">
        <f>IF(M404&gt;=5100,"ставка","мин.ставка")</f>
        <v/>
      </c>
      <c r="O404" s="3">
        <f>ROUND(IF(N404="мин.ставка",L404*100,I404/102*2),2)</f>
        <v/>
      </c>
      <c r="P404" s="5" t="n">
        <v>46247.5</v>
      </c>
      <c r="Q404" t="inlineStr">
        <is>
          <t>TravelLine OTK</t>
        </is>
      </c>
      <c r="R404" s="2" t="inlineStr">
        <is>
          <t>ПОЛУЛЮКС</t>
        </is>
      </c>
      <c r="S404" t="n">
        <v>11</v>
      </c>
      <c r="T404" t="n">
        <v>1</v>
      </c>
      <c r="U404" t="inlineStr"/>
      <c r="V404" t="inlineStr">
        <is>
          <t>Тариф с завтраком</t>
        </is>
      </c>
      <c r="W404" t="n">
        <v>12180</v>
      </c>
      <c r="X404" s="3" t="n">
        <v>2320</v>
      </c>
      <c r="Y404" t="inlineStr">
        <is>
          <t>16%</t>
        </is>
      </c>
      <c r="Z404" t="inlineStr">
        <is>
          <t>2026-08-12</t>
        </is>
      </c>
      <c r="AA404" s="3" t="n">
        <v>12180</v>
      </c>
      <c r="AB404" t="inlineStr">
        <is>
          <t>Сошлось по ночным тарифам</t>
        </is>
      </c>
      <c r="AC404" s="2" t="inlineStr"/>
      <c r="AD404" t="n">
        <v>2320</v>
      </c>
      <c r="AE404" t="n">
        <v>0</v>
      </c>
      <c r="AF404" t="inlineStr">
        <is>
          <t>Скидка добавлена к налоговой базе</t>
        </is>
      </c>
      <c r="AG404" t="n">
        <v>14500</v>
      </c>
      <c r="AH404" t="n">
        <v>12180</v>
      </c>
      <c r="AI404" t="inlineStr">
        <is>
          <t>Полное проживание в выбранном периоде</t>
        </is>
      </c>
    </row>
    <row r="405">
      <c r="A405" t="inlineStr">
        <is>
          <t>20260907-8186-464086254</t>
        </is>
      </c>
      <c r="B405" t="n">
        <v>1</v>
      </c>
      <c r="C405" s="2" t="inlineStr">
        <is>
          <t>ДМИТРИЙ СЕРОВ</t>
        </is>
      </c>
      <c r="D405" s="3" t="n">
        <v>9534</v>
      </c>
      <c r="E405" s="4" t="n">
        <v>16</v>
      </c>
      <c r="F405" t="inlineStr">
        <is>
          <t>ООО "БРОНИРОВАНИЕ ГОСТИНИЦ" (OSTROVOK) [Чайковский]</t>
        </is>
      </c>
      <c r="G405" s="3">
        <f>ROUND(D405/(100-E405)*100,2)</f>
        <v/>
      </c>
      <c r="H405" s="3" t="n">
        <v>0</v>
      </c>
      <c r="I405" s="3">
        <f>ROUND(IF(ISNUMBER(AG405),AG405,G405)+H405,2)</f>
        <v/>
      </c>
      <c r="J405" s="2" t="inlineStr">
        <is>
          <t>Завтрак "Шведский стол"</t>
        </is>
      </c>
      <c r="K405" s="5" t="n">
        <v>46272.58333333334</v>
      </c>
      <c r="L405" t="n">
        <v>1</v>
      </c>
      <c r="M405" s="3">
        <f>I405/L405</f>
        <v/>
      </c>
      <c r="N405">
        <f>IF(M405&gt;=5100,"ставка","мин.ставка")</f>
        <v/>
      </c>
      <c r="O405" s="3">
        <f>ROUND(IF(N405="мин.ставка",L405*100,I405/102*2),2)</f>
        <v/>
      </c>
      <c r="P405" s="5" t="n">
        <v>46273.58333333334</v>
      </c>
      <c r="Q405" t="inlineStr">
        <is>
          <t>TravelLine OTK</t>
        </is>
      </c>
      <c r="R405" s="2" t="inlineStr">
        <is>
          <t>СТАНДАРТНЫЙ ДВУХМЕСТНЫЙ НОМЕР</t>
        </is>
      </c>
      <c r="S405" t="n">
        <v>52</v>
      </c>
      <c r="T405" t="n">
        <v>2</v>
      </c>
      <c r="U405" t="inlineStr"/>
      <c r="V405" t="inlineStr">
        <is>
          <t>Тариф с завтраком</t>
        </is>
      </c>
      <c r="W405" t="n">
        <v>47670</v>
      </c>
      <c r="X405" s="3" t="n">
        <v>1816</v>
      </c>
      <c r="Y405" t="inlineStr">
        <is>
          <t>16%</t>
        </is>
      </c>
      <c r="Z405" t="inlineStr">
        <is>
          <t>2026-09-07</t>
        </is>
      </c>
      <c r="AA405" s="3" t="n">
        <v>9534</v>
      </c>
      <c r="AB405" t="inlineStr">
        <is>
          <t>Сошлось по ночным тарифам</t>
        </is>
      </c>
      <c r="AC405" s="2" t="inlineStr"/>
      <c r="AD405" t="n">
        <v>1816</v>
      </c>
      <c r="AE405" t="n">
        <v>0</v>
      </c>
      <c r="AF405" t="inlineStr">
        <is>
          <t>Скидка добавлена к налоговой базе</t>
        </is>
      </c>
      <c r="AG405" t="n">
        <v>11350</v>
      </c>
      <c r="AH405" t="n">
        <v>9534</v>
      </c>
      <c r="AI405" t="inlineStr">
        <is>
          <t>Полное проживание в выбранном периоде</t>
        </is>
      </c>
    </row>
    <row r="406">
      <c r="A406" t="inlineStr">
        <is>
          <t>20260907-8186-464086254</t>
        </is>
      </c>
      <c r="B406" t="n">
        <v>1</v>
      </c>
      <c r="C406" s="2" t="inlineStr">
        <is>
          <t>ДМИТРИЙ СЕРОВ</t>
        </is>
      </c>
      <c r="D406" s="3" t="n">
        <v>38136</v>
      </c>
      <c r="E406" s="4" t="n">
        <v>16</v>
      </c>
      <c r="F406" t="inlineStr">
        <is>
          <t>ООО "БРОНИРОВАНИЕ ГОСТИНИЦ" (OSTROVOK) [Чайковский]</t>
        </is>
      </c>
      <c r="G406" s="3">
        <f>ROUND(D406/(100-E406)*100,2)</f>
        <v/>
      </c>
      <c r="H406" s="3" t="n">
        <v>0</v>
      </c>
      <c r="I406" s="3">
        <f>ROUND(IF(ISNUMBER(AG406),AG406,G406)+H406,2)</f>
        <v/>
      </c>
      <c r="J406" s="2" t="inlineStr">
        <is>
          <t>Завтрак "Шведский стол"</t>
        </is>
      </c>
      <c r="K406" s="5" t="n">
        <v>46273.58333333334</v>
      </c>
      <c r="L406" t="n">
        <v>4</v>
      </c>
      <c r="M406" s="3">
        <f>I406/L406</f>
        <v/>
      </c>
      <c r="N406">
        <f>IF(M406&gt;=5100,"ставка","мин.ставка")</f>
        <v/>
      </c>
      <c r="O406" s="3">
        <f>ROUND(IF(N406="мин.ставка",L406*100,I406/102*2),2)</f>
        <v/>
      </c>
      <c r="P406" s="5" t="n">
        <v>46277.5</v>
      </c>
      <c r="Q406" t="inlineStr">
        <is>
          <t>TravelLine OTK</t>
        </is>
      </c>
      <c r="R406" s="2" t="inlineStr">
        <is>
          <t>СТАНДАРТНЫЙ ДВУХМЕСТНЫЙ НОМЕР</t>
        </is>
      </c>
      <c r="S406" t="n">
        <v>23</v>
      </c>
      <c r="T406" t="n">
        <v>1</v>
      </c>
      <c r="U406" t="inlineStr"/>
      <c r="V406" t="inlineStr">
        <is>
          <t>Тариф с завтраком</t>
        </is>
      </c>
      <c r="W406" t="n">
        <v>47670</v>
      </c>
      <c r="X406" s="3" t="n">
        <v>7264</v>
      </c>
      <c r="Y406" t="inlineStr">
        <is>
          <t>16%</t>
        </is>
      </c>
      <c r="Z406" t="inlineStr">
        <is>
          <t>2026-09-08, 2026-09-09, 2026-09-10, 2026-09-11</t>
        </is>
      </c>
      <c r="AA406" s="3" t="n">
        <v>38136</v>
      </c>
      <c r="AB406" t="inlineStr">
        <is>
          <t>Сошлось по ночным тарифам</t>
        </is>
      </c>
      <c r="AC406" s="2" t="inlineStr"/>
      <c r="AD406" t="n">
        <v>7264</v>
      </c>
      <c r="AE406" t="n">
        <v>0</v>
      </c>
      <c r="AF406" t="inlineStr">
        <is>
          <t>Скидка добавлена к налоговой базе</t>
        </is>
      </c>
      <c r="AG406" t="n">
        <v>45400</v>
      </c>
      <c r="AH406" t="n">
        <v>38136</v>
      </c>
      <c r="AI406" t="inlineStr">
        <is>
          <t>Полное проживание в выбранном периоде</t>
        </is>
      </c>
    </row>
    <row r="407">
      <c r="A407" t="inlineStr">
        <is>
          <t>20260912-8186-465262841</t>
        </is>
      </c>
      <c r="B407" t="n">
        <v>1</v>
      </c>
      <c r="C407" s="2" t="inlineStr">
        <is>
          <t>ДМИТРИЙ СЕРОВ</t>
        </is>
      </c>
      <c r="D407" s="3" t="n">
        <v>34050</v>
      </c>
      <c r="E407" s="4" t="n">
        <v>0</v>
      </c>
      <c r="F407" t="inlineStr">
        <is>
          <t>Прямые бронирования (стойка) [Чайковский]</t>
        </is>
      </c>
      <c r="G407" s="3">
        <f>ROUND(D407/(100-E407)*100,2)</f>
        <v/>
      </c>
      <c r="H407" s="3" t="n">
        <v>0</v>
      </c>
      <c r="I407" s="3">
        <f>ROUND(IF(ISNUMBER(AG407),AG407,G407)+H407,2)</f>
        <v/>
      </c>
      <c r="J407" s="2" t="inlineStr">
        <is>
          <t>Завтрак "Шведский стол"</t>
        </is>
      </c>
      <c r="K407" s="5" t="n">
        <v>46277.58333333334</v>
      </c>
      <c r="L407" t="n">
        <v>3</v>
      </c>
      <c r="M407" s="3">
        <f>I407/L407</f>
        <v/>
      </c>
      <c r="N407">
        <f>IF(M407&gt;=5100,"ставка","мин.ставка")</f>
        <v/>
      </c>
      <c r="O407" s="3">
        <f>ROUND(IF(N407="мин.ставка",L407*100,I407/102*2),2)</f>
        <v/>
      </c>
      <c r="P407" s="5" t="n">
        <v>46280.5</v>
      </c>
      <c r="Q407" t="inlineStr">
        <is>
          <t>TravelLine ресепшен</t>
        </is>
      </c>
      <c r="R407" s="2" t="inlineStr">
        <is>
          <t>СТАНДАРТНЫЙ ДВУХМЕСТНЫЙ НОМЕР</t>
        </is>
      </c>
      <c r="S407" t="n">
        <v>23</v>
      </c>
      <c r="T407" t="n">
        <v>1</v>
      </c>
      <c r="U407" t="inlineStr"/>
      <c r="V407" t="inlineStr">
        <is>
          <t>Тариф с завтраком</t>
        </is>
      </c>
      <c r="W407" t="n">
        <v>34050</v>
      </c>
      <c r="X407" s="3" t="n">
        <v>0</v>
      </c>
      <c r="Y407" t="inlineStr"/>
      <c r="Z407" t="inlineStr"/>
      <c r="AA407" s="3" t="n">
        <v>34050</v>
      </c>
      <c r="AB407" t="inlineStr">
        <is>
          <t>Сошлось по ночным тарифам</t>
        </is>
      </c>
      <c r="AC407" s="2" t="inlineStr"/>
      <c r="AD407" t="n">
        <v>0</v>
      </c>
      <c r="AE407" t="n">
        <v>0</v>
      </c>
      <c r="AF407" t="inlineStr">
        <is>
          <t>Скидки нет</t>
        </is>
      </c>
      <c r="AG407" t="n">
        <v>34050</v>
      </c>
      <c r="AH407" t="n">
        <v>34050</v>
      </c>
      <c r="AI407" t="inlineStr">
        <is>
          <t>Полное проживание в выбранном периоде</t>
        </is>
      </c>
    </row>
    <row r="408">
      <c r="A408" t="inlineStr">
        <is>
          <t>20260902-8186-462738129</t>
        </is>
      </c>
      <c r="B408" t="n">
        <v>1</v>
      </c>
      <c r="C408" s="2" t="inlineStr">
        <is>
          <t>Дмитрий Скрипальщиков, МАРИНА СКРИПАЛЬЩИКОВА</t>
        </is>
      </c>
      <c r="D408" s="3" t="n">
        <v>15890</v>
      </c>
      <c r="E408" s="4" t="n">
        <v>20</v>
      </c>
      <c r="F408" t="inlineStr">
        <is>
          <t>ООО "УК ГЦБ и Т" [Чайковский]</t>
        </is>
      </c>
      <c r="G408" s="3">
        <f>ROUND(D408/(100-E408)*100,2)</f>
        <v/>
      </c>
      <c r="H408" s="3" t="n">
        <v>17350</v>
      </c>
      <c r="I408" s="3">
        <f>ROUND(IF(ISNUMBER(AG408),AG408,G408)+H408,2)</f>
        <v/>
      </c>
      <c r="J408" s="2" t="inlineStr">
        <is>
          <t>Завтрак; продление номера — 6 000,00 ₽; Завтрак "Шведский стол"; Ранний заезд — 11 350,00 ₽</t>
        </is>
      </c>
      <c r="K408" s="5" t="n">
        <v>46267.375</v>
      </c>
      <c r="L408" t="n">
        <v>2</v>
      </c>
      <c r="M408" s="3">
        <f>I408/L408</f>
        <v/>
      </c>
      <c r="N408">
        <f>IF(M408&gt;=5100,"ставка","мин.ставка")</f>
        <v/>
      </c>
      <c r="O408" s="3">
        <f>ROUND(IF(N408="мин.ставка",L408*100,I408/102*2),2)</f>
        <v/>
      </c>
      <c r="P408" s="5" t="n">
        <v>46269.5</v>
      </c>
      <c r="Q408" t="inlineStr">
        <is>
          <t>TravelLine CBC</t>
        </is>
      </c>
      <c r="R408" s="2" t="inlineStr">
        <is>
          <t>СТАНДАРТНЫЙ ДВУХМЕСТНЫЙ НОМЕР</t>
        </is>
      </c>
      <c r="S408" t="n">
        <v>58</v>
      </c>
      <c r="T408" t="n">
        <v>2</v>
      </c>
      <c r="U408" t="inlineStr"/>
      <c r="V408" t="inlineStr">
        <is>
          <t>Тариф с завтраком</t>
        </is>
      </c>
      <c r="W408" t="n">
        <v>33240</v>
      </c>
      <c r="X408" s="3" t="n">
        <v>6810</v>
      </c>
      <c r="Y408" t="inlineStr">
        <is>
          <t>6810%</t>
        </is>
      </c>
      <c r="Z408" t="inlineStr">
        <is>
          <t>Не распределена по датам</t>
        </is>
      </c>
      <c r="AA408" s="3" t="n">
        <v>15890</v>
      </c>
      <c r="AB408" t="inlineStr">
        <is>
          <t>Расхождение -11350.00 ₽</t>
        </is>
      </c>
      <c r="AC408" s="2" t="inlineStr"/>
      <c r="AD408" t="n">
        <v>6810</v>
      </c>
      <c r="AE408" t="n">
        <v>0</v>
      </c>
      <c r="AF408" t="inlineStr">
        <is>
          <t>Скидка добавлена к налоговой базе</t>
        </is>
      </c>
      <c r="AG408" t="n">
        <v>22700</v>
      </c>
      <c r="AH408" t="n">
        <v>15890</v>
      </c>
      <c r="AI408" t="inlineStr">
        <is>
          <t>Полное проживание в выбранном периоде</t>
        </is>
      </c>
    </row>
    <row r="409">
      <c r="A409" t="inlineStr">
        <is>
          <t>20260916-8186-466040322</t>
        </is>
      </c>
      <c r="B409" t="n">
        <v>1</v>
      </c>
      <c r="C409" s="2" t="inlineStr">
        <is>
          <t>Дмитрий Тихомиров</t>
        </is>
      </c>
      <c r="D409" s="3" t="n">
        <v>19920</v>
      </c>
      <c r="E409" s="4" t="n">
        <v>20</v>
      </c>
      <c r="F409" t="inlineStr">
        <is>
          <t>ООО "КОМПАНИЯ БРОНЕВИК" [Чайковский]</t>
        </is>
      </c>
      <c r="G409" s="3">
        <f>ROUND(D409/(100-E409)*100,2)</f>
        <v/>
      </c>
      <c r="H409" s="3" t="n">
        <v>0</v>
      </c>
      <c r="I409" s="3">
        <f>ROUND(IF(ISNUMBER(AG409),AG409,G409)+H409,2)</f>
        <v/>
      </c>
      <c r="J409" s="2" t="inlineStr">
        <is>
          <t>Завтрак "Шведский стол"</t>
        </is>
      </c>
      <c r="K409" s="5" t="n">
        <v>46281.58333333334</v>
      </c>
      <c r="L409" t="n">
        <v>2</v>
      </c>
      <c r="M409" s="3">
        <f>I409/L409</f>
        <v/>
      </c>
      <c r="N409">
        <f>IF(M409&gt;=5100,"ставка","мин.ставка")</f>
        <v/>
      </c>
      <c r="O409" s="3">
        <f>ROUND(IF(N409="мин.ставка",L409*100,I409/102*2),2)</f>
        <v/>
      </c>
      <c r="P409" s="5" t="n">
        <v>46283.5</v>
      </c>
      <c r="Q409" t="inlineStr">
        <is>
          <t>TravelLine BR2</t>
        </is>
      </c>
      <c r="R409" s="2" t="inlineStr">
        <is>
          <t>СЕМЕЙНЫЙ НОМЕР КАТЕГОРИИ "СТАНДАРТ" ВТОРОЙ КОРПУС</t>
        </is>
      </c>
      <c r="S409" t="n">
        <v>50</v>
      </c>
      <c r="T409" t="n">
        <v>2</v>
      </c>
      <c r="U409" t="inlineStr"/>
      <c r="V409" t="inlineStr">
        <is>
          <t>Тариф с завтраком</t>
        </is>
      </c>
      <c r="W409" t="n">
        <v>19920</v>
      </c>
      <c r="X409" s="3" t="n">
        <v>0</v>
      </c>
      <c r="Y409" t="inlineStr"/>
      <c r="Z409" t="inlineStr"/>
      <c r="AA409" s="3" t="n">
        <v>19920</v>
      </c>
      <c r="AB409" t="inlineStr">
        <is>
          <t>Сошлось по ночным тарифам</t>
        </is>
      </c>
      <c r="AC409" s="2" t="inlineStr"/>
      <c r="AD409" t="n">
        <v>0</v>
      </c>
      <c r="AE409" t="n">
        <v>0</v>
      </c>
      <c r="AF409" t="inlineStr">
        <is>
          <t>Скидки нет</t>
        </is>
      </c>
      <c r="AG409" t="n">
        <v>19920</v>
      </c>
      <c r="AH409" t="n">
        <v>19920</v>
      </c>
      <c r="AI409" t="inlineStr">
        <is>
          <t>Полное проживание в выбранном периоде</t>
        </is>
      </c>
    </row>
    <row r="410">
      <c r="A410" t="inlineStr">
        <is>
          <t>20260728-8186-452916857</t>
        </is>
      </c>
      <c r="B410" t="n">
        <v>1</v>
      </c>
      <c r="C410" s="2" t="inlineStr">
        <is>
          <t>Дмитрий Шкирдов</t>
        </is>
      </c>
      <c r="D410" s="3" t="n">
        <v>6160</v>
      </c>
      <c r="E410" s="4" t="n">
        <v>20</v>
      </c>
      <c r="F410" t="inlineStr">
        <is>
          <t>ООО "УК ГЦБ и Т" [Чайковский]</t>
        </is>
      </c>
      <c r="G410" s="3">
        <f>ROUND(D410/(100-E410)*100,2)</f>
        <v/>
      </c>
      <c r="H410" s="3" t="n">
        <v>0</v>
      </c>
      <c r="I410" s="3">
        <f>ROUND(IF(ISNUMBER(AG410),AG410,G410)+H410,2)</f>
        <v/>
      </c>
      <c r="J410" s="2" t="inlineStr">
        <is>
          <t>Завтрак; Завтрак "Шведский стол"</t>
        </is>
      </c>
      <c r="K410" s="5" t="n">
        <v>46231.58333333334</v>
      </c>
      <c r="L410" t="n">
        <v>1</v>
      </c>
      <c r="M410" s="3">
        <f>I410/L410</f>
        <v/>
      </c>
      <c r="N410">
        <f>IF(M410&gt;=5100,"ставка","мин.ставка")</f>
        <v/>
      </c>
      <c r="O410" s="3">
        <f>ROUND(IF(N410="мин.ставка",L410*100,I410/102*2),2)</f>
        <v/>
      </c>
      <c r="P410" s="5" t="n">
        <v>46232.5</v>
      </c>
      <c r="Q410" t="inlineStr">
        <is>
          <t>TravelLine CBC</t>
        </is>
      </c>
      <c r="R410" s="2" t="inlineStr">
        <is>
          <t>СТАНДАРТНЫЙ ОДНОМЕСТНЫЙ НОМЕР</t>
        </is>
      </c>
      <c r="S410" t="n">
        <v>34</v>
      </c>
      <c r="T410" t="n">
        <v>1</v>
      </c>
      <c r="U410" t="inlineStr"/>
      <c r="V410" t="inlineStr">
        <is>
          <t>Тариф с завтраком</t>
        </is>
      </c>
      <c r="W410" t="n">
        <v>6160</v>
      </c>
      <c r="X410" s="3" t="n">
        <v>1540</v>
      </c>
      <c r="Y410" t="inlineStr">
        <is>
          <t>20%</t>
        </is>
      </c>
      <c r="Z410" t="inlineStr">
        <is>
          <t>2026-07-28</t>
        </is>
      </c>
      <c r="AA410" s="3" t="n">
        <v>6160</v>
      </c>
      <c r="AB410" t="inlineStr">
        <is>
          <t>Сошлось по ночным тарифам</t>
        </is>
      </c>
      <c r="AC410" s="2" t="inlineStr"/>
      <c r="AD410" t="n">
        <v>1540</v>
      </c>
      <c r="AE410" t="n">
        <v>0</v>
      </c>
      <c r="AF410" t="inlineStr">
        <is>
          <t>Скидка добавлена к налоговой базе</t>
        </is>
      </c>
      <c r="AG410" t="n">
        <v>7700</v>
      </c>
      <c r="AH410" t="n">
        <v>6160</v>
      </c>
      <c r="AI410" t="inlineStr">
        <is>
          <t>Полное проживание в выбранном периоде</t>
        </is>
      </c>
    </row>
    <row r="411">
      <c r="A411" t="inlineStr">
        <is>
          <t>20260811-8186-453519352</t>
        </is>
      </c>
      <c r="B411" t="n">
        <v>1</v>
      </c>
      <c r="C411" s="2" t="inlineStr">
        <is>
          <t>Евгений Ванчик</t>
        </is>
      </c>
      <c r="D411" s="3" t="n">
        <v>18614</v>
      </c>
      <c r="E411" s="4" t="n">
        <v>18</v>
      </c>
      <c r="F411" t="inlineStr">
        <is>
          <t>ООО "ТРИВИО СЕРВИС" [Чайковский]</t>
        </is>
      </c>
      <c r="G411" s="3">
        <f>ROUND(D411/(100-E411)*100,2)</f>
        <v/>
      </c>
      <c r="H411" s="3" t="n">
        <v>0</v>
      </c>
      <c r="I411" s="3">
        <f>ROUND(IF(ISNUMBER(AG411),AG411,G411)+H411,2)</f>
        <v/>
      </c>
      <c r="J411" s="2" t="inlineStr">
        <is>
          <t>Завтрак "Шведский стол"</t>
        </is>
      </c>
      <c r="K411" s="5" t="n">
        <v>46245.58333333334</v>
      </c>
      <c r="L411" t="n">
        <v>2</v>
      </c>
      <c r="M411" s="3">
        <f>I411/L411</f>
        <v/>
      </c>
      <c r="N411">
        <f>IF(M411&gt;=5100,"ставка","мин.ставка")</f>
        <v/>
      </c>
      <c r="O411" s="3">
        <f>ROUND(IF(N411="мин.ставка",L411*100,I411/102*2),2)</f>
        <v/>
      </c>
      <c r="P411" s="5" t="n">
        <v>46247.5</v>
      </c>
      <c r="Q411" t="inlineStr">
        <is>
          <t>TravelLine TIO</t>
        </is>
      </c>
      <c r="R411" s="2" t="inlineStr">
        <is>
          <t>СТАНДАРТНЫЙ ДВУХМЕСТНЫЙ НОМЕР</t>
        </is>
      </c>
      <c r="S411" t="n">
        <v>46</v>
      </c>
      <c r="T411" t="n">
        <v>1</v>
      </c>
      <c r="U411" t="inlineStr"/>
      <c r="V411" t="inlineStr">
        <is>
          <t>Тариф с завтраком</t>
        </is>
      </c>
      <c r="W411" t="n">
        <v>18614</v>
      </c>
      <c r="X411" s="3" t="n">
        <v>4086</v>
      </c>
      <c r="Y411" t="inlineStr">
        <is>
          <t>18%</t>
        </is>
      </c>
      <c r="Z411" t="inlineStr">
        <is>
          <t>2026-08-11, 2026-08-12</t>
        </is>
      </c>
      <c r="AA411" s="3" t="n">
        <v>18614</v>
      </c>
      <c r="AB411" t="inlineStr">
        <is>
          <t>Сошлось по ночным тарифам</t>
        </is>
      </c>
      <c r="AC411" s="2" t="inlineStr"/>
      <c r="AD411" t="n">
        <v>4086</v>
      </c>
      <c r="AE411" t="n">
        <v>0</v>
      </c>
      <c r="AF411" t="inlineStr">
        <is>
          <t>Скидка добавлена к налоговой базе</t>
        </is>
      </c>
      <c r="AG411" t="n">
        <v>22700</v>
      </c>
      <c r="AH411" t="n">
        <v>18614</v>
      </c>
      <c r="AI411" t="inlineStr">
        <is>
          <t>Полное проживание в выбранном периоде</t>
        </is>
      </c>
    </row>
    <row r="412">
      <c r="A412" t="inlineStr">
        <is>
          <t>20260810-8186-456644582</t>
        </is>
      </c>
      <c r="B412" t="n">
        <v>1</v>
      </c>
      <c r="C412" s="2" t="inlineStr">
        <is>
          <t>ЕВГЕНИЙ ВАХРАМЕЕВ</t>
        </is>
      </c>
      <c r="D412" s="3" t="n">
        <v>11600</v>
      </c>
      <c r="E412" s="4" t="n">
        <v>20</v>
      </c>
      <c r="F412" t="inlineStr">
        <is>
          <t>ООО "КОМПАНИЯ БРОНЕВИК" [Чайковский]</t>
        </is>
      </c>
      <c r="G412" s="3">
        <f>ROUND(D412/(100-E412)*100,2)</f>
        <v/>
      </c>
      <c r="H412" s="3" t="n">
        <v>0</v>
      </c>
      <c r="I412" s="3">
        <f>ROUND(IF(ISNUMBER(AG412),AG412,G412)+H412,2)</f>
        <v/>
      </c>
      <c r="J412" s="2" t="inlineStr">
        <is>
          <t>Завтрак "Шведский стол"</t>
        </is>
      </c>
      <c r="K412" s="5" t="n">
        <v>46244.58333333334</v>
      </c>
      <c r="L412" t="n">
        <v>1</v>
      </c>
      <c r="M412" s="3">
        <f>I412/L412</f>
        <v/>
      </c>
      <c r="N412">
        <f>IF(M412&gt;=5100,"ставка","мин.ставка")</f>
        <v/>
      </c>
      <c r="O412" s="3">
        <f>ROUND(IF(N412="мин.ставка",L412*100,I412/102*2),2)</f>
        <v/>
      </c>
      <c r="P412" s="5" t="n">
        <v>46245.5</v>
      </c>
      <c r="Q412" t="inlineStr">
        <is>
          <t>TravelLine BR2</t>
        </is>
      </c>
      <c r="R412" s="2" t="inlineStr">
        <is>
          <t>ПОЛУЛЮКС</t>
        </is>
      </c>
      <c r="S412" t="n">
        <v>25</v>
      </c>
      <c r="T412" t="n">
        <v>1</v>
      </c>
      <c r="U412" t="inlineStr"/>
      <c r="V412" t="inlineStr">
        <is>
          <t>Тариф с завтраком</t>
        </is>
      </c>
      <c r="W412" t="n">
        <v>11600</v>
      </c>
      <c r="X412" s="3" t="n">
        <v>0</v>
      </c>
      <c r="Y412" t="inlineStr"/>
      <c r="Z412" t="inlineStr"/>
      <c r="AA412" s="3" t="n">
        <v>11600</v>
      </c>
      <c r="AB412" t="inlineStr">
        <is>
          <t>Сошлось по ночным тарифам</t>
        </is>
      </c>
      <c r="AC412" s="2" t="inlineStr"/>
      <c r="AD412" t="n">
        <v>0</v>
      </c>
      <c r="AE412" t="n">
        <v>0</v>
      </c>
      <c r="AF412" t="inlineStr">
        <is>
          <t>Скидки нет</t>
        </is>
      </c>
      <c r="AG412" t="n">
        <v>11600</v>
      </c>
      <c r="AH412" t="n">
        <v>11600</v>
      </c>
      <c r="AI412" t="inlineStr">
        <is>
          <t>Полное проживание в выбранном периоде</t>
        </is>
      </c>
    </row>
    <row r="413">
      <c r="A413" t="inlineStr">
        <is>
          <t>20260728-8186-433948569</t>
        </is>
      </c>
      <c r="B413" t="n">
        <v>1</v>
      </c>
      <c r="C413" s="2" t="inlineStr">
        <is>
          <t>Евгений Гололобов, ЮЛИЯ АНДРЕЕВА, ПЕЛАГЕЯ ГОЛОЛОБОВА</t>
        </is>
      </c>
      <c r="D413" s="3" t="n">
        <v>16991.25</v>
      </c>
      <c r="E413" s="4" t="n">
        <v>4</v>
      </c>
      <c r="F413" t="inlineStr">
        <is>
          <t>TravelLine Booking Engine [Чайковский]</t>
        </is>
      </c>
      <c r="G413" s="3">
        <f>ROUND(D413/(100-E413)*100,2)</f>
        <v/>
      </c>
      <c r="H413" s="3" t="n">
        <v>0</v>
      </c>
      <c r="I413" s="3">
        <f>ROUND(IF(ISNUMBER(AG413),AG413,G413)+H413,2)</f>
        <v/>
      </c>
      <c r="J413" s="2" t="inlineStr">
        <is>
          <t>Завтрак "Шведский стол"</t>
        </is>
      </c>
      <c r="K413" s="5" t="n">
        <v>46231.58333333334</v>
      </c>
      <c r="L413" t="n">
        <v>1</v>
      </c>
      <c r="M413" s="3">
        <f>I413/L413</f>
        <v/>
      </c>
      <c r="N413">
        <f>IF(M413&gt;=5100,"ставка","мин.ставка")</f>
        <v/>
      </c>
      <c r="O413" s="3">
        <f>ROUND(IF(N413="мин.ставка",L413*100,I413/102*2),2)</f>
        <v/>
      </c>
      <c r="P413" s="5" t="n">
        <v>46232.5</v>
      </c>
      <c r="Q413" t="inlineStr">
        <is>
          <t>TravelLine сайт</t>
        </is>
      </c>
      <c r="R413" s="2" t="inlineStr">
        <is>
          <t>семейный номер категории "стандарт"</t>
        </is>
      </c>
      <c r="S413" t="n">
        <v>51</v>
      </c>
      <c r="T413" t="n">
        <v>2</v>
      </c>
      <c r="U413" t="inlineStr"/>
      <c r="V413" t="inlineStr">
        <is>
          <t>Тариф с завтраком</t>
        </is>
      </c>
      <c r="W413" t="n">
        <v>16991.25</v>
      </c>
      <c r="X413" s="3" t="n">
        <v>258.75</v>
      </c>
      <c r="Y413" t="inlineStr">
        <is>
          <t>1.5%</t>
        </is>
      </c>
      <c r="Z413" t="inlineStr">
        <is>
          <t>2026-07-28</t>
        </is>
      </c>
      <c r="AA413" s="3" t="n">
        <v>16991.25</v>
      </c>
      <c r="AB413" t="inlineStr">
        <is>
          <t>Сошлось по ночным тарифам</t>
        </is>
      </c>
      <c r="AC413" s="2" t="inlineStr"/>
      <c r="AD413" t="n">
        <v>258.75</v>
      </c>
      <c r="AE413" t="n">
        <v>0</v>
      </c>
      <c r="AF413" t="inlineStr">
        <is>
          <t>Скидка добавлена к налоговой базе</t>
        </is>
      </c>
      <c r="AG413" t="n">
        <v>17250</v>
      </c>
      <c r="AH413" t="n">
        <v>16991.25</v>
      </c>
      <c r="AI413" t="inlineStr">
        <is>
          <t>Полное проживание в выбранном периоде</t>
        </is>
      </c>
    </row>
    <row r="414">
      <c r="A414" t="inlineStr">
        <is>
          <t>20260722-8186-451992437</t>
        </is>
      </c>
      <c r="B414" t="n">
        <v>1</v>
      </c>
      <c r="C414" s="2" t="inlineStr">
        <is>
          <t>Евгений Грошев</t>
        </is>
      </c>
      <c r="D414" s="3" t="n">
        <v>7298</v>
      </c>
      <c r="E414" s="4" t="n">
        <v>18</v>
      </c>
      <c r="F414" t="inlineStr">
        <is>
          <t>ООО "Эй энд Эй" [Чайковский]</t>
        </is>
      </c>
      <c r="G414" s="3">
        <f>ROUND(D414/(100-E414)*100,2)</f>
        <v/>
      </c>
      <c r="H414" s="3" t="n">
        <v>0</v>
      </c>
      <c r="I414" s="3">
        <f>ROUND(IF(ISNUMBER(AG414),AG414,G414)+H414,2)</f>
        <v/>
      </c>
      <c r="J414" s="2" t="inlineStr">
        <is>
          <t>Завтрак "Шведский стол"</t>
        </is>
      </c>
      <c r="K414" s="5" t="n">
        <v>46225.58333333334</v>
      </c>
      <c r="L414" t="n">
        <v>1</v>
      </c>
      <c r="M414" s="3">
        <f>I414/L414</f>
        <v/>
      </c>
      <c r="N414">
        <f>IF(M414&gt;=5100,"ставка","мин.ставка")</f>
        <v/>
      </c>
      <c r="O414" s="3">
        <f>ROUND(IF(N414="мин.ставка",L414*100,I414/102*2),2)</f>
        <v/>
      </c>
      <c r="P414" s="5" t="n">
        <v>46226.5</v>
      </c>
      <c r="Q414" t="inlineStr">
        <is>
          <t>TravelLine ANA</t>
        </is>
      </c>
      <c r="R414" s="2" t="inlineStr">
        <is>
          <t>СЕМЕЙНЫЙ НОМЕР КАТЕГОРИИ "СТАНДАРТ" ВТОРОЙ КОРПУС</t>
        </is>
      </c>
      <c r="S414" t="n">
        <v>51</v>
      </c>
      <c r="T414" t="n">
        <v>2</v>
      </c>
      <c r="U414" t="inlineStr"/>
      <c r="V414" t="inlineStr">
        <is>
          <t>Тариф с завтраком</t>
        </is>
      </c>
      <c r="W414" t="n">
        <v>7298</v>
      </c>
      <c r="X414" s="3" t="n">
        <v>1602</v>
      </c>
      <c r="Y414" t="inlineStr">
        <is>
          <t>18%</t>
        </is>
      </c>
      <c r="Z414" t="inlineStr">
        <is>
          <t>2026-07-22</t>
        </is>
      </c>
      <c r="AA414" s="3" t="n">
        <v>7298</v>
      </c>
      <c r="AB414" t="inlineStr">
        <is>
          <t>Сошлось по ночным тарифам</t>
        </is>
      </c>
      <c r="AC414" s="2" t="inlineStr"/>
      <c r="AD414" t="n">
        <v>1602</v>
      </c>
      <c r="AE414" t="n">
        <v>0</v>
      </c>
      <c r="AF414" t="inlineStr">
        <is>
          <t>Скидка добавлена к налоговой базе</t>
        </is>
      </c>
      <c r="AG414" t="n">
        <v>8900</v>
      </c>
      <c r="AH414" t="n">
        <v>7298</v>
      </c>
      <c r="AI414" t="inlineStr">
        <is>
          <t>Полное проживание в выбранном периоде</t>
        </is>
      </c>
    </row>
    <row r="415">
      <c r="A415" t="inlineStr">
        <is>
          <t>20260720-8186-451630545</t>
        </is>
      </c>
      <c r="B415" t="n">
        <v>1</v>
      </c>
      <c r="C415" s="2" t="inlineStr">
        <is>
          <t>Евгений Езеев</t>
        </is>
      </c>
      <c r="D415" s="3" t="n">
        <v>15400</v>
      </c>
      <c r="E415" s="4" t="n">
        <v>0</v>
      </c>
      <c r="F415" t="inlineStr">
        <is>
          <t>Прямые бронирования (стойка) [Чайковский]</t>
        </is>
      </c>
      <c r="G415" s="3">
        <f>ROUND(D415/(100-E415)*100,2)</f>
        <v/>
      </c>
      <c r="H415" s="3" t="n">
        <v>0</v>
      </c>
      <c r="I415" s="3">
        <f>ROUND(IF(ISNUMBER(AG415),AG415,G415)+H415,2)</f>
        <v/>
      </c>
      <c r="J415" s="2" t="inlineStr">
        <is>
          <t>Завтрак "Шведский стол"</t>
        </is>
      </c>
      <c r="K415" s="5" t="n">
        <v>46223.58333333334</v>
      </c>
      <c r="L415" t="n">
        <v>2</v>
      </c>
      <c r="M415" s="3">
        <f>I415/L415</f>
        <v/>
      </c>
      <c r="N415">
        <f>IF(M415&gt;=5100,"ставка","мин.ставка")</f>
        <v/>
      </c>
      <c r="O415" s="3">
        <f>ROUND(IF(N415="мин.ставка",L415*100,I415/102*2),2)</f>
        <v/>
      </c>
      <c r="P415" s="5" t="n">
        <v>46225.5</v>
      </c>
      <c r="Q415" t="inlineStr">
        <is>
          <t>TravelLine ресепшен</t>
        </is>
      </c>
      <c r="R415" s="2" t="inlineStr">
        <is>
          <t>СТАНДАРТНЫЙ ОДНОМЕСТНЫЙ НОМЕР</t>
        </is>
      </c>
      <c r="S415" t="n">
        <v>24</v>
      </c>
      <c r="T415" t="n">
        <v>1</v>
      </c>
      <c r="U415" t="inlineStr"/>
      <c r="V415" t="inlineStr">
        <is>
          <t>Тариф с завтраком</t>
        </is>
      </c>
      <c r="W415" t="n">
        <v>15400</v>
      </c>
      <c r="X415" s="3" t="n">
        <v>0</v>
      </c>
      <c r="Y415" t="inlineStr"/>
      <c r="Z415" t="inlineStr"/>
      <c r="AA415" s="3" t="n">
        <v>15400</v>
      </c>
      <c r="AB415" t="inlineStr">
        <is>
          <t>Сошлось по ночным тарифам</t>
        </is>
      </c>
      <c r="AC415" s="2" t="inlineStr"/>
      <c r="AD415" t="n">
        <v>0</v>
      </c>
      <c r="AE415" t="n">
        <v>0</v>
      </c>
      <c r="AF415" t="inlineStr">
        <is>
          <t>Скидки нет</t>
        </is>
      </c>
      <c r="AG415" t="n">
        <v>15400</v>
      </c>
      <c r="AH415" t="n">
        <v>15400</v>
      </c>
      <c r="AI415" t="inlineStr">
        <is>
          <t>Полное проживание в выбранном периоде</t>
        </is>
      </c>
    </row>
    <row r="416">
      <c r="A416" t="inlineStr">
        <is>
          <t>20260827-8186-461586024</t>
        </is>
      </c>
      <c r="B416" t="n">
        <v>1</v>
      </c>
      <c r="C416" s="2" t="inlineStr">
        <is>
          <t>Евгений Езеев</t>
        </is>
      </c>
      <c r="D416" s="3" t="n">
        <v>56750</v>
      </c>
      <c r="E416" s="4" t="n">
        <v>0</v>
      </c>
      <c r="F416" t="inlineStr">
        <is>
          <t>Прямые бронирования (стойка) [Чайковский]</t>
        </is>
      </c>
      <c r="G416" s="3">
        <f>ROUND(D416/(100-E416)*100,2)</f>
        <v/>
      </c>
      <c r="H416" s="3" t="n">
        <v>0</v>
      </c>
      <c r="I416" s="3">
        <f>ROUND(IF(ISNUMBER(AG416),AG416,G416)+H416,2)</f>
        <v/>
      </c>
      <c r="J416" s="2" t="inlineStr">
        <is>
          <t>Завтрак "Шведский стол"</t>
        </is>
      </c>
      <c r="K416" s="5" t="n">
        <v>46261.58333333334</v>
      </c>
      <c r="L416" t="n">
        <v>5</v>
      </c>
      <c r="M416" s="3">
        <f>I416/L416</f>
        <v/>
      </c>
      <c r="N416">
        <f>IF(M416&gt;=5100,"ставка","мин.ставка")</f>
        <v/>
      </c>
      <c r="O416" s="3">
        <f>ROUND(IF(N416="мин.ставка",L416*100,I416/102*2),2)</f>
        <v/>
      </c>
      <c r="P416" s="5" t="n">
        <v>46266.5</v>
      </c>
      <c r="Q416" t="inlineStr">
        <is>
          <t>TravelLine ресепшен</t>
        </is>
      </c>
      <c r="R416" s="2" t="inlineStr">
        <is>
          <t>СТАНДАРТНЫЙ ДВУХМЕСТНЫЙ НОМЕР</t>
        </is>
      </c>
      <c r="S416" t="n">
        <v>52</v>
      </c>
      <c r="T416" t="n">
        <v>2</v>
      </c>
      <c r="U416" t="inlineStr"/>
      <c r="V416" t="inlineStr">
        <is>
          <t>Тариф с завтраком</t>
        </is>
      </c>
      <c r="W416" t="n">
        <v>56750</v>
      </c>
      <c r="X416" s="3" t="n">
        <v>0</v>
      </c>
      <c r="Y416" t="inlineStr"/>
      <c r="Z416" t="inlineStr"/>
      <c r="AA416" s="3" t="n">
        <v>56750</v>
      </c>
      <c r="AB416" t="inlineStr">
        <is>
          <t>Сошлось по ночным тарифам</t>
        </is>
      </c>
      <c r="AC416" s="2" t="inlineStr"/>
      <c r="AD416" t="n">
        <v>0</v>
      </c>
      <c r="AE416" t="n">
        <v>0</v>
      </c>
      <c r="AF416" t="inlineStr">
        <is>
          <t>Скидки нет</t>
        </is>
      </c>
      <c r="AG416" t="n">
        <v>56750</v>
      </c>
      <c r="AH416" t="n">
        <v>56750</v>
      </c>
      <c r="AI416" t="inlineStr">
        <is>
          <t>Полное проживание в выбранном периоде</t>
        </is>
      </c>
    </row>
    <row r="417">
      <c r="A417" t="inlineStr">
        <is>
          <t>20260906-8186-463599556</t>
        </is>
      </c>
      <c r="B417" t="n">
        <v>1</v>
      </c>
      <c r="C417" s="2" t="inlineStr">
        <is>
          <t>Евгений Езеев</t>
        </is>
      </c>
      <c r="D417" s="3" t="n">
        <v>15800</v>
      </c>
      <c r="E417" s="4" t="n">
        <v>0</v>
      </c>
      <c r="F417" t="inlineStr">
        <is>
          <t>Прямые бронирования (стойка) [Чайковский]</t>
        </is>
      </c>
      <c r="G417" s="3">
        <f>ROUND(D417/(100-E417)*100,2)</f>
        <v/>
      </c>
      <c r="H417" s="3" t="n">
        <v>0</v>
      </c>
      <c r="I417" s="3">
        <f>ROUND(IF(ISNUMBER(AG417),AG417,G417)+H417,2)</f>
        <v/>
      </c>
      <c r="J417" s="2" t="inlineStr">
        <is>
          <t>Завтрак "Шведский стол"</t>
        </is>
      </c>
      <c r="K417" s="5" t="n">
        <v>46271.58333333334</v>
      </c>
      <c r="L417" t="n">
        <v>2</v>
      </c>
      <c r="M417" s="3">
        <f>I417/L417</f>
        <v/>
      </c>
      <c r="N417">
        <f>IF(M417&gt;=5100,"ставка","мин.ставка")</f>
        <v/>
      </c>
      <c r="O417" s="3">
        <f>ROUND(IF(N417="мин.ставка",L417*100,I417/102*2),2)</f>
        <v/>
      </c>
      <c r="P417" s="5" t="n">
        <v>46273.5</v>
      </c>
      <c r="Q417" t="inlineStr">
        <is>
          <t>TravelLine ресепшен</t>
        </is>
      </c>
      <c r="R417" s="2" t="inlineStr">
        <is>
          <t>УЛУЧШЕННЫЙ ДВУХМЕСТНЫЙ НОМЕР</t>
        </is>
      </c>
      <c r="S417" t="n">
        <v>21</v>
      </c>
      <c r="T417" t="n">
        <v>1</v>
      </c>
      <c r="U417" t="inlineStr"/>
      <c r="V417" t="inlineStr">
        <is>
          <t>Тариф с завтраком</t>
        </is>
      </c>
      <c r="W417" t="n">
        <v>15800</v>
      </c>
      <c r="X417" s="3" t="n">
        <v>0</v>
      </c>
      <c r="Y417" t="inlineStr"/>
      <c r="Z417" t="inlineStr"/>
      <c r="AA417" s="3" t="n">
        <v>15800</v>
      </c>
      <c r="AB417" t="inlineStr">
        <is>
          <t>Сошлось по ночным тарифам</t>
        </is>
      </c>
      <c r="AC417" s="2" t="inlineStr"/>
      <c r="AD417" t="n">
        <v>0</v>
      </c>
      <c r="AE417" t="n">
        <v>0</v>
      </c>
      <c r="AF417" t="inlineStr">
        <is>
          <t>Скидки нет</t>
        </is>
      </c>
      <c r="AG417" t="n">
        <v>15800</v>
      </c>
      <c r="AH417" t="n">
        <v>15800</v>
      </c>
      <c r="AI417" t="inlineStr">
        <is>
          <t>Полное проживание в выбранном периоде</t>
        </is>
      </c>
    </row>
    <row r="418">
      <c r="A418" t="inlineStr">
        <is>
          <t>20260723-8186-449923724</t>
        </is>
      </c>
      <c r="B418" t="n">
        <v>1</v>
      </c>
      <c r="C418" s="2" t="inlineStr">
        <is>
          <t>Евгений МИХАЙЛОВ</t>
        </is>
      </c>
      <c r="D418" s="3" t="n">
        <v>7700</v>
      </c>
      <c r="E418" s="4" t="n">
        <v>0</v>
      </c>
      <c r="F418" t="inlineStr">
        <is>
          <t>Прямые бронирования (стойка) [Чайковский]</t>
        </is>
      </c>
      <c r="G418" s="3">
        <f>ROUND(D418/(100-E418)*100,2)</f>
        <v/>
      </c>
      <c r="H418" s="3" t="n">
        <v>0</v>
      </c>
      <c r="I418" s="3">
        <f>ROUND(IF(ISNUMBER(AG418),AG418,G418)+H418,2)</f>
        <v/>
      </c>
      <c r="J418" s="2" t="inlineStr">
        <is>
          <t>Завтрак "Шведский стол"</t>
        </is>
      </c>
      <c r="K418" s="5" t="n">
        <v>46226.58333333334</v>
      </c>
      <c r="L418" t="n">
        <v>1</v>
      </c>
      <c r="M418" s="3">
        <f>I418/L418</f>
        <v/>
      </c>
      <c r="N418">
        <f>IF(M418&gt;=5100,"ставка","мин.ставка")</f>
        <v/>
      </c>
      <c r="O418" s="3">
        <f>ROUND(IF(N418="мин.ставка",L418*100,I418/102*2),2)</f>
        <v/>
      </c>
      <c r="P418" s="5" t="n">
        <v>46227.5</v>
      </c>
      <c r="Q418" t="inlineStr">
        <is>
          <t>TravelLine ресепшен</t>
        </is>
      </c>
      <c r="R418" s="2" t="inlineStr">
        <is>
          <t>СТАНДАРТНЫЙ ОДНОМЕСТНЫЙ НОМЕР</t>
        </is>
      </c>
      <c r="S418" t="n">
        <v>24</v>
      </c>
      <c r="T418" t="n">
        <v>1</v>
      </c>
      <c r="U418" t="inlineStr"/>
      <c r="V418" t="inlineStr">
        <is>
          <t>Тариф с завтраком</t>
        </is>
      </c>
      <c r="W418" t="n">
        <v>7700</v>
      </c>
      <c r="X418" s="3" t="n">
        <v>0</v>
      </c>
      <c r="Y418" t="inlineStr"/>
      <c r="Z418" t="inlineStr"/>
      <c r="AA418" s="3" t="n">
        <v>7700</v>
      </c>
      <c r="AB418" t="inlineStr">
        <is>
          <t>Сошлось по ночным тарифам</t>
        </is>
      </c>
      <c r="AC418" s="2" t="inlineStr"/>
      <c r="AD418" t="n">
        <v>0</v>
      </c>
      <c r="AE418" t="n">
        <v>0</v>
      </c>
      <c r="AF418" t="inlineStr">
        <is>
          <t>Скидки нет</t>
        </is>
      </c>
      <c r="AG418" t="n">
        <v>7700</v>
      </c>
      <c r="AH418" t="n">
        <v>7700</v>
      </c>
      <c r="AI418" t="inlineStr">
        <is>
          <t>Полное проживание в выбранном периоде</t>
        </is>
      </c>
    </row>
    <row r="419">
      <c r="A419" t="inlineStr">
        <is>
          <t>20260705-8186-444726111</t>
        </is>
      </c>
      <c r="B419" t="n">
        <v>1</v>
      </c>
      <c r="C419" s="2" t="inlineStr">
        <is>
          <t>Евгений МИХАЙЛОВ, Надежда Матвеева</t>
        </is>
      </c>
      <c r="D419" s="3" t="n">
        <v>26700</v>
      </c>
      <c r="E419" s="4" t="n">
        <v>0</v>
      </c>
      <c r="F419" t="inlineStr">
        <is>
          <t>Прямые бронирования (стойка) [Чайковский]</t>
        </is>
      </c>
      <c r="G419" s="3">
        <f>ROUND(D419/(100-E419)*100,2)</f>
        <v/>
      </c>
      <c r="H419" s="3" t="n">
        <v>0</v>
      </c>
      <c r="I419" s="3">
        <f>ROUND(IF(ISNUMBER(AG419),AG419,G419)+H419,2)</f>
        <v/>
      </c>
      <c r="J419" s="2" t="inlineStr">
        <is>
          <t>Завтрак "Шведский стол"</t>
        </is>
      </c>
      <c r="K419" s="5" t="n">
        <v>46208.58333333334</v>
      </c>
      <c r="L419" t="n">
        <v>2</v>
      </c>
      <c r="M419" s="3">
        <f>I419/L419</f>
        <v/>
      </c>
      <c r="N419">
        <f>IF(M419&gt;=5100,"ставка","мин.ставка")</f>
        <v/>
      </c>
      <c r="O419" s="3">
        <f>ROUND(IF(N419="мин.ставка",L419*100,I419/102*2),2)</f>
        <v/>
      </c>
      <c r="P419" s="5" t="n">
        <v>46210.5</v>
      </c>
      <c r="Q419" t="inlineStr">
        <is>
          <t>TravelLine ресепшен</t>
        </is>
      </c>
      <c r="R419" s="2" t="inlineStr">
        <is>
          <t>СТАНДАРТНЫЙ ДВУХМЕСТНЫЙ НОМЕР</t>
        </is>
      </c>
      <c r="S419" t="n">
        <v>26</v>
      </c>
      <c r="T419" t="n">
        <v>1</v>
      </c>
      <c r="U419" t="inlineStr"/>
      <c r="V419" t="inlineStr">
        <is>
          <t>Тариф с завтраком</t>
        </is>
      </c>
      <c r="W419" t="n">
        <v>26700</v>
      </c>
      <c r="X419" s="3" t="n">
        <v>0</v>
      </c>
      <c r="Y419" t="inlineStr"/>
      <c r="Z419" t="inlineStr"/>
      <c r="AA419" s="3" t="n">
        <v>26700</v>
      </c>
      <c r="AB419" t="inlineStr">
        <is>
          <t>Сошлось по ночным тарифам</t>
        </is>
      </c>
      <c r="AC419" s="2" t="inlineStr"/>
      <c r="AD419" t="n">
        <v>0</v>
      </c>
      <c r="AE419" t="n">
        <v>0</v>
      </c>
      <c r="AF419" t="inlineStr">
        <is>
          <t>Скидки нет</t>
        </is>
      </c>
      <c r="AG419" t="n">
        <v>26700</v>
      </c>
      <c r="AH419" t="n">
        <v>26700</v>
      </c>
      <c r="AI419" t="inlineStr">
        <is>
          <t>Полное проживание в выбранном периоде</t>
        </is>
      </c>
    </row>
    <row r="420">
      <c r="A420" t="inlineStr">
        <is>
          <t>20260814-8186-455467392</t>
        </is>
      </c>
      <c r="B420" t="n">
        <v>1</v>
      </c>
      <c r="C420" s="2" t="inlineStr">
        <is>
          <t>Евгений Рафаилов, Вячеслав Рафаилов</t>
        </is>
      </c>
      <c r="D420" s="3" t="n">
        <v>22161</v>
      </c>
      <c r="E420" s="4" t="n">
        <v>18</v>
      </c>
      <c r="F420" t="inlineStr">
        <is>
          <t>Яндекс.Путешествия [Чайковский]</t>
        </is>
      </c>
      <c r="G420" s="3">
        <f>ROUND(D420/(100-E420)*100,2)</f>
        <v/>
      </c>
      <c r="H420" s="3" t="n">
        <v>0</v>
      </c>
      <c r="I420" s="3">
        <f>ROUND(IF(ISNUMBER(AG420),AG420,G420)+H420,2)</f>
        <v/>
      </c>
      <c r="J420" s="2" t="inlineStr">
        <is>
          <t>Завтрак "Шведский стол"</t>
        </is>
      </c>
      <c r="K420" s="5" t="n">
        <v>46248.58333333334</v>
      </c>
      <c r="L420" t="n">
        <v>2</v>
      </c>
      <c r="M420" s="3">
        <f>I420/L420</f>
        <v/>
      </c>
      <c r="N420">
        <f>IF(M420&gt;=5100,"ставка","мин.ставка")</f>
        <v/>
      </c>
      <c r="O420" s="3">
        <f>ROUND(IF(N420="мин.ставка",L420*100,I420/102*2),2)</f>
        <v/>
      </c>
      <c r="P420" s="5" t="n">
        <v>46250.5</v>
      </c>
      <c r="Q420" t="inlineStr">
        <is>
          <t>TravelLine YAX</t>
        </is>
      </c>
      <c r="R420" s="2" t="inlineStr">
        <is>
          <t>СТАНДАРТНЫЙ ДВУХМЕСТНЫЙ НОМЕР</t>
        </is>
      </c>
      <c r="S420" t="n">
        <v>36</v>
      </c>
      <c r="T420" t="n">
        <v>1</v>
      </c>
      <c r="U420" t="inlineStr"/>
      <c r="V420" t="inlineStr">
        <is>
          <t>Тариф с завтраком</t>
        </is>
      </c>
      <c r="W420" t="n">
        <v>44322</v>
      </c>
      <c r="X420" s="3" t="n">
        <v>4539</v>
      </c>
      <c r="Y420" t="inlineStr">
        <is>
          <t>17%</t>
        </is>
      </c>
      <c r="Z420" t="inlineStr">
        <is>
          <t>2026-08-14, 2026-08-15</t>
        </is>
      </c>
      <c r="AA420" s="3" t="n">
        <v>22161</v>
      </c>
      <c r="AB420" t="inlineStr">
        <is>
          <t>Сошлось по ночным тарифам</t>
        </is>
      </c>
      <c r="AC420" s="2" t="inlineStr"/>
      <c r="AD420" t="n">
        <v>4539</v>
      </c>
      <c r="AE420" t="n">
        <v>0</v>
      </c>
      <c r="AF420" t="inlineStr">
        <is>
          <t>Скидка добавлена к налоговой базе</t>
        </is>
      </c>
      <c r="AG420" t="n">
        <v>26700</v>
      </c>
      <c r="AH420" t="n">
        <v>22161</v>
      </c>
      <c r="AI420" t="inlineStr">
        <is>
          <t>Полное проживание в выбранном периоде</t>
        </is>
      </c>
    </row>
    <row r="421">
      <c r="A421" t="inlineStr">
        <is>
          <t>20260925-8186-467701142</t>
        </is>
      </c>
      <c r="B421" t="n">
        <v>1</v>
      </c>
      <c r="C421" s="2" t="inlineStr">
        <is>
          <t>Евгений Родионов, Кристина Сокол</t>
        </is>
      </c>
      <c r="D421" s="3" t="n">
        <v>20000</v>
      </c>
      <c r="E421" s="4" t="n">
        <v>20</v>
      </c>
      <c r="F421" t="inlineStr">
        <is>
          <t>ООО «Дубль Гис» (OTELLO) [Чайковский]</t>
        </is>
      </c>
      <c r="G421" s="3">
        <f>ROUND(D421/(100-E421)*100,2)</f>
        <v/>
      </c>
      <c r="H421" s="3" t="n">
        <v>0</v>
      </c>
      <c r="I421" s="3">
        <f>ROUND(IF(ISNUMBER(AG421),AG421,G421)+H421,2)</f>
        <v/>
      </c>
      <c r="J421" s="2" t="inlineStr"/>
      <c r="K421" s="5" t="n">
        <v>46290.58333333334</v>
      </c>
      <c r="L421" t="n">
        <v>2</v>
      </c>
      <c r="M421" s="3">
        <f>I421/L421</f>
        <v/>
      </c>
      <c r="N421">
        <f>IF(M421&gt;=5100,"ставка","мин.ставка")</f>
        <v/>
      </c>
      <c r="O421" s="3">
        <f>ROUND(IF(N421="мин.ставка",L421*100,I421/102*2),2)</f>
        <v/>
      </c>
      <c r="P421" s="5" t="n">
        <v>46292.5</v>
      </c>
      <c r="Q421" t="inlineStr">
        <is>
          <t>TravelLine OL2</t>
        </is>
      </c>
      <c r="R421" s="2" t="inlineStr">
        <is>
          <t>СЕМЕЙНЫЙ НОМЕР КАТЕГОРИИ "СТАНДАРТ" ВТОРОЙ КОРПУС</t>
        </is>
      </c>
      <c r="S421" t="n">
        <v>50</v>
      </c>
      <c r="T421" t="n">
        <v>2</v>
      </c>
      <c r="U421" t="inlineStr"/>
      <c r="V421" t="inlineStr">
        <is>
          <t>Основной тариф без завтрака</t>
        </is>
      </c>
      <c r="W421" t="n">
        <v>20000</v>
      </c>
      <c r="X421" s="3" t="n">
        <v>5000</v>
      </c>
      <c r="Y421" t="inlineStr">
        <is>
          <t>20%</t>
        </is>
      </c>
      <c r="Z421" t="inlineStr">
        <is>
          <t>2026-09-25, 2026-09-26</t>
        </is>
      </c>
      <c r="AA421" s="3" t="n">
        <v>20000</v>
      </c>
      <c r="AB421" t="inlineStr">
        <is>
          <t>Сошлось по ночным тарифам</t>
        </is>
      </c>
      <c r="AC421" s="2" t="inlineStr"/>
      <c r="AD421" t="n">
        <v>5000</v>
      </c>
      <c r="AE421" t="n">
        <v>0</v>
      </c>
      <c r="AF421" t="inlineStr">
        <is>
          <t>Скидка добавлена к налоговой базе</t>
        </is>
      </c>
      <c r="AG421" t="n">
        <v>25000</v>
      </c>
      <c r="AH421" t="n">
        <v>20000</v>
      </c>
      <c r="AI421" t="inlineStr">
        <is>
          <t>Полное проживание в выбранном периоде</t>
        </is>
      </c>
    </row>
    <row r="422">
      <c r="A422" t="inlineStr">
        <is>
          <t>20260710-8186-411189660</t>
        </is>
      </c>
      <c r="B422" t="n">
        <v>1</v>
      </c>
      <c r="C422" s="2" t="inlineStr">
        <is>
          <t>Евгений Станчук, Татьяна Станчук</t>
        </is>
      </c>
      <c r="D422" s="3" t="n">
        <v>17533</v>
      </c>
      <c r="E422" s="4" t="n">
        <v>4</v>
      </c>
      <c r="F422" t="inlineStr">
        <is>
          <t>TravelLine Booking Engine [Чайковский]</t>
        </is>
      </c>
      <c r="G422" s="3">
        <f>ROUND(D422/(100-E422)*100,2)</f>
        <v/>
      </c>
      <c r="H422" s="3" t="n">
        <v>0</v>
      </c>
      <c r="I422" s="3">
        <f>ROUND(IF(ISNUMBER(AG422),AG422,G422)+H422,2)</f>
        <v/>
      </c>
      <c r="J422" s="2" t="inlineStr">
        <is>
          <t>Завтрак "Шведский стол"</t>
        </is>
      </c>
      <c r="K422" s="5" t="n">
        <v>46213.58333333334</v>
      </c>
      <c r="L422" t="n">
        <v>1</v>
      </c>
      <c r="M422" s="3">
        <f>I422/L422</f>
        <v/>
      </c>
      <c r="N422">
        <f>IF(M422&gt;=5100,"ставка","мин.ставка")</f>
        <v/>
      </c>
      <c r="O422" s="3">
        <f>ROUND(IF(N422="мин.ставка",L422*100,I422/102*2),2)</f>
        <v/>
      </c>
      <c r="P422" s="5" t="n">
        <v>46214.5</v>
      </c>
      <c r="Q422" t="inlineStr">
        <is>
          <t>TravelLine сайт</t>
        </is>
      </c>
      <c r="R422" s="2" t="inlineStr">
        <is>
          <t>ЛЮКС</t>
        </is>
      </c>
      <c r="S422" t="n">
        <v>57</v>
      </c>
      <c r="T422" t="n">
        <v>2</v>
      </c>
      <c r="U422" t="inlineStr"/>
      <c r="V422" t="inlineStr">
        <is>
          <t>Тариф с завтраком</t>
        </is>
      </c>
      <c r="W422" t="n">
        <v>17533</v>
      </c>
      <c r="X422" s="3" t="n">
        <v>267</v>
      </c>
      <c r="Y422" t="inlineStr">
        <is>
          <t>1.5%</t>
        </is>
      </c>
      <c r="Z422" t="inlineStr">
        <is>
          <t>2026-07-10</t>
        </is>
      </c>
      <c r="AA422" s="3" t="n">
        <v>17533</v>
      </c>
      <c r="AB422" t="inlineStr">
        <is>
          <t>Сошлось по ночным тарифам</t>
        </is>
      </c>
      <c r="AC422" s="2" t="inlineStr"/>
      <c r="AD422" t="n">
        <v>267</v>
      </c>
      <c r="AE422" t="n">
        <v>0</v>
      </c>
      <c r="AF422" t="inlineStr">
        <is>
          <t>Скидка добавлена к налоговой базе</t>
        </is>
      </c>
      <c r="AG422" t="n">
        <v>17800</v>
      </c>
      <c r="AH422" t="n">
        <v>17533</v>
      </c>
      <c r="AI422" t="inlineStr">
        <is>
          <t>Полное проживание в выбранном периоде</t>
        </is>
      </c>
    </row>
    <row r="423">
      <c r="A423" t="inlineStr">
        <is>
          <t>20260922-8186-466786045</t>
        </is>
      </c>
      <c r="B423" t="n">
        <v>1</v>
      </c>
      <c r="C423" s="2" t="inlineStr">
        <is>
          <t>Евгения Бердникова</t>
        </is>
      </c>
      <c r="D423" s="3" t="n">
        <v>9080</v>
      </c>
      <c r="E423" s="4" t="n">
        <v>20</v>
      </c>
      <c r="F423" t="inlineStr">
        <is>
          <t>ООО "КОМПАНИЯ БРОНЕВИК" [Чайковский]</t>
        </is>
      </c>
      <c r="G423" s="3">
        <f>ROUND(D423/(100-E423)*100,2)</f>
        <v/>
      </c>
      <c r="H423" s="3" t="n">
        <v>0</v>
      </c>
      <c r="I423" s="3">
        <f>ROUND(IF(ISNUMBER(AG423),AG423,G423)+H423,2)</f>
        <v/>
      </c>
      <c r="J423" s="2" t="inlineStr">
        <is>
          <t>Завтрак "Шведский стол"</t>
        </is>
      </c>
      <c r="K423" s="5" t="n">
        <v>46287.58333333334</v>
      </c>
      <c r="L423" t="n">
        <v>1</v>
      </c>
      <c r="M423" s="3">
        <f>I423/L423</f>
        <v/>
      </c>
      <c r="N423">
        <f>IF(M423&gt;=5100,"ставка","мин.ставка")</f>
        <v/>
      </c>
      <c r="O423" s="3">
        <f>ROUND(IF(N423="мин.ставка",L423*100,I423/102*2),2)</f>
        <v/>
      </c>
      <c r="P423" s="5" t="n">
        <v>46288.5</v>
      </c>
      <c r="Q423" t="inlineStr">
        <is>
          <t>TravelLine BR2</t>
        </is>
      </c>
      <c r="R423" s="2" t="inlineStr">
        <is>
          <t>СТАНДАРТНЫЙ ДВУХМЕСТНЫЙ НОМЕР</t>
        </is>
      </c>
      <c r="S423" t="n">
        <v>32</v>
      </c>
      <c r="T423" t="n">
        <v>1</v>
      </c>
      <c r="U423" t="inlineStr"/>
      <c r="V423" t="inlineStr">
        <is>
          <t>Тариф с завтраком</t>
        </is>
      </c>
      <c r="W423" t="n">
        <v>9080</v>
      </c>
      <c r="X423" s="3" t="n">
        <v>0</v>
      </c>
      <c r="Y423" t="inlineStr"/>
      <c r="Z423" t="inlineStr"/>
      <c r="AA423" s="3" t="n">
        <v>9080</v>
      </c>
      <c r="AB423" t="inlineStr">
        <is>
          <t>Сошлось по ночным тарифам</t>
        </is>
      </c>
      <c r="AC423" s="2" t="inlineStr"/>
      <c r="AD423" t="n">
        <v>0</v>
      </c>
      <c r="AE423" t="n">
        <v>0</v>
      </c>
      <c r="AF423" t="inlineStr">
        <is>
          <t>Скидки нет</t>
        </is>
      </c>
      <c r="AG423" t="n">
        <v>9080</v>
      </c>
      <c r="AH423" t="n">
        <v>9080</v>
      </c>
      <c r="AI423" t="inlineStr">
        <is>
          <t>Полное проживание в выбранном периоде</t>
        </is>
      </c>
    </row>
    <row r="424">
      <c r="A424" t="inlineStr">
        <is>
          <t>20260930-8186-462775980</t>
        </is>
      </c>
      <c r="B424" t="n">
        <v>1</v>
      </c>
      <c r="C424" s="2" t="inlineStr">
        <is>
          <t>Евгения Каменщикова, Константин Попов</t>
        </is>
      </c>
      <c r="D424" s="3" t="n">
        <v>20957.5</v>
      </c>
      <c r="E424" s="4" t="n">
        <v>18</v>
      </c>
      <c r="F424" t="inlineStr">
        <is>
          <t>Яндекс.Путешествия [Чайковский]</t>
        </is>
      </c>
      <c r="G424" s="3">
        <f>ROUND(D424/(100-E424)*100,2)</f>
        <v/>
      </c>
      <c r="H424" s="3" t="n">
        <v>0</v>
      </c>
      <c r="I424" s="3">
        <f>ROUND(IF(ISNUMBER(AG424),AG424,G424)+H424,2)</f>
        <v/>
      </c>
      <c r="J424" s="2" t="inlineStr"/>
      <c r="K424" s="5" t="n">
        <v>46295.58333333334</v>
      </c>
      <c r="L424" t="n">
        <v>1</v>
      </c>
      <c r="M424" s="3">
        <f>I424/L424</f>
        <v/>
      </c>
      <c r="N424">
        <f>IF(M424&gt;=5100,"ставка","мин.ставка")</f>
        <v/>
      </c>
      <c r="O424" s="3">
        <f>ROUND(IF(N424="мин.ставка",L424*100,I424/102*2),2)</f>
        <v/>
      </c>
      <c r="P424" s="5" t="n">
        <v>46297.5</v>
      </c>
      <c r="Q424" t="inlineStr">
        <is>
          <t>TravelLine YAX</t>
        </is>
      </c>
      <c r="R424" s="2" t="inlineStr">
        <is>
          <t>СТАНДАРТНЫЙ ДВУХМЕСТНЫЙ НОМЕР</t>
        </is>
      </c>
      <c r="S424" t="n">
        <v>22</v>
      </c>
      <c r="T424" t="n">
        <v>1</v>
      </c>
      <c r="U424" t="inlineStr"/>
      <c r="V424" t="inlineStr">
        <is>
          <t>Тариф с завтраком</t>
        </is>
      </c>
      <c r="W424" t="n">
        <v>20957.5</v>
      </c>
      <c r="X424" s="3" t="n">
        <v>4292.5</v>
      </c>
      <c r="Y424" t="inlineStr">
        <is>
          <t>17%</t>
        </is>
      </c>
      <c r="Z424" t="inlineStr">
        <is>
          <t>Не распределена по датам</t>
        </is>
      </c>
      <c r="AA424" s="3" t="n">
        <v>20957.5</v>
      </c>
      <c r="AB424" t="inlineStr">
        <is>
          <t>Сошлось по ночным тарифам</t>
        </is>
      </c>
      <c r="AC424" s="2" t="inlineStr"/>
      <c r="AD424" t="n">
        <v>0</v>
      </c>
      <c r="AE424" t="n">
        <v>0</v>
      </c>
      <c r="AF424" t="inlineStr">
        <is>
          <t>Частичный период: дата агрегированной скидки не определена; скидка не добавлена к базе</t>
        </is>
      </c>
      <c r="AG424" t="n">
        <v>11080.5</v>
      </c>
      <c r="AH424" t="n">
        <v>11080.5</v>
      </c>
      <c r="AI424" t="inlineStr">
        <is>
          <t>Частичное проживание распределено по dailyRates; скидка без даты не восстановлена</t>
        </is>
      </c>
    </row>
    <row r="425">
      <c r="A425" t="inlineStr">
        <is>
          <t>20260709-8186-415694678</t>
        </is>
      </c>
      <c r="B425" t="n">
        <v>1</v>
      </c>
      <c r="C425" s="2" t="inlineStr">
        <is>
          <t>Евгения Комарова</t>
        </is>
      </c>
      <c r="D425" s="3" t="n">
        <v>25878</v>
      </c>
      <c r="E425" s="4" t="n">
        <v>18</v>
      </c>
      <c r="F425" t="inlineStr">
        <is>
          <t>Яндекс.Путешествия [Чайковский]</t>
        </is>
      </c>
      <c r="G425" s="3">
        <f>ROUND(D425/(100-E425)*100,2)</f>
        <v/>
      </c>
      <c r="H425" s="3" t="n">
        <v>0</v>
      </c>
      <c r="I425" s="3">
        <f>ROUND(IF(ISNUMBER(AG425),AG425,G425)+H425,2)</f>
        <v/>
      </c>
      <c r="J425" s="2" t="inlineStr">
        <is>
          <t>Завтрак "Шведский стол"</t>
        </is>
      </c>
      <c r="K425" s="5" t="n">
        <v>46212.58333333334</v>
      </c>
      <c r="L425" t="n">
        <v>3</v>
      </c>
      <c r="M425" s="3">
        <f>I425/L425</f>
        <v/>
      </c>
      <c r="N425">
        <f>IF(M425&gt;=5100,"ставка","мин.ставка")</f>
        <v/>
      </c>
      <c r="O425" s="3">
        <f>ROUND(IF(N425="мин.ставка",L425*100,I425/102*2),2)</f>
        <v/>
      </c>
      <c r="P425" s="5" t="n">
        <v>46215.5</v>
      </c>
      <c r="Q425" t="inlineStr">
        <is>
          <t>TravelLine YAX</t>
        </is>
      </c>
      <c r="R425" s="2" t="inlineStr">
        <is>
          <t>СТАНДАРТНЫЙ ДВУХМЕСТНЫЙ НОМЕР</t>
        </is>
      </c>
      <c r="S425" t="n">
        <v>23</v>
      </c>
      <c r="T425" t="n">
        <v>1</v>
      </c>
      <c r="U425" t="inlineStr"/>
      <c r="V425" t="inlineStr">
        <is>
          <t>Тариф с завтраком</t>
        </is>
      </c>
      <c r="W425" t="n">
        <v>25878</v>
      </c>
      <c r="X425" s="3" t="n">
        <v>6469.5</v>
      </c>
      <c r="Y425" t="inlineStr">
        <is>
          <t>20%</t>
        </is>
      </c>
      <c r="Z425" t="inlineStr">
        <is>
          <t>2026-07-09, 2026-07-10, 2026-07-11</t>
        </is>
      </c>
      <c r="AA425" s="3" t="n">
        <v>25878</v>
      </c>
      <c r="AB425" t="inlineStr">
        <is>
          <t>Сошлось по ночным тарифам</t>
        </is>
      </c>
      <c r="AC425" s="2" t="inlineStr"/>
      <c r="AD425" t="n">
        <v>6469.5</v>
      </c>
      <c r="AE425" t="n">
        <v>0</v>
      </c>
      <c r="AF425" t="inlineStr">
        <is>
          <t>Скидка добавлена к налоговой базе</t>
        </is>
      </c>
      <c r="AG425" t="n">
        <v>32347.5</v>
      </c>
      <c r="AH425" t="n">
        <v>25878</v>
      </c>
      <c r="AI425" t="inlineStr">
        <is>
          <t>Полное проживание в выбранном периоде</t>
        </is>
      </c>
    </row>
    <row r="426">
      <c r="A426" t="inlineStr">
        <is>
          <t>20260823-8186-456417085</t>
        </is>
      </c>
      <c r="B426" t="n">
        <v>1</v>
      </c>
      <c r="C426" s="2" t="inlineStr">
        <is>
          <t>Евгения Мельникова, Кирилл Мельников</t>
        </is>
      </c>
      <c r="D426" s="3" t="n">
        <v>8217</v>
      </c>
      <c r="E426" s="4" t="n">
        <v>17</v>
      </c>
      <c r="F426" t="inlineStr">
        <is>
          <t>ООО «Интернет Трэвел» (OZON) [Чайковский]</t>
        </is>
      </c>
      <c r="G426" s="3">
        <f>ROUND(D426/(100-E426)*100,2)</f>
        <v/>
      </c>
      <c r="H426" s="3" t="n">
        <v>0</v>
      </c>
      <c r="I426" s="3">
        <f>ROUND(IF(ISNUMBER(AG426),AG426,G426)+H426,2)</f>
        <v/>
      </c>
      <c r="J426" s="2" t="inlineStr">
        <is>
          <t>Завтрак "Шведский стол"</t>
        </is>
      </c>
      <c r="K426" s="5" t="n">
        <v>46257.58333333334</v>
      </c>
      <c r="L426" t="n">
        <v>1</v>
      </c>
      <c r="M426" s="3">
        <f>I426/L426</f>
        <v/>
      </c>
      <c r="N426">
        <f>IF(M426&gt;=5100,"ставка","мин.ставка")</f>
        <v/>
      </c>
      <c r="O426" s="3">
        <f>ROUND(IF(N426="мин.ставка",L426*100,I426/102*2),2)</f>
        <v/>
      </c>
      <c r="P426" s="5" t="n">
        <v>46258.5</v>
      </c>
      <c r="Q426" t="inlineStr">
        <is>
          <t>TravelLine OZ2</t>
        </is>
      </c>
      <c r="R426" s="2" t="inlineStr">
        <is>
          <t>СТАНДАРТНЫЙ ДВУХМЕСТНЫЙ НОМЕР (МАНСАРДА)</t>
        </is>
      </c>
      <c r="S426" t="n">
        <v>43</v>
      </c>
      <c r="T426" t="n">
        <v>1</v>
      </c>
      <c r="U426" t="inlineStr"/>
      <c r="V426" t="inlineStr">
        <is>
          <t>Тариф с завтраком</t>
        </is>
      </c>
      <c r="W426" t="n">
        <v>8217</v>
      </c>
      <c r="X426" s="3" t="n">
        <v>1683</v>
      </c>
      <c r="Y426" t="inlineStr">
        <is>
          <t>17%</t>
        </is>
      </c>
      <c r="Z426" t="inlineStr">
        <is>
          <t>2026-08-23</t>
        </is>
      </c>
      <c r="AA426" s="3" t="n">
        <v>8217</v>
      </c>
      <c r="AB426" t="inlineStr">
        <is>
          <t>Сошлось по ночным тарифам</t>
        </is>
      </c>
      <c r="AC426" s="2" t="inlineStr"/>
      <c r="AD426" t="n">
        <v>1683</v>
      </c>
      <c r="AE426" t="n">
        <v>0</v>
      </c>
      <c r="AF426" t="inlineStr">
        <is>
          <t>Скидка добавлена к налоговой базе</t>
        </is>
      </c>
      <c r="AG426" t="n">
        <v>9900</v>
      </c>
      <c r="AH426" t="n">
        <v>8217</v>
      </c>
      <c r="AI426" t="inlineStr">
        <is>
          <t>Полное проживание в выбранном периоде</t>
        </is>
      </c>
    </row>
    <row r="427">
      <c r="A427" t="inlineStr">
        <is>
          <t>20260831-8186-449066045</t>
        </is>
      </c>
      <c r="B427" t="n">
        <v>1</v>
      </c>
      <c r="C427" s="2" t="inlineStr">
        <is>
          <t>Евгения Михеева, Василий Михеев</t>
        </is>
      </c>
      <c r="D427" s="3" t="n">
        <v>42075</v>
      </c>
      <c r="E427" s="4" t="n">
        <v>15</v>
      </c>
      <c r="F427" t="inlineStr">
        <is>
          <t>ООО Тинькофф Путешествия [Чайковский]</t>
        </is>
      </c>
      <c r="G427" s="3">
        <f>ROUND(D427/(100-E427)*100,2)</f>
        <v/>
      </c>
      <c r="H427" s="3" t="n">
        <v>0</v>
      </c>
      <c r="I427" s="3">
        <f>ROUND(IF(ISNUMBER(AG427),AG427,G427)+H427,2)</f>
        <v/>
      </c>
      <c r="J427" s="2" t="inlineStr">
        <is>
          <t>Завтрак "Шведский стол"</t>
        </is>
      </c>
      <c r="K427" s="5" t="n">
        <v>46265.58333333334</v>
      </c>
      <c r="L427" t="n">
        <v>5</v>
      </c>
      <c r="M427" s="3">
        <f>I427/L427</f>
        <v/>
      </c>
      <c r="N427">
        <f>IF(M427&gt;=5100,"ставка","мин.ставка")</f>
        <v/>
      </c>
      <c r="O427" s="3">
        <f>ROUND(IF(N427="мин.ставка",L427*100,I427/102*2),2)</f>
        <v/>
      </c>
      <c r="P427" s="5" t="n">
        <v>46270.5</v>
      </c>
      <c r="Q427" t="inlineStr">
        <is>
          <t>TravelLine TNK</t>
        </is>
      </c>
      <c r="R427" s="2" t="inlineStr">
        <is>
          <t>СТАНДАРТНЫЙ ДВУХМЕСТНЫЙ НОМЕР (МАНСАРДА)</t>
        </is>
      </c>
      <c r="S427" t="n">
        <v>47</v>
      </c>
      <c r="T427" t="n">
        <v>1</v>
      </c>
      <c r="U427" t="inlineStr"/>
      <c r="V427" t="inlineStr">
        <is>
          <t>Тариф с завтраком</t>
        </is>
      </c>
      <c r="W427" t="n">
        <v>42075</v>
      </c>
      <c r="X427" s="3" t="n">
        <v>7425</v>
      </c>
      <c r="Y427" t="inlineStr">
        <is>
          <t>15%</t>
        </is>
      </c>
      <c r="Z427" t="inlineStr">
        <is>
          <t>2026-08-31, 2026-09-01, 2026-09-02, 2026-09-03, 2026-09-04</t>
        </is>
      </c>
      <c r="AA427" s="3" t="n">
        <v>42075</v>
      </c>
      <c r="AB427" t="inlineStr">
        <is>
          <t>Сошлось по ночным тарифам</t>
        </is>
      </c>
      <c r="AC427" s="2" t="inlineStr"/>
      <c r="AD427" t="n">
        <v>7425</v>
      </c>
      <c r="AE427" t="n">
        <v>0</v>
      </c>
      <c r="AF427" t="inlineStr">
        <is>
          <t>Скидка добавлена к налоговой базе</t>
        </is>
      </c>
      <c r="AG427" t="n">
        <v>49500</v>
      </c>
      <c r="AH427" t="n">
        <v>42075</v>
      </c>
      <c r="AI427" t="inlineStr">
        <is>
          <t>Полное проживание в выбранном периоде</t>
        </is>
      </c>
    </row>
    <row r="428">
      <c r="A428" t="inlineStr">
        <is>
          <t>20260807-8186-456741568</t>
        </is>
      </c>
      <c r="B428" t="n">
        <v>1</v>
      </c>
      <c r="C428" s="2" t="inlineStr">
        <is>
          <t>Егор Михайлов, Инна Михайлова</t>
        </is>
      </c>
      <c r="D428" s="3" t="n">
        <v>13695</v>
      </c>
      <c r="E428" s="4" t="n">
        <v>18</v>
      </c>
      <c r="F428" t="inlineStr">
        <is>
          <t>Яндекс.Путешествия [Чайковский]</t>
        </is>
      </c>
      <c r="G428" s="3">
        <f>ROUND(D428/(100-E428)*100,2)</f>
        <v/>
      </c>
      <c r="H428" s="3" t="n">
        <v>0</v>
      </c>
      <c r="I428" s="3">
        <f>ROUND(IF(ISNUMBER(AG428),AG428,G428)+H428,2)</f>
        <v/>
      </c>
      <c r="J428" s="2" t="inlineStr">
        <is>
          <t>Завтрак "Шведский стол"</t>
        </is>
      </c>
      <c r="K428" s="5" t="n">
        <v>46241.58333333334</v>
      </c>
      <c r="L428" t="n">
        <v>1</v>
      </c>
      <c r="M428" s="3">
        <f>I428/L428</f>
        <v/>
      </c>
      <c r="N428">
        <f>IF(M428&gt;=5100,"ставка","мин.ставка")</f>
        <v/>
      </c>
      <c r="O428" s="3">
        <f>ROUND(IF(N428="мин.ставка",L428*100,I428/102*2),2)</f>
        <v/>
      </c>
      <c r="P428" s="5" t="n">
        <v>46242.5</v>
      </c>
      <c r="Q428" t="inlineStr">
        <is>
          <t>TravelLine YAX</t>
        </is>
      </c>
      <c r="R428" s="2" t="inlineStr">
        <is>
          <t>ПОЛУЛЮКС</t>
        </is>
      </c>
      <c r="S428" t="n">
        <v>35</v>
      </c>
      <c r="T428" t="n">
        <v>1</v>
      </c>
      <c r="U428" t="inlineStr"/>
      <c r="V428" t="inlineStr">
        <is>
          <t>Тариф с завтраком</t>
        </is>
      </c>
      <c r="W428" t="n">
        <v>13695</v>
      </c>
      <c r="X428" s="3" t="n">
        <v>2805</v>
      </c>
      <c r="Y428" t="inlineStr">
        <is>
          <t>17%</t>
        </is>
      </c>
      <c r="Z428" t="inlineStr">
        <is>
          <t>2026-08-07</t>
        </is>
      </c>
      <c r="AA428" s="3" t="n">
        <v>13695</v>
      </c>
      <c r="AB428" t="inlineStr">
        <is>
          <t>Сошлось по ночным тарифам</t>
        </is>
      </c>
      <c r="AC428" s="2" t="inlineStr"/>
      <c r="AD428" t="n">
        <v>2805</v>
      </c>
      <c r="AE428" t="n">
        <v>0</v>
      </c>
      <c r="AF428" t="inlineStr">
        <is>
          <t>Скидка добавлена к налоговой базе</t>
        </is>
      </c>
      <c r="AG428" t="n">
        <v>16500</v>
      </c>
      <c r="AH428" t="n">
        <v>13695</v>
      </c>
      <c r="AI428" t="inlineStr">
        <is>
          <t>Полное проживание в выбранном периоде</t>
        </is>
      </c>
    </row>
    <row r="429">
      <c r="A429" t="inlineStr">
        <is>
          <t>20260723-8186-449878225</t>
        </is>
      </c>
      <c r="B429" t="n">
        <v>1</v>
      </c>
      <c r="C429" s="2" t="inlineStr">
        <is>
          <t>Егор Пожидаев, Олеся Лидле</t>
        </is>
      </c>
      <c r="D429" s="3" t="n">
        <v>35333</v>
      </c>
      <c r="E429" s="4" t="n">
        <v>4</v>
      </c>
      <c r="F429" t="inlineStr">
        <is>
          <t>TravelLine Booking Engine [Чайковский]</t>
        </is>
      </c>
      <c r="G429" s="3">
        <f>ROUND(D429/(100-E429)*100,2)</f>
        <v/>
      </c>
      <c r="H429" s="3" t="n">
        <v>0</v>
      </c>
      <c r="I429" s="3">
        <f>ROUND(IF(ISNUMBER(AG429),AG429,G429)+H429,2)</f>
        <v/>
      </c>
      <c r="J429" s="2" t="inlineStr">
        <is>
          <t>Завтрак "Шведский стол"</t>
        </is>
      </c>
      <c r="K429" s="5" t="n">
        <v>46226.58333333334</v>
      </c>
      <c r="L429" t="n">
        <v>2</v>
      </c>
      <c r="M429" s="3">
        <f>I429/L429</f>
        <v/>
      </c>
      <c r="N429">
        <f>IF(M429&gt;=5100,"ставка","мин.ставка")</f>
        <v/>
      </c>
      <c r="O429" s="3">
        <f>ROUND(IF(N429="мин.ставка",L429*100,I429/102*2),2)</f>
        <v/>
      </c>
      <c r="P429" s="5" t="n">
        <v>46228.5</v>
      </c>
      <c r="Q429" t="inlineStr">
        <is>
          <t>TravelLine сайт</t>
        </is>
      </c>
      <c r="R429" s="2" t="inlineStr">
        <is>
          <t>ЛЮКС ВТОРОЙ КОРПУС</t>
        </is>
      </c>
      <c r="S429" t="n">
        <v>53</v>
      </c>
      <c r="T429" t="n">
        <v>2</v>
      </c>
      <c r="U429" t="inlineStr"/>
      <c r="V429" t="inlineStr">
        <is>
          <t>Тариф с завтраком</t>
        </is>
      </c>
      <c r="W429" t="n">
        <v>35333</v>
      </c>
      <c r="X429" s="3" t="n">
        <v>267</v>
      </c>
      <c r="Y429" t="inlineStr">
        <is>
          <t>1.5%</t>
        </is>
      </c>
      <c r="Z429" t="inlineStr">
        <is>
          <t>2026-07-23</t>
        </is>
      </c>
      <c r="AA429" s="3" t="n">
        <v>35333</v>
      </c>
      <c r="AB429" t="inlineStr">
        <is>
          <t>Сошлось по ночным тарифам</t>
        </is>
      </c>
      <c r="AC429" s="2" t="inlineStr"/>
      <c r="AD429" t="n">
        <v>267</v>
      </c>
      <c r="AE429" t="n">
        <v>0</v>
      </c>
      <c r="AF429" t="inlineStr">
        <is>
          <t>Скидка добавлена к налоговой базе</t>
        </is>
      </c>
      <c r="AG429" t="n">
        <v>35600</v>
      </c>
      <c r="AH429" t="n">
        <v>35333</v>
      </c>
      <c r="AI429" t="inlineStr">
        <is>
          <t>Полное проживание в выбранном периоде</t>
        </is>
      </c>
    </row>
    <row r="430">
      <c r="A430" t="inlineStr">
        <is>
          <t>20260905-8186-454296159</t>
        </is>
      </c>
      <c r="B430" t="n">
        <v>1</v>
      </c>
      <c r="C430" s="2" t="inlineStr">
        <is>
          <t>Егор Яковлев, Дарья Мухина</t>
        </is>
      </c>
      <c r="D430" s="3" t="n">
        <v>52800</v>
      </c>
      <c r="E430" s="4" t="n">
        <v>18</v>
      </c>
      <c r="F430" t="inlineStr">
        <is>
          <t>Яндекс.Путешествия [Чайковский]</t>
        </is>
      </c>
      <c r="G430" s="3">
        <f>ROUND(D430/(100-E430)*100,2)</f>
        <v/>
      </c>
      <c r="H430" s="3" t="n">
        <v>0</v>
      </c>
      <c r="I430" s="3">
        <f>ROUND(IF(ISNUMBER(AG430),AG430,G430)+H430,2)</f>
        <v/>
      </c>
      <c r="J430" s="2" t="inlineStr">
        <is>
          <t>Завтрак "Шведский стол"</t>
        </is>
      </c>
      <c r="K430" s="5" t="n">
        <v>46270.58333333334</v>
      </c>
      <c r="L430" t="n">
        <v>4</v>
      </c>
      <c r="M430" s="3">
        <f>I430/L430</f>
        <v/>
      </c>
      <c r="N430">
        <f>IF(M430&gt;=5100,"ставка","мин.ставка")</f>
        <v/>
      </c>
      <c r="O430" s="3">
        <f>ROUND(IF(N430="мин.ставка",L430*100,I430/102*2),2)</f>
        <v/>
      </c>
      <c r="P430" s="5" t="n">
        <v>46274.5</v>
      </c>
      <c r="Q430" t="inlineStr">
        <is>
          <t>TravelLine YAX</t>
        </is>
      </c>
      <c r="R430" s="2" t="inlineStr">
        <is>
          <t>ПОЛУЛЮКС</t>
        </is>
      </c>
      <c r="S430" t="n">
        <v>25</v>
      </c>
      <c r="T430" t="n">
        <v>1</v>
      </c>
      <c r="U430" t="inlineStr"/>
      <c r="V430" t="inlineStr">
        <is>
          <t>Тариф с завтраком</t>
        </is>
      </c>
      <c r="W430" t="n">
        <v>52800</v>
      </c>
      <c r="X430" s="3" t="n">
        <v>13200</v>
      </c>
      <c r="Y430" t="inlineStr">
        <is>
          <t>20%</t>
        </is>
      </c>
      <c r="Z430" t="inlineStr">
        <is>
          <t>2026-09-05, 2026-09-06, 2026-09-07, 2026-09-08</t>
        </is>
      </c>
      <c r="AA430" s="3" t="n">
        <v>52800</v>
      </c>
      <c r="AB430" t="inlineStr">
        <is>
          <t>Сошлось по ночным тарифам</t>
        </is>
      </c>
      <c r="AC430" s="2" t="inlineStr"/>
      <c r="AD430" t="n">
        <v>13200</v>
      </c>
      <c r="AE430" t="n">
        <v>0</v>
      </c>
      <c r="AF430" t="inlineStr">
        <is>
          <t>Скидка добавлена к налоговой базе</t>
        </is>
      </c>
      <c r="AG430" t="n">
        <v>66000</v>
      </c>
      <c r="AH430" t="n">
        <v>52800</v>
      </c>
      <c r="AI430" t="inlineStr">
        <is>
          <t>Полное проживание в выбранном периоде</t>
        </is>
      </c>
    </row>
    <row r="431">
      <c r="A431" t="inlineStr">
        <is>
          <t>20260819-8186-459277807</t>
        </is>
      </c>
      <c r="B431" t="n">
        <v>1</v>
      </c>
      <c r="C431" s="2" t="inlineStr">
        <is>
          <t>ЕКАТЕРИНА БАСАРАБЕЦ</t>
        </is>
      </c>
      <c r="D431" s="3" t="n">
        <v>9647.5</v>
      </c>
      <c r="E431" s="4" t="n">
        <v>15</v>
      </c>
      <c r="F431" t="inlineStr">
        <is>
          <t>ООО "АКАДЕМ-ОНЛАЙН" [Чайковский]</t>
        </is>
      </c>
      <c r="G431" s="3">
        <f>ROUND(D431/(100-E431)*100,2)</f>
        <v/>
      </c>
      <c r="H431" s="3" t="n">
        <v>0</v>
      </c>
      <c r="I431" s="3">
        <f>ROUND(IF(ISNUMBER(AG431),AG431,G431)+H431,2)</f>
        <v/>
      </c>
      <c r="J431" s="2" t="inlineStr">
        <is>
          <t>Завтрак "Шведский стол"</t>
        </is>
      </c>
      <c r="K431" s="5" t="n">
        <v>46253.58333333334</v>
      </c>
      <c r="L431" t="n">
        <v>1</v>
      </c>
      <c r="M431" s="3">
        <f>I431/L431</f>
        <v/>
      </c>
      <c r="N431">
        <f>IF(M431&gt;=5100,"ставка","мин.ставка")</f>
        <v/>
      </c>
      <c r="O431" s="3">
        <f>ROUND(IF(N431="мин.ставка",L431*100,I431/102*2),2)</f>
        <v/>
      </c>
      <c r="P431" s="5" t="n">
        <v>46254.5</v>
      </c>
      <c r="Q431" t="inlineStr">
        <is>
          <t>TravelLine ACS</t>
        </is>
      </c>
      <c r="R431" s="2" t="inlineStr">
        <is>
          <t>СТАНДАРТНЫЙ ДВУХМЕСТНЫЙ НОМЕР</t>
        </is>
      </c>
      <c r="S431" t="n">
        <v>23</v>
      </c>
      <c r="T431" t="n">
        <v>1</v>
      </c>
      <c r="U431" t="inlineStr"/>
      <c r="V431" t="inlineStr">
        <is>
          <t>Тариф с завтраком</t>
        </is>
      </c>
      <c r="W431" t="n">
        <v>9647.5</v>
      </c>
      <c r="X431" s="3" t="n">
        <v>1702.5</v>
      </c>
      <c r="Y431" t="inlineStr">
        <is>
          <t>15%</t>
        </is>
      </c>
      <c r="Z431" t="inlineStr">
        <is>
          <t>2026-08-19</t>
        </is>
      </c>
      <c r="AA431" s="3" t="n">
        <v>9647.5</v>
      </c>
      <c r="AB431" t="inlineStr">
        <is>
          <t>Сошлось по ночным тарифам</t>
        </is>
      </c>
      <c r="AC431" s="2" t="inlineStr"/>
      <c r="AD431" t="n">
        <v>1702.5</v>
      </c>
      <c r="AE431" t="n">
        <v>0</v>
      </c>
      <c r="AF431" t="inlineStr">
        <is>
          <t>Скидка добавлена к налоговой базе</t>
        </is>
      </c>
      <c r="AG431" t="n">
        <v>11350</v>
      </c>
      <c r="AH431" t="n">
        <v>9647.5</v>
      </c>
      <c r="AI431" t="inlineStr">
        <is>
          <t>Полное проживание в выбранном периоде</t>
        </is>
      </c>
    </row>
    <row r="432">
      <c r="A432" t="inlineStr">
        <is>
          <t>20260922-8186-459295837</t>
        </is>
      </c>
      <c r="B432" t="n">
        <v>1</v>
      </c>
      <c r="C432" s="2" t="inlineStr">
        <is>
          <t>ЕКАТЕРИНА ЕВТУШЕНКО</t>
        </is>
      </c>
      <c r="D432" s="3" t="n">
        <v>11704</v>
      </c>
      <c r="E432" s="4" t="n">
        <v>18</v>
      </c>
      <c r="F432" t="inlineStr">
        <is>
          <t>Яндекс.Путешествия [Чайковский]</t>
        </is>
      </c>
      <c r="G432" s="3">
        <f>ROUND(D432/(100-E432)*100,2)</f>
        <v/>
      </c>
      <c r="H432" s="3" t="n">
        <v>0</v>
      </c>
      <c r="I432" s="3">
        <f>ROUND(IF(ISNUMBER(AG432),AG432,G432)+H432,2)</f>
        <v/>
      </c>
      <c r="J432" s="2" t="inlineStr">
        <is>
          <t>Завтрак "Шведский стол"</t>
        </is>
      </c>
      <c r="K432" s="5" t="n">
        <v>46287.58333333334</v>
      </c>
      <c r="L432" t="n">
        <v>2</v>
      </c>
      <c r="M432" s="3">
        <f>I432/L432</f>
        <v/>
      </c>
      <c r="N432">
        <f>IF(M432&gt;=5100,"ставка","мин.ставка")</f>
        <v/>
      </c>
      <c r="O432" s="3">
        <f>ROUND(IF(N432="мин.ставка",L432*100,I432/102*2),2)</f>
        <v/>
      </c>
      <c r="P432" s="5" t="n">
        <v>46289.5</v>
      </c>
      <c r="Q432" t="inlineStr">
        <is>
          <t>TravelLine YAX</t>
        </is>
      </c>
      <c r="R432" s="2" t="inlineStr">
        <is>
          <t>СТАНДАРТНЫЙ ОДНОМЕСТНЫЙ НОМЕР</t>
        </is>
      </c>
      <c r="S432" t="n">
        <v>34</v>
      </c>
      <c r="T432" t="n">
        <v>1</v>
      </c>
      <c r="U432" t="inlineStr"/>
      <c r="V432" t="inlineStr">
        <is>
          <t>Тариф с завтраком</t>
        </is>
      </c>
      <c r="W432" t="n">
        <v>11704</v>
      </c>
      <c r="X432" s="3" t="n">
        <v>2926</v>
      </c>
      <c r="Y432" t="inlineStr">
        <is>
          <t>20%</t>
        </is>
      </c>
      <c r="Z432" t="inlineStr">
        <is>
          <t>2026-09-22, 2026-09-23</t>
        </is>
      </c>
      <c r="AA432" s="3" t="n">
        <v>11704</v>
      </c>
      <c r="AB432" t="inlineStr">
        <is>
          <t>Сошлось по ночным тарифам</t>
        </is>
      </c>
      <c r="AC432" s="2" t="inlineStr"/>
      <c r="AD432" t="n">
        <v>2926</v>
      </c>
      <c r="AE432" t="n">
        <v>0</v>
      </c>
      <c r="AF432" t="inlineStr">
        <is>
          <t>Скидка добавлена к налоговой базе</t>
        </is>
      </c>
      <c r="AG432" t="n">
        <v>14630</v>
      </c>
      <c r="AH432" t="n">
        <v>11704</v>
      </c>
      <c r="AI432" t="inlineStr">
        <is>
          <t>Полное проживание в выбранном периоде</t>
        </is>
      </c>
    </row>
    <row r="433">
      <c r="A433" t="inlineStr">
        <is>
          <t>20260715-8186-423873505</t>
        </is>
      </c>
      <c r="B433" t="n">
        <v>1</v>
      </c>
      <c r="C433" s="2" t="inlineStr">
        <is>
          <t>Екатерина Егорова</t>
        </is>
      </c>
      <c r="D433" s="3" t="n">
        <v>25280</v>
      </c>
      <c r="E433" s="4" t="n">
        <v>18</v>
      </c>
      <c r="F433" t="inlineStr">
        <is>
          <t>Яндекс.Путешествия [Чайковский]</t>
        </is>
      </c>
      <c r="G433" s="3">
        <f>ROUND(D433/(100-E433)*100,2)</f>
        <v/>
      </c>
      <c r="H433" s="3" t="n">
        <v>0</v>
      </c>
      <c r="I433" s="3">
        <f>ROUND(IF(ISNUMBER(AG433),AG433,G433)+H433,2)</f>
        <v/>
      </c>
      <c r="J433" s="2" t="inlineStr">
        <is>
          <t>Завтрак "Шведский стол"</t>
        </is>
      </c>
      <c r="K433" s="5" t="n">
        <v>46218.58333333334</v>
      </c>
      <c r="L433" t="n">
        <v>4</v>
      </c>
      <c r="M433" s="3">
        <f>I433/L433</f>
        <v/>
      </c>
      <c r="N433">
        <f>IF(M433&gt;=5100,"ставка","мин.ставка")</f>
        <v/>
      </c>
      <c r="O433" s="3">
        <f>ROUND(IF(N433="мин.ставка",L433*100,I433/102*2),2)</f>
        <v/>
      </c>
      <c r="P433" s="5" t="n">
        <v>46222.5</v>
      </c>
      <c r="Q433" t="inlineStr">
        <is>
          <t>TravelLine YAX</t>
        </is>
      </c>
      <c r="R433" s="2" t="inlineStr">
        <is>
          <t>СТАНДАРТНЫЙ ДВУХМЕСТНЫЙ НОМЕР (МАНСАРДА)</t>
        </is>
      </c>
      <c r="S433" t="n">
        <v>47</v>
      </c>
      <c r="T433" t="n">
        <v>1</v>
      </c>
      <c r="U433" t="inlineStr"/>
      <c r="V433" t="inlineStr">
        <is>
          <t>Тариф с завтраком</t>
        </is>
      </c>
      <c r="W433" t="n">
        <v>25280</v>
      </c>
      <c r="X433" s="3" t="n">
        <v>6320</v>
      </c>
      <c r="Y433" t="inlineStr">
        <is>
          <t>20%</t>
        </is>
      </c>
      <c r="Z433" t="inlineStr">
        <is>
          <t>2026-07-15, 2026-07-16, 2026-07-17, 2026-07-18</t>
        </is>
      </c>
      <c r="AA433" s="3" t="n">
        <v>25280</v>
      </c>
      <c r="AB433" t="inlineStr">
        <is>
          <t>Сошлось по ночным тарифам</t>
        </is>
      </c>
      <c r="AC433" s="2" t="inlineStr"/>
      <c r="AD433" t="n">
        <v>6320</v>
      </c>
      <c r="AE433" t="n">
        <v>0</v>
      </c>
      <c r="AF433" t="inlineStr">
        <is>
          <t>Скидка добавлена к налоговой базе</t>
        </is>
      </c>
      <c r="AG433" t="n">
        <v>31600</v>
      </c>
      <c r="AH433" t="n">
        <v>25280</v>
      </c>
      <c r="AI433" t="inlineStr">
        <is>
          <t>Полное проживание в выбранном периоде</t>
        </is>
      </c>
    </row>
    <row r="434">
      <c r="A434" t="inlineStr">
        <is>
          <t>20260829-8186-460256896</t>
        </is>
      </c>
      <c r="B434" t="n">
        <v>1</v>
      </c>
      <c r="C434" s="2" t="inlineStr">
        <is>
          <t>ЕКАТЕРИНА ЕГОРОВА</t>
        </is>
      </c>
      <c r="D434" s="3" t="n">
        <v>15555.1</v>
      </c>
      <c r="E434" s="4" t="n">
        <v>4</v>
      </c>
      <c r="F434" t="inlineStr">
        <is>
          <t>TravelLine Booking Engine [Чайковский]</t>
        </is>
      </c>
      <c r="G434" s="3">
        <f>ROUND(D434/(100-E434)*100,2)</f>
        <v/>
      </c>
      <c r="H434" s="3" t="n">
        <v>0</v>
      </c>
      <c r="I434" s="3">
        <f>ROUND(IF(ISNUMBER(AG434),AG434,G434)+H434,2)</f>
        <v/>
      </c>
      <c r="J434" s="2" t="inlineStr">
        <is>
          <t>Завтрак "Шведский стол"</t>
        </is>
      </c>
      <c r="K434" s="5" t="n">
        <v>46263.58333333334</v>
      </c>
      <c r="L434" t="n">
        <v>2</v>
      </c>
      <c r="M434" s="3">
        <f>I434/L434</f>
        <v/>
      </c>
      <c r="N434">
        <f>IF(M434&gt;=5100,"ставка","мин.ставка")</f>
        <v/>
      </c>
      <c r="O434" s="3">
        <f>ROUND(IF(N434="мин.ставка",L434*100,I434/102*2),2)</f>
        <v/>
      </c>
      <c r="P434" s="5" t="n">
        <v>46265.5</v>
      </c>
      <c r="Q434" t="inlineStr">
        <is>
          <t>TravelLine сайт</t>
        </is>
      </c>
      <c r="R434" s="2" t="inlineStr">
        <is>
          <t>СТАНДАРТНЫЙ ДВУХМЕСТНЫЙ НОМЕР (МАНСАРДА)</t>
        </is>
      </c>
      <c r="S434" t="n">
        <v>47</v>
      </c>
      <c r="T434" t="n">
        <v>1</v>
      </c>
      <c r="U434" t="inlineStr"/>
      <c r="V434" t="inlineStr">
        <is>
          <t>Тариф с завтраком</t>
        </is>
      </c>
      <c r="W434" t="n">
        <v>15555.1</v>
      </c>
      <c r="X434" s="3" t="n">
        <v>244.9</v>
      </c>
      <c r="Y434" t="inlineStr">
        <is>
          <t>3.1%</t>
        </is>
      </c>
      <c r="Z434" t="inlineStr">
        <is>
          <t>2026-08-29</t>
        </is>
      </c>
      <c r="AA434" s="3" t="n">
        <v>15555.1</v>
      </c>
      <c r="AB434" t="inlineStr">
        <is>
          <t>Сошлось по ночным тарифам</t>
        </is>
      </c>
      <c r="AC434" s="2" t="inlineStr"/>
      <c r="AD434" t="n">
        <v>244.9</v>
      </c>
      <c r="AE434" t="n">
        <v>0</v>
      </c>
      <c r="AF434" t="inlineStr">
        <is>
          <t>Скидка добавлена к налоговой базе</t>
        </is>
      </c>
      <c r="AG434" t="n">
        <v>15800</v>
      </c>
      <c r="AH434" t="n">
        <v>15555.1</v>
      </c>
      <c r="AI434" t="inlineStr">
        <is>
          <t>Полное проживание в выбранном периоде</t>
        </is>
      </c>
    </row>
    <row r="435">
      <c r="A435" t="inlineStr">
        <is>
          <t>20260823-8186-457343418</t>
        </is>
      </c>
      <c r="B435" t="n">
        <v>1</v>
      </c>
      <c r="C435" s="2" t="inlineStr">
        <is>
          <t>Екатерина Зайцева, Александр Демидов</t>
        </is>
      </c>
      <c r="D435" s="3" t="n">
        <v>89474</v>
      </c>
      <c r="E435" s="4" t="n">
        <v>17</v>
      </c>
      <c r="F435" t="inlineStr">
        <is>
          <t>ООО «Интернет Трэвел» (OZON) [Чайковский]</t>
        </is>
      </c>
      <c r="G435" s="3">
        <f>ROUND(D435/(100-E435)*100,2)</f>
        <v/>
      </c>
      <c r="H435" s="3" t="n">
        <v>0</v>
      </c>
      <c r="I435" s="3">
        <f>ROUND(IF(ISNUMBER(AG435),AG435,G435)+H435,2)</f>
        <v/>
      </c>
      <c r="J435" s="2" t="inlineStr">
        <is>
          <t>Завтрак "Шведский стол"</t>
        </is>
      </c>
      <c r="K435" s="5" t="n">
        <v>46257.58333333334</v>
      </c>
      <c r="L435" t="n">
        <v>7</v>
      </c>
      <c r="M435" s="3">
        <f>I435/L435</f>
        <v/>
      </c>
      <c r="N435">
        <f>IF(M435&gt;=5100,"ставка","мин.ставка")</f>
        <v/>
      </c>
      <c r="O435" s="3">
        <f>ROUND(IF(N435="мин.ставка",L435*100,I435/102*2),2)</f>
        <v/>
      </c>
      <c r="P435" s="5" t="n">
        <v>46264.5</v>
      </c>
      <c r="Q435" t="inlineStr">
        <is>
          <t>TravelLine OZ2</t>
        </is>
      </c>
      <c r="R435" s="2" t="inlineStr">
        <is>
          <t>УЛУЧШЕННЫЙ ДВУХМЕСТНЫЙ НОМЕР</t>
        </is>
      </c>
      <c r="S435" t="n">
        <v>59</v>
      </c>
      <c r="T435" t="n">
        <v>2</v>
      </c>
      <c r="U435" t="inlineStr"/>
      <c r="V435" t="inlineStr">
        <is>
          <t>Тариф с завтраком</t>
        </is>
      </c>
      <c r="W435" t="n">
        <v>89474</v>
      </c>
      <c r="X435" s="3" t="n">
        <v>18326</v>
      </c>
      <c r="Y435" t="inlineStr">
        <is>
          <t>17%</t>
        </is>
      </c>
      <c r="Z435" t="inlineStr">
        <is>
          <t>2026-08-23, 2026-08-24, 2026-08-25, 2026-08-26, 2026-08-27, 2026-08-28, 2026-08-29</t>
        </is>
      </c>
      <c r="AA435" s="3" t="n">
        <v>89474</v>
      </c>
      <c r="AB435" t="inlineStr">
        <is>
          <t>Сошлось по ночным тарифам</t>
        </is>
      </c>
      <c r="AC435" s="2" t="inlineStr"/>
      <c r="AD435" t="n">
        <v>18326</v>
      </c>
      <c r="AE435" t="n">
        <v>0</v>
      </c>
      <c r="AF435" t="inlineStr">
        <is>
          <t>Скидка добавлена к налоговой базе</t>
        </is>
      </c>
      <c r="AG435" t="n">
        <v>107800</v>
      </c>
      <c r="AH435" t="n">
        <v>89474</v>
      </c>
      <c r="AI435" t="inlineStr">
        <is>
          <t>Полное проживание в выбранном периоде</t>
        </is>
      </c>
    </row>
    <row r="436">
      <c r="A436" t="inlineStr">
        <is>
          <t>20260724-8186-452008771</t>
        </is>
      </c>
      <c r="B436" t="n">
        <v>1</v>
      </c>
      <c r="C436" s="2" t="inlineStr">
        <is>
          <t>Екатерина Закревская</t>
        </is>
      </c>
      <c r="D436" s="3" t="n">
        <v>6160</v>
      </c>
      <c r="E436" s="4" t="n">
        <v>20</v>
      </c>
      <c r="F436" t="inlineStr">
        <is>
          <t>ООО "КОМПАНИЯ БРОНЕВИК" [Чайковский]</t>
        </is>
      </c>
      <c r="G436" s="3">
        <f>ROUND(D436/(100-E436)*100,2)</f>
        <v/>
      </c>
      <c r="H436" s="3" t="n">
        <v>0</v>
      </c>
      <c r="I436" s="3">
        <f>ROUND(IF(ISNUMBER(AG436),AG436,G436)+H436,2)</f>
        <v/>
      </c>
      <c r="J436" s="2" t="inlineStr">
        <is>
          <t>Завтрак "Шведский стол"</t>
        </is>
      </c>
      <c r="K436" s="5" t="n">
        <v>46227.58333333334</v>
      </c>
      <c r="L436" t="n">
        <v>1</v>
      </c>
      <c r="M436" s="3">
        <f>I436/L436</f>
        <v/>
      </c>
      <c r="N436">
        <f>IF(M436&gt;=5100,"ставка","мин.ставка")</f>
        <v/>
      </c>
      <c r="O436" s="3">
        <f>ROUND(IF(N436="мин.ставка",L436*100,I436/102*2),2)</f>
        <v/>
      </c>
      <c r="P436" s="5" t="n">
        <v>46228.5</v>
      </c>
      <c r="Q436" t="inlineStr">
        <is>
          <t>TravelLine BR2</t>
        </is>
      </c>
      <c r="R436" s="2" t="inlineStr">
        <is>
          <t>СТАНДАРТНЫЙ ОДНОМЕСТНЫЙ НОМЕР</t>
        </is>
      </c>
      <c r="S436" t="n">
        <v>24</v>
      </c>
      <c r="T436" t="n">
        <v>1</v>
      </c>
      <c r="U436" t="inlineStr"/>
      <c r="V436" t="inlineStr">
        <is>
          <t>Тариф с завтраком</t>
        </is>
      </c>
      <c r="W436" t="n">
        <v>6160</v>
      </c>
      <c r="X436" s="3" t="n">
        <v>0</v>
      </c>
      <c r="Y436" t="inlineStr"/>
      <c r="Z436" t="inlineStr"/>
      <c r="AA436" s="3" t="n">
        <v>6160</v>
      </c>
      <c r="AB436" t="inlineStr">
        <is>
          <t>Сошлось по ночным тарифам</t>
        </is>
      </c>
      <c r="AC436" s="2" t="inlineStr"/>
      <c r="AD436" t="n">
        <v>0</v>
      </c>
      <c r="AE436" t="n">
        <v>0</v>
      </c>
      <c r="AF436" t="inlineStr">
        <is>
          <t>Скидки нет</t>
        </is>
      </c>
      <c r="AG436" t="n">
        <v>6160</v>
      </c>
      <c r="AH436" t="n">
        <v>6160</v>
      </c>
      <c r="AI436" t="inlineStr">
        <is>
          <t>Полное проживание в выбранном периоде</t>
        </is>
      </c>
    </row>
    <row r="437">
      <c r="A437" t="inlineStr">
        <is>
          <t>20260707-8186-425680261</t>
        </is>
      </c>
      <c r="B437" t="n">
        <v>1</v>
      </c>
      <c r="C437" s="2" t="inlineStr">
        <is>
          <t>Екатерина Лобанова</t>
        </is>
      </c>
      <c r="D437" s="3" t="n">
        <v>21945</v>
      </c>
      <c r="E437" s="4" t="n">
        <v>17</v>
      </c>
      <c r="F437" t="inlineStr">
        <is>
          <t>ООО "ОНЛАЙН ИННОВАЦИИ" (101 Отель) [Чайковский]</t>
        </is>
      </c>
      <c r="G437" s="3">
        <f>ROUND(D437/(100-E437)*100,2)</f>
        <v/>
      </c>
      <c r="H437" s="3" t="n">
        <v>0</v>
      </c>
      <c r="I437" s="3">
        <f>ROUND(IF(ISNUMBER(AG437),AG437,G437)+H437,2)</f>
        <v/>
      </c>
      <c r="J437" s="2" t="inlineStr">
        <is>
          <t>Завтрак "Шведский стол"</t>
        </is>
      </c>
      <c r="K437" s="5" t="n">
        <v>46210.58333333334</v>
      </c>
      <c r="L437" t="n">
        <v>3</v>
      </c>
      <c r="M437" s="3">
        <f>I437/L437</f>
        <v/>
      </c>
      <c r="N437">
        <f>IF(M437&gt;=5100,"ставка","мин.ставка")</f>
        <v/>
      </c>
      <c r="O437" s="3">
        <f>ROUND(IF(N437="мин.ставка",L437*100,I437/102*2),2)</f>
        <v/>
      </c>
      <c r="P437" s="5" t="n">
        <v>46213.5</v>
      </c>
      <c r="Q437" t="inlineStr">
        <is>
          <t>TravelLine H1C</t>
        </is>
      </c>
      <c r="R437" s="2" t="inlineStr">
        <is>
          <t>СТАНДАРТНЫЙ ОДНОМЕСТНЫЙ НОМЕР</t>
        </is>
      </c>
      <c r="S437" t="n">
        <v>34</v>
      </c>
      <c r="T437" t="n">
        <v>1</v>
      </c>
      <c r="U437" t="inlineStr"/>
      <c r="V437" t="inlineStr">
        <is>
          <t>Тариф с завтраком</t>
        </is>
      </c>
      <c r="W437" t="n">
        <v>21945</v>
      </c>
      <c r="X437" s="3" t="n">
        <v>1155</v>
      </c>
      <c r="Y437" t="inlineStr">
        <is>
          <t>15%</t>
        </is>
      </c>
      <c r="Z437" t="inlineStr">
        <is>
          <t>2026-07-07</t>
        </is>
      </c>
      <c r="AA437" s="3" t="n">
        <v>21945</v>
      </c>
      <c r="AB437" t="inlineStr">
        <is>
          <t>Сошлось по ночным тарифам</t>
        </is>
      </c>
      <c r="AC437" s="2" t="inlineStr"/>
      <c r="AD437" t="n">
        <v>1155</v>
      </c>
      <c r="AE437" t="n">
        <v>0</v>
      </c>
      <c r="AF437" t="inlineStr">
        <is>
          <t>Скидка добавлена к налоговой базе</t>
        </is>
      </c>
      <c r="AG437" t="n">
        <v>23100</v>
      </c>
      <c r="AH437" t="n">
        <v>21945</v>
      </c>
      <c r="AI437" t="inlineStr">
        <is>
          <t>Полное проживание в выбранном периоде</t>
        </is>
      </c>
    </row>
    <row r="438">
      <c r="A438" t="inlineStr">
        <is>
          <t>20260829-8186-459139578</t>
        </is>
      </c>
      <c r="B438" t="n">
        <v>1</v>
      </c>
      <c r="C438" s="2" t="inlineStr">
        <is>
          <t>Екатерина Лотова, константин лотов</t>
        </is>
      </c>
      <c r="D438" s="3" t="n">
        <v>8217</v>
      </c>
      <c r="E438" s="4" t="n">
        <v>18</v>
      </c>
      <c r="F438" t="inlineStr">
        <is>
          <t>Яндекс.Путешествия [Чайковский]</t>
        </is>
      </c>
      <c r="G438" s="3">
        <f>ROUND(D438/(100-E438)*100,2)</f>
        <v/>
      </c>
      <c r="H438" s="3" t="n">
        <v>0</v>
      </c>
      <c r="I438" s="3">
        <f>ROUND(IF(ISNUMBER(AG438),AG438,G438)+H438,2)</f>
        <v/>
      </c>
      <c r="J438" s="2" t="inlineStr">
        <is>
          <t>Завтрак "Шведский стол"</t>
        </is>
      </c>
      <c r="K438" s="5" t="n">
        <v>46263.58333333334</v>
      </c>
      <c r="L438" t="n">
        <v>1</v>
      </c>
      <c r="M438" s="3">
        <f>I438/L438</f>
        <v/>
      </c>
      <c r="N438">
        <f>IF(M438&gt;=5100,"ставка","мин.ставка")</f>
        <v/>
      </c>
      <c r="O438" s="3">
        <f>ROUND(IF(N438="мин.ставка",L438*100,I438/102*2),2)</f>
        <v/>
      </c>
      <c r="P438" s="5" t="n">
        <v>46264.5</v>
      </c>
      <c r="Q438" t="inlineStr">
        <is>
          <t>TravelLine YAX</t>
        </is>
      </c>
      <c r="R438" s="2" t="inlineStr">
        <is>
          <t>СТАНДАРТНЫЙ ДВУХМЕСТНЫЙ НОМЕР</t>
        </is>
      </c>
      <c r="S438" t="n">
        <v>46</v>
      </c>
      <c r="T438" t="n">
        <v>1</v>
      </c>
      <c r="U438" t="inlineStr"/>
      <c r="V438" t="inlineStr">
        <is>
          <t>Тариф с завтраком</t>
        </is>
      </c>
      <c r="W438" t="n">
        <v>8217</v>
      </c>
      <c r="X438" s="3" t="n">
        <v>1683</v>
      </c>
      <c r="Y438" t="inlineStr">
        <is>
          <t>17%</t>
        </is>
      </c>
      <c r="Z438" t="inlineStr">
        <is>
          <t>2026-08-29</t>
        </is>
      </c>
      <c r="AA438" s="3" t="n">
        <v>8217</v>
      </c>
      <c r="AB438" t="inlineStr">
        <is>
          <t>Сошлось по ночным тарифам</t>
        </is>
      </c>
      <c r="AC438" s="2" t="inlineStr"/>
      <c r="AD438" t="n">
        <v>1683</v>
      </c>
      <c r="AE438" t="n">
        <v>0</v>
      </c>
      <c r="AF438" t="inlineStr">
        <is>
          <t>Скидка добавлена к налоговой базе</t>
        </is>
      </c>
      <c r="AG438" t="n">
        <v>9900</v>
      </c>
      <c r="AH438" t="n">
        <v>8217</v>
      </c>
      <c r="AI438" t="inlineStr">
        <is>
          <t>Полное проживание в выбранном периоде</t>
        </is>
      </c>
    </row>
    <row r="439">
      <c r="A439" t="inlineStr">
        <is>
          <t>20260705-8186-445487488</t>
        </is>
      </c>
      <c r="B439" t="n">
        <v>1</v>
      </c>
      <c r="C439" s="2" t="inlineStr">
        <is>
          <t>ЕКАТЕРИНА МАТУСЕВИЧ</t>
        </is>
      </c>
      <c r="D439" s="3" t="n">
        <v>9080</v>
      </c>
      <c r="E439" s="4" t="n">
        <v>20</v>
      </c>
      <c r="F439" t="inlineStr">
        <is>
          <t>ООО "ХБ-ПРО" [Чайковский]</t>
        </is>
      </c>
      <c r="G439" s="3">
        <f>ROUND(D439/(100-E439)*100,2)</f>
        <v/>
      </c>
      <c r="H439" s="3" t="n">
        <v>0</v>
      </c>
      <c r="I439" s="3">
        <f>ROUND(IF(ISNUMBER(AG439),AG439,G439)+H439,2)</f>
        <v/>
      </c>
      <c r="J439" s="2" t="inlineStr">
        <is>
          <t>Завтрак "Шведский стол"</t>
        </is>
      </c>
      <c r="K439" s="5" t="n">
        <v>46208.58333333334</v>
      </c>
      <c r="L439" t="n">
        <v>1</v>
      </c>
      <c r="M439" s="3">
        <f>I439/L439</f>
        <v/>
      </c>
      <c r="N439">
        <f>IF(M439&gt;=5100,"ставка","мин.ставка")</f>
        <v/>
      </c>
      <c r="O439" s="3">
        <f>ROUND(IF(N439="мин.ставка",L439*100,I439/102*2),2)</f>
        <v/>
      </c>
      <c r="P439" s="5" t="n">
        <v>46209.5</v>
      </c>
      <c r="Q439" t="inlineStr">
        <is>
          <t>TravelLine UTS</t>
        </is>
      </c>
      <c r="R439" s="2" t="inlineStr">
        <is>
          <t>СТАНДАРТНЫЙ ДВУХМЕСТНЫЙ НОМЕР</t>
        </is>
      </c>
      <c r="S439" t="n">
        <v>46</v>
      </c>
      <c r="T439" t="n">
        <v>1</v>
      </c>
      <c r="U439" t="inlineStr"/>
      <c r="V439" t="inlineStr">
        <is>
          <t>Тариф с завтраком</t>
        </is>
      </c>
      <c r="W439" t="n">
        <v>9080</v>
      </c>
      <c r="X439" s="3" t="n">
        <v>0</v>
      </c>
      <c r="Y439" t="inlineStr"/>
      <c r="Z439" t="inlineStr"/>
      <c r="AA439" s="3" t="n">
        <v>9080</v>
      </c>
      <c r="AB439" t="inlineStr">
        <is>
          <t>Сошлось по ночным тарифам</t>
        </is>
      </c>
      <c r="AC439" s="2" t="inlineStr"/>
      <c r="AD439" t="n">
        <v>0</v>
      </c>
      <c r="AE439" t="n">
        <v>0</v>
      </c>
      <c r="AF439" t="inlineStr">
        <is>
          <t>Скидки нет</t>
        </is>
      </c>
      <c r="AG439" t="n">
        <v>9080</v>
      </c>
      <c r="AH439" t="n">
        <v>9080</v>
      </c>
      <c r="AI439" t="inlineStr">
        <is>
          <t>Полное проживание в выбранном периоде</t>
        </is>
      </c>
    </row>
    <row r="440">
      <c r="A440" t="inlineStr">
        <is>
          <t>20260902-8186-461101023</t>
        </is>
      </c>
      <c r="B440" t="n">
        <v>1</v>
      </c>
      <c r="C440" s="2" t="inlineStr">
        <is>
          <t>Екатерина Михалева</t>
        </is>
      </c>
      <c r="D440" s="3" t="n">
        <v>27921</v>
      </c>
      <c r="E440" s="4" t="n">
        <v>18</v>
      </c>
      <c r="F440" t="inlineStr">
        <is>
          <t>ООО "Эй энд Эй" [Чайковский]</t>
        </is>
      </c>
      <c r="G440" s="3">
        <f>ROUND(D440/(100-E440)*100,2)</f>
        <v/>
      </c>
      <c r="H440" s="3" t="n">
        <v>0</v>
      </c>
      <c r="I440" s="3">
        <f>ROUND(IF(ISNUMBER(AG440),AG440,G440)+H440,2)</f>
        <v/>
      </c>
      <c r="J440" s="2" t="inlineStr">
        <is>
          <t>Завтрак "Шведский стол"</t>
        </is>
      </c>
      <c r="K440" s="5" t="n">
        <v>46267.58333333334</v>
      </c>
      <c r="L440" t="n">
        <v>3</v>
      </c>
      <c r="M440" s="3">
        <f>I440/L440</f>
        <v/>
      </c>
      <c r="N440">
        <f>IF(M440&gt;=5100,"ставка","мин.ставка")</f>
        <v/>
      </c>
      <c r="O440" s="3">
        <f>ROUND(IF(N440="мин.ставка",L440*100,I440/102*2),2)</f>
        <v/>
      </c>
      <c r="P440" s="5" t="n">
        <v>46270.5</v>
      </c>
      <c r="Q440" t="inlineStr">
        <is>
          <t>TravelLine ANA</t>
        </is>
      </c>
      <c r="R440" s="2" t="inlineStr">
        <is>
          <t>СТАНДАРТНЫЙ ДВУХМЕСТНЫЙ НОМЕР</t>
        </is>
      </c>
      <c r="S440" t="n">
        <v>55</v>
      </c>
      <c r="T440" t="n">
        <v>2</v>
      </c>
      <c r="U440" t="inlineStr"/>
      <c r="V440" t="inlineStr">
        <is>
          <t>Тариф с завтраком</t>
        </is>
      </c>
      <c r="W440" t="n">
        <v>27921</v>
      </c>
      <c r="X440" s="3" t="n">
        <v>6129</v>
      </c>
      <c r="Y440" t="inlineStr">
        <is>
          <t>18%</t>
        </is>
      </c>
      <c r="Z440" t="inlineStr">
        <is>
          <t>2026-09-02, 2026-09-03, 2026-09-04</t>
        </is>
      </c>
      <c r="AA440" s="3" t="n">
        <v>27921</v>
      </c>
      <c r="AB440" t="inlineStr">
        <is>
          <t>Сошлось по ночным тарифам</t>
        </is>
      </c>
      <c r="AC440" s="2" t="inlineStr"/>
      <c r="AD440" t="n">
        <v>6129</v>
      </c>
      <c r="AE440" t="n">
        <v>0</v>
      </c>
      <c r="AF440" t="inlineStr">
        <is>
          <t>Скидка добавлена к налоговой базе</t>
        </is>
      </c>
      <c r="AG440" t="n">
        <v>34050</v>
      </c>
      <c r="AH440" t="n">
        <v>27921</v>
      </c>
      <c r="AI440" t="inlineStr">
        <is>
          <t>Полное проживание в выбранном периоде</t>
        </is>
      </c>
    </row>
    <row r="441">
      <c r="A441" t="inlineStr">
        <is>
          <t>20260914-8186-465905610</t>
        </is>
      </c>
      <c r="B441" t="n">
        <v>1</v>
      </c>
      <c r="C441" s="2" t="inlineStr">
        <is>
          <t>ЕКАТЕРИНА МОЛОДЦОВА</t>
        </is>
      </c>
      <c r="D441" s="3" t="n">
        <v>6545</v>
      </c>
      <c r="E441" s="4" t="n">
        <v>15</v>
      </c>
      <c r="F441" t="inlineStr">
        <is>
          <t>ООО «12Т» (ранее ONE TWO TRIP) [Чайковский]</t>
        </is>
      </c>
      <c r="G441" s="3">
        <f>ROUND(D441/(100-E441)*100,2)</f>
        <v/>
      </c>
      <c r="H441" s="3" t="n">
        <v>0</v>
      </c>
      <c r="I441" s="3">
        <f>ROUND(IF(ISNUMBER(AG441),AG441,G441)+H441,2)</f>
        <v/>
      </c>
      <c r="J441" s="2" t="inlineStr">
        <is>
          <t>Завтрак "Шведский стол"</t>
        </is>
      </c>
      <c r="K441" s="5" t="n">
        <v>46279.58333333334</v>
      </c>
      <c r="L441" t="n">
        <v>1</v>
      </c>
      <c r="M441" s="3">
        <f>I441/L441</f>
        <v/>
      </c>
      <c r="N441">
        <f>IF(M441&gt;=5100,"ставка","мин.ставка")</f>
        <v/>
      </c>
      <c r="O441" s="3">
        <f>ROUND(IF(N441="мин.ставка",L441*100,I441/102*2),2)</f>
        <v/>
      </c>
      <c r="P441" s="5" t="n">
        <v>46280.5</v>
      </c>
      <c r="Q441" t="inlineStr">
        <is>
          <t>TravelLine OTT</t>
        </is>
      </c>
      <c r="R441" s="2" t="inlineStr">
        <is>
          <t>СТАНДАРТНЫЙ ОДНОМЕСТНЫЙ НОМЕР</t>
        </is>
      </c>
      <c r="S441" t="n">
        <v>34</v>
      </c>
      <c r="T441" t="n">
        <v>1</v>
      </c>
      <c r="U441" t="inlineStr"/>
      <c r="V441" t="inlineStr">
        <is>
          <t>Тариф с завтраком</t>
        </is>
      </c>
      <c r="W441" t="n">
        <v>6545</v>
      </c>
      <c r="X441" s="3" t="n">
        <v>1155</v>
      </c>
      <c r="Y441" t="inlineStr">
        <is>
          <t>15%</t>
        </is>
      </c>
      <c r="Z441" t="inlineStr">
        <is>
          <t>2026-09-14</t>
        </is>
      </c>
      <c r="AA441" s="3" t="n">
        <v>6545</v>
      </c>
      <c r="AB441" t="inlineStr">
        <is>
          <t>Сошлось по ночным тарифам</t>
        </is>
      </c>
      <c r="AC441" s="2" t="inlineStr"/>
      <c r="AD441" t="n">
        <v>1155</v>
      </c>
      <c r="AE441" t="n">
        <v>0</v>
      </c>
      <c r="AF441" t="inlineStr">
        <is>
          <t>Скидка добавлена к налоговой базе</t>
        </is>
      </c>
      <c r="AG441" t="n">
        <v>7700</v>
      </c>
      <c r="AH441" t="n">
        <v>6545</v>
      </c>
      <c r="AI441" t="inlineStr">
        <is>
          <t>Полное проживание в выбранном периоде</t>
        </is>
      </c>
    </row>
    <row r="442">
      <c r="A442" t="inlineStr">
        <is>
          <t>20260826-8186-459009003</t>
        </is>
      </c>
      <c r="B442" t="n">
        <v>1</v>
      </c>
      <c r="C442" s="2" t="inlineStr">
        <is>
          <t>Екатерина Назарова</t>
        </is>
      </c>
      <c r="D442" s="3" t="n">
        <v>7584.5</v>
      </c>
      <c r="E442" s="4" t="n">
        <v>4</v>
      </c>
      <c r="F442" t="inlineStr">
        <is>
          <t>TravelLine Booking Engine [Чайковский]</t>
        </is>
      </c>
      <c r="G442" s="3">
        <f>ROUND(D442/(100-E442)*100,2)</f>
        <v/>
      </c>
      <c r="H442" s="3" t="n">
        <v>0</v>
      </c>
      <c r="I442" s="3">
        <f>ROUND(IF(ISNUMBER(AG442),AG442,G442)+H442,2)</f>
        <v/>
      </c>
      <c r="J442" s="2" t="inlineStr">
        <is>
          <t>Завтрак "Шведский стол"</t>
        </is>
      </c>
      <c r="K442" s="5" t="n">
        <v>46260.58333333334</v>
      </c>
      <c r="L442" t="n">
        <v>1</v>
      </c>
      <c r="M442" s="3">
        <f>I442/L442</f>
        <v/>
      </c>
      <c r="N442">
        <f>IF(M442&gt;=5100,"ставка","мин.ставка")</f>
        <v/>
      </c>
      <c r="O442" s="3">
        <f>ROUND(IF(N442="мин.ставка",L442*100,I442/102*2),2)</f>
        <v/>
      </c>
      <c r="P442" s="5" t="n">
        <v>46261.5</v>
      </c>
      <c r="Q442" t="inlineStr">
        <is>
          <t>TravelLine сайт</t>
        </is>
      </c>
      <c r="R442" s="2" t="inlineStr">
        <is>
          <t>СТАНДАРТНЫЙ ОДНОМЕСТНЫЙ НОМЕР</t>
        </is>
      </c>
      <c r="S442" t="n">
        <v>34</v>
      </c>
      <c r="T442" t="n">
        <v>1</v>
      </c>
      <c r="U442" t="inlineStr"/>
      <c r="V442" t="inlineStr">
        <is>
          <t>Тариф с завтраком</t>
        </is>
      </c>
      <c r="W442" t="n">
        <v>7584.5</v>
      </c>
      <c r="X442" s="3" t="n">
        <v>115.5</v>
      </c>
      <c r="Y442" t="inlineStr">
        <is>
          <t>1.5%</t>
        </is>
      </c>
      <c r="Z442" t="inlineStr">
        <is>
          <t>2026-08-26</t>
        </is>
      </c>
      <c r="AA442" s="3" t="n">
        <v>7584.5</v>
      </c>
      <c r="AB442" t="inlineStr">
        <is>
          <t>Сошлось по ночным тарифам</t>
        </is>
      </c>
      <c r="AC442" s="2" t="inlineStr"/>
      <c r="AD442" t="n">
        <v>115.5</v>
      </c>
      <c r="AE442" t="n">
        <v>0</v>
      </c>
      <c r="AF442" t="inlineStr">
        <is>
          <t>Скидка добавлена к налоговой базе</t>
        </is>
      </c>
      <c r="AG442" t="n">
        <v>7700</v>
      </c>
      <c r="AH442" t="n">
        <v>7584.5</v>
      </c>
      <c r="AI442" t="inlineStr">
        <is>
          <t>Полное проживание в выбранном периоде</t>
        </is>
      </c>
    </row>
    <row r="443">
      <c r="A443" t="inlineStr">
        <is>
          <t>20260710-8186-448939418</t>
        </is>
      </c>
      <c r="B443" t="n">
        <v>1</v>
      </c>
      <c r="C443" s="2" t="inlineStr">
        <is>
          <t>Екатерина Привалова, Семен Лаврин</t>
        </is>
      </c>
      <c r="D443" s="3" t="n">
        <v>8415</v>
      </c>
      <c r="E443" s="4" t="n">
        <v>15</v>
      </c>
      <c r="F443" t="inlineStr">
        <is>
          <t>ООО "БРОНИРОВАНИЕ ГОСТИНИЦ" (OSTROVOK) [Чайковский]</t>
        </is>
      </c>
      <c r="G443" s="3">
        <f>ROUND(D443/(100-E443)*100,2)</f>
        <v/>
      </c>
      <c r="H443" s="3" t="n">
        <v>0</v>
      </c>
      <c r="I443" s="3">
        <f>ROUND(IF(ISNUMBER(AG443),AG443,G443)+H443,2)</f>
        <v/>
      </c>
      <c r="J443" s="2" t="inlineStr">
        <is>
          <t>Завтрак "Шведский стол"</t>
        </is>
      </c>
      <c r="K443" s="5" t="n">
        <v>46213.58333333334</v>
      </c>
      <c r="L443" t="n">
        <v>1</v>
      </c>
      <c r="M443" s="3">
        <f>I443/L443</f>
        <v/>
      </c>
      <c r="N443">
        <f>IF(M443&gt;=5100,"ставка","мин.ставка")</f>
        <v/>
      </c>
      <c r="O443" s="3">
        <f>ROUND(IF(N443="мин.ставка",L443*100,I443/102*2),2)</f>
        <v/>
      </c>
      <c r="P443" s="5" t="n">
        <v>46214.5</v>
      </c>
      <c r="Q443" t="inlineStr">
        <is>
          <t>TravelLine OTK</t>
        </is>
      </c>
      <c r="R443" s="2" t="inlineStr">
        <is>
          <t>СТАНДАРТНЫЙ ДВУХМЕСТНЫЙ НОМЕР (МАНСАРДА)</t>
        </is>
      </c>
      <c r="S443" t="n">
        <v>41</v>
      </c>
      <c r="T443" t="n">
        <v>1</v>
      </c>
      <c r="U443" t="inlineStr"/>
      <c r="V443" t="inlineStr">
        <is>
          <t>Тариф с завтраком</t>
        </is>
      </c>
      <c r="W443" t="n">
        <v>8415</v>
      </c>
      <c r="X443" s="3" t="n">
        <v>1485</v>
      </c>
      <c r="Y443" t="inlineStr">
        <is>
          <t>15%</t>
        </is>
      </c>
      <c r="Z443" t="inlineStr">
        <is>
          <t>2026-07-10</t>
        </is>
      </c>
      <c r="AA443" s="3" t="n">
        <v>8415</v>
      </c>
      <c r="AB443" t="inlineStr">
        <is>
          <t>Сошлось по ночным тарифам</t>
        </is>
      </c>
      <c r="AC443" s="2" t="inlineStr"/>
      <c r="AD443" t="n">
        <v>1485</v>
      </c>
      <c r="AE443" t="n">
        <v>0</v>
      </c>
      <c r="AF443" t="inlineStr">
        <is>
          <t>Скидка добавлена к налоговой базе</t>
        </is>
      </c>
      <c r="AG443" t="n">
        <v>9900</v>
      </c>
      <c r="AH443" t="n">
        <v>8415</v>
      </c>
      <c r="AI443" t="inlineStr">
        <is>
          <t>Полное проживание в выбранном периоде</t>
        </is>
      </c>
    </row>
    <row r="444">
      <c r="A444" t="inlineStr">
        <is>
          <t>20260704-8186-447564209</t>
        </is>
      </c>
      <c r="B444" t="n">
        <v>1</v>
      </c>
      <c r="C444" s="2" t="inlineStr">
        <is>
          <t>ЕКАТЕРИНА ПРОВОЗИНА, ФЁДОР ПРОВОЗИН</t>
        </is>
      </c>
      <c r="D444" s="3" t="n">
        <v>21100</v>
      </c>
      <c r="E444" s="4" t="n">
        <v>18</v>
      </c>
      <c r="F444" t="inlineStr">
        <is>
          <t>Яндекс.Путешествия [Чайковский]</t>
        </is>
      </c>
      <c r="G444" s="3">
        <f>ROUND(D444/(100-E444)*100,2)</f>
        <v/>
      </c>
      <c r="H444" s="3" t="n">
        <v>0</v>
      </c>
      <c r="I444" s="3">
        <f>ROUND(IF(ISNUMBER(AG444),AG444,G444)+H444,2)</f>
        <v/>
      </c>
      <c r="J444" s="2" t="inlineStr"/>
      <c r="K444" s="5" t="n">
        <v>46207.58333333334</v>
      </c>
      <c r="L444" t="n">
        <v>2</v>
      </c>
      <c r="M444" s="3">
        <f>I444/L444</f>
        <v/>
      </c>
      <c r="N444">
        <f>IF(M444&gt;=5100,"ставка","мин.ставка")</f>
        <v/>
      </c>
      <c r="O444" s="3">
        <f>ROUND(IF(N444="мин.ставка",L444*100,I444/102*2),2)</f>
        <v/>
      </c>
      <c r="P444" s="5" t="n">
        <v>46209.5</v>
      </c>
      <c r="Q444" t="inlineStr">
        <is>
          <t>TravelLine YAX</t>
        </is>
      </c>
      <c r="R444" s="2" t="inlineStr">
        <is>
          <t>ПОЛУЛЮКС</t>
        </is>
      </c>
      <c r="S444" t="n">
        <v>35</v>
      </c>
      <c r="T444" t="n">
        <v>1</v>
      </c>
      <c r="U444" t="inlineStr"/>
      <c r="V444" t="inlineStr">
        <is>
          <t>Основной тариф без завтрака</t>
        </is>
      </c>
      <c r="W444" t="n">
        <v>21100</v>
      </c>
      <c r="X444" s="3" t="n">
        <v>0</v>
      </c>
      <c r="Y444" t="inlineStr"/>
      <c r="Z444" t="inlineStr"/>
      <c r="AA444" s="3" t="n">
        <v>21100</v>
      </c>
      <c r="AB444" t="inlineStr">
        <is>
          <t>Сошлось по ночным тарифам</t>
        </is>
      </c>
      <c r="AC444" s="2" t="inlineStr"/>
      <c r="AD444" t="n">
        <v>0</v>
      </c>
      <c r="AE444" t="n">
        <v>0</v>
      </c>
      <c r="AF444" t="inlineStr">
        <is>
          <t>Скидки нет</t>
        </is>
      </c>
      <c r="AG444" t="n">
        <v>21100</v>
      </c>
      <c r="AH444" t="n">
        <v>21100</v>
      </c>
      <c r="AI444" t="inlineStr">
        <is>
          <t>Полное проживание в выбранном периоде</t>
        </is>
      </c>
    </row>
    <row r="445">
      <c r="A445" t="inlineStr">
        <is>
          <t>20260902-8186-463011978</t>
        </is>
      </c>
      <c r="B445" t="n">
        <v>1</v>
      </c>
      <c r="C445" s="2" t="inlineStr">
        <is>
          <t>Екатерина Сабайда</t>
        </is>
      </c>
      <c r="D445" s="3" t="n">
        <v>9960</v>
      </c>
      <c r="E445" s="4" t="n">
        <v>18</v>
      </c>
      <c r="F445" t="inlineStr">
        <is>
          <t>Яндекс.Путешествия [Чайковский]</t>
        </is>
      </c>
      <c r="G445" s="3">
        <f>ROUND(D445/(100-E445)*100,2)</f>
        <v/>
      </c>
      <c r="H445" s="3" t="n">
        <v>0</v>
      </c>
      <c r="I445" s="3">
        <f>ROUND(IF(ISNUMBER(AG445),AG445,G445)+H445,2)</f>
        <v/>
      </c>
      <c r="J445" s="2" t="inlineStr">
        <is>
          <t>Завтрак "Шведский стол"</t>
        </is>
      </c>
      <c r="K445" s="5" t="n">
        <v>46267.58333333334</v>
      </c>
      <c r="L445" t="n">
        <v>1</v>
      </c>
      <c r="M445" s="3">
        <f>I445/L445</f>
        <v/>
      </c>
      <c r="N445">
        <f>IF(M445&gt;=5100,"ставка","мин.ставка")</f>
        <v/>
      </c>
      <c r="O445" s="3">
        <f>ROUND(IF(N445="мин.ставка",L445*100,I445/102*2),2)</f>
        <v/>
      </c>
      <c r="P445" s="5" t="n">
        <v>46268.5</v>
      </c>
      <c r="Q445" t="inlineStr">
        <is>
          <t>TravelLine YAX</t>
        </is>
      </c>
      <c r="R445" s="2" t="inlineStr">
        <is>
          <t>СЕМЕЙНЫЙ НОМЕР КАТЕГОРИИ "СТАНДАРТ" ВТОРОЙ КОРПУС</t>
        </is>
      </c>
      <c r="S445" t="n">
        <v>50</v>
      </c>
      <c r="T445" t="n">
        <v>2</v>
      </c>
      <c r="U445" t="inlineStr"/>
      <c r="V445" t="inlineStr">
        <is>
          <t>Тариф с завтраком</t>
        </is>
      </c>
      <c r="W445" t="n">
        <v>9960</v>
      </c>
      <c r="X445" s="3" t="n">
        <v>2490</v>
      </c>
      <c r="Y445" t="inlineStr">
        <is>
          <t>20%</t>
        </is>
      </c>
      <c r="Z445" t="inlineStr">
        <is>
          <t>2026-09-02</t>
        </is>
      </c>
      <c r="AA445" s="3" t="n">
        <v>9960</v>
      </c>
      <c r="AB445" t="inlineStr">
        <is>
          <t>Сошлось по ночным тарифам</t>
        </is>
      </c>
      <c r="AC445" s="2" t="inlineStr"/>
      <c r="AD445" t="n">
        <v>2490</v>
      </c>
      <c r="AE445" t="n">
        <v>0</v>
      </c>
      <c r="AF445" t="inlineStr">
        <is>
          <t>Скидка добавлена к налоговой базе</t>
        </is>
      </c>
      <c r="AG445" t="n">
        <v>12450</v>
      </c>
      <c r="AH445" t="n">
        <v>9960</v>
      </c>
      <c r="AI445" t="inlineStr">
        <is>
          <t>Полное проживание в выбранном периоде</t>
        </is>
      </c>
    </row>
    <row r="446">
      <c r="A446" t="inlineStr">
        <is>
          <t>20260929-8186-468407727</t>
        </is>
      </c>
      <c r="B446" t="n">
        <v>1</v>
      </c>
      <c r="C446" s="2" t="inlineStr">
        <is>
          <t>Екатерина Сабайда</t>
        </is>
      </c>
      <c r="D446" s="3" t="n">
        <v>8512.5</v>
      </c>
      <c r="E446" s="4" t="n">
        <v>18</v>
      </c>
      <c r="F446" t="inlineStr">
        <is>
          <t>Яндекс.Путешествия [Чайковский]</t>
        </is>
      </c>
      <c r="G446" s="3">
        <f>ROUND(D446/(100-E446)*100,2)</f>
        <v/>
      </c>
      <c r="H446" s="3" t="n">
        <v>0</v>
      </c>
      <c r="I446" s="3">
        <f>ROUND(IF(ISNUMBER(AG446),AG446,G446)+H446,2)</f>
        <v/>
      </c>
      <c r="J446" s="2" t="inlineStr">
        <is>
          <t>Завтрак "Шведский стол"</t>
        </is>
      </c>
      <c r="K446" s="5" t="n">
        <v>46294.58333333334</v>
      </c>
      <c r="L446" t="n">
        <v>1</v>
      </c>
      <c r="M446" s="3">
        <f>I446/L446</f>
        <v/>
      </c>
      <c r="N446">
        <f>IF(M446&gt;=5100,"ставка","мин.ставка")</f>
        <v/>
      </c>
      <c r="O446" s="3">
        <f>ROUND(IF(N446="мин.ставка",L446*100,I446/102*2),2)</f>
        <v/>
      </c>
      <c r="P446" s="5" t="n">
        <v>46295.5</v>
      </c>
      <c r="Q446" t="inlineStr">
        <is>
          <t>TravelLine YAX</t>
        </is>
      </c>
      <c r="R446" s="2" t="inlineStr">
        <is>
          <t>СТАНДАРТНЫЙ ДВУХМЕСТНЫЙ НОМЕР</t>
        </is>
      </c>
      <c r="S446" t="n">
        <v>23</v>
      </c>
      <c r="T446" t="n">
        <v>1</v>
      </c>
      <c r="U446" t="inlineStr"/>
      <c r="V446" t="inlineStr">
        <is>
          <t>Тариф с завтраком</t>
        </is>
      </c>
      <c r="W446" t="n">
        <v>8512.5</v>
      </c>
      <c r="X446" s="3" t="n">
        <v>2837.5</v>
      </c>
      <c r="Y446" t="inlineStr">
        <is>
          <t>25%</t>
        </is>
      </c>
      <c r="Z446" t="inlineStr">
        <is>
          <t>2026-09-29</t>
        </is>
      </c>
      <c r="AA446" s="3" t="n">
        <v>8512.5</v>
      </c>
      <c r="AB446" t="inlineStr">
        <is>
          <t>Сошлось по ночным тарифам</t>
        </is>
      </c>
      <c r="AC446" s="2" t="inlineStr"/>
      <c r="AD446" t="n">
        <v>2837.5</v>
      </c>
      <c r="AE446" t="n">
        <v>0</v>
      </c>
      <c r="AF446" t="inlineStr">
        <is>
          <t>Скидка добавлена к налоговой базе</t>
        </is>
      </c>
      <c r="AG446" t="n">
        <v>11350</v>
      </c>
      <c r="AH446" t="n">
        <v>8512.5</v>
      </c>
      <c r="AI446" t="inlineStr">
        <is>
          <t>Полное проживание в выбранном периоде</t>
        </is>
      </c>
    </row>
    <row r="447">
      <c r="A447" t="inlineStr">
        <is>
          <t>20260922-8186-466965314</t>
        </is>
      </c>
      <c r="B447" t="n">
        <v>1</v>
      </c>
      <c r="C447" s="2" t="inlineStr">
        <is>
          <t>Екатерина Склярова</t>
        </is>
      </c>
      <c r="D447" s="3" t="n">
        <v>53550</v>
      </c>
      <c r="E447" s="4" t="n">
        <v>18</v>
      </c>
      <c r="F447" t="inlineStr">
        <is>
          <t>Яндекс.Путешествия [Чайковский]</t>
        </is>
      </c>
      <c r="G447" s="3">
        <f>ROUND(D447/(100-E447)*100,2)</f>
        <v/>
      </c>
      <c r="H447" s="3" t="n">
        <v>0</v>
      </c>
      <c r="I447" s="3">
        <f>ROUND(IF(ISNUMBER(AG447),AG447,G447)+H447,2)</f>
        <v/>
      </c>
      <c r="J447" s="2" t="inlineStr"/>
      <c r="K447" s="5" t="n">
        <v>46287.58333333334</v>
      </c>
      <c r="L447" t="n">
        <v>6</v>
      </c>
      <c r="M447" s="3">
        <f>I447/L447</f>
        <v/>
      </c>
      <c r="N447">
        <f>IF(M447&gt;=5100,"ставка","мин.ставка")</f>
        <v/>
      </c>
      <c r="O447" s="3">
        <f>ROUND(IF(N447="мин.ставка",L447*100,I447/102*2),2)</f>
        <v/>
      </c>
      <c r="P447" s="5" t="n">
        <v>46293.5</v>
      </c>
      <c r="Q447" t="inlineStr">
        <is>
          <t>TravelLine YAX</t>
        </is>
      </c>
      <c r="R447" s="2" t="inlineStr">
        <is>
          <t>УЛУЧШЕННЫЙ ДВУХМЕСТНЫЙ НОМЕР</t>
        </is>
      </c>
      <c r="S447" t="n">
        <v>59</v>
      </c>
      <c r="T447" t="n">
        <v>2</v>
      </c>
      <c r="U447" t="inlineStr"/>
      <c r="V447" t="inlineStr">
        <is>
          <t>Основной тариф без завтрака</t>
        </is>
      </c>
      <c r="W447" t="n">
        <v>53550</v>
      </c>
      <c r="X447" s="3" t="n">
        <v>17850</v>
      </c>
      <c r="Y447" t="inlineStr">
        <is>
          <t>25%</t>
        </is>
      </c>
      <c r="Z447" t="inlineStr">
        <is>
          <t>2026-09-22, 2026-09-23, 2026-09-24, 2026-09-25, 2026-09-26, 2026-09-27</t>
        </is>
      </c>
      <c r="AA447" s="3" t="n">
        <v>53550</v>
      </c>
      <c r="AB447" t="inlineStr">
        <is>
          <t>Сошлось по ночным тарифам</t>
        </is>
      </c>
      <c r="AC447" s="2" t="inlineStr"/>
      <c r="AD447" t="n">
        <v>17850</v>
      </c>
      <c r="AE447" t="n">
        <v>0</v>
      </c>
      <c r="AF447" t="inlineStr">
        <is>
          <t>Скидка добавлена к налоговой базе</t>
        </is>
      </c>
      <c r="AG447" t="n">
        <v>71400</v>
      </c>
      <c r="AH447" t="n">
        <v>53550</v>
      </c>
      <c r="AI447" t="inlineStr">
        <is>
          <t>Полное проживание в выбранном периоде</t>
        </is>
      </c>
    </row>
    <row r="448">
      <c r="A448" t="inlineStr">
        <is>
          <t>20260930-8186-467222109</t>
        </is>
      </c>
      <c r="B448" t="n">
        <v>1</v>
      </c>
      <c r="C448" s="2" t="inlineStr">
        <is>
          <t>ЕКАТЕРИНА СОКОЛОВА, АНДРЕЙ СОКОЛОВ</t>
        </is>
      </c>
      <c r="D448" s="3" t="n">
        <v>17052</v>
      </c>
      <c r="E448" s="4" t="n">
        <v>16</v>
      </c>
      <c r="F448" t="inlineStr">
        <is>
          <t>ООО "БРОНИРОВАНИЕ ГОСТИНИЦ" (OSTROVOK) [Чайковский]</t>
        </is>
      </c>
      <c r="G448" s="3">
        <f>ROUND(D448/(100-E448)*100,2)</f>
        <v/>
      </c>
      <c r="H448" s="3" t="n">
        <v>0</v>
      </c>
      <c r="I448" s="3">
        <f>ROUND(IF(ISNUMBER(AG448),AG448,G448)+H448,2)</f>
        <v/>
      </c>
      <c r="J448" s="2" t="inlineStr"/>
      <c r="K448" s="5" t="n">
        <v>46295.58333333334</v>
      </c>
      <c r="L448" t="n">
        <v>1</v>
      </c>
      <c r="M448" s="3">
        <f>I448/L448</f>
        <v/>
      </c>
      <c r="N448">
        <f>IF(M448&gt;=5100,"ставка","мин.ставка")</f>
        <v/>
      </c>
      <c r="O448" s="3">
        <f>ROUND(IF(N448="мин.ставка",L448*100,I448/102*2),2)</f>
        <v/>
      </c>
      <c r="P448" s="5" t="n">
        <v>46297.5</v>
      </c>
      <c r="Q448" t="inlineStr">
        <is>
          <t>TravelLine OTK</t>
        </is>
      </c>
      <c r="R448" s="2" t="inlineStr">
        <is>
          <t>СТАНДАРТНЫЙ ДВУХМЕСТНЫЙ НОМЕР</t>
        </is>
      </c>
      <c r="S448" t="n">
        <v>44</v>
      </c>
      <c r="T448" t="n">
        <v>1</v>
      </c>
      <c r="U448" t="inlineStr"/>
      <c r="V448" t="inlineStr">
        <is>
          <t>Основной тариф без завтрака</t>
        </is>
      </c>
      <c r="W448" t="n">
        <v>17052</v>
      </c>
      <c r="X448" s="3" t="n">
        <v>3248</v>
      </c>
      <c r="Y448" t="inlineStr">
        <is>
          <t>16%</t>
        </is>
      </c>
      <c r="Z448" t="inlineStr">
        <is>
          <t>Не распределена по датам</t>
        </is>
      </c>
      <c r="AA448" s="3" t="n">
        <v>17052</v>
      </c>
      <c r="AB448" t="inlineStr">
        <is>
          <t>Сошлось по ночным тарифам</t>
        </is>
      </c>
      <c r="AC448" s="2" t="inlineStr"/>
      <c r="AD448" t="n">
        <v>0</v>
      </c>
      <c r="AE448" t="n">
        <v>0</v>
      </c>
      <c r="AF448" t="inlineStr">
        <is>
          <t>Частичный период: дата агрегированной скидки не определена; скидка не добавлена к базе</t>
        </is>
      </c>
      <c r="AG448" t="n">
        <v>9954</v>
      </c>
      <c r="AH448" t="n">
        <v>9954</v>
      </c>
      <c r="AI448" t="inlineStr">
        <is>
          <t>Частичное проживание распределено по dailyRates; скидка без даты не восстановлена</t>
        </is>
      </c>
    </row>
    <row r="449">
      <c r="A449" t="inlineStr">
        <is>
          <t>20260729-8186-449842450</t>
        </is>
      </c>
      <c r="B449" t="n">
        <v>1</v>
      </c>
      <c r="C449" s="2" t="inlineStr">
        <is>
          <t>ЕКАТЕРИНА ТИМОФЕЕВА, ДАРЬЯ ТИМОФЕЕВА</t>
        </is>
      </c>
      <c r="D449" s="3" t="n">
        <v>53400</v>
      </c>
      <c r="E449" s="4" t="n">
        <v>0</v>
      </c>
      <c r="F449" t="inlineStr">
        <is>
          <t>Прямые бронирования (стойка) [Чайковский]</t>
        </is>
      </c>
      <c r="G449" s="3">
        <f>ROUND(D449/(100-E449)*100,2)</f>
        <v/>
      </c>
      <c r="H449" s="3" t="n">
        <v>0</v>
      </c>
      <c r="I449" s="3">
        <f>ROUND(IF(ISNUMBER(AG449),AG449,G449)+H449,2)</f>
        <v/>
      </c>
      <c r="J449" s="2" t="inlineStr">
        <is>
          <t>Завтрак "Шведский стол"</t>
        </is>
      </c>
      <c r="K449" s="5" t="n">
        <v>46232.58333333334</v>
      </c>
      <c r="L449" t="n">
        <v>5</v>
      </c>
      <c r="M449" s="3">
        <f>I449/L449</f>
        <v/>
      </c>
      <c r="N449">
        <f>IF(M449&gt;=5100,"ставка","мин.ставка")</f>
        <v/>
      </c>
      <c r="O449" s="3">
        <f>ROUND(IF(N449="мин.ставка",L449*100,I449/102*2),2)</f>
        <v/>
      </c>
      <c r="P449" s="5" t="n">
        <v>46237.5</v>
      </c>
      <c r="Q449" t="inlineStr">
        <is>
          <t>TravelLine ресепшен</t>
        </is>
      </c>
      <c r="R449" s="2" t="inlineStr">
        <is>
          <t>СТАНДАРТНЫЙ ДВУХМЕСТНЫЙ НОМЕР</t>
        </is>
      </c>
      <c r="S449" t="n">
        <v>55</v>
      </c>
      <c r="T449" t="n">
        <v>2</v>
      </c>
      <c r="U449" t="inlineStr"/>
      <c r="V449" t="inlineStr">
        <is>
          <t>Тариф с завтраком</t>
        </is>
      </c>
      <c r="W449" t="n">
        <v>53400</v>
      </c>
      <c r="X449" s="3" t="n">
        <v>13350</v>
      </c>
      <c r="Y449" t="inlineStr">
        <is>
          <t>20%</t>
        </is>
      </c>
      <c r="Z449" t="inlineStr">
        <is>
          <t>2026-07-29, 2026-07-30, 2026-07-31, 2026-08-01, 2026-08-02</t>
        </is>
      </c>
      <c r="AA449" s="3" t="n">
        <v>53400</v>
      </c>
      <c r="AB449" t="inlineStr">
        <is>
          <t>Сошлось по ночным тарифам</t>
        </is>
      </c>
      <c r="AC449" s="2" t="inlineStr"/>
      <c r="AD449" t="n">
        <v>13350</v>
      </c>
      <c r="AE449" t="n">
        <v>0</v>
      </c>
      <c r="AF449" t="inlineStr">
        <is>
          <t>Скидка добавлена к налоговой базе</t>
        </is>
      </c>
      <c r="AG449" t="n">
        <v>66750</v>
      </c>
      <c r="AH449" t="n">
        <v>53400</v>
      </c>
      <c r="AI449" t="inlineStr">
        <is>
          <t>Полное проживание в выбранном периоде</t>
        </is>
      </c>
    </row>
    <row r="450">
      <c r="A450" t="inlineStr">
        <is>
          <t>20260918-8186-466279182</t>
        </is>
      </c>
      <c r="B450" t="n">
        <v>1</v>
      </c>
      <c r="C450" s="2" t="inlineStr">
        <is>
          <t>ЕЛЕНА АНДРЕЕВА</t>
        </is>
      </c>
      <c r="D450" s="3" t="n">
        <v>7700</v>
      </c>
      <c r="E450" s="4" t="n">
        <v>0</v>
      </c>
      <c r="F450" t="inlineStr">
        <is>
          <t>Прямые бронирования (стойка) [Чайковский]</t>
        </is>
      </c>
      <c r="G450" s="3">
        <f>ROUND(D450/(100-E450)*100,2)</f>
        <v/>
      </c>
      <c r="H450" s="3" t="n">
        <v>0</v>
      </c>
      <c r="I450" s="3">
        <f>ROUND(IF(ISNUMBER(AG450),AG450,G450)+H450,2)</f>
        <v/>
      </c>
      <c r="J450" s="2" t="inlineStr">
        <is>
          <t>Завтрак "Шведский стол"</t>
        </is>
      </c>
      <c r="K450" s="5" t="n">
        <v>46283.58333333334</v>
      </c>
      <c r="L450" t="n">
        <v>1</v>
      </c>
      <c r="M450" s="3">
        <f>I450/L450</f>
        <v/>
      </c>
      <c r="N450">
        <f>IF(M450&gt;=5100,"ставка","мин.ставка")</f>
        <v/>
      </c>
      <c r="O450" s="3">
        <f>ROUND(IF(N450="мин.ставка",L450*100,I450/102*2),2)</f>
        <v/>
      </c>
      <c r="P450" s="5" t="n">
        <v>46284.5</v>
      </c>
      <c r="Q450" t="inlineStr">
        <is>
          <t>TravelLine ресепшен</t>
        </is>
      </c>
      <c r="R450" s="2" t="inlineStr">
        <is>
          <t>СТАНДАРТНЫЙ ОДНОМЕСТНЫЙ НОМЕР</t>
        </is>
      </c>
      <c r="S450" t="n">
        <v>34</v>
      </c>
      <c r="T450" t="n">
        <v>1</v>
      </c>
      <c r="U450" t="inlineStr"/>
      <c r="V450" t="inlineStr">
        <is>
          <t>Тариф с завтраком</t>
        </is>
      </c>
      <c r="W450" t="n">
        <v>7700</v>
      </c>
      <c r="X450" s="3" t="n">
        <v>0</v>
      </c>
      <c r="Y450" t="inlineStr"/>
      <c r="Z450" t="inlineStr"/>
      <c r="AA450" s="3" t="n">
        <v>7700</v>
      </c>
      <c r="AB450" t="inlineStr">
        <is>
          <t>Сошлось по ночным тарифам</t>
        </is>
      </c>
      <c r="AC450" s="2" t="inlineStr"/>
      <c r="AD450" t="n">
        <v>0</v>
      </c>
      <c r="AE450" t="n">
        <v>0</v>
      </c>
      <c r="AF450" t="inlineStr">
        <is>
          <t>Скидки нет</t>
        </is>
      </c>
      <c r="AG450" t="n">
        <v>7700</v>
      </c>
      <c r="AH450" t="n">
        <v>7700</v>
      </c>
      <c r="AI450" t="inlineStr">
        <is>
          <t>Полное проживание в выбранном периоде</t>
        </is>
      </c>
    </row>
    <row r="451">
      <c r="A451" t="inlineStr">
        <is>
          <t>20260627-8186-410538800</t>
        </is>
      </c>
      <c r="B451" t="n">
        <v>1</v>
      </c>
      <c r="C451" s="2" t="inlineStr">
        <is>
          <t>Елена Белова</t>
        </is>
      </c>
      <c r="D451" s="3" t="n">
        <v>61600</v>
      </c>
      <c r="E451" s="4" t="n">
        <v>0</v>
      </c>
      <c r="F451" t="inlineStr">
        <is>
          <t>Прямые бронирования (стойка) [Чайковский]</t>
        </is>
      </c>
      <c r="G451" s="3">
        <f>ROUND(D451/(100-E451)*100,2)</f>
        <v/>
      </c>
      <c r="H451" s="3" t="n">
        <v>0</v>
      </c>
      <c r="I451" s="3">
        <f>ROUND(IF(ISNUMBER(AG451),AG451,G451)+H451,2)</f>
        <v/>
      </c>
      <c r="J451" s="2" t="inlineStr"/>
      <c r="K451" s="5" t="n">
        <v>46200.58333333334</v>
      </c>
      <c r="L451" t="n">
        <v>4</v>
      </c>
      <c r="M451" s="3">
        <f>I451/L451</f>
        <v/>
      </c>
      <c r="N451">
        <f>IF(M451&gt;=5100,"ставка","мин.ставка")</f>
        <v/>
      </c>
      <c r="O451" s="3">
        <f>ROUND(IF(N451="мин.ставка",L451*100,I451/102*2),2)</f>
        <v/>
      </c>
      <c r="P451" s="5" t="n">
        <v>46208.5</v>
      </c>
      <c r="Q451" t="inlineStr">
        <is>
          <t>TravelLine ресепшен</t>
        </is>
      </c>
      <c r="R451" s="2" t="inlineStr">
        <is>
          <t>СТАНДАРТНЫЙ ОДНОМЕСТНЫЙ НОМЕР</t>
        </is>
      </c>
      <c r="S451" t="n">
        <v>24</v>
      </c>
      <c r="T451" t="n">
        <v>1</v>
      </c>
      <c r="U451" t="inlineStr"/>
      <c r="V451" t="inlineStr">
        <is>
          <t>Тариф с завтраком</t>
        </is>
      </c>
      <c r="W451" t="n">
        <v>61600</v>
      </c>
      <c r="X451" s="3" t="n">
        <v>0</v>
      </c>
      <c r="Y451" t="inlineStr"/>
      <c r="Z451" t="inlineStr"/>
      <c r="AA451" s="3" t="n">
        <v>61600</v>
      </c>
      <c r="AB451" t="inlineStr">
        <is>
          <t>Сошлось по ночным тарифам</t>
        </is>
      </c>
      <c r="AC451" s="2" t="inlineStr"/>
      <c r="AD451" t="n">
        <v>0</v>
      </c>
      <c r="AE451" t="n">
        <v>0</v>
      </c>
      <c r="AF451" t="inlineStr">
        <is>
          <t>Скидки нет</t>
        </is>
      </c>
      <c r="AG451" t="n">
        <v>30800</v>
      </c>
      <c r="AH451" t="n">
        <v>30800</v>
      </c>
      <c r="AI451" t="inlineStr">
        <is>
          <t>Частичное проживание распределено по dailyRates</t>
        </is>
      </c>
    </row>
    <row r="452">
      <c r="A452" t="inlineStr">
        <is>
          <t>20260710-8186-443713905</t>
        </is>
      </c>
      <c r="B452" t="n">
        <v>1</v>
      </c>
      <c r="C452" s="2" t="inlineStr">
        <is>
          <t>Елена Веретенина</t>
        </is>
      </c>
      <c r="D452" s="3" t="n">
        <v>38261.3</v>
      </c>
      <c r="E452" s="4" t="n">
        <v>4</v>
      </c>
      <c r="F452" t="inlineStr">
        <is>
          <t>TravelLine Booking Engine [Чайковский]</t>
        </is>
      </c>
      <c r="G452" s="3">
        <f>ROUND(D452/(100-E452)*100,2)</f>
        <v/>
      </c>
      <c r="H452" s="3" t="n">
        <v>0</v>
      </c>
      <c r="I452" s="3">
        <f>ROUND(IF(ISNUMBER(AG452),AG452,G452)+H452,2)</f>
        <v/>
      </c>
      <c r="J452" s="2" t="inlineStr">
        <is>
          <t>Завтрак "Шведский стол"</t>
        </is>
      </c>
      <c r="K452" s="5" t="n">
        <v>46213.58333333334</v>
      </c>
      <c r="L452" t="n">
        <v>5</v>
      </c>
      <c r="M452" s="3">
        <f>I452/L452</f>
        <v/>
      </c>
      <c r="N452">
        <f>IF(M452&gt;=5100,"ставка","мин.ставка")</f>
        <v/>
      </c>
      <c r="O452" s="3">
        <f>ROUND(IF(N452="мин.ставка",L452*100,I452/102*2),2)</f>
        <v/>
      </c>
      <c r="P452" s="5" t="n">
        <v>46218.5</v>
      </c>
      <c r="Q452" t="inlineStr">
        <is>
          <t>TravelLine сайт</t>
        </is>
      </c>
      <c r="R452" s="2" t="inlineStr">
        <is>
          <t>СТАНДАРТНЫЙ ОДНОМЕСТНЫЙ НОМЕР</t>
        </is>
      </c>
      <c r="S452" t="n">
        <v>24</v>
      </c>
      <c r="T452" t="n">
        <v>1</v>
      </c>
      <c r="U452" t="inlineStr"/>
      <c r="V452" t="inlineStr">
        <is>
          <t>Тариф с завтраком</t>
        </is>
      </c>
      <c r="W452" t="n">
        <v>38261.3</v>
      </c>
      <c r="X452" s="3" t="n">
        <v>238.7</v>
      </c>
      <c r="Y452" t="inlineStr">
        <is>
          <t>3.1%</t>
        </is>
      </c>
      <c r="Z452" t="inlineStr">
        <is>
          <t>2026-07-10</t>
        </is>
      </c>
      <c r="AA452" s="3" t="n">
        <v>38261.3</v>
      </c>
      <c r="AB452" t="inlineStr">
        <is>
          <t>Сошлось по ночным тарифам</t>
        </is>
      </c>
      <c r="AC452" s="2" t="inlineStr"/>
      <c r="AD452" t="n">
        <v>238.7</v>
      </c>
      <c r="AE452" t="n">
        <v>0</v>
      </c>
      <c r="AF452" t="inlineStr">
        <is>
          <t>Скидка добавлена к налоговой базе</t>
        </is>
      </c>
      <c r="AG452" t="n">
        <v>38500</v>
      </c>
      <c r="AH452" t="n">
        <v>38261.3</v>
      </c>
      <c r="AI452" t="inlineStr">
        <is>
          <t>Полное проживание в выбранном периоде</t>
        </is>
      </c>
    </row>
    <row r="453">
      <c r="A453" t="inlineStr">
        <is>
          <t>20260819-8186-409104448</t>
        </is>
      </c>
      <c r="B453" t="n">
        <v>1</v>
      </c>
      <c r="C453" s="2" t="inlineStr">
        <is>
          <t>Елена Гончарова, Варвара Гонсарова</t>
        </is>
      </c>
      <c r="D453" s="3" t="n">
        <v>24354</v>
      </c>
      <c r="E453" s="4" t="n">
        <v>18</v>
      </c>
      <c r="F453" t="inlineStr">
        <is>
          <t>Яндекс.Путешествия [Чайковский]</t>
        </is>
      </c>
      <c r="G453" s="3">
        <f>ROUND(D453/(100-E453)*100,2)</f>
        <v/>
      </c>
      <c r="H453" s="3" t="n">
        <v>0</v>
      </c>
      <c r="I453" s="3">
        <f>ROUND(IF(ISNUMBER(AG453),AG453,G453)+H453,2)</f>
        <v/>
      </c>
      <c r="J453" s="2" t="inlineStr">
        <is>
          <t>Завтрак "Шведский стол"</t>
        </is>
      </c>
      <c r="K453" s="5" t="n">
        <v>46253.58333333334</v>
      </c>
      <c r="L453" t="n">
        <v>3</v>
      </c>
      <c r="M453" s="3">
        <f>I453/L453</f>
        <v/>
      </c>
      <c r="N453">
        <f>IF(M453&gt;=5100,"ставка","мин.ставка")</f>
        <v/>
      </c>
      <c r="O453" s="3">
        <f>ROUND(IF(N453="мин.ставка",L453*100,I453/102*2),2)</f>
        <v/>
      </c>
      <c r="P453" s="5" t="n">
        <v>46256.58333333334</v>
      </c>
      <c r="Q453" t="inlineStr">
        <is>
          <t>TravelLine YAX</t>
        </is>
      </c>
      <c r="R453" s="2" t="inlineStr">
        <is>
          <t>СТАНДАРТНЫЙ ДВУХМЕСТНЫЙ НОМЕР (МАНСАРДА)</t>
        </is>
      </c>
      <c r="S453" t="n">
        <v>45</v>
      </c>
      <c r="T453" t="n">
        <v>1</v>
      </c>
      <c r="U453" t="inlineStr"/>
      <c r="V453" t="inlineStr">
        <is>
          <t>Тариф с завтраком</t>
        </is>
      </c>
      <c r="W453" t="n">
        <v>32472</v>
      </c>
      <c r="X453" s="3" t="n">
        <v>5346</v>
      </c>
      <c r="Y453" t="inlineStr">
        <is>
          <t>18%</t>
        </is>
      </c>
      <c r="Z453" t="inlineStr">
        <is>
          <t>2026-08-19, 2026-08-20, 2026-08-21</t>
        </is>
      </c>
      <c r="AA453" s="3" t="n">
        <v>24354</v>
      </c>
      <c r="AB453" t="inlineStr">
        <is>
          <t>Сошлось по ночным тарифам</t>
        </is>
      </c>
      <c r="AC453" s="2" t="inlineStr"/>
      <c r="AD453" t="n">
        <v>5346</v>
      </c>
      <c r="AE453" t="n">
        <v>0</v>
      </c>
      <c r="AF453" t="inlineStr">
        <is>
          <t>Скидка добавлена к налоговой базе</t>
        </is>
      </c>
      <c r="AG453" t="n">
        <v>29700</v>
      </c>
      <c r="AH453" t="n">
        <v>24354</v>
      </c>
      <c r="AI453" t="inlineStr">
        <is>
          <t>Полное проживание в выбранном периоде</t>
        </is>
      </c>
    </row>
    <row r="454">
      <c r="A454" t="inlineStr">
        <is>
          <t>20260819-8186-409104448</t>
        </is>
      </c>
      <c r="B454" t="n">
        <v>1</v>
      </c>
      <c r="C454" s="2" t="inlineStr">
        <is>
          <t>Елена Гончарова, Варвара Гонсарова</t>
        </is>
      </c>
      <c r="D454" s="3" t="n">
        <v>8118</v>
      </c>
      <c r="E454" s="4" t="n">
        <v>18</v>
      </c>
      <c r="F454" t="inlineStr">
        <is>
          <t>Яндекс.Путешествия [Чайковский]</t>
        </is>
      </c>
      <c r="G454" s="3">
        <f>ROUND(D454/(100-E454)*100,2)</f>
        <v/>
      </c>
      <c r="H454" s="3" t="n">
        <v>0</v>
      </c>
      <c r="I454" s="3">
        <f>ROUND(IF(ISNUMBER(AG454),AG454,G454)+H454,2)</f>
        <v/>
      </c>
      <c r="J454" s="2" t="inlineStr">
        <is>
          <t>Завтрак "Шведский стол"</t>
        </is>
      </c>
      <c r="K454" s="5" t="n">
        <v>46256.58333333334</v>
      </c>
      <c r="L454" t="n">
        <v>1</v>
      </c>
      <c r="M454" s="3">
        <f>I454/L454</f>
        <v/>
      </c>
      <c r="N454">
        <f>IF(M454&gt;=5100,"ставка","мин.ставка")</f>
        <v/>
      </c>
      <c r="O454" s="3">
        <f>ROUND(IF(N454="мин.ставка",L454*100,I454/102*2),2)</f>
        <v/>
      </c>
      <c r="P454" s="5" t="n">
        <v>46257.5</v>
      </c>
      <c r="Q454" t="inlineStr">
        <is>
          <t>TravelLine YAX</t>
        </is>
      </c>
      <c r="R454" s="2" t="inlineStr">
        <is>
          <t>СТАНДАРТНЫЙ ДВУХМЕСТНЫЙ НОМЕР (МАНСАРДА)</t>
        </is>
      </c>
      <c r="S454" t="n">
        <v>41</v>
      </c>
      <c r="T454" t="n">
        <v>1</v>
      </c>
      <c r="U454" t="inlineStr"/>
      <c r="V454" t="inlineStr">
        <is>
          <t>Тариф с завтраком</t>
        </is>
      </c>
      <c r="W454" t="n">
        <v>32472</v>
      </c>
      <c r="X454" s="3" t="n">
        <v>1782</v>
      </c>
      <c r="Y454" t="inlineStr">
        <is>
          <t>18%</t>
        </is>
      </c>
      <c r="Z454" t="inlineStr">
        <is>
          <t>2026-08-22</t>
        </is>
      </c>
      <c r="AA454" s="3" t="n">
        <v>8118</v>
      </c>
      <c r="AB454" t="inlineStr">
        <is>
          <t>Сошлось по ночным тарифам</t>
        </is>
      </c>
      <c r="AC454" s="2" t="inlineStr"/>
      <c r="AD454" t="n">
        <v>1782</v>
      </c>
      <c r="AE454" t="n">
        <v>0</v>
      </c>
      <c r="AF454" t="inlineStr">
        <is>
          <t>Скидка добавлена к налоговой базе</t>
        </is>
      </c>
      <c r="AG454" t="n">
        <v>9900</v>
      </c>
      <c r="AH454" t="n">
        <v>8118</v>
      </c>
      <c r="AI454" t="inlineStr">
        <is>
          <t>Полное проживание в выбранном периоде</t>
        </is>
      </c>
    </row>
    <row r="455">
      <c r="A455" t="inlineStr">
        <is>
          <t>20260711-8186-428820979</t>
        </is>
      </c>
      <c r="B455" t="n">
        <v>1</v>
      </c>
      <c r="C455" s="2" t="inlineStr">
        <is>
          <t>Елена Губарева, Любовь Балинова</t>
        </is>
      </c>
      <c r="D455" s="3" t="n">
        <v>10680</v>
      </c>
      <c r="E455" s="4" t="n">
        <v>18</v>
      </c>
      <c r="F455" t="inlineStr">
        <is>
          <t>Яндекс.Путешествия [Чайковский]</t>
        </is>
      </c>
      <c r="G455" s="3">
        <f>ROUND(D455/(100-E455)*100,2)</f>
        <v/>
      </c>
      <c r="H455" s="3" t="n">
        <v>0</v>
      </c>
      <c r="I455" s="3">
        <f>ROUND(IF(ISNUMBER(AG455),AG455,G455)+H455,2)</f>
        <v/>
      </c>
      <c r="J455" s="2" t="inlineStr">
        <is>
          <t>Завтрак "Шведский стол"</t>
        </is>
      </c>
      <c r="K455" s="5" t="n">
        <v>46214.58333333334</v>
      </c>
      <c r="L455" t="n">
        <v>1</v>
      </c>
      <c r="M455" s="3">
        <f>I455/L455</f>
        <v/>
      </c>
      <c r="N455">
        <f>IF(M455&gt;=5100,"ставка","мин.ставка")</f>
        <v/>
      </c>
      <c r="O455" s="3">
        <f>ROUND(IF(N455="мин.ставка",L455*100,I455/102*2),2)</f>
        <v/>
      </c>
      <c r="P455" s="5" t="n">
        <v>46215.5</v>
      </c>
      <c r="Q455" t="inlineStr">
        <is>
          <t>TravelLine YAX</t>
        </is>
      </c>
      <c r="R455" s="2" t="inlineStr">
        <is>
          <t>СТАНДАРТНЫЙ ДВУХМЕСТНЫЙ НОМЕР</t>
        </is>
      </c>
      <c r="S455" t="n">
        <v>33</v>
      </c>
      <c r="T455" t="n">
        <v>1</v>
      </c>
      <c r="U455" t="inlineStr"/>
      <c r="V455" t="inlineStr">
        <is>
          <t>Тариф с завтраком</t>
        </is>
      </c>
      <c r="W455" t="n">
        <v>10680</v>
      </c>
      <c r="X455" s="3" t="n">
        <v>2670</v>
      </c>
      <c r="Y455" t="inlineStr">
        <is>
          <t>20%</t>
        </is>
      </c>
      <c r="Z455" t="inlineStr">
        <is>
          <t>2026-07-11</t>
        </is>
      </c>
      <c r="AA455" s="3" t="n">
        <v>10680</v>
      </c>
      <c r="AB455" t="inlineStr">
        <is>
          <t>Сошлось по ночным тарифам</t>
        </is>
      </c>
      <c r="AC455" s="2" t="inlineStr"/>
      <c r="AD455" t="n">
        <v>2670</v>
      </c>
      <c r="AE455" t="n">
        <v>0</v>
      </c>
      <c r="AF455" t="inlineStr">
        <is>
          <t>Скидка добавлена к налоговой базе</t>
        </is>
      </c>
      <c r="AG455" t="n">
        <v>13350</v>
      </c>
      <c r="AH455" t="n">
        <v>10680</v>
      </c>
      <c r="AI455" t="inlineStr">
        <is>
          <t>Полное проживание в выбранном периоде</t>
        </is>
      </c>
    </row>
    <row r="456">
      <c r="A456" t="inlineStr">
        <is>
          <t>20260912-8186-460335116</t>
        </is>
      </c>
      <c r="B456" t="n">
        <v>1</v>
      </c>
      <c r="C456" s="2" t="inlineStr">
        <is>
          <t>Елена Денисова, Марина Сергиенко</t>
        </is>
      </c>
      <c r="D456" s="3" t="n">
        <v>10680</v>
      </c>
      <c r="E456" s="4" t="n">
        <v>18</v>
      </c>
      <c r="F456" t="inlineStr">
        <is>
          <t>Яндекс.Путешествия [Чайковский]</t>
        </is>
      </c>
      <c r="G456" s="3">
        <f>ROUND(D456/(100-E456)*100,2)</f>
        <v/>
      </c>
      <c r="H456" s="3" t="n">
        <v>2050</v>
      </c>
      <c r="I456" s="3">
        <f>ROUND(IF(ISNUMBER(AG456),AG456,G456)+H456,2)</f>
        <v/>
      </c>
      <c r="J456" s="2" t="inlineStr">
        <is>
          <t>продление номера — 2 050,00 ₽; Завтрак "Шведский стол"</t>
        </is>
      </c>
      <c r="K456" s="5" t="n">
        <v>46277.58333333334</v>
      </c>
      <c r="L456" t="n">
        <v>1</v>
      </c>
      <c r="M456" s="3">
        <f>I456/L456</f>
        <v/>
      </c>
      <c r="N456">
        <f>IF(M456&gt;=5100,"ставка","мин.ставка")</f>
        <v/>
      </c>
      <c r="O456" s="3">
        <f>ROUND(IF(N456="мин.ставка",L456*100,I456/102*2),2)</f>
        <v/>
      </c>
      <c r="P456" s="5" t="n">
        <v>46278.5</v>
      </c>
      <c r="Q456" t="inlineStr">
        <is>
          <t>TravelLine YAX</t>
        </is>
      </c>
      <c r="R456" s="2" t="inlineStr">
        <is>
          <t>УЛУЧШЕННЫЙ ДВУХМЕСТНЫЙ НОМЕР</t>
        </is>
      </c>
      <c r="S456" t="n">
        <v>56</v>
      </c>
      <c r="T456" t="n">
        <v>2</v>
      </c>
      <c r="U456" t="inlineStr"/>
      <c r="V456" t="inlineStr">
        <is>
          <t>Тариф с завтраком</t>
        </is>
      </c>
      <c r="W456" t="n">
        <v>12730</v>
      </c>
      <c r="X456" s="3" t="n">
        <v>2670</v>
      </c>
      <c r="Y456" t="inlineStr">
        <is>
          <t>20%</t>
        </is>
      </c>
      <c r="Z456" t="inlineStr">
        <is>
          <t>2026-09-12</t>
        </is>
      </c>
      <c r="AA456" s="3" t="n">
        <v>10680</v>
      </c>
      <c r="AB456" t="inlineStr">
        <is>
          <t>Сошлось с услугами</t>
        </is>
      </c>
      <c r="AC456" s="2" t="inlineStr"/>
      <c r="AD456" t="n">
        <v>2670</v>
      </c>
      <c r="AE456" t="n">
        <v>0</v>
      </c>
      <c r="AF456" t="inlineStr">
        <is>
          <t>Скидка добавлена к налоговой базе</t>
        </is>
      </c>
      <c r="AG456" t="n">
        <v>13350</v>
      </c>
      <c r="AH456" t="n">
        <v>10680</v>
      </c>
      <c r="AI456" t="inlineStr">
        <is>
          <t>Полное проживание в выбранном периоде</t>
        </is>
      </c>
    </row>
    <row r="457">
      <c r="A457" t="inlineStr">
        <is>
          <t>20260830-8186-461554904</t>
        </is>
      </c>
      <c r="B457" t="n">
        <v>1</v>
      </c>
      <c r="C457" s="2" t="inlineStr">
        <is>
          <t>Елена Додонова</t>
        </is>
      </c>
      <c r="D457" s="3" t="n">
        <v>12640</v>
      </c>
      <c r="E457" s="4" t="n">
        <v>20</v>
      </c>
      <c r="F457" t="inlineStr">
        <is>
          <t>ООО "КОМПАНИЯ БРОНЕВИК" [Чайковский]</t>
        </is>
      </c>
      <c r="G457" s="3">
        <f>ROUND(D457/(100-E457)*100,2)</f>
        <v/>
      </c>
      <c r="H457" s="3" t="n">
        <v>0</v>
      </c>
      <c r="I457" s="3">
        <f>ROUND(IF(ISNUMBER(AG457),AG457,G457)+H457,2)</f>
        <v/>
      </c>
      <c r="J457" s="2" t="inlineStr">
        <is>
          <t>Завтрак "Шведский стол"</t>
        </is>
      </c>
      <c r="K457" s="5" t="n">
        <v>46264.58333333334</v>
      </c>
      <c r="L457" t="n">
        <v>2</v>
      </c>
      <c r="M457" s="3">
        <f>I457/L457</f>
        <v/>
      </c>
      <c r="N457">
        <f>IF(M457&gt;=5100,"ставка","мин.ставка")</f>
        <v/>
      </c>
      <c r="O457" s="3">
        <f>ROUND(IF(N457="мин.ставка",L457*100,I457/102*2),2)</f>
        <v/>
      </c>
      <c r="P457" s="5" t="n">
        <v>46266.5</v>
      </c>
      <c r="Q457" t="inlineStr">
        <is>
          <t>TravelLine BR2</t>
        </is>
      </c>
      <c r="R457" s="2" t="inlineStr">
        <is>
          <t>СТАНДАРТНЫЙ ДВУХМЕСТНЫЙ НОМЕР</t>
        </is>
      </c>
      <c r="S457" t="n">
        <v>58</v>
      </c>
      <c r="T457" t="n">
        <v>2</v>
      </c>
      <c r="U457" t="inlineStr"/>
      <c r="V457" t="inlineStr">
        <is>
          <t>Тариф с завтраком</t>
        </is>
      </c>
      <c r="W457" t="n">
        <v>12640</v>
      </c>
      <c r="X457" s="3" t="n">
        <v>0</v>
      </c>
      <c r="Y457" t="inlineStr"/>
      <c r="Z457" t="inlineStr"/>
      <c r="AA457" s="3" t="n">
        <v>12640</v>
      </c>
      <c r="AB457" t="inlineStr">
        <is>
          <t>Сошлось по ночным тарифам</t>
        </is>
      </c>
      <c r="AC457" s="2" t="inlineStr"/>
      <c r="AD457" t="n">
        <v>0</v>
      </c>
      <c r="AE457" t="n">
        <v>0</v>
      </c>
      <c r="AF457" t="inlineStr">
        <is>
          <t>Скидки нет</t>
        </is>
      </c>
      <c r="AG457" t="n">
        <v>12640</v>
      </c>
      <c r="AH457" t="n">
        <v>12640</v>
      </c>
      <c r="AI457" t="inlineStr">
        <is>
          <t>Полное проживание в выбранном периоде</t>
        </is>
      </c>
    </row>
    <row r="458">
      <c r="A458" t="inlineStr">
        <is>
          <t>20260806-8186-450640950</t>
        </is>
      </c>
      <c r="B458" t="n">
        <v>1</v>
      </c>
      <c r="C458" s="2" t="inlineStr">
        <is>
          <t>ЕЛЕНА ЖУЧКОВА</t>
        </is>
      </c>
      <c r="D458" s="3" t="n">
        <v>28942.5</v>
      </c>
      <c r="E458" s="4" t="n">
        <v>15</v>
      </c>
      <c r="F458" t="inlineStr">
        <is>
          <t>ООО «12Т» (ранее ONE TWO TRIP) [Чайковский]</t>
        </is>
      </c>
      <c r="G458" s="3">
        <f>ROUND(D458/(100-E458)*100,2)</f>
        <v/>
      </c>
      <c r="H458" s="3" t="n">
        <v>0</v>
      </c>
      <c r="I458" s="3">
        <f>ROUND(IF(ISNUMBER(AG458),AG458,G458)+H458,2)</f>
        <v/>
      </c>
      <c r="J458" s="2" t="inlineStr">
        <is>
          <t>Завтрак "Шведский стол"</t>
        </is>
      </c>
      <c r="K458" s="5" t="n">
        <v>46240.58333333334</v>
      </c>
      <c r="L458" t="n">
        <v>3</v>
      </c>
      <c r="M458" s="3">
        <f>I458/L458</f>
        <v/>
      </c>
      <c r="N458">
        <f>IF(M458&gt;=5100,"ставка","мин.ставка")</f>
        <v/>
      </c>
      <c r="O458" s="3">
        <f>ROUND(IF(N458="мин.ставка",L458*100,I458/102*2),2)</f>
        <v/>
      </c>
      <c r="P458" s="5" t="n">
        <v>46243.5</v>
      </c>
      <c r="Q458" t="inlineStr">
        <is>
          <t>TravelLine OTT</t>
        </is>
      </c>
      <c r="R458" s="2" t="inlineStr">
        <is>
          <t>СТАНДАРТНЫЙ ДВУХМЕСТНЫЙ НОМЕР</t>
        </is>
      </c>
      <c r="S458" t="n">
        <v>46</v>
      </c>
      <c r="T458" t="n">
        <v>1</v>
      </c>
      <c r="U458" t="inlineStr"/>
      <c r="V458" t="inlineStr">
        <is>
          <t>Тариф с завтраком</t>
        </is>
      </c>
      <c r="W458" t="n">
        <v>86827.5</v>
      </c>
      <c r="X458" s="3" t="n">
        <v>5107.5</v>
      </c>
      <c r="Y458" t="inlineStr">
        <is>
          <t>15%</t>
        </is>
      </c>
      <c r="Z458" t="inlineStr">
        <is>
          <t>2026-08-06, 2026-08-07, 2026-08-08</t>
        </is>
      </c>
      <c r="AA458" s="3" t="n">
        <v>28942.5</v>
      </c>
      <c r="AB458" t="inlineStr">
        <is>
          <t>Сошлось по ночным тарифам</t>
        </is>
      </c>
      <c r="AC458" s="2" t="inlineStr"/>
      <c r="AD458" t="n">
        <v>5107.5</v>
      </c>
      <c r="AE458" t="n">
        <v>0</v>
      </c>
      <c r="AF458" t="inlineStr">
        <is>
          <t>Скидка добавлена к налоговой базе</t>
        </is>
      </c>
      <c r="AG458" t="n">
        <v>34050</v>
      </c>
      <c r="AH458" t="n">
        <v>28942.5</v>
      </c>
      <c r="AI458" t="inlineStr">
        <is>
          <t>Полное проживание в выбранном периоде</t>
        </is>
      </c>
    </row>
    <row r="459">
      <c r="A459" t="inlineStr">
        <is>
          <t>20260916-8186-460139143</t>
        </is>
      </c>
      <c r="B459" t="n">
        <v>1</v>
      </c>
      <c r="C459" s="2" t="inlineStr">
        <is>
          <t>ЕЛЕНА ЗАДНЕПРОВСКАЯ</t>
        </is>
      </c>
      <c r="D459" s="3" t="n">
        <v>9080</v>
      </c>
      <c r="E459" s="4" t="n">
        <v>20</v>
      </c>
      <c r="F459" t="inlineStr">
        <is>
          <t>ООО "ХБ-ПРО" [Чайковский]</t>
        </is>
      </c>
      <c r="G459" s="3">
        <f>ROUND(D459/(100-E459)*100,2)</f>
        <v/>
      </c>
      <c r="H459" s="3" t="n">
        <v>0</v>
      </c>
      <c r="I459" s="3">
        <f>ROUND(IF(ISNUMBER(AG459),AG459,G459)+H459,2)</f>
        <v/>
      </c>
      <c r="J459" s="2" t="inlineStr">
        <is>
          <t>Завтрак "Шведский стол"</t>
        </is>
      </c>
      <c r="K459" s="5" t="n">
        <v>46281.58333333334</v>
      </c>
      <c r="L459" t="n">
        <v>1</v>
      </c>
      <c r="M459" s="3">
        <f>I459/L459</f>
        <v/>
      </c>
      <c r="N459">
        <f>IF(M459&gt;=5100,"ставка","мин.ставка")</f>
        <v/>
      </c>
      <c r="O459" s="3">
        <f>ROUND(IF(N459="мин.ставка",L459*100,I459/102*2),2)</f>
        <v/>
      </c>
      <c r="P459" s="5" t="n">
        <v>46282.5</v>
      </c>
      <c r="Q459" t="inlineStr">
        <is>
          <t>TravelLine UTS</t>
        </is>
      </c>
      <c r="R459" s="2" t="inlineStr">
        <is>
          <t>СТАНДАРТНЫЙ ДВУХМЕСТНЫЙ НОМЕР</t>
        </is>
      </c>
      <c r="S459" t="n">
        <v>42</v>
      </c>
      <c r="T459" t="n">
        <v>1</v>
      </c>
      <c r="U459" t="inlineStr"/>
      <c r="V459" t="inlineStr">
        <is>
          <t>Тариф с завтраком</t>
        </is>
      </c>
      <c r="W459" t="n">
        <v>9080</v>
      </c>
      <c r="X459" s="3" t="n">
        <v>0</v>
      </c>
      <c r="Y459" t="inlineStr"/>
      <c r="Z459" t="inlineStr"/>
      <c r="AA459" s="3" t="n">
        <v>9080</v>
      </c>
      <c r="AB459" t="inlineStr">
        <is>
          <t>Сошлось по ночным тарифам</t>
        </is>
      </c>
      <c r="AC459" s="2" t="inlineStr"/>
      <c r="AD459" t="n">
        <v>0</v>
      </c>
      <c r="AE459" t="n">
        <v>0</v>
      </c>
      <c r="AF459" t="inlineStr">
        <is>
          <t>Скидки нет</t>
        </is>
      </c>
      <c r="AG459" t="n">
        <v>9080</v>
      </c>
      <c r="AH459" t="n">
        <v>9080</v>
      </c>
      <c r="AI459" t="inlineStr">
        <is>
          <t>Полное проживание в выбранном периоде</t>
        </is>
      </c>
    </row>
    <row r="460">
      <c r="A460" t="inlineStr">
        <is>
          <t>20260908-8186-461882753</t>
        </is>
      </c>
      <c r="B460" t="n">
        <v>1</v>
      </c>
      <c r="C460" s="2" t="inlineStr">
        <is>
          <t>Елена Иготти, АНТОН БОРИСЕНКО</t>
        </is>
      </c>
      <c r="D460" s="3" t="n">
        <v>57782.5</v>
      </c>
      <c r="E460" s="4" t="n">
        <v>4</v>
      </c>
      <c r="F460" t="inlineStr">
        <is>
          <t>TravelLine Booking Engine [Чайковский]</t>
        </is>
      </c>
      <c r="G460" s="3">
        <f>ROUND(D460/(100-E460)*100,2)</f>
        <v/>
      </c>
      <c r="H460" s="3" t="n">
        <v>0</v>
      </c>
      <c r="I460" s="3">
        <f>ROUND(IF(ISNUMBER(AG460),AG460,G460)+H460,2)</f>
        <v/>
      </c>
      <c r="J460" s="2" t="inlineStr"/>
      <c r="K460" s="5" t="n">
        <v>46273.83333333334</v>
      </c>
      <c r="L460" t="n">
        <v>4</v>
      </c>
      <c r="M460" s="3">
        <f>I460/L460</f>
        <v/>
      </c>
      <c r="N460">
        <f>IF(M460&gt;=5100,"ставка","мин.ставка")</f>
        <v/>
      </c>
      <c r="O460" s="3">
        <f>ROUND(IF(N460="мин.ставка",L460*100,I460/102*2),2)</f>
        <v/>
      </c>
      <c r="P460" s="5" t="n">
        <v>46277.5</v>
      </c>
      <c r="Q460" t="inlineStr">
        <is>
          <t>TravelLine сайт</t>
        </is>
      </c>
      <c r="R460" s="2" t="inlineStr">
        <is>
          <t>ЛЮКС ВТОРОЙ КОРПУС</t>
        </is>
      </c>
      <c r="S460" t="n">
        <v>53</v>
      </c>
      <c r="T460" t="n">
        <v>2</v>
      </c>
      <c r="U460" t="inlineStr"/>
      <c r="V460" t="inlineStr">
        <is>
          <t>Основной тариф без завтрака</t>
        </is>
      </c>
      <c r="W460" t="n">
        <v>57782.5</v>
      </c>
      <c r="X460" s="3" t="n">
        <v>217.5</v>
      </c>
      <c r="Y460" t="inlineStr">
        <is>
          <t>1.5%</t>
        </is>
      </c>
      <c r="Z460" t="inlineStr">
        <is>
          <t>2026-09-08</t>
        </is>
      </c>
      <c r="AA460" s="3" t="n">
        <v>57782.5</v>
      </c>
      <c r="AB460" t="inlineStr">
        <is>
          <t>Сошлось по ночным тарифам</t>
        </is>
      </c>
      <c r="AC460" s="2" t="inlineStr"/>
      <c r="AD460" t="n">
        <v>217.5</v>
      </c>
      <c r="AE460" t="n">
        <v>0</v>
      </c>
      <c r="AF460" t="inlineStr">
        <is>
          <t>Скидка добавлена к налоговой базе</t>
        </is>
      </c>
      <c r="AG460" t="n">
        <v>58000</v>
      </c>
      <c r="AH460" t="n">
        <v>57782.5</v>
      </c>
      <c r="AI460" t="inlineStr">
        <is>
          <t>Полное проживание в выбранном периоде</t>
        </is>
      </c>
    </row>
    <row r="461">
      <c r="A461" t="inlineStr">
        <is>
          <t>20260717-8186-428675584</t>
        </is>
      </c>
      <c r="B461" t="n">
        <v>1</v>
      </c>
      <c r="C461" s="2" t="inlineStr">
        <is>
          <t>Елена Казаченко, Вера Казаченко</t>
        </is>
      </c>
      <c r="D461" s="3" t="n">
        <v>36960</v>
      </c>
      <c r="E461" s="4" t="n">
        <v>18</v>
      </c>
      <c r="F461" t="inlineStr">
        <is>
          <t>Яндекс.Путешествия [Чайковский]</t>
        </is>
      </c>
      <c r="G461" s="3">
        <f>ROUND(D461/(100-E461)*100,2)</f>
        <v/>
      </c>
      <c r="H461" s="3" t="n">
        <v>0</v>
      </c>
      <c r="I461" s="3">
        <f>ROUND(IF(ISNUMBER(AG461),AG461,G461)+H461,2)</f>
        <v/>
      </c>
      <c r="J461" s="2" t="inlineStr">
        <is>
          <t>Завтрак "Шведский стол"</t>
        </is>
      </c>
      <c r="K461" s="5" t="n">
        <v>46220.58333333334</v>
      </c>
      <c r="L461" t="n">
        <v>3</v>
      </c>
      <c r="M461" s="3">
        <f>I461/L461</f>
        <v/>
      </c>
      <c r="N461">
        <f>IF(M461&gt;=5100,"ставка","мин.ставка")</f>
        <v/>
      </c>
      <c r="O461" s="3">
        <f>ROUND(IF(N461="мин.ставка",L461*100,I461/102*2),2)</f>
        <v/>
      </c>
      <c r="P461" s="5" t="n">
        <v>46223.5</v>
      </c>
      <c r="Q461" t="inlineStr">
        <is>
          <t>TravelLine YAX</t>
        </is>
      </c>
      <c r="R461" s="2" t="inlineStr">
        <is>
          <t>УЛУЧШЕННЫЙ ДВУХМЕСТНЫЙ НОМЕР</t>
        </is>
      </c>
      <c r="S461" t="n">
        <v>59</v>
      </c>
      <c r="T461" t="n">
        <v>2</v>
      </c>
      <c r="U461" t="inlineStr"/>
      <c r="V461" t="inlineStr">
        <is>
          <t>Тариф с завтраком</t>
        </is>
      </c>
      <c r="W461" t="n">
        <v>36960</v>
      </c>
      <c r="X461" s="3" t="n">
        <v>9240</v>
      </c>
      <c r="Y461" t="inlineStr">
        <is>
          <t>20%</t>
        </is>
      </c>
      <c r="Z461" t="inlineStr">
        <is>
          <t>2026-07-17, 2026-07-18, 2026-07-19</t>
        </is>
      </c>
      <c r="AA461" s="3" t="n">
        <v>36960</v>
      </c>
      <c r="AB461" t="inlineStr">
        <is>
          <t>Сошлось по ночным тарифам</t>
        </is>
      </c>
      <c r="AC461" s="2" t="inlineStr"/>
      <c r="AD461" t="n">
        <v>9240</v>
      </c>
      <c r="AE461" t="n">
        <v>0</v>
      </c>
      <c r="AF461" t="inlineStr">
        <is>
          <t>Скидка добавлена к налоговой базе</t>
        </is>
      </c>
      <c r="AG461" t="n">
        <v>46200</v>
      </c>
      <c r="AH461" t="n">
        <v>36960</v>
      </c>
      <c r="AI461" t="inlineStr">
        <is>
          <t>Полное проживание в выбранном периоде</t>
        </is>
      </c>
    </row>
    <row r="462">
      <c r="A462" t="inlineStr">
        <is>
          <t>20260802-8186-452038545</t>
        </is>
      </c>
      <c r="B462" t="n">
        <v>1</v>
      </c>
      <c r="C462" s="2" t="inlineStr">
        <is>
          <t>Елена Комова, МАРИЯ ДЬЯЧЕНКО</t>
        </is>
      </c>
      <c r="D462" s="3" t="n">
        <v>39600</v>
      </c>
      <c r="E462" s="4" t="n">
        <v>0</v>
      </c>
      <c r="F462" t="inlineStr">
        <is>
          <t>Прямые бронирования (стойка) [Чайковский]</t>
        </is>
      </c>
      <c r="G462" s="3">
        <f>ROUND(D462/(100-E462)*100,2)</f>
        <v/>
      </c>
      <c r="H462" s="3" t="n">
        <v>0</v>
      </c>
      <c r="I462" s="3">
        <f>ROUND(IF(ISNUMBER(AG462),AG462,G462)+H462,2)</f>
        <v/>
      </c>
      <c r="J462" s="2" t="inlineStr">
        <is>
          <t>Завтрак "Шведский стол"</t>
        </is>
      </c>
      <c r="K462" s="5" t="n">
        <v>46236.58333333334</v>
      </c>
      <c r="L462" t="n">
        <v>3</v>
      </c>
      <c r="M462" s="3">
        <f>I462/L462</f>
        <v/>
      </c>
      <c r="N462">
        <f>IF(M462&gt;=5100,"ставка","мин.ставка")</f>
        <v/>
      </c>
      <c r="O462" s="3">
        <f>ROUND(IF(N462="мин.ставка",L462*100,I462/102*2),2)</f>
        <v/>
      </c>
      <c r="P462" s="5" t="n">
        <v>46239.5</v>
      </c>
      <c r="Q462" t="inlineStr">
        <is>
          <t>TravelLine ресепшен</t>
        </is>
      </c>
      <c r="R462" s="2" t="inlineStr">
        <is>
          <t>ПОЛУЛЮКС</t>
        </is>
      </c>
      <c r="S462" t="n">
        <v>25</v>
      </c>
      <c r="T462" t="n">
        <v>1</v>
      </c>
      <c r="U462" t="inlineStr"/>
      <c r="V462" t="inlineStr">
        <is>
          <t>Тариф с завтраком</t>
        </is>
      </c>
      <c r="W462" t="n">
        <v>39600</v>
      </c>
      <c r="X462" s="3" t="n">
        <v>9900</v>
      </c>
      <c r="Y462" t="inlineStr">
        <is>
          <t>20%</t>
        </is>
      </c>
      <c r="Z462" t="inlineStr">
        <is>
          <t>2026-08-02, 2026-08-03, 2026-08-04</t>
        </is>
      </c>
      <c r="AA462" s="3" t="n">
        <v>39600</v>
      </c>
      <c r="AB462" t="inlineStr">
        <is>
          <t>Сошлось по ночным тарифам</t>
        </is>
      </c>
      <c r="AC462" s="2" t="inlineStr"/>
      <c r="AD462" t="n">
        <v>9900</v>
      </c>
      <c r="AE462" t="n">
        <v>0</v>
      </c>
      <c r="AF462" t="inlineStr">
        <is>
          <t>Скидка добавлена к налоговой базе</t>
        </is>
      </c>
      <c r="AG462" t="n">
        <v>49500</v>
      </c>
      <c r="AH462" t="n">
        <v>39600</v>
      </c>
      <c r="AI462" t="inlineStr">
        <is>
          <t>Полное проживание в выбранном периоде</t>
        </is>
      </c>
    </row>
    <row r="463">
      <c r="A463" t="inlineStr">
        <is>
          <t>20260922-8186-464443892</t>
        </is>
      </c>
      <c r="B463" t="n">
        <v>1</v>
      </c>
      <c r="C463" s="2" t="inlineStr">
        <is>
          <t>ЕЛЕНА КОРНИЕНКО</t>
        </is>
      </c>
      <c r="D463" s="3" t="n">
        <v>38590</v>
      </c>
      <c r="E463" s="4" t="n">
        <v>15</v>
      </c>
      <c r="F463" t="inlineStr">
        <is>
          <t>ООО «12Т» (ранее ONE TWO TRIP) [Чайковский]</t>
        </is>
      </c>
      <c r="G463" s="3">
        <f>ROUND(D463/(100-E463)*100,2)</f>
        <v/>
      </c>
      <c r="H463" s="3" t="n">
        <v>0</v>
      </c>
      <c r="I463" s="3">
        <f>ROUND(IF(ISNUMBER(AG463),AG463,G463)+H463,2)</f>
        <v/>
      </c>
      <c r="J463" s="2" t="inlineStr">
        <is>
          <t>Завтрак "Шведский стол"</t>
        </is>
      </c>
      <c r="K463" s="5" t="n">
        <v>46287.58333333334</v>
      </c>
      <c r="L463" t="n">
        <v>4</v>
      </c>
      <c r="M463" s="3">
        <f>I463/L463</f>
        <v/>
      </c>
      <c r="N463">
        <f>IF(M463&gt;=5100,"ставка","мин.ставка")</f>
        <v/>
      </c>
      <c r="O463" s="3">
        <f>ROUND(IF(N463="мин.ставка",L463*100,I463/102*2),2)</f>
        <v/>
      </c>
      <c r="P463" s="5" t="n">
        <v>46291.5</v>
      </c>
      <c r="Q463" t="inlineStr">
        <is>
          <t>TravelLine OTT</t>
        </is>
      </c>
      <c r="R463" s="2" t="inlineStr">
        <is>
          <t>СТАНДАРТНЫЙ ДВУХМЕСТНЫЙ НОМЕР</t>
        </is>
      </c>
      <c r="S463" t="n">
        <v>42</v>
      </c>
      <c r="T463" t="n">
        <v>1</v>
      </c>
      <c r="U463" t="inlineStr"/>
      <c r="V463" t="inlineStr">
        <is>
          <t>Тариф с завтраком</t>
        </is>
      </c>
      <c r="W463" t="n">
        <v>38590</v>
      </c>
      <c r="X463" s="3" t="n">
        <v>6810</v>
      </c>
      <c r="Y463" t="inlineStr">
        <is>
          <t>15%</t>
        </is>
      </c>
      <c r="Z463" t="inlineStr">
        <is>
          <t>2026-09-22, 2026-09-23, 2026-09-24, 2026-09-25</t>
        </is>
      </c>
      <c r="AA463" s="3" t="n">
        <v>38590</v>
      </c>
      <c r="AB463" t="inlineStr">
        <is>
          <t>Сошлось по ночным тарифам</t>
        </is>
      </c>
      <c r="AC463" s="2" t="inlineStr"/>
      <c r="AD463" t="n">
        <v>6810</v>
      </c>
      <c r="AE463" t="n">
        <v>0</v>
      </c>
      <c r="AF463" t="inlineStr">
        <is>
          <t>Скидка добавлена к налоговой базе</t>
        </is>
      </c>
      <c r="AG463" t="n">
        <v>45400</v>
      </c>
      <c r="AH463" t="n">
        <v>38590</v>
      </c>
      <c r="AI463" t="inlineStr">
        <is>
          <t>Полное проживание в выбранном периоде</t>
        </is>
      </c>
    </row>
    <row r="464">
      <c r="A464" t="inlineStr">
        <is>
          <t>20260922-8186-444240000</t>
        </is>
      </c>
      <c r="B464" t="n">
        <v>1</v>
      </c>
      <c r="C464" s="2" t="inlineStr">
        <is>
          <t>ЕЛЕНА КОСТРЫКИНА, Альбина Лоншакова</t>
        </is>
      </c>
      <c r="D464" s="3" t="n">
        <v>19493.1</v>
      </c>
      <c r="E464" s="4" t="n">
        <v>4</v>
      </c>
      <c r="F464" t="inlineStr">
        <is>
          <t>TravelLine Booking Engine [Чайковский]</t>
        </is>
      </c>
      <c r="G464" s="3">
        <f>ROUND(D464/(100-E464)*100,2)</f>
        <v/>
      </c>
      <c r="H464" s="3" t="n">
        <v>0</v>
      </c>
      <c r="I464" s="3">
        <f>ROUND(IF(ISNUMBER(AG464),AG464,G464)+H464,2)</f>
        <v/>
      </c>
      <c r="J464" s="2" t="inlineStr">
        <is>
          <t>Завтрак "Шведский стол"</t>
        </is>
      </c>
      <c r="K464" s="5" t="n">
        <v>46287.72916666666</v>
      </c>
      <c r="L464" t="n">
        <v>2</v>
      </c>
      <c r="M464" s="3">
        <f>I464/L464</f>
        <v/>
      </c>
      <c r="N464">
        <f>IF(M464&gt;=5100,"ставка","мин.ставка")</f>
        <v/>
      </c>
      <c r="O464" s="3">
        <f>ROUND(IF(N464="мин.ставка",L464*100,I464/102*2),2)</f>
        <v/>
      </c>
      <c r="P464" s="5" t="n">
        <v>46289.5</v>
      </c>
      <c r="Q464" t="inlineStr">
        <is>
          <t>TravelLine сайт</t>
        </is>
      </c>
      <c r="R464" s="2" t="inlineStr">
        <is>
          <t>СТАНДАРТНЫЙ ДВУХМЕСТНЫЙ НОМЕР (МАНСАРДА)</t>
        </is>
      </c>
      <c r="S464" t="n">
        <v>43</v>
      </c>
      <c r="T464" t="n">
        <v>1</v>
      </c>
      <c r="U464" t="inlineStr"/>
      <c r="V464" t="inlineStr">
        <is>
          <t>Тариф с завтраком</t>
        </is>
      </c>
      <c r="W464" t="n">
        <v>19493.1</v>
      </c>
      <c r="X464" s="3" t="n">
        <v>306.9</v>
      </c>
      <c r="Y464" t="inlineStr">
        <is>
          <t>3.1%</t>
        </is>
      </c>
      <c r="Z464" t="inlineStr">
        <is>
          <t>2026-09-22</t>
        </is>
      </c>
      <c r="AA464" s="3" t="n">
        <v>19493.1</v>
      </c>
      <c r="AB464" t="inlineStr">
        <is>
          <t>Сошлось по ночным тарифам</t>
        </is>
      </c>
      <c r="AC464" s="2" t="inlineStr"/>
      <c r="AD464" t="n">
        <v>306.9</v>
      </c>
      <c r="AE464" t="n">
        <v>0</v>
      </c>
      <c r="AF464" t="inlineStr">
        <is>
          <t>Скидка добавлена к налоговой базе</t>
        </is>
      </c>
      <c r="AG464" t="n">
        <v>19800</v>
      </c>
      <c r="AH464" t="n">
        <v>19493.1</v>
      </c>
      <c r="AI464" t="inlineStr">
        <is>
          <t>Полное проживание в выбранном периоде</t>
        </is>
      </c>
    </row>
    <row r="465">
      <c r="A465" t="inlineStr">
        <is>
          <t>20260913-8186-463968378</t>
        </is>
      </c>
      <c r="B465" t="n">
        <v>1</v>
      </c>
      <c r="C465" s="2" t="inlineStr">
        <is>
          <t>Елена Котова, Сергей Котов</t>
        </is>
      </c>
      <c r="D465" s="3" t="n">
        <v>14025</v>
      </c>
      <c r="E465" s="4" t="n">
        <v>15</v>
      </c>
      <c r="F465" t="inlineStr">
        <is>
          <t>ООО Тинькофф Путешествия [Чайковский]</t>
        </is>
      </c>
      <c r="G465" s="3">
        <f>ROUND(D465/(100-E465)*100,2)</f>
        <v/>
      </c>
      <c r="H465" s="3" t="n">
        <v>0</v>
      </c>
      <c r="I465" s="3">
        <f>ROUND(IF(ISNUMBER(AG465),AG465,G465)+H465,2)</f>
        <v/>
      </c>
      <c r="J465" s="2" t="inlineStr">
        <is>
          <t>Завтрак "Шведский стол"</t>
        </is>
      </c>
      <c r="K465" s="5" t="n">
        <v>46278.66666666666</v>
      </c>
      <c r="L465" t="n">
        <v>1</v>
      </c>
      <c r="M465" s="3">
        <f>I465/L465</f>
        <v/>
      </c>
      <c r="N465">
        <f>IF(M465&gt;=5100,"ставка","мин.ставка")</f>
        <v/>
      </c>
      <c r="O465" s="3">
        <f>ROUND(IF(N465="мин.ставка",L465*100,I465/102*2),2)</f>
        <v/>
      </c>
      <c r="P465" s="5" t="n">
        <v>46279.5</v>
      </c>
      <c r="Q465" t="inlineStr">
        <is>
          <t>TravelLine TNK</t>
        </is>
      </c>
      <c r="R465" s="2" t="inlineStr">
        <is>
          <t>ПОЛУЛЮКС</t>
        </is>
      </c>
      <c r="S465" t="n">
        <v>35</v>
      </c>
      <c r="T465" t="n">
        <v>1</v>
      </c>
      <c r="U465" t="inlineStr"/>
      <c r="V465" t="inlineStr">
        <is>
          <t>Тариф с завтраком</t>
        </is>
      </c>
      <c r="W465" t="n">
        <v>14025</v>
      </c>
      <c r="X465" s="3" t="n">
        <v>2475</v>
      </c>
      <c r="Y465" t="inlineStr">
        <is>
          <t>15%</t>
        </is>
      </c>
      <c r="Z465" t="inlineStr">
        <is>
          <t>2026-09-13</t>
        </is>
      </c>
      <c r="AA465" s="3" t="n">
        <v>14025</v>
      </c>
      <c r="AB465" t="inlineStr">
        <is>
          <t>Сошлось по ночным тарифам</t>
        </is>
      </c>
      <c r="AC465" s="2" t="inlineStr"/>
      <c r="AD465" t="n">
        <v>2475</v>
      </c>
      <c r="AE465" t="n">
        <v>0</v>
      </c>
      <c r="AF465" t="inlineStr">
        <is>
          <t>Скидка добавлена к налоговой базе</t>
        </is>
      </c>
      <c r="AG465" t="n">
        <v>16500</v>
      </c>
      <c r="AH465" t="n">
        <v>14025</v>
      </c>
      <c r="AI465" t="inlineStr">
        <is>
          <t>Полное проживание в выбранном периоде</t>
        </is>
      </c>
    </row>
    <row r="466">
      <c r="A466" t="inlineStr">
        <is>
          <t>20260922-8186-466727212</t>
        </is>
      </c>
      <c r="B466" t="n">
        <v>1</v>
      </c>
      <c r="C466" s="2" t="inlineStr">
        <is>
          <t>ЕЛЕНА КРОТОВА</t>
        </is>
      </c>
      <c r="D466" s="3" t="n">
        <v>19068</v>
      </c>
      <c r="E466" s="4" t="n">
        <v>16</v>
      </c>
      <c r="F466" t="inlineStr">
        <is>
          <t>ООО "БРОНИРОВАНИЕ ГОСТИНИЦ" (OSTROVOK) [Чайковский]</t>
        </is>
      </c>
      <c r="G466" s="3">
        <f>ROUND(D466/(100-E466)*100,2)</f>
        <v/>
      </c>
      <c r="H466" s="3" t="n">
        <v>0</v>
      </c>
      <c r="I466" s="3">
        <f>ROUND(IF(ISNUMBER(AG466),AG466,G466)+H466,2)</f>
        <v/>
      </c>
      <c r="J466" s="2" t="inlineStr">
        <is>
          <t>Завтрак "Шведский стол"</t>
        </is>
      </c>
      <c r="K466" s="5" t="n">
        <v>46287.58333333334</v>
      </c>
      <c r="L466" t="n">
        <v>2</v>
      </c>
      <c r="M466" s="3">
        <f>I466/L466</f>
        <v/>
      </c>
      <c r="N466">
        <f>IF(M466&gt;=5100,"ставка","мин.ставка")</f>
        <v/>
      </c>
      <c r="O466" s="3">
        <f>ROUND(IF(N466="мин.ставка",L466*100,I466/102*2),2)</f>
        <v/>
      </c>
      <c r="P466" s="5" t="n">
        <v>46289.5</v>
      </c>
      <c r="Q466" t="inlineStr">
        <is>
          <t>TravelLine OTK</t>
        </is>
      </c>
      <c r="R466" s="2" t="inlineStr">
        <is>
          <t>СТАНДАРТНЫЙ ДВУХМЕСТНЫЙ НОМЕР</t>
        </is>
      </c>
      <c r="S466" t="n">
        <v>44</v>
      </c>
      <c r="T466" t="n">
        <v>1</v>
      </c>
      <c r="U466" t="inlineStr"/>
      <c r="V466" t="inlineStr">
        <is>
          <t>Тариф с завтраком</t>
        </is>
      </c>
      <c r="W466" t="n">
        <v>19068</v>
      </c>
      <c r="X466" s="3" t="n">
        <v>3632</v>
      </c>
      <c r="Y466" t="inlineStr">
        <is>
          <t>16%</t>
        </is>
      </c>
      <c r="Z466" t="inlineStr">
        <is>
          <t>2026-09-22, 2026-09-23</t>
        </is>
      </c>
      <c r="AA466" s="3" t="n">
        <v>19068</v>
      </c>
      <c r="AB466" t="inlineStr">
        <is>
          <t>Сошлось по ночным тарифам</t>
        </is>
      </c>
      <c r="AC466" s="2" t="inlineStr"/>
      <c r="AD466" t="n">
        <v>3632</v>
      </c>
      <c r="AE466" t="n">
        <v>0</v>
      </c>
      <c r="AF466" t="inlineStr">
        <is>
          <t>Скидка добавлена к налоговой базе</t>
        </is>
      </c>
      <c r="AG466" t="n">
        <v>22700</v>
      </c>
      <c r="AH466" t="n">
        <v>19068</v>
      </c>
      <c r="AI466" t="inlineStr">
        <is>
          <t>Полное проживание в выбранном периоде</t>
        </is>
      </c>
    </row>
    <row r="467">
      <c r="A467" t="inlineStr">
        <is>
          <t>20260926-8186-466754555</t>
        </is>
      </c>
      <c r="B467" t="n">
        <v>1</v>
      </c>
      <c r="C467" s="2" t="inlineStr">
        <is>
          <t>Елена Маевских</t>
        </is>
      </c>
      <c r="D467" s="3" t="n">
        <v>30684.5</v>
      </c>
      <c r="E467" s="4" t="n">
        <v>4</v>
      </c>
      <c r="F467" t="inlineStr">
        <is>
          <t>TravelLine Booking Engine [Чайковский]</t>
        </is>
      </c>
      <c r="G467" s="3">
        <f>ROUND(D467/(100-E467)*100,2)</f>
        <v/>
      </c>
      <c r="H467" s="3" t="n">
        <v>0</v>
      </c>
      <c r="I467" s="3">
        <f>ROUND(IF(ISNUMBER(AG467),AG467,G467)+H467,2)</f>
        <v/>
      </c>
      <c r="J467" s="2" t="inlineStr">
        <is>
          <t>Завтрак "Шведский стол"</t>
        </is>
      </c>
      <c r="K467" s="5" t="n">
        <v>46291.58333333334</v>
      </c>
      <c r="L467" t="n">
        <v>4</v>
      </c>
      <c r="M467" s="3">
        <f>I467/L467</f>
        <v/>
      </c>
      <c r="N467">
        <f>IF(M467&gt;=5100,"ставка","мин.ставка")</f>
        <v/>
      </c>
      <c r="O467" s="3">
        <f>ROUND(IF(N467="мин.ставка",L467*100,I467/102*2),2)</f>
        <v/>
      </c>
      <c r="P467" s="5" t="n">
        <v>46295.5</v>
      </c>
      <c r="Q467" t="inlineStr">
        <is>
          <t>TravelLine сайт</t>
        </is>
      </c>
      <c r="R467" s="2" t="inlineStr">
        <is>
          <t>СТАНДАРТНЫЙ ОДНОМЕСТНЫЙ НОМЕР</t>
        </is>
      </c>
      <c r="S467" t="n">
        <v>34</v>
      </c>
      <c r="T467" t="n">
        <v>1</v>
      </c>
      <c r="U467" t="inlineStr"/>
      <c r="V467" t="inlineStr">
        <is>
          <t>Тариф с завтраком</t>
        </is>
      </c>
      <c r="W467" t="n">
        <v>30684.5</v>
      </c>
      <c r="X467" s="3" t="n">
        <v>115.5</v>
      </c>
      <c r="Y467" t="inlineStr">
        <is>
          <t>1.5%</t>
        </is>
      </c>
      <c r="Z467" t="inlineStr">
        <is>
          <t>2026-09-26</t>
        </is>
      </c>
      <c r="AA467" s="3" t="n">
        <v>30684.5</v>
      </c>
      <c r="AB467" t="inlineStr">
        <is>
          <t>Сошлось по ночным тарифам</t>
        </is>
      </c>
      <c r="AC467" s="2" t="inlineStr"/>
      <c r="AD467" t="n">
        <v>115.5</v>
      </c>
      <c r="AE467" t="n">
        <v>0</v>
      </c>
      <c r="AF467" t="inlineStr">
        <is>
          <t>Скидка добавлена к налоговой базе</t>
        </is>
      </c>
      <c r="AG467" t="n">
        <v>30800</v>
      </c>
      <c r="AH467" t="n">
        <v>30684.5</v>
      </c>
      <c r="AI467" t="inlineStr">
        <is>
          <t>Полное проживание в выбранном периоде</t>
        </is>
      </c>
    </row>
    <row r="468">
      <c r="A468" t="inlineStr">
        <is>
          <t>20260803-8186-414251130</t>
        </is>
      </c>
      <c r="B468" t="n">
        <v>1</v>
      </c>
      <c r="C468" s="2" t="inlineStr">
        <is>
          <t>Елена Мастрюкова</t>
        </is>
      </c>
      <c r="D468" s="3" t="n">
        <v>13090</v>
      </c>
      <c r="E468" s="4" t="n">
        <v>15</v>
      </c>
      <c r="F468" t="inlineStr">
        <is>
          <t>ООО Тинькофф Путешествия [Чайковский]</t>
        </is>
      </c>
      <c r="G468" s="3">
        <f>ROUND(D468/(100-E468)*100,2)</f>
        <v/>
      </c>
      <c r="H468" s="3" t="n">
        <v>0</v>
      </c>
      <c r="I468" s="3">
        <f>ROUND(IF(ISNUMBER(AG468),AG468,G468)+H468,2)</f>
        <v/>
      </c>
      <c r="J468" s="2" t="inlineStr">
        <is>
          <t>Завтрак "Шведский стол"</t>
        </is>
      </c>
      <c r="K468" s="5" t="n">
        <v>46237.58333333334</v>
      </c>
      <c r="L468" t="n">
        <v>2</v>
      </c>
      <c r="M468" s="3">
        <f>I468/L468</f>
        <v/>
      </c>
      <c r="N468">
        <f>IF(M468&gt;=5100,"ставка","мин.ставка")</f>
        <v/>
      </c>
      <c r="O468" s="3">
        <f>ROUND(IF(N468="мин.ставка",L468*100,I468/102*2),2)</f>
        <v/>
      </c>
      <c r="P468" s="5" t="n">
        <v>46239.5</v>
      </c>
      <c r="Q468" t="inlineStr">
        <is>
          <t>TravelLine TNK</t>
        </is>
      </c>
      <c r="R468" s="2" t="inlineStr">
        <is>
          <t>СТАНДАРТНЫЙ ОДНОМЕСТНЫЙ НОМЕР</t>
        </is>
      </c>
      <c r="S468" t="n">
        <v>24</v>
      </c>
      <c r="T468" t="n">
        <v>1</v>
      </c>
      <c r="U468" t="inlineStr"/>
      <c r="V468" t="inlineStr">
        <is>
          <t>Тариф с завтраком</t>
        </is>
      </c>
      <c r="W468" t="n">
        <v>13090</v>
      </c>
      <c r="X468" s="3" t="n">
        <v>2310</v>
      </c>
      <c r="Y468" t="inlineStr">
        <is>
          <t>15%</t>
        </is>
      </c>
      <c r="Z468" t="inlineStr">
        <is>
          <t>2026-08-03, 2026-08-04</t>
        </is>
      </c>
      <c r="AA468" s="3" t="n">
        <v>13090</v>
      </c>
      <c r="AB468" t="inlineStr">
        <is>
          <t>Сошлось по ночным тарифам</t>
        </is>
      </c>
      <c r="AC468" s="2" t="inlineStr"/>
      <c r="AD468" t="n">
        <v>2310</v>
      </c>
      <c r="AE468" t="n">
        <v>0</v>
      </c>
      <c r="AF468" t="inlineStr">
        <is>
          <t>Скидка добавлена к налоговой базе</t>
        </is>
      </c>
      <c r="AG468" t="n">
        <v>15400</v>
      </c>
      <c r="AH468" t="n">
        <v>13090</v>
      </c>
      <c r="AI468" t="inlineStr">
        <is>
          <t>Полное проживание в выбранном периоде</t>
        </is>
      </c>
    </row>
    <row r="469">
      <c r="A469" t="inlineStr">
        <is>
          <t>20260901-8186-432644424</t>
        </is>
      </c>
      <c r="B469" t="n">
        <v>1</v>
      </c>
      <c r="C469" s="2" t="inlineStr">
        <is>
          <t>ЕЛЕНА МАХАЛЬСКАЯ, СВЕТЛАНА САВИНА</t>
        </is>
      </c>
      <c r="D469" s="3" t="n">
        <v>25245</v>
      </c>
      <c r="E469" s="4" t="n">
        <v>0</v>
      </c>
      <c r="F469" t="inlineStr">
        <is>
          <t>ООО "АЛЕАН ОТДЫХ" [Чайковский]</t>
        </is>
      </c>
      <c r="G469" s="3">
        <f>ROUND(D469/(100-E469)*100,2)</f>
        <v/>
      </c>
      <c r="H469" s="3" t="n">
        <v>0</v>
      </c>
      <c r="I469" s="3">
        <f>ROUND(IF(ISNUMBER(AG469),AG469,G469)+H469,2)</f>
        <v/>
      </c>
      <c r="J469" s="2" t="inlineStr">
        <is>
          <t>meal_bf_buffet_1; meal_bf_buffet_1; Завтрак "Шведский стол"</t>
        </is>
      </c>
      <c r="K469" s="5" t="n">
        <v>46266.58333333334</v>
      </c>
      <c r="L469" t="n">
        <v>3</v>
      </c>
      <c r="M469" s="3">
        <f>I469/L469</f>
        <v/>
      </c>
      <c r="N469">
        <f>IF(M469&gt;=5100,"ставка","мин.ставка")</f>
        <v/>
      </c>
      <c r="O469" s="3">
        <f>ROUND(IF(N469="мин.ставка",L469*100,I469/102*2),2)</f>
        <v/>
      </c>
      <c r="P469" s="5" t="n">
        <v>46269.5</v>
      </c>
      <c r="Q469" t="inlineStr">
        <is>
          <t>TravelLine ALN</t>
        </is>
      </c>
      <c r="R469" s="2" t="inlineStr">
        <is>
          <t>СТАНДАРТНЫЙ ДВУХМЕСТНЫЙ НОМЕР</t>
        </is>
      </c>
      <c r="S469" t="n">
        <v>46</v>
      </c>
      <c r="T469" t="n">
        <v>1</v>
      </c>
      <c r="U469" t="inlineStr"/>
      <c r="V469" t="inlineStr">
        <is>
          <t>Тариф с завтраком</t>
        </is>
      </c>
      <c r="W469" t="n">
        <v>25245</v>
      </c>
      <c r="X469" s="3" t="n">
        <v>4455</v>
      </c>
      <c r="Y469" t="inlineStr">
        <is>
          <t>15%</t>
        </is>
      </c>
      <c r="Z469" t="inlineStr">
        <is>
          <t>2026-09-01, 2026-09-02, 2026-09-03</t>
        </is>
      </c>
      <c r="AA469" s="3" t="n">
        <v>25245</v>
      </c>
      <c r="AB469" t="inlineStr">
        <is>
          <t>Сошлось по ночным тарифам</t>
        </is>
      </c>
      <c r="AC469" s="2" t="inlineStr"/>
      <c r="AD469" t="n">
        <v>4455</v>
      </c>
      <c r="AE469" t="n">
        <v>0</v>
      </c>
      <c r="AF469" t="inlineStr">
        <is>
          <t>Скидка добавлена к налоговой базе</t>
        </is>
      </c>
      <c r="AG469" t="n">
        <v>29700</v>
      </c>
      <c r="AH469" t="n">
        <v>25245</v>
      </c>
      <c r="AI469" t="inlineStr">
        <is>
          <t>Полное проживание в выбранном периоде</t>
        </is>
      </c>
    </row>
    <row r="470">
      <c r="A470" t="inlineStr">
        <is>
          <t>20260804-8186-455712496</t>
        </is>
      </c>
      <c r="B470" t="n">
        <v>1</v>
      </c>
      <c r="C470" s="2" t="inlineStr">
        <is>
          <t>Елена Милеева</t>
        </is>
      </c>
      <c r="D470" s="3" t="n">
        <v>32964</v>
      </c>
      <c r="E470" s="4" t="n">
        <v>18</v>
      </c>
      <c r="F470" t="inlineStr">
        <is>
          <t>ООО "Эй энд Эй" [Чайковский]</t>
        </is>
      </c>
      <c r="G470" s="3">
        <f>ROUND(D470/(100-E470)*100,2)</f>
        <v/>
      </c>
      <c r="H470" s="3" t="n">
        <v>0</v>
      </c>
      <c r="I470" s="3">
        <f>ROUND(IF(ISNUMBER(AG470),AG470,G470)+H470,2)</f>
        <v/>
      </c>
      <c r="J470" s="2" t="inlineStr">
        <is>
          <t>Завтрак "Шведский стол"</t>
        </is>
      </c>
      <c r="K470" s="5" t="n">
        <v>46238.58333333334</v>
      </c>
      <c r="L470" t="n">
        <v>3</v>
      </c>
      <c r="M470" s="3">
        <f>I470/L470</f>
        <v/>
      </c>
      <c r="N470">
        <f>IF(M470&gt;=5100,"ставка","мин.ставка")</f>
        <v/>
      </c>
      <c r="O470" s="3">
        <f>ROUND(IF(N470="мин.ставка",L470*100,I470/102*2),2)</f>
        <v/>
      </c>
      <c r="P470" s="5" t="n">
        <v>46241.5</v>
      </c>
      <c r="Q470" t="inlineStr">
        <is>
          <t>TravelLine ANA</t>
        </is>
      </c>
      <c r="R470" s="2" t="inlineStr">
        <is>
          <t>УЛУЧШЕННЫЙ ДВУХМЕСТНЫЙ НОМЕР</t>
        </is>
      </c>
      <c r="S470" t="n">
        <v>59</v>
      </c>
      <c r="T470" t="n">
        <v>2</v>
      </c>
      <c r="U470" t="inlineStr"/>
      <c r="V470" t="inlineStr">
        <is>
          <t>Тариф с завтраком</t>
        </is>
      </c>
      <c r="W470" t="n">
        <v>32964</v>
      </c>
      <c r="X470" s="3" t="n">
        <v>7236</v>
      </c>
      <c r="Y470" t="inlineStr">
        <is>
          <t>18%</t>
        </is>
      </c>
      <c r="Z470" t="inlineStr">
        <is>
          <t>2026-08-04, 2026-08-05, 2026-08-06</t>
        </is>
      </c>
      <c r="AA470" s="3" t="n">
        <v>32964</v>
      </c>
      <c r="AB470" t="inlineStr">
        <is>
          <t>Сошлось по ночным тарифам</t>
        </is>
      </c>
      <c r="AC470" s="2" t="inlineStr"/>
      <c r="AD470" t="n">
        <v>7236</v>
      </c>
      <c r="AE470" t="n">
        <v>0</v>
      </c>
      <c r="AF470" t="inlineStr">
        <is>
          <t>Скидка добавлена к налоговой базе</t>
        </is>
      </c>
      <c r="AG470" t="n">
        <v>40200</v>
      </c>
      <c r="AH470" t="n">
        <v>32964</v>
      </c>
      <c r="AI470" t="inlineStr">
        <is>
          <t>Полное проживание в выбранном периоде</t>
        </is>
      </c>
    </row>
    <row r="471">
      <c r="A471" t="inlineStr">
        <is>
          <t>20260809-8186-434031511</t>
        </is>
      </c>
      <c r="B471" t="n">
        <v>1</v>
      </c>
      <c r="C471" s="2" t="inlineStr">
        <is>
          <t>Елена Митина, ЕКАТЕРИНА МИТИНА</t>
        </is>
      </c>
      <c r="D471" s="3" t="n">
        <v>41085</v>
      </c>
      <c r="E471" s="4" t="n">
        <v>20</v>
      </c>
      <c r="F471" t="inlineStr">
        <is>
          <t>ООО «Дубль Гис» (OTELLO) [Чайковский]</t>
        </is>
      </c>
      <c r="G471" s="3">
        <f>ROUND(D471/(100-E471)*100,2)</f>
        <v/>
      </c>
      <c r="H471" s="3" t="n">
        <v>0</v>
      </c>
      <c r="I471" s="3">
        <f>ROUND(IF(ISNUMBER(AG471),AG471,G471)+H471,2)</f>
        <v/>
      </c>
      <c r="J471" s="2" t="inlineStr">
        <is>
          <t>Завтрак "Шведский стол"</t>
        </is>
      </c>
      <c r="K471" s="5" t="n">
        <v>46243.58333333334</v>
      </c>
      <c r="L471" t="n">
        <v>5</v>
      </c>
      <c r="M471" s="3">
        <f>I471/L471</f>
        <v/>
      </c>
      <c r="N471">
        <f>IF(M471&gt;=5100,"ставка","мин.ставка")</f>
        <v/>
      </c>
      <c r="O471" s="3">
        <f>ROUND(IF(N471="мин.ставка",L471*100,I471/102*2),2)</f>
        <v/>
      </c>
      <c r="P471" s="5" t="n">
        <v>46248.5</v>
      </c>
      <c r="Q471" t="inlineStr">
        <is>
          <t>TravelLine OL2</t>
        </is>
      </c>
      <c r="R471" s="2" t="inlineStr">
        <is>
          <t>СТАНДАРТНЫЙ ДВУХМЕСТНЫЙ НОМЕР (МАНСАРДА)</t>
        </is>
      </c>
      <c r="S471" t="n">
        <v>47</v>
      </c>
      <c r="T471" t="n">
        <v>1</v>
      </c>
      <c r="U471" t="inlineStr"/>
      <c r="V471" t="inlineStr">
        <is>
          <t>Тариф с завтраком</t>
        </is>
      </c>
      <c r="W471" t="n">
        <v>41085</v>
      </c>
      <c r="X471" s="3" t="n">
        <v>8415</v>
      </c>
      <c r="Y471" t="inlineStr">
        <is>
          <t>17%</t>
        </is>
      </c>
      <c r="Z471" t="inlineStr">
        <is>
          <t>2026-08-09, 2026-08-10, 2026-08-11, 2026-08-12, 2026-08-13</t>
        </is>
      </c>
      <c r="AA471" s="3" t="n">
        <v>41085</v>
      </c>
      <c r="AB471" t="inlineStr">
        <is>
          <t>Сошлось по ночным тарифам</t>
        </is>
      </c>
      <c r="AC471" s="2" t="inlineStr"/>
      <c r="AD471" t="n">
        <v>8415</v>
      </c>
      <c r="AE471" t="n">
        <v>0</v>
      </c>
      <c r="AF471" t="inlineStr">
        <is>
          <t>Скидка добавлена к налоговой базе</t>
        </is>
      </c>
      <c r="AG471" t="n">
        <v>49500</v>
      </c>
      <c r="AH471" t="n">
        <v>41085</v>
      </c>
      <c r="AI471" t="inlineStr">
        <is>
          <t>Полное проживание в выбранном периоде</t>
        </is>
      </c>
    </row>
    <row r="472">
      <c r="A472" t="inlineStr">
        <is>
          <t>20260713-8186-449269362</t>
        </is>
      </c>
      <c r="B472" t="n">
        <v>1</v>
      </c>
      <c r="C472" s="2" t="inlineStr">
        <is>
          <t>Елена Мишина</t>
        </is>
      </c>
      <c r="D472" s="3" t="n">
        <v>6557</v>
      </c>
      <c r="E472" s="4" t="n">
        <v>17</v>
      </c>
      <c r="F472" t="inlineStr">
        <is>
          <t>ООО «Интернет Трэвел» (OZON) [Чайковский]</t>
        </is>
      </c>
      <c r="G472" s="3">
        <f>ROUND(D472/(100-E472)*100,2)</f>
        <v/>
      </c>
      <c r="H472" s="3" t="n">
        <v>0</v>
      </c>
      <c r="I472" s="3">
        <f>ROUND(IF(ISNUMBER(AG472),AG472,G472)+H472,2)</f>
        <v/>
      </c>
      <c r="J472" s="2" t="inlineStr">
        <is>
          <t>Завтрак "Шведский стол"</t>
        </is>
      </c>
      <c r="K472" s="5" t="n">
        <v>46216.58333333334</v>
      </c>
      <c r="L472" t="n">
        <v>1</v>
      </c>
      <c r="M472" s="3">
        <f>I472/L472</f>
        <v/>
      </c>
      <c r="N472">
        <f>IF(M472&gt;=5100,"ставка","мин.ставка")</f>
        <v/>
      </c>
      <c r="O472" s="3">
        <f>ROUND(IF(N472="мин.ставка",L472*100,I472/102*2),2)</f>
        <v/>
      </c>
      <c r="P472" s="5" t="n">
        <v>46217.5</v>
      </c>
      <c r="Q472" t="inlineStr">
        <is>
          <t>TravelLine OZ2</t>
        </is>
      </c>
      <c r="R472" s="2" t="inlineStr">
        <is>
          <t>СТАНДАРТНЫЙ ДВУХМЕСТНЫЙ НОМЕР (МАНСАРДА)</t>
        </is>
      </c>
      <c r="S472" t="n">
        <v>45</v>
      </c>
      <c r="T472" t="n">
        <v>1</v>
      </c>
      <c r="U472" t="inlineStr"/>
      <c r="V472" t="inlineStr">
        <is>
          <t>Тариф с завтраком</t>
        </is>
      </c>
      <c r="W472" t="n">
        <v>6557</v>
      </c>
      <c r="X472" s="3" t="n">
        <v>1343</v>
      </c>
      <c r="Y472" t="inlineStr">
        <is>
          <t>17%</t>
        </is>
      </c>
      <c r="Z472" t="inlineStr">
        <is>
          <t>2026-07-13</t>
        </is>
      </c>
      <c r="AA472" s="3" t="n">
        <v>6557</v>
      </c>
      <c r="AB472" t="inlineStr">
        <is>
          <t>Сошлось по ночным тарифам</t>
        </is>
      </c>
      <c r="AC472" s="2" t="inlineStr"/>
      <c r="AD472" t="n">
        <v>1343</v>
      </c>
      <c r="AE472" t="n">
        <v>0</v>
      </c>
      <c r="AF472" t="inlineStr">
        <is>
          <t>Скидка добавлена к налоговой базе</t>
        </is>
      </c>
      <c r="AG472" t="n">
        <v>7900</v>
      </c>
      <c r="AH472" t="n">
        <v>6557</v>
      </c>
      <c r="AI472" t="inlineStr">
        <is>
          <t>Полное проживание в выбранном периоде</t>
        </is>
      </c>
    </row>
    <row r="473">
      <c r="A473" t="inlineStr">
        <is>
          <t>20260706-8186-446718602</t>
        </is>
      </c>
      <c r="B473" t="n">
        <v>1</v>
      </c>
      <c r="C473" s="2" t="inlineStr">
        <is>
          <t>Елена Мороз</t>
        </is>
      </c>
      <c r="D473" s="3" t="n">
        <v>34050</v>
      </c>
      <c r="E473" s="4" t="n">
        <v>4</v>
      </c>
      <c r="F473" t="inlineStr">
        <is>
          <t>TravelLine Booking Engine [Чайковский]</t>
        </is>
      </c>
      <c r="G473" s="3">
        <f>ROUND(D473/(100-E473)*100,2)</f>
        <v/>
      </c>
      <c r="H473" s="3" t="n">
        <v>0</v>
      </c>
      <c r="I473" s="3">
        <f>ROUND(IF(ISNUMBER(AG473),AG473,G473)+H473,2)</f>
        <v/>
      </c>
      <c r="J473" s="2" t="inlineStr">
        <is>
          <t>Завтрак "Шведский стол"</t>
        </is>
      </c>
      <c r="K473" s="5" t="n">
        <v>46209.58333333334</v>
      </c>
      <c r="L473" t="n">
        <v>3</v>
      </c>
      <c r="M473" s="3">
        <f>I473/L473</f>
        <v/>
      </c>
      <c r="N473">
        <f>IF(M473&gt;=5100,"ставка","мин.ставка")</f>
        <v/>
      </c>
      <c r="O473" s="3">
        <f>ROUND(IF(N473="мин.ставка",L473*100,I473/102*2),2)</f>
        <v/>
      </c>
      <c r="P473" s="5" t="n">
        <v>46212.5</v>
      </c>
      <c r="Q473" t="inlineStr">
        <is>
          <t>TravelLine сайт</t>
        </is>
      </c>
      <c r="R473" s="2" t="inlineStr">
        <is>
          <t>СТАНДАРТНЫЙ ДВУХМЕСТНЫЙ НОМЕР</t>
        </is>
      </c>
      <c r="S473" t="n">
        <v>22</v>
      </c>
      <c r="T473" t="n">
        <v>1</v>
      </c>
      <c r="U473" t="inlineStr"/>
      <c r="V473" t="inlineStr">
        <is>
          <t>Тариф с завтраком</t>
        </is>
      </c>
      <c r="W473" t="n">
        <v>34050</v>
      </c>
      <c r="X473" s="3" t="n">
        <v>0</v>
      </c>
      <c r="Y473" t="inlineStr"/>
      <c r="Z473" t="inlineStr"/>
      <c r="AA473" s="3" t="n">
        <v>34050</v>
      </c>
      <c r="AB473" t="inlineStr">
        <is>
          <t>Сошлось по ночным тарифам</t>
        </is>
      </c>
      <c r="AC473" s="2" t="inlineStr"/>
      <c r="AD473" t="n">
        <v>0</v>
      </c>
      <c r="AE473" t="n">
        <v>0</v>
      </c>
      <c r="AF473" t="inlineStr">
        <is>
          <t>Скидки нет</t>
        </is>
      </c>
      <c r="AG473" t="n">
        <v>34050</v>
      </c>
      <c r="AH473" t="n">
        <v>34050</v>
      </c>
      <c r="AI473" t="inlineStr">
        <is>
          <t>Полное проживание в выбранном периоде</t>
        </is>
      </c>
    </row>
    <row r="474">
      <c r="A474" t="inlineStr">
        <is>
          <t>20260829-8186-460361195</t>
        </is>
      </c>
      <c r="B474" t="n">
        <v>1</v>
      </c>
      <c r="C474" s="2" t="inlineStr">
        <is>
          <t>ЕЛЕНА МУЛЛАНУРОВА</t>
        </is>
      </c>
      <c r="D474" s="3" t="n">
        <v>11256</v>
      </c>
      <c r="E474" s="4" t="n">
        <v>16</v>
      </c>
      <c r="F474" t="inlineStr">
        <is>
          <t>ООО "БРОНИРОВАНИЕ ГОСТИНИЦ" (OSTROVOK) [Чайковский]</t>
        </is>
      </c>
      <c r="G474" s="3">
        <f>ROUND(D474/(100-E474)*100,2)</f>
        <v/>
      </c>
      <c r="H474" s="3" t="n">
        <v>2240</v>
      </c>
      <c r="I474" s="3">
        <f>ROUND(IF(ISNUMBER(AG474),AG474,G474)+H474,2)</f>
        <v/>
      </c>
      <c r="J474" s="2" t="inlineStr">
        <is>
          <t>продление номера — 2 240,00 ₽; Завтрак "Шведский стол"</t>
        </is>
      </c>
      <c r="K474" s="5" t="n">
        <v>46263.58333333334</v>
      </c>
      <c r="L474" t="n">
        <v>1</v>
      </c>
      <c r="M474" s="3">
        <f>I474/L474</f>
        <v/>
      </c>
      <c r="N474">
        <f>IF(M474&gt;=5100,"ставка","мин.ставка")</f>
        <v/>
      </c>
      <c r="O474" s="3">
        <f>ROUND(IF(N474="мин.ставка",L474*100,I474/102*2),2)</f>
        <v/>
      </c>
      <c r="P474" s="5" t="n">
        <v>46264.66666666666</v>
      </c>
      <c r="Q474" t="inlineStr">
        <is>
          <t>TravelLine OTK</t>
        </is>
      </c>
      <c r="R474" s="2" t="inlineStr">
        <is>
          <t>ПОЛУЛЮКС</t>
        </is>
      </c>
      <c r="S474" t="n">
        <v>11</v>
      </c>
      <c r="T474" t="n">
        <v>1</v>
      </c>
      <c r="U474" t="inlineStr"/>
      <c r="V474" t="inlineStr">
        <is>
          <t>Тариф с завтраком</t>
        </is>
      </c>
      <c r="W474" t="n">
        <v>13496</v>
      </c>
      <c r="X474" s="3" t="n">
        <v>2144</v>
      </c>
      <c r="Y474" t="inlineStr">
        <is>
          <t>16%</t>
        </is>
      </c>
      <c r="Z474" t="inlineStr">
        <is>
          <t>2026-08-29</t>
        </is>
      </c>
      <c r="AA474" s="3" t="n">
        <v>11256</v>
      </c>
      <c r="AB474" t="inlineStr">
        <is>
          <t>Сошлось с услугами</t>
        </is>
      </c>
      <c r="AC474" s="2" t="inlineStr"/>
      <c r="AD474" t="n">
        <v>2144</v>
      </c>
      <c r="AE474" t="n">
        <v>0</v>
      </c>
      <c r="AF474" t="inlineStr">
        <is>
          <t>Скидка добавлена к налоговой базе</t>
        </is>
      </c>
      <c r="AG474" t="n">
        <v>13400</v>
      </c>
      <c r="AH474" t="n">
        <v>11256</v>
      </c>
      <c r="AI474" t="inlineStr">
        <is>
          <t>Полное проживание в выбранном периоде</t>
        </is>
      </c>
    </row>
    <row r="475">
      <c r="A475" t="inlineStr">
        <is>
          <t>20260703-8186-445213205</t>
        </is>
      </c>
      <c r="B475" t="n">
        <v>1</v>
      </c>
      <c r="C475" s="2" t="inlineStr">
        <is>
          <t>Елена Мухаметшина</t>
        </is>
      </c>
      <c r="D475" s="3" t="n">
        <v>27240</v>
      </c>
      <c r="E475" s="4" t="n">
        <v>20</v>
      </c>
      <c r="F475" t="inlineStr">
        <is>
          <t>ООО "УК ГЦБ и Т" [Чайковский]</t>
        </is>
      </c>
      <c r="G475" s="3">
        <f>ROUND(D475/(100-E475)*100,2)</f>
        <v/>
      </c>
      <c r="H475" s="3" t="n">
        <v>0</v>
      </c>
      <c r="I475" s="3">
        <f>ROUND(IF(ISNUMBER(AG475),AG475,G475)+H475,2)</f>
        <v/>
      </c>
      <c r="J475" s="2" t="inlineStr">
        <is>
          <t>Завтрак; Завтрак "Шведский стол"</t>
        </is>
      </c>
      <c r="K475" s="5" t="n">
        <v>46206.58333333334</v>
      </c>
      <c r="L475" t="n">
        <v>3</v>
      </c>
      <c r="M475" s="3">
        <f>I475/L475</f>
        <v/>
      </c>
      <c r="N475">
        <f>IF(M475&gt;=5100,"ставка","мин.ставка")</f>
        <v/>
      </c>
      <c r="O475" s="3">
        <f>ROUND(IF(N475="мин.ставка",L475*100,I475/102*2),2)</f>
        <v/>
      </c>
      <c r="P475" s="5" t="n">
        <v>46209.5</v>
      </c>
      <c r="Q475" t="inlineStr">
        <is>
          <t>TravelLine CBC</t>
        </is>
      </c>
      <c r="R475" s="2" t="inlineStr">
        <is>
          <t>СТАНДАРТНЫЙ ДВУХМЕСТНЫЙ НОМЕР</t>
        </is>
      </c>
      <c r="S475" t="n">
        <v>23</v>
      </c>
      <c r="T475" t="n">
        <v>1</v>
      </c>
      <c r="U475" t="inlineStr"/>
      <c r="V475" t="inlineStr">
        <is>
          <t>Тариф с завтраком</t>
        </is>
      </c>
      <c r="W475" t="n">
        <v>27240</v>
      </c>
      <c r="X475" s="3" t="n">
        <v>6810</v>
      </c>
      <c r="Y475" t="inlineStr">
        <is>
          <t>20%</t>
        </is>
      </c>
      <c r="Z475" t="inlineStr">
        <is>
          <t>2026-07-03, 2026-07-04, 2026-07-05</t>
        </is>
      </c>
      <c r="AA475" s="3" t="n">
        <v>27240</v>
      </c>
      <c r="AB475" t="inlineStr">
        <is>
          <t>Сошлось по ночным тарифам</t>
        </is>
      </c>
      <c r="AC475" s="2" t="inlineStr"/>
      <c r="AD475" t="n">
        <v>6810</v>
      </c>
      <c r="AE475" t="n">
        <v>0</v>
      </c>
      <c r="AF475" t="inlineStr">
        <is>
          <t>Скидка добавлена к налоговой базе</t>
        </is>
      </c>
      <c r="AG475" t="n">
        <v>34050</v>
      </c>
      <c r="AH475" t="n">
        <v>27240</v>
      </c>
      <c r="AI475" t="inlineStr">
        <is>
          <t>Полное проживание в выбранном периоде</t>
        </is>
      </c>
    </row>
    <row r="476">
      <c r="A476" t="inlineStr">
        <is>
          <t>20260730-8186-451555879</t>
        </is>
      </c>
      <c r="B476" t="n">
        <v>1</v>
      </c>
      <c r="C476" s="2" t="inlineStr">
        <is>
          <t>Елена Огородникова, Дарья Огородникова</t>
        </is>
      </c>
      <c r="D476" s="3" t="n">
        <v>26286.15</v>
      </c>
      <c r="E476" s="4" t="n">
        <v>4</v>
      </c>
      <c r="F476" t="inlineStr">
        <is>
          <t>TravelLine Booking Engine [Чайковский]</t>
        </is>
      </c>
      <c r="G476" s="3">
        <f>ROUND(D476/(100-E476)*100,2)</f>
        <v/>
      </c>
      <c r="H476" s="3" t="n">
        <v>0</v>
      </c>
      <c r="I476" s="3">
        <f>ROUND(IF(ISNUMBER(AG476),AG476,G476)+H476,2)</f>
        <v/>
      </c>
      <c r="J476" s="2" t="inlineStr">
        <is>
          <t>Завтрак "Шведский стол"</t>
        </is>
      </c>
      <c r="K476" s="5" t="n">
        <v>46233.58333333334</v>
      </c>
      <c r="L476" t="n">
        <v>2</v>
      </c>
      <c r="M476" s="3">
        <f>I476/L476</f>
        <v/>
      </c>
      <c r="N476">
        <f>IF(M476&gt;=5100,"ставка","мин.ставка")</f>
        <v/>
      </c>
      <c r="O476" s="3">
        <f>ROUND(IF(N476="мин.ставка",L476*100,I476/102*2),2)</f>
        <v/>
      </c>
      <c r="P476" s="5" t="n">
        <v>46235.5</v>
      </c>
      <c r="Q476" t="inlineStr">
        <is>
          <t>TravelLine сайт</t>
        </is>
      </c>
      <c r="R476" s="2" t="inlineStr">
        <is>
          <t>СТАНДАРТНЫЙ ДВУХМЕСТНЫЙ НОМЕР</t>
        </is>
      </c>
      <c r="S476" t="n">
        <v>32</v>
      </c>
      <c r="T476" t="n">
        <v>1</v>
      </c>
      <c r="U476" t="inlineStr"/>
      <c r="V476" t="inlineStr">
        <is>
          <t>Тариф с завтраком</t>
        </is>
      </c>
      <c r="W476" t="n">
        <v>26286.15</v>
      </c>
      <c r="X476" s="3" t="n">
        <v>413.85</v>
      </c>
      <c r="Y476" t="inlineStr">
        <is>
          <t>3.1%</t>
        </is>
      </c>
      <c r="Z476" t="inlineStr">
        <is>
          <t>2026-07-30</t>
        </is>
      </c>
      <c r="AA476" s="3" t="n">
        <v>26286.15</v>
      </c>
      <c r="AB476" t="inlineStr">
        <is>
          <t>Сошлось по ночным тарифам</t>
        </is>
      </c>
      <c r="AC476" s="2" t="inlineStr"/>
      <c r="AD476" t="n">
        <v>413.85</v>
      </c>
      <c r="AE476" t="n">
        <v>0</v>
      </c>
      <c r="AF476" t="inlineStr">
        <is>
          <t>Скидка добавлена к налоговой базе</t>
        </is>
      </c>
      <c r="AG476" t="n">
        <v>26700</v>
      </c>
      <c r="AH476" t="n">
        <v>26286.15</v>
      </c>
      <c r="AI476" t="inlineStr">
        <is>
          <t>Полное проживание в выбранном периоде</t>
        </is>
      </c>
    </row>
    <row r="477">
      <c r="A477" t="inlineStr">
        <is>
          <t>20260806-8186-454695826</t>
        </is>
      </c>
      <c r="B477" t="n">
        <v>1</v>
      </c>
      <c r="C477" s="2" t="inlineStr">
        <is>
          <t>ЕЛЕНА ПЕРМЯКОВА</t>
        </is>
      </c>
      <c r="D477" s="3" t="n">
        <v>6004</v>
      </c>
      <c r="E477" s="4" t="n">
        <v>18</v>
      </c>
      <c r="F477" t="inlineStr">
        <is>
          <t>Яндекс.Путешествия [Чайковский]</t>
        </is>
      </c>
      <c r="G477" s="3">
        <f>ROUND(D477/(100-E477)*100,2)</f>
        <v/>
      </c>
      <c r="H477" s="3" t="n">
        <v>0</v>
      </c>
      <c r="I477" s="3">
        <f>ROUND(IF(ISNUMBER(AG477),AG477,G477)+H477,2)</f>
        <v/>
      </c>
      <c r="J477" s="2" t="inlineStr">
        <is>
          <t>Завтрак "Шведский стол"</t>
        </is>
      </c>
      <c r="K477" s="5" t="n">
        <v>46240.58333333334</v>
      </c>
      <c r="L477" t="n">
        <v>1</v>
      </c>
      <c r="M477" s="3">
        <f>I477/L477</f>
        <v/>
      </c>
      <c r="N477">
        <f>IF(M477&gt;=5100,"ставка","мин.ставка")</f>
        <v/>
      </c>
      <c r="O477" s="3">
        <f>ROUND(IF(N477="мин.ставка",L477*100,I477/102*2),2)</f>
        <v/>
      </c>
      <c r="P477" s="5" t="n">
        <v>46241.5</v>
      </c>
      <c r="Q477" t="inlineStr">
        <is>
          <t>TravelLine YAX</t>
        </is>
      </c>
      <c r="R477" s="2" t="inlineStr">
        <is>
          <t>СТАНДАРТНЫЙ ДВУХМЕСТНЫЙ НОМЕР (МАНСАРДА)</t>
        </is>
      </c>
      <c r="S477" t="n">
        <v>41</v>
      </c>
      <c r="T477" t="n">
        <v>1</v>
      </c>
      <c r="U477" t="inlineStr"/>
      <c r="V477" t="inlineStr">
        <is>
          <t>Тариф с завтраком</t>
        </is>
      </c>
      <c r="W477" t="n">
        <v>6004</v>
      </c>
      <c r="X477" s="3" t="n">
        <v>1501</v>
      </c>
      <c r="Y477" t="inlineStr">
        <is>
          <t>20%</t>
        </is>
      </c>
      <c r="Z477" t="inlineStr">
        <is>
          <t>2026-08-06</t>
        </is>
      </c>
      <c r="AA477" s="3" t="n">
        <v>6004</v>
      </c>
      <c r="AB477" t="inlineStr">
        <is>
          <t>Сошлось по ночным тарифам</t>
        </is>
      </c>
      <c r="AC477" s="2" t="inlineStr"/>
      <c r="AD477" t="n">
        <v>1501</v>
      </c>
      <c r="AE477" t="n">
        <v>0</v>
      </c>
      <c r="AF477" t="inlineStr">
        <is>
          <t>Скидка добавлена к налоговой базе</t>
        </is>
      </c>
      <c r="AG477" t="n">
        <v>7505</v>
      </c>
      <c r="AH477" t="n">
        <v>6004</v>
      </c>
      <c r="AI477" t="inlineStr">
        <is>
          <t>Полное проживание в выбранном периоде</t>
        </is>
      </c>
    </row>
    <row r="478">
      <c r="A478" t="inlineStr">
        <is>
          <t>20260727-8186-445278925</t>
        </is>
      </c>
      <c r="B478" t="n">
        <v>1</v>
      </c>
      <c r="C478" s="2" t="inlineStr">
        <is>
          <t>Елена Петрова, Антон Прокофьев</t>
        </is>
      </c>
      <c r="D478" s="3" t="n">
        <v>106800</v>
      </c>
      <c r="E478" s="4" t="n">
        <v>20</v>
      </c>
      <c r="F478" t="inlineStr">
        <is>
          <t>ООО "КОМПАНИЯ БРОНЕВИК" [Чайковский]</t>
        </is>
      </c>
      <c r="G478" s="3">
        <f>ROUND(D478/(100-E478)*100,2)</f>
        <v/>
      </c>
      <c r="H478" s="3" t="n">
        <v>0</v>
      </c>
      <c r="I478" s="3">
        <f>ROUND(IF(ISNUMBER(AG478),AG478,G478)+H478,2)</f>
        <v/>
      </c>
      <c r="J478" s="2" t="inlineStr">
        <is>
          <t>Завтрак "Шведский стол"</t>
        </is>
      </c>
      <c r="K478" s="5" t="n">
        <v>46230.58333333334</v>
      </c>
      <c r="L478" t="n">
        <v>10</v>
      </c>
      <c r="M478" s="3">
        <f>I478/L478</f>
        <v/>
      </c>
      <c r="N478">
        <f>IF(M478&gt;=5100,"ставка","мин.ставка")</f>
        <v/>
      </c>
      <c r="O478" s="3">
        <f>ROUND(IF(N478="мин.ставка",L478*100,I478/102*2),2)</f>
        <v/>
      </c>
      <c r="P478" s="5" t="n">
        <v>46240.5</v>
      </c>
      <c r="Q478" t="inlineStr">
        <is>
          <t>TravelLine BR2</t>
        </is>
      </c>
      <c r="R478" s="2" t="inlineStr">
        <is>
          <t>СТАНДАРТНЫЙ ДВУХМЕСТНЫЙ НОМЕР</t>
        </is>
      </c>
      <c r="S478" t="n">
        <v>46</v>
      </c>
      <c r="T478" t="n">
        <v>1</v>
      </c>
      <c r="U478" t="inlineStr"/>
      <c r="V478" t="inlineStr">
        <is>
          <t>Тариф с завтраком</t>
        </is>
      </c>
      <c r="W478" t="n">
        <v>106800</v>
      </c>
      <c r="X478" s="3" t="n">
        <v>0</v>
      </c>
      <c r="Y478" t="inlineStr"/>
      <c r="Z478" t="inlineStr"/>
      <c r="AA478" s="3" t="n">
        <v>106800</v>
      </c>
      <c r="AB478" t="inlineStr">
        <is>
          <t>Сошлось по ночным тарифам</t>
        </is>
      </c>
      <c r="AC478" s="2" t="inlineStr"/>
      <c r="AD478" t="n">
        <v>0</v>
      </c>
      <c r="AE478" t="n">
        <v>0</v>
      </c>
      <c r="AF478" t="inlineStr">
        <is>
          <t>Скидки нет</t>
        </is>
      </c>
      <c r="AG478" t="n">
        <v>106800</v>
      </c>
      <c r="AH478" t="n">
        <v>106800</v>
      </c>
      <c r="AI478" t="inlineStr">
        <is>
          <t>Полное проживание в выбранном периоде</t>
        </is>
      </c>
    </row>
    <row r="479">
      <c r="A479" t="inlineStr">
        <is>
          <t>20260817-8186-455605495</t>
        </is>
      </c>
      <c r="B479" t="n">
        <v>1</v>
      </c>
      <c r="C479" s="2" t="inlineStr">
        <is>
          <t>ЕЛЕНА РОДИОНОВА, ПОЛИНА ПОТАПОВА</t>
        </is>
      </c>
      <c r="D479" s="3" t="n">
        <v>30260</v>
      </c>
      <c r="E479" s="4" t="n">
        <v>15</v>
      </c>
      <c r="F479" t="inlineStr">
        <is>
          <t>ООО "Библио-Глобус Туроператор" [Чайковский]</t>
        </is>
      </c>
      <c r="G479" s="3">
        <f>ROUND(D479/(100-E479)*100,2)</f>
        <v/>
      </c>
      <c r="H479" s="3" t="n">
        <v>0</v>
      </c>
      <c r="I479" s="3">
        <f>ROUND(IF(ISNUMBER(AG479),AG479,G479)+H479,2)</f>
        <v/>
      </c>
      <c r="J479" s="2" t="inlineStr">
        <is>
          <t>Завтрак "Шведский стол"</t>
        </is>
      </c>
      <c r="K479" s="5" t="n">
        <v>46251.58333333334</v>
      </c>
      <c r="L479" t="n">
        <v>2</v>
      </c>
      <c r="M479" s="3">
        <f>I479/L479</f>
        <v/>
      </c>
      <c r="N479">
        <f>IF(M479&gt;=5100,"ставка","мин.ставка")</f>
        <v/>
      </c>
      <c r="O479" s="3">
        <f>ROUND(IF(N479="мин.ставка",L479*100,I479/102*2),2)</f>
        <v/>
      </c>
      <c r="P479" s="5" t="n">
        <v>46253.5</v>
      </c>
      <c r="Q479" t="inlineStr">
        <is>
          <t>TravelLine BGL</t>
        </is>
      </c>
      <c r="R479" s="2" t="inlineStr">
        <is>
          <t>ЛЮКС ВТОРОЙ КОРПУС</t>
        </is>
      </c>
      <c r="S479" t="n">
        <v>53</v>
      </c>
      <c r="T479" t="n">
        <v>2</v>
      </c>
      <c r="U479" t="inlineStr"/>
      <c r="V479" t="inlineStr">
        <is>
          <t>Тариф с завтраком</t>
        </is>
      </c>
      <c r="W479" t="n">
        <v>30260</v>
      </c>
      <c r="X479" s="3" t="n">
        <v>0</v>
      </c>
      <c r="Y479" t="inlineStr"/>
      <c r="Z479" t="inlineStr"/>
      <c r="AA479" s="3" t="n">
        <v>30260</v>
      </c>
      <c r="AB479" t="inlineStr">
        <is>
          <t>Сошлось по ночным тарифам</t>
        </is>
      </c>
      <c r="AC479" s="2" t="inlineStr"/>
      <c r="AD479" t="n">
        <v>0</v>
      </c>
      <c r="AE479" t="n">
        <v>0</v>
      </c>
      <c r="AF479" t="inlineStr">
        <is>
          <t>Скидки нет</t>
        </is>
      </c>
      <c r="AG479" t="n">
        <v>30260</v>
      </c>
      <c r="AH479" t="n">
        <v>30260</v>
      </c>
      <c r="AI479" t="inlineStr">
        <is>
          <t>Полное проживание в выбранном периоде</t>
        </is>
      </c>
    </row>
    <row r="480">
      <c r="A480" t="inlineStr">
        <is>
          <t>20260824-8186-427406859</t>
        </is>
      </c>
      <c r="B480" t="n">
        <v>1</v>
      </c>
      <c r="C480" s="2" t="inlineStr">
        <is>
          <t>Елена Селина, Жанна Киташина</t>
        </is>
      </c>
      <c r="D480" s="3" t="n">
        <v>6261.15</v>
      </c>
      <c r="E480" s="4" t="n">
        <v>4</v>
      </c>
      <c r="F480" t="inlineStr">
        <is>
          <t>TravelLine Booking Engine [Чайковский]</t>
        </is>
      </c>
      <c r="G480" s="3">
        <f>ROUND(D480/(100-E480)*100,2)</f>
        <v/>
      </c>
      <c r="H480" s="3" t="n">
        <v>6675</v>
      </c>
      <c r="I480" s="3">
        <f>ROUND(IF(ISNUMBER(AG480),AG480,G480)+H480,2)</f>
        <v/>
      </c>
      <c r="J480" s="2" t="inlineStr">
        <is>
          <t>Завтрак "Шведский стол"; Поздний выезд — 6 675,00 ₽</t>
        </is>
      </c>
      <c r="K480" s="5" t="n">
        <v>46258.58333333334</v>
      </c>
      <c r="L480" t="n">
        <v>1</v>
      </c>
      <c r="M480" s="3">
        <f>I480/L480</f>
        <v/>
      </c>
      <c r="N480">
        <f>IF(M480&gt;=5100,"ставка","мин.ставка")</f>
        <v/>
      </c>
      <c r="O480" s="3">
        <f>ROUND(IF(N480="мин.ставка",L480*100,I480/102*2),2)</f>
        <v/>
      </c>
      <c r="P480" s="5" t="n">
        <v>46259.5</v>
      </c>
      <c r="Q480" t="inlineStr">
        <is>
          <t>TravelLine сайт</t>
        </is>
      </c>
      <c r="R480" s="2" t="inlineStr">
        <is>
          <t>СТАНДАРТНЫЙ ДВУХМЕСТНЫЙ НОМЕР</t>
        </is>
      </c>
      <c r="S480" t="n">
        <v>58</v>
      </c>
      <c r="T480" t="n">
        <v>2</v>
      </c>
      <c r="U480" t="inlineStr"/>
      <c r="V480" t="inlineStr">
        <is>
          <t>Тариф с завтраком</t>
        </is>
      </c>
      <c r="W480" t="n">
        <v>72597.3</v>
      </c>
      <c r="X480" s="3" t="n">
        <v>413.85</v>
      </c>
      <c r="Y480" t="inlineStr">
        <is>
          <t>3.1%</t>
        </is>
      </c>
      <c r="Z480" t="inlineStr">
        <is>
          <t>2026-08-24</t>
        </is>
      </c>
      <c r="AA480" s="3" t="n">
        <v>12936.15</v>
      </c>
      <c r="AB480" t="inlineStr">
        <is>
          <t>Сошлось по ночным тарифам</t>
        </is>
      </c>
      <c r="AC480" s="2" t="inlineStr"/>
      <c r="AD480" t="n">
        <v>413.85</v>
      </c>
      <c r="AE480" t="n">
        <v>0</v>
      </c>
      <c r="AF480" t="inlineStr">
        <is>
          <t>Скидка добавлена к налоговой базе</t>
        </is>
      </c>
      <c r="AG480" t="n">
        <v>6675</v>
      </c>
      <c r="AH480" t="n">
        <v>6261.15</v>
      </c>
      <c r="AI480" t="inlineStr">
        <is>
          <t>Полное проживание в выбранном периоде</t>
        </is>
      </c>
    </row>
    <row r="481">
      <c r="A481" t="inlineStr">
        <is>
          <t>20260917-8186-466532217</t>
        </is>
      </c>
      <c r="B481" t="n">
        <v>1</v>
      </c>
      <c r="C481" s="2" t="inlineStr">
        <is>
          <t>Елена Соколова, Иван Соколов</t>
        </is>
      </c>
      <c r="D481" s="3" t="n">
        <v>11214</v>
      </c>
      <c r="E481" s="4" t="n">
        <v>16</v>
      </c>
      <c r="F481" t="inlineStr">
        <is>
          <t>ООО "БРОНИРОВАНИЕ ГОСТИНИЦ" (OSTROVOK) [Чайковский]</t>
        </is>
      </c>
      <c r="G481" s="3">
        <f>ROUND(D481/(100-E481)*100,2)</f>
        <v/>
      </c>
      <c r="H481" s="3" t="n">
        <v>0</v>
      </c>
      <c r="I481" s="3">
        <f>ROUND(IF(ISNUMBER(AG481),AG481,G481)+H481,2)</f>
        <v/>
      </c>
      <c r="J481" s="2" t="inlineStr">
        <is>
          <t>Завтрак "Шведский стол"</t>
        </is>
      </c>
      <c r="K481" s="5" t="n">
        <v>46282.58333333334</v>
      </c>
      <c r="L481" t="n">
        <v>1</v>
      </c>
      <c r="M481" s="3">
        <f>I481/L481</f>
        <v/>
      </c>
      <c r="N481">
        <f>IF(M481&gt;=5100,"ставка","мин.ставка")</f>
        <v/>
      </c>
      <c r="O481" s="3">
        <f>ROUND(IF(N481="мин.ставка",L481*100,I481/102*2),2)</f>
        <v/>
      </c>
      <c r="P481" s="5" t="n">
        <v>46283.5</v>
      </c>
      <c r="Q481" t="inlineStr">
        <is>
          <t>TravelLine OTK</t>
        </is>
      </c>
      <c r="R481" s="2" t="inlineStr">
        <is>
          <t>СТАНДАРТНЫЙ ДВУХМЕСТНЫЙ НОМЕР</t>
        </is>
      </c>
      <c r="S481" t="n">
        <v>23</v>
      </c>
      <c r="T481" t="n">
        <v>1</v>
      </c>
      <c r="U481" t="inlineStr"/>
      <c r="V481" t="inlineStr">
        <is>
          <t>Тариф с завтраком</t>
        </is>
      </c>
      <c r="W481" t="n">
        <v>11214</v>
      </c>
      <c r="X481" s="3" t="n">
        <v>2136</v>
      </c>
      <c r="Y481" t="inlineStr">
        <is>
          <t>16%</t>
        </is>
      </c>
      <c r="Z481" t="inlineStr">
        <is>
          <t>2026-09-17</t>
        </is>
      </c>
      <c r="AA481" s="3" t="n">
        <v>11214</v>
      </c>
      <c r="AB481" t="inlineStr">
        <is>
          <t>Сошлось по ночным тарифам</t>
        </is>
      </c>
      <c r="AC481" s="2" t="inlineStr"/>
      <c r="AD481" t="n">
        <v>2136</v>
      </c>
      <c r="AE481" t="n">
        <v>0</v>
      </c>
      <c r="AF481" t="inlineStr">
        <is>
          <t>Скидка добавлена к налоговой базе</t>
        </is>
      </c>
      <c r="AG481" t="n">
        <v>13350</v>
      </c>
      <c r="AH481" t="n">
        <v>11214</v>
      </c>
      <c r="AI481" t="inlineStr">
        <is>
          <t>Полное проживание в выбранном периоде</t>
        </is>
      </c>
    </row>
    <row r="482">
      <c r="A482" t="inlineStr">
        <is>
          <t>20260715-8186-449585741</t>
        </is>
      </c>
      <c r="B482" t="n">
        <v>1</v>
      </c>
      <c r="C482" s="2" t="inlineStr">
        <is>
          <t>Елена Сорокина</t>
        </is>
      </c>
      <c r="D482" s="3" t="n">
        <v>22861.3</v>
      </c>
      <c r="E482" s="4" t="n">
        <v>4</v>
      </c>
      <c r="F482" t="inlineStr">
        <is>
          <t>TravelLine Booking Engine [Чайковский]</t>
        </is>
      </c>
      <c r="G482" s="3">
        <f>ROUND(D482/(100-E482)*100,2)</f>
        <v/>
      </c>
      <c r="H482" s="3" t="n">
        <v>0</v>
      </c>
      <c r="I482" s="3">
        <f>ROUND(IF(ISNUMBER(AG482),AG482,G482)+H482,2)</f>
        <v/>
      </c>
      <c r="J482" s="2" t="inlineStr">
        <is>
          <t>Завтрак "Шведский стол"</t>
        </is>
      </c>
      <c r="K482" s="5" t="n">
        <v>46218.58333333334</v>
      </c>
      <c r="L482" t="n">
        <v>3</v>
      </c>
      <c r="M482" s="3">
        <f>I482/L482</f>
        <v/>
      </c>
      <c r="N482">
        <f>IF(M482&gt;=5100,"ставка","мин.ставка")</f>
        <v/>
      </c>
      <c r="O482" s="3">
        <f>ROUND(IF(N482="мин.ставка",L482*100,I482/102*2),2)</f>
        <v/>
      </c>
      <c r="P482" s="5" t="n">
        <v>46221.5</v>
      </c>
      <c r="Q482" t="inlineStr">
        <is>
          <t>TravelLine сайт</t>
        </is>
      </c>
      <c r="R482" s="2" t="inlineStr">
        <is>
          <t>СТАНДАРТНЫЙ ОДНОМЕСТНЫЙ НОМЕР</t>
        </is>
      </c>
      <c r="S482" t="n">
        <v>34</v>
      </c>
      <c r="T482" t="n">
        <v>1</v>
      </c>
      <c r="U482" t="inlineStr"/>
      <c r="V482" t="inlineStr">
        <is>
          <t>Тариф с завтраком</t>
        </is>
      </c>
      <c r="W482" t="n">
        <v>22861.3</v>
      </c>
      <c r="X482" s="3" t="n">
        <v>238.7</v>
      </c>
      <c r="Y482" t="inlineStr">
        <is>
          <t>3.1%</t>
        </is>
      </c>
      <c r="Z482" t="inlineStr">
        <is>
          <t>2026-07-15</t>
        </is>
      </c>
      <c r="AA482" s="3" t="n">
        <v>22861.3</v>
      </c>
      <c r="AB482" t="inlineStr">
        <is>
          <t>Сошлось по ночным тарифам</t>
        </is>
      </c>
      <c r="AC482" s="2" t="inlineStr"/>
      <c r="AD482" t="n">
        <v>238.7</v>
      </c>
      <c r="AE482" t="n">
        <v>0</v>
      </c>
      <c r="AF482" t="inlineStr">
        <is>
          <t>Скидка добавлена к налоговой базе</t>
        </is>
      </c>
      <c r="AG482" t="n">
        <v>23100</v>
      </c>
      <c r="AH482" t="n">
        <v>22861.3</v>
      </c>
      <c r="AI482" t="inlineStr">
        <is>
          <t>Полное проживание в выбранном периоде</t>
        </is>
      </c>
    </row>
    <row r="483">
      <c r="A483" t="inlineStr">
        <is>
          <t>20260923-8186-410840730</t>
        </is>
      </c>
      <c r="B483" t="n">
        <v>1</v>
      </c>
      <c r="C483" s="2" t="inlineStr">
        <is>
          <t>Елена Харисова, ДМИТРИЙ АЛЕКСЕЕВ</t>
        </is>
      </c>
      <c r="D483" s="3" t="n">
        <v>29452.5</v>
      </c>
      <c r="E483" s="4" t="n">
        <v>4</v>
      </c>
      <c r="F483" t="inlineStr">
        <is>
          <t>TravelLine Booking Engine [Чайковский]</t>
        </is>
      </c>
      <c r="G483" s="3">
        <f>ROUND(D483/(100-E483)*100,2)</f>
        <v/>
      </c>
      <c r="H483" s="3" t="n">
        <v>0</v>
      </c>
      <c r="I483" s="3">
        <f>ROUND(IF(ISNUMBER(AG483),AG483,G483)+H483,2)</f>
        <v/>
      </c>
      <c r="J483" s="2" t="inlineStr">
        <is>
          <t>Завтрак "Шведский стол"</t>
        </is>
      </c>
      <c r="K483" s="5" t="n">
        <v>46288.58333333334</v>
      </c>
      <c r="L483" t="n">
        <v>3</v>
      </c>
      <c r="M483" s="3">
        <f>I483/L483</f>
        <v/>
      </c>
      <c r="N483">
        <f>IF(M483&gt;=5100,"ставка","мин.ставка")</f>
        <v/>
      </c>
      <c r="O483" s="3">
        <f>ROUND(IF(N483="мин.ставка",L483*100,I483/102*2),2)</f>
        <v/>
      </c>
      <c r="P483" s="5" t="n">
        <v>46291.5</v>
      </c>
      <c r="Q483" t="inlineStr">
        <is>
          <t>TravelLine сайт</t>
        </is>
      </c>
      <c r="R483" s="2" t="inlineStr">
        <is>
          <t>СТАНДАРТНЫЙ ДВУХМЕСТНЫЙ НОМЕР (МАНСАРДА)</t>
        </is>
      </c>
      <c r="S483" t="n">
        <v>41</v>
      </c>
      <c r="T483" t="n">
        <v>1</v>
      </c>
      <c r="U483" t="inlineStr"/>
      <c r="V483" t="inlineStr">
        <is>
          <t>Тариф с завтраком</t>
        </is>
      </c>
      <c r="W483" t="n">
        <v>29452.5</v>
      </c>
      <c r="X483" s="3" t="n">
        <v>247.5</v>
      </c>
      <c r="Y483" t="inlineStr">
        <is>
          <t>2.5%</t>
        </is>
      </c>
      <c r="Z483" t="inlineStr">
        <is>
          <t>2026-09-23</t>
        </is>
      </c>
      <c r="AA483" s="3" t="n">
        <v>29452.5</v>
      </c>
      <c r="AB483" t="inlineStr">
        <is>
          <t>Сошлось по ночным тарифам</t>
        </is>
      </c>
      <c r="AC483" s="2" t="inlineStr"/>
      <c r="AD483" t="n">
        <v>247.5</v>
      </c>
      <c r="AE483" t="n">
        <v>0</v>
      </c>
      <c r="AF483" t="inlineStr">
        <is>
          <t>Скидка добавлена к налоговой базе</t>
        </is>
      </c>
      <c r="AG483" t="n">
        <v>29700</v>
      </c>
      <c r="AH483" t="n">
        <v>29452.5</v>
      </c>
      <c r="AI483" t="inlineStr">
        <is>
          <t>Полное проживание в выбранном периоде</t>
        </is>
      </c>
    </row>
    <row r="484">
      <c r="A484" t="inlineStr">
        <is>
          <t>20260925-8186-434543735</t>
        </is>
      </c>
      <c r="B484" t="n">
        <v>1</v>
      </c>
      <c r="C484" s="2" t="inlineStr">
        <is>
          <t>ЕЛЕНА ХРАПУНОВА, АНАСТАСИЯ ДИЕСПЕРОВА</t>
        </is>
      </c>
      <c r="D484" s="3" t="n">
        <v>16830</v>
      </c>
      <c r="E484" s="4" t="n">
        <v>15</v>
      </c>
      <c r="F484" t="inlineStr">
        <is>
          <t>ООО "АКАДЕМ-ОНЛАЙН" [Чайковский]</t>
        </is>
      </c>
      <c r="G484" s="3">
        <f>ROUND(D484/(100-E484)*100,2)</f>
        <v/>
      </c>
      <c r="H484" s="3" t="n">
        <v>0</v>
      </c>
      <c r="I484" s="3">
        <f>ROUND(IF(ISNUMBER(AG484),AG484,G484)+H484,2)</f>
        <v/>
      </c>
      <c r="J484" s="2" t="inlineStr">
        <is>
          <t>Завтрак "Шведский стол"</t>
        </is>
      </c>
      <c r="K484" s="5" t="n">
        <v>46290.58333333334</v>
      </c>
      <c r="L484" t="n">
        <v>2</v>
      </c>
      <c r="M484" s="3">
        <f>I484/L484</f>
        <v/>
      </c>
      <c r="N484">
        <f>IF(M484&gt;=5100,"ставка","мин.ставка")</f>
        <v/>
      </c>
      <c r="O484" s="3">
        <f>ROUND(IF(N484="мин.ставка",L484*100,I484/102*2),2)</f>
        <v/>
      </c>
      <c r="P484" s="5" t="n">
        <v>46292.5</v>
      </c>
      <c r="Q484" t="inlineStr">
        <is>
          <t>TravelLine ACS</t>
        </is>
      </c>
      <c r="R484" s="2" t="inlineStr">
        <is>
          <t>СТАНДАРТНЫЙ ДВУХМЕСТНЫЙ НОМЕР (МАНСАРДА)</t>
        </is>
      </c>
      <c r="S484" t="n">
        <v>45</v>
      </c>
      <c r="T484" t="n">
        <v>1</v>
      </c>
      <c r="U484" t="inlineStr"/>
      <c r="V484" t="inlineStr">
        <is>
          <t>Тариф с завтраком</t>
        </is>
      </c>
      <c r="W484" t="n">
        <v>16830</v>
      </c>
      <c r="X484" s="3" t="n">
        <v>2970</v>
      </c>
      <c r="Y484" t="inlineStr">
        <is>
          <t>15%</t>
        </is>
      </c>
      <c r="Z484" t="inlineStr">
        <is>
          <t>2026-09-25, 2026-09-26</t>
        </is>
      </c>
      <c r="AA484" s="3" t="n">
        <v>16830</v>
      </c>
      <c r="AB484" t="inlineStr">
        <is>
          <t>Сошлось по ночным тарифам</t>
        </is>
      </c>
      <c r="AC484" s="2" t="inlineStr"/>
      <c r="AD484" t="n">
        <v>2970</v>
      </c>
      <c r="AE484" t="n">
        <v>0</v>
      </c>
      <c r="AF484" t="inlineStr">
        <is>
          <t>Скидка добавлена к налоговой базе</t>
        </is>
      </c>
      <c r="AG484" t="n">
        <v>19800</v>
      </c>
      <c r="AH484" t="n">
        <v>16830</v>
      </c>
      <c r="AI484" t="inlineStr">
        <is>
          <t>Полное проживание в выбранном периоде</t>
        </is>
      </c>
    </row>
    <row r="485">
      <c r="A485" t="inlineStr">
        <is>
          <t>20260818-8186-438764363</t>
        </is>
      </c>
      <c r="B485" t="n">
        <v>1</v>
      </c>
      <c r="C485" s="2" t="inlineStr">
        <is>
          <t>Елена Шершикова</t>
        </is>
      </c>
      <c r="D485" s="3" t="n">
        <v>31481.5</v>
      </c>
      <c r="E485" s="4" t="n">
        <v>4</v>
      </c>
      <c r="F485" t="inlineStr">
        <is>
          <t>TravelLine Booking Engine [Чайковский]</t>
        </is>
      </c>
      <c r="G485" s="3">
        <f>ROUND(D485/(100-E485)*100,2)</f>
        <v/>
      </c>
      <c r="H485" s="3" t="n">
        <v>0</v>
      </c>
      <c r="I485" s="3">
        <f>ROUND(IF(ISNUMBER(AG485),AG485,G485)+H485,2)</f>
        <v/>
      </c>
      <c r="J485" s="2" t="inlineStr">
        <is>
          <t>Завтрак "Шведский стол"</t>
        </is>
      </c>
      <c r="K485" s="5" t="n">
        <v>46252.58333333334</v>
      </c>
      <c r="L485" t="n">
        <v>4</v>
      </c>
      <c r="M485" s="3">
        <f>I485/L485</f>
        <v/>
      </c>
      <c r="N485">
        <f>IF(M485&gt;=5100,"ставка","мин.ставка")</f>
        <v/>
      </c>
      <c r="O485" s="3">
        <f>ROUND(IF(N485="мин.ставка",L485*100,I485/102*2),2)</f>
        <v/>
      </c>
      <c r="P485" s="5" t="n">
        <v>46256.5</v>
      </c>
      <c r="Q485" t="inlineStr">
        <is>
          <t>TravelLine сайт</t>
        </is>
      </c>
      <c r="R485" s="2" t="inlineStr">
        <is>
          <t>СТАНДАРТНЫЙ ДВУХМЕСТНЫЙ НОМЕР (МАНСАРДА)</t>
        </is>
      </c>
      <c r="S485" t="n">
        <v>47</v>
      </c>
      <c r="T485" t="n">
        <v>1</v>
      </c>
      <c r="U485" t="inlineStr"/>
      <c r="V485" t="inlineStr">
        <is>
          <t>Тариф с завтраком</t>
        </is>
      </c>
      <c r="W485" t="n">
        <v>31481.5</v>
      </c>
      <c r="X485" s="3" t="n">
        <v>118.5</v>
      </c>
      <c r="Y485" t="inlineStr">
        <is>
          <t>1.5%</t>
        </is>
      </c>
      <c r="Z485" t="inlineStr">
        <is>
          <t>2026-08-18</t>
        </is>
      </c>
      <c r="AA485" s="3" t="n">
        <v>31481.5</v>
      </c>
      <c r="AB485" t="inlineStr">
        <is>
          <t>Сошлось по ночным тарифам</t>
        </is>
      </c>
      <c r="AC485" s="2" t="inlineStr"/>
      <c r="AD485" t="n">
        <v>118.5</v>
      </c>
      <c r="AE485" t="n">
        <v>0</v>
      </c>
      <c r="AF485" t="inlineStr">
        <is>
          <t>Скидка добавлена к налоговой базе</t>
        </is>
      </c>
      <c r="AG485" t="n">
        <v>31600</v>
      </c>
      <c r="AH485" t="n">
        <v>31481.5</v>
      </c>
      <c r="AI485" t="inlineStr">
        <is>
          <t>Полное проживание в выбранном периоде</t>
        </is>
      </c>
    </row>
    <row r="486">
      <c r="A486" t="inlineStr">
        <is>
          <t>20260817-8186-445978911</t>
        </is>
      </c>
      <c r="B486" t="n">
        <v>1</v>
      </c>
      <c r="C486" s="2" t="inlineStr">
        <is>
          <t>ЕЛИЗАВЕТА ГОРБАЧ, АННА МАЛЬНЕВА</t>
        </is>
      </c>
      <c r="D486" s="3" t="n">
        <v>53400</v>
      </c>
      <c r="E486" s="4" t="n">
        <v>18</v>
      </c>
      <c r="F486" t="inlineStr">
        <is>
          <t>Яндекс.Путешествия [Чайковский]</t>
        </is>
      </c>
      <c r="G486" s="3">
        <f>ROUND(D486/(100-E486)*100,2)</f>
        <v/>
      </c>
      <c r="H486" s="3" t="n">
        <v>0</v>
      </c>
      <c r="I486" s="3">
        <f>ROUND(IF(ISNUMBER(AG486),AG486,G486)+H486,2)</f>
        <v/>
      </c>
      <c r="J486" s="2" t="inlineStr">
        <is>
          <t>Завтрак "Шведский стол"</t>
        </is>
      </c>
      <c r="K486" s="5" t="n">
        <v>46251.58333333334</v>
      </c>
      <c r="L486" t="n">
        <v>5</v>
      </c>
      <c r="M486" s="3">
        <f>I486/L486</f>
        <v/>
      </c>
      <c r="N486">
        <f>IF(M486&gt;=5100,"ставка","мин.ставка")</f>
        <v/>
      </c>
      <c r="O486" s="3">
        <f>ROUND(IF(N486="мин.ставка",L486*100,I486/102*2),2)</f>
        <v/>
      </c>
      <c r="P486" s="5" t="n">
        <v>46256.5</v>
      </c>
      <c r="Q486" t="inlineStr">
        <is>
          <t>TravelLine YAX</t>
        </is>
      </c>
      <c r="R486" s="2" t="inlineStr">
        <is>
          <t>СТАНДАРТНЫЙ ДВУХМЕСТНЫЙ НОМЕР</t>
        </is>
      </c>
      <c r="S486" t="n">
        <v>36</v>
      </c>
      <c r="T486" t="n">
        <v>1</v>
      </c>
      <c r="U486" t="inlineStr"/>
      <c r="V486" t="inlineStr">
        <is>
          <t>Тариф с завтраком</t>
        </is>
      </c>
      <c r="W486" t="n">
        <v>53400</v>
      </c>
      <c r="X486" s="3" t="n">
        <v>13350</v>
      </c>
      <c r="Y486" t="inlineStr">
        <is>
          <t>20%</t>
        </is>
      </c>
      <c r="Z486" t="inlineStr">
        <is>
          <t>2026-08-17, 2026-08-18, 2026-08-19, 2026-08-20, 2026-08-21</t>
        </is>
      </c>
      <c r="AA486" s="3" t="n">
        <v>53400</v>
      </c>
      <c r="AB486" t="inlineStr">
        <is>
          <t>Сошлось по ночным тарифам</t>
        </is>
      </c>
      <c r="AC486" s="2" t="inlineStr"/>
      <c r="AD486" t="n">
        <v>13350</v>
      </c>
      <c r="AE486" t="n">
        <v>0</v>
      </c>
      <c r="AF486" t="inlineStr">
        <is>
          <t>Скидка добавлена к налоговой базе</t>
        </is>
      </c>
      <c r="AG486" t="n">
        <v>66750</v>
      </c>
      <c r="AH486" t="n">
        <v>53400</v>
      </c>
      <c r="AI486" t="inlineStr">
        <is>
          <t>Полное проживание в выбранном периоде</t>
        </is>
      </c>
    </row>
    <row r="487">
      <c r="A487" t="inlineStr">
        <is>
          <t>20260910-8186-439466148</t>
        </is>
      </c>
      <c r="B487" t="n">
        <v>1</v>
      </c>
      <c r="C487" s="2" t="inlineStr">
        <is>
          <t>Елизавета Сыщикова, АЛЕКСАНДР ВОЗНЮК</t>
        </is>
      </c>
      <c r="D487" s="3" t="n">
        <v>29700</v>
      </c>
      <c r="E487" s="4" t="n">
        <v>0</v>
      </c>
      <c r="F487" t="inlineStr">
        <is>
          <t>Прямые бронирования (стойка) [Чайковский]</t>
        </is>
      </c>
      <c r="G487" s="3">
        <f>ROUND(D487/(100-E487)*100,2)</f>
        <v/>
      </c>
      <c r="H487" s="3" t="n">
        <v>0</v>
      </c>
      <c r="I487" s="3">
        <f>ROUND(IF(ISNUMBER(AG487),AG487,G487)+H487,2)</f>
        <v/>
      </c>
      <c r="J487" s="2" t="inlineStr">
        <is>
          <t>Завтрак "Шведский стол"</t>
        </is>
      </c>
      <c r="K487" s="5" t="n">
        <v>46275.58333333334</v>
      </c>
      <c r="L487" t="n">
        <v>2</v>
      </c>
      <c r="M487" s="3">
        <f>I487/L487</f>
        <v/>
      </c>
      <c r="N487">
        <f>IF(M487&gt;=5100,"ставка","мин.ставка")</f>
        <v/>
      </c>
      <c r="O487" s="3">
        <f>ROUND(IF(N487="мин.ставка",L487*100,I487/102*2),2)</f>
        <v/>
      </c>
      <c r="P487" s="5" t="n">
        <v>46277.5</v>
      </c>
      <c r="Q487" t="inlineStr">
        <is>
          <t>TravelLine ресепшен</t>
        </is>
      </c>
      <c r="R487" s="2" t="inlineStr">
        <is>
          <t>ПОЛУЛЮКС</t>
        </is>
      </c>
      <c r="S487" t="n">
        <v>35</v>
      </c>
      <c r="T487" t="n">
        <v>1</v>
      </c>
      <c r="U487" t="inlineStr"/>
      <c r="V487" t="inlineStr">
        <is>
          <t>Тариф с завтраком</t>
        </is>
      </c>
      <c r="W487" t="n">
        <v>29700</v>
      </c>
      <c r="X487" s="3" t="n">
        <v>3300</v>
      </c>
      <c r="Y487" t="inlineStr">
        <is>
          <t>10%</t>
        </is>
      </c>
      <c r="Z487" t="inlineStr">
        <is>
          <t>2026-09-10, 2026-09-11</t>
        </is>
      </c>
      <c r="AA487" s="3" t="n">
        <v>29700</v>
      </c>
      <c r="AB487" t="inlineStr">
        <is>
          <t>Сошлось по ночным тарифам</t>
        </is>
      </c>
      <c r="AC487" s="2" t="inlineStr"/>
      <c r="AD487" t="n">
        <v>3300</v>
      </c>
      <c r="AE487" t="n">
        <v>0</v>
      </c>
      <c r="AF487" t="inlineStr">
        <is>
          <t>Скидка добавлена к налоговой базе</t>
        </is>
      </c>
      <c r="AG487" t="n">
        <v>33000</v>
      </c>
      <c r="AH487" t="n">
        <v>29700</v>
      </c>
      <c r="AI487" t="inlineStr">
        <is>
          <t>Полное проживание в выбранном периоде</t>
        </is>
      </c>
    </row>
    <row r="488">
      <c r="A488" t="inlineStr">
        <is>
          <t>20260913-8186-455450563</t>
        </is>
      </c>
      <c r="B488" t="n">
        <v>1</v>
      </c>
      <c r="C488" s="2" t="inlineStr">
        <is>
          <t>Жанна Денисова</t>
        </is>
      </c>
      <c r="D488" s="3" t="n">
        <v>56750</v>
      </c>
      <c r="E488" s="4" t="n">
        <v>0</v>
      </c>
      <c r="F488" t="inlineStr">
        <is>
          <t>Прямые бронирования (стойка) [Чайковский]</t>
        </is>
      </c>
      <c r="G488" s="3">
        <f>ROUND(D488/(100-E488)*100,2)</f>
        <v/>
      </c>
      <c r="H488" s="3" t="n">
        <v>5675</v>
      </c>
      <c r="I488" s="3">
        <f>ROUND(IF(ISNUMBER(AG488),AG488,G488)+H488,2)</f>
        <v/>
      </c>
      <c r="J488" s="2" t="inlineStr">
        <is>
          <t>Завтрак "Шведский стол"; Поздний выезд — 5 675,00 ₽</t>
        </is>
      </c>
      <c r="K488" s="5" t="n">
        <v>46278.58333333334</v>
      </c>
      <c r="L488" t="n">
        <v>5</v>
      </c>
      <c r="M488" s="3">
        <f>I488/L488</f>
        <v/>
      </c>
      <c r="N488">
        <f>IF(M488&gt;=5100,"ставка","мин.ставка")</f>
        <v/>
      </c>
      <c r="O488" s="3">
        <f>ROUND(IF(N488="мин.ставка",L488*100,I488/102*2),2)</f>
        <v/>
      </c>
      <c r="P488" s="5" t="n">
        <v>46283.75</v>
      </c>
      <c r="Q488" t="inlineStr">
        <is>
          <t>TravelLine ресепшен</t>
        </is>
      </c>
      <c r="R488" s="2" t="inlineStr">
        <is>
          <t>СТАНДАРТНЫЙ ДВУХМЕСТНЫЙ НОМЕР</t>
        </is>
      </c>
      <c r="S488" t="n">
        <v>36</v>
      </c>
      <c r="T488" t="n">
        <v>1</v>
      </c>
      <c r="U488" t="inlineStr"/>
      <c r="V488" t="inlineStr">
        <is>
          <t>Тариф с завтраком</t>
        </is>
      </c>
      <c r="W488" t="n">
        <v>62425</v>
      </c>
      <c r="X488" s="3" t="n">
        <v>0</v>
      </c>
      <c r="Y488" t="inlineStr"/>
      <c r="Z488" t="inlineStr"/>
      <c r="AA488" s="3" t="n">
        <v>56750</v>
      </c>
      <c r="AB488" t="inlineStr">
        <is>
          <t>Расхождение -5675.00 ₽</t>
        </is>
      </c>
      <c r="AC488" s="2" t="inlineStr"/>
      <c r="AD488" t="n">
        <v>0</v>
      </c>
      <c r="AE488" t="n">
        <v>0</v>
      </c>
      <c r="AF488" t="inlineStr">
        <is>
          <t>Скидки нет</t>
        </is>
      </c>
      <c r="AG488" t="n">
        <v>56750</v>
      </c>
      <c r="AH488" t="n">
        <v>56750</v>
      </c>
      <c r="AI488" t="inlineStr">
        <is>
          <t>Полное проживание в выбранном периоде</t>
        </is>
      </c>
    </row>
    <row r="489">
      <c r="A489" t="inlineStr">
        <is>
          <t>20260921-8186-458585384</t>
        </is>
      </c>
      <c r="B489" t="n">
        <v>1</v>
      </c>
      <c r="C489" s="2" t="inlineStr">
        <is>
          <t>Жанна Садовникова</t>
        </is>
      </c>
      <c r="D489" s="3" t="n">
        <v>6557</v>
      </c>
      <c r="E489" s="4" t="n">
        <v>0</v>
      </c>
      <c r="F489" t="inlineStr">
        <is>
          <t>Прямые бронирования (стойка) [Чайковский]</t>
        </is>
      </c>
      <c r="G489" s="3">
        <f>ROUND(D489/(100-E489)*100,2)</f>
        <v/>
      </c>
      <c r="H489" s="3" t="n">
        <v>0</v>
      </c>
      <c r="I489" s="3">
        <f>ROUND(IF(ISNUMBER(AG489),AG489,G489)+H489,2)</f>
        <v/>
      </c>
      <c r="J489" s="2" t="inlineStr">
        <is>
          <t>Завтрак "Шведский стол"</t>
        </is>
      </c>
      <c r="K489" s="5" t="n">
        <v>46286.58333333334</v>
      </c>
      <c r="L489" t="n">
        <v>1</v>
      </c>
      <c r="M489" s="3">
        <f>I489/L489</f>
        <v/>
      </c>
      <c r="N489">
        <f>IF(M489&gt;=5100,"ставка","мин.ставка")</f>
        <v/>
      </c>
      <c r="O489" s="3">
        <f>ROUND(IF(N489="мин.ставка",L489*100,I489/102*2),2)</f>
        <v/>
      </c>
      <c r="P489" s="5" t="n">
        <v>46287.5</v>
      </c>
      <c r="Q489" t="inlineStr">
        <is>
          <t>TravelLine CMB</t>
        </is>
      </c>
      <c r="R489" s="2" t="inlineStr">
        <is>
          <t>СТАНДАРТНЫЙ ДВУХМЕСТНЫЙ НОМЕР (МАНСАРДА)</t>
        </is>
      </c>
      <c r="S489" t="n">
        <v>43</v>
      </c>
      <c r="T489" t="n">
        <v>1</v>
      </c>
      <c r="U489" t="inlineStr"/>
      <c r="V489" t="inlineStr">
        <is>
          <t>Тариф с завтраком</t>
        </is>
      </c>
      <c r="W489" t="n">
        <v>6557</v>
      </c>
      <c r="X489" s="3" t="n">
        <v>1343</v>
      </c>
      <c r="Y489" t="inlineStr">
        <is>
          <t>17%</t>
        </is>
      </c>
      <c r="Z489" t="inlineStr">
        <is>
          <t>2026-09-21</t>
        </is>
      </c>
      <c r="AA489" s="3" t="n">
        <v>6557</v>
      </c>
      <c r="AB489" t="inlineStr">
        <is>
          <t>Сошлось по ночным тарифам</t>
        </is>
      </c>
      <c r="AC489" s="2" t="inlineStr"/>
      <c r="AD489" t="n">
        <v>1343</v>
      </c>
      <c r="AE489" t="n">
        <v>0</v>
      </c>
      <c r="AF489" t="inlineStr">
        <is>
          <t>Скидка добавлена к налоговой базе</t>
        </is>
      </c>
      <c r="AG489" t="n">
        <v>7900</v>
      </c>
      <c r="AH489" t="n">
        <v>6557</v>
      </c>
      <c r="AI489" t="inlineStr">
        <is>
          <t>Полное проживание в выбранном периоде</t>
        </is>
      </c>
    </row>
    <row r="490">
      <c r="A490" t="inlineStr">
        <is>
          <t>20260727-8186-414990787</t>
        </is>
      </c>
      <c r="B490" t="n">
        <v>1</v>
      </c>
      <c r="C490" s="2" t="inlineStr">
        <is>
          <t>Зеки Мамутов, Светлана Мамутова</t>
        </is>
      </c>
      <c r="D490" s="3" t="n">
        <v>10680</v>
      </c>
      <c r="E490" s="4" t="n">
        <v>18</v>
      </c>
      <c r="F490" t="inlineStr">
        <is>
          <t>Яндекс.Путешествия [Чайковский]</t>
        </is>
      </c>
      <c r="G490" s="3">
        <f>ROUND(D490/(100-E490)*100,2)</f>
        <v/>
      </c>
      <c r="H490" s="3" t="n">
        <v>0</v>
      </c>
      <c r="I490" s="3">
        <f>ROUND(IF(ISNUMBER(AG490),AG490,G490)+H490,2)</f>
        <v/>
      </c>
      <c r="J490" s="2" t="inlineStr">
        <is>
          <t>Завтрак "Шведский стол"</t>
        </is>
      </c>
      <c r="K490" s="5" t="n">
        <v>46230.58333333334</v>
      </c>
      <c r="L490" t="n">
        <v>1</v>
      </c>
      <c r="M490" s="3">
        <f>I490/L490</f>
        <v/>
      </c>
      <c r="N490">
        <f>IF(M490&gt;=5100,"ставка","мин.ставка")</f>
        <v/>
      </c>
      <c r="O490" s="3">
        <f>ROUND(IF(N490="мин.ставка",L490*100,I490/102*2),2)</f>
        <v/>
      </c>
      <c r="P490" s="5" t="n">
        <v>46231.5</v>
      </c>
      <c r="Q490" t="inlineStr">
        <is>
          <t>TravelLine YAX</t>
        </is>
      </c>
      <c r="R490" s="2" t="inlineStr">
        <is>
          <t>СТАНДАРТНЫЙ ДВУХМЕСТНЫЙ НОМЕР</t>
        </is>
      </c>
      <c r="S490" t="n">
        <v>23</v>
      </c>
      <c r="T490" t="n">
        <v>1</v>
      </c>
      <c r="U490" t="inlineStr"/>
      <c r="V490" t="inlineStr">
        <is>
          <t>Тариф с завтраком</t>
        </is>
      </c>
      <c r="W490" t="n">
        <v>10680</v>
      </c>
      <c r="X490" s="3" t="n">
        <v>2670</v>
      </c>
      <c r="Y490" t="inlineStr">
        <is>
          <t>20%</t>
        </is>
      </c>
      <c r="Z490" t="inlineStr">
        <is>
          <t>2026-07-27</t>
        </is>
      </c>
      <c r="AA490" s="3" t="n">
        <v>10680</v>
      </c>
      <c r="AB490" t="inlineStr">
        <is>
          <t>Сошлось по ночным тарифам</t>
        </is>
      </c>
      <c r="AC490" s="2" t="inlineStr"/>
      <c r="AD490" t="n">
        <v>2670</v>
      </c>
      <c r="AE490" t="n">
        <v>0</v>
      </c>
      <c r="AF490" t="inlineStr">
        <is>
          <t>Скидка добавлена к налоговой базе</t>
        </is>
      </c>
      <c r="AG490" t="n">
        <v>13350</v>
      </c>
      <c r="AH490" t="n">
        <v>10680</v>
      </c>
      <c r="AI490" t="inlineStr">
        <is>
          <t>Полное проживание в выбранном периоде</t>
        </is>
      </c>
    </row>
    <row r="491">
      <c r="A491" t="inlineStr">
        <is>
          <t>20260730-8186-450690442</t>
        </is>
      </c>
      <c r="B491" t="n">
        <v>1</v>
      </c>
      <c r="C491" s="2" t="inlineStr">
        <is>
          <t>Зиля Мазитова, Лейсан Садретдинова</t>
        </is>
      </c>
      <c r="D491" s="3" t="n">
        <v>45390</v>
      </c>
      <c r="E491" s="4" t="n">
        <v>0</v>
      </c>
      <c r="F491" t="inlineStr">
        <is>
          <t>ООО «ХОМЛИН ЛЭНД» (ПЕГАС) [Чайковский]</t>
        </is>
      </c>
      <c r="G491" s="3">
        <f>ROUND(D491/(100-E491)*100,2)</f>
        <v/>
      </c>
      <c r="H491" s="3" t="n">
        <v>0</v>
      </c>
      <c r="I491" s="3">
        <f>ROUND(IF(ISNUMBER(AG491),AG491,G491)+H491,2)</f>
        <v/>
      </c>
      <c r="J491" s="2" t="inlineStr">
        <is>
          <t>Завтрак "Шведский стол"</t>
        </is>
      </c>
      <c r="K491" s="5" t="n">
        <v>46233.58333333334</v>
      </c>
      <c r="L491" t="n">
        <v>4</v>
      </c>
      <c r="M491" s="3">
        <f>I491/L491</f>
        <v/>
      </c>
      <c r="N491">
        <f>IF(M491&gt;=5100,"ставка","мин.ставка")</f>
        <v/>
      </c>
      <c r="O491" s="3">
        <f>ROUND(IF(N491="мин.ставка",L491*100,I491/102*2),2)</f>
        <v/>
      </c>
      <c r="P491" s="5" t="n">
        <v>46237.5</v>
      </c>
      <c r="Q491" t="inlineStr">
        <is>
          <t>TravelLine PGS</t>
        </is>
      </c>
      <c r="R491" s="2" t="inlineStr">
        <is>
          <t>СТАНДАРТНЫЙ ДВУХМЕСТНЫЙ НОМЕР</t>
        </is>
      </c>
      <c r="S491" t="n">
        <v>22</v>
      </c>
      <c r="T491" t="n">
        <v>1</v>
      </c>
      <c r="U491" t="inlineStr"/>
      <c r="V491" t="inlineStr">
        <is>
          <t>Тариф с завтраком</t>
        </is>
      </c>
      <c r="W491" t="n">
        <v>45390</v>
      </c>
      <c r="X491" s="3" t="n">
        <v>8010</v>
      </c>
      <c r="Y491" t="inlineStr">
        <is>
          <t>15%</t>
        </is>
      </c>
      <c r="Z491" t="inlineStr">
        <is>
          <t>2026-07-30, 2026-07-31, 2026-08-01, 2026-08-02</t>
        </is>
      </c>
      <c r="AA491" s="3" t="n">
        <v>45390</v>
      </c>
      <c r="AB491" t="inlineStr">
        <is>
          <t>Сошлось по ночным тарифам</t>
        </is>
      </c>
      <c r="AC491" s="2" t="inlineStr"/>
      <c r="AD491" t="n">
        <v>8010</v>
      </c>
      <c r="AE491" t="n">
        <v>0</v>
      </c>
      <c r="AF491" t="inlineStr">
        <is>
          <t>Скидка добавлена к налоговой базе</t>
        </is>
      </c>
      <c r="AG491" t="n">
        <v>53400</v>
      </c>
      <c r="AH491" t="n">
        <v>45390</v>
      </c>
      <c r="AI491" t="inlineStr">
        <is>
          <t>Полное проживание в выбранном периоде</t>
        </is>
      </c>
    </row>
    <row r="492">
      <c r="A492" t="inlineStr">
        <is>
          <t>20260828-8186-461344488</t>
        </is>
      </c>
      <c r="B492" t="n">
        <v>1</v>
      </c>
      <c r="C492" s="2" t="inlineStr">
        <is>
          <t>ЗОЯ КОВНАЦКАЯ, Илья Романов</t>
        </is>
      </c>
      <c r="D492" s="3" t="n">
        <v>26286.15</v>
      </c>
      <c r="E492" s="4" t="n">
        <v>4</v>
      </c>
      <c r="F492" t="inlineStr">
        <is>
          <t>TravelLine Booking Engine [Чайковский]</t>
        </is>
      </c>
      <c r="G492" s="3">
        <f>ROUND(D492/(100-E492)*100,2)</f>
        <v/>
      </c>
      <c r="H492" s="3" t="n">
        <v>0</v>
      </c>
      <c r="I492" s="3">
        <f>ROUND(IF(ISNUMBER(AG492),AG492,G492)+H492,2)</f>
        <v/>
      </c>
      <c r="J492" s="2" t="inlineStr">
        <is>
          <t>Завтрак "Шведский стол"</t>
        </is>
      </c>
      <c r="K492" s="5" t="n">
        <v>46262.58333333334</v>
      </c>
      <c r="L492" t="n">
        <v>2</v>
      </c>
      <c r="M492" s="3">
        <f>I492/L492</f>
        <v/>
      </c>
      <c r="N492">
        <f>IF(M492&gt;=5100,"ставка","мин.ставка")</f>
        <v/>
      </c>
      <c r="O492" s="3">
        <f>ROUND(IF(N492="мин.ставка",L492*100,I492/102*2),2)</f>
        <v/>
      </c>
      <c r="P492" s="5" t="n">
        <v>46264.5</v>
      </c>
      <c r="Q492" t="inlineStr">
        <is>
          <t>TravelLine сайт</t>
        </is>
      </c>
      <c r="R492" s="2" t="inlineStr">
        <is>
          <t>СТАНДАРТНЫЙ ДВУХМЕСТНЫЙ НОМЕР</t>
        </is>
      </c>
      <c r="S492" t="n">
        <v>26</v>
      </c>
      <c r="T492" t="n">
        <v>1</v>
      </c>
      <c r="U492" t="inlineStr"/>
      <c r="V492" t="inlineStr">
        <is>
          <t>Тариф с завтраком</t>
        </is>
      </c>
      <c r="W492" t="n">
        <v>26286.15</v>
      </c>
      <c r="X492" s="3" t="n">
        <v>413.85</v>
      </c>
      <c r="Y492" t="inlineStr">
        <is>
          <t>3.1%</t>
        </is>
      </c>
      <c r="Z492" t="inlineStr">
        <is>
          <t>2026-08-28</t>
        </is>
      </c>
      <c r="AA492" s="3" t="n">
        <v>26286.15</v>
      </c>
      <c r="AB492" t="inlineStr">
        <is>
          <t>Сошлось по ночным тарифам</t>
        </is>
      </c>
      <c r="AC492" s="2" t="inlineStr"/>
      <c r="AD492" t="n">
        <v>413.85</v>
      </c>
      <c r="AE492" t="n">
        <v>0</v>
      </c>
      <c r="AF492" t="inlineStr">
        <is>
          <t>Скидка добавлена к налоговой базе</t>
        </is>
      </c>
      <c r="AG492" t="n">
        <v>26700</v>
      </c>
      <c r="AH492" t="n">
        <v>26286.15</v>
      </c>
      <c r="AI492" t="inlineStr">
        <is>
          <t>Полное проживание в выбранном периоде</t>
        </is>
      </c>
    </row>
    <row r="493">
      <c r="A493" t="inlineStr">
        <is>
          <t>20260913-8186-465006249</t>
        </is>
      </c>
      <c r="B493" t="n">
        <v>1</v>
      </c>
      <c r="C493" s="2" t="inlineStr">
        <is>
          <t>Зураб Кикалишвили, Ирина Черенкова</t>
        </is>
      </c>
      <c r="D493" s="3" t="n">
        <v>63910</v>
      </c>
      <c r="E493" s="4" t="n">
        <v>17</v>
      </c>
      <c r="F493" t="inlineStr">
        <is>
          <t>ООО «Интернет Трэвел» (OZON) [Чайковский]</t>
        </is>
      </c>
      <c r="G493" s="3">
        <f>ROUND(D493/(100-E493)*100,2)</f>
        <v/>
      </c>
      <c r="H493" s="3" t="n">
        <v>0</v>
      </c>
      <c r="I493" s="3">
        <f>ROUND(IF(ISNUMBER(AG493),AG493,G493)+H493,2)</f>
        <v/>
      </c>
      <c r="J493" s="2" t="inlineStr">
        <is>
          <t>Завтрак "Шведский стол"</t>
        </is>
      </c>
      <c r="K493" s="5" t="n">
        <v>46278.58333333334</v>
      </c>
      <c r="L493" t="n">
        <v>5</v>
      </c>
      <c r="M493" s="3">
        <f>I493/L493</f>
        <v/>
      </c>
      <c r="N493">
        <f>IF(M493&gt;=5100,"ставка","мин.ставка")</f>
        <v/>
      </c>
      <c r="O493" s="3">
        <f>ROUND(IF(N493="мин.ставка",L493*100,I493/102*2),2)</f>
        <v/>
      </c>
      <c r="P493" s="5" t="n">
        <v>46283.5</v>
      </c>
      <c r="Q493" t="inlineStr">
        <is>
          <t>TravelLine OZ2</t>
        </is>
      </c>
      <c r="R493" s="2" t="inlineStr">
        <is>
          <t>УЛУЧШЕННЫЙ ДВУХМЕСТНЫЙ НОМЕР</t>
        </is>
      </c>
      <c r="S493" t="n">
        <v>21</v>
      </c>
      <c r="T493" t="n">
        <v>1</v>
      </c>
      <c r="U493" t="inlineStr"/>
      <c r="V493" t="inlineStr">
        <is>
          <t>Тариф с завтраком</t>
        </is>
      </c>
      <c r="W493" t="n">
        <v>63910</v>
      </c>
      <c r="X493" s="3" t="n">
        <v>13090</v>
      </c>
      <c r="Y493" t="inlineStr">
        <is>
          <t>17%</t>
        </is>
      </c>
      <c r="Z493" t="inlineStr">
        <is>
          <t>2026-09-13, 2026-09-14, 2026-09-15, 2026-09-16, 2026-09-17</t>
        </is>
      </c>
      <c r="AA493" s="3" t="n">
        <v>63910</v>
      </c>
      <c r="AB493" t="inlineStr">
        <is>
          <t>Сошлось по ночным тарифам</t>
        </is>
      </c>
      <c r="AC493" s="2" t="inlineStr"/>
      <c r="AD493" t="n">
        <v>13090</v>
      </c>
      <c r="AE493" t="n">
        <v>0</v>
      </c>
      <c r="AF493" t="inlineStr">
        <is>
          <t>Скидка добавлена к налоговой базе</t>
        </is>
      </c>
      <c r="AG493" t="n">
        <v>77000</v>
      </c>
      <c r="AH493" t="n">
        <v>63910</v>
      </c>
      <c r="AI493" t="inlineStr">
        <is>
          <t>Полное проживание в выбранном периоде</t>
        </is>
      </c>
    </row>
    <row r="494">
      <c r="A494" t="inlineStr">
        <is>
          <t>20260903-8186-463379903</t>
        </is>
      </c>
      <c r="B494" t="n">
        <v>1</v>
      </c>
      <c r="C494" s="2" t="inlineStr">
        <is>
          <t>и Грунтович</t>
        </is>
      </c>
      <c r="D494" s="3" t="n">
        <v>12936</v>
      </c>
      <c r="E494" s="4" t="n">
        <v>0</v>
      </c>
      <c r="F494" t="inlineStr">
        <is>
          <t>Прямые бронирования (стойка) [Чайковский]</t>
        </is>
      </c>
      <c r="G494" s="3">
        <f>ROUND(D494/(100-E494)*100,2)</f>
        <v/>
      </c>
      <c r="H494" s="3" t="n">
        <v>0</v>
      </c>
      <c r="I494" s="3">
        <f>ROUND(IF(ISNUMBER(AG494),AG494,G494)+H494,2)</f>
        <v/>
      </c>
      <c r="J494" s="2" t="inlineStr">
        <is>
          <t>Завтрак "Шведский стол"</t>
        </is>
      </c>
      <c r="K494" s="5" t="n">
        <v>46268.58333333334</v>
      </c>
      <c r="L494" t="n">
        <v>1</v>
      </c>
      <c r="M494" s="3">
        <f>I494/L494</f>
        <v/>
      </c>
      <c r="N494">
        <f>IF(M494&gt;=5100,"ставка","мин.ставка")</f>
        <v/>
      </c>
      <c r="O494" s="3">
        <f>ROUND(IF(N494="мин.ставка",L494*100,I494/102*2),2)</f>
        <v/>
      </c>
      <c r="P494" s="5" t="n">
        <v>46269.5</v>
      </c>
      <c r="Q494" t="inlineStr">
        <is>
          <t>TravelLine ресепшен</t>
        </is>
      </c>
      <c r="R494" s="2" t="inlineStr">
        <is>
          <t>УЛУЧШЕННЫЙ ДВУХМЕСТНЫЙ НОМЕР</t>
        </is>
      </c>
      <c r="S494" t="n">
        <v>31</v>
      </c>
      <c r="T494" t="n">
        <v>1</v>
      </c>
      <c r="U494" t="inlineStr"/>
      <c r="V494" t="inlineStr">
        <is>
          <t>Тариф с завтраком</t>
        </is>
      </c>
      <c r="W494" t="n">
        <v>12936</v>
      </c>
      <c r="X494" s="3" t="n">
        <v>2464</v>
      </c>
      <c r="Y494" t="inlineStr">
        <is>
          <t>16%</t>
        </is>
      </c>
      <c r="Z494" t="inlineStr">
        <is>
          <t>2026-09-03</t>
        </is>
      </c>
      <c r="AA494" s="3" t="n">
        <v>12936</v>
      </c>
      <c r="AB494" t="inlineStr">
        <is>
          <t>Сошлось по ночным тарифам</t>
        </is>
      </c>
      <c r="AC494" s="2" t="inlineStr"/>
      <c r="AD494" t="n">
        <v>2464</v>
      </c>
      <c r="AE494" t="n">
        <v>0</v>
      </c>
      <c r="AF494" t="inlineStr">
        <is>
          <t>Скидка добавлена к налоговой базе</t>
        </is>
      </c>
      <c r="AG494" t="n">
        <v>15400</v>
      </c>
      <c r="AH494" t="n">
        <v>12936</v>
      </c>
      <c r="AI494" t="inlineStr">
        <is>
          <t>Полное проживание в выбранном периоде</t>
        </is>
      </c>
    </row>
    <row r="495">
      <c r="A495" t="inlineStr">
        <is>
          <t>20260724-8186-452688342</t>
        </is>
      </c>
      <c r="B495" t="n">
        <v>1</v>
      </c>
      <c r="C495" s="2" t="inlineStr">
        <is>
          <t>и Картвелишвилли</t>
        </is>
      </c>
      <c r="D495" s="3" t="n">
        <v>13350</v>
      </c>
      <c r="E495" s="4" t="n">
        <v>0</v>
      </c>
      <c r="F495" t="inlineStr">
        <is>
          <t>Прямые бронирования (стойка) [Чайковский]</t>
        </is>
      </c>
      <c r="G495" s="3">
        <f>ROUND(D495/(100-E495)*100,2)</f>
        <v/>
      </c>
      <c r="H495" s="3" t="n">
        <v>0</v>
      </c>
      <c r="I495" s="3">
        <f>ROUND(IF(ISNUMBER(AG495),AG495,G495)+H495,2)</f>
        <v/>
      </c>
      <c r="J495" s="2" t="inlineStr">
        <is>
          <t>Завтрак "Шведский стол"</t>
        </is>
      </c>
      <c r="K495" s="5" t="n">
        <v>46227.58333333334</v>
      </c>
      <c r="L495" t="n">
        <v>1</v>
      </c>
      <c r="M495" s="3">
        <f>I495/L495</f>
        <v/>
      </c>
      <c r="N495">
        <f>IF(M495&gt;=5100,"ставка","мин.ставка")</f>
        <v/>
      </c>
      <c r="O495" s="3">
        <f>ROUND(IF(N495="мин.ставка",L495*100,I495/102*2),2)</f>
        <v/>
      </c>
      <c r="P495" s="5" t="n">
        <v>46228.5</v>
      </c>
      <c r="Q495" t="inlineStr">
        <is>
          <t>TravelLine ресепшен</t>
        </is>
      </c>
      <c r="R495" s="2" t="inlineStr">
        <is>
          <t>СТАНДАРТНЫЙ ДВУХМЕСТНЫЙ НОМЕР</t>
        </is>
      </c>
      <c r="S495" t="n">
        <v>32</v>
      </c>
      <c r="T495" t="n">
        <v>1</v>
      </c>
      <c r="U495" t="inlineStr"/>
      <c r="V495" t="inlineStr">
        <is>
          <t>Тариф с завтраком</t>
        </is>
      </c>
      <c r="W495" t="n">
        <v>13350</v>
      </c>
      <c r="X495" s="3" t="n">
        <v>0</v>
      </c>
      <c r="Y495" t="inlineStr"/>
      <c r="Z495" t="inlineStr"/>
      <c r="AA495" s="3" t="n">
        <v>13350</v>
      </c>
      <c r="AB495" t="inlineStr">
        <is>
          <t>Сошлось по ночным тарифам</t>
        </is>
      </c>
      <c r="AC495" s="2" t="inlineStr"/>
      <c r="AD495" t="n">
        <v>0</v>
      </c>
      <c r="AE495" t="n">
        <v>0</v>
      </c>
      <c r="AF495" t="inlineStr">
        <is>
          <t>Скидки нет</t>
        </is>
      </c>
      <c r="AG495" t="n">
        <v>13350</v>
      </c>
      <c r="AH495" t="n">
        <v>13350</v>
      </c>
      <c r="AI495" t="inlineStr">
        <is>
          <t>Полное проживание в выбранном периоде</t>
        </is>
      </c>
    </row>
    <row r="496">
      <c r="A496" t="inlineStr">
        <is>
          <t>20260825-8186-461132014</t>
        </is>
      </c>
      <c r="B496" t="n">
        <v>1</v>
      </c>
      <c r="C496" s="2" t="inlineStr">
        <is>
          <t>и Киташина</t>
        </is>
      </c>
      <c r="D496" s="3" t="n">
        <v>40050</v>
      </c>
      <c r="E496" s="4" t="n">
        <v>0</v>
      </c>
      <c r="F496" t="inlineStr">
        <is>
          <t>Прямые бронирования (стойка) [Чайковский]</t>
        </is>
      </c>
      <c r="G496" s="3">
        <f>ROUND(D496/(100-E496)*100,2)</f>
        <v/>
      </c>
      <c r="H496" s="3" t="n">
        <v>0</v>
      </c>
      <c r="I496" s="3">
        <f>ROUND(IF(ISNUMBER(AG496),AG496,G496)+H496,2)</f>
        <v/>
      </c>
      <c r="J496" s="2" t="inlineStr">
        <is>
          <t>Завтрак "Шведский стол"</t>
        </is>
      </c>
      <c r="K496" s="5" t="n">
        <v>46259.58333333334</v>
      </c>
      <c r="L496" t="n">
        <v>3</v>
      </c>
      <c r="M496" s="3">
        <f>I496/L496</f>
        <v/>
      </c>
      <c r="N496">
        <f>IF(M496&gt;=5100,"ставка","мин.ставка")</f>
        <v/>
      </c>
      <c r="O496" s="3">
        <f>ROUND(IF(N496="мин.ставка",L496*100,I496/102*2),2)</f>
        <v/>
      </c>
      <c r="P496" s="5" t="n">
        <v>46262.5</v>
      </c>
      <c r="Q496" t="inlineStr">
        <is>
          <t>TravelLine ресепшен</t>
        </is>
      </c>
      <c r="R496" s="2" t="inlineStr">
        <is>
          <t>СТАНДАРТНЫЙ ДВУХМЕСТНЫЙ НОМЕР</t>
        </is>
      </c>
      <c r="S496" t="n">
        <v>22</v>
      </c>
      <c r="T496" t="n">
        <v>1</v>
      </c>
      <c r="U496" t="inlineStr"/>
      <c r="V496" t="inlineStr">
        <is>
          <t>Тариф с завтраком</t>
        </is>
      </c>
      <c r="W496" t="n">
        <v>40050</v>
      </c>
      <c r="X496" s="3" t="n">
        <v>0</v>
      </c>
      <c r="Y496" t="inlineStr"/>
      <c r="Z496" t="inlineStr"/>
      <c r="AA496" s="3" t="n">
        <v>40050</v>
      </c>
      <c r="AB496" t="inlineStr">
        <is>
          <t>Сошлось по ночным тарифам</t>
        </is>
      </c>
      <c r="AC496" s="2" t="inlineStr"/>
      <c r="AD496" t="n">
        <v>0</v>
      </c>
      <c r="AE496" t="n">
        <v>0</v>
      </c>
      <c r="AF496" t="inlineStr">
        <is>
          <t>Скидки нет</t>
        </is>
      </c>
      <c r="AG496" t="n">
        <v>40050</v>
      </c>
      <c r="AH496" t="n">
        <v>40050</v>
      </c>
      <c r="AI496" t="inlineStr">
        <is>
          <t>Полное проживание в выбранном периоде</t>
        </is>
      </c>
    </row>
    <row r="497">
      <c r="A497" t="inlineStr">
        <is>
          <t>20260805-8186-455800466</t>
        </is>
      </c>
      <c r="B497" t="n">
        <v>1</v>
      </c>
      <c r="C497" s="2" t="inlineStr">
        <is>
          <t>и Кочин</t>
        </is>
      </c>
      <c r="D497" s="3" t="n">
        <v>15400</v>
      </c>
      <c r="E497" s="4" t="n">
        <v>0</v>
      </c>
      <c r="F497" t="inlineStr">
        <is>
          <t>Прямые бронирования (стойка) [Чайковский]</t>
        </is>
      </c>
      <c r="G497" s="3">
        <f>ROUND(D497/(100-E497)*100,2)</f>
        <v/>
      </c>
      <c r="H497" s="3" t="n">
        <v>0</v>
      </c>
      <c r="I497" s="3">
        <f>ROUND(IF(ISNUMBER(AG497),AG497,G497)+H497,2)</f>
        <v/>
      </c>
      <c r="J497" s="2" t="inlineStr">
        <is>
          <t>Завтрак "Шведский стол"</t>
        </is>
      </c>
      <c r="K497" s="5" t="n">
        <v>46239.58333333334</v>
      </c>
      <c r="L497" t="n">
        <v>2</v>
      </c>
      <c r="M497" s="3">
        <f>I497/L497</f>
        <v/>
      </c>
      <c r="N497">
        <f>IF(M497&gt;=5100,"ставка","мин.ставка")</f>
        <v/>
      </c>
      <c r="O497" s="3">
        <f>ROUND(IF(N497="мин.ставка",L497*100,I497/102*2),2)</f>
        <v/>
      </c>
      <c r="P497" s="5" t="n">
        <v>46241.5</v>
      </c>
      <c r="Q497" t="inlineStr">
        <is>
          <t>TravelLine ресепшен</t>
        </is>
      </c>
      <c r="R497" s="2" t="inlineStr">
        <is>
          <t>СТАНДАРТНЫЙ ОДНОМЕСТНЫЙ НОМЕР</t>
        </is>
      </c>
      <c r="S497" t="n">
        <v>34</v>
      </c>
      <c r="T497" t="n">
        <v>1</v>
      </c>
      <c r="U497" t="inlineStr"/>
      <c r="V497" t="inlineStr">
        <is>
          <t>Тариф с завтраком</t>
        </is>
      </c>
      <c r="W497" t="n">
        <v>15400</v>
      </c>
      <c r="X497" s="3" t="n">
        <v>0</v>
      </c>
      <c r="Y497" t="inlineStr"/>
      <c r="Z497" t="inlineStr"/>
      <c r="AA497" s="3" t="n">
        <v>15400</v>
      </c>
      <c r="AB497" t="inlineStr">
        <is>
          <t>Сошлось по ночным тарифам</t>
        </is>
      </c>
      <c r="AC497" s="2" t="inlineStr"/>
      <c r="AD497" t="n">
        <v>0</v>
      </c>
      <c r="AE497" t="n">
        <v>0</v>
      </c>
      <c r="AF497" t="inlineStr">
        <is>
          <t>Скидки нет</t>
        </is>
      </c>
      <c r="AG497" t="n">
        <v>15400</v>
      </c>
      <c r="AH497" t="n">
        <v>15400</v>
      </c>
      <c r="AI497" t="inlineStr">
        <is>
          <t>Полное проживание в выбранном периоде</t>
        </is>
      </c>
    </row>
    <row r="498">
      <c r="A498" t="inlineStr">
        <is>
          <t>20260817-8186-442297769</t>
        </is>
      </c>
      <c r="B498" t="n">
        <v>1</v>
      </c>
      <c r="C498" s="2" t="inlineStr">
        <is>
          <t>ИВАН АНДРЕЕВ</t>
        </is>
      </c>
      <c r="D498" s="3" t="n">
        <v>45229.75</v>
      </c>
      <c r="E498" s="4" t="n">
        <v>4</v>
      </c>
      <c r="F498" t="inlineStr">
        <is>
          <t>TravelLine Booking Engine [Чайковский]</t>
        </is>
      </c>
      <c r="G498" s="3">
        <f>ROUND(D498/(100-E498)*100,2)</f>
        <v/>
      </c>
      <c r="H498" s="3" t="n">
        <v>0</v>
      </c>
      <c r="I498" s="3">
        <f>ROUND(IF(ISNUMBER(AG498),AG498,G498)+H498,2)</f>
        <v/>
      </c>
      <c r="J498" s="2" t="inlineStr">
        <is>
          <t>Завтрак "Шведский стол"</t>
        </is>
      </c>
      <c r="K498" s="5" t="n">
        <v>46251.58333333334</v>
      </c>
      <c r="L498" t="n">
        <v>4</v>
      </c>
      <c r="M498" s="3">
        <f>I498/L498</f>
        <v/>
      </c>
      <c r="N498">
        <f>IF(M498&gt;=5100,"ставка","мин.ставка")</f>
        <v/>
      </c>
      <c r="O498" s="3">
        <f>ROUND(IF(N498="мин.ставка",L498*100,I498/102*2),2)</f>
        <v/>
      </c>
      <c r="P498" s="5" t="n">
        <v>46255.5</v>
      </c>
      <c r="Q498" t="inlineStr">
        <is>
          <t>TravelLine сайт</t>
        </is>
      </c>
      <c r="R498" s="2" t="inlineStr">
        <is>
          <t>СТАНДАРТНЫЙ ДВУХМЕСТНЫЙ НОМЕР</t>
        </is>
      </c>
      <c r="S498" t="n">
        <v>33</v>
      </c>
      <c r="T498" t="n">
        <v>1</v>
      </c>
      <c r="U498" t="inlineStr"/>
      <c r="V498" t="inlineStr">
        <is>
          <t>Тариф с завтраком</t>
        </is>
      </c>
      <c r="W498" t="n">
        <v>98628.75</v>
      </c>
      <c r="X498" s="3" t="n">
        <v>170.25</v>
      </c>
      <c r="Y498" t="inlineStr">
        <is>
          <t>1.5%</t>
        </is>
      </c>
      <c r="Z498" t="inlineStr">
        <is>
          <t>2026-08-17</t>
        </is>
      </c>
      <c r="AA498" s="3" t="n">
        <v>45229.75</v>
      </c>
      <c r="AB498" t="inlineStr">
        <is>
          <t>Сошлось по ночным тарифам</t>
        </is>
      </c>
      <c r="AC498" s="2" t="inlineStr"/>
      <c r="AD498" t="n">
        <v>170.25</v>
      </c>
      <c r="AE498" t="n">
        <v>0</v>
      </c>
      <c r="AF498" t="inlineStr">
        <is>
          <t>Скидка добавлена к налоговой базе</t>
        </is>
      </c>
      <c r="AG498" t="n">
        <v>45400</v>
      </c>
      <c r="AH498" t="n">
        <v>45229.75</v>
      </c>
      <c r="AI498" t="inlineStr">
        <is>
          <t>Полное проживание в выбранном периоде</t>
        </is>
      </c>
    </row>
    <row r="499">
      <c r="A499" t="inlineStr">
        <is>
          <t>20260805-8186-450472293</t>
        </is>
      </c>
      <c r="B499" t="n">
        <v>1</v>
      </c>
      <c r="C499" s="2" t="inlineStr">
        <is>
          <t>ИВАН БУЛЬДЕНКОВ</t>
        </is>
      </c>
      <c r="D499" s="3" t="n">
        <v>5852</v>
      </c>
      <c r="E499" s="4" t="n">
        <v>18</v>
      </c>
      <c r="F499" t="inlineStr">
        <is>
          <t>Яндекс.Путешествия [Чайковский]</t>
        </is>
      </c>
      <c r="G499" s="3">
        <f>ROUND(D499/(100-E499)*100,2)</f>
        <v/>
      </c>
      <c r="H499" s="3" t="n">
        <v>0</v>
      </c>
      <c r="I499" s="3">
        <f>ROUND(IF(ISNUMBER(AG499),AG499,G499)+H499,2)</f>
        <v/>
      </c>
      <c r="J499" s="2" t="inlineStr">
        <is>
          <t>Завтрак "Шведский стол"</t>
        </is>
      </c>
      <c r="K499" s="5" t="n">
        <v>46239.58333333334</v>
      </c>
      <c r="L499" t="n">
        <v>1</v>
      </c>
      <c r="M499" s="3">
        <f>I499/L499</f>
        <v/>
      </c>
      <c r="N499">
        <f>IF(M499&gt;=5100,"ставка","мин.ставка")</f>
        <v/>
      </c>
      <c r="O499" s="3">
        <f>ROUND(IF(N499="мин.ставка",L499*100,I499/102*2),2)</f>
        <v/>
      </c>
      <c r="P499" s="5" t="n">
        <v>46240.5</v>
      </c>
      <c r="Q499" t="inlineStr">
        <is>
          <t>TravelLine YAX</t>
        </is>
      </c>
      <c r="R499" s="2" t="inlineStr">
        <is>
          <t>СТАНДАРТНЫЙ ОДНОМЕСТНЫЙ НОМЕР</t>
        </is>
      </c>
      <c r="S499" t="n">
        <v>24</v>
      </c>
      <c r="T499" t="n">
        <v>1</v>
      </c>
      <c r="U499" t="inlineStr"/>
      <c r="V499" t="inlineStr">
        <is>
          <t>Тариф с завтраком</t>
        </is>
      </c>
      <c r="W499" t="n">
        <v>5852</v>
      </c>
      <c r="X499" s="3" t="n">
        <v>1463</v>
      </c>
      <c r="Y499" t="inlineStr">
        <is>
          <t>20%</t>
        </is>
      </c>
      <c r="Z499" t="inlineStr">
        <is>
          <t>2026-08-05</t>
        </is>
      </c>
      <c r="AA499" s="3" t="n">
        <v>5852</v>
      </c>
      <c r="AB499" t="inlineStr">
        <is>
          <t>Сошлось по ночным тарифам</t>
        </is>
      </c>
      <c r="AC499" s="2" t="inlineStr"/>
      <c r="AD499" t="n">
        <v>1463</v>
      </c>
      <c r="AE499" t="n">
        <v>0</v>
      </c>
      <c r="AF499" t="inlineStr">
        <is>
          <t>Скидка добавлена к налоговой базе</t>
        </is>
      </c>
      <c r="AG499" t="n">
        <v>7315</v>
      </c>
      <c r="AH499" t="n">
        <v>5852</v>
      </c>
      <c r="AI499" t="inlineStr">
        <is>
          <t>Полное проживание в выбранном периоде</t>
        </is>
      </c>
    </row>
    <row r="500">
      <c r="A500" t="inlineStr">
        <is>
          <t>20260902-8186-459355198</t>
        </is>
      </c>
      <c r="B500" t="n">
        <v>1</v>
      </c>
      <c r="C500" s="2" t="inlineStr">
        <is>
          <t>ИВАН БУЛЬДЕНКОВ</t>
        </is>
      </c>
      <c r="D500" s="3" t="n">
        <v>5852</v>
      </c>
      <c r="E500" s="4" t="n">
        <v>18</v>
      </c>
      <c r="F500" t="inlineStr">
        <is>
          <t>Яндекс.Путешествия [Чайковский]</t>
        </is>
      </c>
      <c r="G500" s="3">
        <f>ROUND(D500/(100-E500)*100,2)</f>
        <v/>
      </c>
      <c r="H500" s="3" t="n">
        <v>0</v>
      </c>
      <c r="I500" s="3">
        <f>ROUND(IF(ISNUMBER(AG500),AG500,G500)+H500,2)</f>
        <v/>
      </c>
      <c r="J500" s="2" t="inlineStr">
        <is>
          <t>Завтрак "Шведский стол"</t>
        </is>
      </c>
      <c r="K500" s="5" t="n">
        <v>46267.58333333334</v>
      </c>
      <c r="L500" t="n">
        <v>1</v>
      </c>
      <c r="M500" s="3">
        <f>I500/L500</f>
        <v/>
      </c>
      <c r="N500">
        <f>IF(M500&gt;=5100,"ставка","мин.ставка")</f>
        <v/>
      </c>
      <c r="O500" s="3">
        <f>ROUND(IF(N500="мин.ставка",L500*100,I500/102*2),2)</f>
        <v/>
      </c>
      <c r="P500" s="5" t="n">
        <v>46268.5</v>
      </c>
      <c r="Q500" t="inlineStr">
        <is>
          <t>TravelLine YAX</t>
        </is>
      </c>
      <c r="R500" s="2" t="inlineStr">
        <is>
          <t>СТАНДАРТНЫЙ ОДНОМЕСТНЫЙ НОМЕР</t>
        </is>
      </c>
      <c r="S500" t="n">
        <v>24</v>
      </c>
      <c r="T500" t="n">
        <v>1</v>
      </c>
      <c r="U500" t="inlineStr"/>
      <c r="V500" t="inlineStr">
        <is>
          <t>Тариф с завтраком</t>
        </is>
      </c>
      <c r="W500" t="n">
        <v>5852</v>
      </c>
      <c r="X500" s="3" t="n">
        <v>0</v>
      </c>
      <c r="Y500" t="inlineStr"/>
      <c r="Z500" t="inlineStr"/>
      <c r="AA500" s="3" t="n">
        <v>5852</v>
      </c>
      <c r="AB500" t="inlineStr">
        <is>
          <t>Сошлось по ночным тарифам</t>
        </is>
      </c>
      <c r="AC500" s="2" t="inlineStr"/>
      <c r="AD500" t="n">
        <v>0</v>
      </c>
      <c r="AE500" t="n">
        <v>0</v>
      </c>
      <c r="AF500" t="inlineStr">
        <is>
          <t>Скидки нет</t>
        </is>
      </c>
      <c r="AG500" t="n">
        <v>5852</v>
      </c>
      <c r="AH500" t="n">
        <v>5852</v>
      </c>
      <c r="AI500" t="inlineStr">
        <is>
          <t>Полное проживание в выбранном периоде</t>
        </is>
      </c>
    </row>
    <row r="501">
      <c r="A501" t="inlineStr">
        <is>
          <t>20260824-8186-451489646</t>
        </is>
      </c>
      <c r="B501" t="n">
        <v>1</v>
      </c>
      <c r="C501" s="2" t="inlineStr">
        <is>
          <t>Игорь Белоусов, Елена Белоусова</t>
        </is>
      </c>
      <c r="D501" s="3" t="n">
        <v>17248.2</v>
      </c>
      <c r="E501" s="4" t="n">
        <v>4</v>
      </c>
      <c r="F501" t="inlineStr">
        <is>
          <t>TravelLine Booking Engine [Чайковский]</t>
        </is>
      </c>
      <c r="G501" s="3">
        <f>ROUND(D501/(100-E501)*100,2)</f>
        <v/>
      </c>
      <c r="H501" s="3" t="n">
        <v>0</v>
      </c>
      <c r="I501" s="3">
        <f>ROUND(IF(ISNUMBER(AG501),AG501,G501)+H501,2)</f>
        <v/>
      </c>
      <c r="J501" s="2" t="inlineStr">
        <is>
          <t>Завтрак "Шведский стол"</t>
        </is>
      </c>
      <c r="K501" s="5" t="n">
        <v>46258.58333333334</v>
      </c>
      <c r="L501" t="n">
        <v>1</v>
      </c>
      <c r="M501" s="3">
        <f>I501/L501</f>
        <v/>
      </c>
      <c r="N501">
        <f>IF(M501&gt;=5100,"ставка","мин.ставка")</f>
        <v/>
      </c>
      <c r="O501" s="3">
        <f>ROUND(IF(N501="мин.ставка",L501*100,I501/102*2),2)</f>
        <v/>
      </c>
      <c r="P501" s="5" t="n">
        <v>46259.5</v>
      </c>
      <c r="Q501" t="inlineStr">
        <is>
          <t>TravelLine сайт</t>
        </is>
      </c>
      <c r="R501" s="2" t="inlineStr">
        <is>
          <t>ЛЮКС ВТОРОЙ КОРПУС</t>
        </is>
      </c>
      <c r="S501" t="n">
        <v>57</v>
      </c>
      <c r="T501" t="n">
        <v>2</v>
      </c>
      <c r="U501" t="inlineStr"/>
      <c r="V501" t="inlineStr">
        <is>
          <t>Тариф с завтраком</t>
        </is>
      </c>
      <c r="W501" t="n">
        <v>24903.3</v>
      </c>
      <c r="X501" s="3" t="n">
        <v>551.8</v>
      </c>
      <c r="Y501" t="inlineStr">
        <is>
          <t>3.1%</t>
        </is>
      </c>
      <c r="Z501" t="inlineStr">
        <is>
          <t>2026-08-24</t>
        </is>
      </c>
      <c r="AA501" s="3" t="n">
        <v>17248.2</v>
      </c>
      <c r="AB501" t="inlineStr">
        <is>
          <t>Сошлось по ночным тарифам</t>
        </is>
      </c>
      <c r="AC501" s="2" t="inlineStr"/>
      <c r="AD501" t="n">
        <v>551.8</v>
      </c>
      <c r="AE501" t="n">
        <v>0</v>
      </c>
      <c r="AF501" t="inlineStr">
        <is>
          <t>Скидка добавлена к налоговой базе</t>
        </is>
      </c>
      <c r="AG501" t="n">
        <v>17800</v>
      </c>
      <c r="AH501" t="n">
        <v>17248.2</v>
      </c>
      <c r="AI501" t="inlineStr">
        <is>
          <t>Полное проживание в выбранном периоде</t>
        </is>
      </c>
    </row>
    <row r="502">
      <c r="A502" t="inlineStr">
        <is>
          <t>20260720-8186-440105980</t>
        </is>
      </c>
      <c r="B502" t="n">
        <v>1</v>
      </c>
      <c r="C502" s="2" t="inlineStr">
        <is>
          <t>ИГОРЬ БОЙЦОВ, ИРИНА БОЙЦОВА</t>
        </is>
      </c>
      <c r="D502" s="3" t="n">
        <v>52360</v>
      </c>
      <c r="E502" s="4" t="n">
        <v>15</v>
      </c>
      <c r="F502" t="inlineStr">
        <is>
          <t>ООО "БРОНИРОВАНИЕ ГОСТИНИЦ" (OSTROVOK) [Чайковский]</t>
        </is>
      </c>
      <c r="G502" s="3">
        <f>ROUND(D502/(100-E502)*100,2)</f>
        <v/>
      </c>
      <c r="H502" s="3" t="n">
        <v>0</v>
      </c>
      <c r="I502" s="3">
        <f>ROUND(IF(ISNUMBER(AG502),AG502,G502)+H502,2)</f>
        <v/>
      </c>
      <c r="J502" s="2" t="inlineStr">
        <is>
          <t>Завтрак "Шведский стол"</t>
        </is>
      </c>
      <c r="K502" s="5" t="n">
        <v>46223.58333333334</v>
      </c>
      <c r="L502" t="n">
        <v>4</v>
      </c>
      <c r="M502" s="3">
        <f>I502/L502</f>
        <v/>
      </c>
      <c r="N502">
        <f>IF(M502&gt;=5100,"ставка","мин.ставка")</f>
        <v/>
      </c>
      <c r="O502" s="3">
        <f>ROUND(IF(N502="мин.ставка",L502*100,I502/102*2),2)</f>
        <v/>
      </c>
      <c r="P502" s="5" t="n">
        <v>46227.5</v>
      </c>
      <c r="Q502" t="inlineStr">
        <is>
          <t>TravelLine OTK</t>
        </is>
      </c>
      <c r="R502" s="2" t="inlineStr">
        <is>
          <t>УЛУЧШЕННЫЙ ДВУХМЕСТНЫЙ НОМЕР</t>
        </is>
      </c>
      <c r="S502" t="n">
        <v>56</v>
      </c>
      <c r="T502" t="n">
        <v>2</v>
      </c>
      <c r="U502" t="inlineStr"/>
      <c r="V502" t="inlineStr">
        <is>
          <t>Тариф с завтраком</t>
        </is>
      </c>
      <c r="W502" t="n">
        <v>52360</v>
      </c>
      <c r="X502" s="3" t="n">
        <v>9240</v>
      </c>
      <c r="Y502" t="inlineStr">
        <is>
          <t>15%</t>
        </is>
      </c>
      <c r="Z502" t="inlineStr">
        <is>
          <t>2026-07-20, 2026-07-21, 2026-07-22, 2026-07-23</t>
        </is>
      </c>
      <c r="AA502" s="3" t="n">
        <v>52360</v>
      </c>
      <c r="AB502" t="inlineStr">
        <is>
          <t>Сошлось по ночным тарифам</t>
        </is>
      </c>
      <c r="AC502" s="2" t="inlineStr"/>
      <c r="AD502" t="n">
        <v>9240</v>
      </c>
      <c r="AE502" t="n">
        <v>0</v>
      </c>
      <c r="AF502" t="inlineStr">
        <is>
          <t>Скидка добавлена к налоговой базе</t>
        </is>
      </c>
      <c r="AG502" t="n">
        <v>61600</v>
      </c>
      <c r="AH502" t="n">
        <v>52360</v>
      </c>
      <c r="AI502" t="inlineStr">
        <is>
          <t>Полное проживание в выбранном периоде</t>
        </is>
      </c>
    </row>
    <row r="503">
      <c r="A503" t="inlineStr">
        <is>
          <t>20260901-8186-462846499</t>
        </is>
      </c>
      <c r="B503" t="n">
        <v>1</v>
      </c>
      <c r="C503" s="2" t="inlineStr">
        <is>
          <t>игорь захаров</t>
        </is>
      </c>
      <c r="D503" s="3" t="n">
        <v>13350</v>
      </c>
      <c r="E503" s="4" t="n">
        <v>0</v>
      </c>
      <c r="F503" t="inlineStr">
        <is>
          <t>Прямые бронирования (стойка) [Чайковский]</t>
        </is>
      </c>
      <c r="G503" s="3">
        <f>ROUND(D503/(100-E503)*100,2)</f>
        <v/>
      </c>
      <c r="H503" s="3" t="n">
        <v>0</v>
      </c>
      <c r="I503" s="3">
        <f>ROUND(IF(ISNUMBER(AG503),AG503,G503)+H503,2)</f>
        <v/>
      </c>
      <c r="J503" s="2" t="inlineStr">
        <is>
          <t>Завтрак "Шведский стол"</t>
        </is>
      </c>
      <c r="K503" s="5" t="n">
        <v>46266.58333333334</v>
      </c>
      <c r="L503" t="n">
        <v>1</v>
      </c>
      <c r="M503" s="3">
        <f>I503/L503</f>
        <v/>
      </c>
      <c r="N503">
        <f>IF(M503&gt;=5100,"ставка","мин.ставка")</f>
        <v/>
      </c>
      <c r="O503" s="3">
        <f>ROUND(IF(N503="мин.ставка",L503*100,I503/102*2),2)</f>
        <v/>
      </c>
      <c r="P503" s="5" t="n">
        <v>46267.5</v>
      </c>
      <c r="Q503" t="inlineStr">
        <is>
          <t>TravelLine ресепшен</t>
        </is>
      </c>
      <c r="R503" s="2" t="inlineStr">
        <is>
          <t>СТАНДАРТНЫЙ ДВУХМЕСТНЫЙ НОМЕР</t>
        </is>
      </c>
      <c r="S503" t="n">
        <v>55</v>
      </c>
      <c r="T503" t="n">
        <v>2</v>
      </c>
      <c r="U503" t="inlineStr"/>
      <c r="V503" t="inlineStr">
        <is>
          <t>Тариф с завтраком</t>
        </is>
      </c>
      <c r="W503" t="n">
        <v>13350</v>
      </c>
      <c r="X503" s="3" t="n">
        <v>0</v>
      </c>
      <c r="Y503" t="inlineStr"/>
      <c r="Z503" t="inlineStr"/>
      <c r="AA503" s="3" t="n">
        <v>13350</v>
      </c>
      <c r="AB503" t="inlineStr">
        <is>
          <t>Сошлось по ночным тарифам</t>
        </is>
      </c>
      <c r="AC503" s="2" t="inlineStr"/>
      <c r="AD503" t="n">
        <v>0</v>
      </c>
      <c r="AE503" t="n">
        <v>0</v>
      </c>
      <c r="AF503" t="inlineStr">
        <is>
          <t>Скидки нет</t>
        </is>
      </c>
      <c r="AG503" t="n">
        <v>13350</v>
      </c>
      <c r="AH503" t="n">
        <v>13350</v>
      </c>
      <c r="AI503" t="inlineStr">
        <is>
          <t>Полное проживание в выбранном периоде</t>
        </is>
      </c>
    </row>
    <row r="504">
      <c r="A504" t="inlineStr">
        <is>
          <t>20260830-8186-462432150</t>
        </is>
      </c>
      <c r="B504" t="n">
        <v>1</v>
      </c>
      <c r="C504" s="2" t="inlineStr">
        <is>
          <t>Игорь Захаров, Анна Захарова</t>
        </is>
      </c>
      <c r="D504" s="3" t="n">
        <v>15840</v>
      </c>
      <c r="E504" s="4" t="n">
        <v>20</v>
      </c>
      <c r="F504" t="inlineStr">
        <is>
          <t>ООО "КОМПАНИЯ БРОНЕВИК" [Чайковский]</t>
        </is>
      </c>
      <c r="G504" s="3">
        <f>ROUND(D504/(100-E504)*100,2)</f>
        <v/>
      </c>
      <c r="H504" s="3" t="n">
        <v>1260</v>
      </c>
      <c r="I504" s="3">
        <f>ROUND(IF(ISNUMBER(AG504),AG504,G504)+H504,2)</f>
        <v/>
      </c>
      <c r="J504" s="2" t="inlineStr">
        <is>
          <t>продление номера — 1 260,00 ₽; Завтрак "Шведский стол"</t>
        </is>
      </c>
      <c r="K504" s="5" t="n">
        <v>46264.58333333334</v>
      </c>
      <c r="L504" t="n">
        <v>2</v>
      </c>
      <c r="M504" s="3">
        <f>I504/L504</f>
        <v/>
      </c>
      <c r="N504">
        <f>IF(M504&gt;=5100,"ставка","мин.ставка")</f>
        <v/>
      </c>
      <c r="O504" s="3">
        <f>ROUND(IF(N504="мин.ставка",L504*100,I504/102*2),2)</f>
        <v/>
      </c>
      <c r="P504" s="5" t="n">
        <v>46266.5</v>
      </c>
      <c r="Q504" t="inlineStr">
        <is>
          <t>TravelLine BR2</t>
        </is>
      </c>
      <c r="R504" s="2" t="inlineStr">
        <is>
          <t>СТАНДАРТНЫЙ ДВУХМЕСТНЫЙ НОМЕР</t>
        </is>
      </c>
      <c r="S504" t="n">
        <v>55</v>
      </c>
      <c r="T504" t="n">
        <v>2</v>
      </c>
      <c r="U504" t="inlineStr"/>
      <c r="V504" t="inlineStr">
        <is>
          <t>Тариф с завтраком</t>
        </is>
      </c>
      <c r="W504" t="n">
        <v>17100</v>
      </c>
      <c r="X504" s="3" t="n">
        <v>0</v>
      </c>
      <c r="Y504" t="inlineStr"/>
      <c r="Z504" t="inlineStr"/>
      <c r="AA504" s="3" t="n">
        <v>15840</v>
      </c>
      <c r="AB504" t="inlineStr">
        <is>
          <t>Сошлось с услугами</t>
        </is>
      </c>
      <c r="AC504" s="2" t="inlineStr"/>
      <c r="AD504" t="n">
        <v>0</v>
      </c>
      <c r="AE504" t="n">
        <v>0</v>
      </c>
      <c r="AF504" t="inlineStr">
        <is>
          <t>Скидки нет</t>
        </is>
      </c>
      <c r="AG504" t="n">
        <v>15840</v>
      </c>
      <c r="AH504" t="n">
        <v>15840</v>
      </c>
      <c r="AI504" t="inlineStr">
        <is>
          <t>Полное проживание в выбранном периоде</t>
        </is>
      </c>
    </row>
    <row r="505">
      <c r="A505" t="inlineStr">
        <is>
          <t>20260903-8186-461173385</t>
        </is>
      </c>
      <c r="B505" t="n">
        <v>1</v>
      </c>
      <c r="C505" s="2" t="inlineStr">
        <is>
          <t>Игорь Карташев</t>
        </is>
      </c>
      <c r="D505" s="3" t="n">
        <v>15284.5</v>
      </c>
      <c r="E505" s="4" t="n">
        <v>4</v>
      </c>
      <c r="F505" t="inlineStr">
        <is>
          <t>TravelLine Booking Engine [Чайковский]</t>
        </is>
      </c>
      <c r="G505" s="3">
        <f>ROUND(D505/(100-E505)*100,2)</f>
        <v/>
      </c>
      <c r="H505" s="3" t="n">
        <v>0</v>
      </c>
      <c r="I505" s="3">
        <f>ROUND(IF(ISNUMBER(AG505),AG505,G505)+H505,2)</f>
        <v/>
      </c>
      <c r="J505" s="2" t="inlineStr">
        <is>
          <t>Завтрак "Шведский стол"</t>
        </is>
      </c>
      <c r="K505" s="5" t="n">
        <v>46268.58333333334</v>
      </c>
      <c r="L505" t="n">
        <v>2</v>
      </c>
      <c r="M505" s="3">
        <f>I505/L505</f>
        <v/>
      </c>
      <c r="N505">
        <f>IF(M505&gt;=5100,"ставка","мин.ставка")</f>
        <v/>
      </c>
      <c r="O505" s="3">
        <f>ROUND(IF(N505="мин.ставка",L505*100,I505/102*2),2)</f>
        <v/>
      </c>
      <c r="P505" s="5" t="n">
        <v>46270.5</v>
      </c>
      <c r="Q505" t="inlineStr">
        <is>
          <t>TravelLine сайт</t>
        </is>
      </c>
      <c r="R505" s="2" t="inlineStr">
        <is>
          <t>СТАНДАРТНЫЙ ОДНОМЕСТНЫЙ НОМЕР</t>
        </is>
      </c>
      <c r="S505" t="n">
        <v>24</v>
      </c>
      <c r="T505" t="n">
        <v>1</v>
      </c>
      <c r="U505" t="inlineStr"/>
      <c r="V505" t="inlineStr">
        <is>
          <t>Тариф с завтраком</t>
        </is>
      </c>
      <c r="W505" t="n">
        <v>15284.5</v>
      </c>
      <c r="X505" s="3" t="n">
        <v>115.5</v>
      </c>
      <c r="Y505" t="inlineStr">
        <is>
          <t>1.5%</t>
        </is>
      </c>
      <c r="Z505" t="inlineStr">
        <is>
          <t>2026-09-03</t>
        </is>
      </c>
      <c r="AA505" s="3" t="n">
        <v>15284.5</v>
      </c>
      <c r="AB505" t="inlineStr">
        <is>
          <t>Сошлось по ночным тарифам</t>
        </is>
      </c>
      <c r="AC505" s="2" t="inlineStr"/>
      <c r="AD505" t="n">
        <v>115.5</v>
      </c>
      <c r="AE505" t="n">
        <v>0</v>
      </c>
      <c r="AF505" t="inlineStr">
        <is>
          <t>Скидка добавлена к налоговой базе</t>
        </is>
      </c>
      <c r="AG505" t="n">
        <v>15400</v>
      </c>
      <c r="AH505" t="n">
        <v>15284.5</v>
      </c>
      <c r="AI505" t="inlineStr">
        <is>
          <t>Полное проживание в выбранном периоде</t>
        </is>
      </c>
    </row>
    <row r="506">
      <c r="A506" t="inlineStr">
        <is>
          <t>20260807-8186-456394511</t>
        </is>
      </c>
      <c r="B506" t="n">
        <v>1</v>
      </c>
      <c r="C506" s="2" t="inlineStr">
        <is>
          <t>Игорь Козлов</t>
        </is>
      </c>
      <c r="D506" s="3" t="n">
        <v>16020</v>
      </c>
      <c r="E506" s="4" t="n">
        <v>0</v>
      </c>
      <c r="F506" t="inlineStr">
        <is>
          <t>Прямые бронирования (стойка) [Чайковский]</t>
        </is>
      </c>
      <c r="G506" s="3">
        <f>ROUND(D506/(100-E506)*100,2)</f>
        <v/>
      </c>
      <c r="H506" s="3" t="n">
        <v>0</v>
      </c>
      <c r="I506" s="3">
        <f>ROUND(IF(ISNUMBER(AG506),AG506,G506)+H506,2)</f>
        <v/>
      </c>
      <c r="J506" s="2" t="inlineStr">
        <is>
          <t>Завтрак "Шведский стол"</t>
        </is>
      </c>
      <c r="K506" s="5" t="n">
        <v>46241.58333333334</v>
      </c>
      <c r="L506" t="n">
        <v>1</v>
      </c>
      <c r="M506" s="3">
        <f>I506/L506</f>
        <v/>
      </c>
      <c r="N506">
        <f>IF(M506&gt;=5100,"ставка","мин.ставка")</f>
        <v/>
      </c>
      <c r="O506" s="3">
        <f>ROUND(IF(N506="мин.ставка",L506*100,I506/102*2),2)</f>
        <v/>
      </c>
      <c r="P506" s="5" t="n">
        <v>46242.5</v>
      </c>
      <c r="Q506" t="inlineStr">
        <is>
          <t>TravelLine ресепшен</t>
        </is>
      </c>
      <c r="R506" s="2" t="inlineStr">
        <is>
          <t>ЛЮКС ВТОРОЙ КОРПУС</t>
        </is>
      </c>
      <c r="S506" t="n">
        <v>54</v>
      </c>
      <c r="T506" t="n">
        <v>2</v>
      </c>
      <c r="U506" t="inlineStr"/>
      <c r="V506" t="inlineStr">
        <is>
          <t>Тариф с завтраком</t>
        </is>
      </c>
      <c r="W506" t="n">
        <v>16020</v>
      </c>
      <c r="X506" s="3" t="n">
        <v>1780</v>
      </c>
      <c r="Y506" t="inlineStr">
        <is>
          <t>10%</t>
        </is>
      </c>
      <c r="Z506" t="inlineStr">
        <is>
          <t>2026-08-07</t>
        </is>
      </c>
      <c r="AA506" s="3" t="n">
        <v>16020</v>
      </c>
      <c r="AB506" t="inlineStr">
        <is>
          <t>Сошлось по ночным тарифам</t>
        </is>
      </c>
      <c r="AC506" s="2" t="inlineStr"/>
      <c r="AD506" t="n">
        <v>1780</v>
      </c>
      <c r="AE506" t="n">
        <v>0</v>
      </c>
      <c r="AF506" t="inlineStr">
        <is>
          <t>Скидка добавлена к налоговой базе</t>
        </is>
      </c>
      <c r="AG506" t="n">
        <v>17800</v>
      </c>
      <c r="AH506" t="n">
        <v>16020</v>
      </c>
      <c r="AI506" t="inlineStr">
        <is>
          <t>Полное проживание в выбранном периоде</t>
        </is>
      </c>
    </row>
    <row r="507">
      <c r="A507" t="inlineStr">
        <is>
          <t>20260911-8186-464839871</t>
        </is>
      </c>
      <c r="B507" t="n">
        <v>1</v>
      </c>
      <c r="C507" s="2" t="inlineStr">
        <is>
          <t>Игорь Козлов</t>
        </is>
      </c>
      <c r="D507" s="3" t="n">
        <v>13350</v>
      </c>
      <c r="E507" s="4" t="n">
        <v>0</v>
      </c>
      <c r="F507" t="inlineStr">
        <is>
          <t>Прямые бронирования (стойка) [Чайковский]</t>
        </is>
      </c>
      <c r="G507" s="3">
        <f>ROUND(D507/(100-E507)*100,2)</f>
        <v/>
      </c>
      <c r="H507" s="3" t="n">
        <v>0</v>
      </c>
      <c r="I507" s="3">
        <f>ROUND(IF(ISNUMBER(AG507),AG507,G507)+H507,2)</f>
        <v/>
      </c>
      <c r="J507" s="2" t="inlineStr">
        <is>
          <t>Завтрак "Шведский стол"</t>
        </is>
      </c>
      <c r="K507" s="5" t="n">
        <v>46276.58333333334</v>
      </c>
      <c r="L507" t="n">
        <v>1</v>
      </c>
      <c r="M507" s="3">
        <f>I507/L507</f>
        <v/>
      </c>
      <c r="N507">
        <f>IF(M507&gt;=5100,"ставка","мин.ставка")</f>
        <v/>
      </c>
      <c r="O507" s="3">
        <f>ROUND(IF(N507="мин.ставка",L507*100,I507/102*2),2)</f>
        <v/>
      </c>
      <c r="P507" s="5" t="n">
        <v>46277.5</v>
      </c>
      <c r="Q507" t="inlineStr">
        <is>
          <t>TravelLine ресепшен</t>
        </is>
      </c>
      <c r="R507" s="2" t="inlineStr">
        <is>
          <t>СТАНДАРТНЫЙ ДВУХМЕСТНЫЙ НОМЕР</t>
        </is>
      </c>
      <c r="S507" t="n">
        <v>46</v>
      </c>
      <c r="T507" t="n">
        <v>1</v>
      </c>
      <c r="U507" t="inlineStr"/>
      <c r="V507" t="inlineStr">
        <is>
          <t>Тариф с завтраком</t>
        </is>
      </c>
      <c r="W507" t="n">
        <v>13350</v>
      </c>
      <c r="X507" s="3" t="n">
        <v>0</v>
      </c>
      <c r="Y507" t="inlineStr"/>
      <c r="Z507" t="inlineStr"/>
      <c r="AA507" s="3" t="n">
        <v>13350</v>
      </c>
      <c r="AB507" t="inlineStr">
        <is>
          <t>Сошлось по ночным тарифам</t>
        </is>
      </c>
      <c r="AC507" s="2" t="inlineStr"/>
      <c r="AD507" t="n">
        <v>0</v>
      </c>
      <c r="AE507" t="n">
        <v>0</v>
      </c>
      <c r="AF507" t="inlineStr">
        <is>
          <t>Скидки нет</t>
        </is>
      </c>
      <c r="AG507" t="n">
        <v>13350</v>
      </c>
      <c r="AH507" t="n">
        <v>13350</v>
      </c>
      <c r="AI507" t="inlineStr">
        <is>
          <t>Полное проживание в выбранном периоде</t>
        </is>
      </c>
    </row>
    <row r="508">
      <c r="A508" t="inlineStr">
        <is>
          <t>20260727-8186-451197084</t>
        </is>
      </c>
      <c r="B508" t="n">
        <v>1</v>
      </c>
      <c r="C508" s="2" t="inlineStr">
        <is>
          <t>Игорь Краснов</t>
        </is>
      </c>
      <c r="D508" s="3" t="n">
        <v>6320</v>
      </c>
      <c r="E508" s="4" t="n">
        <v>18</v>
      </c>
      <c r="F508" t="inlineStr">
        <is>
          <t>Яндекс.Путешествия [Чайковский]</t>
        </is>
      </c>
      <c r="G508" s="3">
        <f>ROUND(D508/(100-E508)*100,2)</f>
        <v/>
      </c>
      <c r="H508" s="3" t="n">
        <v>0</v>
      </c>
      <c r="I508" s="3">
        <f>ROUND(IF(ISNUMBER(AG508),AG508,G508)+H508,2)</f>
        <v/>
      </c>
      <c r="J508" s="2" t="inlineStr">
        <is>
          <t>Завтрак "Шведский стол"</t>
        </is>
      </c>
      <c r="K508" s="5" t="n">
        <v>46230.58333333334</v>
      </c>
      <c r="L508" t="n">
        <v>1</v>
      </c>
      <c r="M508" s="3">
        <f>I508/L508</f>
        <v/>
      </c>
      <c r="N508">
        <f>IF(M508&gt;=5100,"ставка","мин.ставка")</f>
        <v/>
      </c>
      <c r="O508" s="3">
        <f>ROUND(IF(N508="мин.ставка",L508*100,I508/102*2),2)</f>
        <v/>
      </c>
      <c r="P508" s="5" t="n">
        <v>46231.5</v>
      </c>
      <c r="Q508" t="inlineStr">
        <is>
          <t>TravelLine YAX</t>
        </is>
      </c>
      <c r="R508" s="2" t="inlineStr">
        <is>
          <t>СТАНДАРТНЫЙ ДВУХМЕСТНЫЙ НОМЕР (МАНСАРДА)</t>
        </is>
      </c>
      <c r="S508" t="n">
        <v>45</v>
      </c>
      <c r="T508" t="n">
        <v>1</v>
      </c>
      <c r="U508" t="inlineStr"/>
      <c r="V508" t="inlineStr">
        <is>
          <t>Тариф с завтраком</t>
        </is>
      </c>
      <c r="W508" t="n">
        <v>6320</v>
      </c>
      <c r="X508" s="3" t="n">
        <v>1580</v>
      </c>
      <c r="Y508" t="inlineStr">
        <is>
          <t>20%</t>
        </is>
      </c>
      <c r="Z508" t="inlineStr">
        <is>
          <t>2026-07-27</t>
        </is>
      </c>
      <c r="AA508" s="3" t="n">
        <v>6320</v>
      </c>
      <c r="AB508" t="inlineStr">
        <is>
          <t>Сошлось по ночным тарифам</t>
        </is>
      </c>
      <c r="AC508" s="2" t="inlineStr"/>
      <c r="AD508" t="n">
        <v>1580</v>
      </c>
      <c r="AE508" t="n">
        <v>0</v>
      </c>
      <c r="AF508" t="inlineStr">
        <is>
          <t>Скидка добавлена к налоговой базе</t>
        </is>
      </c>
      <c r="AG508" t="n">
        <v>7900</v>
      </c>
      <c r="AH508" t="n">
        <v>6320</v>
      </c>
      <c r="AI508" t="inlineStr">
        <is>
          <t>Полное проживание в выбранном периоде</t>
        </is>
      </c>
    </row>
    <row r="509">
      <c r="A509" t="inlineStr">
        <is>
          <t>20260824-8186-459510208</t>
        </is>
      </c>
      <c r="B509" t="n">
        <v>1</v>
      </c>
      <c r="C509" s="2" t="inlineStr">
        <is>
          <t>Игорь Кудрявцев</t>
        </is>
      </c>
      <c r="D509" s="3" t="n">
        <v>20160</v>
      </c>
      <c r="E509" s="4" t="n">
        <v>17</v>
      </c>
      <c r="F509" t="inlineStr">
        <is>
          <t>ООО «Интернет Трэвел» (OZON) [Чайковский]</t>
        </is>
      </c>
      <c r="G509" s="3">
        <f>ROUND(D509/(100-E509)*100,2)</f>
        <v/>
      </c>
      <c r="H509" s="3" t="n">
        <v>0</v>
      </c>
      <c r="I509" s="3">
        <f>ROUND(IF(ISNUMBER(AG509),AG509,G509)+H509,2)</f>
        <v/>
      </c>
      <c r="J509" s="2" t="inlineStr">
        <is>
          <t>Завтрак "Шведский стол"</t>
        </is>
      </c>
      <c r="K509" s="5" t="n">
        <v>46258.58333333334</v>
      </c>
      <c r="L509" t="n">
        <v>2</v>
      </c>
      <c r="M509" s="3">
        <f>I509/L509</f>
        <v/>
      </c>
      <c r="N509">
        <f>IF(M509&gt;=5100,"ставка","мин.ставка")</f>
        <v/>
      </c>
      <c r="O509" s="3">
        <f>ROUND(IF(N509="мин.ставка",L509*100,I509/102*2),2)</f>
        <v/>
      </c>
      <c r="P509" s="5" t="n">
        <v>46260.5</v>
      </c>
      <c r="Q509" t="inlineStr">
        <is>
          <t>TravelLine OZ2</t>
        </is>
      </c>
      <c r="R509" s="2" t="inlineStr">
        <is>
          <t>СТАНДАРТНЫЙ ДВУХМЕСТНЫЙ НОМЕР</t>
        </is>
      </c>
      <c r="S509" t="n">
        <v>32</v>
      </c>
      <c r="T509" t="n">
        <v>1</v>
      </c>
      <c r="U509" t="inlineStr"/>
      <c r="V509" t="inlineStr">
        <is>
          <t>Тариф с завтраком</t>
        </is>
      </c>
      <c r="W509" t="n">
        <v>20160</v>
      </c>
      <c r="X509" s="3" t="n">
        <v>0</v>
      </c>
      <c r="Y509" t="inlineStr"/>
      <c r="Z509" t="inlineStr"/>
      <c r="AA509" s="3" t="n">
        <v>20160</v>
      </c>
      <c r="AB509" t="inlineStr">
        <is>
          <t>Сошлось по ночным тарифам</t>
        </is>
      </c>
      <c r="AC509" s="2" t="inlineStr"/>
      <c r="AD509" t="n">
        <v>0</v>
      </c>
      <c r="AE509" t="n">
        <v>0</v>
      </c>
      <c r="AF509" t="inlineStr">
        <is>
          <t>Скидки нет</t>
        </is>
      </c>
      <c r="AG509" t="n">
        <v>20160</v>
      </c>
      <c r="AH509" t="n">
        <v>20160</v>
      </c>
      <c r="AI509" t="inlineStr">
        <is>
          <t>Полное проживание в выбранном периоде</t>
        </is>
      </c>
    </row>
    <row r="510">
      <c r="A510" t="inlineStr">
        <is>
          <t>20260910-8186-455920278</t>
        </is>
      </c>
      <c r="B510" t="n">
        <v>1</v>
      </c>
      <c r="C510" s="2" t="inlineStr">
        <is>
          <t>ИГОРЬ МИРОШНИЧЕНКО, Татьяна Мирошниченко</t>
        </is>
      </c>
      <c r="D510" s="3" t="n">
        <v>11600</v>
      </c>
      <c r="E510" s="4" t="n">
        <v>20</v>
      </c>
      <c r="F510" t="inlineStr">
        <is>
          <t>ООО «Дубль Гис» (OTELLO) [Чайковский]</t>
        </is>
      </c>
      <c r="G510" s="3">
        <f>ROUND(D510/(100-E510)*100,2)</f>
        <v/>
      </c>
      <c r="H510" s="3" t="n">
        <v>0</v>
      </c>
      <c r="I510" s="3">
        <f>ROUND(IF(ISNUMBER(AG510),AG510,G510)+H510,2)</f>
        <v/>
      </c>
      <c r="J510" s="2" t="inlineStr"/>
      <c r="K510" s="5" t="n">
        <v>46275.58333333334</v>
      </c>
      <c r="L510" t="n">
        <v>1</v>
      </c>
      <c r="M510" s="3">
        <f>I510/L510</f>
        <v/>
      </c>
      <c r="N510">
        <f>IF(M510&gt;=5100,"ставка","мин.ставка")</f>
        <v/>
      </c>
      <c r="O510" s="3">
        <f>ROUND(IF(N510="мин.ставка",L510*100,I510/102*2),2)</f>
        <v/>
      </c>
      <c r="P510" s="5" t="n">
        <v>46276.5</v>
      </c>
      <c r="Q510" t="inlineStr">
        <is>
          <t>TravelLine OL2</t>
        </is>
      </c>
      <c r="R510" s="2" t="inlineStr">
        <is>
          <t>ЛЮКС ВТОРОЙ КОРПУС</t>
        </is>
      </c>
      <c r="S510" t="n">
        <v>57</v>
      </c>
      <c r="T510" t="n">
        <v>2</v>
      </c>
      <c r="U510" t="inlineStr"/>
      <c r="V510" t="inlineStr">
        <is>
          <t>Основной тариф без завтрака</t>
        </is>
      </c>
      <c r="W510" t="n">
        <v>11600</v>
      </c>
      <c r="X510" s="3" t="n">
        <v>2900</v>
      </c>
      <c r="Y510" t="inlineStr">
        <is>
          <t>20%</t>
        </is>
      </c>
      <c r="Z510" t="inlineStr">
        <is>
          <t>2026-09-10</t>
        </is>
      </c>
      <c r="AA510" s="3" t="n">
        <v>11600</v>
      </c>
      <c r="AB510" t="inlineStr">
        <is>
          <t>Сошлось по ночным тарифам</t>
        </is>
      </c>
      <c r="AC510" s="2" t="inlineStr"/>
      <c r="AD510" t="n">
        <v>2900</v>
      </c>
      <c r="AE510" t="n">
        <v>0</v>
      </c>
      <c r="AF510" t="inlineStr">
        <is>
          <t>Скидка добавлена к налоговой базе</t>
        </is>
      </c>
      <c r="AG510" t="n">
        <v>14500</v>
      </c>
      <c r="AH510" t="n">
        <v>11600</v>
      </c>
      <c r="AI510" t="inlineStr">
        <is>
          <t>Полное проживание в выбранном периоде</t>
        </is>
      </c>
    </row>
    <row r="511">
      <c r="A511" t="inlineStr">
        <is>
          <t>20260828-8186-442571726</t>
        </is>
      </c>
      <c r="B511" t="n">
        <v>1</v>
      </c>
      <c r="C511" s="2" t="inlineStr">
        <is>
          <t>Игорь Мокан, Оксана Макеенко</t>
        </is>
      </c>
      <c r="D511" s="3" t="n">
        <v>15988.5</v>
      </c>
      <c r="E511" s="4" t="n">
        <v>4</v>
      </c>
      <c r="F511" t="inlineStr">
        <is>
          <t>TravelLine Booking Engine [Чайковский]</t>
        </is>
      </c>
      <c r="G511" s="3">
        <f>ROUND(D511/(100-E511)*100,2)</f>
        <v/>
      </c>
      <c r="H511" s="3" t="n">
        <v>0</v>
      </c>
      <c r="I511" s="3">
        <f>ROUND(IF(ISNUMBER(AG511),AG511,G511)+H511,2)</f>
        <v/>
      </c>
      <c r="J511" s="2" t="inlineStr">
        <is>
          <t>Завтрак "Шведский стол"</t>
        </is>
      </c>
      <c r="K511" s="5" t="n">
        <v>46262.58333333334</v>
      </c>
      <c r="L511" t="n">
        <v>1</v>
      </c>
      <c r="M511" s="3">
        <f>I511/L511</f>
        <v/>
      </c>
      <c r="N511">
        <f>IF(M511&gt;=5100,"ставка","мин.ставка")</f>
        <v/>
      </c>
      <c r="O511" s="3">
        <f>ROUND(IF(N511="мин.ставка",L511*100,I511/102*2),2)</f>
        <v/>
      </c>
      <c r="P511" s="5" t="n">
        <v>46263.5</v>
      </c>
      <c r="Q511" t="inlineStr">
        <is>
          <t>TravelLine сайт</t>
        </is>
      </c>
      <c r="R511" s="2" t="inlineStr">
        <is>
          <t>ПОЛУЛЮКС</t>
        </is>
      </c>
      <c r="S511" t="n">
        <v>11</v>
      </c>
      <c r="T511" t="n">
        <v>1</v>
      </c>
      <c r="U511" t="inlineStr"/>
      <c r="V511" t="inlineStr">
        <is>
          <t>Тариф с завтраком</t>
        </is>
      </c>
      <c r="W511" t="n">
        <v>15988.5</v>
      </c>
      <c r="X511" s="3" t="n">
        <v>511.5</v>
      </c>
      <c r="Y511" t="inlineStr">
        <is>
          <t>3.1%</t>
        </is>
      </c>
      <c r="Z511" t="inlineStr">
        <is>
          <t>2026-08-28</t>
        </is>
      </c>
      <c r="AA511" s="3" t="n">
        <v>15988.5</v>
      </c>
      <c r="AB511" t="inlineStr">
        <is>
          <t>Сошлось по ночным тарифам</t>
        </is>
      </c>
      <c r="AC511" s="2" t="inlineStr"/>
      <c r="AD511" t="n">
        <v>511.5</v>
      </c>
      <c r="AE511" t="n">
        <v>0</v>
      </c>
      <c r="AF511" t="inlineStr">
        <is>
          <t>Скидка добавлена к налоговой базе</t>
        </is>
      </c>
      <c r="AG511" t="n">
        <v>16500</v>
      </c>
      <c r="AH511" t="n">
        <v>15988.5</v>
      </c>
      <c r="AI511" t="inlineStr">
        <is>
          <t>Полное проживание в выбранном периоде</t>
        </is>
      </c>
    </row>
    <row r="512">
      <c r="A512" t="inlineStr">
        <is>
          <t>20260914-8186-465529596</t>
        </is>
      </c>
      <c r="B512" t="n">
        <v>1</v>
      </c>
      <c r="C512" s="2" t="inlineStr">
        <is>
          <t>Игорь Новиков</t>
        </is>
      </c>
      <c r="D512" s="3" t="n">
        <v>26010</v>
      </c>
      <c r="E512" s="4" t="n">
        <v>0</v>
      </c>
      <c r="F512" t="inlineStr">
        <is>
          <t>Прямые бронирования (стойка) [Чайковский]</t>
        </is>
      </c>
      <c r="G512" s="3">
        <f>ROUND(D512/(100-E512)*100,2)</f>
        <v/>
      </c>
      <c r="H512" s="3" t="n">
        <v>0</v>
      </c>
      <c r="I512" s="3">
        <f>ROUND(IF(ISNUMBER(AG512),AG512,G512)+H512,2)</f>
        <v/>
      </c>
      <c r="J512" s="2" t="inlineStr">
        <is>
          <t>Завтрак "Шведский стол"</t>
        </is>
      </c>
      <c r="K512" s="5" t="n">
        <v>46279.58333333334</v>
      </c>
      <c r="L512" t="n">
        <v>2</v>
      </c>
      <c r="M512" s="3">
        <f>I512/L512</f>
        <v/>
      </c>
      <c r="N512">
        <f>IF(M512&gt;=5100,"ставка","мин.ставка")</f>
        <v/>
      </c>
      <c r="O512" s="3">
        <f>ROUND(IF(N512="мин.ставка",L512*100,I512/102*2),2)</f>
        <v/>
      </c>
      <c r="P512" s="5" t="n">
        <v>46281.5</v>
      </c>
      <c r="Q512" t="inlineStr">
        <is>
          <t>TravelLine ресепшен</t>
        </is>
      </c>
      <c r="R512" s="2" t="inlineStr">
        <is>
          <t>СЕМЕЙНЫЙ НОМЕР КАТЕГОРИИ "СТАНДАРТ" ВТОРОЙ КОРПУС</t>
        </is>
      </c>
      <c r="S512" t="n">
        <v>50</v>
      </c>
      <c r="T512" t="n">
        <v>2</v>
      </c>
      <c r="U512" t="inlineStr"/>
      <c r="V512" t="inlineStr">
        <is>
          <t>Тариф с завтраком</t>
        </is>
      </c>
      <c r="W512" t="n">
        <v>26010</v>
      </c>
      <c r="X512" s="3" t="n">
        <v>2890</v>
      </c>
      <c r="Y512" t="inlineStr">
        <is>
          <t>10%</t>
        </is>
      </c>
      <c r="Z512" t="inlineStr">
        <is>
          <t>2026-09-14, 2026-09-15</t>
        </is>
      </c>
      <c r="AA512" s="3" t="n">
        <v>26010</v>
      </c>
      <c r="AB512" t="inlineStr">
        <is>
          <t>Сошлось по ночным тарифам</t>
        </is>
      </c>
      <c r="AC512" s="2" t="inlineStr"/>
      <c r="AD512" t="n">
        <v>2890</v>
      </c>
      <c r="AE512" t="n">
        <v>0</v>
      </c>
      <c r="AF512" t="inlineStr">
        <is>
          <t>Скидка добавлена к налоговой базе</t>
        </is>
      </c>
      <c r="AG512" t="n">
        <v>28900</v>
      </c>
      <c r="AH512" t="n">
        <v>26010</v>
      </c>
      <c r="AI512" t="inlineStr">
        <is>
          <t>Полное проживание в выбранном периоде</t>
        </is>
      </c>
    </row>
    <row r="513">
      <c r="A513" t="inlineStr">
        <is>
          <t>20260815-8186-441303646</t>
        </is>
      </c>
      <c r="B513" t="n">
        <v>1</v>
      </c>
      <c r="C513" s="2" t="inlineStr">
        <is>
          <t>Игорь Паршин, Анна Хрулева</t>
        </is>
      </c>
      <c r="D513" s="3" t="n">
        <v>16500</v>
      </c>
      <c r="E513" s="4" t="n">
        <v>0</v>
      </c>
      <c r="F513" t="inlineStr">
        <is>
          <t>Прямые бронирования (стойка) [Чайковский]</t>
        </is>
      </c>
      <c r="G513" s="3">
        <f>ROUND(D513/(100-E513)*100,2)</f>
        <v/>
      </c>
      <c r="H513" s="3" t="n">
        <v>0</v>
      </c>
      <c r="I513" s="3">
        <f>ROUND(IF(ISNUMBER(AG513),AG513,G513)+H513,2)</f>
        <v/>
      </c>
      <c r="J513" s="2" t="inlineStr">
        <is>
          <t>Завтрак "Шведский стол"</t>
        </is>
      </c>
      <c r="K513" s="5" t="n">
        <v>46249.58333333334</v>
      </c>
      <c r="L513" t="n">
        <v>1</v>
      </c>
      <c r="M513" s="3">
        <f>I513/L513</f>
        <v/>
      </c>
      <c r="N513">
        <f>IF(M513&gt;=5100,"ставка","мин.ставка")</f>
        <v/>
      </c>
      <c r="O513" s="3">
        <f>ROUND(IF(N513="мин.ставка",L513*100,I513/102*2),2)</f>
        <v/>
      </c>
      <c r="P513" s="5" t="n">
        <v>46250.5</v>
      </c>
      <c r="Q513" t="inlineStr">
        <is>
          <t>TravelLine ресепшен</t>
        </is>
      </c>
      <c r="R513" s="2" t="inlineStr">
        <is>
          <t>ПОЛУЛЮКС</t>
        </is>
      </c>
      <c r="S513" t="n">
        <v>35</v>
      </c>
      <c r="T513" t="n">
        <v>1</v>
      </c>
      <c r="U513" t="inlineStr"/>
      <c r="V513" t="inlineStr">
        <is>
          <t>Тариф с завтраком</t>
        </is>
      </c>
      <c r="W513" t="n">
        <v>16500</v>
      </c>
      <c r="X513" s="3" t="n">
        <v>0</v>
      </c>
      <c r="Y513" t="inlineStr"/>
      <c r="Z513" t="inlineStr"/>
      <c r="AA513" s="3" t="n">
        <v>16500</v>
      </c>
      <c r="AB513" t="inlineStr">
        <is>
          <t>Сошлось по ночным тарифам</t>
        </is>
      </c>
      <c r="AC513" s="2" t="inlineStr"/>
      <c r="AD513" t="n">
        <v>0</v>
      </c>
      <c r="AE513" t="n">
        <v>0</v>
      </c>
      <c r="AF513" t="inlineStr">
        <is>
          <t>Скидки нет</t>
        </is>
      </c>
      <c r="AG513" t="n">
        <v>16500</v>
      </c>
      <c r="AH513" t="n">
        <v>16500</v>
      </c>
      <c r="AI513" t="inlineStr">
        <is>
          <t>Полное проживание в выбранном периоде</t>
        </is>
      </c>
    </row>
    <row r="514">
      <c r="A514" t="inlineStr">
        <is>
          <t>20260906-8186-459333840</t>
        </is>
      </c>
      <c r="B514" t="n">
        <v>1</v>
      </c>
      <c r="C514" s="2" t="inlineStr">
        <is>
          <t>Игорь Погодин</t>
        </is>
      </c>
      <c r="D514" s="3" t="n">
        <v>6320</v>
      </c>
      <c r="E514" s="4" t="n">
        <v>20</v>
      </c>
      <c r="F514" t="inlineStr">
        <is>
          <t>ООО "КОМПАНИЯ БРОНЕВИК" [Чайковский]</t>
        </is>
      </c>
      <c r="G514" s="3">
        <f>ROUND(D514/(100-E514)*100,2)</f>
        <v/>
      </c>
      <c r="H514" s="3" t="n">
        <v>6320</v>
      </c>
      <c r="I514" s="3">
        <f>ROUND(IF(ISNUMBER(AG514),AG514,G514)+H514,2)</f>
        <v/>
      </c>
      <c r="J514" s="2" t="inlineStr">
        <is>
          <t>Завтрак "Шведский стол"; Ранний заезд — 6 320,00 ₽</t>
        </is>
      </c>
      <c r="K514" s="5" t="n">
        <v>46271.375</v>
      </c>
      <c r="L514" t="n">
        <v>1</v>
      </c>
      <c r="M514" s="3">
        <f>I514/L514</f>
        <v/>
      </c>
      <c r="N514">
        <f>IF(M514&gt;=5100,"ставка","мин.ставка")</f>
        <v/>
      </c>
      <c r="O514" s="3">
        <f>ROUND(IF(N514="мин.ставка",L514*100,I514/102*2),2)</f>
        <v/>
      </c>
      <c r="P514" s="5" t="n">
        <v>46272.5</v>
      </c>
      <c r="Q514" t="inlineStr">
        <is>
          <t>TravelLine BR2</t>
        </is>
      </c>
      <c r="R514" s="2" t="inlineStr">
        <is>
          <t>СТАНДАРТНЫЙ ДВУХМЕСТНЫЙ НОМЕР (МАНСАРДА)</t>
        </is>
      </c>
      <c r="S514" t="n">
        <v>43</v>
      </c>
      <c r="T514" t="n">
        <v>1</v>
      </c>
      <c r="U514" t="inlineStr"/>
      <c r="V514" t="inlineStr">
        <is>
          <t>Тариф с завтраком</t>
        </is>
      </c>
      <c r="W514" t="n">
        <v>12640</v>
      </c>
      <c r="X514" s="3" t="n">
        <v>0</v>
      </c>
      <c r="Y514" t="inlineStr"/>
      <c r="Z514" t="inlineStr"/>
      <c r="AA514" s="3" t="n">
        <v>6320</v>
      </c>
      <c r="AB514" t="inlineStr">
        <is>
          <t>Расхождение -6320.00 ₽</t>
        </is>
      </c>
      <c r="AC514" s="2" t="inlineStr"/>
      <c r="AD514" t="n">
        <v>0</v>
      </c>
      <c r="AE514" t="n">
        <v>0</v>
      </c>
      <c r="AF514" t="inlineStr">
        <is>
          <t>Скидки нет</t>
        </is>
      </c>
      <c r="AG514" t="n">
        <v>6320</v>
      </c>
      <c r="AH514" t="n">
        <v>6320</v>
      </c>
      <c r="AI514" t="inlineStr">
        <is>
          <t>Полное проживание в выбранном периоде</t>
        </is>
      </c>
    </row>
    <row r="515">
      <c r="A515" t="inlineStr">
        <is>
          <t>20260923-8186-467719195</t>
        </is>
      </c>
      <c r="B515" t="n">
        <v>1</v>
      </c>
      <c r="C515" s="2" t="inlineStr">
        <is>
          <t>Игорь Самохвалов</t>
        </is>
      </c>
      <c r="D515" s="3" t="n">
        <v>10458</v>
      </c>
      <c r="E515" s="4" t="n">
        <v>16</v>
      </c>
      <c r="F515" t="inlineStr">
        <is>
          <t>ООО "БРОНИРОВАНИЕ ГОСТИНИЦ" (OSTROVOK) [Чайковский]</t>
        </is>
      </c>
      <c r="G515" s="3">
        <f>ROUND(D515/(100-E515)*100,2)</f>
        <v/>
      </c>
      <c r="H515" s="3" t="n">
        <v>0</v>
      </c>
      <c r="I515" s="3">
        <f>ROUND(IF(ISNUMBER(AG515),AG515,G515)+H515,2)</f>
        <v/>
      </c>
      <c r="J515" s="2" t="inlineStr">
        <is>
          <t>Завтрак "Шведский стол"</t>
        </is>
      </c>
      <c r="K515" s="5" t="n">
        <v>46288.58333333334</v>
      </c>
      <c r="L515" t="n">
        <v>1</v>
      </c>
      <c r="M515" s="3">
        <f>I515/L515</f>
        <v/>
      </c>
      <c r="N515">
        <f>IF(M515&gt;=5100,"ставка","мин.ставка")</f>
        <v/>
      </c>
      <c r="O515" s="3">
        <f>ROUND(IF(N515="мин.ставка",L515*100,I515/102*2),2)</f>
        <v/>
      </c>
      <c r="P515" s="5" t="n">
        <v>46289.5</v>
      </c>
      <c r="Q515" t="inlineStr">
        <is>
          <t>TravelLine OTK</t>
        </is>
      </c>
      <c r="R515" s="2" t="inlineStr">
        <is>
          <t>СЕМЕЙНЫЙ НОМЕР КАТЕГОРИИ "СТАНДАРТ" ВТОРОЙ КОРПУС</t>
        </is>
      </c>
      <c r="S515" t="n">
        <v>51</v>
      </c>
      <c r="T515" t="n">
        <v>2</v>
      </c>
      <c r="U515" t="inlineStr"/>
      <c r="V515" t="inlineStr">
        <is>
          <t>Тариф с завтраком</t>
        </is>
      </c>
      <c r="W515" t="n">
        <v>10458</v>
      </c>
      <c r="X515" s="3" t="n">
        <v>1992</v>
      </c>
      <c r="Y515" t="inlineStr">
        <is>
          <t>16%</t>
        </is>
      </c>
      <c r="Z515" t="inlineStr">
        <is>
          <t>2026-09-23</t>
        </is>
      </c>
      <c r="AA515" s="3" t="n">
        <v>10458</v>
      </c>
      <c r="AB515" t="inlineStr">
        <is>
          <t>Сошлось по ночным тарифам</t>
        </is>
      </c>
      <c r="AC515" s="2" t="inlineStr"/>
      <c r="AD515" t="n">
        <v>1992</v>
      </c>
      <c r="AE515" t="n">
        <v>0</v>
      </c>
      <c r="AF515" t="inlineStr">
        <is>
          <t>Скидка добавлена к налоговой базе</t>
        </is>
      </c>
      <c r="AG515" t="n">
        <v>12450</v>
      </c>
      <c r="AH515" t="n">
        <v>10458</v>
      </c>
      <c r="AI515" t="inlineStr">
        <is>
          <t>Полное проживание в выбранном периоде</t>
        </is>
      </c>
    </row>
    <row r="516">
      <c r="A516" t="inlineStr">
        <is>
          <t>20260929-8186-460774925</t>
        </is>
      </c>
      <c r="B516" t="n">
        <v>1</v>
      </c>
      <c r="C516" s="2" t="inlineStr">
        <is>
          <t>Игорь Сапожников, Екатерина Франц</t>
        </is>
      </c>
      <c r="D516" s="3" t="n">
        <v>9900</v>
      </c>
      <c r="E516" s="4" t="n">
        <v>15</v>
      </c>
      <c r="F516" t="inlineStr">
        <is>
          <t>ООО «12Т» (ранее ONE TWO TRIP) [Чайковский]</t>
        </is>
      </c>
      <c r="G516" s="3">
        <f>ROUND(D516/(100-E516)*100,2)</f>
        <v/>
      </c>
      <c r="H516" s="3" t="n">
        <v>0</v>
      </c>
      <c r="I516" s="3">
        <f>ROUND(IF(ISNUMBER(AG516),AG516,G516)+H516,2)</f>
        <v/>
      </c>
      <c r="J516" s="2" t="inlineStr">
        <is>
          <t>Завтрак "Шведский стол"</t>
        </is>
      </c>
      <c r="K516" s="5" t="n">
        <v>46294.58333333334</v>
      </c>
      <c r="L516" t="n">
        <v>1</v>
      </c>
      <c r="M516" s="3">
        <f>I516/L516</f>
        <v/>
      </c>
      <c r="N516">
        <f>IF(M516&gt;=5100,"ставка","мин.ставка")</f>
        <v/>
      </c>
      <c r="O516" s="3">
        <f>ROUND(IF(N516="мин.ставка",L516*100,I516/102*2),2)</f>
        <v/>
      </c>
      <c r="P516" s="5" t="n">
        <v>46295.5</v>
      </c>
      <c r="Q516" t="inlineStr">
        <is>
          <t>TravelLine OTT</t>
        </is>
      </c>
      <c r="R516" s="2" t="inlineStr">
        <is>
          <t>СТАНДАРТНЫЙ ДВУХМЕСТНЫЙ НОМЕР (МАНСАРДА)</t>
        </is>
      </c>
      <c r="S516" t="n">
        <v>47</v>
      </c>
      <c r="T516" t="n">
        <v>1</v>
      </c>
      <c r="U516" t="inlineStr"/>
      <c r="V516" t="inlineStr">
        <is>
          <t>Тариф с завтраком</t>
        </is>
      </c>
      <c r="W516" t="n">
        <v>9900</v>
      </c>
      <c r="X516" s="3" t="n">
        <v>0</v>
      </c>
      <c r="Y516" t="inlineStr"/>
      <c r="Z516" t="inlineStr"/>
      <c r="AA516" s="3" t="n">
        <v>9900</v>
      </c>
      <c r="AB516" t="inlineStr">
        <is>
          <t>Сошлось по ночным тарифам</t>
        </is>
      </c>
      <c r="AC516" s="2" t="inlineStr"/>
      <c r="AD516" t="n">
        <v>0</v>
      </c>
      <c r="AE516" t="n">
        <v>0</v>
      </c>
      <c r="AF516" t="inlineStr">
        <is>
          <t>Скидки нет</t>
        </is>
      </c>
      <c r="AG516" t="n">
        <v>9900</v>
      </c>
      <c r="AH516" t="n">
        <v>9900</v>
      </c>
      <c r="AI516" t="inlineStr">
        <is>
          <t>Полное проживание в выбранном периоде</t>
        </is>
      </c>
    </row>
    <row r="517">
      <c r="A517" t="inlineStr">
        <is>
          <t>20260707-8186-447992636</t>
        </is>
      </c>
      <c r="B517" t="n">
        <v>1</v>
      </c>
      <c r="C517" s="2" t="inlineStr">
        <is>
          <t>Игорь Сафиуллин</t>
        </is>
      </c>
      <c r="D517" s="3" t="n">
        <v>18160</v>
      </c>
      <c r="E517" s="4" t="n">
        <v>20</v>
      </c>
      <c r="F517" t="inlineStr">
        <is>
          <t>ООО "ХБ-ПРО" [Чайковский]</t>
        </is>
      </c>
      <c r="G517" s="3">
        <f>ROUND(D517/(100-E517)*100,2)</f>
        <v/>
      </c>
      <c r="H517" s="3" t="n">
        <v>0</v>
      </c>
      <c r="I517" s="3">
        <f>ROUND(IF(ISNUMBER(AG517),AG517,G517)+H517,2)</f>
        <v/>
      </c>
      <c r="J517" s="2" t="inlineStr">
        <is>
          <t>Завтрак "Шведский стол"</t>
        </is>
      </c>
      <c r="K517" s="5" t="n">
        <v>46210.58333333334</v>
      </c>
      <c r="L517" t="n">
        <v>2</v>
      </c>
      <c r="M517" s="3">
        <f>I517/L517</f>
        <v/>
      </c>
      <c r="N517">
        <f>IF(M517&gt;=5100,"ставка","мин.ставка")</f>
        <v/>
      </c>
      <c r="O517" s="3">
        <f>ROUND(IF(N517="мин.ставка",L517*100,I517/102*2),2)</f>
        <v/>
      </c>
      <c r="P517" s="5" t="n">
        <v>46212.5</v>
      </c>
      <c r="Q517" t="inlineStr">
        <is>
          <t>TravelLine UTS</t>
        </is>
      </c>
      <c r="R517" s="2" t="inlineStr">
        <is>
          <t>СТАНДАРТНЫЙ ДВУХМЕСТНЫЙ НОМЕР</t>
        </is>
      </c>
      <c r="S517" t="n">
        <v>32</v>
      </c>
      <c r="T517" t="n">
        <v>1</v>
      </c>
      <c r="U517" t="inlineStr"/>
      <c r="V517" t="inlineStr">
        <is>
          <t>Тариф с завтраком</t>
        </is>
      </c>
      <c r="W517" t="n">
        <v>18160</v>
      </c>
      <c r="X517" s="3" t="n">
        <v>0</v>
      </c>
      <c r="Y517" t="inlineStr"/>
      <c r="Z517" t="inlineStr"/>
      <c r="AA517" s="3" t="n">
        <v>18160</v>
      </c>
      <c r="AB517" t="inlineStr">
        <is>
          <t>Сошлось по ночным тарифам</t>
        </is>
      </c>
      <c r="AC517" s="2" t="inlineStr"/>
      <c r="AD517" t="n">
        <v>0</v>
      </c>
      <c r="AE517" t="n">
        <v>0</v>
      </c>
      <c r="AF517" t="inlineStr">
        <is>
          <t>Скидки нет</t>
        </is>
      </c>
      <c r="AG517" t="n">
        <v>18160</v>
      </c>
      <c r="AH517" t="n">
        <v>18160</v>
      </c>
      <c r="AI517" t="inlineStr">
        <is>
          <t>Полное проживание в выбранном периоде</t>
        </is>
      </c>
    </row>
    <row r="518">
      <c r="A518" t="inlineStr">
        <is>
          <t>20260713-8186-449857736</t>
        </is>
      </c>
      <c r="B518" t="n">
        <v>1</v>
      </c>
      <c r="C518" s="2" t="inlineStr">
        <is>
          <t>Игорь Смирнов</t>
        </is>
      </c>
      <c r="D518" s="3" t="n">
        <v>14775</v>
      </c>
      <c r="E518" s="4" t="n">
        <v>4</v>
      </c>
      <c r="F518" t="inlineStr">
        <is>
          <t>TravelLine Booking Engine [Чайковский]</t>
        </is>
      </c>
      <c r="G518" s="3">
        <f>ROUND(D518/(100-E518)*100,2)</f>
        <v/>
      </c>
      <c r="H518" s="3" t="n">
        <v>0</v>
      </c>
      <c r="I518" s="3">
        <f>ROUND(IF(ISNUMBER(AG518),AG518,G518)+H518,2)</f>
        <v/>
      </c>
      <c r="J518" s="2" t="inlineStr"/>
      <c r="K518" s="5" t="n">
        <v>46216.58333333334</v>
      </c>
      <c r="L518" t="n">
        <v>1</v>
      </c>
      <c r="M518" s="3">
        <f>I518/L518</f>
        <v/>
      </c>
      <c r="N518">
        <f>IF(M518&gt;=5100,"ставка","мин.ставка")</f>
        <v/>
      </c>
      <c r="O518" s="3">
        <f>ROUND(IF(N518="мин.ставка",L518*100,I518/102*2),2)</f>
        <v/>
      </c>
      <c r="P518" s="5" t="n">
        <v>46217.5</v>
      </c>
      <c r="Q518" t="inlineStr">
        <is>
          <t>TravelLine сайт</t>
        </is>
      </c>
      <c r="R518" s="2" t="inlineStr">
        <is>
          <t>ПОЛУЛЮКС</t>
        </is>
      </c>
      <c r="S518" t="n">
        <v>25</v>
      </c>
      <c r="T518" t="n">
        <v>1</v>
      </c>
      <c r="U518" t="inlineStr"/>
      <c r="V518" t="inlineStr">
        <is>
          <t>Основной тариф без завтрака</t>
        </is>
      </c>
      <c r="W518" t="n">
        <v>14775</v>
      </c>
      <c r="X518" s="3" t="n">
        <v>225</v>
      </c>
      <c r="Y518" t="inlineStr">
        <is>
          <t>1.5%</t>
        </is>
      </c>
      <c r="Z518" t="inlineStr">
        <is>
          <t>2026-07-13</t>
        </is>
      </c>
      <c r="AA518" s="3" t="n">
        <v>14775</v>
      </c>
      <c r="AB518" t="inlineStr">
        <is>
          <t>Сошлось по ночным тарифам</t>
        </is>
      </c>
      <c r="AC518" s="2" t="inlineStr"/>
      <c r="AD518" t="n">
        <v>225</v>
      </c>
      <c r="AE518" t="n">
        <v>0</v>
      </c>
      <c r="AF518" t="inlineStr">
        <is>
          <t>Скидка добавлена к налоговой базе</t>
        </is>
      </c>
      <c r="AG518" t="n">
        <v>15000</v>
      </c>
      <c r="AH518" t="n">
        <v>14775</v>
      </c>
      <c r="AI518" t="inlineStr">
        <is>
          <t>Полное проживание в выбранном периоде</t>
        </is>
      </c>
    </row>
    <row r="519">
      <c r="A519" t="inlineStr">
        <is>
          <t>20260709-8186-448314556</t>
        </is>
      </c>
      <c r="B519" t="n">
        <v>1</v>
      </c>
      <c r="C519" s="2" t="inlineStr">
        <is>
          <t>ИГОРЬ ХОМУТОВСКИЙ, София Новосад</t>
        </is>
      </c>
      <c r="D519" s="3" t="n">
        <v>22991</v>
      </c>
      <c r="E519" s="4" t="n">
        <v>17</v>
      </c>
      <c r="F519" t="inlineStr">
        <is>
          <t>ООО «Дубль Гис» (OTELLO) [Чайковский]</t>
        </is>
      </c>
      <c r="G519" s="3">
        <f>ROUND(D519/(100-E519)*100,2)</f>
        <v/>
      </c>
      <c r="H519" s="3" t="n">
        <v>0</v>
      </c>
      <c r="I519" s="3">
        <f>ROUND(IF(ISNUMBER(AG519),AG519,G519)+H519,2)</f>
        <v/>
      </c>
      <c r="J519" s="2" t="inlineStr">
        <is>
          <t>Завтрак "Шведский стол"</t>
        </is>
      </c>
      <c r="K519" s="5" t="n">
        <v>46212.58333333334</v>
      </c>
      <c r="L519" t="n">
        <v>2</v>
      </c>
      <c r="M519" s="3">
        <f>I519/L519</f>
        <v/>
      </c>
      <c r="N519">
        <f>IF(M519&gt;=5100,"ставка","мин.ставка")</f>
        <v/>
      </c>
      <c r="O519" s="3">
        <f>ROUND(IF(N519="мин.ставка",L519*100,I519/102*2),2)</f>
        <v/>
      </c>
      <c r="P519" s="5" t="n">
        <v>46214.5</v>
      </c>
      <c r="Q519" t="inlineStr">
        <is>
          <t>TravelLine OL2</t>
        </is>
      </c>
      <c r="R519" s="2" t="inlineStr">
        <is>
          <t>ПОЛУЛЮКС</t>
        </is>
      </c>
      <c r="S519" t="n">
        <v>35</v>
      </c>
      <c r="T519" t="n">
        <v>1</v>
      </c>
      <c r="U519" t="inlineStr"/>
      <c r="V519" t="inlineStr">
        <is>
          <t>Тариф с завтраком</t>
        </is>
      </c>
      <c r="W519" t="n">
        <v>22991</v>
      </c>
      <c r="X519" s="3" t="n">
        <v>4709</v>
      </c>
      <c r="Y519" t="inlineStr">
        <is>
          <t>17%</t>
        </is>
      </c>
      <c r="Z519" t="inlineStr">
        <is>
          <t>2026-07-09, 2026-07-10</t>
        </is>
      </c>
      <c r="AA519" s="3" t="n">
        <v>22991</v>
      </c>
      <c r="AB519" t="inlineStr">
        <is>
          <t>Сошлось по ночным тарифам</t>
        </is>
      </c>
      <c r="AC519" s="2" t="inlineStr"/>
      <c r="AD519" t="n">
        <v>4709</v>
      </c>
      <c r="AE519" t="n">
        <v>0</v>
      </c>
      <c r="AF519" t="inlineStr">
        <is>
          <t>Скидка добавлена к налоговой базе</t>
        </is>
      </c>
      <c r="AG519" t="n">
        <v>27700</v>
      </c>
      <c r="AH519" t="n">
        <v>22991</v>
      </c>
      <c r="AI519" t="inlineStr">
        <is>
          <t>Полное проживание в выбранном периоде</t>
        </is>
      </c>
    </row>
    <row r="520">
      <c r="A520" t="inlineStr">
        <is>
          <t>20260822-8186-425651545</t>
        </is>
      </c>
      <c r="B520" t="n">
        <v>1</v>
      </c>
      <c r="C520" s="2" t="inlineStr">
        <is>
          <t>Игорь Шведов, Виктория Максимова</t>
        </is>
      </c>
      <c r="D520" s="3" t="n">
        <v>60876</v>
      </c>
      <c r="E520" s="4" t="n">
        <v>18</v>
      </c>
      <c r="F520" t="inlineStr">
        <is>
          <t>Яндекс.Путешествия [Чайковский]</t>
        </is>
      </c>
      <c r="G520" s="3">
        <f>ROUND(D520/(100-E520)*100,2)</f>
        <v/>
      </c>
      <c r="H520" s="3" t="n">
        <v>0</v>
      </c>
      <c r="I520" s="3">
        <f>ROUND(IF(ISNUMBER(AG520),AG520,G520)+H520,2)</f>
        <v/>
      </c>
      <c r="J520" s="2" t="inlineStr">
        <is>
          <t>Завтрак "Шведский стол"</t>
        </is>
      </c>
      <c r="K520" s="5" t="n">
        <v>46256.58333333334</v>
      </c>
      <c r="L520" t="n">
        <v>6</v>
      </c>
      <c r="M520" s="3">
        <f>I520/L520</f>
        <v/>
      </c>
      <c r="N520">
        <f>IF(M520&gt;=5100,"ставка","мин.ставка")</f>
        <v/>
      </c>
      <c r="O520" s="3">
        <f>ROUND(IF(N520="мин.ставка",L520*100,I520/102*2),2)</f>
        <v/>
      </c>
      <c r="P520" s="5" t="n">
        <v>46262.5</v>
      </c>
      <c r="Q520" t="inlineStr">
        <is>
          <t>TravelLine YAX</t>
        </is>
      </c>
      <c r="R520" s="2" t="inlineStr">
        <is>
          <t>СТАНДАРТНЫЙ ДВУХМЕСТНЫЙ НОМЕР</t>
        </is>
      </c>
      <c r="S520" t="n">
        <v>23</v>
      </c>
      <c r="T520" t="n">
        <v>1</v>
      </c>
      <c r="U520" t="inlineStr"/>
      <c r="V520" t="inlineStr">
        <is>
          <t>Тариф с завтраком</t>
        </is>
      </c>
      <c r="W520" t="n">
        <v>182928</v>
      </c>
      <c r="X520" s="3" t="n">
        <v>15219</v>
      </c>
      <c r="Y520" t="inlineStr">
        <is>
          <t>20%</t>
        </is>
      </c>
      <c r="Z520" t="inlineStr">
        <is>
          <t>2026-08-22, 2026-08-23, 2026-08-24, 2026-08-25, 2026-08-26, 2026-08-27</t>
        </is>
      </c>
      <c r="AA520" s="3" t="n">
        <v>60876</v>
      </c>
      <c r="AB520" t="inlineStr">
        <is>
          <t>Сошлось по ночным тарифам</t>
        </is>
      </c>
      <c r="AC520" s="2" t="inlineStr"/>
      <c r="AD520" t="n">
        <v>15219</v>
      </c>
      <c r="AE520" t="n">
        <v>0</v>
      </c>
      <c r="AF520" t="inlineStr">
        <is>
          <t>Скидка добавлена к налоговой базе</t>
        </is>
      </c>
      <c r="AG520" t="n">
        <v>76095</v>
      </c>
      <c r="AH520" t="n">
        <v>60876</v>
      </c>
      <c r="AI520" t="inlineStr">
        <is>
          <t>Полное проживание в выбранном периоде</t>
        </is>
      </c>
    </row>
    <row r="521">
      <c r="A521" t="inlineStr">
        <is>
          <t>20260924-8186-468104031</t>
        </is>
      </c>
      <c r="B521" t="n">
        <v>1</v>
      </c>
      <c r="C521" s="2" t="inlineStr">
        <is>
          <t>Игорь Широков, Дарья Гигина</t>
        </is>
      </c>
      <c r="D521" s="3" t="n">
        <v>16252.5</v>
      </c>
      <c r="E521" s="4" t="n">
        <v>4</v>
      </c>
      <c r="F521" t="inlineStr">
        <is>
          <t>TravelLine Booking Engine [Чайковский]</t>
        </is>
      </c>
      <c r="G521" s="3">
        <f>ROUND(D521/(100-E521)*100,2)</f>
        <v/>
      </c>
      <c r="H521" s="3" t="n">
        <v>2064</v>
      </c>
      <c r="I521" s="3">
        <f>ROUND(IF(ISNUMBER(AG521),AG521,G521)+H521,2)</f>
        <v/>
      </c>
      <c r="J521" s="2" t="inlineStr">
        <is>
          <t>продление номера — 2 064,00 ₽; Завтрак "Шведский стол"</t>
        </is>
      </c>
      <c r="K521" s="5" t="n">
        <v>46289.58333333334</v>
      </c>
      <c r="L521" t="n">
        <v>1</v>
      </c>
      <c r="M521" s="3">
        <f>I521/L521</f>
        <v/>
      </c>
      <c r="N521">
        <f>IF(M521&gt;=5100,"ставка","мин.ставка")</f>
        <v/>
      </c>
      <c r="O521" s="3">
        <f>ROUND(IF(N521="мин.ставка",L521*100,I521/102*2),2)</f>
        <v/>
      </c>
      <c r="P521" s="5" t="n">
        <v>46290.625</v>
      </c>
      <c r="Q521" t="inlineStr">
        <is>
          <t>TravelLine сайт</t>
        </is>
      </c>
      <c r="R521" s="2" t="inlineStr">
        <is>
          <t>ПОЛУЛЮКС</t>
        </is>
      </c>
      <c r="S521" t="n">
        <v>25</v>
      </c>
      <c r="T521" t="n">
        <v>1</v>
      </c>
      <c r="U521" t="inlineStr"/>
      <c r="V521" t="inlineStr">
        <is>
          <t>Тариф с завтраком</t>
        </is>
      </c>
      <c r="W521" t="n">
        <v>18316.5</v>
      </c>
      <c r="X521" s="3" t="n">
        <v>247.5</v>
      </c>
      <c r="Y521" t="inlineStr">
        <is>
          <t>1.5%</t>
        </is>
      </c>
      <c r="Z521" t="inlineStr">
        <is>
          <t>2026-09-24</t>
        </is>
      </c>
      <c r="AA521" s="3" t="n">
        <v>16252.5</v>
      </c>
      <c r="AB521" t="inlineStr">
        <is>
          <t>Сошлось с услугами</t>
        </is>
      </c>
      <c r="AC521" s="2" t="inlineStr"/>
      <c r="AD521" t="n">
        <v>247.5</v>
      </c>
      <c r="AE521" t="n">
        <v>0</v>
      </c>
      <c r="AF521" t="inlineStr">
        <is>
          <t>Скидка добавлена к налоговой базе</t>
        </is>
      </c>
      <c r="AG521" t="n">
        <v>16500</v>
      </c>
      <c r="AH521" t="n">
        <v>16252.5</v>
      </c>
      <c r="AI521" t="inlineStr">
        <is>
          <t>Полное проживание в выбранном периоде</t>
        </is>
      </c>
    </row>
    <row r="522">
      <c r="A522" t="inlineStr">
        <is>
          <t>20260910-8186-452434191</t>
        </is>
      </c>
      <c r="B522" t="n">
        <v>1</v>
      </c>
      <c r="C522" s="2" t="inlineStr">
        <is>
          <t>Илона Замышляева</t>
        </is>
      </c>
      <c r="D522" s="3" t="n">
        <v>18960</v>
      </c>
      <c r="E522" s="4" t="n">
        <v>20</v>
      </c>
      <c r="F522" t="inlineStr">
        <is>
          <t>ООО "КОМПАНИЯ БРОНЕВИК" [Чайковский]</t>
        </is>
      </c>
      <c r="G522" s="3">
        <f>ROUND(D522/(100-E522)*100,2)</f>
        <v/>
      </c>
      <c r="H522" s="3" t="n">
        <v>0</v>
      </c>
      <c r="I522" s="3">
        <f>ROUND(IF(ISNUMBER(AG522),AG522,G522)+H522,2)</f>
        <v/>
      </c>
      <c r="J522" s="2" t="inlineStr">
        <is>
          <t>Завтрак "Шведский стол"</t>
        </is>
      </c>
      <c r="K522" s="5" t="n">
        <v>46275.58333333334</v>
      </c>
      <c r="L522" t="n">
        <v>3</v>
      </c>
      <c r="M522" s="3">
        <f>I522/L522</f>
        <v/>
      </c>
      <c r="N522">
        <f>IF(M522&gt;=5100,"ставка","мин.ставка")</f>
        <v/>
      </c>
      <c r="O522" s="3">
        <f>ROUND(IF(N522="мин.ставка",L522*100,I522/102*2),2)</f>
        <v/>
      </c>
      <c r="P522" s="5" t="n">
        <v>46278.5</v>
      </c>
      <c r="Q522" t="inlineStr">
        <is>
          <t>TravelLine BR2</t>
        </is>
      </c>
      <c r="R522" s="2" t="inlineStr">
        <is>
          <t>СТАНДАРТНЫЙ ДВУХМЕСТНЫЙ НОМЕР (МАНСАРДА)</t>
        </is>
      </c>
      <c r="S522" t="n">
        <v>47</v>
      </c>
      <c r="T522" t="n">
        <v>1</v>
      </c>
      <c r="U522" t="inlineStr"/>
      <c r="V522" t="inlineStr">
        <is>
          <t>Тариф с завтраком</t>
        </is>
      </c>
      <c r="W522" t="n">
        <v>18960</v>
      </c>
      <c r="X522" s="3" t="n">
        <v>0</v>
      </c>
      <c r="Y522" t="inlineStr"/>
      <c r="Z522" t="inlineStr"/>
      <c r="AA522" s="3" t="n">
        <v>18960</v>
      </c>
      <c r="AB522" t="inlineStr">
        <is>
          <t>Сошлось по ночным тарифам</t>
        </is>
      </c>
      <c r="AC522" s="2" t="inlineStr"/>
      <c r="AD522" t="n">
        <v>0</v>
      </c>
      <c r="AE522" t="n">
        <v>0</v>
      </c>
      <c r="AF522" t="inlineStr">
        <is>
          <t>Скидки нет</t>
        </is>
      </c>
      <c r="AG522" t="n">
        <v>18960</v>
      </c>
      <c r="AH522" t="n">
        <v>18960</v>
      </c>
      <c r="AI522" t="inlineStr">
        <is>
          <t>Полное проживание в выбранном периоде</t>
        </is>
      </c>
    </row>
    <row r="523">
      <c r="A523" t="inlineStr">
        <is>
          <t>20260729-8186-446839045</t>
        </is>
      </c>
      <c r="B523" t="n">
        <v>1</v>
      </c>
      <c r="C523" s="2" t="inlineStr">
        <is>
          <t>ИЛЬНУР ВАЛИУЛЛИН, АЛИНА ФЕСЮН</t>
        </is>
      </c>
      <c r="D523" s="3" t="n">
        <v>79432.5</v>
      </c>
      <c r="E523" s="4" t="n">
        <v>0</v>
      </c>
      <c r="F523" t="inlineStr">
        <is>
          <t>ООО «ХОМЛИН ЛЭНД» (ПЕГАС) [Чайковский]</t>
        </is>
      </c>
      <c r="G523" s="3">
        <f>ROUND(D523/(100-E523)*100,2)</f>
        <v/>
      </c>
      <c r="H523" s="3" t="n">
        <v>0</v>
      </c>
      <c r="I523" s="3">
        <f>ROUND(IF(ISNUMBER(AG523),AG523,G523)+H523,2)</f>
        <v/>
      </c>
      <c r="J523" s="2" t="inlineStr">
        <is>
          <t>Завтрак "Шведский стол"</t>
        </is>
      </c>
      <c r="K523" s="5" t="n">
        <v>46232.58333333334</v>
      </c>
      <c r="L523" t="n">
        <v>7</v>
      </c>
      <c r="M523" s="3">
        <f>I523/L523</f>
        <v/>
      </c>
      <c r="N523">
        <f>IF(M523&gt;=5100,"ставка","мин.ставка")</f>
        <v/>
      </c>
      <c r="O523" s="3">
        <f>ROUND(IF(N523="мин.ставка",L523*100,I523/102*2),2)</f>
        <v/>
      </c>
      <c r="P523" s="5" t="n">
        <v>46239.5</v>
      </c>
      <c r="Q523" t="inlineStr">
        <is>
          <t>TravelLine PGS</t>
        </is>
      </c>
      <c r="R523" s="2" t="inlineStr">
        <is>
          <t>СТАНДАРТНЫЙ ДВУХМЕСТНЫЙ НОМЕР</t>
        </is>
      </c>
      <c r="S523" t="n">
        <v>58</v>
      </c>
      <c r="T523" t="n">
        <v>2</v>
      </c>
      <c r="U523" t="inlineStr"/>
      <c r="V523" t="inlineStr">
        <is>
          <t>Тариф с завтраком</t>
        </is>
      </c>
      <c r="W523" t="n">
        <v>79432.5</v>
      </c>
      <c r="X523" s="3" t="n">
        <v>14017.5</v>
      </c>
      <c r="Y523" t="inlineStr">
        <is>
          <t>15%</t>
        </is>
      </c>
      <c r="Z523" t="inlineStr">
        <is>
          <t>2026-07-29, 2026-07-30, 2026-07-31, 2026-08-01, 2026-08-02, 2026-08-03, 2026-08-04</t>
        </is>
      </c>
      <c r="AA523" s="3" t="n">
        <v>79432.5</v>
      </c>
      <c r="AB523" t="inlineStr">
        <is>
          <t>Сошлось по ночным тарифам</t>
        </is>
      </c>
      <c r="AC523" s="2" t="inlineStr"/>
      <c r="AD523" t="n">
        <v>14017.5</v>
      </c>
      <c r="AE523" t="n">
        <v>0</v>
      </c>
      <c r="AF523" t="inlineStr">
        <is>
          <t>Скидка добавлена к налоговой базе</t>
        </is>
      </c>
      <c r="AG523" t="n">
        <v>93450</v>
      </c>
      <c r="AH523" t="n">
        <v>79432.5</v>
      </c>
      <c r="AI523" t="inlineStr">
        <is>
          <t>Полное проживание в выбранном периоде</t>
        </is>
      </c>
    </row>
    <row r="524">
      <c r="A524" t="inlineStr">
        <is>
          <t>20260930-8186-468476975</t>
        </is>
      </c>
      <c r="B524" t="n">
        <v>1</v>
      </c>
      <c r="C524" s="2" t="inlineStr">
        <is>
          <t>Илья Бобовников</t>
        </is>
      </c>
      <c r="D524" s="3" t="n">
        <v>16601.25</v>
      </c>
      <c r="E524" s="4" t="n">
        <v>18</v>
      </c>
      <c r="F524" t="inlineStr">
        <is>
          <t>Яндекс.Путешествия [Чайковский]</t>
        </is>
      </c>
      <c r="G524" s="3">
        <f>ROUND(D524/(100-E524)*100,2)</f>
        <v/>
      </c>
      <c r="H524" s="3" t="n">
        <v>0</v>
      </c>
      <c r="I524" s="3">
        <f>ROUND(IF(ISNUMBER(AG524),AG524,G524)+H524,2)</f>
        <v/>
      </c>
      <c r="J524" s="2" t="inlineStr"/>
      <c r="K524" s="5" t="n">
        <v>46295.58333333334</v>
      </c>
      <c r="L524" t="n">
        <v>1</v>
      </c>
      <c r="M524" s="3">
        <f>I524/L524</f>
        <v/>
      </c>
      <c r="N524">
        <f>IF(M524&gt;=5100,"ставка","мин.ставка")</f>
        <v/>
      </c>
      <c r="O524" s="3">
        <f>ROUND(IF(N524="мин.ставка",L524*100,I524/102*2),2)</f>
        <v/>
      </c>
      <c r="P524" s="5" t="n">
        <v>46298.5</v>
      </c>
      <c r="Q524" t="inlineStr">
        <is>
          <t>TravelLine YAX</t>
        </is>
      </c>
      <c r="R524" s="2" t="inlineStr">
        <is>
          <t>СТАНДАРТНЫЙ ДВУХМЕСТНЫЙ НОМЕР (МАНСАРДА)</t>
        </is>
      </c>
      <c r="S524" t="n">
        <v>41</v>
      </c>
      <c r="T524" t="n">
        <v>1</v>
      </c>
      <c r="U524" t="inlineStr"/>
      <c r="V524" t="inlineStr">
        <is>
          <t>Тариф с завтраком</t>
        </is>
      </c>
      <c r="W524" t="n">
        <v>16601.25</v>
      </c>
      <c r="X524" s="3" t="n">
        <v>5533.75</v>
      </c>
      <c r="Y524" t="inlineStr">
        <is>
          <t>25%</t>
        </is>
      </c>
      <c r="Z524" t="inlineStr">
        <is>
          <t>Не распределена по датам</t>
        </is>
      </c>
      <c r="AA524" s="3" t="n">
        <v>16601.25</v>
      </c>
      <c r="AB524" t="inlineStr">
        <is>
          <t>Сошлось по ночным тарифам</t>
        </is>
      </c>
      <c r="AC524" s="2" t="inlineStr"/>
      <c r="AD524" t="n">
        <v>0</v>
      </c>
      <c r="AE524" t="n">
        <v>0</v>
      </c>
      <c r="AF524" t="inlineStr">
        <is>
          <t>Частичный период: дата агрегированной скидки не определена; скидка не добавлена к базе</t>
        </is>
      </c>
      <c r="AG524" t="n">
        <v>5628.75</v>
      </c>
      <c r="AH524" t="n">
        <v>5628.75</v>
      </c>
      <c r="AI524" t="inlineStr">
        <is>
          <t>Частичное проживание распределено по dailyRates; скидка без даты не восстановлена</t>
        </is>
      </c>
    </row>
    <row r="525">
      <c r="A525" t="inlineStr">
        <is>
          <t>20260816-8186-459082892</t>
        </is>
      </c>
      <c r="B525" t="n">
        <v>1</v>
      </c>
      <c r="C525" s="2" t="inlineStr">
        <is>
          <t>Илья Веселов, Наталья Панюшкина</t>
        </is>
      </c>
      <c r="D525" s="3" t="n">
        <v>12936</v>
      </c>
      <c r="E525" s="4" t="n">
        <v>16</v>
      </c>
      <c r="F525" t="inlineStr">
        <is>
          <t>ООО "БРОНИРОВАНИЕ ГОСТИНИЦ" (OSTROVOK) [Чайковский]</t>
        </is>
      </c>
      <c r="G525" s="3">
        <f>ROUND(D525/(100-E525)*100,2)</f>
        <v/>
      </c>
      <c r="H525" s="3" t="n">
        <v>0</v>
      </c>
      <c r="I525" s="3">
        <f>ROUND(IF(ISNUMBER(AG525),AG525,G525)+H525,2)</f>
        <v/>
      </c>
      <c r="J525" s="2" t="inlineStr">
        <is>
          <t>Завтрак "Шведский стол"</t>
        </is>
      </c>
      <c r="K525" s="5" t="n">
        <v>46250.58333333334</v>
      </c>
      <c r="L525" t="n">
        <v>1</v>
      </c>
      <c r="M525" s="3">
        <f>I525/L525</f>
        <v/>
      </c>
      <c r="N525">
        <f>IF(M525&gt;=5100,"ставка","мин.ставка")</f>
        <v/>
      </c>
      <c r="O525" s="3">
        <f>ROUND(IF(N525="мин.ставка",L525*100,I525/102*2),2)</f>
        <v/>
      </c>
      <c r="P525" s="5" t="n">
        <v>46251.5</v>
      </c>
      <c r="Q525" t="inlineStr">
        <is>
          <t>TravelLine OTK</t>
        </is>
      </c>
      <c r="R525" s="2" t="inlineStr">
        <is>
          <t>УЛУЧШЕННЫЙ ДВУХМЕСТНЫЙ НОМЕР</t>
        </is>
      </c>
      <c r="S525" t="n">
        <v>31</v>
      </c>
      <c r="T525" t="n">
        <v>1</v>
      </c>
      <c r="U525" t="inlineStr"/>
      <c r="V525" t="inlineStr">
        <is>
          <t>Тариф с завтраком</t>
        </is>
      </c>
      <c r="W525" t="n">
        <v>12936</v>
      </c>
      <c r="X525" s="3" t="n">
        <v>2464</v>
      </c>
      <c r="Y525" t="inlineStr">
        <is>
          <t>16%</t>
        </is>
      </c>
      <c r="Z525" t="inlineStr">
        <is>
          <t>2026-08-16</t>
        </is>
      </c>
      <c r="AA525" s="3" t="n">
        <v>12936</v>
      </c>
      <c r="AB525" t="inlineStr">
        <is>
          <t>Сошлось по ночным тарифам</t>
        </is>
      </c>
      <c r="AC525" s="2" t="inlineStr"/>
      <c r="AD525" t="n">
        <v>2464</v>
      </c>
      <c r="AE525" t="n">
        <v>0</v>
      </c>
      <c r="AF525" t="inlineStr">
        <is>
          <t>Скидка добавлена к налоговой базе</t>
        </is>
      </c>
      <c r="AG525" t="n">
        <v>15400</v>
      </c>
      <c r="AH525" t="n">
        <v>12936</v>
      </c>
      <c r="AI525" t="inlineStr">
        <is>
          <t>Полное проживание в выбранном периоде</t>
        </is>
      </c>
    </row>
    <row r="526">
      <c r="A526" t="inlineStr">
        <is>
          <t>20260903-8186-463301767</t>
        </is>
      </c>
      <c r="B526" t="n">
        <v>1</v>
      </c>
      <c r="C526" s="2" t="inlineStr">
        <is>
          <t>Илья Виленский</t>
        </is>
      </c>
      <c r="D526" s="3" t="n">
        <v>8512.5</v>
      </c>
      <c r="E526" s="4" t="n">
        <v>18</v>
      </c>
      <c r="F526" t="inlineStr">
        <is>
          <t>Яндекс.Путешествия [Чайковский]</t>
        </is>
      </c>
      <c r="G526" s="3">
        <f>ROUND(D526/(100-E526)*100,2)</f>
        <v/>
      </c>
      <c r="H526" s="3" t="n">
        <v>0</v>
      </c>
      <c r="I526" s="3">
        <f>ROUND(IF(ISNUMBER(AG526),AG526,G526)+H526,2)</f>
        <v/>
      </c>
      <c r="J526" s="2" t="inlineStr">
        <is>
          <t>Завтрак "Шведский стол"</t>
        </is>
      </c>
      <c r="K526" s="5" t="n">
        <v>46268.58333333334</v>
      </c>
      <c r="L526" t="n">
        <v>1</v>
      </c>
      <c r="M526" s="3">
        <f>I526/L526</f>
        <v/>
      </c>
      <c r="N526">
        <f>IF(M526&gt;=5100,"ставка","мин.ставка")</f>
        <v/>
      </c>
      <c r="O526" s="3">
        <f>ROUND(IF(N526="мин.ставка",L526*100,I526/102*2),2)</f>
        <v/>
      </c>
      <c r="P526" s="5" t="n">
        <v>46269.5</v>
      </c>
      <c r="Q526" t="inlineStr">
        <is>
          <t>TravelLine YAX</t>
        </is>
      </c>
      <c r="R526" s="2" t="inlineStr">
        <is>
          <t>СТАНДАРТНЫЙ ДВУХМЕСТНЫЙ НОМЕР</t>
        </is>
      </c>
      <c r="S526" t="n">
        <v>44</v>
      </c>
      <c r="T526" t="n">
        <v>1</v>
      </c>
      <c r="U526" t="inlineStr"/>
      <c r="V526" t="inlineStr">
        <is>
          <t>Тариф с завтраком</t>
        </is>
      </c>
      <c r="W526" t="n">
        <v>8512.5</v>
      </c>
      <c r="X526" s="3" t="n">
        <v>2837.5</v>
      </c>
      <c r="Y526" t="inlineStr">
        <is>
          <t>25%</t>
        </is>
      </c>
      <c r="Z526" t="inlineStr">
        <is>
          <t>2026-09-03</t>
        </is>
      </c>
      <c r="AA526" s="3" t="n">
        <v>8512.5</v>
      </c>
      <c r="AB526" t="inlineStr">
        <is>
          <t>Сошлось по ночным тарифам</t>
        </is>
      </c>
      <c r="AC526" s="2" t="inlineStr"/>
      <c r="AD526" t="n">
        <v>2837.5</v>
      </c>
      <c r="AE526" t="n">
        <v>0</v>
      </c>
      <c r="AF526" t="inlineStr">
        <is>
          <t>Скидка добавлена к налоговой базе</t>
        </is>
      </c>
      <c r="AG526" t="n">
        <v>11350</v>
      </c>
      <c r="AH526" t="n">
        <v>8512.5</v>
      </c>
      <c r="AI526" t="inlineStr">
        <is>
          <t>Полное проживание в выбранном периоде</t>
        </is>
      </c>
    </row>
    <row r="527">
      <c r="A527" t="inlineStr">
        <is>
          <t>20260907-8186-459655458</t>
        </is>
      </c>
      <c r="B527" t="n">
        <v>1</v>
      </c>
      <c r="C527" s="2" t="inlineStr">
        <is>
          <t>Илья Воронич</t>
        </is>
      </c>
      <c r="D527" s="3" t="n">
        <v>30627</v>
      </c>
      <c r="E527" s="4" t="n">
        <v>18</v>
      </c>
      <c r="F527" t="inlineStr">
        <is>
          <t>ООО "Эй энд Эй" [Чайковский]</t>
        </is>
      </c>
      <c r="G527" s="3">
        <f>ROUND(D527/(100-E527)*100,2)</f>
        <v/>
      </c>
      <c r="H527" s="3" t="n">
        <v>0</v>
      </c>
      <c r="I527" s="3">
        <f>ROUND(IF(ISNUMBER(AG527),AG527,G527)+H527,2)</f>
        <v/>
      </c>
      <c r="J527" s="2" t="inlineStr">
        <is>
          <t>Завтрак "Шведский стол"</t>
        </is>
      </c>
      <c r="K527" s="5" t="n">
        <v>46272.58333333334</v>
      </c>
      <c r="L527" t="n">
        <v>3</v>
      </c>
      <c r="M527" s="3">
        <f>I527/L527</f>
        <v/>
      </c>
      <c r="N527">
        <f>IF(M527&gt;=5100,"ставка","мин.ставка")</f>
        <v/>
      </c>
      <c r="O527" s="3">
        <f>ROUND(IF(N527="мин.ставка",L527*100,I527/102*2),2)</f>
        <v/>
      </c>
      <c r="P527" s="5" t="n">
        <v>46275.5</v>
      </c>
      <c r="Q527" t="inlineStr">
        <is>
          <t>TravelLine ANA</t>
        </is>
      </c>
      <c r="R527" s="2" t="inlineStr">
        <is>
          <t>СЕМЕЙНЫЙ НОМЕР КАТЕГОРИИ "СТАНДАРТ" ВТОРОЙ КОРПУС</t>
        </is>
      </c>
      <c r="S527" t="n">
        <v>51</v>
      </c>
      <c r="T527" t="n">
        <v>2</v>
      </c>
      <c r="U527" t="inlineStr"/>
      <c r="V527" t="inlineStr">
        <is>
          <t>Тариф с завтраком</t>
        </is>
      </c>
      <c r="W527" t="n">
        <v>30627</v>
      </c>
      <c r="X527" s="3" t="n">
        <v>6723</v>
      </c>
      <c r="Y527" t="inlineStr">
        <is>
          <t>18%</t>
        </is>
      </c>
      <c r="Z527" t="inlineStr">
        <is>
          <t>2026-09-07, 2026-09-08, 2026-09-09</t>
        </is>
      </c>
      <c r="AA527" s="3" t="n">
        <v>30627</v>
      </c>
      <c r="AB527" t="inlineStr">
        <is>
          <t>Сошлось по ночным тарифам</t>
        </is>
      </c>
      <c r="AC527" s="2" t="inlineStr"/>
      <c r="AD527" t="n">
        <v>6723</v>
      </c>
      <c r="AE527" t="n">
        <v>0</v>
      </c>
      <c r="AF527" t="inlineStr">
        <is>
          <t>Скидка добавлена к налоговой базе</t>
        </is>
      </c>
      <c r="AG527" t="n">
        <v>37350</v>
      </c>
      <c r="AH527" t="n">
        <v>30627</v>
      </c>
      <c r="AI527" t="inlineStr">
        <is>
          <t>Полное проживание в выбранном периоде</t>
        </is>
      </c>
    </row>
    <row r="528">
      <c r="A528" t="inlineStr">
        <is>
          <t>20260804-8186-454591056</t>
        </is>
      </c>
      <c r="B528" t="n">
        <v>1</v>
      </c>
      <c r="C528" s="2" t="inlineStr">
        <is>
          <t>Илья Мартьянов, Екатерина Жукова</t>
        </is>
      </c>
      <c r="D528" s="3" t="n">
        <v>32488.5</v>
      </c>
      <c r="E528" s="4" t="n">
        <v>4</v>
      </c>
      <c r="F528" t="inlineStr">
        <is>
          <t>TravelLine Booking Engine [Чайковский]</t>
        </is>
      </c>
      <c r="G528" s="3">
        <f>ROUND(D528/(100-E528)*100,2)</f>
        <v/>
      </c>
      <c r="H528" s="3" t="n">
        <v>0</v>
      </c>
      <c r="I528" s="3">
        <f>ROUND(IF(ISNUMBER(AG528),AG528,G528)+H528,2)</f>
        <v/>
      </c>
      <c r="J528" s="2" t="inlineStr">
        <is>
          <t>Завтрак "Шведский стол"</t>
        </is>
      </c>
      <c r="K528" s="5" t="n">
        <v>46238.58333333334</v>
      </c>
      <c r="L528" t="n">
        <v>2</v>
      </c>
      <c r="M528" s="3">
        <f>I528/L528</f>
        <v/>
      </c>
      <c r="N528">
        <f>IF(M528&gt;=5100,"ставка","мин.ставка")</f>
        <v/>
      </c>
      <c r="O528" s="3">
        <f>ROUND(IF(N528="мин.ставка",L528*100,I528/102*2),2)</f>
        <v/>
      </c>
      <c r="P528" s="5" t="n">
        <v>46240.5</v>
      </c>
      <c r="Q528" t="inlineStr">
        <is>
          <t>TravelLine сайт</t>
        </is>
      </c>
      <c r="R528" s="2" t="inlineStr">
        <is>
          <t>ПОЛУЛЮКС</t>
        </is>
      </c>
      <c r="S528" t="n">
        <v>35</v>
      </c>
      <c r="T528" t="n">
        <v>1</v>
      </c>
      <c r="U528" t="inlineStr"/>
      <c r="V528" t="inlineStr">
        <is>
          <t>Тариф с завтраком</t>
        </is>
      </c>
      <c r="W528" t="n">
        <v>32488.5</v>
      </c>
      <c r="X528" s="3" t="n">
        <v>511.5</v>
      </c>
      <c r="Y528" t="inlineStr">
        <is>
          <t>3.1%</t>
        </is>
      </c>
      <c r="Z528" t="inlineStr">
        <is>
          <t>2026-08-04</t>
        </is>
      </c>
      <c r="AA528" s="3" t="n">
        <v>32488.5</v>
      </c>
      <c r="AB528" t="inlineStr">
        <is>
          <t>Сошлось по ночным тарифам</t>
        </is>
      </c>
      <c r="AC528" s="2" t="inlineStr"/>
      <c r="AD528" t="n">
        <v>511.5</v>
      </c>
      <c r="AE528" t="n">
        <v>0</v>
      </c>
      <c r="AF528" t="inlineStr">
        <is>
          <t>Скидка добавлена к налоговой базе</t>
        </is>
      </c>
      <c r="AG528" t="n">
        <v>33000</v>
      </c>
      <c r="AH528" t="n">
        <v>32488.5</v>
      </c>
      <c r="AI528" t="inlineStr">
        <is>
          <t>Полное проживание в выбранном периоде</t>
        </is>
      </c>
    </row>
    <row r="529">
      <c r="A529" t="inlineStr">
        <is>
          <t>20260917-8186-463151267</t>
        </is>
      </c>
      <c r="B529" t="n">
        <v>1</v>
      </c>
      <c r="C529" s="2" t="inlineStr">
        <is>
          <t>Илья Тихонович, Анастасия Юдикс</t>
        </is>
      </c>
      <c r="D529" s="3" t="n">
        <v>15840</v>
      </c>
      <c r="E529" s="4" t="n">
        <v>20</v>
      </c>
      <c r="F529" t="inlineStr">
        <is>
          <t>ООО "ХБ-ПРО" [Чайковский]</t>
        </is>
      </c>
      <c r="G529" s="3">
        <f>ROUND(D529/(100-E529)*100,2)</f>
        <v/>
      </c>
      <c r="H529" s="3" t="n">
        <v>0</v>
      </c>
      <c r="I529" s="3">
        <f>ROUND(IF(ISNUMBER(AG529),AG529,G529)+H529,2)</f>
        <v/>
      </c>
      <c r="J529" s="2" t="inlineStr">
        <is>
          <t>Завтрак "Шведский стол"</t>
        </is>
      </c>
      <c r="K529" s="5" t="n">
        <v>46282.58333333334</v>
      </c>
      <c r="L529" t="n">
        <v>2</v>
      </c>
      <c r="M529" s="3">
        <f>I529/L529</f>
        <v/>
      </c>
      <c r="N529">
        <f>IF(M529&gt;=5100,"ставка","мин.ставка")</f>
        <v/>
      </c>
      <c r="O529" s="3">
        <f>ROUND(IF(N529="мин.ставка",L529*100,I529/102*2),2)</f>
        <v/>
      </c>
      <c r="P529" s="5" t="n">
        <v>46284.5</v>
      </c>
      <c r="Q529" t="inlineStr">
        <is>
          <t>TravelLine UTS</t>
        </is>
      </c>
      <c r="R529" s="2" t="inlineStr">
        <is>
          <t>СТАНДАРТНЫЙ ДВУХМЕСТНЫЙ НОМЕР (МАНСАРДА)</t>
        </is>
      </c>
      <c r="S529" t="n">
        <v>45</v>
      </c>
      <c r="T529" t="n">
        <v>1</v>
      </c>
      <c r="U529" t="inlineStr"/>
      <c r="V529" t="inlineStr">
        <is>
          <t>Тариф с завтраком</t>
        </is>
      </c>
      <c r="W529" t="n">
        <v>15840</v>
      </c>
      <c r="X529" s="3" t="n">
        <v>0</v>
      </c>
      <c r="Y529" t="inlineStr"/>
      <c r="Z529" t="inlineStr"/>
      <c r="AA529" s="3" t="n">
        <v>15840</v>
      </c>
      <c r="AB529" t="inlineStr">
        <is>
          <t>Сошлось по ночным тарифам</t>
        </is>
      </c>
      <c r="AC529" s="2" t="inlineStr"/>
      <c r="AD529" t="n">
        <v>0</v>
      </c>
      <c r="AE529" t="n">
        <v>0</v>
      </c>
      <c r="AF529" t="inlineStr">
        <is>
          <t>Скидки нет</t>
        </is>
      </c>
      <c r="AG529" t="n">
        <v>15840</v>
      </c>
      <c r="AH529" t="n">
        <v>15840</v>
      </c>
      <c r="AI529" t="inlineStr">
        <is>
          <t>Полное проживание в выбранном периоде</t>
        </is>
      </c>
    </row>
    <row r="530">
      <c r="A530" t="inlineStr">
        <is>
          <t>20260926-8186-468708384</t>
        </is>
      </c>
      <c r="B530" t="n">
        <v>1</v>
      </c>
      <c r="C530" s="2" t="inlineStr">
        <is>
          <t>Инга Авалиани, Цотне Шалвашвили</t>
        </is>
      </c>
      <c r="D530" s="3" t="n">
        <v>14535</v>
      </c>
      <c r="E530" s="4" t="n">
        <v>4</v>
      </c>
      <c r="F530" t="inlineStr">
        <is>
          <t>TravelLine Booking Engine [Чайковский]</t>
        </is>
      </c>
      <c r="G530" s="3">
        <f>ROUND(D530/(100-E530)*100,2)</f>
        <v/>
      </c>
      <c r="H530" s="3" t="n">
        <v>0</v>
      </c>
      <c r="I530" s="3">
        <f>ROUND(IF(ISNUMBER(AG530),AG530,G530)+H530,2)</f>
        <v/>
      </c>
      <c r="J530" s="2" t="inlineStr"/>
      <c r="K530" s="5" t="n">
        <v>46291.58333333334</v>
      </c>
      <c r="L530" t="n">
        <v>1</v>
      </c>
      <c r="M530" s="3">
        <f>I530/L530</f>
        <v/>
      </c>
      <c r="N530">
        <f>IF(M530&gt;=5100,"ставка","мин.ставка")</f>
        <v/>
      </c>
      <c r="O530" s="3">
        <f>ROUND(IF(N530="мин.ставка",L530*100,I530/102*2),2)</f>
        <v/>
      </c>
      <c r="P530" s="5" t="n">
        <v>46292.5</v>
      </c>
      <c r="Q530" t="inlineStr">
        <is>
          <t>TravelLine сайт</t>
        </is>
      </c>
      <c r="R530" s="2" t="inlineStr">
        <is>
          <t>ПОЛУЛЮКС</t>
        </is>
      </c>
      <c r="S530" t="n">
        <v>11</v>
      </c>
      <c r="T530" t="n">
        <v>1</v>
      </c>
      <c r="U530" t="inlineStr"/>
      <c r="V530" t="inlineStr">
        <is>
          <t>Основной тариф без завтрака</t>
        </is>
      </c>
      <c r="W530" t="n">
        <v>14535</v>
      </c>
      <c r="X530" s="3" t="n">
        <v>465</v>
      </c>
      <c r="Y530" t="inlineStr">
        <is>
          <t>3.1%</t>
        </is>
      </c>
      <c r="Z530" t="inlineStr">
        <is>
          <t>2026-09-26</t>
        </is>
      </c>
      <c r="AA530" s="3" t="n">
        <v>14535</v>
      </c>
      <c r="AB530" t="inlineStr">
        <is>
          <t>Сошлось по ночным тарифам</t>
        </is>
      </c>
      <c r="AC530" s="2" t="inlineStr"/>
      <c r="AD530" t="n">
        <v>465</v>
      </c>
      <c r="AE530" t="n">
        <v>0</v>
      </c>
      <c r="AF530" t="inlineStr">
        <is>
          <t>Скидка добавлена к налоговой базе</t>
        </is>
      </c>
      <c r="AG530" t="n">
        <v>15000</v>
      </c>
      <c r="AH530" t="n">
        <v>14535</v>
      </c>
      <c r="AI530" t="inlineStr">
        <is>
          <t>Полное проживание в выбранном периоде</t>
        </is>
      </c>
    </row>
    <row r="531">
      <c r="A531" t="inlineStr">
        <is>
          <t>20260702-8186-439080625</t>
        </is>
      </c>
      <c r="B531" t="n">
        <v>1</v>
      </c>
      <c r="C531" s="2" t="inlineStr">
        <is>
          <t>Инга Гогленкова, Алексей Гогленков</t>
        </is>
      </c>
      <c r="D531" s="3" t="n">
        <v>26499.75</v>
      </c>
      <c r="E531" s="4" t="n">
        <v>4</v>
      </c>
      <c r="F531" t="inlineStr">
        <is>
          <t>TravelLine Booking Engine [Чайковский]</t>
        </is>
      </c>
      <c r="G531" s="3">
        <f>ROUND(D531/(100-E531)*100,2)</f>
        <v/>
      </c>
      <c r="H531" s="3" t="n">
        <v>0</v>
      </c>
      <c r="I531" s="3">
        <f>ROUND(IF(ISNUMBER(AG531),AG531,G531)+H531,2)</f>
        <v/>
      </c>
      <c r="J531" s="2" t="inlineStr">
        <is>
          <t>Завтрак "Шведский стол"</t>
        </is>
      </c>
      <c r="K531" s="5" t="n">
        <v>46205.58333333334</v>
      </c>
      <c r="L531" t="n">
        <v>2</v>
      </c>
      <c r="M531" s="3">
        <f>I531/L531</f>
        <v/>
      </c>
      <c r="N531">
        <f>IF(M531&gt;=5100,"ставка","мин.ставка")</f>
        <v/>
      </c>
      <c r="O531" s="3">
        <f>ROUND(IF(N531="мин.ставка",L531*100,I531/102*2),2)</f>
        <v/>
      </c>
      <c r="P531" s="5" t="n">
        <v>46207.5</v>
      </c>
      <c r="Q531" t="inlineStr">
        <is>
          <t>TravelLine сайт</t>
        </is>
      </c>
      <c r="R531" s="2" t="inlineStr">
        <is>
          <t>СТАНДАРТНЫЙ ДВУХМЕСТНЫЙ НОМЕР</t>
        </is>
      </c>
      <c r="S531" t="n">
        <v>32</v>
      </c>
      <c r="T531" t="n">
        <v>1</v>
      </c>
      <c r="U531" t="inlineStr"/>
      <c r="V531" t="inlineStr">
        <is>
          <t>Тариф с завтраком</t>
        </is>
      </c>
      <c r="W531" t="n">
        <v>26499.75</v>
      </c>
      <c r="X531" s="3" t="n">
        <v>200.25</v>
      </c>
      <c r="Y531" t="inlineStr">
        <is>
          <t>1.5%</t>
        </is>
      </c>
      <c r="Z531" t="inlineStr">
        <is>
          <t>2026-07-02</t>
        </is>
      </c>
      <c r="AA531" s="3" t="n">
        <v>26499.75</v>
      </c>
      <c r="AB531" t="inlineStr">
        <is>
          <t>Сошлось по ночным тарифам</t>
        </is>
      </c>
      <c r="AC531" s="2" t="inlineStr"/>
      <c r="AD531" t="n">
        <v>200.25</v>
      </c>
      <c r="AE531" t="n">
        <v>0</v>
      </c>
      <c r="AF531" t="inlineStr">
        <is>
          <t>Скидка добавлена к налоговой базе</t>
        </is>
      </c>
      <c r="AG531" t="n">
        <v>26700</v>
      </c>
      <c r="AH531" t="n">
        <v>26499.75</v>
      </c>
      <c r="AI531" t="inlineStr">
        <is>
          <t>Полное проживание в выбранном периоде</t>
        </is>
      </c>
    </row>
    <row r="532">
      <c r="A532" t="inlineStr">
        <is>
          <t>20260819-8186-455524980</t>
        </is>
      </c>
      <c r="B532" t="n">
        <v>1</v>
      </c>
      <c r="C532" s="2" t="inlineStr">
        <is>
          <t>ИННА АСТАШЕВА</t>
        </is>
      </c>
      <c r="D532" s="3" t="n">
        <v>19920</v>
      </c>
      <c r="E532" s="4" t="n">
        <v>20</v>
      </c>
      <c r="F532" t="inlineStr">
        <is>
          <t>ООО "ХБ-ПРО" [Чайковский]</t>
        </is>
      </c>
      <c r="G532" s="3">
        <f>ROUND(D532/(100-E532)*100,2)</f>
        <v/>
      </c>
      <c r="H532" s="3" t="n">
        <v>0</v>
      </c>
      <c r="I532" s="3">
        <f>ROUND(IF(ISNUMBER(AG532),AG532,G532)+H532,2)</f>
        <v/>
      </c>
      <c r="J532" s="2" t="inlineStr">
        <is>
          <t>Завтрак "Шведский стол"</t>
        </is>
      </c>
      <c r="K532" s="5" t="n">
        <v>46253.58333333334</v>
      </c>
      <c r="L532" t="n">
        <v>2</v>
      </c>
      <c r="M532" s="3">
        <f>I532/L532</f>
        <v/>
      </c>
      <c r="N532">
        <f>IF(M532&gt;=5100,"ставка","мин.ставка")</f>
        <v/>
      </c>
      <c r="O532" s="3">
        <f>ROUND(IF(N532="мин.ставка",L532*100,I532/102*2),2)</f>
        <v/>
      </c>
      <c r="P532" s="5" t="n">
        <v>46255.5</v>
      </c>
      <c r="Q532" t="inlineStr">
        <is>
          <t>TravelLine UTS</t>
        </is>
      </c>
      <c r="R532" s="2" t="inlineStr">
        <is>
          <t>СЕМЕЙНЫЙ НОМЕР КАТЕГОРИИ "СТАНДАРТ" ВТОРОЙ КОРПУС</t>
        </is>
      </c>
      <c r="S532" t="n">
        <v>50</v>
      </c>
      <c r="T532" t="n">
        <v>2</v>
      </c>
      <c r="U532" t="inlineStr"/>
      <c r="V532" t="inlineStr">
        <is>
          <t>Тариф с завтраком</t>
        </is>
      </c>
      <c r="W532" t="n">
        <v>19920</v>
      </c>
      <c r="X532" s="3" t="n">
        <v>0</v>
      </c>
      <c r="Y532" t="inlineStr"/>
      <c r="Z532" t="inlineStr"/>
      <c r="AA532" s="3" t="n">
        <v>19920</v>
      </c>
      <c r="AB532" t="inlineStr">
        <is>
          <t>Сошлось по ночным тарифам</t>
        </is>
      </c>
      <c r="AC532" s="2" t="inlineStr"/>
      <c r="AD532" t="n">
        <v>0</v>
      </c>
      <c r="AE532" t="n">
        <v>0</v>
      </c>
      <c r="AF532" t="inlineStr">
        <is>
          <t>Скидки нет</t>
        </is>
      </c>
      <c r="AG532" t="n">
        <v>19920</v>
      </c>
      <c r="AH532" t="n">
        <v>19920</v>
      </c>
      <c r="AI532" t="inlineStr">
        <is>
          <t>Полное проживание в выбранном периоде</t>
        </is>
      </c>
    </row>
    <row r="533">
      <c r="A533" t="inlineStr">
        <is>
          <t>20260807-8186-454198481</t>
        </is>
      </c>
      <c r="B533" t="n">
        <v>1</v>
      </c>
      <c r="C533" s="2" t="inlineStr">
        <is>
          <t>Инна Еремина, Матвей Еремин</t>
        </is>
      </c>
      <c r="D533" s="3" t="n">
        <v>26180</v>
      </c>
      <c r="E533" s="4" t="n">
        <v>0</v>
      </c>
      <c r="F533" t="inlineStr">
        <is>
          <t>ООО "АЛЕАН ОТДЫХ" [Чайковский]</t>
        </is>
      </c>
      <c r="G533" s="3">
        <f>ROUND(D533/(100-E533)*100,2)</f>
        <v/>
      </c>
      <c r="H533" s="3" t="n">
        <v>0</v>
      </c>
      <c r="I533" s="3">
        <f>ROUND(IF(ISNUMBER(AG533),AG533,G533)+H533,2)</f>
        <v/>
      </c>
      <c r="J533" s="2" t="inlineStr">
        <is>
          <t>meal_bf_buffet_1; meal_bf_buffet_1; Завтрак "Шведский стол"</t>
        </is>
      </c>
      <c r="K533" s="5" t="n">
        <v>46241.58333333334</v>
      </c>
      <c r="L533" t="n">
        <v>2</v>
      </c>
      <c r="M533" s="3">
        <f>I533/L533</f>
        <v/>
      </c>
      <c r="N533">
        <f>IF(M533&gt;=5100,"ставка","мин.ставка")</f>
        <v/>
      </c>
      <c r="O533" s="3">
        <f>ROUND(IF(N533="мин.ставка",L533*100,I533/102*2),2)</f>
        <v/>
      </c>
      <c r="P533" s="5" t="n">
        <v>46243.5</v>
      </c>
      <c r="Q533" t="inlineStr">
        <is>
          <t>TravelLine ALN</t>
        </is>
      </c>
      <c r="R533" s="2" t="inlineStr">
        <is>
          <t>УЛУЧШЕННЫЙ ДВУХМЕСТНЫЙ НОМЕР</t>
        </is>
      </c>
      <c r="S533" t="n">
        <v>59</v>
      </c>
      <c r="T533" t="n">
        <v>2</v>
      </c>
      <c r="U533" t="inlineStr"/>
      <c r="V533" t="inlineStr">
        <is>
          <t>Тариф с завтраком</t>
        </is>
      </c>
      <c r="W533" t="n">
        <v>26180</v>
      </c>
      <c r="X533" s="3" t="n">
        <v>4620</v>
      </c>
      <c r="Y533" t="inlineStr">
        <is>
          <t>15%</t>
        </is>
      </c>
      <c r="Z533" t="inlineStr">
        <is>
          <t>2026-08-07, 2026-08-08</t>
        </is>
      </c>
      <c r="AA533" s="3" t="n">
        <v>26180</v>
      </c>
      <c r="AB533" t="inlineStr">
        <is>
          <t>Сошлось по ночным тарифам</t>
        </is>
      </c>
      <c r="AC533" s="2" t="inlineStr"/>
      <c r="AD533" t="n">
        <v>4620</v>
      </c>
      <c r="AE533" t="n">
        <v>0</v>
      </c>
      <c r="AF533" t="inlineStr">
        <is>
          <t>Скидка добавлена к налоговой базе</t>
        </is>
      </c>
      <c r="AG533" t="n">
        <v>30800</v>
      </c>
      <c r="AH533" t="n">
        <v>26180</v>
      </c>
      <c r="AI533" t="inlineStr">
        <is>
          <t>Полное проживание в выбранном периоде</t>
        </is>
      </c>
    </row>
    <row r="534">
      <c r="A534" t="inlineStr">
        <is>
          <t>20260710-8186-442927054</t>
        </is>
      </c>
      <c r="B534" t="n">
        <v>1</v>
      </c>
      <c r="C534" s="2" t="inlineStr">
        <is>
          <t>Инна Кондрахина</t>
        </is>
      </c>
      <c r="D534" s="3" t="n">
        <v>9647.5</v>
      </c>
      <c r="E534" s="4" t="n">
        <v>15</v>
      </c>
      <c r="F534" t="inlineStr">
        <is>
          <t>ООО "БРОНИРОВАНИЕ ГОСТИНИЦ" (OSTROVOK) [Чайковский]</t>
        </is>
      </c>
      <c r="G534" s="3">
        <f>ROUND(D534/(100-E534)*100,2)</f>
        <v/>
      </c>
      <c r="H534" s="3" t="n">
        <v>0</v>
      </c>
      <c r="I534" s="3">
        <f>ROUND(IF(ISNUMBER(AG534),AG534,G534)+H534,2)</f>
        <v/>
      </c>
      <c r="J534" s="2" t="inlineStr">
        <is>
          <t>Завтрак "Шведский стол"</t>
        </is>
      </c>
      <c r="K534" s="5" t="n">
        <v>46213.58333333334</v>
      </c>
      <c r="L534" t="n">
        <v>1</v>
      </c>
      <c r="M534" s="3">
        <f>I534/L534</f>
        <v/>
      </c>
      <c r="N534">
        <f>IF(M534&gt;=5100,"ставка","мин.ставка")</f>
        <v/>
      </c>
      <c r="O534" s="3">
        <f>ROUND(IF(N534="мин.ставка",L534*100,I534/102*2),2)</f>
        <v/>
      </c>
      <c r="P534" s="5" t="n">
        <v>46214.5</v>
      </c>
      <c r="Q534" t="inlineStr">
        <is>
          <t>TravelLine OTK</t>
        </is>
      </c>
      <c r="R534" s="2" t="inlineStr">
        <is>
          <t>СТАНДАРТНЫЙ ДВУХМЕСТНЫЙ НОМЕР</t>
        </is>
      </c>
      <c r="S534" t="n">
        <v>42</v>
      </c>
      <c r="T534" t="n">
        <v>1</v>
      </c>
      <c r="U534" t="inlineStr"/>
      <c r="V534" t="inlineStr">
        <is>
          <t>Тариф с завтраком</t>
        </is>
      </c>
      <c r="W534" t="n">
        <v>9647.5</v>
      </c>
      <c r="X534" s="3" t="n">
        <v>1702.5</v>
      </c>
      <c r="Y534" t="inlineStr">
        <is>
          <t>15%</t>
        </is>
      </c>
      <c r="Z534" t="inlineStr">
        <is>
          <t>2026-07-10</t>
        </is>
      </c>
      <c r="AA534" s="3" t="n">
        <v>9647.5</v>
      </c>
      <c r="AB534" t="inlineStr">
        <is>
          <t>Сошлось по ночным тарифам</t>
        </is>
      </c>
      <c r="AC534" s="2" t="inlineStr"/>
      <c r="AD534" t="n">
        <v>1702.5</v>
      </c>
      <c r="AE534" t="n">
        <v>0</v>
      </c>
      <c r="AF534" t="inlineStr">
        <is>
          <t>Скидка добавлена к налоговой базе</t>
        </is>
      </c>
      <c r="AG534" t="n">
        <v>11350</v>
      </c>
      <c r="AH534" t="n">
        <v>9647.5</v>
      </c>
      <c r="AI534" t="inlineStr">
        <is>
          <t>Полное проживание в выбранном периоде</t>
        </is>
      </c>
    </row>
    <row r="535">
      <c r="A535" t="inlineStr">
        <is>
          <t>20260821-8186-460553289</t>
        </is>
      </c>
      <c r="B535" t="n">
        <v>1</v>
      </c>
      <c r="C535" s="2" t="inlineStr">
        <is>
          <t>ИННА КУЗНЕЦОВА</t>
        </is>
      </c>
      <c r="D535" s="3" t="n">
        <v>15800</v>
      </c>
      <c r="E535" s="4" t="n">
        <v>0</v>
      </c>
      <c r="F535" t="inlineStr">
        <is>
          <t>Прямые бронирования (стойка) [Чайковский]</t>
        </is>
      </c>
      <c r="G535" s="3">
        <f>ROUND(D535/(100-E535)*100,2)</f>
        <v/>
      </c>
      <c r="H535" s="3" t="n">
        <v>0</v>
      </c>
      <c r="I535" s="3">
        <f>ROUND(IF(ISNUMBER(AG535),AG535,G535)+H535,2)</f>
        <v/>
      </c>
      <c r="J535" s="2" t="inlineStr">
        <is>
          <t>Завтрак "Шведский стол"</t>
        </is>
      </c>
      <c r="K535" s="5" t="n">
        <v>46255.58333333334</v>
      </c>
      <c r="L535" t="n">
        <v>1</v>
      </c>
      <c r="M535" s="3">
        <f>I535/L535</f>
        <v/>
      </c>
      <c r="N535">
        <f>IF(M535&gt;=5100,"ставка","мин.ставка")</f>
        <v/>
      </c>
      <c r="O535" s="3">
        <f>ROUND(IF(N535="мин.ставка",L535*100,I535/102*2),2)</f>
        <v/>
      </c>
      <c r="P535" s="5" t="n">
        <v>46256.5</v>
      </c>
      <c r="Q535" t="inlineStr">
        <is>
          <t>TravelLine ресепшен</t>
        </is>
      </c>
      <c r="R535" s="2" t="inlineStr">
        <is>
          <t>ЛЮКС ВТОРОЙ КОРПУС</t>
        </is>
      </c>
      <c r="S535" t="n">
        <v>54</v>
      </c>
      <c r="T535" t="n">
        <v>2</v>
      </c>
      <c r="U535" t="inlineStr"/>
      <c r="V535" t="inlineStr">
        <is>
          <t>Тариф с завтраком</t>
        </is>
      </c>
      <c r="W535" t="n">
        <v>15800</v>
      </c>
      <c r="X535" s="3" t="n">
        <v>0</v>
      </c>
      <c r="Y535" t="inlineStr"/>
      <c r="Z535" t="inlineStr"/>
      <c r="AA535" s="3" t="n">
        <v>15800</v>
      </c>
      <c r="AB535" t="inlineStr">
        <is>
          <t>Сошлось по ночным тарифам</t>
        </is>
      </c>
      <c r="AC535" s="2" t="inlineStr"/>
      <c r="AD535" t="n">
        <v>0</v>
      </c>
      <c r="AE535" t="n">
        <v>0</v>
      </c>
      <c r="AF535" t="inlineStr">
        <is>
          <t>Скидки нет</t>
        </is>
      </c>
      <c r="AG535" t="n">
        <v>15800</v>
      </c>
      <c r="AH535" t="n">
        <v>15800</v>
      </c>
      <c r="AI535" t="inlineStr">
        <is>
          <t>Полное проживание в выбранном периоде</t>
        </is>
      </c>
    </row>
    <row r="536">
      <c r="A536" t="inlineStr">
        <is>
          <t>20260716-8186-450105684</t>
        </is>
      </c>
      <c r="B536" t="n">
        <v>1</v>
      </c>
      <c r="C536" s="2" t="inlineStr">
        <is>
          <t>ИННА ФИРСОВА</t>
        </is>
      </c>
      <c r="D536" s="3" t="n">
        <v>21976</v>
      </c>
      <c r="E536" s="4" t="n">
        <v>18</v>
      </c>
      <c r="F536" t="inlineStr">
        <is>
          <t>ООО "ТРИВИО СЕРВИС" [Чайковский]</t>
        </is>
      </c>
      <c r="G536" s="3">
        <f>ROUND(D536/(100-E536)*100,2)</f>
        <v/>
      </c>
      <c r="H536" s="3" t="n">
        <v>0</v>
      </c>
      <c r="I536" s="3">
        <f>ROUND(IF(ISNUMBER(AG536),AG536,G536)+H536,2)</f>
        <v/>
      </c>
      <c r="J536" s="2" t="inlineStr">
        <is>
          <t>Завтрак "Шведский стол"</t>
        </is>
      </c>
      <c r="K536" s="5" t="n">
        <v>46219.58333333334</v>
      </c>
      <c r="L536" t="n">
        <v>2</v>
      </c>
      <c r="M536" s="3">
        <f>I536/L536</f>
        <v/>
      </c>
      <c r="N536">
        <f>IF(M536&gt;=5100,"ставка","мин.ставка")</f>
        <v/>
      </c>
      <c r="O536" s="3">
        <f>ROUND(IF(N536="мин.ставка",L536*100,I536/102*2),2)</f>
        <v/>
      </c>
      <c r="P536" s="5" t="n">
        <v>46221.5</v>
      </c>
      <c r="Q536" t="inlineStr">
        <is>
          <t>TravelLine TIO</t>
        </is>
      </c>
      <c r="R536" s="2" t="inlineStr">
        <is>
          <t>УЛУЧШЕННЫЙ ДВУХМЕСТНЫЙ НОМЕР</t>
        </is>
      </c>
      <c r="S536" t="n">
        <v>21</v>
      </c>
      <c r="T536" t="n">
        <v>1</v>
      </c>
      <c r="U536" t="inlineStr"/>
      <c r="V536" t="inlineStr">
        <is>
          <t>Тариф с завтраком</t>
        </is>
      </c>
      <c r="W536" t="n">
        <v>21976</v>
      </c>
      <c r="X536" s="3" t="n">
        <v>4824</v>
      </c>
      <c r="Y536" t="inlineStr">
        <is>
          <t>18%</t>
        </is>
      </c>
      <c r="Z536" t="inlineStr">
        <is>
          <t>2026-07-16, 2026-07-17</t>
        </is>
      </c>
      <c r="AA536" s="3" t="n">
        <v>21976</v>
      </c>
      <c r="AB536" t="inlineStr">
        <is>
          <t>Сошлось по ночным тарифам</t>
        </is>
      </c>
      <c r="AC536" s="2" t="inlineStr"/>
      <c r="AD536" t="n">
        <v>4824</v>
      </c>
      <c r="AE536" t="n">
        <v>0</v>
      </c>
      <c r="AF536" t="inlineStr">
        <is>
          <t>Скидка добавлена к налоговой базе</t>
        </is>
      </c>
      <c r="AG536" t="n">
        <v>26800</v>
      </c>
      <c r="AH536" t="n">
        <v>21976</v>
      </c>
      <c r="AI536" t="inlineStr">
        <is>
          <t>Полное проживание в выбранном периоде</t>
        </is>
      </c>
    </row>
    <row r="537">
      <c r="A537" t="inlineStr">
        <is>
          <t>20260818-8186-444575341</t>
        </is>
      </c>
      <c r="B537" t="n">
        <v>1</v>
      </c>
      <c r="C537" s="2" t="inlineStr">
        <is>
          <t>Иннокентий Грибанов</t>
        </is>
      </c>
      <c r="D537" s="3" t="n">
        <v>12320</v>
      </c>
      <c r="E537" s="4" t="n">
        <v>20</v>
      </c>
      <c r="F537" t="inlineStr">
        <is>
          <t>ООО "ХБ-ПРО" [Чайковский]</t>
        </is>
      </c>
      <c r="G537" s="3">
        <f>ROUND(D537/(100-E537)*100,2)</f>
        <v/>
      </c>
      <c r="H537" s="3" t="n">
        <v>0</v>
      </c>
      <c r="I537" s="3">
        <f>ROUND(IF(ISNUMBER(AG537),AG537,G537)+H537,2)</f>
        <v/>
      </c>
      <c r="J537" s="2" t="inlineStr">
        <is>
          <t>Завтрак "Шведский стол"</t>
        </is>
      </c>
      <c r="K537" s="5" t="n">
        <v>46252.58333333334</v>
      </c>
      <c r="L537" t="n">
        <v>2</v>
      </c>
      <c r="M537" s="3">
        <f>I537/L537</f>
        <v/>
      </c>
      <c r="N537">
        <f>IF(M537&gt;=5100,"ставка","мин.ставка")</f>
        <v/>
      </c>
      <c r="O537" s="3">
        <f>ROUND(IF(N537="мин.ставка",L537*100,I537/102*2),2)</f>
        <v/>
      </c>
      <c r="P537" s="5" t="n">
        <v>46254.5</v>
      </c>
      <c r="Q537" t="inlineStr">
        <is>
          <t>TravelLine UTS</t>
        </is>
      </c>
      <c r="R537" s="2" t="inlineStr">
        <is>
          <t>СТАНДАРТНЫЙ ОДНОМЕСТНЫЙ НОМЕР</t>
        </is>
      </c>
      <c r="S537" t="n">
        <v>24</v>
      </c>
      <c r="T537" t="n">
        <v>1</v>
      </c>
      <c r="U537" t="inlineStr"/>
      <c r="V537" t="inlineStr">
        <is>
          <t>Тариф с завтраком</t>
        </is>
      </c>
      <c r="W537" t="n">
        <v>12320</v>
      </c>
      <c r="X537" s="3" t="n">
        <v>0</v>
      </c>
      <c r="Y537" t="inlineStr"/>
      <c r="Z537" t="inlineStr"/>
      <c r="AA537" s="3" t="n">
        <v>12320</v>
      </c>
      <c r="AB537" t="inlineStr">
        <is>
          <t>Сошлось по ночным тарифам</t>
        </is>
      </c>
      <c r="AC537" s="2" t="inlineStr"/>
      <c r="AD537" t="n">
        <v>0</v>
      </c>
      <c r="AE537" t="n">
        <v>0</v>
      </c>
      <c r="AF537" t="inlineStr">
        <is>
          <t>Скидки нет</t>
        </is>
      </c>
      <c r="AG537" t="n">
        <v>12320</v>
      </c>
      <c r="AH537" t="n">
        <v>12320</v>
      </c>
      <c r="AI537" t="inlineStr">
        <is>
          <t>Полное проживание в выбранном периоде</t>
        </is>
      </c>
    </row>
    <row r="538">
      <c r="A538" t="inlineStr">
        <is>
          <t>20260928-8186-467484877</t>
        </is>
      </c>
      <c r="B538" t="n">
        <v>1</v>
      </c>
      <c r="C538" s="2" t="inlineStr">
        <is>
          <t>Ирина Балашова</t>
        </is>
      </c>
      <c r="D538" s="3" t="n">
        <v>6314</v>
      </c>
      <c r="E538" s="4" t="n">
        <v>18</v>
      </c>
      <c r="F538" t="inlineStr">
        <is>
          <t>ООО "Эй энд Эй" [Чайковский]</t>
        </is>
      </c>
      <c r="G538" s="3">
        <f>ROUND(D538/(100-E538)*100,2)</f>
        <v/>
      </c>
      <c r="H538" s="3" t="n">
        <v>0</v>
      </c>
      <c r="I538" s="3">
        <f>ROUND(IF(ISNUMBER(AG538),AG538,G538)+H538,2)</f>
        <v/>
      </c>
      <c r="J538" s="2" t="inlineStr">
        <is>
          <t>Завтрак "Шведский стол"</t>
        </is>
      </c>
      <c r="K538" s="5" t="n">
        <v>46293.58333333334</v>
      </c>
      <c r="L538" t="n">
        <v>1</v>
      </c>
      <c r="M538" s="3">
        <f>I538/L538</f>
        <v/>
      </c>
      <c r="N538">
        <f>IF(M538&gt;=5100,"ставка","мин.ставка")</f>
        <v/>
      </c>
      <c r="O538" s="3">
        <f>ROUND(IF(N538="мин.ставка",L538*100,I538/102*2),2)</f>
        <v/>
      </c>
      <c r="P538" s="5" t="n">
        <v>46294.5</v>
      </c>
      <c r="Q538" t="inlineStr">
        <is>
          <t>TravelLine ANA</t>
        </is>
      </c>
      <c r="R538" s="2" t="inlineStr">
        <is>
          <t>СТАНДАРТНЫЙ ОДНОМЕСТНЫЙ НОМЕР</t>
        </is>
      </c>
      <c r="S538" t="n">
        <v>24</v>
      </c>
      <c r="T538" t="n">
        <v>1</v>
      </c>
      <c r="U538" t="inlineStr"/>
      <c r="V538" t="inlineStr">
        <is>
          <t>Тариф с завтраком</t>
        </is>
      </c>
      <c r="W538" t="n">
        <v>6314</v>
      </c>
      <c r="X538" s="3" t="n">
        <v>1386</v>
      </c>
      <c r="Y538" t="inlineStr">
        <is>
          <t>18%</t>
        </is>
      </c>
      <c r="Z538" t="inlineStr">
        <is>
          <t>2026-09-28</t>
        </is>
      </c>
      <c r="AA538" s="3" t="n">
        <v>6314</v>
      </c>
      <c r="AB538" t="inlineStr">
        <is>
          <t>Сошлось по ночным тарифам</t>
        </is>
      </c>
      <c r="AC538" s="2" t="inlineStr"/>
      <c r="AD538" t="n">
        <v>1386</v>
      </c>
      <c r="AE538" t="n">
        <v>0</v>
      </c>
      <c r="AF538" t="inlineStr">
        <is>
          <t>Скидка добавлена к налоговой базе</t>
        </is>
      </c>
      <c r="AG538" t="n">
        <v>7700</v>
      </c>
      <c r="AH538" t="n">
        <v>6314</v>
      </c>
      <c r="AI538" t="inlineStr">
        <is>
          <t>Полное проживание в выбранном периоде</t>
        </is>
      </c>
    </row>
    <row r="539">
      <c r="A539" t="inlineStr">
        <is>
          <t>20260913-8186-464847619</t>
        </is>
      </c>
      <c r="B539" t="n">
        <v>1</v>
      </c>
      <c r="C539" s="2" t="inlineStr">
        <is>
          <t>Ирина Карпова, Анна Чурилова</t>
        </is>
      </c>
      <c r="D539" s="3" t="n">
        <v>16434</v>
      </c>
      <c r="E539" s="4" t="n">
        <v>17</v>
      </c>
      <c r="F539" t="inlineStr">
        <is>
          <t>ООО «Интернет Трэвел» (OZON) [Чайковский]</t>
        </is>
      </c>
      <c r="G539" s="3">
        <f>ROUND(D539/(100-E539)*100,2)</f>
        <v/>
      </c>
      <c r="H539" s="3" t="n">
        <v>0</v>
      </c>
      <c r="I539" s="3">
        <f>ROUND(IF(ISNUMBER(AG539),AG539,G539)+H539,2)</f>
        <v/>
      </c>
      <c r="J539" s="2" t="inlineStr">
        <is>
          <t>Завтрак "Шведский стол"</t>
        </is>
      </c>
      <c r="K539" s="5" t="n">
        <v>46278.58333333334</v>
      </c>
      <c r="L539" t="n">
        <v>2</v>
      </c>
      <c r="M539" s="3">
        <f>I539/L539</f>
        <v/>
      </c>
      <c r="N539">
        <f>IF(M539&gt;=5100,"ставка","мин.ставка")</f>
        <v/>
      </c>
      <c r="O539" s="3">
        <f>ROUND(IF(N539="мин.ставка",L539*100,I539/102*2),2)</f>
        <v/>
      </c>
      <c r="P539" s="5" t="n">
        <v>46280.5</v>
      </c>
      <c r="Q539" t="inlineStr">
        <is>
          <t>TravelLine OZ2</t>
        </is>
      </c>
      <c r="R539" s="2" t="inlineStr">
        <is>
          <t>СТАНДАРТНЫЙ ДВУХМЕСТНЫЙ НОМЕР (МАНСАРДА)</t>
        </is>
      </c>
      <c r="S539" t="n">
        <v>47</v>
      </c>
      <c r="T539" t="n">
        <v>1</v>
      </c>
      <c r="U539" t="inlineStr"/>
      <c r="V539" t="inlineStr">
        <is>
          <t>Тариф с завтраком</t>
        </is>
      </c>
      <c r="W539" t="n">
        <v>16434</v>
      </c>
      <c r="X539" s="3" t="n">
        <v>3366</v>
      </c>
      <c r="Y539" t="inlineStr">
        <is>
          <t>17%</t>
        </is>
      </c>
      <c r="Z539" t="inlineStr">
        <is>
          <t>2026-09-13, 2026-09-14</t>
        </is>
      </c>
      <c r="AA539" s="3" t="n">
        <v>16434</v>
      </c>
      <c r="AB539" t="inlineStr">
        <is>
          <t>Сошлось по ночным тарифам</t>
        </is>
      </c>
      <c r="AC539" s="2" t="inlineStr"/>
      <c r="AD539" t="n">
        <v>3366</v>
      </c>
      <c r="AE539" t="n">
        <v>0</v>
      </c>
      <c r="AF539" t="inlineStr">
        <is>
          <t>Скидка добавлена к налоговой базе</t>
        </is>
      </c>
      <c r="AG539" t="n">
        <v>19800</v>
      </c>
      <c r="AH539" t="n">
        <v>16434</v>
      </c>
      <c r="AI539" t="inlineStr">
        <is>
          <t>Полное проживание в выбранном периоде</t>
        </is>
      </c>
    </row>
    <row r="540">
      <c r="A540" t="inlineStr">
        <is>
          <t>20260810-8186-454830610</t>
        </is>
      </c>
      <c r="B540" t="n">
        <v>1</v>
      </c>
      <c r="C540" s="2" t="inlineStr">
        <is>
          <t>Ирина Катаргина, ТИМОФЕЙ КАТАРГИН</t>
        </is>
      </c>
      <c r="D540" s="3" t="n">
        <v>11347.5</v>
      </c>
      <c r="E540" s="4" t="n">
        <v>16</v>
      </c>
      <c r="F540" t="inlineStr">
        <is>
          <t>ООО "БРОНИРОВАНИЕ ГОСТИНИЦ" (OSTROVOK) [Чайковский]</t>
        </is>
      </c>
      <c r="G540" s="3">
        <f>ROUND(D540/(100-E540)*100,2)</f>
        <v/>
      </c>
      <c r="H540" s="3" t="n">
        <v>0</v>
      </c>
      <c r="I540" s="3">
        <f>ROUND(IF(ISNUMBER(AG540),AG540,G540)+H540,2)</f>
        <v/>
      </c>
      <c r="J540" s="2" t="inlineStr">
        <is>
          <t>Завтрак "Шведский стол"</t>
        </is>
      </c>
      <c r="K540" s="5" t="n">
        <v>46244.58333333334</v>
      </c>
      <c r="L540" t="n">
        <v>1</v>
      </c>
      <c r="M540" s="3">
        <f>I540/L540</f>
        <v/>
      </c>
      <c r="N540">
        <f>IF(M540&gt;=5100,"ставка","мин.ставка")</f>
        <v/>
      </c>
      <c r="O540" s="3">
        <f>ROUND(IF(N540="мин.ставка",L540*100,I540/102*2),2)</f>
        <v/>
      </c>
      <c r="P540" s="5" t="n">
        <v>46245.5</v>
      </c>
      <c r="Q540" t="inlineStr">
        <is>
          <t>TravelLine OTK</t>
        </is>
      </c>
      <c r="R540" s="2" t="inlineStr">
        <is>
          <t>СТАНДАРТНЫЙ ДВУХМЕСТНЫЙ НОМЕР</t>
        </is>
      </c>
      <c r="S540" t="n">
        <v>52</v>
      </c>
      <c r="T540" t="n">
        <v>2</v>
      </c>
      <c r="U540" t="inlineStr"/>
      <c r="V540" t="inlineStr">
        <is>
          <t>Тариф с завтраком</t>
        </is>
      </c>
      <c r="W540" t="n">
        <v>11347.5</v>
      </c>
      <c r="X540" s="3" t="n">
        <v>2002.5</v>
      </c>
      <c r="Y540" t="inlineStr">
        <is>
          <t>15%</t>
        </is>
      </c>
      <c r="Z540" t="inlineStr">
        <is>
          <t>2026-08-10</t>
        </is>
      </c>
      <c r="AA540" s="3" t="n">
        <v>11347.5</v>
      </c>
      <c r="AB540" t="inlineStr">
        <is>
          <t>Сошлось по ночным тарифам</t>
        </is>
      </c>
      <c r="AC540" s="2" t="inlineStr"/>
      <c r="AD540" t="n">
        <v>2002.5</v>
      </c>
      <c r="AE540" t="n">
        <v>0</v>
      </c>
      <c r="AF540" t="inlineStr">
        <is>
          <t>Скидка добавлена к налоговой базе</t>
        </is>
      </c>
      <c r="AG540" t="n">
        <v>13350</v>
      </c>
      <c r="AH540" t="n">
        <v>11347.5</v>
      </c>
      <c r="AI540" t="inlineStr">
        <is>
          <t>Полное проживание в выбранном периоде</t>
        </is>
      </c>
    </row>
    <row r="541">
      <c r="A541" t="inlineStr">
        <is>
          <t>20260928-8186-463600860</t>
        </is>
      </c>
      <c r="B541" t="n">
        <v>1</v>
      </c>
      <c r="C541" s="2" t="inlineStr">
        <is>
          <t>ИРИНА КИМ</t>
        </is>
      </c>
      <c r="D541" s="3" t="n">
        <v>36918</v>
      </c>
      <c r="E541" s="4" t="n">
        <v>16</v>
      </c>
      <c r="F541" t="inlineStr">
        <is>
          <t>ООО "БРОНИРОВАНИЕ ГОСТИНИЦ" (OSTROVOK) [Чайковский]</t>
        </is>
      </c>
      <c r="G541" s="3">
        <f>ROUND(D541/(100-E541)*100,2)</f>
        <v/>
      </c>
      <c r="H541" s="3" t="n">
        <v>0</v>
      </c>
      <c r="I541" s="3">
        <f>ROUND(IF(ISNUMBER(AG541),AG541,G541)+H541,2)</f>
        <v/>
      </c>
      <c r="J541" s="2" t="inlineStr"/>
      <c r="K541" s="5" t="n">
        <v>46293.58333333334</v>
      </c>
      <c r="L541" t="n">
        <v>3</v>
      </c>
      <c r="M541" s="3">
        <f>I541/L541</f>
        <v/>
      </c>
      <c r="N541">
        <f>IF(M541&gt;=5100,"ставка","мин.ставка")</f>
        <v/>
      </c>
      <c r="O541" s="3">
        <f>ROUND(IF(N541="мин.ставка",L541*100,I541/102*2),2)</f>
        <v/>
      </c>
      <c r="P541" s="5" t="n">
        <v>46297.5</v>
      </c>
      <c r="Q541" t="inlineStr">
        <is>
          <t>TravelLine OTK</t>
        </is>
      </c>
      <c r="R541" s="2" t="inlineStr">
        <is>
          <t>СТАНДАРТНЫЙ ДВУХМЕСТНЫЙ НОМЕР</t>
        </is>
      </c>
      <c r="S541" t="n">
        <v>26</v>
      </c>
      <c r="T541" t="n">
        <v>1</v>
      </c>
      <c r="U541" t="inlineStr"/>
      <c r="V541" t="inlineStr">
        <is>
          <t>Тариф с завтраком</t>
        </is>
      </c>
      <c r="W541" t="n">
        <v>36918</v>
      </c>
      <c r="X541" s="3" t="n">
        <v>7032</v>
      </c>
      <c r="Y541" t="inlineStr">
        <is>
          <t>16%</t>
        </is>
      </c>
      <c r="Z541" t="inlineStr">
        <is>
          <t>Не распределена по датам</t>
        </is>
      </c>
      <c r="AA541" s="3" t="n">
        <v>36918</v>
      </c>
      <c r="AB541" t="inlineStr">
        <is>
          <t>Сошлось по ночным тарифам</t>
        </is>
      </c>
      <c r="AC541" s="2" t="inlineStr"/>
      <c r="AD541" t="n">
        <v>0</v>
      </c>
      <c r="AE541" t="n">
        <v>0</v>
      </c>
      <c r="AF541" t="inlineStr">
        <is>
          <t>Частичный период: дата агрегированной скидки не определена; скидка не добавлена к базе</t>
        </is>
      </c>
      <c r="AG541" t="n">
        <v>28602</v>
      </c>
      <c r="AH541" t="n">
        <v>28602</v>
      </c>
      <c r="AI541" t="inlineStr">
        <is>
          <t>Частичное проживание распределено по dailyRates; скидка без даты не восстановлена</t>
        </is>
      </c>
    </row>
    <row r="542">
      <c r="A542" t="inlineStr">
        <is>
          <t>20260801-8186-455059774</t>
        </is>
      </c>
      <c r="B542" t="n">
        <v>1</v>
      </c>
      <c r="C542" s="2" t="inlineStr">
        <is>
          <t>ИРИНА КИСЕЛЬ</t>
        </is>
      </c>
      <c r="D542" s="3" t="n">
        <v>9534</v>
      </c>
      <c r="E542" s="4" t="n">
        <v>16</v>
      </c>
      <c r="F542" t="inlineStr">
        <is>
          <t>ООО "БРОНИРОВАНИЕ ГОСТИНИЦ" (OSTROVOK) [Чайковский]</t>
        </is>
      </c>
      <c r="G542" s="3">
        <f>ROUND(D542/(100-E542)*100,2)</f>
        <v/>
      </c>
      <c r="H542" s="3" t="n">
        <v>0</v>
      </c>
      <c r="I542" s="3">
        <f>ROUND(IF(ISNUMBER(AG542),AG542,G542)+H542,2)</f>
        <v/>
      </c>
      <c r="J542" s="2" t="inlineStr">
        <is>
          <t>Завтрак "Шведский стол"</t>
        </is>
      </c>
      <c r="K542" s="5" t="n">
        <v>46235.58333333334</v>
      </c>
      <c r="L542" t="n">
        <v>1</v>
      </c>
      <c r="M542" s="3">
        <f>I542/L542</f>
        <v/>
      </c>
      <c r="N542">
        <f>IF(M542&gt;=5100,"ставка","мин.ставка")</f>
        <v/>
      </c>
      <c r="O542" s="3">
        <f>ROUND(IF(N542="мин.ставка",L542*100,I542/102*2),2)</f>
        <v/>
      </c>
      <c r="P542" s="5" t="n">
        <v>46236.5</v>
      </c>
      <c r="Q542" t="inlineStr">
        <is>
          <t>TravelLine OTK</t>
        </is>
      </c>
      <c r="R542" s="2" t="inlineStr">
        <is>
          <t>СТАНДАРТНЫЙ ДВУХМЕСТНЫЙ НОМЕР</t>
        </is>
      </c>
      <c r="S542" t="n">
        <v>23</v>
      </c>
      <c r="T542" t="n">
        <v>1</v>
      </c>
      <c r="U542" t="inlineStr"/>
      <c r="V542" t="inlineStr">
        <is>
          <t>Тариф с завтраком</t>
        </is>
      </c>
      <c r="W542" t="n">
        <v>9534</v>
      </c>
      <c r="X542" s="3" t="n">
        <v>1816</v>
      </c>
      <c r="Y542" t="inlineStr">
        <is>
          <t>16%</t>
        </is>
      </c>
      <c r="Z542" t="inlineStr">
        <is>
          <t>2026-08-01</t>
        </is>
      </c>
      <c r="AA542" s="3" t="n">
        <v>9534</v>
      </c>
      <c r="AB542" t="inlineStr">
        <is>
          <t>Сошлось по ночным тарифам</t>
        </is>
      </c>
      <c r="AC542" s="2" t="inlineStr"/>
      <c r="AD542" t="n">
        <v>1816</v>
      </c>
      <c r="AE542" t="n">
        <v>0</v>
      </c>
      <c r="AF542" t="inlineStr">
        <is>
          <t>Скидка добавлена к налоговой базе</t>
        </is>
      </c>
      <c r="AG542" t="n">
        <v>11350</v>
      </c>
      <c r="AH542" t="n">
        <v>9534</v>
      </c>
      <c r="AI542" t="inlineStr">
        <is>
          <t>Полное проживание в выбранном периоде</t>
        </is>
      </c>
    </row>
    <row r="543">
      <c r="A543" t="inlineStr">
        <is>
          <t>20260714-8186-449060920</t>
        </is>
      </c>
      <c r="B543" t="n">
        <v>1</v>
      </c>
      <c r="C543" s="2" t="inlineStr">
        <is>
          <t>Ирина Колобродова</t>
        </is>
      </c>
      <c r="D543" s="3" t="n">
        <v>6320</v>
      </c>
      <c r="E543" s="4" t="n">
        <v>20</v>
      </c>
      <c r="F543" t="inlineStr">
        <is>
          <t>ООО "КОМПАНИЯ БРОНЕВИК" [Чайковский]</t>
        </is>
      </c>
      <c r="G543" s="3">
        <f>ROUND(D543/(100-E543)*100,2)</f>
        <v/>
      </c>
      <c r="H543" s="3" t="n">
        <v>0</v>
      </c>
      <c r="I543" s="3">
        <f>ROUND(IF(ISNUMBER(AG543),AG543,G543)+H543,2)</f>
        <v/>
      </c>
      <c r="J543" s="2" t="inlineStr">
        <is>
          <t>Завтрак "Шведский стол"</t>
        </is>
      </c>
      <c r="K543" s="5" t="n">
        <v>46217.58333333334</v>
      </c>
      <c r="L543" t="n">
        <v>1</v>
      </c>
      <c r="M543" s="3">
        <f>I543/L543</f>
        <v/>
      </c>
      <c r="N543">
        <f>IF(M543&gt;=5100,"ставка","мин.ставка")</f>
        <v/>
      </c>
      <c r="O543" s="3">
        <f>ROUND(IF(N543="мин.ставка",L543*100,I543/102*2),2)</f>
        <v/>
      </c>
      <c r="P543" s="5" t="n">
        <v>46218.5</v>
      </c>
      <c r="Q543" t="inlineStr">
        <is>
          <t>TravelLine BR2</t>
        </is>
      </c>
      <c r="R543" s="2" t="inlineStr">
        <is>
          <t>СТАНДАРТНЫЙ ДВУХМЕСТНЫЙ НОМЕР (МАНСАРДА)</t>
        </is>
      </c>
      <c r="S543" t="n">
        <v>41</v>
      </c>
      <c r="T543" t="n">
        <v>1</v>
      </c>
      <c r="U543" t="inlineStr"/>
      <c r="V543" t="inlineStr">
        <is>
          <t>Тариф с завтраком</t>
        </is>
      </c>
      <c r="W543" t="n">
        <v>6320</v>
      </c>
      <c r="X543" s="3" t="n">
        <v>0</v>
      </c>
      <c r="Y543" t="inlineStr"/>
      <c r="Z543" t="inlineStr"/>
      <c r="AA543" s="3" t="n">
        <v>6320</v>
      </c>
      <c r="AB543" t="inlineStr">
        <is>
          <t>Сошлось по ночным тарифам</t>
        </is>
      </c>
      <c r="AC543" s="2" t="inlineStr"/>
      <c r="AD543" t="n">
        <v>0</v>
      </c>
      <c r="AE543" t="n">
        <v>0</v>
      </c>
      <c r="AF543" t="inlineStr">
        <is>
          <t>Скидки нет</t>
        </is>
      </c>
      <c r="AG543" t="n">
        <v>6320</v>
      </c>
      <c r="AH543" t="n">
        <v>6320</v>
      </c>
      <c r="AI543" t="inlineStr">
        <is>
          <t>Полное проживание в выбранном периоде</t>
        </is>
      </c>
    </row>
    <row r="544">
      <c r="A544" t="inlineStr">
        <is>
          <t>20260919-8186-467095647</t>
        </is>
      </c>
      <c r="B544" t="n">
        <v>1</v>
      </c>
      <c r="C544" s="2" t="inlineStr">
        <is>
          <t>Ирина Курандина, СЕРГЕЙ КУРАНДИН</t>
        </is>
      </c>
      <c r="D544" s="3" t="n">
        <v>13149.75</v>
      </c>
      <c r="E544" s="4" t="n">
        <v>4</v>
      </c>
      <c r="F544" t="inlineStr">
        <is>
          <t>TravelLine Booking Engine [Чайковский]</t>
        </is>
      </c>
      <c r="G544" s="3">
        <f>ROUND(D544/(100-E544)*100,2)</f>
        <v/>
      </c>
      <c r="H544" s="3" t="n">
        <v>0</v>
      </c>
      <c r="I544" s="3">
        <f>ROUND(IF(ISNUMBER(AG544),AG544,G544)+H544,2)</f>
        <v/>
      </c>
      <c r="J544" s="2" t="inlineStr">
        <is>
          <t>Завтрак "Шведский стол"</t>
        </is>
      </c>
      <c r="K544" s="5" t="n">
        <v>46284.58333333334</v>
      </c>
      <c r="L544" t="n">
        <v>1</v>
      </c>
      <c r="M544" s="3">
        <f>I544/L544</f>
        <v/>
      </c>
      <c r="N544">
        <f>IF(M544&gt;=5100,"ставка","мин.ставка")</f>
        <v/>
      </c>
      <c r="O544" s="3">
        <f>ROUND(IF(N544="мин.ставка",L544*100,I544/102*2),2)</f>
        <v/>
      </c>
      <c r="P544" s="5" t="n">
        <v>46285.5</v>
      </c>
      <c r="Q544" t="inlineStr">
        <is>
          <t>TravelLine сайт</t>
        </is>
      </c>
      <c r="R544" s="2" t="inlineStr">
        <is>
          <t>СТАНДАРТНЫЙ ДВУХМЕСТНЫЙ НОМЕР</t>
        </is>
      </c>
      <c r="S544" t="n">
        <v>33</v>
      </c>
      <c r="T544" t="n">
        <v>1</v>
      </c>
      <c r="U544" t="inlineStr"/>
      <c r="V544" t="inlineStr">
        <is>
          <t>Тариф с завтраком</t>
        </is>
      </c>
      <c r="W544" t="n">
        <v>13149.75</v>
      </c>
      <c r="X544" s="3" t="n">
        <v>200.25</v>
      </c>
      <c r="Y544" t="inlineStr">
        <is>
          <t>1.5%</t>
        </is>
      </c>
      <c r="Z544" t="inlineStr">
        <is>
          <t>2026-09-19</t>
        </is>
      </c>
      <c r="AA544" s="3" t="n">
        <v>13149.75</v>
      </c>
      <c r="AB544" t="inlineStr">
        <is>
          <t>Сошлось по ночным тарифам</t>
        </is>
      </c>
      <c r="AC544" s="2" t="inlineStr"/>
      <c r="AD544" t="n">
        <v>200.25</v>
      </c>
      <c r="AE544" t="n">
        <v>0</v>
      </c>
      <c r="AF544" t="inlineStr">
        <is>
          <t>Скидка добавлена к налоговой базе</t>
        </is>
      </c>
      <c r="AG544" t="n">
        <v>13350</v>
      </c>
      <c r="AH544" t="n">
        <v>13149.75</v>
      </c>
      <c r="AI544" t="inlineStr">
        <is>
          <t>Полное проживание в выбранном периоде</t>
        </is>
      </c>
    </row>
    <row r="545">
      <c r="A545" t="inlineStr">
        <is>
          <t>20260921-8186-448932640</t>
        </is>
      </c>
      <c r="B545" t="n">
        <v>1</v>
      </c>
      <c r="C545" s="2" t="inlineStr">
        <is>
          <t>Ирина Лисицкая, Андрей Лисицкий</t>
        </is>
      </c>
      <c r="D545" s="3" t="n">
        <v>31680</v>
      </c>
      <c r="E545" s="4" t="n">
        <v>20</v>
      </c>
      <c r="F545" t="inlineStr">
        <is>
          <t>ООО "КОМПАНИЯ БРОНЕВИК" [Чайковский]</t>
        </is>
      </c>
      <c r="G545" s="3">
        <f>ROUND(D545/(100-E545)*100,2)</f>
        <v/>
      </c>
      <c r="H545" s="3" t="n">
        <v>0</v>
      </c>
      <c r="I545" s="3">
        <f>ROUND(IF(ISNUMBER(AG545),AG545,G545)+H545,2)</f>
        <v/>
      </c>
      <c r="J545" s="2" t="inlineStr">
        <is>
          <t>Завтрак "Шведский стол"</t>
        </is>
      </c>
      <c r="K545" s="5" t="n">
        <v>46286.58333333334</v>
      </c>
      <c r="L545" t="n">
        <v>4</v>
      </c>
      <c r="M545" s="3">
        <f>I545/L545</f>
        <v/>
      </c>
      <c r="N545">
        <f>IF(M545&gt;=5100,"ставка","мин.ставка")</f>
        <v/>
      </c>
      <c r="O545" s="3">
        <f>ROUND(IF(N545="мин.ставка",L545*100,I545/102*2),2)</f>
        <v/>
      </c>
      <c r="P545" s="5" t="n">
        <v>46290.5</v>
      </c>
      <c r="Q545" t="inlineStr">
        <is>
          <t>TravelLine BR2</t>
        </is>
      </c>
      <c r="R545" s="2" t="inlineStr">
        <is>
          <t>СТАНДАРТНЫЙ ДВУХМЕСТНЫЙ НОМЕР (МАНСАРДА)</t>
        </is>
      </c>
      <c r="S545" t="n">
        <v>47</v>
      </c>
      <c r="T545" t="n">
        <v>1</v>
      </c>
      <c r="U545" t="inlineStr"/>
      <c r="V545" t="inlineStr">
        <is>
          <t>Тариф с завтраком</t>
        </is>
      </c>
      <c r="W545" t="n">
        <v>31680</v>
      </c>
      <c r="X545" s="3" t="n">
        <v>0</v>
      </c>
      <c r="Y545" t="inlineStr"/>
      <c r="Z545" t="inlineStr"/>
      <c r="AA545" s="3" t="n">
        <v>31680</v>
      </c>
      <c r="AB545" t="inlineStr">
        <is>
          <t>Сошлось по ночным тарифам</t>
        </is>
      </c>
      <c r="AC545" s="2" t="inlineStr"/>
      <c r="AD545" t="n">
        <v>0</v>
      </c>
      <c r="AE545" t="n">
        <v>0</v>
      </c>
      <c r="AF545" t="inlineStr">
        <is>
          <t>Скидки нет</t>
        </is>
      </c>
      <c r="AG545" t="n">
        <v>31680</v>
      </c>
      <c r="AH545" t="n">
        <v>31680</v>
      </c>
      <c r="AI545" t="inlineStr">
        <is>
          <t>Полное проживание в выбранном периоде</t>
        </is>
      </c>
    </row>
    <row r="546">
      <c r="A546" t="inlineStr">
        <is>
          <t>20260905-8186-463074554</t>
        </is>
      </c>
      <c r="B546" t="n">
        <v>1</v>
      </c>
      <c r="C546" s="2" t="inlineStr">
        <is>
          <t>Ирина Мазий, Антон Иванчиков</t>
        </is>
      </c>
      <c r="D546" s="3" t="n">
        <v>53400</v>
      </c>
      <c r="E546" s="4" t="n">
        <v>20</v>
      </c>
      <c r="F546" t="inlineStr">
        <is>
          <t>ООО "КОМПАНИЯ БРОНЕВИК" [Чайковский]</t>
        </is>
      </c>
      <c r="G546" s="3">
        <f>ROUND(D546/(100-E546)*100,2)</f>
        <v/>
      </c>
      <c r="H546" s="3" t="n">
        <v>0</v>
      </c>
      <c r="I546" s="3">
        <f>ROUND(IF(ISNUMBER(AG546),AG546,G546)+H546,2)</f>
        <v/>
      </c>
      <c r="J546" s="2" t="inlineStr">
        <is>
          <t>Завтрак "Шведский стол"</t>
        </is>
      </c>
      <c r="K546" s="5" t="n">
        <v>46270.58333333334</v>
      </c>
      <c r="L546" t="n">
        <v>5</v>
      </c>
      <c r="M546" s="3">
        <f>I546/L546</f>
        <v/>
      </c>
      <c r="N546">
        <f>IF(M546&gt;=5100,"ставка","мин.ставка")</f>
        <v/>
      </c>
      <c r="O546" s="3">
        <f>ROUND(IF(N546="мин.ставка",L546*100,I546/102*2),2)</f>
        <v/>
      </c>
      <c r="P546" s="5" t="n">
        <v>46275.5</v>
      </c>
      <c r="Q546" t="inlineStr">
        <is>
          <t>TravelLine BR2</t>
        </is>
      </c>
      <c r="R546" s="2" t="inlineStr">
        <is>
          <t>СТАНДАРТНЫЙ ДВУХМЕСТНЫЙ НОМЕР</t>
        </is>
      </c>
      <c r="S546" t="n">
        <v>46</v>
      </c>
      <c r="T546" t="n">
        <v>1</v>
      </c>
      <c r="U546" t="inlineStr"/>
      <c r="V546" t="inlineStr">
        <is>
          <t>Тариф с завтраком</t>
        </is>
      </c>
      <c r="W546" t="n">
        <v>53400</v>
      </c>
      <c r="X546" s="3" t="n">
        <v>0</v>
      </c>
      <c r="Y546" t="inlineStr"/>
      <c r="Z546" t="inlineStr"/>
      <c r="AA546" s="3" t="n">
        <v>53400</v>
      </c>
      <c r="AB546" t="inlineStr">
        <is>
          <t>Сошлось по ночным тарифам</t>
        </is>
      </c>
      <c r="AC546" s="2" t="inlineStr"/>
      <c r="AD546" t="n">
        <v>0</v>
      </c>
      <c r="AE546" t="n">
        <v>0</v>
      </c>
      <c r="AF546" t="inlineStr">
        <is>
          <t>Скидки нет</t>
        </is>
      </c>
      <c r="AG546" t="n">
        <v>53400</v>
      </c>
      <c r="AH546" t="n">
        <v>53400</v>
      </c>
      <c r="AI546" t="inlineStr">
        <is>
          <t>Полное проживание в выбранном периоде</t>
        </is>
      </c>
    </row>
    <row r="547">
      <c r="A547" t="inlineStr">
        <is>
          <t>20260817-8186-447959681</t>
        </is>
      </c>
      <c r="B547" t="n">
        <v>1</v>
      </c>
      <c r="C547" s="2" t="inlineStr">
        <is>
          <t>ИРИНА МИЛОВА</t>
        </is>
      </c>
      <c r="D547" s="3" t="n">
        <v>8626</v>
      </c>
      <c r="E547" s="4" t="n">
        <v>18</v>
      </c>
      <c r="F547" t="inlineStr">
        <is>
          <t>Яндекс.Путешествия [Чайковский]</t>
        </is>
      </c>
      <c r="G547" s="3">
        <f>ROUND(D547/(100-E547)*100,2)</f>
        <v/>
      </c>
      <c r="H547" s="3" t="n">
        <v>0</v>
      </c>
      <c r="I547" s="3">
        <f>ROUND(IF(ISNUMBER(AG547),AG547,G547)+H547,2)</f>
        <v/>
      </c>
      <c r="J547" s="2" t="inlineStr">
        <is>
          <t>Завтрак "Шведский стол"</t>
        </is>
      </c>
      <c r="K547" s="5" t="n">
        <v>46251.58333333334</v>
      </c>
      <c r="L547" t="n">
        <v>1</v>
      </c>
      <c r="M547" s="3">
        <f>I547/L547</f>
        <v/>
      </c>
      <c r="N547">
        <f>IF(M547&gt;=5100,"ставка","мин.ставка")</f>
        <v/>
      </c>
      <c r="O547" s="3">
        <f>ROUND(IF(N547="мин.ставка",L547*100,I547/102*2),2)</f>
        <v/>
      </c>
      <c r="P547" s="5" t="n">
        <v>46252.5</v>
      </c>
      <c r="Q547" t="inlineStr">
        <is>
          <t>TravelLine YAX</t>
        </is>
      </c>
      <c r="R547" s="2" t="inlineStr">
        <is>
          <t>СТАНДАРТНЫЙ ДВУХМЕСТНЫЙ НОМЕР</t>
        </is>
      </c>
      <c r="S547" t="n">
        <v>58</v>
      </c>
      <c r="T547" t="n">
        <v>2</v>
      </c>
      <c r="U547" t="inlineStr"/>
      <c r="V547" t="inlineStr">
        <is>
          <t>Тариф с завтраком</t>
        </is>
      </c>
      <c r="W547" t="n">
        <v>8626</v>
      </c>
      <c r="X547" s="3" t="n">
        <v>2156.5</v>
      </c>
      <c r="Y547" t="inlineStr">
        <is>
          <t>20%</t>
        </is>
      </c>
      <c r="Z547" t="inlineStr">
        <is>
          <t>2026-08-17</t>
        </is>
      </c>
      <c r="AA547" s="3" t="n">
        <v>8626</v>
      </c>
      <c r="AB547" t="inlineStr">
        <is>
          <t>Сошлось по ночным тарифам</t>
        </is>
      </c>
      <c r="AC547" s="2" t="inlineStr"/>
      <c r="AD547" t="n">
        <v>2156.5</v>
      </c>
      <c r="AE547" t="n">
        <v>0</v>
      </c>
      <c r="AF547" t="inlineStr">
        <is>
          <t>Скидка добавлена к налоговой базе</t>
        </is>
      </c>
      <c r="AG547" t="n">
        <v>10782.5</v>
      </c>
      <c r="AH547" t="n">
        <v>8626</v>
      </c>
      <c r="AI547" t="inlineStr">
        <is>
          <t>Полное проживание в выбранном периоде</t>
        </is>
      </c>
    </row>
    <row r="548">
      <c r="A548" t="inlineStr">
        <is>
          <t>20260816-8186-449235439</t>
        </is>
      </c>
      <c r="B548" t="n">
        <v>1</v>
      </c>
      <c r="C548" s="2" t="inlineStr">
        <is>
          <t>Ирина Николаева, Александр Николаев</t>
        </is>
      </c>
      <c r="D548" s="3" t="n">
        <v>8415</v>
      </c>
      <c r="E548" s="4" t="n">
        <v>15</v>
      </c>
      <c r="F548" t="inlineStr">
        <is>
          <t>ООО Тинькофф Путешествия [Чайковский]</t>
        </is>
      </c>
      <c r="G548" s="3">
        <f>ROUND(D548/(100-E548)*100,2)</f>
        <v/>
      </c>
      <c r="H548" s="3" t="n">
        <v>0</v>
      </c>
      <c r="I548" s="3">
        <f>ROUND(IF(ISNUMBER(AG548),AG548,G548)+H548,2)</f>
        <v/>
      </c>
      <c r="J548" s="2" t="inlineStr">
        <is>
          <t>Завтрак "Шведский стол"</t>
        </is>
      </c>
      <c r="K548" s="5" t="n">
        <v>46250.58333333334</v>
      </c>
      <c r="L548" t="n">
        <v>1</v>
      </c>
      <c r="M548" s="3">
        <f>I548/L548</f>
        <v/>
      </c>
      <c r="N548">
        <f>IF(M548&gt;=5100,"ставка","мин.ставка")</f>
        <v/>
      </c>
      <c r="O548" s="3">
        <f>ROUND(IF(N548="мин.ставка",L548*100,I548/102*2),2)</f>
        <v/>
      </c>
      <c r="P548" s="5" t="n">
        <v>46251.5</v>
      </c>
      <c r="Q548" t="inlineStr">
        <is>
          <t>TravelLine TNK</t>
        </is>
      </c>
      <c r="R548" s="2" t="inlineStr">
        <is>
          <t>СТАНДАРТНЫЙ ДВУХМЕСТНЫЙ НОМЕР (МАНСАРДА)</t>
        </is>
      </c>
      <c r="S548" t="n">
        <v>41</v>
      </c>
      <c r="T548" t="n">
        <v>1</v>
      </c>
      <c r="U548" t="inlineStr"/>
      <c r="V548" t="inlineStr">
        <is>
          <t>Тариф с завтраком</t>
        </is>
      </c>
      <c r="W548" t="n">
        <v>8415</v>
      </c>
      <c r="X548" s="3" t="n">
        <v>1485</v>
      </c>
      <c r="Y548" t="inlineStr">
        <is>
          <t>15%</t>
        </is>
      </c>
      <c r="Z548" t="inlineStr">
        <is>
          <t>2026-08-16</t>
        </is>
      </c>
      <c r="AA548" s="3" t="n">
        <v>8415</v>
      </c>
      <c r="AB548" t="inlineStr">
        <is>
          <t>Сошлось по ночным тарифам</t>
        </is>
      </c>
      <c r="AC548" s="2" t="inlineStr"/>
      <c r="AD548" t="n">
        <v>1485</v>
      </c>
      <c r="AE548" t="n">
        <v>0</v>
      </c>
      <c r="AF548" t="inlineStr">
        <is>
          <t>Скидка добавлена к налоговой базе</t>
        </is>
      </c>
      <c r="AG548" t="n">
        <v>9900</v>
      </c>
      <c r="AH548" t="n">
        <v>8415</v>
      </c>
      <c r="AI548" t="inlineStr">
        <is>
          <t>Полное проживание в выбранном периоде</t>
        </is>
      </c>
    </row>
    <row r="549">
      <c r="A549" t="inlineStr">
        <is>
          <t>20260817-8186-455605492</t>
        </is>
      </c>
      <c r="B549" t="n">
        <v>1</v>
      </c>
      <c r="C549" s="2" t="inlineStr">
        <is>
          <t>ИРИНА ПОТАПОВА, ВИКТОРИЯ ПОТАПОВА</t>
        </is>
      </c>
      <c r="D549" s="3" t="n">
        <v>30260</v>
      </c>
      <c r="E549" s="4" t="n">
        <v>15</v>
      </c>
      <c r="F549" t="inlineStr">
        <is>
          <t>ООО "Библио-Глобус Туроператор" [Чайковский]</t>
        </is>
      </c>
      <c r="G549" s="3">
        <f>ROUND(D549/(100-E549)*100,2)</f>
        <v/>
      </c>
      <c r="H549" s="3" t="n">
        <v>0</v>
      </c>
      <c r="I549" s="3">
        <f>ROUND(IF(ISNUMBER(AG549),AG549,G549)+H549,2)</f>
        <v/>
      </c>
      <c r="J549" s="2" t="inlineStr">
        <is>
          <t>Завтрак "Шведский стол"</t>
        </is>
      </c>
      <c r="K549" s="5" t="n">
        <v>46251.58333333334</v>
      </c>
      <c r="L549" t="n">
        <v>2</v>
      </c>
      <c r="M549" s="3">
        <f>I549/L549</f>
        <v/>
      </c>
      <c r="N549">
        <f>IF(M549&gt;=5100,"ставка","мин.ставка")</f>
        <v/>
      </c>
      <c r="O549" s="3">
        <f>ROUND(IF(N549="мин.ставка",L549*100,I549/102*2),2)</f>
        <v/>
      </c>
      <c r="P549" s="5" t="n">
        <v>46253.5</v>
      </c>
      <c r="Q549" t="inlineStr">
        <is>
          <t>TravelLine BGL</t>
        </is>
      </c>
      <c r="R549" s="2" t="inlineStr">
        <is>
          <t>ЛЮКС ВТОРОЙ КОРПУС</t>
        </is>
      </c>
      <c r="S549" t="n">
        <v>54</v>
      </c>
      <c r="T549" t="n">
        <v>2</v>
      </c>
      <c r="U549" t="inlineStr"/>
      <c r="V549" t="inlineStr">
        <is>
          <t>Тариф с завтраком</t>
        </is>
      </c>
      <c r="W549" t="n">
        <v>30260</v>
      </c>
      <c r="X549" s="3" t="n">
        <v>0</v>
      </c>
      <c r="Y549" t="inlineStr"/>
      <c r="Z549" t="inlineStr"/>
      <c r="AA549" s="3" t="n">
        <v>30260</v>
      </c>
      <c r="AB549" t="inlineStr">
        <is>
          <t>Сошлось по ночным тарифам</t>
        </is>
      </c>
      <c r="AC549" s="2" t="inlineStr"/>
      <c r="AD549" t="n">
        <v>0</v>
      </c>
      <c r="AE549" t="n">
        <v>0</v>
      </c>
      <c r="AF549" t="inlineStr">
        <is>
          <t>Скидки нет</t>
        </is>
      </c>
      <c r="AG549" t="n">
        <v>30260</v>
      </c>
      <c r="AH549" t="n">
        <v>30260</v>
      </c>
      <c r="AI549" t="inlineStr">
        <is>
          <t>Полное проживание в выбранном периоде</t>
        </is>
      </c>
    </row>
    <row r="550">
      <c r="A550" t="inlineStr">
        <is>
          <t>20260804-8186-450062345</t>
        </is>
      </c>
      <c r="B550" t="n">
        <v>1</v>
      </c>
      <c r="C550" s="2" t="inlineStr">
        <is>
          <t>Ирина Скороходова</t>
        </is>
      </c>
      <c r="D550" s="3" t="n">
        <v>27240</v>
      </c>
      <c r="E550" s="4" t="n">
        <v>20</v>
      </c>
      <c r="F550" t="inlineStr">
        <is>
          <t>ООО "КОМПАНИЯ БРОНЕВИК" [Чайковский]</t>
        </is>
      </c>
      <c r="G550" s="3">
        <f>ROUND(D550/(100-E550)*100,2)</f>
        <v/>
      </c>
      <c r="H550" s="3" t="n">
        <v>860</v>
      </c>
      <c r="I550" s="3">
        <f>ROUND(IF(ISNUMBER(AG550),AG550,G550)+H550,2)</f>
        <v/>
      </c>
      <c r="J550" s="2" t="inlineStr">
        <is>
          <t>продление номера — 100,00 ₽; продление номера — 310,00 ₽; продление номера — 300,00 ₽; продление номера — 150,00 ₽; Завтрак "Шведский стол"</t>
        </is>
      </c>
      <c r="K550" s="5" t="n">
        <v>46238.58333333334</v>
      </c>
      <c r="L550" t="n">
        <v>3</v>
      </c>
      <c r="M550" s="3">
        <f>I550/L550</f>
        <v/>
      </c>
      <c r="N550">
        <f>IF(M550&gt;=5100,"ставка","мин.ставка")</f>
        <v/>
      </c>
      <c r="O550" s="3">
        <f>ROUND(IF(N550="мин.ставка",L550*100,I550/102*2),2)</f>
        <v/>
      </c>
      <c r="P550" s="5" t="n">
        <v>46241.5</v>
      </c>
      <c r="Q550" t="inlineStr">
        <is>
          <t>TravelLine BR2</t>
        </is>
      </c>
      <c r="R550" s="2" t="inlineStr">
        <is>
          <t>СЕМЕЙНЫЙ НОМЕР КАТЕГОРИИ "СТАНДАРТ" ВТОРОЙ КОРПУС</t>
        </is>
      </c>
      <c r="S550" t="n">
        <v>50</v>
      </c>
      <c r="T550" t="n">
        <v>2</v>
      </c>
      <c r="U550" t="inlineStr"/>
      <c r="V550" t="inlineStr">
        <is>
          <t>Тариф с завтраком</t>
        </is>
      </c>
      <c r="W550" t="n">
        <v>28100</v>
      </c>
      <c r="X550" s="3" t="n">
        <v>0</v>
      </c>
      <c r="Y550" t="inlineStr"/>
      <c r="Z550" t="inlineStr"/>
      <c r="AA550" s="3" t="n">
        <v>27240</v>
      </c>
      <c r="AB550" t="inlineStr">
        <is>
          <t>Сошлось с услугами</t>
        </is>
      </c>
      <c r="AC550" s="2" t="inlineStr"/>
      <c r="AD550" t="n">
        <v>0</v>
      </c>
      <c r="AE550" t="n">
        <v>0</v>
      </c>
      <c r="AF550" t="inlineStr">
        <is>
          <t>Скидки нет</t>
        </is>
      </c>
      <c r="AG550" t="n">
        <v>27240</v>
      </c>
      <c r="AH550" t="n">
        <v>27240</v>
      </c>
      <c r="AI550" t="inlineStr">
        <is>
          <t>Полное проживание в выбранном периоде</t>
        </is>
      </c>
    </row>
    <row r="551">
      <c r="A551" t="inlineStr">
        <is>
          <t>20260720-8186-410480708</t>
        </is>
      </c>
      <c r="B551" t="n">
        <v>1</v>
      </c>
      <c r="C551" s="2" t="inlineStr">
        <is>
          <t>Ирина Уткина, ВСЕНИЯ УТКИНА</t>
        </is>
      </c>
      <c r="D551" s="3" t="n">
        <v>39451.5</v>
      </c>
      <c r="E551" s="4" t="n">
        <v>4</v>
      </c>
      <c r="F551" t="inlineStr">
        <is>
          <t>TravelLine Booking Engine [Чайковский]</t>
        </is>
      </c>
      <c r="G551" s="3">
        <f>ROUND(D551/(100-E551)*100,2)</f>
        <v/>
      </c>
      <c r="H551" s="3" t="n">
        <v>0</v>
      </c>
      <c r="I551" s="3">
        <f>ROUND(IF(ISNUMBER(AG551),AG551,G551)+H551,2)</f>
        <v/>
      </c>
      <c r="J551" s="2" t="inlineStr">
        <is>
          <t>Завтрак "Шведский стол"</t>
        </is>
      </c>
      <c r="K551" s="5" t="n">
        <v>46223.9375</v>
      </c>
      <c r="L551" t="n">
        <v>4</v>
      </c>
      <c r="M551" s="3">
        <f>I551/L551</f>
        <v/>
      </c>
      <c r="N551">
        <f>IF(M551&gt;=5100,"ставка","мин.ставка")</f>
        <v/>
      </c>
      <c r="O551" s="3">
        <f>ROUND(IF(N551="мин.ставка",L551*100,I551/102*2),2)</f>
        <v/>
      </c>
      <c r="P551" s="5" t="n">
        <v>46227.5</v>
      </c>
      <c r="Q551" t="inlineStr">
        <is>
          <t>TravelLine сайт</t>
        </is>
      </c>
      <c r="R551" s="2" t="inlineStr">
        <is>
          <t>СТАНДАРТНЫЙ ДВУХМЕСТНЫЙ НОМЕР (МАНСАРДА)</t>
        </is>
      </c>
      <c r="S551" t="n">
        <v>47</v>
      </c>
      <c r="T551" t="n">
        <v>1</v>
      </c>
      <c r="U551" t="inlineStr"/>
      <c r="V551" t="inlineStr">
        <is>
          <t>Тариф с завтраком</t>
        </is>
      </c>
      <c r="W551" t="n">
        <v>39451.5</v>
      </c>
      <c r="X551" s="3" t="n">
        <v>148.5</v>
      </c>
      <c r="Y551" t="inlineStr">
        <is>
          <t>1.5%</t>
        </is>
      </c>
      <c r="Z551" t="inlineStr">
        <is>
          <t>2026-07-20</t>
        </is>
      </c>
      <c r="AA551" s="3" t="n">
        <v>39451.5</v>
      </c>
      <c r="AB551" t="inlineStr">
        <is>
          <t>Сошлось по ночным тарифам</t>
        </is>
      </c>
      <c r="AC551" s="2" t="inlineStr"/>
      <c r="AD551" t="n">
        <v>148.5</v>
      </c>
      <c r="AE551" t="n">
        <v>0</v>
      </c>
      <c r="AF551" t="inlineStr">
        <is>
          <t>Скидка добавлена к налоговой базе</t>
        </is>
      </c>
      <c r="AG551" t="n">
        <v>39600</v>
      </c>
      <c r="AH551" t="n">
        <v>39451.5</v>
      </c>
      <c r="AI551" t="inlineStr">
        <is>
          <t>Полное проживание в выбранном периоде</t>
        </is>
      </c>
    </row>
    <row r="552">
      <c r="A552" t="inlineStr">
        <is>
          <t>20260915-8186-427846724</t>
        </is>
      </c>
      <c r="B552" t="n">
        <v>1</v>
      </c>
      <c r="C552" s="2" t="inlineStr">
        <is>
          <t>ИРИНА ШАФИЕВА</t>
        </is>
      </c>
      <c r="D552" s="3" t="n">
        <v>12640</v>
      </c>
      <c r="E552" s="4" t="n">
        <v>20</v>
      </c>
      <c r="F552" t="inlineStr">
        <is>
          <t>ООО "КОМПАНИЯ БРОНЕВИК" [Чайковский]</t>
        </is>
      </c>
      <c r="G552" s="3">
        <f>ROUND(D552/(100-E552)*100,2)</f>
        <v/>
      </c>
      <c r="H552" s="3" t="n">
        <v>0</v>
      </c>
      <c r="I552" s="3">
        <f>ROUND(IF(ISNUMBER(AG552),AG552,G552)+H552,2)</f>
        <v/>
      </c>
      <c r="J552" s="2" t="inlineStr">
        <is>
          <t>Завтрак "Шведский стол"</t>
        </is>
      </c>
      <c r="K552" s="5" t="n">
        <v>46280.58333333334</v>
      </c>
      <c r="L552" t="n">
        <v>2</v>
      </c>
      <c r="M552" s="3">
        <f>I552/L552</f>
        <v/>
      </c>
      <c r="N552">
        <f>IF(M552&gt;=5100,"ставка","мин.ставка")</f>
        <v/>
      </c>
      <c r="O552" s="3">
        <f>ROUND(IF(N552="мин.ставка",L552*100,I552/102*2),2)</f>
        <v/>
      </c>
      <c r="P552" s="5" t="n">
        <v>46282.5</v>
      </c>
      <c r="Q552" t="inlineStr">
        <is>
          <t>TravelLine BR2</t>
        </is>
      </c>
      <c r="R552" s="2" t="inlineStr">
        <is>
          <t>СТАНДАРТНЫЙ ДВУХМЕСТНЫЙ НОМЕР (МАНСАРДА)</t>
        </is>
      </c>
      <c r="S552" t="n">
        <v>47</v>
      </c>
      <c r="T552" t="n">
        <v>1</v>
      </c>
      <c r="U552" t="inlineStr"/>
      <c r="V552" t="inlineStr">
        <is>
          <t>Тариф с завтраком</t>
        </is>
      </c>
      <c r="W552" t="n">
        <v>12640</v>
      </c>
      <c r="X552" s="3" t="n">
        <v>0</v>
      </c>
      <c r="Y552" t="inlineStr"/>
      <c r="Z552" t="inlineStr"/>
      <c r="AA552" s="3" t="n">
        <v>12640</v>
      </c>
      <c r="AB552" t="inlineStr">
        <is>
          <t>Сошлось по ночным тарифам</t>
        </is>
      </c>
      <c r="AC552" s="2" t="inlineStr"/>
      <c r="AD552" t="n">
        <v>0</v>
      </c>
      <c r="AE552" t="n">
        <v>0</v>
      </c>
      <c r="AF552" t="inlineStr">
        <is>
          <t>Скидки нет</t>
        </is>
      </c>
      <c r="AG552" t="n">
        <v>12640</v>
      </c>
      <c r="AH552" t="n">
        <v>12640</v>
      </c>
      <c r="AI552" t="inlineStr">
        <is>
          <t>Полное проживание в выбранном периоде</t>
        </is>
      </c>
    </row>
    <row r="553">
      <c r="A553" t="inlineStr">
        <is>
          <t>20260727-8186-412100558</t>
        </is>
      </c>
      <c r="B553" t="n">
        <v>1</v>
      </c>
      <c r="C553" s="2" t="inlineStr">
        <is>
          <t>Ирина Шафиева, Мария Шафиева</t>
        </is>
      </c>
      <c r="D553" s="3" t="n">
        <v>18960</v>
      </c>
      <c r="E553" s="4" t="n">
        <v>20</v>
      </c>
      <c r="F553" t="inlineStr">
        <is>
          <t>ООО "КОМПАНИЯ БРОНЕВИК" [Чайковский]</t>
        </is>
      </c>
      <c r="G553" s="3">
        <f>ROUND(D553/(100-E553)*100,2)</f>
        <v/>
      </c>
      <c r="H553" s="3" t="n">
        <v>6000</v>
      </c>
      <c r="I553" s="3">
        <f>ROUND(IF(ISNUMBER(AG553),AG553,G553)+H553,2)</f>
        <v/>
      </c>
      <c r="J553" s="2" t="inlineStr">
        <is>
          <t>продление номера — 6 000,00 ₽; Завтрак "Шведский стол"</t>
        </is>
      </c>
      <c r="K553" s="5" t="n">
        <v>46230.58333333334</v>
      </c>
      <c r="L553" t="n">
        <v>3</v>
      </c>
      <c r="M553" s="3">
        <f>I553/L553</f>
        <v/>
      </c>
      <c r="N553">
        <f>IF(M553&gt;=5100,"ставка","мин.ставка")</f>
        <v/>
      </c>
      <c r="O553" s="3">
        <f>ROUND(IF(N553="мин.ставка",L553*100,I553/102*2),2)</f>
        <v/>
      </c>
      <c r="P553" s="5" t="n">
        <v>46233.5</v>
      </c>
      <c r="Q553" t="inlineStr">
        <is>
          <t>TravelLine BR2</t>
        </is>
      </c>
      <c r="R553" s="2" t="inlineStr">
        <is>
          <t>СТАНДАРТНЫЙ ДВУХМЕСТНЫЙ НОМЕР (МАНСАРДА)</t>
        </is>
      </c>
      <c r="S553" t="n">
        <v>43</v>
      </c>
      <c r="T553" t="n">
        <v>1</v>
      </c>
      <c r="U553" t="inlineStr"/>
      <c r="V553" t="inlineStr">
        <is>
          <t>Тариф с завтраком</t>
        </is>
      </c>
      <c r="W553" t="n">
        <v>24960</v>
      </c>
      <c r="X553" s="3" t="n">
        <v>0</v>
      </c>
      <c r="Y553" t="inlineStr"/>
      <c r="Z553" t="inlineStr"/>
      <c r="AA553" s="3" t="n">
        <v>18960</v>
      </c>
      <c r="AB553" t="inlineStr">
        <is>
          <t>Сошлось с услугами</t>
        </is>
      </c>
      <c r="AC553" s="2" t="inlineStr"/>
      <c r="AD553" t="n">
        <v>0</v>
      </c>
      <c r="AE553" t="n">
        <v>0</v>
      </c>
      <c r="AF553" t="inlineStr">
        <is>
          <t>Скидки нет</t>
        </is>
      </c>
      <c r="AG553" t="n">
        <v>18960</v>
      </c>
      <c r="AH553" t="n">
        <v>18960</v>
      </c>
      <c r="AI553" t="inlineStr">
        <is>
          <t>Полное проживание в выбранном периоде</t>
        </is>
      </c>
    </row>
    <row r="554">
      <c r="A554" t="inlineStr">
        <is>
          <t>20260708-8186-445371788</t>
        </is>
      </c>
      <c r="B554" t="n">
        <v>1</v>
      </c>
      <c r="C554" s="2" t="inlineStr">
        <is>
          <t>Искандер Рафиков</t>
        </is>
      </c>
      <c r="D554" s="3" t="n">
        <v>19295</v>
      </c>
      <c r="E554" s="4" t="n">
        <v>15</v>
      </c>
      <c r="F554" t="inlineStr">
        <is>
          <t>ООО «СБО» (Ростелеком) [Чайковский]</t>
        </is>
      </c>
      <c r="G554" s="3">
        <f>ROUND(D554/(100-E554)*100,2)</f>
        <v/>
      </c>
      <c r="H554" s="3" t="n">
        <v>0</v>
      </c>
      <c r="I554" s="3">
        <f>ROUND(IF(ISNUMBER(AG554),AG554,G554)+H554,2)</f>
        <v/>
      </c>
      <c r="J554" s="2" t="inlineStr">
        <is>
          <t>Завтрак "Шведский стол"</t>
        </is>
      </c>
      <c r="K554" s="5" t="n">
        <v>46211.58333333334</v>
      </c>
      <c r="L554" t="n">
        <v>2</v>
      </c>
      <c r="M554" s="3">
        <f>I554/L554</f>
        <v/>
      </c>
      <c r="N554">
        <f>IF(M554&gt;=5100,"ставка","мин.ставка")</f>
        <v/>
      </c>
      <c r="O554" s="3">
        <f>ROUND(IF(N554="мин.ставка",L554*100,I554/102*2),2)</f>
        <v/>
      </c>
      <c r="P554" s="5" t="n">
        <v>46213.5</v>
      </c>
      <c r="Q554" t="inlineStr">
        <is>
          <t>TravelLine RTT</t>
        </is>
      </c>
      <c r="R554" s="2" t="inlineStr">
        <is>
          <t>СТАНДАРТНЫЙ ДВУХМЕСТНЫЙ НОМЕР</t>
        </is>
      </c>
      <c r="S554" t="n">
        <v>42</v>
      </c>
      <c r="T554" t="n">
        <v>1</v>
      </c>
      <c r="U554" t="inlineStr"/>
      <c r="V554" t="inlineStr">
        <is>
          <t>Тариф с завтраком</t>
        </is>
      </c>
      <c r="W554" t="n">
        <v>19295</v>
      </c>
      <c r="X554" s="3" t="n">
        <v>3405</v>
      </c>
      <c r="Y554" t="inlineStr">
        <is>
          <t>15%</t>
        </is>
      </c>
      <c r="Z554" t="inlineStr">
        <is>
          <t>2026-07-08, 2026-07-09</t>
        </is>
      </c>
      <c r="AA554" s="3" t="n">
        <v>19295</v>
      </c>
      <c r="AB554" t="inlineStr">
        <is>
          <t>Сошлось по ночным тарифам</t>
        </is>
      </c>
      <c r="AC554" s="2" t="inlineStr"/>
      <c r="AD554" t="n">
        <v>3405</v>
      </c>
      <c r="AE554" t="n">
        <v>0</v>
      </c>
      <c r="AF554" t="inlineStr">
        <is>
          <t>Скидка добавлена к налоговой базе</t>
        </is>
      </c>
      <c r="AG554" t="n">
        <v>22700</v>
      </c>
      <c r="AH554" t="n">
        <v>19295</v>
      </c>
      <c r="AI554" t="inlineStr">
        <is>
          <t>Полное проживание в выбранном периоде</t>
        </is>
      </c>
    </row>
    <row r="555">
      <c r="A555" t="inlineStr">
        <is>
          <t>20260719-8186-397290265</t>
        </is>
      </c>
      <c r="B555" t="n">
        <v>1</v>
      </c>
      <c r="C555" s="2" t="inlineStr">
        <is>
          <t>Карина Унанян, Татьяна Васина</t>
        </is>
      </c>
      <c r="D555" s="3" t="n">
        <v>15400</v>
      </c>
      <c r="E555" s="4" t="n">
        <v>0</v>
      </c>
      <c r="F555" t="inlineStr">
        <is>
          <t>Прямые бронирования (стойка) [Чайковский]</t>
        </is>
      </c>
      <c r="G555" s="3">
        <f>ROUND(D555/(100-E555)*100,2)</f>
        <v/>
      </c>
      <c r="H555" s="3" t="n">
        <v>0</v>
      </c>
      <c r="I555" s="3">
        <f>ROUND(IF(ISNUMBER(AG555),AG555,G555)+H555,2)</f>
        <v/>
      </c>
      <c r="J555" s="2" t="inlineStr">
        <is>
          <t>Завтрак "Шведский стол"</t>
        </is>
      </c>
      <c r="K555" s="5" t="n">
        <v>46222.58333333334</v>
      </c>
      <c r="L555" t="n">
        <v>1</v>
      </c>
      <c r="M555" s="3">
        <f>I555/L555</f>
        <v/>
      </c>
      <c r="N555">
        <f>IF(M555&gt;=5100,"ставка","мин.ставка")</f>
        <v/>
      </c>
      <c r="O555" s="3">
        <f>ROUND(IF(N555="мин.ставка",L555*100,I555/102*2),2)</f>
        <v/>
      </c>
      <c r="P555" s="5" t="n">
        <v>46223.5</v>
      </c>
      <c r="Q555" t="inlineStr">
        <is>
          <t>TravelLine ресепшен</t>
        </is>
      </c>
      <c r="R555" s="2" t="inlineStr">
        <is>
          <t>УЛУЧШЕННЫЙ ДВУХМЕСТНЫЙ НОМЕР</t>
        </is>
      </c>
      <c r="S555" t="n">
        <v>31</v>
      </c>
      <c r="T555" t="n">
        <v>1</v>
      </c>
      <c r="U555" t="inlineStr"/>
      <c r="V555" t="inlineStr">
        <is>
          <t>Тариф с завтраком</t>
        </is>
      </c>
      <c r="W555" t="n">
        <v>15400</v>
      </c>
      <c r="X555" s="3" t="n">
        <v>0</v>
      </c>
      <c r="Y555" t="inlineStr"/>
      <c r="Z555" t="inlineStr"/>
      <c r="AA555" s="3" t="n">
        <v>15400</v>
      </c>
      <c r="AB555" t="inlineStr">
        <is>
          <t>Сошлось по ночным тарифам</t>
        </is>
      </c>
      <c r="AC555" s="2" t="inlineStr"/>
      <c r="AD555" t="n">
        <v>0</v>
      </c>
      <c r="AE555" t="n">
        <v>0</v>
      </c>
      <c r="AF555" t="inlineStr">
        <is>
          <t>Скидки нет</t>
        </is>
      </c>
      <c r="AG555" t="n">
        <v>15400</v>
      </c>
      <c r="AH555" t="n">
        <v>15400</v>
      </c>
      <c r="AI555" t="inlineStr">
        <is>
          <t>Полное проживание в выбранном периоде</t>
        </is>
      </c>
    </row>
    <row r="556">
      <c r="A556" t="inlineStr">
        <is>
          <t>20260718-8186-434302975</t>
        </is>
      </c>
      <c r="B556" t="n">
        <v>1</v>
      </c>
      <c r="C556" s="2" t="inlineStr">
        <is>
          <t>Кахабер Картвелишвили, Виктория Поворова</t>
        </is>
      </c>
      <c r="D556" s="3" t="n">
        <v>13350</v>
      </c>
      <c r="E556" s="4" t="n">
        <v>0</v>
      </c>
      <c r="F556" t="inlineStr">
        <is>
          <t>Прямые бронирования (стойка) [Чайковский]</t>
        </is>
      </c>
      <c r="G556" s="3">
        <f>ROUND(D556/(100-E556)*100,2)</f>
        <v/>
      </c>
      <c r="H556" s="3" t="n">
        <v>0</v>
      </c>
      <c r="I556" s="3">
        <f>ROUND(IF(ISNUMBER(AG556),AG556,G556)+H556,2)</f>
        <v/>
      </c>
      <c r="J556" s="2" t="inlineStr">
        <is>
          <t>Завтрак "Шведский стол"</t>
        </is>
      </c>
      <c r="K556" s="5" t="n">
        <v>46226.58333333334</v>
      </c>
      <c r="L556" t="n">
        <v>1</v>
      </c>
      <c r="M556" s="3">
        <f>I556/L556</f>
        <v/>
      </c>
      <c r="N556">
        <f>IF(M556&gt;=5100,"ставка","мин.ставка")</f>
        <v/>
      </c>
      <c r="O556" s="3">
        <f>ROUND(IF(N556="мин.ставка",L556*100,I556/102*2),2)</f>
        <v/>
      </c>
      <c r="P556" s="5" t="n">
        <v>46227.5</v>
      </c>
      <c r="Q556" t="inlineStr">
        <is>
          <t>TravelLine ресепшен</t>
        </is>
      </c>
      <c r="R556" s="2" t="inlineStr">
        <is>
          <t>СТАНДАРТНЫЙ ДВУХМЕСТНЫЙ НОМЕР</t>
        </is>
      </c>
      <c r="S556" t="n">
        <v>32</v>
      </c>
      <c r="T556" t="n">
        <v>1</v>
      </c>
      <c r="U556" t="inlineStr"/>
      <c r="V556" t="inlineStr">
        <is>
          <t>Тариф с завтраком</t>
        </is>
      </c>
      <c r="W556" t="n">
        <v>13350</v>
      </c>
      <c r="X556" s="3" t="n">
        <v>0</v>
      </c>
      <c r="Y556" t="inlineStr"/>
      <c r="Z556" t="inlineStr"/>
      <c r="AA556" s="3" t="n">
        <v>13350</v>
      </c>
      <c r="AB556" t="inlineStr">
        <is>
          <t>Сошлось по ночным тарифам</t>
        </is>
      </c>
      <c r="AC556" s="2" t="inlineStr"/>
      <c r="AD556" t="n">
        <v>0</v>
      </c>
      <c r="AE556" t="n">
        <v>0</v>
      </c>
      <c r="AF556" t="inlineStr">
        <is>
          <t>Скидки нет</t>
        </is>
      </c>
      <c r="AG556" t="n">
        <v>13350</v>
      </c>
      <c r="AH556" t="n">
        <v>13350</v>
      </c>
      <c r="AI556" t="inlineStr">
        <is>
          <t>Полное проживание в выбранном периоде</t>
        </is>
      </c>
    </row>
    <row r="557">
      <c r="A557" t="inlineStr">
        <is>
          <t>20260806-8186-453943194</t>
        </is>
      </c>
      <c r="B557" t="n">
        <v>1</v>
      </c>
      <c r="C557" s="2" t="inlineStr">
        <is>
          <t>Кира Кудинова, Алексей Гордейчук</t>
        </is>
      </c>
      <c r="D557" s="3" t="n">
        <v>39600</v>
      </c>
      <c r="E557" s="4" t="n">
        <v>20</v>
      </c>
      <c r="F557" t="inlineStr">
        <is>
          <t>ООО "КОМПАНИЯ БРОНЕВИК" [Чайковский]</t>
        </is>
      </c>
      <c r="G557" s="3">
        <f>ROUND(D557/(100-E557)*100,2)</f>
        <v/>
      </c>
      <c r="H557" s="3" t="n">
        <v>3440</v>
      </c>
      <c r="I557" s="3">
        <f>ROUND(IF(ISNUMBER(AG557),AG557,G557)+H557,2)</f>
        <v/>
      </c>
      <c r="J557" s="2" t="inlineStr">
        <is>
          <t>продление номера — 3 440,00 ₽; Завтрак "Шведский стол"</t>
        </is>
      </c>
      <c r="K557" s="5" t="n">
        <v>46240.58333333334</v>
      </c>
      <c r="L557" t="n">
        <v>3</v>
      </c>
      <c r="M557" s="3">
        <f>I557/L557</f>
        <v/>
      </c>
      <c r="N557">
        <f>IF(M557&gt;=5100,"ставка","мин.ставка")</f>
        <v/>
      </c>
      <c r="O557" s="3">
        <f>ROUND(IF(N557="мин.ставка",L557*100,I557/102*2),2)</f>
        <v/>
      </c>
      <c r="P557" s="5" t="n">
        <v>46243.45833333334</v>
      </c>
      <c r="Q557" t="inlineStr">
        <is>
          <t>TravelLine BR2</t>
        </is>
      </c>
      <c r="R557" s="2" t="inlineStr">
        <is>
          <t>ПОЛУЛЮКС</t>
        </is>
      </c>
      <c r="S557" t="n">
        <v>11</v>
      </c>
      <c r="T557" t="n">
        <v>1</v>
      </c>
      <c r="U557" t="inlineStr"/>
      <c r="V557" t="inlineStr">
        <is>
          <t>Тариф с завтраком</t>
        </is>
      </c>
      <c r="W557" t="n">
        <v>43040</v>
      </c>
      <c r="X557" s="3" t="n">
        <v>0</v>
      </c>
      <c r="Y557" t="inlineStr"/>
      <c r="Z557" t="inlineStr"/>
      <c r="AA557" s="3" t="n">
        <v>39600</v>
      </c>
      <c r="AB557" t="inlineStr">
        <is>
          <t>Сошлось с услугами</t>
        </is>
      </c>
      <c r="AC557" s="2" t="inlineStr"/>
      <c r="AD557" t="n">
        <v>0</v>
      </c>
      <c r="AE557" t="n">
        <v>0</v>
      </c>
      <c r="AF557" t="inlineStr">
        <is>
          <t>Скидки нет</t>
        </is>
      </c>
      <c r="AG557" t="n">
        <v>39600</v>
      </c>
      <c r="AH557" t="n">
        <v>39600</v>
      </c>
      <c r="AI557" t="inlineStr">
        <is>
          <t>Полное проживание в выбранном периоде</t>
        </is>
      </c>
    </row>
    <row r="558">
      <c r="A558" t="inlineStr">
        <is>
          <t>20260923-8186-468096029</t>
        </is>
      </c>
      <c r="B558" t="n">
        <v>1</v>
      </c>
      <c r="C558" s="2" t="inlineStr">
        <is>
          <t>КИРИЛЛ ЛАРИН</t>
        </is>
      </c>
      <c r="D558" s="3" t="n">
        <v>15800</v>
      </c>
      <c r="E558" s="4" t="n">
        <v>0</v>
      </c>
      <c r="F558" t="inlineStr">
        <is>
          <t>Прямые бронирования (стойка) [Чайковский]</t>
        </is>
      </c>
      <c r="G558" s="3">
        <f>ROUND(D558/(100-E558)*100,2)</f>
        <v/>
      </c>
      <c r="H558" s="3" t="n">
        <v>0</v>
      </c>
      <c r="I558" s="3">
        <f>ROUND(IF(ISNUMBER(AG558),AG558,G558)+H558,2)</f>
        <v/>
      </c>
      <c r="J558" s="2" t="inlineStr">
        <is>
          <t>Завтрак "Шведский стол"</t>
        </is>
      </c>
      <c r="K558" s="5" t="n">
        <v>46288.58333333334</v>
      </c>
      <c r="L558" t="n">
        <v>1</v>
      </c>
      <c r="M558" s="3">
        <f>I558/L558</f>
        <v/>
      </c>
      <c r="N558">
        <f>IF(M558&gt;=5100,"ставка","мин.ставка")</f>
        <v/>
      </c>
      <c r="O558" s="3">
        <f>ROUND(IF(N558="мин.ставка",L558*100,I558/102*2),2)</f>
        <v/>
      </c>
      <c r="P558" s="5" t="n">
        <v>46289.5</v>
      </c>
      <c r="Q558" t="inlineStr">
        <is>
          <t>TravelLine ресепшен</t>
        </is>
      </c>
      <c r="R558" s="2" t="inlineStr">
        <is>
          <t>ЛЮКС ВТОРОЙ КОРПУС</t>
        </is>
      </c>
      <c r="S558" t="n">
        <v>53</v>
      </c>
      <c r="T558" t="n">
        <v>2</v>
      </c>
      <c r="U558" t="inlineStr"/>
      <c r="V558" t="inlineStr">
        <is>
          <t>Тариф с завтраком</t>
        </is>
      </c>
      <c r="W558" t="n">
        <v>15800</v>
      </c>
      <c r="X558" s="3" t="n">
        <v>0</v>
      </c>
      <c r="Y558" t="inlineStr"/>
      <c r="Z558" t="inlineStr"/>
      <c r="AA558" s="3" t="n">
        <v>15800</v>
      </c>
      <c r="AB558" t="inlineStr">
        <is>
          <t>Сошлось по ночным тарифам</t>
        </is>
      </c>
      <c r="AC558" s="2" t="inlineStr"/>
      <c r="AD558" t="n">
        <v>0</v>
      </c>
      <c r="AE558" t="n">
        <v>0</v>
      </c>
      <c r="AF558" t="inlineStr">
        <is>
          <t>Скидки нет</t>
        </is>
      </c>
      <c r="AG558" t="n">
        <v>15800</v>
      </c>
      <c r="AH558" t="n">
        <v>15800</v>
      </c>
      <c r="AI558" t="inlineStr">
        <is>
          <t>Полное проживание в выбранном периоде</t>
        </is>
      </c>
    </row>
    <row r="559">
      <c r="A559" t="inlineStr">
        <is>
          <t>20260924-8186-468128264</t>
        </is>
      </c>
      <c r="B559" t="n">
        <v>1</v>
      </c>
      <c r="C559" s="2" t="inlineStr">
        <is>
          <t>КИРИЛЛ ЛАРИН</t>
        </is>
      </c>
      <c r="D559" s="3" t="n">
        <v>15800</v>
      </c>
      <c r="E559" s="4" t="n">
        <v>0</v>
      </c>
      <c r="F559" t="inlineStr">
        <is>
          <t>Прямые бронирования (стойка) [Чайковский]</t>
        </is>
      </c>
      <c r="G559" s="3">
        <f>ROUND(D559/(100-E559)*100,2)</f>
        <v/>
      </c>
      <c r="H559" s="3" t="n">
        <v>0</v>
      </c>
      <c r="I559" s="3">
        <f>ROUND(IF(ISNUMBER(AG559),AG559,G559)+H559,2)</f>
        <v/>
      </c>
      <c r="J559" s="2" t="inlineStr">
        <is>
          <t>Завтрак "Шведский стол"</t>
        </is>
      </c>
      <c r="K559" s="5" t="n">
        <v>46289.58333333334</v>
      </c>
      <c r="L559" t="n">
        <v>1</v>
      </c>
      <c r="M559" s="3">
        <f>I559/L559</f>
        <v/>
      </c>
      <c r="N559">
        <f>IF(M559&gt;=5100,"ставка","мин.ставка")</f>
        <v/>
      </c>
      <c r="O559" s="3">
        <f>ROUND(IF(N559="мин.ставка",L559*100,I559/102*2),2)</f>
        <v/>
      </c>
      <c r="P559" s="5" t="n">
        <v>46290.5</v>
      </c>
      <c r="Q559" t="inlineStr">
        <is>
          <t>TravelLine ресепшен</t>
        </is>
      </c>
      <c r="R559" s="2" t="inlineStr">
        <is>
          <t>ЛЮКС ВТОРОЙ КОРПУС</t>
        </is>
      </c>
      <c r="S559" t="n">
        <v>53</v>
      </c>
      <c r="T559" t="n">
        <v>2</v>
      </c>
      <c r="U559" t="inlineStr"/>
      <c r="V559" t="inlineStr">
        <is>
          <t>Тариф с завтраком</t>
        </is>
      </c>
      <c r="W559" t="n">
        <v>15800</v>
      </c>
      <c r="X559" s="3" t="n">
        <v>0</v>
      </c>
      <c r="Y559" t="inlineStr"/>
      <c r="Z559" t="inlineStr"/>
      <c r="AA559" s="3" t="n">
        <v>15800</v>
      </c>
      <c r="AB559" t="inlineStr">
        <is>
          <t>Сошлось по ночным тарифам</t>
        </is>
      </c>
      <c r="AC559" s="2" t="inlineStr"/>
      <c r="AD559" t="n">
        <v>0</v>
      </c>
      <c r="AE559" t="n">
        <v>0</v>
      </c>
      <c r="AF559" t="inlineStr">
        <is>
          <t>Скидки нет</t>
        </is>
      </c>
      <c r="AG559" t="n">
        <v>15800</v>
      </c>
      <c r="AH559" t="n">
        <v>15800</v>
      </c>
      <c r="AI559" t="inlineStr">
        <is>
          <t>Полное проживание в выбранном периоде</t>
        </is>
      </c>
    </row>
    <row r="560">
      <c r="A560" t="inlineStr">
        <is>
          <t>20260901-8186-462888828</t>
        </is>
      </c>
      <c r="B560" t="n">
        <v>1</v>
      </c>
      <c r="C560" s="2" t="inlineStr">
        <is>
          <t>Кирилл Подволодских, Ксения Олифер</t>
        </is>
      </c>
      <c r="D560" s="3" t="n">
        <v>12540</v>
      </c>
      <c r="E560" s="4" t="n">
        <v>18</v>
      </c>
      <c r="F560" t="inlineStr">
        <is>
          <t>Яндекс.Путешествия [Чайковский]</t>
        </is>
      </c>
      <c r="G560" s="3">
        <f>ROUND(D560/(100-E560)*100,2)</f>
        <v/>
      </c>
      <c r="H560" s="3" t="n">
        <v>0</v>
      </c>
      <c r="I560" s="3">
        <f>ROUND(IF(ISNUMBER(AG560),AG560,G560)+H560,2)</f>
        <v/>
      </c>
      <c r="J560" s="2" t="inlineStr">
        <is>
          <t>Завтрак "Шведский стол"</t>
        </is>
      </c>
      <c r="K560" s="5" t="n">
        <v>46266.58333333334</v>
      </c>
      <c r="L560" t="n">
        <v>1</v>
      </c>
      <c r="M560" s="3">
        <f>I560/L560</f>
        <v/>
      </c>
      <c r="N560">
        <f>IF(M560&gt;=5100,"ставка","мин.ставка")</f>
        <v/>
      </c>
      <c r="O560" s="3">
        <f>ROUND(IF(N560="мин.ставка",L560*100,I560/102*2),2)</f>
        <v/>
      </c>
      <c r="P560" s="5" t="n">
        <v>46267.5</v>
      </c>
      <c r="Q560" t="inlineStr">
        <is>
          <t>TravelLine YAX</t>
        </is>
      </c>
      <c r="R560" s="2" t="inlineStr">
        <is>
          <t>ПОЛУЛЮКС</t>
        </is>
      </c>
      <c r="S560" t="n">
        <v>11</v>
      </c>
      <c r="T560" t="n">
        <v>1</v>
      </c>
      <c r="U560" t="inlineStr"/>
      <c r="V560" t="inlineStr">
        <is>
          <t>Тариф с завтраком</t>
        </is>
      </c>
      <c r="W560" t="n">
        <v>12540</v>
      </c>
      <c r="X560" s="3" t="n">
        <v>3135</v>
      </c>
      <c r="Y560" t="inlineStr">
        <is>
          <t>20%</t>
        </is>
      </c>
      <c r="Z560" t="inlineStr">
        <is>
          <t>2026-09-01</t>
        </is>
      </c>
      <c r="AA560" s="3" t="n">
        <v>12540</v>
      </c>
      <c r="AB560" t="inlineStr">
        <is>
          <t>Сошлось по ночным тарифам</t>
        </is>
      </c>
      <c r="AC560" s="2" t="inlineStr"/>
      <c r="AD560" t="n">
        <v>3135</v>
      </c>
      <c r="AE560" t="n">
        <v>0</v>
      </c>
      <c r="AF560" t="inlineStr">
        <is>
          <t>Скидка добавлена к налоговой базе</t>
        </is>
      </c>
      <c r="AG560" t="n">
        <v>15675</v>
      </c>
      <c r="AH560" t="n">
        <v>12540</v>
      </c>
      <c r="AI560" t="inlineStr">
        <is>
          <t>Полное проживание в выбранном периоде</t>
        </is>
      </c>
    </row>
    <row r="561">
      <c r="A561" t="inlineStr">
        <is>
          <t>20260812-8186-457852780</t>
        </is>
      </c>
      <c r="B561" t="n">
        <v>1</v>
      </c>
      <c r="C561" s="2" t="inlineStr">
        <is>
          <t>Кирилл Семёнов, Жанна Семёнова</t>
        </is>
      </c>
      <c r="D561" s="3" t="n">
        <v>15169</v>
      </c>
      <c r="E561" s="4" t="n">
        <v>4</v>
      </c>
      <c r="F561" t="inlineStr">
        <is>
          <t>TravelLine Booking Engine [Чайковский]</t>
        </is>
      </c>
      <c r="G561" s="3">
        <f>ROUND(D561/(100-E561)*100,2)</f>
        <v/>
      </c>
      <c r="H561" s="3" t="n">
        <v>0</v>
      </c>
      <c r="I561" s="3">
        <f>ROUND(IF(ISNUMBER(AG561),AG561,G561)+H561,2)</f>
        <v/>
      </c>
      <c r="J561" s="2" t="inlineStr">
        <is>
          <t>Завтрак "Шведский стол"</t>
        </is>
      </c>
      <c r="K561" s="5" t="n">
        <v>46246.58333333334</v>
      </c>
      <c r="L561" t="n">
        <v>1</v>
      </c>
      <c r="M561" s="3">
        <f>I561/L561</f>
        <v/>
      </c>
      <c r="N561">
        <f>IF(M561&gt;=5100,"ставка","мин.ставка")</f>
        <v/>
      </c>
      <c r="O561" s="3">
        <f>ROUND(IF(N561="мин.ставка",L561*100,I561/102*2),2)</f>
        <v/>
      </c>
      <c r="P561" s="5" t="n">
        <v>46247.5</v>
      </c>
      <c r="Q561" t="inlineStr">
        <is>
          <t>TravelLine сайт</t>
        </is>
      </c>
      <c r="R561" s="2" t="inlineStr">
        <is>
          <t>УЛУЧШЕННЫЙ ДВУХМЕСТНЫЙ НОМЕР</t>
        </is>
      </c>
      <c r="S561" t="n">
        <v>21</v>
      </c>
      <c r="T561" t="n">
        <v>1</v>
      </c>
      <c r="U561" t="inlineStr"/>
      <c r="V561" t="inlineStr">
        <is>
          <t>Тариф с завтраком</t>
        </is>
      </c>
      <c r="W561" t="n">
        <v>15169</v>
      </c>
      <c r="X561" s="3" t="n">
        <v>231</v>
      </c>
      <c r="Y561" t="inlineStr">
        <is>
          <t>1.5%</t>
        </is>
      </c>
      <c r="Z561" t="inlineStr">
        <is>
          <t>2026-08-12</t>
        </is>
      </c>
      <c r="AA561" s="3" t="n">
        <v>15169</v>
      </c>
      <c r="AB561" t="inlineStr">
        <is>
          <t>Сошлось по ночным тарифам</t>
        </is>
      </c>
      <c r="AC561" s="2" t="inlineStr"/>
      <c r="AD561" t="n">
        <v>231</v>
      </c>
      <c r="AE561" t="n">
        <v>0</v>
      </c>
      <c r="AF561" t="inlineStr">
        <is>
          <t>Скидка добавлена к налоговой базе</t>
        </is>
      </c>
      <c r="AG561" t="n">
        <v>15400</v>
      </c>
      <c r="AH561" t="n">
        <v>15169</v>
      </c>
      <c r="AI561" t="inlineStr">
        <is>
          <t>Полное проживание в выбранном периоде</t>
        </is>
      </c>
    </row>
    <row r="562">
      <c r="A562" t="inlineStr">
        <is>
          <t>20260714-8186-449199294</t>
        </is>
      </c>
      <c r="B562" t="n">
        <v>1</v>
      </c>
      <c r="C562" s="2" t="inlineStr">
        <is>
          <t>Кирилл Солодков</t>
        </is>
      </c>
      <c r="D562" s="3" t="n">
        <v>18160</v>
      </c>
      <c r="E562" s="4" t="n">
        <v>20</v>
      </c>
      <c r="F562" t="inlineStr">
        <is>
          <t>ООО "КОМПАНИЯ БРОНЕВИК" [Чайковский]</t>
        </is>
      </c>
      <c r="G562" s="3">
        <f>ROUND(D562/(100-E562)*100,2)</f>
        <v/>
      </c>
      <c r="H562" s="3" t="n">
        <v>0</v>
      </c>
      <c r="I562" s="3">
        <f>ROUND(IF(ISNUMBER(AG562),AG562,G562)+H562,2)</f>
        <v/>
      </c>
      <c r="J562" s="2" t="inlineStr">
        <is>
          <t>Завтрак "Шведский стол"</t>
        </is>
      </c>
      <c r="K562" s="5" t="n">
        <v>46217.58333333334</v>
      </c>
      <c r="L562" t="n">
        <v>2</v>
      </c>
      <c r="M562" s="3">
        <f>I562/L562</f>
        <v/>
      </c>
      <c r="N562">
        <f>IF(M562&gt;=5100,"ставка","мин.ставка")</f>
        <v/>
      </c>
      <c r="O562" s="3">
        <f>ROUND(IF(N562="мин.ставка",L562*100,I562/102*2),2)</f>
        <v/>
      </c>
      <c r="P562" s="5" t="n">
        <v>46219.5</v>
      </c>
      <c r="Q562" t="inlineStr">
        <is>
          <t>TravelLine BR2</t>
        </is>
      </c>
      <c r="R562" s="2" t="inlineStr">
        <is>
          <t>СТАНДАРТНЫЙ ДВУХМЕСТНЫЙ НОМЕР</t>
        </is>
      </c>
      <c r="S562" t="n">
        <v>33</v>
      </c>
      <c r="T562" t="n">
        <v>1</v>
      </c>
      <c r="U562" t="inlineStr"/>
      <c r="V562" t="inlineStr">
        <is>
          <t>Тариф с завтраком</t>
        </is>
      </c>
      <c r="W562" t="n">
        <v>18160</v>
      </c>
      <c r="X562" s="3" t="n">
        <v>0</v>
      </c>
      <c r="Y562" t="inlineStr"/>
      <c r="Z562" t="inlineStr"/>
      <c r="AA562" s="3" t="n">
        <v>18160</v>
      </c>
      <c r="AB562" t="inlineStr">
        <is>
          <t>Сошлось по ночным тарифам</t>
        </is>
      </c>
      <c r="AC562" s="2" t="inlineStr"/>
      <c r="AD562" t="n">
        <v>0</v>
      </c>
      <c r="AE562" t="n">
        <v>0</v>
      </c>
      <c r="AF562" t="inlineStr">
        <is>
          <t>Скидки нет</t>
        </is>
      </c>
      <c r="AG562" t="n">
        <v>18160</v>
      </c>
      <c r="AH562" t="n">
        <v>18160</v>
      </c>
      <c r="AI562" t="inlineStr">
        <is>
          <t>Полное проживание в выбранном периоде</t>
        </is>
      </c>
    </row>
    <row r="563">
      <c r="A563" t="inlineStr">
        <is>
          <t>20260704-8186-405164282</t>
        </is>
      </c>
      <c r="B563" t="n">
        <v>1</v>
      </c>
      <c r="C563" s="2" t="inlineStr">
        <is>
          <t>КИРИЛЛ СУНГУРОВ, МАТВЕЙ СУНГУРОВ</t>
        </is>
      </c>
      <c r="D563" s="3" t="n">
        <v>97515</v>
      </c>
      <c r="E563" s="4" t="n">
        <v>17</v>
      </c>
      <c r="F563" t="inlineStr">
        <is>
          <t>ООО "ОНЛАЙН ИННОВАЦИИ" (101 Отель) [Чайковский]</t>
        </is>
      </c>
      <c r="G563" s="3">
        <f>ROUND(D563/(100-E563)*100,2)</f>
        <v/>
      </c>
      <c r="H563" s="3" t="n">
        <v>0</v>
      </c>
      <c r="I563" s="3">
        <f>ROUND(IF(ISNUMBER(AG563),AG563,G563)+H563,2)</f>
        <v/>
      </c>
      <c r="J563" s="2" t="inlineStr">
        <is>
          <t>Завтрак "Шведский стол"</t>
        </is>
      </c>
      <c r="K563" s="5" t="n">
        <v>46204.58333333334</v>
      </c>
      <c r="L563" t="n">
        <v>10</v>
      </c>
      <c r="M563" s="3">
        <f>I563/L563</f>
        <v/>
      </c>
      <c r="N563">
        <f>IF(M563&gt;=5100,"ставка","мин.ставка")</f>
        <v/>
      </c>
      <c r="O563" s="3">
        <f>ROUND(IF(N563="мин.ставка",L563*100,I563/102*2),2)</f>
        <v/>
      </c>
      <c r="P563" s="5" t="n">
        <v>46214.5</v>
      </c>
      <c r="Q563" t="inlineStr">
        <is>
          <t>TravelLine H1C</t>
        </is>
      </c>
      <c r="R563" s="2" t="inlineStr">
        <is>
          <t>СТАНДАРТНЫЙ ДВУХМЕСТНЫЙ НОМЕР (МАНСАРДА)</t>
        </is>
      </c>
      <c r="S563" t="n">
        <v>47</v>
      </c>
      <c r="T563" t="n">
        <v>1</v>
      </c>
      <c r="U563" t="inlineStr"/>
      <c r="V563" t="inlineStr">
        <is>
          <t>Тариф с завтраком</t>
        </is>
      </c>
      <c r="W563" t="n">
        <v>195030</v>
      </c>
      <c r="X563" s="3" t="n">
        <v>1485</v>
      </c>
      <c r="Y563" t="inlineStr">
        <is>
          <t>15%</t>
        </is>
      </c>
      <c r="Z563" t="inlineStr">
        <is>
          <t>2026-07-01</t>
        </is>
      </c>
      <c r="AA563" s="3" t="n">
        <v>97515</v>
      </c>
      <c r="AB563" t="inlineStr">
        <is>
          <t>Сошлось по ночным тарифам</t>
        </is>
      </c>
      <c r="AC563" s="2" t="inlineStr"/>
      <c r="AD563" t="n">
        <v>1485</v>
      </c>
      <c r="AE563" t="n">
        <v>0</v>
      </c>
      <c r="AF563" t="inlineStr">
        <is>
          <t>Скидка добавлена к налоговой базе</t>
        </is>
      </c>
      <c r="AG563" t="n">
        <v>99000</v>
      </c>
      <c r="AH563" t="n">
        <v>97515</v>
      </c>
      <c r="AI563" t="inlineStr">
        <is>
          <t>Полное проживание в выбранном периоде</t>
        </is>
      </c>
    </row>
    <row r="564">
      <c r="A564" t="inlineStr">
        <is>
          <t>20260730-8186-449191340</t>
        </is>
      </c>
      <c r="B564" t="n">
        <v>1</v>
      </c>
      <c r="C564" s="2" t="inlineStr">
        <is>
          <t>Кирилл Черепков</t>
        </is>
      </c>
      <c r="D564" s="3" t="n">
        <v>6320</v>
      </c>
      <c r="E564" s="4" t="n">
        <v>20</v>
      </c>
      <c r="F564" t="inlineStr">
        <is>
          <t>ООО "КОМПАНИЯ БРОНЕВИК" [Чайковский]</t>
        </is>
      </c>
      <c r="G564" s="3">
        <f>ROUND(D564/(100-E564)*100,2)</f>
        <v/>
      </c>
      <c r="H564" s="3" t="n">
        <v>0</v>
      </c>
      <c r="I564" s="3">
        <f>ROUND(IF(ISNUMBER(AG564),AG564,G564)+H564,2)</f>
        <v/>
      </c>
      <c r="J564" s="2" t="inlineStr">
        <is>
          <t>Завтрак "Шведский стол"</t>
        </is>
      </c>
      <c r="K564" s="5" t="n">
        <v>46233.58333333334</v>
      </c>
      <c r="L564" t="n">
        <v>1</v>
      </c>
      <c r="M564" s="3">
        <f>I564/L564</f>
        <v/>
      </c>
      <c r="N564">
        <f>IF(M564&gt;=5100,"ставка","мин.ставка")</f>
        <v/>
      </c>
      <c r="O564" s="3">
        <f>ROUND(IF(N564="мин.ставка",L564*100,I564/102*2),2)</f>
        <v/>
      </c>
      <c r="P564" s="5" t="n">
        <v>46234.5</v>
      </c>
      <c r="Q564" t="inlineStr">
        <is>
          <t>TravelLine BR2</t>
        </is>
      </c>
      <c r="R564" s="2" t="inlineStr">
        <is>
          <t>СТАНДАРТНЫЙ ДВУХМЕСТНЫЙ НОМЕР (МАНСАРДА)</t>
        </is>
      </c>
      <c r="S564" t="n">
        <v>43</v>
      </c>
      <c r="T564" t="n">
        <v>1</v>
      </c>
      <c r="U564" t="inlineStr"/>
      <c r="V564" t="inlineStr">
        <is>
          <t>Тариф с завтраком</t>
        </is>
      </c>
      <c r="W564" t="n">
        <v>6320</v>
      </c>
      <c r="X564" s="3" t="n">
        <v>0</v>
      </c>
      <c r="Y564" t="inlineStr"/>
      <c r="Z564" t="inlineStr"/>
      <c r="AA564" s="3" t="n">
        <v>6320</v>
      </c>
      <c r="AB564" t="inlineStr">
        <is>
          <t>Сошлось по ночным тарифам</t>
        </is>
      </c>
      <c r="AC564" s="2" t="inlineStr"/>
      <c r="AD564" t="n">
        <v>0</v>
      </c>
      <c r="AE564" t="n">
        <v>0</v>
      </c>
      <c r="AF564" t="inlineStr">
        <is>
          <t>Скидки нет</t>
        </is>
      </c>
      <c r="AG564" t="n">
        <v>6320</v>
      </c>
      <c r="AH564" t="n">
        <v>6320</v>
      </c>
      <c r="AI564" t="inlineStr">
        <is>
          <t>Полное проживание в выбранном периоде</t>
        </is>
      </c>
    </row>
    <row r="565">
      <c r="A565" t="inlineStr">
        <is>
          <t>20260725-8186-443229095</t>
        </is>
      </c>
      <c r="B565" t="n">
        <v>1</v>
      </c>
      <c r="C565" s="2" t="inlineStr">
        <is>
          <t>Кирилл Якименков, Даниэла Абрамова</t>
        </is>
      </c>
      <c r="D565" s="3" t="n">
        <v>49252.5</v>
      </c>
      <c r="E565" s="4" t="n">
        <v>4</v>
      </c>
      <c r="F565" t="inlineStr">
        <is>
          <t>TravelLine Booking Engine [Чайковский]</t>
        </is>
      </c>
      <c r="G565" s="3">
        <f>ROUND(D565/(100-E565)*100,2)</f>
        <v/>
      </c>
      <c r="H565" s="3" t="n">
        <v>300</v>
      </c>
      <c r="I565" s="3">
        <f>ROUND(IF(ISNUMBER(AG565),AG565,G565)+H565,2)</f>
        <v/>
      </c>
      <c r="J565" s="2" t="inlineStr">
        <is>
          <t>продление номера — 300,00 ₽; Завтрак "Шведский стол"</t>
        </is>
      </c>
      <c r="K565" s="5" t="n">
        <v>46228.58333333334</v>
      </c>
      <c r="L565" t="n">
        <v>3</v>
      </c>
      <c r="M565" s="3">
        <f>I565/L565</f>
        <v/>
      </c>
      <c r="N565">
        <f>IF(M565&gt;=5100,"ставка","мин.ставка")</f>
        <v/>
      </c>
      <c r="O565" s="3">
        <f>ROUND(IF(N565="мин.ставка",L565*100,I565/102*2),2)</f>
        <v/>
      </c>
      <c r="P565" s="5" t="n">
        <v>46231.5</v>
      </c>
      <c r="Q565" t="inlineStr">
        <is>
          <t>TravelLine сайт</t>
        </is>
      </c>
      <c r="R565" s="2" t="inlineStr">
        <is>
          <t>ПОЛУЛЮКС</t>
        </is>
      </c>
      <c r="S565" t="n">
        <v>25</v>
      </c>
      <c r="T565" t="n">
        <v>1</v>
      </c>
      <c r="U565" t="inlineStr"/>
      <c r="V565" t="inlineStr">
        <is>
          <t>Тариф с завтраком</t>
        </is>
      </c>
      <c r="W565" t="n">
        <v>49552.5</v>
      </c>
      <c r="X565" s="3" t="n">
        <v>247.5</v>
      </c>
      <c r="Y565" t="inlineStr">
        <is>
          <t>1.5%</t>
        </is>
      </c>
      <c r="Z565" t="inlineStr">
        <is>
          <t>2026-07-25</t>
        </is>
      </c>
      <c r="AA565" s="3" t="n">
        <v>49252.5</v>
      </c>
      <c r="AB565" t="inlineStr">
        <is>
          <t>Сошлось с услугами</t>
        </is>
      </c>
      <c r="AC565" s="2" t="inlineStr"/>
      <c r="AD565" t="n">
        <v>247.5</v>
      </c>
      <c r="AE565" t="n">
        <v>0</v>
      </c>
      <c r="AF565" t="inlineStr">
        <is>
          <t>Скидка добавлена к налоговой базе</t>
        </is>
      </c>
      <c r="AG565" t="n">
        <v>49500</v>
      </c>
      <c r="AH565" t="n">
        <v>49252.5</v>
      </c>
      <c r="AI565" t="inlineStr">
        <is>
          <t>Полное проживание в выбранном периоде</t>
        </is>
      </c>
    </row>
    <row r="566">
      <c r="A566" t="inlineStr">
        <is>
          <t>20260711-8186-411331896</t>
        </is>
      </c>
      <c r="B566" t="n">
        <v>1</v>
      </c>
      <c r="C566" s="2" t="inlineStr">
        <is>
          <t>Клара Гольдберг</t>
        </is>
      </c>
      <c r="D566" s="3" t="n">
        <v>6320</v>
      </c>
      <c r="E566" s="4" t="n">
        <v>0</v>
      </c>
      <c r="F566" t="inlineStr">
        <is>
          <t>Прямые бронирования (стойка) [Чайковский]</t>
        </is>
      </c>
      <c r="G566" s="3">
        <f>ROUND(D566/(100-E566)*100,2)</f>
        <v/>
      </c>
      <c r="H566" s="3" t="n">
        <v>0</v>
      </c>
      <c r="I566" s="3">
        <f>ROUND(IF(ISNUMBER(AG566),AG566,G566)+H566,2)</f>
        <v/>
      </c>
      <c r="J566" s="2" t="inlineStr">
        <is>
          <t>Завтрак "Шведский стол"</t>
        </is>
      </c>
      <c r="K566" s="5" t="n">
        <v>46214.58333333334</v>
      </c>
      <c r="L566" t="n">
        <v>1</v>
      </c>
      <c r="M566" s="3">
        <f>I566/L566</f>
        <v/>
      </c>
      <c r="N566">
        <f>IF(M566&gt;=5100,"ставка","мин.ставка")</f>
        <v/>
      </c>
      <c r="O566" s="3">
        <f>ROUND(IF(N566="мин.ставка",L566*100,I566/102*2),2)</f>
        <v/>
      </c>
      <c r="P566" s="5" t="n">
        <v>46215.5</v>
      </c>
      <c r="Q566" t="inlineStr">
        <is>
          <t>TravelLine ресепшен</t>
        </is>
      </c>
      <c r="R566" s="2" t="inlineStr">
        <is>
          <t>СТАНДАРТНЫЙ ДВУХМЕСТНЫЙ НОМЕР (МАНСАРДА)</t>
        </is>
      </c>
      <c r="S566" t="n">
        <v>41</v>
      </c>
      <c r="T566" t="n">
        <v>1</v>
      </c>
      <c r="U566" t="inlineStr"/>
      <c r="V566" t="inlineStr">
        <is>
          <t>Тариф с завтраком</t>
        </is>
      </c>
      <c r="W566" t="n">
        <v>6320</v>
      </c>
      <c r="X566" s="3" t="n">
        <v>1580</v>
      </c>
      <c r="Y566" t="inlineStr">
        <is>
          <t>20%</t>
        </is>
      </c>
      <c r="Z566" t="inlineStr">
        <is>
          <t>2026-07-11</t>
        </is>
      </c>
      <c r="AA566" s="3" t="n">
        <v>6320</v>
      </c>
      <c r="AB566" t="inlineStr">
        <is>
          <t>Сошлось по ночным тарифам</t>
        </is>
      </c>
      <c r="AC566" s="2" t="inlineStr"/>
      <c r="AD566" t="n">
        <v>1580</v>
      </c>
      <c r="AE566" t="n">
        <v>0</v>
      </c>
      <c r="AF566" t="inlineStr">
        <is>
          <t>Скидка добавлена к налоговой базе</t>
        </is>
      </c>
      <c r="AG566" t="n">
        <v>7900</v>
      </c>
      <c r="AH566" t="n">
        <v>6320</v>
      </c>
      <c r="AI566" t="inlineStr">
        <is>
          <t>Полное проживание в выбранном периоде</t>
        </is>
      </c>
    </row>
    <row r="567">
      <c r="A567" t="inlineStr">
        <is>
          <t>20260719-8186-451589711</t>
        </is>
      </c>
      <c r="B567" t="n">
        <v>1</v>
      </c>
      <c r="C567" s="2" t="inlineStr">
        <is>
          <t>Константин Жар</t>
        </is>
      </c>
      <c r="D567" s="3" t="n">
        <v>5852</v>
      </c>
      <c r="E567" s="4" t="n">
        <v>18</v>
      </c>
      <c r="F567" t="inlineStr">
        <is>
          <t>Яндекс.Путешествия [Чайковский]</t>
        </is>
      </c>
      <c r="G567" s="3">
        <f>ROUND(D567/(100-E567)*100,2)</f>
        <v/>
      </c>
      <c r="H567" s="3" t="n">
        <v>0</v>
      </c>
      <c r="I567" s="3">
        <f>ROUND(IF(ISNUMBER(AG567),AG567,G567)+H567,2)</f>
        <v/>
      </c>
      <c r="J567" s="2" t="inlineStr">
        <is>
          <t>Завтрак "Шведский стол"</t>
        </is>
      </c>
      <c r="K567" s="5" t="n">
        <v>46222.58333333334</v>
      </c>
      <c r="L567" t="n">
        <v>1</v>
      </c>
      <c r="M567" s="3">
        <f>I567/L567</f>
        <v/>
      </c>
      <c r="N567">
        <f>IF(M567&gt;=5100,"ставка","мин.ставка")</f>
        <v/>
      </c>
      <c r="O567" s="3">
        <f>ROUND(IF(N567="мин.ставка",L567*100,I567/102*2),2)</f>
        <v/>
      </c>
      <c r="P567" s="5" t="n">
        <v>46223.5</v>
      </c>
      <c r="Q567" t="inlineStr">
        <is>
          <t>TravelLine YAX</t>
        </is>
      </c>
      <c r="R567" s="2" t="inlineStr">
        <is>
          <t>СТАНДАРТНЫЙ ОДНОМЕСТНЫЙ НОМЕР</t>
        </is>
      </c>
      <c r="S567" t="n">
        <v>34</v>
      </c>
      <c r="T567" t="n">
        <v>1</v>
      </c>
      <c r="U567" t="inlineStr"/>
      <c r="V567" t="inlineStr">
        <is>
          <t>Тариф с завтраком</t>
        </is>
      </c>
      <c r="W567" t="n">
        <v>5852</v>
      </c>
      <c r="X567" s="3" t="n">
        <v>1463</v>
      </c>
      <c r="Y567" t="inlineStr">
        <is>
          <t>20%</t>
        </is>
      </c>
      <c r="Z567" t="inlineStr">
        <is>
          <t>2026-07-19</t>
        </is>
      </c>
      <c r="AA567" s="3" t="n">
        <v>5852</v>
      </c>
      <c r="AB567" t="inlineStr">
        <is>
          <t>Сошлось по ночным тарифам</t>
        </is>
      </c>
      <c r="AC567" s="2" t="inlineStr"/>
      <c r="AD567" t="n">
        <v>1463</v>
      </c>
      <c r="AE567" t="n">
        <v>0</v>
      </c>
      <c r="AF567" t="inlineStr">
        <is>
          <t>Скидка добавлена к налоговой базе</t>
        </is>
      </c>
      <c r="AG567" t="n">
        <v>7315</v>
      </c>
      <c r="AH567" t="n">
        <v>5852</v>
      </c>
      <c r="AI567" t="inlineStr">
        <is>
          <t>Полное проживание в выбранном периоде</t>
        </is>
      </c>
    </row>
    <row r="568">
      <c r="A568" t="inlineStr">
        <is>
          <t>20260918-8186-460074365</t>
        </is>
      </c>
      <c r="B568" t="n">
        <v>1</v>
      </c>
      <c r="C568" s="2" t="inlineStr">
        <is>
          <t>КОНСТАНТИН ПРОХОРОВ, СВЕТЛАНА ПРОХОРОВА</t>
        </is>
      </c>
      <c r="D568" s="3" t="n">
        <v>21165</v>
      </c>
      <c r="E568" s="4" t="n">
        <v>15</v>
      </c>
      <c r="F568" t="inlineStr">
        <is>
          <t>ООО "АКАДЕМ-ОНЛАЙН" [Чайковский]</t>
        </is>
      </c>
      <c r="G568" s="3">
        <f>ROUND(D568/(100-E568)*100,2)</f>
        <v/>
      </c>
      <c r="H568" s="3" t="n">
        <v>4000</v>
      </c>
      <c r="I568" s="3">
        <f>ROUND(IF(ISNUMBER(AG568),AG568,G568)+H568,2)</f>
        <v/>
      </c>
      <c r="J568" s="2" t="inlineStr">
        <is>
          <t>продление номера — 4 000,00 ₽; Завтрак "Шведский стол"</t>
        </is>
      </c>
      <c r="K568" s="5" t="n">
        <v>46283.58333333334</v>
      </c>
      <c r="L568" t="n">
        <v>2</v>
      </c>
      <c r="M568" s="3">
        <f>I568/L568</f>
        <v/>
      </c>
      <c r="N568">
        <f>IF(M568&gt;=5100,"ставка","мин.ставка")</f>
        <v/>
      </c>
      <c r="O568" s="3">
        <f>ROUND(IF(N568="мин.ставка",L568*100,I568/102*2),2)</f>
        <v/>
      </c>
      <c r="P568" s="5" t="n">
        <v>46285.5</v>
      </c>
      <c r="Q568" t="inlineStr">
        <is>
          <t>TravelLine ACS</t>
        </is>
      </c>
      <c r="R568" s="2" t="inlineStr">
        <is>
          <t>СЕМЕЙНЫЙ НОМЕР КАТЕГОРИИ "СТАНДАРТ" ВТОРОЙ КОРПУС</t>
        </is>
      </c>
      <c r="S568" t="n">
        <v>50</v>
      </c>
      <c r="T568" t="n">
        <v>2</v>
      </c>
      <c r="U568" t="inlineStr"/>
      <c r="V568" t="inlineStr">
        <is>
          <t>Тариф с завтраком</t>
        </is>
      </c>
      <c r="W568" t="n">
        <v>25165</v>
      </c>
      <c r="X568" s="3" t="n">
        <v>3735</v>
      </c>
      <c r="Y568" t="inlineStr">
        <is>
          <t>15%</t>
        </is>
      </c>
      <c r="Z568" t="inlineStr">
        <is>
          <t>2026-09-18, 2026-09-19</t>
        </is>
      </c>
      <c r="AA568" s="3" t="n">
        <v>21165</v>
      </c>
      <c r="AB568" t="inlineStr">
        <is>
          <t>Сошлось с услугами</t>
        </is>
      </c>
      <c r="AC568" s="2" t="inlineStr"/>
      <c r="AD568" t="n">
        <v>3735</v>
      </c>
      <c r="AE568" t="n">
        <v>0</v>
      </c>
      <c r="AF568" t="inlineStr">
        <is>
          <t>Скидка добавлена к налоговой базе</t>
        </is>
      </c>
      <c r="AG568" t="n">
        <v>24900</v>
      </c>
      <c r="AH568" t="n">
        <v>21165</v>
      </c>
      <c r="AI568" t="inlineStr">
        <is>
          <t>Полное проживание в выбранном периоде</t>
        </is>
      </c>
    </row>
    <row r="569">
      <c r="A569" t="inlineStr">
        <is>
          <t>20260916-8186-466008879</t>
        </is>
      </c>
      <c r="B569" t="n">
        <v>1</v>
      </c>
      <c r="C569" s="2" t="inlineStr">
        <is>
          <t>Константин Якушев</t>
        </is>
      </c>
      <c r="D569" s="3" t="n">
        <v>10500</v>
      </c>
      <c r="E569" s="4" t="n">
        <v>16</v>
      </c>
      <c r="F569" t="inlineStr">
        <is>
          <t>ООО "БРОНИРОВАНИЕ ГОСТИНИЦ" (OSTROVOK) [Чайковский]</t>
        </is>
      </c>
      <c r="G569" s="3">
        <f>ROUND(D569/(100-E569)*100,2)</f>
        <v/>
      </c>
      <c r="H569" s="3" t="n">
        <v>0</v>
      </c>
      <c r="I569" s="3">
        <f>ROUND(IF(ISNUMBER(AG569),AG569,G569)+H569,2)</f>
        <v/>
      </c>
      <c r="J569" s="2" t="inlineStr"/>
      <c r="K569" s="5" t="n">
        <v>46281.58333333334</v>
      </c>
      <c r="L569" t="n">
        <v>1</v>
      </c>
      <c r="M569" s="3">
        <f>I569/L569</f>
        <v/>
      </c>
      <c r="N569">
        <f>IF(M569&gt;=5100,"ставка","мин.ставка")</f>
        <v/>
      </c>
      <c r="O569" s="3">
        <f>ROUND(IF(N569="мин.ставка",L569*100,I569/102*2),2)</f>
        <v/>
      </c>
      <c r="P569" s="5" t="n">
        <v>46282.5</v>
      </c>
      <c r="Q569" t="inlineStr">
        <is>
          <t>TravelLine OTK</t>
        </is>
      </c>
      <c r="R569" s="2" t="inlineStr">
        <is>
          <t>ЛЮКС ВТОРОЙ КОРПУС</t>
        </is>
      </c>
      <c r="S569" t="n">
        <v>53</v>
      </c>
      <c r="T569" t="n">
        <v>2</v>
      </c>
      <c r="U569" t="inlineStr"/>
      <c r="V569" t="inlineStr">
        <is>
          <t>Основной тариф без завтрака</t>
        </is>
      </c>
      <c r="W569" t="n">
        <v>10500</v>
      </c>
      <c r="X569" s="3" t="n">
        <v>2000</v>
      </c>
      <c r="Y569" t="inlineStr">
        <is>
          <t>16%</t>
        </is>
      </c>
      <c r="Z569" t="inlineStr">
        <is>
          <t>2026-09-16</t>
        </is>
      </c>
      <c r="AA569" s="3" t="n">
        <v>10500</v>
      </c>
      <c r="AB569" t="inlineStr">
        <is>
          <t>Сошлось по ночным тарифам</t>
        </is>
      </c>
      <c r="AC569" s="2" t="inlineStr"/>
      <c r="AD569" t="n">
        <v>2000</v>
      </c>
      <c r="AE569" t="n">
        <v>0</v>
      </c>
      <c r="AF569" t="inlineStr">
        <is>
          <t>Скидка добавлена к налоговой базе</t>
        </is>
      </c>
      <c r="AG569" t="n">
        <v>12500</v>
      </c>
      <c r="AH569" t="n">
        <v>10500</v>
      </c>
      <c r="AI569" t="inlineStr">
        <is>
          <t>Полное проживание в выбранном периоде</t>
        </is>
      </c>
    </row>
    <row r="570">
      <c r="A570" t="inlineStr">
        <is>
          <t>20260813-8186-457357141</t>
        </is>
      </c>
      <c r="B570" t="n">
        <v>1</v>
      </c>
      <c r="C570" s="2" t="inlineStr">
        <is>
          <t>КСЕНИЯ БЯЛАЯ</t>
        </is>
      </c>
      <c r="D570" s="3" t="n">
        <v>13400</v>
      </c>
      <c r="E570" s="4" t="n">
        <v>0</v>
      </c>
      <c r="F570" t="inlineStr">
        <is>
          <t>Прямые бронирования (стойка) [Чайковский]</t>
        </is>
      </c>
      <c r="G570" s="3">
        <f>ROUND(D570/(100-E570)*100,2)</f>
        <v/>
      </c>
      <c r="H570" s="3" t="n">
        <v>0</v>
      </c>
      <c r="I570" s="3">
        <f>ROUND(IF(ISNUMBER(AG570),AG570,G570)+H570,2)</f>
        <v/>
      </c>
      <c r="J570" s="2" t="inlineStr">
        <is>
          <t>Завтрак "Шведский стол"</t>
        </is>
      </c>
      <c r="K570" s="5" t="n">
        <v>46251.58333333334</v>
      </c>
      <c r="L570" t="n">
        <v>1</v>
      </c>
      <c r="M570" s="3">
        <f>I570/L570</f>
        <v/>
      </c>
      <c r="N570">
        <f>IF(M570&gt;=5100,"ставка","мин.ставка")</f>
        <v/>
      </c>
      <c r="O570" s="3">
        <f>ROUND(IF(N570="мин.ставка",L570*100,I570/102*2),2)</f>
        <v/>
      </c>
      <c r="P570" s="5" t="n">
        <v>46252.5</v>
      </c>
      <c r="Q570" t="inlineStr">
        <is>
          <t>TravelLine ресепшен</t>
        </is>
      </c>
      <c r="R570" s="2" t="inlineStr">
        <is>
          <t>УЛУЧШЕННЫЙ ДВУХМЕСТНЫЙ НОМЕР</t>
        </is>
      </c>
      <c r="S570" t="n">
        <v>59</v>
      </c>
      <c r="T570" t="n">
        <v>2</v>
      </c>
      <c r="U570" t="inlineStr"/>
      <c r="V570" t="inlineStr">
        <is>
          <t>Тариф с завтраком</t>
        </is>
      </c>
      <c r="W570" t="n">
        <v>13400</v>
      </c>
      <c r="X570" s="3" t="n">
        <v>0</v>
      </c>
      <c r="Y570" t="inlineStr"/>
      <c r="Z570" t="inlineStr"/>
      <c r="AA570" s="3" t="n">
        <v>13400</v>
      </c>
      <c r="AB570" t="inlineStr">
        <is>
          <t>Сошлось по ночным тарифам</t>
        </is>
      </c>
      <c r="AC570" s="2" t="inlineStr"/>
      <c r="AD570" t="n">
        <v>0</v>
      </c>
      <c r="AE570" t="n">
        <v>0</v>
      </c>
      <c r="AF570" t="inlineStr">
        <is>
          <t>Скидки нет</t>
        </is>
      </c>
      <c r="AG570" t="n">
        <v>13400</v>
      </c>
      <c r="AH570" t="n">
        <v>13400</v>
      </c>
      <c r="AI570" t="inlineStr">
        <is>
          <t>Полное проживание в выбранном периоде</t>
        </is>
      </c>
    </row>
    <row r="571">
      <c r="A571" t="inlineStr">
        <is>
          <t>20260729-8186-448976597</t>
        </is>
      </c>
      <c r="B571" t="n">
        <v>1</v>
      </c>
      <c r="C571" s="2" t="inlineStr">
        <is>
          <t>КСЕНИЯ Корчик-Янович</t>
        </is>
      </c>
      <c r="D571" s="3" t="n">
        <v>18960</v>
      </c>
      <c r="E571" s="4" t="n">
        <v>20</v>
      </c>
      <c r="F571" t="inlineStr">
        <is>
          <t>ООО "ХБ-ПРО" [Чайковский]</t>
        </is>
      </c>
      <c r="G571" s="3">
        <f>ROUND(D571/(100-E571)*100,2)</f>
        <v/>
      </c>
      <c r="H571" s="3" t="n">
        <v>0</v>
      </c>
      <c r="I571" s="3">
        <f>ROUND(IF(ISNUMBER(AG571),AG571,G571)+H571,2)</f>
        <v/>
      </c>
      <c r="J571" s="2" t="inlineStr">
        <is>
          <t>Завтрак "Шведский стол"</t>
        </is>
      </c>
      <c r="K571" s="5" t="n">
        <v>46232.58333333334</v>
      </c>
      <c r="L571" t="n">
        <v>3</v>
      </c>
      <c r="M571" s="3">
        <f>I571/L571</f>
        <v/>
      </c>
      <c r="N571">
        <f>IF(M571&gt;=5100,"ставка","мин.ставка")</f>
        <v/>
      </c>
      <c r="O571" s="3">
        <f>ROUND(IF(N571="мин.ставка",L571*100,I571/102*2),2)</f>
        <v/>
      </c>
      <c r="P571" s="5" t="n">
        <v>46235.5</v>
      </c>
      <c r="Q571" t="inlineStr">
        <is>
          <t>TravelLine UTS</t>
        </is>
      </c>
      <c r="R571" s="2" t="inlineStr">
        <is>
          <t>СТАНДАРТНЫЙ ДВУХМЕСТНЫЙ НОМЕР (МАНСАРДА)</t>
        </is>
      </c>
      <c r="S571" t="n">
        <v>41</v>
      </c>
      <c r="T571" t="n">
        <v>1</v>
      </c>
      <c r="U571" t="inlineStr"/>
      <c r="V571" t="inlineStr">
        <is>
          <t>Тариф с завтраком</t>
        </is>
      </c>
      <c r="W571" t="n">
        <v>18960</v>
      </c>
      <c r="X571" s="3" t="n">
        <v>0</v>
      </c>
      <c r="Y571" t="inlineStr"/>
      <c r="Z571" t="inlineStr"/>
      <c r="AA571" s="3" t="n">
        <v>18960</v>
      </c>
      <c r="AB571" t="inlineStr">
        <is>
          <t>Сошлось по ночным тарифам</t>
        </is>
      </c>
      <c r="AC571" s="2" t="inlineStr"/>
      <c r="AD571" t="n">
        <v>0</v>
      </c>
      <c r="AE571" t="n">
        <v>0</v>
      </c>
      <c r="AF571" t="inlineStr">
        <is>
          <t>Скидки нет</t>
        </is>
      </c>
      <c r="AG571" t="n">
        <v>18960</v>
      </c>
      <c r="AH571" t="n">
        <v>18960</v>
      </c>
      <c r="AI571" t="inlineStr">
        <is>
          <t>Полное проживание в выбранном периоде</t>
        </is>
      </c>
    </row>
    <row r="572">
      <c r="A572" t="inlineStr">
        <is>
          <t>20260822-8186-447387839</t>
        </is>
      </c>
      <c r="B572" t="n">
        <v>1</v>
      </c>
      <c r="C572" s="2" t="inlineStr">
        <is>
          <t>Ксения Недорезова</t>
        </is>
      </c>
      <c r="D572" s="3" t="n">
        <v>6715</v>
      </c>
      <c r="E572" s="4" t="n">
        <v>15</v>
      </c>
      <c r="F572" t="inlineStr">
        <is>
          <t>ООО Тинькофф Путешествия [Чайковский]</t>
        </is>
      </c>
      <c r="G572" s="3">
        <f>ROUND(D572/(100-E572)*100,2)</f>
        <v/>
      </c>
      <c r="H572" s="3" t="n">
        <v>0</v>
      </c>
      <c r="I572" s="3">
        <f>ROUND(IF(ISNUMBER(AG572),AG572,G572)+H572,2)</f>
        <v/>
      </c>
      <c r="J572" s="2" t="inlineStr">
        <is>
          <t>Завтрак "Шведский стол"</t>
        </is>
      </c>
      <c r="K572" s="5" t="n">
        <v>46256.58333333334</v>
      </c>
      <c r="L572" t="n">
        <v>1</v>
      </c>
      <c r="M572" s="3">
        <f>I572/L572</f>
        <v/>
      </c>
      <c r="N572">
        <f>IF(M572&gt;=5100,"ставка","мин.ставка")</f>
        <v/>
      </c>
      <c r="O572" s="3">
        <f>ROUND(IF(N572="мин.ставка",L572*100,I572/102*2),2)</f>
        <v/>
      </c>
      <c r="P572" s="5" t="n">
        <v>46257.5</v>
      </c>
      <c r="Q572" t="inlineStr">
        <is>
          <t>TravelLine TNK</t>
        </is>
      </c>
      <c r="R572" s="2" t="inlineStr">
        <is>
          <t>СТАНДАРТНЫЙ ДВУХМЕСТНЫЙ НОМЕР (МАНСАРДА)</t>
        </is>
      </c>
      <c r="S572" t="n">
        <v>45</v>
      </c>
      <c r="T572" t="n">
        <v>1</v>
      </c>
      <c r="U572" t="inlineStr"/>
      <c r="V572" t="inlineStr">
        <is>
          <t>Тариф с завтраком</t>
        </is>
      </c>
      <c r="W572" t="n">
        <v>6715</v>
      </c>
      <c r="X572" s="3" t="n">
        <v>1185</v>
      </c>
      <c r="Y572" t="inlineStr">
        <is>
          <t>15%</t>
        </is>
      </c>
      <c r="Z572" t="inlineStr">
        <is>
          <t>2026-08-22</t>
        </is>
      </c>
      <c r="AA572" s="3" t="n">
        <v>6715</v>
      </c>
      <c r="AB572" t="inlineStr">
        <is>
          <t>Сошлось по ночным тарифам</t>
        </is>
      </c>
      <c r="AC572" s="2" t="inlineStr"/>
      <c r="AD572" t="n">
        <v>1185</v>
      </c>
      <c r="AE572" t="n">
        <v>0</v>
      </c>
      <c r="AF572" t="inlineStr">
        <is>
          <t>Скидка добавлена к налоговой базе</t>
        </is>
      </c>
      <c r="AG572" t="n">
        <v>7900</v>
      </c>
      <c r="AH572" t="n">
        <v>6715</v>
      </c>
      <c r="AI572" t="inlineStr">
        <is>
          <t>Полное проживание в выбранном периоде</t>
        </is>
      </c>
    </row>
    <row r="573">
      <c r="A573" t="inlineStr">
        <is>
          <t>20260724-8186-446893476</t>
        </is>
      </c>
      <c r="B573" t="n">
        <v>1</v>
      </c>
      <c r="C573" s="2" t="inlineStr">
        <is>
          <t>Ксения Новоселова</t>
        </is>
      </c>
      <c r="D573" s="3" t="n">
        <v>20230</v>
      </c>
      <c r="E573" s="4" t="n">
        <v>15</v>
      </c>
      <c r="F573" t="inlineStr">
        <is>
          <t>ООО Тинькофф Путешествия [Чайковский]</t>
        </is>
      </c>
      <c r="G573" s="3">
        <f>ROUND(D573/(100-E573)*100,2)</f>
        <v/>
      </c>
      <c r="H573" s="3" t="n">
        <v>0</v>
      </c>
      <c r="I573" s="3">
        <f>ROUND(IF(ISNUMBER(AG573),AG573,G573)+H573,2)</f>
        <v/>
      </c>
      <c r="J573" s="2" t="inlineStr"/>
      <c r="K573" s="5" t="n">
        <v>46227.58333333334</v>
      </c>
      <c r="L573" t="n">
        <v>2</v>
      </c>
      <c r="M573" s="3">
        <f>I573/L573</f>
        <v/>
      </c>
      <c r="N573">
        <f>IF(M573&gt;=5100,"ставка","мин.ставка")</f>
        <v/>
      </c>
      <c r="O573" s="3">
        <f>ROUND(IF(N573="мин.ставка",L573*100,I573/102*2),2)</f>
        <v/>
      </c>
      <c r="P573" s="5" t="n">
        <v>46229.5</v>
      </c>
      <c r="Q573" t="inlineStr">
        <is>
          <t>TravelLine TNK</t>
        </is>
      </c>
      <c r="R573" s="2" t="inlineStr">
        <is>
          <t>УЛУЧШЕННЫЙ ДВУХМЕСТНЫЙ НОМЕР</t>
        </is>
      </c>
      <c r="S573" t="n">
        <v>21</v>
      </c>
      <c r="T573" t="n">
        <v>1</v>
      </c>
      <c r="U573" t="inlineStr"/>
      <c r="V573" t="inlineStr">
        <is>
          <t>Основной тариф без завтрака</t>
        </is>
      </c>
      <c r="W573" t="n">
        <v>20230</v>
      </c>
      <c r="X573" s="3" t="n">
        <v>3570</v>
      </c>
      <c r="Y573" t="inlineStr">
        <is>
          <t>15%</t>
        </is>
      </c>
      <c r="Z573" t="inlineStr">
        <is>
          <t>2026-07-24, 2026-07-25</t>
        </is>
      </c>
      <c r="AA573" s="3" t="n">
        <v>20230</v>
      </c>
      <c r="AB573" t="inlineStr">
        <is>
          <t>Сошлось по ночным тарифам</t>
        </is>
      </c>
      <c r="AC573" s="2" t="inlineStr"/>
      <c r="AD573" t="n">
        <v>3570</v>
      </c>
      <c r="AE573" t="n">
        <v>0</v>
      </c>
      <c r="AF573" t="inlineStr">
        <is>
          <t>Скидка добавлена к налоговой базе</t>
        </is>
      </c>
      <c r="AG573" t="n">
        <v>23800</v>
      </c>
      <c r="AH573" t="n">
        <v>20230</v>
      </c>
      <c r="AI573" t="inlineStr">
        <is>
          <t>Полное проживание в выбранном периоде</t>
        </is>
      </c>
    </row>
    <row r="574">
      <c r="A574" t="inlineStr">
        <is>
          <t>20260915-8186-457386523</t>
        </is>
      </c>
      <c r="B574" t="n">
        <v>1</v>
      </c>
      <c r="C574" s="2" t="inlineStr">
        <is>
          <t>КСЕНИЯ ЯКОВЕНКО</t>
        </is>
      </c>
      <c r="D574" s="3" t="n">
        <v>9080</v>
      </c>
      <c r="E574" s="4" t="n">
        <v>20</v>
      </c>
      <c r="F574" t="inlineStr">
        <is>
          <t>ООО "ХБ-ПРО" [Чайковский]</t>
        </is>
      </c>
      <c r="G574" s="3">
        <f>ROUND(D574/(100-E574)*100,2)</f>
        <v/>
      </c>
      <c r="H574" s="3" t="n">
        <v>0</v>
      </c>
      <c r="I574" s="3">
        <f>ROUND(IF(ISNUMBER(AG574),AG574,G574)+H574,2)</f>
        <v/>
      </c>
      <c r="J574" s="2" t="inlineStr">
        <is>
          <t>Завтрак "Шведский стол"</t>
        </is>
      </c>
      <c r="K574" s="5" t="n">
        <v>46280.58333333334</v>
      </c>
      <c r="L574" t="n">
        <v>1</v>
      </c>
      <c r="M574" s="3">
        <f>I574/L574</f>
        <v/>
      </c>
      <c r="N574">
        <f>IF(M574&gt;=5100,"ставка","мин.ставка")</f>
        <v/>
      </c>
      <c r="O574" s="3">
        <f>ROUND(IF(N574="мин.ставка",L574*100,I574/102*2),2)</f>
        <v/>
      </c>
      <c r="P574" s="5" t="n">
        <v>46281.5</v>
      </c>
      <c r="Q574" t="inlineStr">
        <is>
          <t>TravelLine UTS</t>
        </is>
      </c>
      <c r="R574" s="2" t="inlineStr">
        <is>
          <t>СТАНДАРТНЫЙ ДВУХМЕСТНЫЙ НОМЕР</t>
        </is>
      </c>
      <c r="S574" t="n">
        <v>42</v>
      </c>
      <c r="T574" t="n">
        <v>1</v>
      </c>
      <c r="U574" t="inlineStr"/>
      <c r="V574" t="inlineStr">
        <is>
          <t>Тариф с завтраком</t>
        </is>
      </c>
      <c r="W574" t="n">
        <v>9080</v>
      </c>
      <c r="X574" s="3" t="n">
        <v>0</v>
      </c>
      <c r="Y574" t="inlineStr"/>
      <c r="Z574" t="inlineStr"/>
      <c r="AA574" s="3" t="n">
        <v>9080</v>
      </c>
      <c r="AB574" t="inlineStr">
        <is>
          <t>Сошлось по ночным тарифам</t>
        </is>
      </c>
      <c r="AC574" s="2" t="inlineStr"/>
      <c r="AD574" t="n">
        <v>0</v>
      </c>
      <c r="AE574" t="n">
        <v>0</v>
      </c>
      <c r="AF574" t="inlineStr">
        <is>
          <t>Скидки нет</t>
        </is>
      </c>
      <c r="AG574" t="n">
        <v>9080</v>
      </c>
      <c r="AH574" t="n">
        <v>9080</v>
      </c>
      <c r="AI574" t="inlineStr">
        <is>
          <t>Полное проживание в выбранном периоде</t>
        </is>
      </c>
    </row>
    <row r="575">
      <c r="A575" t="inlineStr">
        <is>
          <t>20260819-8186-412191182</t>
        </is>
      </c>
      <c r="B575" t="n">
        <v>1</v>
      </c>
      <c r="C575" s="2" t="inlineStr">
        <is>
          <t>ЛАРИСА БРИЛЛИАНТ</t>
        </is>
      </c>
      <c r="D575" s="3" t="n">
        <v>23700</v>
      </c>
      <c r="E575" s="4" t="n">
        <v>0</v>
      </c>
      <c r="F575" t="inlineStr">
        <is>
          <t>Прямые бронирования (стойка) [Чайковский]</t>
        </is>
      </c>
      <c r="G575" s="3">
        <f>ROUND(D575/(100-E575)*100,2)</f>
        <v/>
      </c>
      <c r="H575" s="3" t="n">
        <v>0</v>
      </c>
      <c r="I575" s="3">
        <f>ROUND(IF(ISNUMBER(AG575),AG575,G575)+H575,2)</f>
        <v/>
      </c>
      <c r="J575" s="2" t="inlineStr">
        <is>
          <t>Завтрак "Шведский стол"</t>
        </is>
      </c>
      <c r="K575" s="5" t="n">
        <v>46249.58333333334</v>
      </c>
      <c r="L575" t="n">
        <v>3</v>
      </c>
      <c r="M575" s="3">
        <f>I575/L575</f>
        <v/>
      </c>
      <c r="N575">
        <f>IF(M575&gt;=5100,"ставка","мин.ставка")</f>
        <v/>
      </c>
      <c r="O575" s="3">
        <f>ROUND(IF(N575="мин.ставка",L575*100,I575/102*2),2)</f>
        <v/>
      </c>
      <c r="P575" s="5" t="n">
        <v>46252.5</v>
      </c>
      <c r="Q575" t="inlineStr">
        <is>
          <t>TravelLine ресепшен</t>
        </is>
      </c>
      <c r="R575" s="2" t="inlineStr">
        <is>
          <t>СТАНДАРТНЫЙ ДВУХМЕСТНЫЙ НОМЕР (МАНСАРДА)</t>
        </is>
      </c>
      <c r="S575" t="n">
        <v>47</v>
      </c>
      <c r="T575" t="n">
        <v>1</v>
      </c>
      <c r="U575" t="inlineStr"/>
      <c r="V575" t="inlineStr">
        <is>
          <t>Тариф с завтраком</t>
        </is>
      </c>
      <c r="W575" t="n">
        <v>23700</v>
      </c>
      <c r="X575" s="3" t="n">
        <v>0</v>
      </c>
      <c r="Y575" t="inlineStr"/>
      <c r="Z575" t="inlineStr"/>
      <c r="AA575" s="3" t="n">
        <v>23700</v>
      </c>
      <c r="AB575" t="inlineStr">
        <is>
          <t>Сошлось по ночным тарифам</t>
        </is>
      </c>
      <c r="AC575" s="2" t="inlineStr"/>
      <c r="AD575" t="n">
        <v>0</v>
      </c>
      <c r="AE575" t="n">
        <v>0</v>
      </c>
      <c r="AF575" t="inlineStr">
        <is>
          <t>Скидки нет</t>
        </is>
      </c>
      <c r="AG575" t="n">
        <v>23700</v>
      </c>
      <c r="AH575" t="n">
        <v>23700</v>
      </c>
      <c r="AI575" t="inlineStr">
        <is>
          <t>Полное проживание в выбранном периоде</t>
        </is>
      </c>
    </row>
    <row r="576">
      <c r="A576" t="inlineStr">
        <is>
          <t>20260727-8186-453467059</t>
        </is>
      </c>
      <c r="B576" t="n">
        <v>1</v>
      </c>
      <c r="C576" s="2" t="inlineStr">
        <is>
          <t>Лариса Дубинчук, Виктория Казюра</t>
        </is>
      </c>
      <c r="D576" s="3" t="n">
        <v>8284</v>
      </c>
      <c r="E576" s="4" t="n">
        <v>18</v>
      </c>
      <c r="F576" t="inlineStr">
        <is>
          <t>Яндекс.Путешествия [Чайковский]</t>
        </is>
      </c>
      <c r="G576" s="3">
        <f>ROUND(D576/(100-E576)*100,2)</f>
        <v/>
      </c>
      <c r="H576" s="3" t="n">
        <v>0</v>
      </c>
      <c r="I576" s="3">
        <f>ROUND(IF(ISNUMBER(AG576),AG576,G576)+H576,2)</f>
        <v/>
      </c>
      <c r="J576" s="2" t="inlineStr">
        <is>
          <t>Завтрак "Шведский стол"</t>
        </is>
      </c>
      <c r="K576" s="5" t="n">
        <v>46230.58333333334</v>
      </c>
      <c r="L576" t="n">
        <v>1</v>
      </c>
      <c r="M576" s="3">
        <f>I576/L576</f>
        <v/>
      </c>
      <c r="N576">
        <f>IF(M576&gt;=5100,"ставка","мин.ставка")</f>
        <v/>
      </c>
      <c r="O576" s="3">
        <f>ROUND(IF(N576="мин.ставка",L576*100,I576/102*2),2)</f>
        <v/>
      </c>
      <c r="P576" s="5" t="n">
        <v>46231.5</v>
      </c>
      <c r="Q576" t="inlineStr">
        <is>
          <t>TravelLine YAX</t>
        </is>
      </c>
      <c r="R576" s="2" t="inlineStr">
        <is>
          <t>СТАНДАРТНЫЙ ДВУХМЕСТНЫЙ НОМЕР</t>
        </is>
      </c>
      <c r="S576" t="n">
        <v>55</v>
      </c>
      <c r="T576" t="n">
        <v>2</v>
      </c>
      <c r="U576" t="inlineStr"/>
      <c r="V576" t="inlineStr">
        <is>
          <t>Тариф с завтраком</t>
        </is>
      </c>
      <c r="W576" t="n">
        <v>8284</v>
      </c>
      <c r="X576" s="3" t="n">
        <v>2071</v>
      </c>
      <c r="Y576" t="inlineStr">
        <is>
          <t>20%</t>
        </is>
      </c>
      <c r="Z576" t="inlineStr">
        <is>
          <t>2026-07-27</t>
        </is>
      </c>
      <c r="AA576" s="3" t="n">
        <v>8284</v>
      </c>
      <c r="AB576" t="inlineStr">
        <is>
          <t>Сошлось по ночным тарифам</t>
        </is>
      </c>
      <c r="AC576" s="2" t="inlineStr"/>
      <c r="AD576" t="n">
        <v>2071</v>
      </c>
      <c r="AE576" t="n">
        <v>0</v>
      </c>
      <c r="AF576" t="inlineStr">
        <is>
          <t>Скидка добавлена к налоговой базе</t>
        </is>
      </c>
      <c r="AG576" t="n">
        <v>10355</v>
      </c>
      <c r="AH576" t="n">
        <v>8284</v>
      </c>
      <c r="AI576" t="inlineStr">
        <is>
          <t>Полное проживание в выбранном периоде</t>
        </is>
      </c>
    </row>
    <row r="577">
      <c r="A577" t="inlineStr">
        <is>
          <t>20260726-8186-440779552</t>
        </is>
      </c>
      <c r="B577" t="n">
        <v>1</v>
      </c>
      <c r="C577" s="2" t="inlineStr">
        <is>
          <t>Лариса Матвеева, Яна Матвеева</t>
        </is>
      </c>
      <c r="D577" s="3" t="n">
        <v>68085</v>
      </c>
      <c r="E577" s="4" t="n">
        <v>0</v>
      </c>
      <c r="F577" t="inlineStr">
        <is>
          <t>ООО «ХОМЛИН ЛЭНД» (ПЕГАС) [Чайковский]</t>
        </is>
      </c>
      <c r="G577" s="3">
        <f>ROUND(D577/(100-E577)*100,2)</f>
        <v/>
      </c>
      <c r="H577" s="3" t="n">
        <v>0</v>
      </c>
      <c r="I577" s="3">
        <f>ROUND(IF(ISNUMBER(AG577),AG577,G577)+H577,2)</f>
        <v/>
      </c>
      <c r="J577" s="2" t="inlineStr">
        <is>
          <t>Завтрак "Шведский стол"</t>
        </is>
      </c>
      <c r="K577" s="5" t="n">
        <v>46229.58333333334</v>
      </c>
      <c r="L577" t="n">
        <v>6</v>
      </c>
      <c r="M577" s="3">
        <f>I577/L577</f>
        <v/>
      </c>
      <c r="N577">
        <f>IF(M577&gt;=5100,"ставка","мин.ставка")</f>
        <v/>
      </c>
      <c r="O577" s="3">
        <f>ROUND(IF(N577="мин.ставка",L577*100,I577/102*2),2)</f>
        <v/>
      </c>
      <c r="P577" s="5" t="n">
        <v>46235.5</v>
      </c>
      <c r="Q577" t="inlineStr">
        <is>
          <t>TravelLine PGS</t>
        </is>
      </c>
      <c r="R577" s="2" t="inlineStr">
        <is>
          <t>СТАНДАРТНЫЙ ДВУХМЕСТНЫЙ НОМЕР</t>
        </is>
      </c>
      <c r="S577" t="n">
        <v>42</v>
      </c>
      <c r="T577" t="n">
        <v>1</v>
      </c>
      <c r="U577" t="inlineStr"/>
      <c r="V577" t="inlineStr">
        <is>
          <t>Тариф с завтраком</t>
        </is>
      </c>
      <c r="W577" t="n">
        <v>68085</v>
      </c>
      <c r="X577" s="3" t="n">
        <v>12015</v>
      </c>
      <c r="Y577" t="inlineStr">
        <is>
          <t>15%</t>
        </is>
      </c>
      <c r="Z577" t="inlineStr">
        <is>
          <t>2026-07-26, 2026-07-27, 2026-07-28, 2026-07-29, 2026-07-30, 2026-07-31</t>
        </is>
      </c>
      <c r="AA577" s="3" t="n">
        <v>68085</v>
      </c>
      <c r="AB577" t="inlineStr">
        <is>
          <t>Сошлось по ночным тарифам</t>
        </is>
      </c>
      <c r="AC577" s="2" t="inlineStr"/>
      <c r="AD577" t="n">
        <v>12015</v>
      </c>
      <c r="AE577" t="n">
        <v>0</v>
      </c>
      <c r="AF577" t="inlineStr">
        <is>
          <t>Скидка добавлена к налоговой базе</t>
        </is>
      </c>
      <c r="AG577" t="n">
        <v>80100</v>
      </c>
      <c r="AH577" t="n">
        <v>68085</v>
      </c>
      <c r="AI577" t="inlineStr">
        <is>
          <t>Полное проживание в выбранном периоде</t>
        </is>
      </c>
    </row>
    <row r="578">
      <c r="A578" t="inlineStr">
        <is>
          <t>20260925-8186-460121814</t>
        </is>
      </c>
      <c r="B578" t="n">
        <v>1</v>
      </c>
      <c r="C578" s="2" t="inlineStr">
        <is>
          <t>Лариса Хоменко, Мария Старкина</t>
        </is>
      </c>
      <c r="D578" s="3" t="n">
        <v>33660</v>
      </c>
      <c r="E578" s="4" t="n">
        <v>0</v>
      </c>
      <c r="F578" t="inlineStr">
        <is>
          <t>ООО «ХОМЛИН ЛЭНД» (ПЕГАС) [Чайковский]</t>
        </is>
      </c>
      <c r="G578" s="3">
        <f>ROUND(D578/(100-E578)*100,2)</f>
        <v/>
      </c>
      <c r="H578" s="3" t="n">
        <v>0</v>
      </c>
      <c r="I578" s="3">
        <f>ROUND(IF(ISNUMBER(AG578),AG578,G578)+H578,2)</f>
        <v/>
      </c>
      <c r="J578" s="2" t="inlineStr">
        <is>
          <t>Завтрак "Шведский стол"</t>
        </is>
      </c>
      <c r="K578" s="5" t="n">
        <v>46290.58333333334</v>
      </c>
      <c r="L578" t="n">
        <v>4</v>
      </c>
      <c r="M578" s="3">
        <f>I578/L578</f>
        <v/>
      </c>
      <c r="N578">
        <f>IF(M578&gt;=5100,"ставка","мин.ставка")</f>
        <v/>
      </c>
      <c r="O578" s="3">
        <f>ROUND(IF(N578="мин.ставка",L578*100,I578/102*2),2)</f>
        <v/>
      </c>
      <c r="P578" s="5" t="n">
        <v>46294.5</v>
      </c>
      <c r="Q578" t="inlineStr">
        <is>
          <t>TravelLine PGS</t>
        </is>
      </c>
      <c r="R578" s="2" t="inlineStr">
        <is>
          <t>СТАНДАРТНЫЙ ДВУХМЕСТНЫЙ НОМЕР (МАНСАРДА)</t>
        </is>
      </c>
      <c r="S578" t="n">
        <v>47</v>
      </c>
      <c r="T578" t="n">
        <v>1</v>
      </c>
      <c r="U578" t="inlineStr"/>
      <c r="V578" t="inlineStr">
        <is>
          <t>Тариф с завтраком</t>
        </is>
      </c>
      <c r="W578" t="n">
        <v>33660</v>
      </c>
      <c r="X578" s="3" t="n">
        <v>5940</v>
      </c>
      <c r="Y578" t="inlineStr">
        <is>
          <t>15%</t>
        </is>
      </c>
      <c r="Z578" t="inlineStr">
        <is>
          <t>2026-09-25, 2026-09-26, 2026-09-27, 2026-09-28</t>
        </is>
      </c>
      <c r="AA578" s="3" t="n">
        <v>33660</v>
      </c>
      <c r="AB578" t="inlineStr">
        <is>
          <t>Сошлось по ночным тарифам</t>
        </is>
      </c>
      <c r="AC578" s="2" t="inlineStr"/>
      <c r="AD578" t="n">
        <v>5940</v>
      </c>
      <c r="AE578" t="n">
        <v>0</v>
      </c>
      <c r="AF578" t="inlineStr">
        <is>
          <t>Скидка добавлена к налоговой базе</t>
        </is>
      </c>
      <c r="AG578" t="n">
        <v>39600</v>
      </c>
      <c r="AH578" t="n">
        <v>33660</v>
      </c>
      <c r="AI578" t="inlineStr">
        <is>
          <t>Полное проживание в выбранном периоде</t>
        </is>
      </c>
    </row>
    <row r="579">
      <c r="A579" t="inlineStr">
        <is>
          <t>20260807-8186-438685773</t>
        </is>
      </c>
      <c r="B579" t="n">
        <v>1</v>
      </c>
      <c r="C579" s="2" t="inlineStr">
        <is>
          <t>Леонид Александров, Мария Александрова</t>
        </is>
      </c>
      <c r="D579" s="3" t="n">
        <v>21360</v>
      </c>
      <c r="E579" s="4" t="n">
        <v>18</v>
      </c>
      <c r="F579" t="inlineStr">
        <is>
          <t>Яндекс.Путешествия [Чайковский]</t>
        </is>
      </c>
      <c r="G579" s="3">
        <f>ROUND(D579/(100-E579)*100,2)</f>
        <v/>
      </c>
      <c r="H579" s="3" t="n">
        <v>0</v>
      </c>
      <c r="I579" s="3">
        <f>ROUND(IF(ISNUMBER(AG579),AG579,G579)+H579,2)</f>
        <v/>
      </c>
      <c r="J579" s="2" t="inlineStr">
        <is>
          <t>Завтрак "Шведский стол"</t>
        </is>
      </c>
      <c r="K579" s="5" t="n">
        <v>46241.58333333334</v>
      </c>
      <c r="L579" t="n">
        <v>2</v>
      </c>
      <c r="M579" s="3">
        <f>I579/L579</f>
        <v/>
      </c>
      <c r="N579">
        <f>IF(M579&gt;=5100,"ставка","мин.ставка")</f>
        <v/>
      </c>
      <c r="O579" s="3">
        <f>ROUND(IF(N579="мин.ставка",L579*100,I579/102*2),2)</f>
        <v/>
      </c>
      <c r="P579" s="5" t="n">
        <v>46243.5</v>
      </c>
      <c r="Q579" t="inlineStr">
        <is>
          <t>TravelLine YAX</t>
        </is>
      </c>
      <c r="R579" s="2" t="inlineStr">
        <is>
          <t>СТАНДАРТНЫЙ ДВУХМЕСТНЫЙ НОМЕР</t>
        </is>
      </c>
      <c r="S579" t="n">
        <v>58</v>
      </c>
      <c r="T579" t="n">
        <v>2</v>
      </c>
      <c r="U579" t="inlineStr"/>
      <c r="V579" t="inlineStr">
        <is>
          <t>Тариф с завтраком</t>
        </is>
      </c>
      <c r="W579" t="n">
        <v>21360</v>
      </c>
      <c r="X579" s="3" t="n">
        <v>5340</v>
      </c>
      <c r="Y579" t="inlineStr">
        <is>
          <t>20%</t>
        </is>
      </c>
      <c r="Z579" t="inlineStr">
        <is>
          <t>2026-08-07, 2026-08-08</t>
        </is>
      </c>
      <c r="AA579" s="3" t="n">
        <v>21360</v>
      </c>
      <c r="AB579" t="inlineStr">
        <is>
          <t>Сошлось по ночным тарифам</t>
        </is>
      </c>
      <c r="AC579" s="2" t="inlineStr"/>
      <c r="AD579" t="n">
        <v>5340</v>
      </c>
      <c r="AE579" t="n">
        <v>0</v>
      </c>
      <c r="AF579" t="inlineStr">
        <is>
          <t>Скидка добавлена к налоговой базе</t>
        </is>
      </c>
      <c r="AG579" t="n">
        <v>26700</v>
      </c>
      <c r="AH579" t="n">
        <v>21360</v>
      </c>
      <c r="AI579" t="inlineStr">
        <is>
          <t>Полное проживание в выбранном периоде</t>
        </is>
      </c>
    </row>
    <row r="580">
      <c r="A580" t="inlineStr">
        <is>
          <t>20260802-8186-451253781</t>
        </is>
      </c>
      <c r="B580" t="n">
        <v>1</v>
      </c>
      <c r="C580" s="2" t="inlineStr">
        <is>
          <t>ЛЕОНИД ДУБОВ</t>
        </is>
      </c>
      <c r="D580" s="3" t="n">
        <v>18160</v>
      </c>
      <c r="E580" s="4" t="n">
        <v>20</v>
      </c>
      <c r="F580" t="inlineStr">
        <is>
          <t>ООО "КОМПАНИЯ БРОНЕВИК" [Чайковский]</t>
        </is>
      </c>
      <c r="G580" s="3">
        <f>ROUND(D580/(100-E580)*100,2)</f>
        <v/>
      </c>
      <c r="H580" s="3" t="n">
        <v>0</v>
      </c>
      <c r="I580" s="3">
        <f>ROUND(IF(ISNUMBER(AG580),AG580,G580)+H580,2)</f>
        <v/>
      </c>
      <c r="J580" s="2" t="inlineStr">
        <is>
          <t>Завтрак "Шведский стол"</t>
        </is>
      </c>
      <c r="K580" s="5" t="n">
        <v>46236.58333333334</v>
      </c>
      <c r="L580" t="n">
        <v>2</v>
      </c>
      <c r="M580" s="3">
        <f>I580/L580</f>
        <v/>
      </c>
      <c r="N580">
        <f>IF(M580&gt;=5100,"ставка","мин.ставка")</f>
        <v/>
      </c>
      <c r="O580" s="3">
        <f>ROUND(IF(N580="мин.ставка",L580*100,I580/102*2),2)</f>
        <v/>
      </c>
      <c r="P580" s="5" t="n">
        <v>46238.5</v>
      </c>
      <c r="Q580" t="inlineStr">
        <is>
          <t>TravelLine BR2</t>
        </is>
      </c>
      <c r="R580" s="2" t="inlineStr">
        <is>
          <t>СТАНДАРТНЫЙ ДВУХМЕСТНЫЙ НОМЕР</t>
        </is>
      </c>
      <c r="S580" t="n">
        <v>52</v>
      </c>
      <c r="T580" t="n">
        <v>2</v>
      </c>
      <c r="U580" t="inlineStr"/>
      <c r="V580" t="inlineStr">
        <is>
          <t>Тариф с завтраком</t>
        </is>
      </c>
      <c r="W580" t="n">
        <v>18160</v>
      </c>
      <c r="X580" s="3" t="n">
        <v>0</v>
      </c>
      <c r="Y580" t="inlineStr"/>
      <c r="Z580" t="inlineStr"/>
      <c r="AA580" s="3" t="n">
        <v>18160</v>
      </c>
      <c r="AB580" t="inlineStr">
        <is>
          <t>Сошлось по ночным тарифам</t>
        </is>
      </c>
      <c r="AC580" s="2" t="inlineStr"/>
      <c r="AD580" t="n">
        <v>0</v>
      </c>
      <c r="AE580" t="n">
        <v>0</v>
      </c>
      <c r="AF580" t="inlineStr">
        <is>
          <t>Скидки нет</t>
        </is>
      </c>
      <c r="AG580" t="n">
        <v>18160</v>
      </c>
      <c r="AH580" t="n">
        <v>18160</v>
      </c>
      <c r="AI580" t="inlineStr">
        <is>
          <t>Полное проживание в выбранном периоде</t>
        </is>
      </c>
    </row>
    <row r="581">
      <c r="A581" t="inlineStr">
        <is>
          <t>20260914-8186-463712958</t>
        </is>
      </c>
      <c r="B581" t="n">
        <v>1</v>
      </c>
      <c r="C581" s="2" t="inlineStr">
        <is>
          <t>ЛЕОНИД ДУБОВ</t>
        </is>
      </c>
      <c r="D581" s="3" t="n">
        <v>27240</v>
      </c>
      <c r="E581" s="4" t="n">
        <v>20</v>
      </c>
      <c r="F581" t="inlineStr">
        <is>
          <t>ООО "ХБ-ПРО" [Чайковский]</t>
        </is>
      </c>
      <c r="G581" s="3">
        <f>ROUND(D581/(100-E581)*100,2)</f>
        <v/>
      </c>
      <c r="H581" s="3" t="n">
        <v>0</v>
      </c>
      <c r="I581" s="3">
        <f>ROUND(IF(ISNUMBER(AG581),AG581,G581)+H581,2)</f>
        <v/>
      </c>
      <c r="J581" s="2" t="inlineStr">
        <is>
          <t>Завтрак "Шведский стол"</t>
        </is>
      </c>
      <c r="K581" s="5" t="n">
        <v>46279.58333333334</v>
      </c>
      <c r="L581" t="n">
        <v>3</v>
      </c>
      <c r="M581" s="3">
        <f>I581/L581</f>
        <v/>
      </c>
      <c r="N581">
        <f>IF(M581&gt;=5100,"ставка","мин.ставка")</f>
        <v/>
      </c>
      <c r="O581" s="3">
        <f>ROUND(IF(N581="мин.ставка",L581*100,I581/102*2),2)</f>
        <v/>
      </c>
      <c r="P581" s="5" t="n">
        <v>46282.5</v>
      </c>
      <c r="Q581" t="inlineStr">
        <is>
          <t>TravelLine UTS</t>
        </is>
      </c>
      <c r="R581" s="2" t="inlineStr">
        <is>
          <t>СТАНДАРТНЫЙ ДВУХМЕСТНЫЙ НОМЕР</t>
        </is>
      </c>
      <c r="S581" t="n">
        <v>55</v>
      </c>
      <c r="T581" t="n">
        <v>2</v>
      </c>
      <c r="U581" t="inlineStr"/>
      <c r="V581" t="inlineStr">
        <is>
          <t>Тариф с завтраком</t>
        </is>
      </c>
      <c r="W581" t="n">
        <v>27240</v>
      </c>
      <c r="X581" s="3" t="n">
        <v>0</v>
      </c>
      <c r="Y581" t="inlineStr"/>
      <c r="Z581" t="inlineStr"/>
      <c r="AA581" s="3" t="n">
        <v>27240</v>
      </c>
      <c r="AB581" t="inlineStr">
        <is>
          <t>Сошлось по ночным тарифам</t>
        </is>
      </c>
      <c r="AC581" s="2" t="inlineStr"/>
      <c r="AD581" t="n">
        <v>0</v>
      </c>
      <c r="AE581" t="n">
        <v>0</v>
      </c>
      <c r="AF581" t="inlineStr">
        <is>
          <t>Скидки нет</t>
        </is>
      </c>
      <c r="AG581" t="n">
        <v>27240</v>
      </c>
      <c r="AH581" t="n">
        <v>27240</v>
      </c>
      <c r="AI581" t="inlineStr">
        <is>
          <t>Полное проживание в выбранном периоде</t>
        </is>
      </c>
    </row>
    <row r="582">
      <c r="A582" t="inlineStr">
        <is>
          <t>20260814-8186-456330345</t>
        </is>
      </c>
      <c r="B582" t="n">
        <v>1</v>
      </c>
      <c r="C582" s="2" t="inlineStr">
        <is>
          <t>ЛЕОНИД СТЕПАНОВ, Кристэль Степанова</t>
        </is>
      </c>
      <c r="D582" s="3" t="n">
        <v>26286.15</v>
      </c>
      <c r="E582" s="4" t="n">
        <v>4</v>
      </c>
      <c r="F582" t="inlineStr">
        <is>
          <t>TravelLine Booking Engine [Чайковский]</t>
        </is>
      </c>
      <c r="G582" s="3">
        <f>ROUND(D582/(100-E582)*100,2)</f>
        <v/>
      </c>
      <c r="H582" s="3" t="n">
        <v>0</v>
      </c>
      <c r="I582" s="3">
        <f>ROUND(IF(ISNUMBER(AG582),AG582,G582)+H582,2)</f>
        <v/>
      </c>
      <c r="J582" s="2" t="inlineStr">
        <is>
          <t>Завтрак "Шведский стол"</t>
        </is>
      </c>
      <c r="K582" s="5" t="n">
        <v>46248.58333333334</v>
      </c>
      <c r="L582" t="n">
        <v>2</v>
      </c>
      <c r="M582" s="3">
        <f>I582/L582</f>
        <v/>
      </c>
      <c r="N582">
        <f>IF(M582&gt;=5100,"ставка","мин.ставка")</f>
        <v/>
      </c>
      <c r="O582" s="3">
        <f>ROUND(IF(N582="мин.ставка",L582*100,I582/102*2),2)</f>
        <v/>
      </c>
      <c r="P582" s="5" t="n">
        <v>46250.5</v>
      </c>
      <c r="Q582" t="inlineStr">
        <is>
          <t>TravelLine сайт</t>
        </is>
      </c>
      <c r="R582" s="2" t="inlineStr">
        <is>
          <t>СТАНДАРТНЫЙ ДВУХМЕСТНЫЙ НОМЕР</t>
        </is>
      </c>
      <c r="S582" t="n">
        <v>55</v>
      </c>
      <c r="T582" t="n">
        <v>2</v>
      </c>
      <c r="U582" t="inlineStr"/>
      <c r="V582" t="inlineStr">
        <is>
          <t>Тариф с завтраком</t>
        </is>
      </c>
      <c r="W582" t="n">
        <v>26286.15</v>
      </c>
      <c r="X582" s="3" t="n">
        <v>413.85</v>
      </c>
      <c r="Y582" t="inlineStr">
        <is>
          <t>3.1%</t>
        </is>
      </c>
      <c r="Z582" t="inlineStr">
        <is>
          <t>2026-08-14</t>
        </is>
      </c>
      <c r="AA582" s="3" t="n">
        <v>26286.15</v>
      </c>
      <c r="AB582" t="inlineStr">
        <is>
          <t>Сошлось по ночным тарифам</t>
        </is>
      </c>
      <c r="AC582" s="2" t="inlineStr"/>
      <c r="AD582" t="n">
        <v>413.85</v>
      </c>
      <c r="AE582" t="n">
        <v>0</v>
      </c>
      <c r="AF582" t="inlineStr">
        <is>
          <t>Скидка добавлена к налоговой базе</t>
        </is>
      </c>
      <c r="AG582" t="n">
        <v>26700</v>
      </c>
      <c r="AH582" t="n">
        <v>26286.15</v>
      </c>
      <c r="AI582" t="inlineStr">
        <is>
          <t>Полное проживание в выбранном периоде</t>
        </is>
      </c>
    </row>
    <row r="583">
      <c r="A583" t="inlineStr">
        <is>
          <t>20260830-8186-441265449</t>
        </is>
      </c>
      <c r="B583" t="n">
        <v>1</v>
      </c>
      <c r="C583" s="2" t="inlineStr">
        <is>
          <t>Лидия Куковенко</t>
        </is>
      </c>
      <c r="D583" s="3" t="n">
        <v>13114</v>
      </c>
      <c r="E583" s="4" t="n">
        <v>17</v>
      </c>
      <c r="F583" t="inlineStr">
        <is>
          <t>ООО «Интернет Трэвел» (OZON) [Чайковский]</t>
        </is>
      </c>
      <c r="G583" s="3">
        <f>ROUND(D583/(100-E583)*100,2)</f>
        <v/>
      </c>
      <c r="H583" s="3" t="n">
        <v>0</v>
      </c>
      <c r="I583" s="3">
        <f>ROUND(IF(ISNUMBER(AG583),AG583,G583)+H583,2)</f>
        <v/>
      </c>
      <c r="J583" s="2" t="inlineStr">
        <is>
          <t>Завтрак "Шведский стол"</t>
        </is>
      </c>
      <c r="K583" s="5" t="n">
        <v>46264.58333333334</v>
      </c>
      <c r="L583" t="n">
        <v>2</v>
      </c>
      <c r="M583" s="3">
        <f>I583/L583</f>
        <v/>
      </c>
      <c r="N583">
        <f>IF(M583&gt;=5100,"ставка","мин.ставка")</f>
        <v/>
      </c>
      <c r="O583" s="3">
        <f>ROUND(IF(N583="мин.ставка",L583*100,I583/102*2),2)</f>
        <v/>
      </c>
      <c r="P583" s="5" t="n">
        <v>46266.5</v>
      </c>
      <c r="Q583" t="inlineStr">
        <is>
          <t>TravelLine OZ2</t>
        </is>
      </c>
      <c r="R583" s="2" t="inlineStr">
        <is>
          <t>СТАНДАРТНЫЙ ДВУХМЕСТНЫЙ НОМЕР (МАНСАРДА)</t>
        </is>
      </c>
      <c r="S583" t="n">
        <v>43</v>
      </c>
      <c r="T583" t="n">
        <v>1</v>
      </c>
      <c r="U583" t="inlineStr"/>
      <c r="V583" t="inlineStr">
        <is>
          <t>Тариф с завтраком</t>
        </is>
      </c>
      <c r="W583" t="n">
        <v>13114</v>
      </c>
      <c r="X583" s="3" t="n">
        <v>2686</v>
      </c>
      <c r="Y583" t="inlineStr">
        <is>
          <t>17%</t>
        </is>
      </c>
      <c r="Z583" t="inlineStr">
        <is>
          <t>2026-08-30, 2026-08-31</t>
        </is>
      </c>
      <c r="AA583" s="3" t="n">
        <v>13114</v>
      </c>
      <c r="AB583" t="inlineStr">
        <is>
          <t>Сошлось по ночным тарифам</t>
        </is>
      </c>
      <c r="AC583" s="2" t="inlineStr"/>
      <c r="AD583" t="n">
        <v>2686</v>
      </c>
      <c r="AE583" t="n">
        <v>0</v>
      </c>
      <c r="AF583" t="inlineStr">
        <is>
          <t>Скидка добавлена к налоговой базе</t>
        </is>
      </c>
      <c r="AG583" t="n">
        <v>15800</v>
      </c>
      <c r="AH583" t="n">
        <v>13114</v>
      </c>
      <c r="AI583" t="inlineStr">
        <is>
          <t>Полное проживание в выбранном периоде</t>
        </is>
      </c>
    </row>
    <row r="584">
      <c r="A584" t="inlineStr">
        <is>
          <t>20260904-8186-419608255</t>
        </is>
      </c>
      <c r="B584" t="n">
        <v>1</v>
      </c>
      <c r="C584" s="2" t="inlineStr">
        <is>
          <t>Лидия Рассказова, Анна Рассказова</t>
        </is>
      </c>
      <c r="D584" s="3" t="n">
        <v>26286.15</v>
      </c>
      <c r="E584" s="4" t="n">
        <v>4</v>
      </c>
      <c r="F584" t="inlineStr">
        <is>
          <t>TravelLine Booking Engine [Чайковский]</t>
        </is>
      </c>
      <c r="G584" s="3">
        <f>ROUND(D584/(100-E584)*100,2)</f>
        <v/>
      </c>
      <c r="H584" s="3" t="n">
        <v>0</v>
      </c>
      <c r="I584" s="3">
        <f>ROUND(IF(ISNUMBER(AG584),AG584,G584)+H584,2)</f>
        <v/>
      </c>
      <c r="J584" s="2" t="inlineStr">
        <is>
          <t>Завтрак "Шведский стол"</t>
        </is>
      </c>
      <c r="K584" s="5" t="n">
        <v>46269.58333333334</v>
      </c>
      <c r="L584" t="n">
        <v>2</v>
      </c>
      <c r="M584" s="3">
        <f>I584/L584</f>
        <v/>
      </c>
      <c r="N584">
        <f>IF(M584&gt;=5100,"ставка","мин.ставка")</f>
        <v/>
      </c>
      <c r="O584" s="3">
        <f>ROUND(IF(N584="мин.ставка",L584*100,I584/102*2),2)</f>
        <v/>
      </c>
      <c r="P584" s="5" t="n">
        <v>46271.5</v>
      </c>
      <c r="Q584" t="inlineStr">
        <is>
          <t>TravelLine сайт</t>
        </is>
      </c>
      <c r="R584" s="2" t="inlineStr">
        <is>
          <t>СТАНДАРТНЫЙ ДВУХМЕСТНЫЙ НОМЕР</t>
        </is>
      </c>
      <c r="S584" t="n">
        <v>44</v>
      </c>
      <c r="T584" t="n">
        <v>1</v>
      </c>
      <c r="U584" t="inlineStr"/>
      <c r="V584" t="inlineStr">
        <is>
          <t>Тариф с завтраком</t>
        </is>
      </c>
      <c r="W584" t="n">
        <v>45779.25</v>
      </c>
      <c r="X584" s="3" t="n">
        <v>413.85</v>
      </c>
      <c r="Y584" t="inlineStr">
        <is>
          <t>3.1%</t>
        </is>
      </c>
      <c r="Z584" t="inlineStr">
        <is>
          <t>2026-09-04</t>
        </is>
      </c>
      <c r="AA584" s="3" t="n">
        <v>26286.15</v>
      </c>
      <c r="AB584" t="inlineStr">
        <is>
          <t>Сошлось по ночным тарифам</t>
        </is>
      </c>
      <c r="AC584" s="2" t="inlineStr"/>
      <c r="AD584" t="n">
        <v>413.85</v>
      </c>
      <c r="AE584" t="n">
        <v>0</v>
      </c>
      <c r="AF584" t="inlineStr">
        <is>
          <t>Скидка добавлена к налоговой базе</t>
        </is>
      </c>
      <c r="AG584" t="n">
        <v>26700</v>
      </c>
      <c r="AH584" t="n">
        <v>26286.15</v>
      </c>
      <c r="AI584" t="inlineStr">
        <is>
          <t>Полное проживание в выбранном периоде</t>
        </is>
      </c>
    </row>
    <row r="585">
      <c r="A585" t="inlineStr">
        <is>
          <t>20260910-8186-449873466</t>
        </is>
      </c>
      <c r="B585" t="n">
        <v>1</v>
      </c>
      <c r="C585" s="2" t="inlineStr">
        <is>
          <t>ЛИДИЯ СУРКОВА, ТАТЬЯНА СМИРНОВА</t>
        </is>
      </c>
      <c r="D585" s="3" t="n">
        <v>22695</v>
      </c>
      <c r="E585" s="4" t="n">
        <v>0</v>
      </c>
      <c r="F585" t="inlineStr">
        <is>
          <t>ООО «ХОМЛИН ЛЭНД» (ПЕГАС) [Чайковский]</t>
        </is>
      </c>
      <c r="G585" s="3">
        <f>ROUND(D585/(100-E585)*100,2)</f>
        <v/>
      </c>
      <c r="H585" s="3" t="n">
        <v>0</v>
      </c>
      <c r="I585" s="3">
        <f>ROUND(IF(ISNUMBER(AG585),AG585,G585)+H585,2)</f>
        <v/>
      </c>
      <c r="J585" s="2" t="inlineStr">
        <is>
          <t>Завтрак "Шведский стол"</t>
        </is>
      </c>
      <c r="K585" s="5" t="n">
        <v>46275.58333333334</v>
      </c>
      <c r="L585" t="n">
        <v>2</v>
      </c>
      <c r="M585" s="3">
        <f>I585/L585</f>
        <v/>
      </c>
      <c r="N585">
        <f>IF(M585&gt;=5100,"ставка","мин.ставка")</f>
        <v/>
      </c>
      <c r="O585" s="3">
        <f>ROUND(IF(N585="мин.ставка",L585*100,I585/102*2),2)</f>
        <v/>
      </c>
      <c r="P585" s="5" t="n">
        <v>46277.5</v>
      </c>
      <c r="Q585" t="inlineStr">
        <is>
          <t>TravelLine PGS</t>
        </is>
      </c>
      <c r="R585" s="2" t="inlineStr">
        <is>
          <t>ПОЛУЛЮКС</t>
        </is>
      </c>
      <c r="S585" t="n">
        <v>25</v>
      </c>
      <c r="T585" t="n">
        <v>1</v>
      </c>
      <c r="U585" t="inlineStr"/>
      <c r="V585" t="inlineStr">
        <is>
          <t>Тариф с завтраком</t>
        </is>
      </c>
      <c r="W585" t="n">
        <v>22695</v>
      </c>
      <c r="X585" s="3" t="n">
        <v>4005</v>
      </c>
      <c r="Y585" t="inlineStr">
        <is>
          <t>15%</t>
        </is>
      </c>
      <c r="Z585" t="inlineStr">
        <is>
          <t>2026-09-10, 2026-09-11</t>
        </is>
      </c>
      <c r="AA585" s="3" t="n">
        <v>22695</v>
      </c>
      <c r="AB585" t="inlineStr">
        <is>
          <t>Сошлось по ночным тарифам</t>
        </is>
      </c>
      <c r="AC585" s="2" t="inlineStr"/>
      <c r="AD585" t="n">
        <v>4005</v>
      </c>
      <c r="AE585" t="n">
        <v>0</v>
      </c>
      <c r="AF585" t="inlineStr">
        <is>
          <t>Скидка добавлена к налоговой базе</t>
        </is>
      </c>
      <c r="AG585" t="n">
        <v>26700</v>
      </c>
      <c r="AH585" t="n">
        <v>22695</v>
      </c>
      <c r="AI585" t="inlineStr">
        <is>
          <t>Полное проживание в выбранном периоде</t>
        </is>
      </c>
    </row>
    <row r="586">
      <c r="A586" t="inlineStr">
        <is>
          <t>20260918-8186-452114243</t>
        </is>
      </c>
      <c r="B586" t="n">
        <v>1</v>
      </c>
      <c r="C586" s="2" t="inlineStr">
        <is>
          <t>Лилия Бойко</t>
        </is>
      </c>
      <c r="D586" s="3" t="n">
        <v>22348.15</v>
      </c>
      <c r="E586" s="4" t="n">
        <v>4</v>
      </c>
      <c r="F586" t="inlineStr">
        <is>
          <t>TravelLine Booking Engine [Чайковский]</t>
        </is>
      </c>
      <c r="G586" s="3">
        <f>ROUND(D586/(100-E586)*100,2)</f>
        <v/>
      </c>
      <c r="H586" s="3" t="n">
        <v>0</v>
      </c>
      <c r="I586" s="3">
        <f>ROUND(IF(ISNUMBER(AG586),AG586,G586)+H586,2)</f>
        <v/>
      </c>
      <c r="J586" s="2" t="inlineStr">
        <is>
          <t>Завтрак "Шведский стол"</t>
        </is>
      </c>
      <c r="K586" s="5" t="n">
        <v>46283.58333333334</v>
      </c>
      <c r="L586" t="n">
        <v>2</v>
      </c>
      <c r="M586" s="3">
        <f>I586/L586</f>
        <v/>
      </c>
      <c r="N586">
        <f>IF(M586&gt;=5100,"ставка","мин.ставка")</f>
        <v/>
      </c>
      <c r="O586" s="3">
        <f>ROUND(IF(N586="мин.ставка",L586*100,I586/102*2),2)</f>
        <v/>
      </c>
      <c r="P586" s="5" t="n">
        <v>46285.5</v>
      </c>
      <c r="Q586" t="inlineStr">
        <is>
          <t>TravelLine сайт</t>
        </is>
      </c>
      <c r="R586" s="2" t="inlineStr">
        <is>
          <t>СТАНДАРТНЫЙ ДВУХМЕСТНЫЙ НОМЕР</t>
        </is>
      </c>
      <c r="S586" t="n">
        <v>22</v>
      </c>
      <c r="T586" t="n">
        <v>1</v>
      </c>
      <c r="U586" t="inlineStr"/>
      <c r="V586" t="inlineStr">
        <is>
          <t>Тариф с завтраком</t>
        </is>
      </c>
      <c r="W586" t="n">
        <v>22348.15</v>
      </c>
      <c r="X586" s="3" t="n">
        <v>351.85</v>
      </c>
      <c r="Y586" t="inlineStr">
        <is>
          <t>3.1%</t>
        </is>
      </c>
      <c r="Z586" t="inlineStr">
        <is>
          <t>2026-09-18</t>
        </is>
      </c>
      <c r="AA586" s="3" t="n">
        <v>22348.15</v>
      </c>
      <c r="AB586" t="inlineStr">
        <is>
          <t>Сошлось по ночным тарифам</t>
        </is>
      </c>
      <c r="AC586" s="2" t="inlineStr"/>
      <c r="AD586" t="n">
        <v>351.85</v>
      </c>
      <c r="AE586" t="n">
        <v>0</v>
      </c>
      <c r="AF586" t="inlineStr">
        <is>
          <t>Скидка добавлена к налоговой базе</t>
        </is>
      </c>
      <c r="AG586" t="n">
        <v>22700</v>
      </c>
      <c r="AH586" t="n">
        <v>22348.15</v>
      </c>
      <c r="AI586" t="inlineStr">
        <is>
          <t>Полное проживание в выбранном периоде</t>
        </is>
      </c>
    </row>
    <row r="587">
      <c r="A587" t="inlineStr">
        <is>
          <t>20260713-8186-435959048</t>
        </is>
      </c>
      <c r="B587" t="n">
        <v>1</v>
      </c>
      <c r="C587" s="2" t="inlineStr">
        <is>
          <t>ЛИЛИЯ САМОХВАЛОВА, ВАЛЕРИЙ САМОХВАЛОВ</t>
        </is>
      </c>
      <c r="D587" s="3" t="n">
        <v>36960</v>
      </c>
      <c r="E587" s="4" t="n">
        <v>20</v>
      </c>
      <c r="F587" t="inlineStr">
        <is>
          <t>ООО "ХБ-ПРО" [Чайковский]</t>
        </is>
      </c>
      <c r="G587" s="3">
        <f>ROUND(D587/(100-E587)*100,2)</f>
        <v/>
      </c>
      <c r="H587" s="3" t="n">
        <v>800</v>
      </c>
      <c r="I587" s="3">
        <f>ROUND(IF(ISNUMBER(AG587),AG587,G587)+H587,2)</f>
        <v/>
      </c>
      <c r="J587" s="2" t="inlineStr">
        <is>
          <t>продление номера — 800,00 ₽; Завтрак "Шведский стол"</t>
        </is>
      </c>
      <c r="K587" s="5" t="n">
        <v>46216.58333333334</v>
      </c>
      <c r="L587" t="n">
        <v>3</v>
      </c>
      <c r="M587" s="3">
        <f>I587/L587</f>
        <v/>
      </c>
      <c r="N587">
        <f>IF(M587&gt;=5100,"ставка","мин.ставка")</f>
        <v/>
      </c>
      <c r="O587" s="3">
        <f>ROUND(IF(N587="мин.ставка",L587*100,I587/102*2),2)</f>
        <v/>
      </c>
      <c r="P587" s="5" t="n">
        <v>46219.5</v>
      </c>
      <c r="Q587" t="inlineStr">
        <is>
          <t>TravelLine UTS</t>
        </is>
      </c>
      <c r="R587" s="2" t="inlineStr">
        <is>
          <t>УЛУЧШЕННЫЙ ДВУХМЕСТНЫЙ НОМЕР</t>
        </is>
      </c>
      <c r="S587" t="n">
        <v>56</v>
      </c>
      <c r="T587" t="n">
        <v>2</v>
      </c>
      <c r="U587" t="inlineStr"/>
      <c r="V587" t="inlineStr">
        <is>
          <t>Тариф с завтраком</t>
        </is>
      </c>
      <c r="W587" t="n">
        <v>37760</v>
      </c>
      <c r="X587" s="3" t="n">
        <v>0</v>
      </c>
      <c r="Y587" t="inlineStr"/>
      <c r="Z587" t="inlineStr"/>
      <c r="AA587" s="3" t="n">
        <v>36960</v>
      </c>
      <c r="AB587" t="inlineStr">
        <is>
          <t>Сошлось с услугами</t>
        </is>
      </c>
      <c r="AC587" s="2" t="inlineStr"/>
      <c r="AD587" t="n">
        <v>0</v>
      </c>
      <c r="AE587" t="n">
        <v>0</v>
      </c>
      <c r="AF587" t="inlineStr">
        <is>
          <t>Скидки нет</t>
        </is>
      </c>
      <c r="AG587" t="n">
        <v>36960</v>
      </c>
      <c r="AH587" t="n">
        <v>36960</v>
      </c>
      <c r="AI587" t="inlineStr">
        <is>
          <t>Полное проживание в выбранном периоде</t>
        </is>
      </c>
    </row>
    <row r="588">
      <c r="A588" t="inlineStr">
        <is>
          <t>20260728-8186-453831391</t>
        </is>
      </c>
      <c r="B588" t="n">
        <v>1</v>
      </c>
      <c r="C588" s="2" t="inlineStr">
        <is>
          <t>лия виноградова</t>
        </is>
      </c>
      <c r="D588" s="3" t="n">
        <v>40200</v>
      </c>
      <c r="E588" s="4" t="n">
        <v>0</v>
      </c>
      <c r="F588" t="inlineStr">
        <is>
          <t>Прямые бронирования (стойка) [Чайковский]</t>
        </is>
      </c>
      <c r="G588" s="3">
        <f>ROUND(D588/(100-E588)*100,2)</f>
        <v/>
      </c>
      <c r="H588" s="3" t="n">
        <v>0</v>
      </c>
      <c r="I588" s="3">
        <f>ROUND(IF(ISNUMBER(AG588),AG588,G588)+H588,2)</f>
        <v/>
      </c>
      <c r="J588" s="2" t="inlineStr">
        <is>
          <t>Завтрак "Шведский стол"</t>
        </is>
      </c>
      <c r="K588" s="5" t="n">
        <v>46231.58333333334</v>
      </c>
      <c r="L588" t="n">
        <v>3</v>
      </c>
      <c r="M588" s="3">
        <f>I588/L588</f>
        <v/>
      </c>
      <c r="N588">
        <f>IF(M588&gt;=5100,"ставка","мин.ставка")</f>
        <v/>
      </c>
      <c r="O588" s="3">
        <f>ROUND(IF(N588="мин.ставка",L588*100,I588/102*2),2)</f>
        <v/>
      </c>
      <c r="P588" s="5" t="n">
        <v>46234.5</v>
      </c>
      <c r="Q588" t="inlineStr">
        <is>
          <t>TravelLine ресепшен</t>
        </is>
      </c>
      <c r="R588" s="2" t="inlineStr">
        <is>
          <t>УЛУЧШЕННЫЙ ДВУХМЕСТНЫЙ НОМЕР</t>
        </is>
      </c>
      <c r="S588" t="n">
        <v>21</v>
      </c>
      <c r="T588" t="n">
        <v>1</v>
      </c>
      <c r="U588" t="inlineStr"/>
      <c r="V588" t="inlineStr">
        <is>
          <t>Тариф с завтраком</t>
        </is>
      </c>
      <c r="W588" t="n">
        <v>40200</v>
      </c>
      <c r="X588" s="3" t="n">
        <v>0</v>
      </c>
      <c r="Y588" t="inlineStr"/>
      <c r="Z588" t="inlineStr"/>
      <c r="AA588" s="3" t="n">
        <v>40200</v>
      </c>
      <c r="AB588" t="inlineStr">
        <is>
          <t>Сошлось по ночным тарифам</t>
        </is>
      </c>
      <c r="AC588" s="2" t="inlineStr"/>
      <c r="AD588" t="n">
        <v>0</v>
      </c>
      <c r="AE588" t="n">
        <v>0</v>
      </c>
      <c r="AF588" t="inlineStr">
        <is>
          <t>Скидки нет</t>
        </is>
      </c>
      <c r="AG588" t="n">
        <v>40200</v>
      </c>
      <c r="AH588" t="n">
        <v>40200</v>
      </c>
      <c r="AI588" t="inlineStr">
        <is>
          <t>Полное проживание в выбранном периоде</t>
        </is>
      </c>
    </row>
    <row r="589">
      <c r="A589" t="inlineStr">
        <is>
          <t>20260824-8186-461183075</t>
        </is>
      </c>
      <c r="B589" t="n">
        <v>1</v>
      </c>
      <c r="C589" s="2" t="inlineStr">
        <is>
          <t>Лора Покровина</t>
        </is>
      </c>
      <c r="D589" s="3" t="n">
        <v>9647.5</v>
      </c>
      <c r="E589" s="4" t="n">
        <v>15</v>
      </c>
      <c r="F589" t="inlineStr">
        <is>
          <t>Trip.com Group [Чайковский]</t>
        </is>
      </c>
      <c r="G589" s="3">
        <f>ROUND(D589/(100-E589)*100,2)</f>
        <v/>
      </c>
      <c r="H589" s="3" t="n">
        <v>0</v>
      </c>
      <c r="I589" s="3">
        <f>ROUND(IF(ISNUMBER(AG589),AG589,G589)+H589,2)</f>
        <v/>
      </c>
      <c r="J589" s="2" t="inlineStr">
        <is>
          <t>Завтрак "Шведский стол"</t>
        </is>
      </c>
      <c r="K589" s="5" t="n">
        <v>46258.58333333334</v>
      </c>
      <c r="L589" t="n">
        <v>1</v>
      </c>
      <c r="M589" s="3">
        <f>I589/L589</f>
        <v/>
      </c>
      <c r="N589">
        <f>IF(M589&gt;=5100,"ставка","мин.ставка")</f>
        <v/>
      </c>
      <c r="O589" s="3">
        <f>ROUND(IF(N589="мин.ставка",L589*100,I589/102*2),2)</f>
        <v/>
      </c>
      <c r="P589" s="5" t="n">
        <v>46259.5</v>
      </c>
      <c r="Q589" t="inlineStr">
        <is>
          <t>TravelLine CTP</t>
        </is>
      </c>
      <c r="R589" s="2" t="inlineStr">
        <is>
          <t>СТАНДАРТНЫЙ ДВУХМЕСТНЫЙ НОМЕР</t>
        </is>
      </c>
      <c r="S589" t="n">
        <v>55</v>
      </c>
      <c r="T589" t="n">
        <v>2</v>
      </c>
      <c r="U589" t="inlineStr"/>
      <c r="V589" t="inlineStr">
        <is>
          <t>Тариф с завтраком</t>
        </is>
      </c>
      <c r="W589" t="n">
        <v>9647.5</v>
      </c>
      <c r="X589" s="3" t="n">
        <v>0</v>
      </c>
      <c r="Y589" t="inlineStr"/>
      <c r="Z589" t="inlineStr"/>
      <c r="AA589" s="3" t="n">
        <v>9647.5</v>
      </c>
      <c r="AB589" t="inlineStr">
        <is>
          <t>Сошлось по ночным тарифам</t>
        </is>
      </c>
      <c r="AC589" s="2" t="inlineStr"/>
      <c r="AD589" t="n">
        <v>0</v>
      </c>
      <c r="AE589" t="n">
        <v>0</v>
      </c>
      <c r="AF589" t="inlineStr">
        <is>
          <t>Скидки нет</t>
        </is>
      </c>
      <c r="AG589" t="n">
        <v>9647.5</v>
      </c>
      <c r="AH589" t="n">
        <v>9647.5</v>
      </c>
      <c r="AI589" t="inlineStr">
        <is>
          <t>Полное проживание в выбранном периоде</t>
        </is>
      </c>
    </row>
    <row r="590">
      <c r="A590" t="inlineStr">
        <is>
          <t>20260701-8186-446910186</t>
        </is>
      </c>
      <c r="B590" t="n">
        <v>1</v>
      </c>
      <c r="C590" s="2" t="inlineStr">
        <is>
          <t>ЛУАНА АЛИЕВА</t>
        </is>
      </c>
      <c r="D590" s="3" t="n">
        <v>14500</v>
      </c>
      <c r="E590" s="4" t="n">
        <v>0</v>
      </c>
      <c r="F590" t="inlineStr">
        <is>
          <t>Прямые бронирования (стойка) [Чайковский]</t>
        </is>
      </c>
      <c r="G590" s="3">
        <f>ROUND(D590/(100-E590)*100,2)</f>
        <v/>
      </c>
      <c r="H590" s="3" t="n">
        <v>0</v>
      </c>
      <c r="I590" s="3">
        <f>ROUND(IF(ISNUMBER(AG590),AG590,G590)+H590,2)</f>
        <v/>
      </c>
      <c r="J590" s="2" t="inlineStr"/>
      <c r="K590" s="5" t="n">
        <v>46204.58333333334</v>
      </c>
      <c r="L590" t="n">
        <v>1</v>
      </c>
      <c r="M590" s="3">
        <f>I590/L590</f>
        <v/>
      </c>
      <c r="N590">
        <f>IF(M590&gt;=5100,"ставка","мин.ставка")</f>
        <v/>
      </c>
      <c r="O590" s="3">
        <f>ROUND(IF(N590="мин.ставка",L590*100,I590/102*2),2)</f>
        <v/>
      </c>
      <c r="P590" s="5" t="n">
        <v>46205.5</v>
      </c>
      <c r="Q590" t="inlineStr">
        <is>
          <t>TravelLine ресепшен</t>
        </is>
      </c>
      <c r="R590" s="2" t="inlineStr">
        <is>
          <t>ЛЮКС ВТОРОЙ КОРПУС</t>
        </is>
      </c>
      <c r="S590" t="n">
        <v>54</v>
      </c>
      <c r="T590" t="n">
        <v>2</v>
      </c>
      <c r="U590" t="inlineStr"/>
      <c r="V590" t="inlineStr">
        <is>
          <t>Основной тариф без завтрака</t>
        </is>
      </c>
      <c r="W590" t="n">
        <v>14500</v>
      </c>
      <c r="X590" s="3" t="n">
        <v>0</v>
      </c>
      <c r="Y590" t="inlineStr"/>
      <c r="Z590" t="inlineStr"/>
      <c r="AA590" s="3" t="n">
        <v>14500</v>
      </c>
      <c r="AB590" t="inlineStr">
        <is>
          <t>Сошлось по ночным тарифам</t>
        </is>
      </c>
      <c r="AC590" s="2" t="inlineStr"/>
      <c r="AD590" t="n">
        <v>0</v>
      </c>
      <c r="AE590" t="n">
        <v>0</v>
      </c>
      <c r="AF590" t="inlineStr">
        <is>
          <t>Скидки нет</t>
        </is>
      </c>
      <c r="AG590" t="n">
        <v>14500</v>
      </c>
      <c r="AH590" t="n">
        <v>14500</v>
      </c>
      <c r="AI590" t="inlineStr">
        <is>
          <t>Полное проживание в выбранном периоде</t>
        </is>
      </c>
    </row>
    <row r="591">
      <c r="A591" t="inlineStr">
        <is>
          <t>20260919-8186-466759616</t>
        </is>
      </c>
      <c r="B591" t="n">
        <v>1</v>
      </c>
      <c r="C591" s="2" t="inlineStr">
        <is>
          <t>ЛЮБОВЬ БОГДАНОВА, АНДРЕЙ БОГДАНОВ</t>
        </is>
      </c>
      <c r="D591" s="3" t="n">
        <v>11214</v>
      </c>
      <c r="E591" s="4" t="n">
        <v>16</v>
      </c>
      <c r="F591" t="inlineStr">
        <is>
          <t>ООО "БРОНИРОВАНИЕ ГОСТИНИЦ" (OSTROVOK) [Чайковский]</t>
        </is>
      </c>
      <c r="G591" s="3">
        <f>ROUND(D591/(100-E591)*100,2)</f>
        <v/>
      </c>
      <c r="H591" s="3" t="n">
        <v>0</v>
      </c>
      <c r="I591" s="3">
        <f>ROUND(IF(ISNUMBER(AG591),AG591,G591)+H591,2)</f>
        <v/>
      </c>
      <c r="J591" s="2" t="inlineStr">
        <is>
          <t>Завтрак "Шведский стол"</t>
        </is>
      </c>
      <c r="K591" s="5" t="n">
        <v>46284.58333333334</v>
      </c>
      <c r="L591" t="n">
        <v>1</v>
      </c>
      <c r="M591" s="3">
        <f>I591/L591</f>
        <v/>
      </c>
      <c r="N591">
        <f>IF(M591&gt;=5100,"ставка","мин.ставка")</f>
        <v/>
      </c>
      <c r="O591" s="3">
        <f>ROUND(IF(N591="мин.ставка",L591*100,I591/102*2),2)</f>
        <v/>
      </c>
      <c r="P591" s="5" t="n">
        <v>46285.5</v>
      </c>
      <c r="Q591" t="inlineStr">
        <is>
          <t>TravelLine OTK</t>
        </is>
      </c>
      <c r="R591" s="2" t="inlineStr">
        <is>
          <t>СТАНДАРТНЫЙ ДВУХМЕСТНЫЙ НОМЕР</t>
        </is>
      </c>
      <c r="S591" t="n">
        <v>55</v>
      </c>
      <c r="T591" t="n">
        <v>2</v>
      </c>
      <c r="U591" t="inlineStr"/>
      <c r="V591" t="inlineStr">
        <is>
          <t>Тариф с завтраком</t>
        </is>
      </c>
      <c r="W591" t="n">
        <v>31962</v>
      </c>
      <c r="X591" s="3" t="n">
        <v>2136</v>
      </c>
      <c r="Y591" t="inlineStr">
        <is>
          <t>16%</t>
        </is>
      </c>
      <c r="Z591" t="inlineStr">
        <is>
          <t>2026-09-19</t>
        </is>
      </c>
      <c r="AA591" s="3" t="n">
        <v>11214</v>
      </c>
      <c r="AB591" t="inlineStr">
        <is>
          <t>Сошлось по ночным тарифам</t>
        </is>
      </c>
      <c r="AC591" s="2" t="inlineStr"/>
      <c r="AD591" t="n">
        <v>2136</v>
      </c>
      <c r="AE591" t="n">
        <v>0</v>
      </c>
      <c r="AF591" t="inlineStr">
        <is>
          <t>Скидка добавлена к налоговой базе</t>
        </is>
      </c>
      <c r="AG591" t="n">
        <v>13350</v>
      </c>
      <c r="AH591" t="n">
        <v>11214</v>
      </c>
      <c r="AI591" t="inlineStr">
        <is>
          <t>Полное проживание в выбранном периоде</t>
        </is>
      </c>
    </row>
    <row r="592">
      <c r="A592" t="inlineStr">
        <is>
          <t>20260729-8186-446362300</t>
        </is>
      </c>
      <c r="B592" t="n">
        <v>1</v>
      </c>
      <c r="C592" s="2" t="inlineStr">
        <is>
          <t>Любовь Дмитриева</t>
        </is>
      </c>
      <c r="D592" s="3" t="n">
        <v>6545</v>
      </c>
      <c r="E592" s="4" t="n">
        <v>15</v>
      </c>
      <c r="F592" t="inlineStr">
        <is>
          <t>ООО «СБО» (Ростелеком) [Чайковский]</t>
        </is>
      </c>
      <c r="G592" s="3">
        <f>ROUND(D592/(100-E592)*100,2)</f>
        <v/>
      </c>
      <c r="H592" s="3" t="n">
        <v>0</v>
      </c>
      <c r="I592" s="3">
        <f>ROUND(IF(ISNUMBER(AG592),AG592,G592)+H592,2)</f>
        <v/>
      </c>
      <c r="J592" s="2" t="inlineStr">
        <is>
          <t>Завтрак "Шведский стол"</t>
        </is>
      </c>
      <c r="K592" s="5" t="n">
        <v>46232.58333333334</v>
      </c>
      <c r="L592" t="n">
        <v>1</v>
      </c>
      <c r="M592" s="3">
        <f>I592/L592</f>
        <v/>
      </c>
      <c r="N592">
        <f>IF(M592&gt;=5100,"ставка","мин.ставка")</f>
        <v/>
      </c>
      <c r="O592" s="3">
        <f>ROUND(IF(N592="мин.ставка",L592*100,I592/102*2),2)</f>
        <v/>
      </c>
      <c r="P592" s="5" t="n">
        <v>46233.5</v>
      </c>
      <c r="Q592" t="inlineStr">
        <is>
          <t>TravelLine RTT</t>
        </is>
      </c>
      <c r="R592" s="2" t="inlineStr">
        <is>
          <t>СТАНДАРТНЫЙ ОДНОМЕСТНЫЙ НОМЕР</t>
        </is>
      </c>
      <c r="S592" t="n">
        <v>34</v>
      </c>
      <c r="T592" t="n">
        <v>1</v>
      </c>
      <c r="U592" t="inlineStr"/>
      <c r="V592" t="inlineStr">
        <is>
          <t>Тариф с завтраком</t>
        </is>
      </c>
      <c r="W592" t="n">
        <v>6545</v>
      </c>
      <c r="X592" s="3" t="n">
        <v>1155</v>
      </c>
      <c r="Y592" t="inlineStr">
        <is>
          <t>15%</t>
        </is>
      </c>
      <c r="Z592" t="inlineStr">
        <is>
          <t>2026-07-29</t>
        </is>
      </c>
      <c r="AA592" s="3" t="n">
        <v>6545</v>
      </c>
      <c r="AB592" t="inlineStr">
        <is>
          <t>Сошлось по ночным тарифам</t>
        </is>
      </c>
      <c r="AC592" s="2" t="inlineStr"/>
      <c r="AD592" t="n">
        <v>1155</v>
      </c>
      <c r="AE592" t="n">
        <v>0</v>
      </c>
      <c r="AF592" t="inlineStr">
        <is>
          <t>Скидка добавлена к налоговой базе</t>
        </is>
      </c>
      <c r="AG592" t="n">
        <v>7700</v>
      </c>
      <c r="AH592" t="n">
        <v>6545</v>
      </c>
      <c r="AI592" t="inlineStr">
        <is>
          <t>Полное проживание в выбранном периоде</t>
        </is>
      </c>
    </row>
    <row r="593">
      <c r="A593" t="inlineStr">
        <is>
          <t>20260930-8186-465893776</t>
        </is>
      </c>
      <c r="B593" t="n">
        <v>1</v>
      </c>
      <c r="C593" s="2" t="inlineStr">
        <is>
          <t>ЛЮБОВЬ ПУШКИНА</t>
        </is>
      </c>
      <c r="D593" s="3" t="n">
        <v>14820</v>
      </c>
      <c r="E593" s="4" t="n">
        <v>18</v>
      </c>
      <c r="F593" t="inlineStr">
        <is>
          <t>Яндекс.Путешествия [Чайковский]</t>
        </is>
      </c>
      <c r="G593" s="3">
        <f>ROUND(D593/(100-E593)*100,2)</f>
        <v/>
      </c>
      <c r="H593" s="3" t="n">
        <v>0</v>
      </c>
      <c r="I593" s="3">
        <f>ROUND(IF(ISNUMBER(AG593),AG593,G593)+H593,2)</f>
        <v/>
      </c>
      <c r="J593" s="2" t="inlineStr"/>
      <c r="K593" s="5" t="n">
        <v>46295.58333333334</v>
      </c>
      <c r="L593" t="n">
        <v>1</v>
      </c>
      <c r="M593" s="3">
        <f>I593/L593</f>
        <v/>
      </c>
      <c r="N593">
        <f>IF(M593&gt;=5100,"ставка","мин.ставка")</f>
        <v/>
      </c>
      <c r="O593" s="3">
        <f>ROUND(IF(N593="мин.ставка",L593*100,I593/102*2),2)</f>
        <v/>
      </c>
      <c r="P593" s="5" t="n">
        <v>46297.5</v>
      </c>
      <c r="Q593" t="inlineStr">
        <is>
          <t>TravelLine YAX</t>
        </is>
      </c>
      <c r="R593" s="2" t="inlineStr">
        <is>
          <t>СТАНДАРТНЫЙ ДВУХМЕСТНЫЙ НОМЕР (МАНСАРДА)</t>
        </is>
      </c>
      <c r="S593" t="n">
        <v>47</v>
      </c>
      <c r="T593" t="n">
        <v>1</v>
      </c>
      <c r="U593" t="inlineStr"/>
      <c r="V593" t="inlineStr">
        <is>
          <t>Тариф с завтраком</t>
        </is>
      </c>
      <c r="W593" t="n">
        <v>14820</v>
      </c>
      <c r="X593" s="3" t="n">
        <v>0</v>
      </c>
      <c r="Y593" t="inlineStr"/>
      <c r="Z593" t="inlineStr"/>
      <c r="AA593" s="3" t="n">
        <v>14820</v>
      </c>
      <c r="AB593" t="inlineStr">
        <is>
          <t>Сошлось по ночным тарифам</t>
        </is>
      </c>
      <c r="AC593" s="2" t="inlineStr"/>
      <c r="AD593" t="n">
        <v>0</v>
      </c>
      <c r="AE593" t="n">
        <v>0</v>
      </c>
      <c r="AF593" t="inlineStr">
        <is>
          <t>Скидки нет</t>
        </is>
      </c>
      <c r="AG593" t="n">
        <v>7505</v>
      </c>
      <c r="AH593" t="n">
        <v>7505</v>
      </c>
      <c r="AI593" t="inlineStr">
        <is>
          <t>Частичное проживание распределено по dailyRates</t>
        </is>
      </c>
    </row>
    <row r="594">
      <c r="A594" t="inlineStr">
        <is>
          <t>20260928-8186-469185491</t>
        </is>
      </c>
      <c r="B594" t="n">
        <v>1</v>
      </c>
      <c r="C594" s="2" t="inlineStr">
        <is>
          <t>ЛЮБОВЬ РЯБОВА, АРТЕМ ЗАВЬЯЛОВ</t>
        </is>
      </c>
      <c r="D594" s="3" t="n">
        <v>17800</v>
      </c>
      <c r="E594" s="4" t="n">
        <v>0</v>
      </c>
      <c r="F594" t="inlineStr">
        <is>
          <t>Прямые бронирования (стойка) [Чайковский]</t>
        </is>
      </c>
      <c r="G594" s="3">
        <f>ROUND(D594/(100-E594)*100,2)</f>
        <v/>
      </c>
      <c r="H594" s="3" t="n">
        <v>0</v>
      </c>
      <c r="I594" s="3">
        <f>ROUND(IF(ISNUMBER(AG594),AG594,G594)+H594,2)</f>
        <v/>
      </c>
      <c r="J594" s="2" t="inlineStr">
        <is>
          <t>Завтрак "Шведский стол"</t>
        </is>
      </c>
      <c r="K594" s="5" t="n">
        <v>46293.58333333334</v>
      </c>
      <c r="L594" t="n">
        <v>1</v>
      </c>
      <c r="M594" s="3">
        <f>I594/L594</f>
        <v/>
      </c>
      <c r="N594">
        <f>IF(M594&gt;=5100,"ставка","мин.ставка")</f>
        <v/>
      </c>
      <c r="O594" s="3">
        <f>ROUND(IF(N594="мин.ставка",L594*100,I594/102*2),2)</f>
        <v/>
      </c>
      <c r="P594" s="5" t="n">
        <v>46294.5</v>
      </c>
      <c r="Q594" t="inlineStr">
        <is>
          <t>TravelLine ресепшен</t>
        </is>
      </c>
      <c r="R594" s="2" t="inlineStr">
        <is>
          <t>ЛЮКС ВТОРОЙ КОРПУС</t>
        </is>
      </c>
      <c r="S594" t="n">
        <v>54</v>
      </c>
      <c r="T594" t="n">
        <v>2</v>
      </c>
      <c r="U594" t="inlineStr"/>
      <c r="V594" t="inlineStr">
        <is>
          <t>Тариф с завтраком</t>
        </is>
      </c>
      <c r="W594" t="n">
        <v>17800</v>
      </c>
      <c r="X594" s="3" t="n">
        <v>0</v>
      </c>
      <c r="Y594" t="inlineStr"/>
      <c r="Z594" t="inlineStr"/>
      <c r="AA594" s="3" t="n">
        <v>17800</v>
      </c>
      <c r="AB594" t="inlineStr">
        <is>
          <t>Сошлось по ночным тарифам</t>
        </is>
      </c>
      <c r="AC594" s="2" t="inlineStr"/>
      <c r="AD594" t="n">
        <v>0</v>
      </c>
      <c r="AE594" t="n">
        <v>0</v>
      </c>
      <c r="AF594" t="inlineStr">
        <is>
          <t>Скидки нет</t>
        </is>
      </c>
      <c r="AG594" t="n">
        <v>17800</v>
      </c>
      <c r="AH594" t="n">
        <v>17800</v>
      </c>
      <c r="AI594" t="inlineStr">
        <is>
          <t>Полное проживание в выбранном периоде</t>
        </is>
      </c>
    </row>
    <row r="595">
      <c r="A595" t="inlineStr">
        <is>
          <t>20260717-8186-441668446</t>
        </is>
      </c>
      <c r="B595" t="n">
        <v>1</v>
      </c>
      <c r="C595" s="2" t="inlineStr">
        <is>
          <t>Любовь Шубина, ГЛЕБ ТИМОЩЕНКО</t>
        </is>
      </c>
      <c r="D595" s="3" t="n">
        <v>33241.5</v>
      </c>
      <c r="E595" s="4" t="n">
        <v>17</v>
      </c>
      <c r="F595" t="inlineStr">
        <is>
          <t>ООО «Интернет Трэвел» (OZON) [Чайковский]</t>
        </is>
      </c>
      <c r="G595" s="3">
        <f>ROUND(D595/(100-E595)*100,2)</f>
        <v/>
      </c>
      <c r="H595" s="3" t="n">
        <v>0</v>
      </c>
      <c r="I595" s="3">
        <f>ROUND(IF(ISNUMBER(AG595),AG595,G595)+H595,2)</f>
        <v/>
      </c>
      <c r="J595" s="2" t="inlineStr">
        <is>
          <t>Завтрак "Шведский стол"</t>
        </is>
      </c>
      <c r="K595" s="5" t="n">
        <v>46220.58333333334</v>
      </c>
      <c r="L595" t="n">
        <v>3</v>
      </c>
      <c r="M595" s="3">
        <f>I595/L595</f>
        <v/>
      </c>
      <c r="N595">
        <f>IF(M595&gt;=5100,"ставка","мин.ставка")</f>
        <v/>
      </c>
      <c r="O595" s="3">
        <f>ROUND(IF(N595="мин.ставка",L595*100,I595/102*2),2)</f>
        <v/>
      </c>
      <c r="P595" s="5" t="n">
        <v>46223.5</v>
      </c>
      <c r="Q595" t="inlineStr">
        <is>
          <t>TravelLine OZ2</t>
        </is>
      </c>
      <c r="R595" s="2" t="inlineStr">
        <is>
          <t>СТАНДАРТНЫЙ ДВУХМЕСТНЫЙ НОМЕР</t>
        </is>
      </c>
      <c r="S595" t="n">
        <v>55</v>
      </c>
      <c r="T595" t="n">
        <v>2</v>
      </c>
      <c r="U595" t="inlineStr"/>
      <c r="V595" t="inlineStr">
        <is>
          <t>Тариф с завтраком</t>
        </is>
      </c>
      <c r="W595" t="n">
        <v>33241.5</v>
      </c>
      <c r="X595" s="3" t="n">
        <v>6808.5</v>
      </c>
      <c r="Y595" t="inlineStr">
        <is>
          <t>17%</t>
        </is>
      </c>
      <c r="Z595" t="inlineStr">
        <is>
          <t>2026-07-17, 2026-07-18, 2026-07-19</t>
        </is>
      </c>
      <c r="AA595" s="3" t="n">
        <v>33241.5</v>
      </c>
      <c r="AB595" t="inlineStr">
        <is>
          <t>Сошлось по ночным тарифам</t>
        </is>
      </c>
      <c r="AC595" s="2" t="inlineStr"/>
      <c r="AD595" t="n">
        <v>6808.5</v>
      </c>
      <c r="AE595" t="n">
        <v>0</v>
      </c>
      <c r="AF595" t="inlineStr">
        <is>
          <t>Скидка добавлена к налоговой базе</t>
        </is>
      </c>
      <c r="AG595" t="n">
        <v>40050</v>
      </c>
      <c r="AH595" t="n">
        <v>33241.5</v>
      </c>
      <c r="AI595" t="inlineStr">
        <is>
          <t>Полное проживание в выбранном периоде</t>
        </is>
      </c>
    </row>
    <row r="596">
      <c r="A596" t="inlineStr">
        <is>
          <t>20260814-8186-452849702</t>
        </is>
      </c>
      <c r="B596" t="n">
        <v>1</v>
      </c>
      <c r="C596" s="2" t="inlineStr">
        <is>
          <t>ЛЮДМИЛА БЕРЕСНЕВА, Екатерина Береснева</t>
        </is>
      </c>
      <c r="D596" s="3" t="n">
        <v>41269.1</v>
      </c>
      <c r="E596" s="4" t="n">
        <v>4</v>
      </c>
      <c r="F596" t="inlineStr">
        <is>
          <t>TravelLine Booking Engine [Чайковский]</t>
        </is>
      </c>
      <c r="G596" s="3">
        <f>ROUND(D596/(100-E596)*100,2)</f>
        <v/>
      </c>
      <c r="H596" s="3" t="n">
        <v>0</v>
      </c>
      <c r="I596" s="3">
        <f>ROUND(IF(ISNUMBER(AG596),AG596,G596)+H596,2)</f>
        <v/>
      </c>
      <c r="J596" s="2" t="inlineStr"/>
      <c r="K596" s="5" t="n">
        <v>46248.58333333334</v>
      </c>
      <c r="L596" t="n">
        <v>3</v>
      </c>
      <c r="M596" s="3">
        <f>I596/L596</f>
        <v/>
      </c>
      <c r="N596">
        <f>IF(M596&gt;=5100,"ставка","мин.ставка")</f>
        <v/>
      </c>
      <c r="O596" s="3">
        <f>ROUND(IF(N596="мин.ставка",L596*100,I596/102*2),2)</f>
        <v/>
      </c>
      <c r="P596" s="5" t="n">
        <v>46251.5</v>
      </c>
      <c r="Q596" t="inlineStr">
        <is>
          <t>TravelLine сайт</t>
        </is>
      </c>
      <c r="R596" s="2" t="inlineStr">
        <is>
          <t>УЛУЧШЕННЫЙ ДВУХМЕСТНЫЙ НОМЕР</t>
        </is>
      </c>
      <c r="S596" t="n">
        <v>59</v>
      </c>
      <c r="T596" t="n">
        <v>2</v>
      </c>
      <c r="U596" t="inlineStr"/>
      <c r="V596" t="inlineStr">
        <is>
          <t>Основной тариф без завтрака</t>
        </is>
      </c>
      <c r="W596" t="n">
        <v>41269.1</v>
      </c>
      <c r="X596" s="3" t="n">
        <v>430.9</v>
      </c>
      <c r="Y596" t="inlineStr">
        <is>
          <t>3.1%</t>
        </is>
      </c>
      <c r="Z596" t="inlineStr">
        <is>
          <t>2026-08-14</t>
        </is>
      </c>
      <c r="AA596" s="3" t="n">
        <v>41269.1</v>
      </c>
      <c r="AB596" t="inlineStr">
        <is>
          <t>Сошлось по ночным тарифам</t>
        </is>
      </c>
      <c r="AC596" s="2" t="inlineStr"/>
      <c r="AD596" t="n">
        <v>430.9</v>
      </c>
      <c r="AE596" t="n">
        <v>0</v>
      </c>
      <c r="AF596" t="inlineStr">
        <is>
          <t>Скидка добавлена к налоговой базе</t>
        </is>
      </c>
      <c r="AG596" t="n">
        <v>41700</v>
      </c>
      <c r="AH596" t="n">
        <v>41269.1</v>
      </c>
      <c r="AI596" t="inlineStr">
        <is>
          <t>Полное проживание в выбранном периоде</t>
        </is>
      </c>
    </row>
    <row r="597">
      <c r="A597" t="inlineStr">
        <is>
          <t>20260711-8186-410900450</t>
        </is>
      </c>
      <c r="B597" t="n">
        <v>1</v>
      </c>
      <c r="C597" s="2" t="inlineStr">
        <is>
          <t>Людмила Никитина, Фёдор Никитин</t>
        </is>
      </c>
      <c r="D597" s="3" t="n">
        <v>13350</v>
      </c>
      <c r="E597" s="4" t="n">
        <v>0</v>
      </c>
      <c r="F597" t="inlineStr">
        <is>
          <t>Прямые бронирования (стойка) [Чайковский]</t>
        </is>
      </c>
      <c r="G597" s="3">
        <f>ROUND(D597/(100-E597)*100,2)</f>
        <v/>
      </c>
      <c r="H597" s="3" t="n">
        <v>0</v>
      </c>
      <c r="I597" s="3">
        <f>ROUND(IF(ISNUMBER(AG597),AG597,G597)+H597,2)</f>
        <v/>
      </c>
      <c r="J597" s="2" t="inlineStr">
        <is>
          <t>Завтрак "Шведский стол"</t>
        </is>
      </c>
      <c r="K597" s="5" t="n">
        <v>46214.58333333334</v>
      </c>
      <c r="L597" t="n">
        <v>1</v>
      </c>
      <c r="M597" s="3">
        <f>I597/L597</f>
        <v/>
      </c>
      <c r="N597">
        <f>IF(M597&gt;=5100,"ставка","мин.ставка")</f>
        <v/>
      </c>
      <c r="O597" s="3">
        <f>ROUND(IF(N597="мин.ставка",L597*100,I597/102*2),2)</f>
        <v/>
      </c>
      <c r="P597" s="5" t="n">
        <v>46215.5</v>
      </c>
      <c r="Q597" t="inlineStr">
        <is>
          <t>TravelLine ресепшен</t>
        </is>
      </c>
      <c r="R597" s="2" t="inlineStr">
        <is>
          <t>СТАНДАРТНЫЙ ДВУХМЕСТНЫЙ НОМЕР</t>
        </is>
      </c>
      <c r="S597" t="n">
        <v>52</v>
      </c>
      <c r="T597" t="n">
        <v>2</v>
      </c>
      <c r="U597" t="inlineStr"/>
      <c r="V597" t="inlineStr">
        <is>
          <t>Тариф с завтраком</t>
        </is>
      </c>
      <c r="W597" t="n">
        <v>13350</v>
      </c>
      <c r="X597" s="3" t="n">
        <v>0</v>
      </c>
      <c r="Y597" t="inlineStr"/>
      <c r="Z597" t="inlineStr"/>
      <c r="AA597" s="3" t="n">
        <v>13350</v>
      </c>
      <c r="AB597" t="inlineStr">
        <is>
          <t>Сошлось по ночным тарифам</t>
        </is>
      </c>
      <c r="AC597" s="2" t="inlineStr"/>
      <c r="AD597" t="n">
        <v>0</v>
      </c>
      <c r="AE597" t="n">
        <v>0</v>
      </c>
      <c r="AF597" t="inlineStr">
        <is>
          <t>Скидки нет</t>
        </is>
      </c>
      <c r="AG597" t="n">
        <v>13350</v>
      </c>
      <c r="AH597" t="n">
        <v>13350</v>
      </c>
      <c r="AI597" t="inlineStr">
        <is>
          <t>Полное проживание в выбранном периоде</t>
        </is>
      </c>
    </row>
    <row r="598">
      <c r="A598" t="inlineStr">
        <is>
          <t>20260725-8186-452845758</t>
        </is>
      </c>
      <c r="B598" t="n">
        <v>1</v>
      </c>
      <c r="C598" s="2" t="inlineStr">
        <is>
          <t>Ляйсан Пушницына</t>
        </is>
      </c>
      <c r="D598" s="3" t="n">
        <v>6715</v>
      </c>
      <c r="E598" s="4" t="n">
        <v>15</v>
      </c>
      <c r="F598" t="inlineStr">
        <is>
          <t>ООО "БРОНИРОВАНИЕ ГОСТИНИЦ" (OSTROVOK) [Чайковский]</t>
        </is>
      </c>
      <c r="G598" s="3">
        <f>ROUND(D598/(100-E598)*100,2)</f>
        <v/>
      </c>
      <c r="H598" s="3" t="n">
        <v>0</v>
      </c>
      <c r="I598" s="3">
        <f>ROUND(IF(ISNUMBER(AG598),AG598,G598)+H598,2)</f>
        <v/>
      </c>
      <c r="J598" s="2" t="inlineStr">
        <is>
          <t>Завтрак "Шведский стол"</t>
        </is>
      </c>
      <c r="K598" s="5" t="n">
        <v>46228.58333333334</v>
      </c>
      <c r="L598" t="n">
        <v>1</v>
      </c>
      <c r="M598" s="3">
        <f>I598/L598</f>
        <v/>
      </c>
      <c r="N598">
        <f>IF(M598&gt;=5100,"ставка","мин.ставка")</f>
        <v/>
      </c>
      <c r="O598" s="3">
        <f>ROUND(IF(N598="мин.ставка",L598*100,I598/102*2),2)</f>
        <v/>
      </c>
      <c r="P598" s="5" t="n">
        <v>46229.5</v>
      </c>
      <c r="Q598" t="inlineStr">
        <is>
          <t>TravelLine OTK</t>
        </is>
      </c>
      <c r="R598" s="2" t="inlineStr">
        <is>
          <t>СТАНДАРТНЫЙ ДВУХМЕСТНЫЙ НОМЕР (МАНСАРДА)</t>
        </is>
      </c>
      <c r="S598" t="n">
        <v>41</v>
      </c>
      <c r="T598" t="n">
        <v>1</v>
      </c>
      <c r="U598" t="inlineStr"/>
      <c r="V598" t="inlineStr">
        <is>
          <t>Тариф с завтраком</t>
        </is>
      </c>
      <c r="W598" t="n">
        <v>6715</v>
      </c>
      <c r="X598" s="3" t="n">
        <v>1185</v>
      </c>
      <c r="Y598" t="inlineStr">
        <is>
          <t>15%</t>
        </is>
      </c>
      <c r="Z598" t="inlineStr">
        <is>
          <t>2026-07-25</t>
        </is>
      </c>
      <c r="AA598" s="3" t="n">
        <v>6715</v>
      </c>
      <c r="AB598" t="inlineStr">
        <is>
          <t>Сошлось по ночным тарифам</t>
        </is>
      </c>
      <c r="AC598" s="2" t="inlineStr"/>
      <c r="AD598" t="n">
        <v>1185</v>
      </c>
      <c r="AE598" t="n">
        <v>0</v>
      </c>
      <c r="AF598" t="inlineStr">
        <is>
          <t>Скидка добавлена к налоговой базе</t>
        </is>
      </c>
      <c r="AG598" t="n">
        <v>7900</v>
      </c>
      <c r="AH598" t="n">
        <v>6715</v>
      </c>
      <c r="AI598" t="inlineStr">
        <is>
          <t>Полное проживание в выбранном периоде</t>
        </is>
      </c>
    </row>
    <row r="599">
      <c r="A599" t="inlineStr">
        <is>
          <t>20260906-8186-464002736</t>
        </is>
      </c>
      <c r="B599" t="n">
        <v>1</v>
      </c>
      <c r="C599" s="2" t="inlineStr">
        <is>
          <t>МАГОМЕД РАМАЗАНОВ, НАДИЯ ГАДЖИМАГОМЕДОВА</t>
        </is>
      </c>
      <c r="D599" s="3" t="n">
        <v>22428</v>
      </c>
      <c r="E599" s="4" t="n">
        <v>16</v>
      </c>
      <c r="F599" t="inlineStr">
        <is>
          <t>ООО "БРОНИРОВАНИЕ ГОСТИНИЦ" (OSTROVOK) [Чайковский]</t>
        </is>
      </c>
      <c r="G599" s="3">
        <f>ROUND(D599/(100-E599)*100,2)</f>
        <v/>
      </c>
      <c r="H599" s="3" t="n">
        <v>0</v>
      </c>
      <c r="I599" s="3">
        <f>ROUND(IF(ISNUMBER(AG599),AG599,G599)+H599,2)</f>
        <v/>
      </c>
      <c r="J599" s="2" t="inlineStr">
        <is>
          <t>Завтрак "Шведский стол"</t>
        </is>
      </c>
      <c r="K599" s="5" t="n">
        <v>46271.58333333334</v>
      </c>
      <c r="L599" t="n">
        <v>2</v>
      </c>
      <c r="M599" s="3">
        <f>I599/L599</f>
        <v/>
      </c>
      <c r="N599">
        <f>IF(M599&gt;=5100,"ставка","мин.ставка")</f>
        <v/>
      </c>
      <c r="O599" s="3">
        <f>ROUND(IF(N599="мин.ставка",L599*100,I599/102*2),2)</f>
        <v/>
      </c>
      <c r="P599" s="5" t="n">
        <v>46273.5</v>
      </c>
      <c r="Q599" t="inlineStr">
        <is>
          <t>TravelLine OTK</t>
        </is>
      </c>
      <c r="R599" s="2" t="inlineStr">
        <is>
          <t>СТАНДАРТНЫЙ ДВУХМЕСТНЫЙ НОМЕР</t>
        </is>
      </c>
      <c r="S599" t="n">
        <v>23</v>
      </c>
      <c r="T599" t="n">
        <v>1</v>
      </c>
      <c r="U599" t="inlineStr"/>
      <c r="V599" t="inlineStr">
        <is>
          <t>Тариф с завтраком</t>
        </is>
      </c>
      <c r="W599" t="n">
        <v>22428</v>
      </c>
      <c r="X599" s="3" t="n">
        <v>4272</v>
      </c>
      <c r="Y599" t="inlineStr">
        <is>
          <t>16%</t>
        </is>
      </c>
      <c r="Z599" t="inlineStr">
        <is>
          <t>2026-09-06, 2026-09-07</t>
        </is>
      </c>
      <c r="AA599" s="3" t="n">
        <v>22428</v>
      </c>
      <c r="AB599" t="inlineStr">
        <is>
          <t>Сошлось по ночным тарифам</t>
        </is>
      </c>
      <c r="AC599" s="2" t="inlineStr"/>
      <c r="AD599" t="n">
        <v>4272</v>
      </c>
      <c r="AE599" t="n">
        <v>0</v>
      </c>
      <c r="AF599" t="inlineStr">
        <is>
          <t>Скидка добавлена к налоговой базе</t>
        </is>
      </c>
      <c r="AG599" t="n">
        <v>26700</v>
      </c>
      <c r="AH599" t="n">
        <v>22428</v>
      </c>
      <c r="AI599" t="inlineStr">
        <is>
          <t>Полное проживание в выбранном периоде</t>
        </is>
      </c>
    </row>
    <row r="600">
      <c r="A600" t="inlineStr">
        <is>
          <t>20260826-8186-461708578</t>
        </is>
      </c>
      <c r="B600" t="n">
        <v>1</v>
      </c>
      <c r="C600" s="2" t="inlineStr">
        <is>
          <t>МАКСИМ АБДУРАЗАКОВ</t>
        </is>
      </c>
      <c r="D600" s="3" t="n">
        <v>9080</v>
      </c>
      <c r="E600" s="4" t="n">
        <v>20</v>
      </c>
      <c r="F600" t="inlineStr">
        <is>
          <t>ООО "ХБ-ПРО" [Чайковский]</t>
        </is>
      </c>
      <c r="G600" s="3">
        <f>ROUND(D600/(100-E600)*100,2)</f>
        <v/>
      </c>
      <c r="H600" s="3" t="n">
        <v>0</v>
      </c>
      <c r="I600" s="3">
        <f>ROUND(IF(ISNUMBER(AG600),AG600,G600)+H600,2)</f>
        <v/>
      </c>
      <c r="J600" s="2" t="inlineStr">
        <is>
          <t>Завтрак "Шведский стол"</t>
        </is>
      </c>
      <c r="K600" s="5" t="n">
        <v>46260.58333333334</v>
      </c>
      <c r="L600" t="n">
        <v>1</v>
      </c>
      <c r="M600" s="3">
        <f>I600/L600</f>
        <v/>
      </c>
      <c r="N600">
        <f>IF(M600&gt;=5100,"ставка","мин.ставка")</f>
        <v/>
      </c>
      <c r="O600" s="3">
        <f>ROUND(IF(N600="мин.ставка",L600*100,I600/102*2),2)</f>
        <v/>
      </c>
      <c r="P600" s="5" t="n">
        <v>46261.5</v>
      </c>
      <c r="Q600" t="inlineStr">
        <is>
          <t>TravelLine UTS</t>
        </is>
      </c>
      <c r="R600" s="2" t="inlineStr">
        <is>
          <t>ПОЛУЛЮКС</t>
        </is>
      </c>
      <c r="S600" t="n">
        <v>35</v>
      </c>
      <c r="T600" t="n">
        <v>1</v>
      </c>
      <c r="U600" t="inlineStr"/>
      <c r="V600" t="inlineStr">
        <is>
          <t>Тариф с завтраком</t>
        </is>
      </c>
      <c r="W600" t="n">
        <v>9080</v>
      </c>
      <c r="X600" s="3" t="n">
        <v>0</v>
      </c>
      <c r="Y600" t="inlineStr"/>
      <c r="Z600" t="inlineStr"/>
      <c r="AA600" s="3" t="n">
        <v>9080</v>
      </c>
      <c r="AB600" t="inlineStr">
        <is>
          <t>Сошлось по ночным тарифам</t>
        </is>
      </c>
      <c r="AC600" s="2" t="inlineStr"/>
      <c r="AD600" t="n">
        <v>0</v>
      </c>
      <c r="AE600" t="n">
        <v>0</v>
      </c>
      <c r="AF600" t="inlineStr">
        <is>
          <t>Скидки нет</t>
        </is>
      </c>
      <c r="AG600" t="n">
        <v>9080</v>
      </c>
      <c r="AH600" t="n">
        <v>9080</v>
      </c>
      <c r="AI600" t="inlineStr">
        <is>
          <t>Полное проживание в выбранном периоде</t>
        </is>
      </c>
    </row>
    <row r="601">
      <c r="A601" t="inlineStr">
        <is>
          <t>20260812-8186-456611452</t>
        </is>
      </c>
      <c r="B601" t="n">
        <v>1</v>
      </c>
      <c r="C601" s="2" t="inlineStr">
        <is>
          <t>Максим Акентьев</t>
        </is>
      </c>
      <c r="D601" s="3" t="n">
        <v>6545</v>
      </c>
      <c r="E601" s="4" t="n">
        <v>15</v>
      </c>
      <c r="F601" t="inlineStr">
        <is>
          <t>ООО «СБО» (Ростелеком) [Чайковский]</t>
        </is>
      </c>
      <c r="G601" s="3">
        <f>ROUND(D601/(100-E601)*100,2)</f>
        <v/>
      </c>
      <c r="H601" s="3" t="n">
        <v>0</v>
      </c>
      <c r="I601" s="3">
        <f>ROUND(IF(ISNUMBER(AG601),AG601,G601)+H601,2)</f>
        <v/>
      </c>
      <c r="J601" s="2" t="inlineStr">
        <is>
          <t>Завтрак "Шведский стол"</t>
        </is>
      </c>
      <c r="K601" s="5" t="n">
        <v>46246.58333333334</v>
      </c>
      <c r="L601" t="n">
        <v>1</v>
      </c>
      <c r="M601" s="3">
        <f>I601/L601</f>
        <v/>
      </c>
      <c r="N601">
        <f>IF(M601&gt;=5100,"ставка","мин.ставка")</f>
        <v/>
      </c>
      <c r="O601" s="3">
        <f>ROUND(IF(N601="мин.ставка",L601*100,I601/102*2),2)</f>
        <v/>
      </c>
      <c r="P601" s="5" t="n">
        <v>46247.5</v>
      </c>
      <c r="Q601" t="inlineStr">
        <is>
          <t>TravelLine RTT</t>
        </is>
      </c>
      <c r="R601" s="2" t="inlineStr">
        <is>
          <t>СТАНДАРТНЫЙ ОДНОМЕСТНЫЙ НОМЕР</t>
        </is>
      </c>
      <c r="S601" t="n">
        <v>34</v>
      </c>
      <c r="T601" t="n">
        <v>1</v>
      </c>
      <c r="U601" t="inlineStr"/>
      <c r="V601" t="inlineStr">
        <is>
          <t>Тариф с завтраком</t>
        </is>
      </c>
      <c r="W601" t="n">
        <v>6545</v>
      </c>
      <c r="X601" s="3" t="n">
        <v>1155</v>
      </c>
      <c r="Y601" t="inlineStr">
        <is>
          <t>15%</t>
        </is>
      </c>
      <c r="Z601" t="inlineStr">
        <is>
          <t>2026-08-12</t>
        </is>
      </c>
      <c r="AA601" s="3" t="n">
        <v>6545</v>
      </c>
      <c r="AB601" t="inlineStr">
        <is>
          <t>Сошлось по ночным тарифам</t>
        </is>
      </c>
      <c r="AC601" s="2" t="inlineStr"/>
      <c r="AD601" t="n">
        <v>1155</v>
      </c>
      <c r="AE601" t="n">
        <v>0</v>
      </c>
      <c r="AF601" t="inlineStr">
        <is>
          <t>Скидка добавлена к налоговой базе</t>
        </is>
      </c>
      <c r="AG601" t="n">
        <v>7700</v>
      </c>
      <c r="AH601" t="n">
        <v>6545</v>
      </c>
      <c r="AI601" t="inlineStr">
        <is>
          <t>Полное проживание в выбранном периоде</t>
        </is>
      </c>
    </row>
    <row r="602">
      <c r="A602" t="inlineStr">
        <is>
          <t>20260828-8186-462043143</t>
        </is>
      </c>
      <c r="B602" t="n">
        <v>1</v>
      </c>
      <c r="C602" s="2" t="inlineStr">
        <is>
          <t>Максим Бумагин, Екатерина Небогатова</t>
        </is>
      </c>
      <c r="D602" s="3" t="n">
        <v>24640</v>
      </c>
      <c r="E602" s="4" t="n">
        <v>20</v>
      </c>
      <c r="F602" t="inlineStr">
        <is>
          <t>ООО «Дубль Гис» (OTELLO) [Чайковский]</t>
        </is>
      </c>
      <c r="G602" s="3">
        <f>ROUND(D602/(100-E602)*100,2)</f>
        <v/>
      </c>
      <c r="H602" s="3" t="n">
        <v>0</v>
      </c>
      <c r="I602" s="3">
        <f>ROUND(IF(ISNUMBER(AG602),AG602,G602)+H602,2)</f>
        <v/>
      </c>
      <c r="J602" s="2" t="inlineStr">
        <is>
          <t>Завтрак "Шведский стол"</t>
        </is>
      </c>
      <c r="K602" s="5" t="n">
        <v>46262.58333333334</v>
      </c>
      <c r="L602" t="n">
        <v>2</v>
      </c>
      <c r="M602" s="3">
        <f>I602/L602</f>
        <v/>
      </c>
      <c r="N602">
        <f>IF(M602&gt;=5100,"ставка","мин.ставка")</f>
        <v/>
      </c>
      <c r="O602" s="3">
        <f>ROUND(IF(N602="мин.ставка",L602*100,I602/102*2),2)</f>
        <v/>
      </c>
      <c r="P602" s="5" t="n">
        <v>46264.5</v>
      </c>
      <c r="Q602" t="inlineStr">
        <is>
          <t>TravelLine OL2</t>
        </is>
      </c>
      <c r="R602" s="2" t="inlineStr">
        <is>
          <t>ЛЮКС ВТОРОЙ КОРПУС</t>
        </is>
      </c>
      <c r="S602" t="n">
        <v>54</v>
      </c>
      <c r="T602" t="n">
        <v>2</v>
      </c>
      <c r="U602" t="inlineStr"/>
      <c r="V602" t="inlineStr">
        <is>
          <t>Тариф с завтраком</t>
        </is>
      </c>
      <c r="W602" t="n">
        <v>24640</v>
      </c>
      <c r="X602" s="3" t="n">
        <v>6160</v>
      </c>
      <c r="Y602" t="inlineStr">
        <is>
          <t>20%</t>
        </is>
      </c>
      <c r="Z602" t="inlineStr">
        <is>
          <t>2026-08-28, 2026-08-29</t>
        </is>
      </c>
      <c r="AA602" s="3" t="n">
        <v>24640</v>
      </c>
      <c r="AB602" t="inlineStr">
        <is>
          <t>Сошлось по ночным тарифам</t>
        </is>
      </c>
      <c r="AC602" s="2" t="inlineStr"/>
      <c r="AD602" t="n">
        <v>6160</v>
      </c>
      <c r="AE602" t="n">
        <v>0</v>
      </c>
      <c r="AF602" t="inlineStr">
        <is>
          <t>Скидка добавлена к налоговой базе</t>
        </is>
      </c>
      <c r="AG602" t="n">
        <v>30800</v>
      </c>
      <c r="AH602" t="n">
        <v>24640</v>
      </c>
      <c r="AI602" t="inlineStr">
        <is>
          <t>Полное проживание в выбранном периоде</t>
        </is>
      </c>
    </row>
    <row r="603">
      <c r="A603" t="inlineStr">
        <is>
          <t>20260814-8186-435423092</t>
        </is>
      </c>
      <c r="B603" t="n">
        <v>1</v>
      </c>
      <c r="C603" s="2" t="inlineStr">
        <is>
          <t>Максим Головенко, Анна Минакова</t>
        </is>
      </c>
      <c r="D603" s="3" t="n">
        <v>26400</v>
      </c>
      <c r="E603" s="4" t="n">
        <v>18</v>
      </c>
      <c r="F603" t="inlineStr">
        <is>
          <t>Яндекс.Путешествия [Чайковский]</t>
        </is>
      </c>
      <c r="G603" s="3">
        <f>ROUND(D603/(100-E603)*100,2)</f>
        <v/>
      </c>
      <c r="H603" s="3" t="n">
        <v>0</v>
      </c>
      <c r="I603" s="3">
        <f>ROUND(IF(ISNUMBER(AG603),AG603,G603)+H603,2)</f>
        <v/>
      </c>
      <c r="J603" s="2" t="inlineStr">
        <is>
          <t>Завтрак "Шведский стол"</t>
        </is>
      </c>
      <c r="K603" s="5" t="n">
        <v>46248.58333333334</v>
      </c>
      <c r="L603" t="n">
        <v>2</v>
      </c>
      <c r="M603" s="3">
        <f>I603/L603</f>
        <v/>
      </c>
      <c r="N603">
        <f>IF(M603&gt;=5100,"ставка","мин.ставка")</f>
        <v/>
      </c>
      <c r="O603" s="3">
        <f>ROUND(IF(N603="мин.ставка",L603*100,I603/102*2),2)</f>
        <v/>
      </c>
      <c r="P603" s="5" t="n">
        <v>46250.5</v>
      </c>
      <c r="Q603" t="inlineStr">
        <is>
          <t>TravelLine YAX</t>
        </is>
      </c>
      <c r="R603" s="2" t="inlineStr">
        <is>
          <t>ПОЛУЛЮКС</t>
        </is>
      </c>
      <c r="S603" t="n">
        <v>25</v>
      </c>
      <c r="T603" t="n">
        <v>1</v>
      </c>
      <c r="U603" t="inlineStr"/>
      <c r="V603" t="inlineStr">
        <is>
          <t>Тариф с завтраком</t>
        </is>
      </c>
      <c r="W603" t="n">
        <v>26400</v>
      </c>
      <c r="X603" s="3" t="n">
        <v>6600</v>
      </c>
      <c r="Y603" t="inlineStr">
        <is>
          <t>20%</t>
        </is>
      </c>
      <c r="Z603" t="inlineStr">
        <is>
          <t>2026-08-14, 2026-08-15</t>
        </is>
      </c>
      <c r="AA603" s="3" t="n">
        <v>26400</v>
      </c>
      <c r="AB603" t="inlineStr">
        <is>
          <t>Сошлось по ночным тарифам</t>
        </is>
      </c>
      <c r="AC603" s="2" t="inlineStr"/>
      <c r="AD603" t="n">
        <v>6600</v>
      </c>
      <c r="AE603" t="n">
        <v>0</v>
      </c>
      <c r="AF603" t="inlineStr">
        <is>
          <t>Скидка добавлена к налоговой базе</t>
        </is>
      </c>
      <c r="AG603" t="n">
        <v>33000</v>
      </c>
      <c r="AH603" t="n">
        <v>26400</v>
      </c>
      <c r="AI603" t="inlineStr">
        <is>
          <t>Полное проживание в выбранном периоде</t>
        </is>
      </c>
    </row>
    <row r="604">
      <c r="A604" t="inlineStr">
        <is>
          <t>20260808-8186-450140561</t>
        </is>
      </c>
      <c r="B604" t="n">
        <v>1</v>
      </c>
      <c r="C604" s="2" t="inlineStr">
        <is>
          <t>Максим Густайтис, Анна Шинкаренко</t>
        </is>
      </c>
      <c r="D604" s="3" t="n">
        <v>13860</v>
      </c>
      <c r="E604" s="4" t="n">
        <v>0</v>
      </c>
      <c r="F604" t="inlineStr">
        <is>
          <t>Прямые бронирования (стойка) [Чайковский]</t>
        </is>
      </c>
      <c r="G604" s="3">
        <f>ROUND(D604/(100-E604)*100,2)</f>
        <v/>
      </c>
      <c r="H604" s="3" t="n">
        <v>0</v>
      </c>
      <c r="I604" s="3">
        <f>ROUND(IF(ISNUMBER(AG604),AG604,G604)+H604,2)</f>
        <v/>
      </c>
      <c r="J604" s="2" t="inlineStr">
        <is>
          <t>Завтрак "Шведский стол"</t>
        </is>
      </c>
      <c r="K604" s="5" t="n">
        <v>46242.58333333334</v>
      </c>
      <c r="L604" t="n">
        <v>1</v>
      </c>
      <c r="M604" s="3">
        <f>I604/L604</f>
        <v/>
      </c>
      <c r="N604">
        <f>IF(M604&gt;=5100,"ставка","мин.ставка")</f>
        <v/>
      </c>
      <c r="O604" s="3">
        <f>ROUND(IF(N604="мин.ставка",L604*100,I604/102*2),2)</f>
        <v/>
      </c>
      <c r="P604" s="5" t="n">
        <v>46243.5</v>
      </c>
      <c r="Q604" t="inlineStr">
        <is>
          <t>TravelLine ресепшен</t>
        </is>
      </c>
      <c r="R604" s="2" t="inlineStr">
        <is>
          <t>УЛУЧШЕННЫЙ ДВУХМЕСТНЫЙ НОМЕР</t>
        </is>
      </c>
      <c r="S604" t="n">
        <v>31</v>
      </c>
      <c r="T604" t="n">
        <v>1</v>
      </c>
      <c r="U604" t="inlineStr"/>
      <c r="V604" t="inlineStr">
        <is>
          <t>Тариф с завтраком</t>
        </is>
      </c>
      <c r="W604" t="n">
        <v>13860</v>
      </c>
      <c r="X604" s="3" t="n">
        <v>1540</v>
      </c>
      <c r="Y604" t="inlineStr">
        <is>
          <t>10%</t>
        </is>
      </c>
      <c r="Z604" t="inlineStr">
        <is>
          <t>2026-08-08</t>
        </is>
      </c>
      <c r="AA604" s="3" t="n">
        <v>13860</v>
      </c>
      <c r="AB604" t="inlineStr">
        <is>
          <t>Сошлось по ночным тарифам</t>
        </is>
      </c>
      <c r="AC604" s="2" t="inlineStr"/>
      <c r="AD604" t="n">
        <v>1540</v>
      </c>
      <c r="AE604" t="n">
        <v>0</v>
      </c>
      <c r="AF604" t="inlineStr">
        <is>
          <t>Скидка добавлена к налоговой базе</t>
        </is>
      </c>
      <c r="AG604" t="n">
        <v>15400</v>
      </c>
      <c r="AH604" t="n">
        <v>13860</v>
      </c>
      <c r="AI604" t="inlineStr">
        <is>
          <t>Полное проживание в выбранном периоде</t>
        </is>
      </c>
    </row>
    <row r="605">
      <c r="A605" t="inlineStr">
        <is>
          <t>20260712-8186-429226347</t>
        </is>
      </c>
      <c r="B605" t="n">
        <v>1</v>
      </c>
      <c r="C605" s="2" t="inlineStr">
        <is>
          <t>Максим Дербеденев, Юлия Папина</t>
        </is>
      </c>
      <c r="D605" s="3" t="n">
        <v>73920</v>
      </c>
      <c r="E605" s="4" t="n">
        <v>18</v>
      </c>
      <c r="F605" t="inlineStr">
        <is>
          <t>Яндекс.Путешествия [Чайковский]</t>
        </is>
      </c>
      <c r="G605" s="3">
        <f>ROUND(D605/(100-E605)*100,2)</f>
        <v/>
      </c>
      <c r="H605" s="3" t="n">
        <v>0</v>
      </c>
      <c r="I605" s="3">
        <f>ROUND(IF(ISNUMBER(AG605),AG605,G605)+H605,2)</f>
        <v/>
      </c>
      <c r="J605" s="2" t="inlineStr">
        <is>
          <t>Завтрак "Шведский стол"</t>
        </is>
      </c>
      <c r="K605" s="5" t="n">
        <v>46215.58333333334</v>
      </c>
      <c r="L605" t="n">
        <v>6</v>
      </c>
      <c r="M605" s="3">
        <f>I605/L605</f>
        <v/>
      </c>
      <c r="N605">
        <f>IF(M605&gt;=5100,"ставка","мин.ставка")</f>
        <v/>
      </c>
      <c r="O605" s="3">
        <f>ROUND(IF(N605="мин.ставка",L605*100,I605/102*2),2)</f>
        <v/>
      </c>
      <c r="P605" s="5" t="n">
        <v>46221.5</v>
      </c>
      <c r="Q605" t="inlineStr">
        <is>
          <t>TravelLine YAX</t>
        </is>
      </c>
      <c r="R605" s="2" t="inlineStr">
        <is>
          <t>УЛУЧШЕННЫЙ ДВУХМЕСТНЫЙ НОМЕР</t>
        </is>
      </c>
      <c r="S605" t="n">
        <v>31</v>
      </c>
      <c r="T605" t="n">
        <v>1</v>
      </c>
      <c r="U605" t="inlineStr"/>
      <c r="V605" t="inlineStr">
        <is>
          <t>Тариф с завтраком</t>
        </is>
      </c>
      <c r="W605" t="n">
        <v>73920</v>
      </c>
      <c r="X605" s="3" t="n">
        <v>18480</v>
      </c>
      <c r="Y605" t="inlineStr">
        <is>
          <t>20%</t>
        </is>
      </c>
      <c r="Z605" t="inlineStr">
        <is>
          <t>2026-07-12, 2026-07-13, 2026-07-14, 2026-07-15, 2026-07-16, 2026-07-17</t>
        </is>
      </c>
      <c r="AA605" s="3" t="n">
        <v>73920</v>
      </c>
      <c r="AB605" t="inlineStr">
        <is>
          <t>Сошлось по ночным тарифам</t>
        </is>
      </c>
      <c r="AC605" s="2" t="inlineStr"/>
      <c r="AD605" t="n">
        <v>18480</v>
      </c>
      <c r="AE605" t="n">
        <v>0</v>
      </c>
      <c r="AF605" t="inlineStr">
        <is>
          <t>Скидка добавлена к налоговой базе</t>
        </is>
      </c>
      <c r="AG605" t="n">
        <v>92400</v>
      </c>
      <c r="AH605" t="n">
        <v>73920</v>
      </c>
      <c r="AI605" t="inlineStr">
        <is>
          <t>Полное проживание в выбранном периоде</t>
        </is>
      </c>
    </row>
    <row r="606">
      <c r="A606" t="inlineStr">
        <is>
          <t>20260927-8186-468959350</t>
        </is>
      </c>
      <c r="B606" t="n">
        <v>1</v>
      </c>
      <c r="C606" s="2" t="inlineStr">
        <is>
          <t>МАКСИМ ДРОЗДОВИЧ</t>
        </is>
      </c>
      <c r="D606" s="3" t="n">
        <v>11850</v>
      </c>
      <c r="E606" s="4" t="n">
        <v>0</v>
      </c>
      <c r="F606" t="inlineStr">
        <is>
          <t>Прямые бронирования (стойка) [Чайковский]</t>
        </is>
      </c>
      <c r="G606" s="3">
        <f>ROUND(D606/(100-E606)*100,2)</f>
        <v/>
      </c>
      <c r="H606" s="3" t="n">
        <v>0</v>
      </c>
      <c r="I606" s="3">
        <f>ROUND(IF(ISNUMBER(AG606),AG606,G606)+H606,2)</f>
        <v/>
      </c>
      <c r="J606" s="2" t="inlineStr"/>
      <c r="K606" s="5" t="n">
        <v>46292.58333333334</v>
      </c>
      <c r="L606" t="n">
        <v>1</v>
      </c>
      <c r="M606" s="3">
        <f>I606/L606</f>
        <v/>
      </c>
      <c r="N606">
        <f>IF(M606&gt;=5100,"ставка","мин.ставка")</f>
        <v/>
      </c>
      <c r="O606" s="3">
        <f>ROUND(IF(N606="мин.ставка",L606*100,I606/102*2),2)</f>
        <v/>
      </c>
      <c r="P606" s="5" t="n">
        <v>46293.5</v>
      </c>
      <c r="Q606" t="inlineStr">
        <is>
          <t>TravelLine ресепшен</t>
        </is>
      </c>
      <c r="R606" s="2" t="inlineStr">
        <is>
          <t>СТАНДАРТНЫЙ ДВУХМЕСТНЫЙ НОМЕР</t>
        </is>
      </c>
      <c r="S606" t="n">
        <v>33</v>
      </c>
      <c r="T606" t="n">
        <v>1</v>
      </c>
      <c r="U606" t="inlineStr"/>
      <c r="V606" t="inlineStr">
        <is>
          <t>Основной тариф без завтрака</t>
        </is>
      </c>
      <c r="W606" t="n">
        <v>11850</v>
      </c>
      <c r="X606" s="3" t="n">
        <v>0</v>
      </c>
      <c r="Y606" t="inlineStr"/>
      <c r="Z606" t="inlineStr"/>
      <c r="AA606" s="3" t="n">
        <v>11850</v>
      </c>
      <c r="AB606" t="inlineStr">
        <is>
          <t>Сошлось по ночным тарифам</t>
        </is>
      </c>
      <c r="AC606" s="2" t="inlineStr"/>
      <c r="AD606" t="n">
        <v>0</v>
      </c>
      <c r="AE606" t="n">
        <v>0</v>
      </c>
      <c r="AF606" t="inlineStr">
        <is>
          <t>Скидки нет</t>
        </is>
      </c>
      <c r="AG606" t="n">
        <v>11850</v>
      </c>
      <c r="AH606" t="n">
        <v>11850</v>
      </c>
      <c r="AI606" t="inlineStr">
        <is>
          <t>Полное проживание в выбранном периоде</t>
        </is>
      </c>
    </row>
    <row r="607">
      <c r="A607" t="inlineStr">
        <is>
          <t>20260727-8186-453507191</t>
        </is>
      </c>
      <c r="B607" t="n">
        <v>1</v>
      </c>
      <c r="C607" s="2" t="inlineStr">
        <is>
          <t>Максим Залывский</t>
        </is>
      </c>
      <c r="D607" s="3" t="n">
        <v>15130</v>
      </c>
      <c r="E607" s="4" t="n">
        <v>15</v>
      </c>
      <c r="F607" t="inlineStr">
        <is>
          <t>ООО "БРОНИРОВАНИЕ ГОСТИНИЦ" (OSTROVOK) [Чайковский]</t>
        </is>
      </c>
      <c r="G607" s="3">
        <f>ROUND(D607/(100-E607)*100,2)</f>
        <v/>
      </c>
      <c r="H607" s="3" t="n">
        <v>0</v>
      </c>
      <c r="I607" s="3">
        <f>ROUND(IF(ISNUMBER(AG607),AG607,G607)+H607,2)</f>
        <v/>
      </c>
      <c r="J607" s="2" t="inlineStr">
        <is>
          <t>Завтрак "Шведский стол"</t>
        </is>
      </c>
      <c r="K607" s="5" t="n">
        <v>46230.58333333334</v>
      </c>
      <c r="L607" t="n">
        <v>2</v>
      </c>
      <c r="M607" s="3">
        <f>I607/L607</f>
        <v/>
      </c>
      <c r="N607">
        <f>IF(M607&gt;=5100,"ставка","мин.ставка")</f>
        <v/>
      </c>
      <c r="O607" s="3">
        <f>ROUND(IF(N607="мин.ставка",L607*100,I607/102*2),2)</f>
        <v/>
      </c>
      <c r="P607" s="5" t="n">
        <v>46232.5</v>
      </c>
      <c r="Q607" t="inlineStr">
        <is>
          <t>TravelLine OTK</t>
        </is>
      </c>
      <c r="R607" s="2" t="inlineStr">
        <is>
          <t>СТАНДАРТНЫЙ ДВУХМЕСТНЫЙ НОМЕР</t>
        </is>
      </c>
      <c r="S607" t="n">
        <v>58</v>
      </c>
      <c r="T607" t="n">
        <v>2</v>
      </c>
      <c r="U607" t="inlineStr"/>
      <c r="V607" t="inlineStr">
        <is>
          <t>Тариф с завтраком</t>
        </is>
      </c>
      <c r="W607" t="n">
        <v>15130</v>
      </c>
      <c r="X607" s="3" t="n">
        <v>2670</v>
      </c>
      <c r="Y607" t="inlineStr">
        <is>
          <t>15%</t>
        </is>
      </c>
      <c r="Z607" t="inlineStr">
        <is>
          <t>2026-07-27, 2026-07-28</t>
        </is>
      </c>
      <c r="AA607" s="3" t="n">
        <v>15130</v>
      </c>
      <c r="AB607" t="inlineStr">
        <is>
          <t>Сошлось по ночным тарифам</t>
        </is>
      </c>
      <c r="AC607" s="2" t="inlineStr"/>
      <c r="AD607" t="n">
        <v>2670</v>
      </c>
      <c r="AE607" t="n">
        <v>0</v>
      </c>
      <c r="AF607" t="inlineStr">
        <is>
          <t>Скидка добавлена к налоговой базе</t>
        </is>
      </c>
      <c r="AG607" t="n">
        <v>17800</v>
      </c>
      <c r="AH607" t="n">
        <v>15130</v>
      </c>
      <c r="AI607" t="inlineStr">
        <is>
          <t>Полное проживание в выбранном периоде</t>
        </is>
      </c>
    </row>
    <row r="608">
      <c r="A608" t="inlineStr">
        <is>
          <t>20260907-8186-463782784</t>
        </is>
      </c>
      <c r="B608" t="n">
        <v>1</v>
      </c>
      <c r="C608" s="2" t="inlineStr">
        <is>
          <t>Максим Королев, Кристина Теркачева</t>
        </is>
      </c>
      <c r="D608" s="3" t="n">
        <v>22161</v>
      </c>
      <c r="E608" s="4" t="n">
        <v>17</v>
      </c>
      <c r="F608" t="inlineStr">
        <is>
          <t>ООО «Интернет Трэвел» (OZON) [Чайковский]</t>
        </is>
      </c>
      <c r="G608" s="3">
        <f>ROUND(D608/(100-E608)*100,2)</f>
        <v/>
      </c>
      <c r="H608" s="3" t="n">
        <v>0</v>
      </c>
      <c r="I608" s="3">
        <f>ROUND(IF(ISNUMBER(AG608),AG608,G608)+H608,2)</f>
        <v/>
      </c>
      <c r="J608" s="2" t="inlineStr">
        <is>
          <t>Завтрак "Шведский стол"</t>
        </is>
      </c>
      <c r="K608" s="5" t="n">
        <v>46272.58333333334</v>
      </c>
      <c r="L608" t="n">
        <v>2</v>
      </c>
      <c r="M608" s="3">
        <f>I608/L608</f>
        <v/>
      </c>
      <c r="N608">
        <f>IF(M608&gt;=5100,"ставка","мин.ставка")</f>
        <v/>
      </c>
      <c r="O608" s="3">
        <f>ROUND(IF(N608="мин.ставка",L608*100,I608/102*2),2)</f>
        <v/>
      </c>
      <c r="P608" s="5" t="n">
        <v>46274.5</v>
      </c>
      <c r="Q608" t="inlineStr">
        <is>
          <t>TravelLine OZ2</t>
        </is>
      </c>
      <c r="R608" s="2" t="inlineStr">
        <is>
          <t>ЛЮКС ВТОРОЙ КОРПУС</t>
        </is>
      </c>
      <c r="S608" t="n">
        <v>57</v>
      </c>
      <c r="T608" t="n">
        <v>2</v>
      </c>
      <c r="U608" t="inlineStr"/>
      <c r="V608" t="inlineStr">
        <is>
          <t>Тариф с завтраком</t>
        </is>
      </c>
      <c r="W608" t="n">
        <v>22161</v>
      </c>
      <c r="X608" s="3" t="n">
        <v>4539</v>
      </c>
      <c r="Y608" t="inlineStr">
        <is>
          <t>17%</t>
        </is>
      </c>
      <c r="Z608" t="inlineStr">
        <is>
          <t>2026-09-07, 2026-09-08</t>
        </is>
      </c>
      <c r="AA608" s="3" t="n">
        <v>22161</v>
      </c>
      <c r="AB608" t="inlineStr">
        <is>
          <t>Сошлось по ночным тарифам</t>
        </is>
      </c>
      <c r="AC608" s="2" t="inlineStr"/>
      <c r="AD608" t="n">
        <v>4539</v>
      </c>
      <c r="AE608" t="n">
        <v>0</v>
      </c>
      <c r="AF608" t="inlineStr">
        <is>
          <t>Скидка добавлена к налоговой базе</t>
        </is>
      </c>
      <c r="AG608" t="n">
        <v>26700</v>
      </c>
      <c r="AH608" t="n">
        <v>22161</v>
      </c>
      <c r="AI608" t="inlineStr">
        <is>
          <t>Полное проживание в выбранном периоде</t>
        </is>
      </c>
    </row>
    <row r="609">
      <c r="A609" t="inlineStr">
        <is>
          <t>20260901-8186-427494727</t>
        </is>
      </c>
      <c r="B609" t="n">
        <v>1</v>
      </c>
      <c r="C609" s="2" t="inlineStr">
        <is>
          <t>Максим Мусарин, Анастасия Михайлова</t>
        </is>
      </c>
      <c r="D609" s="3" t="n">
        <v>47520</v>
      </c>
      <c r="E609" s="4" t="n">
        <v>20</v>
      </c>
      <c r="F609" t="inlineStr">
        <is>
          <t>ООО "КОМПАНИЯ БРОНЕВИК" [Чайковский]</t>
        </is>
      </c>
      <c r="G609" s="3">
        <f>ROUND(D609/(100-E609)*100,2)</f>
        <v/>
      </c>
      <c r="H609" s="3" t="n">
        <v>0</v>
      </c>
      <c r="I609" s="3">
        <f>ROUND(IF(ISNUMBER(AG609),AG609,G609)+H609,2)</f>
        <v/>
      </c>
      <c r="J609" s="2" t="inlineStr">
        <is>
          <t>Завтрак "Шведский стол"</t>
        </is>
      </c>
      <c r="K609" s="5" t="n">
        <v>46266.58333333334</v>
      </c>
      <c r="L609" t="n">
        <v>6</v>
      </c>
      <c r="M609" s="3">
        <f>I609/L609</f>
        <v/>
      </c>
      <c r="N609">
        <f>IF(M609&gt;=5100,"ставка","мин.ставка")</f>
        <v/>
      </c>
      <c r="O609" s="3">
        <f>ROUND(IF(N609="мин.ставка",L609*100,I609/102*2),2)</f>
        <v/>
      </c>
      <c r="P609" s="5" t="n">
        <v>46272.5</v>
      </c>
      <c r="Q609" t="inlineStr">
        <is>
          <t>TravelLine BR2</t>
        </is>
      </c>
      <c r="R609" s="2" t="inlineStr">
        <is>
          <t>СТАНДАРТНЫЙ ДВУХМЕСТНЫЙ НОМЕР (МАНСАРДА)</t>
        </is>
      </c>
      <c r="S609" t="n">
        <v>41</v>
      </c>
      <c r="T609" t="n">
        <v>1</v>
      </c>
      <c r="U609" t="inlineStr"/>
      <c r="V609" t="inlineStr">
        <is>
          <t>Тариф с завтраком</t>
        </is>
      </c>
      <c r="W609" t="n">
        <v>47520</v>
      </c>
      <c r="X609" s="3" t="n">
        <v>0</v>
      </c>
      <c r="Y609" t="inlineStr"/>
      <c r="Z609" t="inlineStr"/>
      <c r="AA609" s="3" t="n">
        <v>47520</v>
      </c>
      <c r="AB609" t="inlineStr">
        <is>
          <t>Сошлось по ночным тарифам</t>
        </is>
      </c>
      <c r="AC609" s="2" t="inlineStr"/>
      <c r="AD609" t="n">
        <v>0</v>
      </c>
      <c r="AE609" t="n">
        <v>0</v>
      </c>
      <c r="AF609" t="inlineStr">
        <is>
          <t>Скидки нет</t>
        </is>
      </c>
      <c r="AG609" t="n">
        <v>47520</v>
      </c>
      <c r="AH609" t="n">
        <v>47520</v>
      </c>
      <c r="AI609" t="inlineStr">
        <is>
          <t>Полное проживание в выбранном периоде</t>
        </is>
      </c>
    </row>
    <row r="610">
      <c r="A610" t="inlineStr">
        <is>
          <t>20260822-8186-451850888</t>
        </is>
      </c>
      <c r="B610" t="n">
        <v>1</v>
      </c>
      <c r="C610" s="2" t="inlineStr">
        <is>
          <t>МАКСИМ Панов, ЕКАТЕРИНА Панова</t>
        </is>
      </c>
      <c r="D610" s="3" t="n">
        <v>53400</v>
      </c>
      <c r="E610" s="4" t="n">
        <v>20</v>
      </c>
      <c r="F610" t="inlineStr">
        <is>
          <t>ООО "КОМПАНИЯ БРОНЕВИК" [Чайковский]</t>
        </is>
      </c>
      <c r="G610" s="3">
        <f>ROUND(D610/(100-E610)*100,2)</f>
        <v/>
      </c>
      <c r="H610" s="3" t="n">
        <v>720</v>
      </c>
      <c r="I610" s="3">
        <f>ROUND(IF(ISNUMBER(AG610),AG610,G610)+H610,2)</f>
        <v/>
      </c>
      <c r="J610" s="2" t="inlineStr">
        <is>
          <t>продление номера — 720,00 ₽; Завтрак "Шведский стол"</t>
        </is>
      </c>
      <c r="K610" s="5" t="n">
        <v>46256.58333333334</v>
      </c>
      <c r="L610" t="n">
        <v>5</v>
      </c>
      <c r="M610" s="3">
        <f>I610/L610</f>
        <v/>
      </c>
      <c r="N610">
        <f>IF(M610&gt;=5100,"ставка","мин.ставка")</f>
        <v/>
      </c>
      <c r="O610" s="3">
        <f>ROUND(IF(N610="мин.ставка",L610*100,I610/102*2),2)</f>
        <v/>
      </c>
      <c r="P610" s="5" t="n">
        <v>46261.5</v>
      </c>
      <c r="Q610" t="inlineStr">
        <is>
          <t>TravelLine BR2</t>
        </is>
      </c>
      <c r="R610" s="2" t="inlineStr">
        <is>
          <t>СТАНДАРТНЫЙ ДВУХМЕСТНЫЙ НОМЕР</t>
        </is>
      </c>
      <c r="S610" t="n">
        <v>33</v>
      </c>
      <c r="T610" t="n">
        <v>1</v>
      </c>
      <c r="U610" t="inlineStr"/>
      <c r="V610" t="inlineStr">
        <is>
          <t>Тариф с завтраком</t>
        </is>
      </c>
      <c r="W610" t="n">
        <v>54120</v>
      </c>
      <c r="X610" s="3" t="n">
        <v>0</v>
      </c>
      <c r="Y610" t="inlineStr"/>
      <c r="Z610" t="inlineStr"/>
      <c r="AA610" s="3" t="n">
        <v>53400</v>
      </c>
      <c r="AB610" t="inlineStr">
        <is>
          <t>Сошлось с услугами</t>
        </is>
      </c>
      <c r="AC610" s="2" t="inlineStr"/>
      <c r="AD610" t="n">
        <v>0</v>
      </c>
      <c r="AE610" t="n">
        <v>0</v>
      </c>
      <c r="AF610" t="inlineStr">
        <is>
          <t>Скидки нет</t>
        </is>
      </c>
      <c r="AG610" t="n">
        <v>53400</v>
      </c>
      <c r="AH610" t="n">
        <v>53400</v>
      </c>
      <c r="AI610" t="inlineStr">
        <is>
          <t>Полное проживание в выбранном периоде</t>
        </is>
      </c>
    </row>
    <row r="611">
      <c r="A611" t="inlineStr">
        <is>
          <t>20260827-8186-457788846</t>
        </is>
      </c>
      <c r="B611" t="n">
        <v>1</v>
      </c>
      <c r="C611" s="2" t="inlineStr">
        <is>
          <t>Максим Пономарев</t>
        </is>
      </c>
      <c r="D611" s="3" t="n">
        <v>34050</v>
      </c>
      <c r="E611" s="4" t="n">
        <v>0</v>
      </c>
      <c r="F611" t="inlineStr">
        <is>
          <t>Прямые бронирования (стойка) [Чайковский]</t>
        </is>
      </c>
      <c r="G611" s="3">
        <f>ROUND(D611/(100-E611)*100,2)</f>
        <v/>
      </c>
      <c r="H611" s="3" t="n">
        <v>0</v>
      </c>
      <c r="I611" s="3">
        <f>ROUND(IF(ISNUMBER(AG611),AG611,G611)+H611,2)</f>
        <v/>
      </c>
      <c r="J611" s="2" t="inlineStr">
        <is>
          <t>Завтрак "Шведский стол"</t>
        </is>
      </c>
      <c r="K611" s="5" t="n">
        <v>46261.58333333334</v>
      </c>
      <c r="L611" t="n">
        <v>3</v>
      </c>
      <c r="M611" s="3">
        <f>I611/L611</f>
        <v/>
      </c>
      <c r="N611">
        <f>IF(M611&gt;=5100,"ставка","мин.ставка")</f>
        <v/>
      </c>
      <c r="O611" s="3">
        <f>ROUND(IF(N611="мин.ставка",L611*100,I611/102*2),2)</f>
        <v/>
      </c>
      <c r="P611" s="5" t="n">
        <v>46264.5</v>
      </c>
      <c r="Q611" t="inlineStr">
        <is>
          <t>TravelLine ресепшен</t>
        </is>
      </c>
      <c r="R611" s="2" t="inlineStr">
        <is>
          <t>СТАНДАРТНЫЙ ДВУХМЕСТНЫЙ НОМЕР</t>
        </is>
      </c>
      <c r="S611" t="n">
        <v>32</v>
      </c>
      <c r="T611" t="n">
        <v>1</v>
      </c>
      <c r="U611" t="inlineStr"/>
      <c r="V611" t="inlineStr">
        <is>
          <t>Тариф с завтраком</t>
        </is>
      </c>
      <c r="W611" t="n">
        <v>34050</v>
      </c>
      <c r="X611" s="3" t="n">
        <v>0</v>
      </c>
      <c r="Y611" t="inlineStr"/>
      <c r="Z611" t="inlineStr"/>
      <c r="AA611" s="3" t="n">
        <v>34050</v>
      </c>
      <c r="AB611" t="inlineStr">
        <is>
          <t>Сошлось по ночным тарифам</t>
        </is>
      </c>
      <c r="AC611" s="2" t="inlineStr"/>
      <c r="AD611" t="n">
        <v>0</v>
      </c>
      <c r="AE611" t="n">
        <v>0</v>
      </c>
      <c r="AF611" t="inlineStr">
        <is>
          <t>Скидки нет</t>
        </is>
      </c>
      <c r="AG611" t="n">
        <v>34050</v>
      </c>
      <c r="AH611" t="n">
        <v>34050</v>
      </c>
      <c r="AI611" t="inlineStr">
        <is>
          <t>Полное проживание в выбранном периоде</t>
        </is>
      </c>
    </row>
    <row r="612">
      <c r="A612" t="inlineStr">
        <is>
          <t>20260905-8186-463791547</t>
        </is>
      </c>
      <c r="B612" t="n">
        <v>1</v>
      </c>
      <c r="C612" s="2" t="inlineStr">
        <is>
          <t>Максим Сачков</t>
        </is>
      </c>
      <c r="D612" s="3" t="n">
        <v>5775</v>
      </c>
      <c r="E612" s="4" t="n">
        <v>18</v>
      </c>
      <c r="F612" t="inlineStr">
        <is>
          <t>Яндекс.Путешествия [Чайковский]</t>
        </is>
      </c>
      <c r="G612" s="3">
        <f>ROUND(D612/(100-E612)*100,2)</f>
        <v/>
      </c>
      <c r="H612" s="3" t="n">
        <v>0</v>
      </c>
      <c r="I612" s="3">
        <f>ROUND(IF(ISNUMBER(AG612),AG612,G612)+H612,2)</f>
        <v/>
      </c>
      <c r="J612" s="2" t="inlineStr">
        <is>
          <t>Завтрак "Шведский стол"</t>
        </is>
      </c>
      <c r="K612" s="5" t="n">
        <v>46270.58333333334</v>
      </c>
      <c r="L612" t="n">
        <v>1</v>
      </c>
      <c r="M612" s="3">
        <f>I612/L612</f>
        <v/>
      </c>
      <c r="N612">
        <f>IF(M612&gt;=5100,"ставка","мин.ставка")</f>
        <v/>
      </c>
      <c r="O612" s="3">
        <f>ROUND(IF(N612="мин.ставка",L612*100,I612/102*2),2)</f>
        <v/>
      </c>
      <c r="P612" s="5" t="n">
        <v>46271.5</v>
      </c>
      <c r="Q612" t="inlineStr">
        <is>
          <t>TravelLine YAX</t>
        </is>
      </c>
      <c r="R612" s="2" t="inlineStr">
        <is>
          <t>СТАНДАРТНЫЙ ОДНОМЕСТНЫЙ НОМЕР</t>
        </is>
      </c>
      <c r="S612" t="n">
        <v>24</v>
      </c>
      <c r="T612" t="n">
        <v>1</v>
      </c>
      <c r="U612" t="inlineStr"/>
      <c r="V612" t="inlineStr">
        <is>
          <t>Тариф с завтраком</t>
        </is>
      </c>
      <c r="W612" t="n">
        <v>5775</v>
      </c>
      <c r="X612" s="3" t="n">
        <v>1925</v>
      </c>
      <c r="Y612" t="inlineStr">
        <is>
          <t>25%</t>
        </is>
      </c>
      <c r="Z612" t="inlineStr">
        <is>
          <t>2026-09-05</t>
        </is>
      </c>
      <c r="AA612" s="3" t="n">
        <v>5775</v>
      </c>
      <c r="AB612" t="inlineStr">
        <is>
          <t>Сошлось по ночным тарифам</t>
        </is>
      </c>
      <c r="AC612" s="2" t="inlineStr"/>
      <c r="AD612" t="n">
        <v>1925</v>
      </c>
      <c r="AE612" t="n">
        <v>0</v>
      </c>
      <c r="AF612" t="inlineStr">
        <is>
          <t>Скидка добавлена к налоговой базе</t>
        </is>
      </c>
      <c r="AG612" t="n">
        <v>7700</v>
      </c>
      <c r="AH612" t="n">
        <v>5775</v>
      </c>
      <c r="AI612" t="inlineStr">
        <is>
          <t>Полное проживание в выбранном периоде</t>
        </is>
      </c>
    </row>
    <row r="613">
      <c r="A613" t="inlineStr">
        <is>
          <t>20260802-8186-454751117</t>
        </is>
      </c>
      <c r="B613" t="n">
        <v>1</v>
      </c>
      <c r="C613" s="2" t="inlineStr">
        <is>
          <t>Максим Серов, АННА СЕРОВА</t>
        </is>
      </c>
      <c r="D613" s="3" t="n">
        <v>7920</v>
      </c>
      <c r="E613" s="4" t="n">
        <v>18</v>
      </c>
      <c r="F613" t="inlineStr">
        <is>
          <t>Яндекс.Путешествия [Чайковский]</t>
        </is>
      </c>
      <c r="G613" s="3">
        <f>ROUND(D613/(100-E613)*100,2)</f>
        <v/>
      </c>
      <c r="H613" s="3" t="n">
        <v>0</v>
      </c>
      <c r="I613" s="3">
        <f>ROUND(IF(ISNUMBER(AG613),AG613,G613)+H613,2)</f>
        <v/>
      </c>
      <c r="J613" s="2" t="inlineStr">
        <is>
          <t>Завтрак "Шведский стол"</t>
        </is>
      </c>
      <c r="K613" s="5" t="n">
        <v>46236.58333333334</v>
      </c>
      <c r="L613" t="n">
        <v>1</v>
      </c>
      <c r="M613" s="3">
        <f>I613/L613</f>
        <v/>
      </c>
      <c r="N613">
        <f>IF(M613&gt;=5100,"ставка","мин.ставка")</f>
        <v/>
      </c>
      <c r="O613" s="3">
        <f>ROUND(IF(N613="мин.ставка",L613*100,I613/102*2),2)</f>
        <v/>
      </c>
      <c r="P613" s="5" t="n">
        <v>46237.5</v>
      </c>
      <c r="Q613" t="inlineStr">
        <is>
          <t>TravelLine YAX</t>
        </is>
      </c>
      <c r="R613" s="2" t="inlineStr">
        <is>
          <t>СТАНДАРТНЫЙ ДВУХМЕСТНЫЙ НОМЕР (МАНСАРДА)</t>
        </is>
      </c>
      <c r="S613" t="n">
        <v>41</v>
      </c>
      <c r="T613" t="n">
        <v>1</v>
      </c>
      <c r="U613" t="inlineStr"/>
      <c r="V613" t="inlineStr">
        <is>
          <t>Тариф с завтраком</t>
        </is>
      </c>
      <c r="W613" t="n">
        <v>7920</v>
      </c>
      <c r="X613" s="3" t="n">
        <v>1980</v>
      </c>
      <c r="Y613" t="inlineStr">
        <is>
          <t>20%</t>
        </is>
      </c>
      <c r="Z613" t="inlineStr">
        <is>
          <t>2026-08-02</t>
        </is>
      </c>
      <c r="AA613" s="3" t="n">
        <v>7920</v>
      </c>
      <c r="AB613" t="inlineStr">
        <is>
          <t>Сошлось по ночным тарифам</t>
        </is>
      </c>
      <c r="AC613" s="2" t="inlineStr"/>
      <c r="AD613" t="n">
        <v>1980</v>
      </c>
      <c r="AE613" t="n">
        <v>0</v>
      </c>
      <c r="AF613" t="inlineStr">
        <is>
          <t>Скидка добавлена к налоговой базе</t>
        </is>
      </c>
      <c r="AG613" t="n">
        <v>9900</v>
      </c>
      <c r="AH613" t="n">
        <v>7920</v>
      </c>
      <c r="AI613" t="inlineStr">
        <is>
          <t>Полное проживание в выбранном периоде</t>
        </is>
      </c>
    </row>
    <row r="614">
      <c r="A614" t="inlineStr">
        <is>
          <t>20260920-8186-467279770</t>
        </is>
      </c>
      <c r="B614" t="n">
        <v>1</v>
      </c>
      <c r="C614" s="2" t="inlineStr">
        <is>
          <t>Максим Симоненко, Софья Курдяева</t>
        </is>
      </c>
      <c r="D614" s="3" t="n">
        <v>10012.5</v>
      </c>
      <c r="E614" s="4" t="n">
        <v>18</v>
      </c>
      <c r="F614" t="inlineStr">
        <is>
          <t>Яндекс.Путешествия [Чайковский]</t>
        </is>
      </c>
      <c r="G614" s="3">
        <f>ROUND(D614/(100-E614)*100,2)</f>
        <v/>
      </c>
      <c r="H614" s="3" t="n">
        <v>0</v>
      </c>
      <c r="I614" s="3">
        <f>ROUND(IF(ISNUMBER(AG614),AG614,G614)+H614,2)</f>
        <v/>
      </c>
      <c r="J614" s="2" t="inlineStr">
        <is>
          <t>Завтрак "Шведский стол"</t>
        </is>
      </c>
      <c r="K614" s="5" t="n">
        <v>46285.58333333334</v>
      </c>
      <c r="L614" t="n">
        <v>1</v>
      </c>
      <c r="M614" s="3">
        <f>I614/L614</f>
        <v/>
      </c>
      <c r="N614">
        <f>IF(M614&gt;=5100,"ставка","мин.ставка")</f>
        <v/>
      </c>
      <c r="O614" s="3">
        <f>ROUND(IF(N614="мин.ставка",L614*100,I614/102*2),2)</f>
        <v/>
      </c>
      <c r="P614" s="5" t="n">
        <v>46286.5</v>
      </c>
      <c r="Q614" t="inlineStr">
        <is>
          <t>TravelLine YAX</t>
        </is>
      </c>
      <c r="R614" s="2" t="inlineStr">
        <is>
          <t>СТАНДАРТНЫЙ ДВУХМЕСТНЫЙ НОМЕР</t>
        </is>
      </c>
      <c r="S614" t="n">
        <v>33</v>
      </c>
      <c r="T614" t="n">
        <v>1</v>
      </c>
      <c r="U614" t="inlineStr"/>
      <c r="V614" t="inlineStr">
        <is>
          <t>Тариф с завтраком</t>
        </is>
      </c>
      <c r="W614" t="n">
        <v>10012.5</v>
      </c>
      <c r="X614" s="3" t="n">
        <v>3337.5</v>
      </c>
      <c r="Y614" t="inlineStr">
        <is>
          <t>25%</t>
        </is>
      </c>
      <c r="Z614" t="inlineStr">
        <is>
          <t>2026-09-20</t>
        </is>
      </c>
      <c r="AA614" s="3" t="n">
        <v>10012.5</v>
      </c>
      <c r="AB614" t="inlineStr">
        <is>
          <t>Сошлось по ночным тарифам</t>
        </is>
      </c>
      <c r="AC614" s="2" t="inlineStr"/>
      <c r="AD614" t="n">
        <v>3337.5</v>
      </c>
      <c r="AE614" t="n">
        <v>0</v>
      </c>
      <c r="AF614" t="inlineStr">
        <is>
          <t>Скидка добавлена к налоговой базе</t>
        </is>
      </c>
      <c r="AG614" t="n">
        <v>13350</v>
      </c>
      <c r="AH614" t="n">
        <v>10012.5</v>
      </c>
      <c r="AI614" t="inlineStr">
        <is>
          <t>Полное проживание в выбранном периоде</t>
        </is>
      </c>
    </row>
    <row r="615">
      <c r="A615" t="inlineStr">
        <is>
          <t>20260919-8186-452147983</t>
        </is>
      </c>
      <c r="B615" t="n">
        <v>1</v>
      </c>
      <c r="C615" s="2" t="inlineStr">
        <is>
          <t>Максим Ступин, АННА СТУПИНА</t>
        </is>
      </c>
      <c r="D615" s="3" t="n">
        <v>66549.75</v>
      </c>
      <c r="E615" s="4" t="n">
        <v>4</v>
      </c>
      <c r="F615" t="inlineStr">
        <is>
          <t>TravelLine Booking Engine [Чайковский]</t>
        </is>
      </c>
      <c r="G615" s="3">
        <f>ROUND(D615/(100-E615)*100,2)</f>
        <v/>
      </c>
      <c r="H615" s="3" t="n">
        <v>0</v>
      </c>
      <c r="I615" s="3">
        <f>ROUND(IF(ISNUMBER(AG615),AG615,G615)+H615,2)</f>
        <v/>
      </c>
      <c r="J615" s="2" t="inlineStr">
        <is>
          <t>Завтрак "Шведский стол"</t>
        </is>
      </c>
      <c r="K615" s="5" t="n">
        <v>46284.58333333334</v>
      </c>
      <c r="L615" t="n">
        <v>5</v>
      </c>
      <c r="M615" s="3">
        <f>I615/L615</f>
        <v/>
      </c>
      <c r="N615">
        <f>IF(M615&gt;=5100,"ставка","мин.ставка")</f>
        <v/>
      </c>
      <c r="O615" s="3">
        <f>ROUND(IF(N615="мин.ставка",L615*100,I615/102*2),2)</f>
        <v/>
      </c>
      <c r="P615" s="5" t="n">
        <v>46289.5</v>
      </c>
      <c r="Q615" t="inlineStr">
        <is>
          <t>TravelLine сайт</t>
        </is>
      </c>
      <c r="R615" s="2" t="inlineStr">
        <is>
          <t>СТАНДАРТНЫЙ ДВУХМЕСТНЫЙ НОМЕР</t>
        </is>
      </c>
      <c r="S615" t="n">
        <v>26</v>
      </c>
      <c r="T615" t="n">
        <v>1</v>
      </c>
      <c r="U615" t="inlineStr"/>
      <c r="V615" t="inlineStr">
        <is>
          <t>Тариф с завтраком</t>
        </is>
      </c>
      <c r="W615" t="n">
        <v>66549.75</v>
      </c>
      <c r="X615" s="3" t="n">
        <v>200.25</v>
      </c>
      <c r="Y615" t="inlineStr">
        <is>
          <t>1.5%</t>
        </is>
      </c>
      <c r="Z615" t="inlineStr">
        <is>
          <t>2026-09-19</t>
        </is>
      </c>
      <c r="AA615" s="3" t="n">
        <v>66549.75</v>
      </c>
      <c r="AB615" t="inlineStr">
        <is>
          <t>Сошлось по ночным тарифам</t>
        </is>
      </c>
      <c r="AC615" s="2" t="inlineStr"/>
      <c r="AD615" t="n">
        <v>200.25</v>
      </c>
      <c r="AE615" t="n">
        <v>0</v>
      </c>
      <c r="AF615" t="inlineStr">
        <is>
          <t>Скидка добавлена к налоговой базе</t>
        </is>
      </c>
      <c r="AG615" t="n">
        <v>66750</v>
      </c>
      <c r="AH615" t="n">
        <v>66549.75</v>
      </c>
      <c r="AI615" t="inlineStr">
        <is>
          <t>Полное проживание в выбранном периоде</t>
        </is>
      </c>
    </row>
    <row r="616">
      <c r="A616" t="inlineStr">
        <is>
          <t>20260715-8186-440834544</t>
        </is>
      </c>
      <c r="B616" t="n">
        <v>1</v>
      </c>
      <c r="C616" s="2" t="inlineStr">
        <is>
          <t>Максим Трофимов, Анастасия Трофимова</t>
        </is>
      </c>
      <c r="D616" s="3" t="n">
        <v>32040</v>
      </c>
      <c r="E616" s="4" t="n">
        <v>20</v>
      </c>
      <c r="F616" t="inlineStr">
        <is>
          <t>ООО "КОМПАНИЯ БРОНЕВИК" [Чайковский]</t>
        </is>
      </c>
      <c r="G616" s="3">
        <f>ROUND(D616/(100-E616)*100,2)</f>
        <v/>
      </c>
      <c r="H616" s="3" t="n">
        <v>0</v>
      </c>
      <c r="I616" s="3">
        <f>ROUND(IF(ISNUMBER(AG616),AG616,G616)+H616,2)</f>
        <v/>
      </c>
      <c r="J616" s="2" t="inlineStr">
        <is>
          <t>Завтрак "Шведский стол"</t>
        </is>
      </c>
      <c r="K616" s="5" t="n">
        <v>46218.58333333334</v>
      </c>
      <c r="L616" t="n">
        <v>3</v>
      </c>
      <c r="M616" s="3">
        <f>I616/L616</f>
        <v/>
      </c>
      <c r="N616">
        <f>IF(M616&gt;=5100,"ставка","мин.ставка")</f>
        <v/>
      </c>
      <c r="O616" s="3">
        <f>ROUND(IF(N616="мин.ставка",L616*100,I616/102*2),2)</f>
        <v/>
      </c>
      <c r="P616" s="5" t="n">
        <v>46221.5</v>
      </c>
      <c r="Q616" t="inlineStr">
        <is>
          <t>TravelLine BR2</t>
        </is>
      </c>
      <c r="R616" s="2" t="inlineStr">
        <is>
          <t>СТАНДАРТНЫЙ ДВУХМЕСТНЫЙ НОМЕР</t>
        </is>
      </c>
      <c r="S616" t="n">
        <v>42</v>
      </c>
      <c r="T616" t="n">
        <v>1</v>
      </c>
      <c r="U616" t="inlineStr"/>
      <c r="V616" t="inlineStr">
        <is>
          <t>Тариф с завтраком</t>
        </is>
      </c>
      <c r="W616" t="n">
        <v>32040</v>
      </c>
      <c r="X616" s="3" t="n">
        <v>0</v>
      </c>
      <c r="Y616" t="inlineStr"/>
      <c r="Z616" t="inlineStr"/>
      <c r="AA616" s="3" t="n">
        <v>32040</v>
      </c>
      <c r="AB616" t="inlineStr">
        <is>
          <t>Сошлось по ночным тарифам</t>
        </is>
      </c>
      <c r="AC616" s="2" t="inlineStr"/>
      <c r="AD616" t="n">
        <v>0</v>
      </c>
      <c r="AE616" t="n">
        <v>0</v>
      </c>
      <c r="AF616" t="inlineStr">
        <is>
          <t>Скидки нет</t>
        </is>
      </c>
      <c r="AG616" t="n">
        <v>32040</v>
      </c>
      <c r="AH616" t="n">
        <v>32040</v>
      </c>
      <c r="AI616" t="inlineStr">
        <is>
          <t>Полное проживание в выбранном периоде</t>
        </is>
      </c>
    </row>
    <row r="617">
      <c r="A617" t="inlineStr">
        <is>
          <t>20260808-8186-455879576</t>
        </is>
      </c>
      <c r="B617" t="n">
        <v>1</v>
      </c>
      <c r="C617" s="2" t="inlineStr">
        <is>
          <t>Максим Чиркин</t>
        </is>
      </c>
      <c r="D617" s="3" t="n">
        <v>17533</v>
      </c>
      <c r="E617" s="4" t="n">
        <v>4</v>
      </c>
      <c r="F617" t="inlineStr">
        <is>
          <t>TravelLine Booking Engine [Чайковский]</t>
        </is>
      </c>
      <c r="G617" s="3">
        <f>ROUND(D617/(100-E617)*100,2)</f>
        <v/>
      </c>
      <c r="H617" s="3" t="n">
        <v>0</v>
      </c>
      <c r="I617" s="3">
        <f>ROUND(IF(ISNUMBER(AG617),AG617,G617)+H617,2)</f>
        <v/>
      </c>
      <c r="J617" s="2" t="inlineStr">
        <is>
          <t>Завтрак "Шведский стол"</t>
        </is>
      </c>
      <c r="K617" s="5" t="n">
        <v>46242.8125</v>
      </c>
      <c r="L617" t="n">
        <v>1</v>
      </c>
      <c r="M617" s="3">
        <f>I617/L617</f>
        <v/>
      </c>
      <c r="N617">
        <f>IF(M617&gt;=5100,"ставка","мин.ставка")</f>
        <v/>
      </c>
      <c r="O617" s="3">
        <f>ROUND(IF(N617="мин.ставка",L617*100,I617/102*2),2)</f>
        <v/>
      </c>
      <c r="P617" s="5" t="n">
        <v>46243.5</v>
      </c>
      <c r="Q617" t="inlineStr">
        <is>
          <t>TravelLine сайт</t>
        </is>
      </c>
      <c r="R617" s="2" t="inlineStr">
        <is>
          <t>ЛЮКС ВТОРОЙ КОРПУС</t>
        </is>
      </c>
      <c r="S617" t="n">
        <v>53</v>
      </c>
      <c r="T617" t="n">
        <v>2</v>
      </c>
      <c r="U617" t="inlineStr"/>
      <c r="V617" t="inlineStr">
        <is>
          <t>Тариф с завтраком</t>
        </is>
      </c>
      <c r="W617" t="n">
        <v>17533</v>
      </c>
      <c r="X617" s="3" t="n">
        <v>267</v>
      </c>
      <c r="Y617" t="inlineStr">
        <is>
          <t>1.5%</t>
        </is>
      </c>
      <c r="Z617" t="inlineStr">
        <is>
          <t>2026-08-08</t>
        </is>
      </c>
      <c r="AA617" s="3" t="n">
        <v>17533</v>
      </c>
      <c r="AB617" t="inlineStr">
        <is>
          <t>Сошлось по ночным тарифам</t>
        </is>
      </c>
      <c r="AC617" s="2" t="inlineStr"/>
      <c r="AD617" t="n">
        <v>267</v>
      </c>
      <c r="AE617" t="n">
        <v>0</v>
      </c>
      <c r="AF617" t="inlineStr">
        <is>
          <t>Скидка добавлена к налоговой базе</t>
        </is>
      </c>
      <c r="AG617" t="n">
        <v>17800</v>
      </c>
      <c r="AH617" t="n">
        <v>17533</v>
      </c>
      <c r="AI617" t="inlineStr">
        <is>
          <t>Полное проживание в выбранном периоде</t>
        </is>
      </c>
    </row>
    <row r="618">
      <c r="A618" t="inlineStr">
        <is>
          <t>20260715-8186-448563252</t>
        </is>
      </c>
      <c r="B618" t="n">
        <v>1</v>
      </c>
      <c r="C618" s="2" t="inlineStr">
        <is>
          <t>Марат Швайцер</t>
        </is>
      </c>
      <c r="D618" s="3" t="n">
        <v>6320</v>
      </c>
      <c r="E618" s="4" t="n">
        <v>20</v>
      </c>
      <c r="F618" t="inlineStr">
        <is>
          <t>ООО "ХБ-ПРО" [Чайковский]</t>
        </is>
      </c>
      <c r="G618" s="3">
        <f>ROUND(D618/(100-E618)*100,2)</f>
        <v/>
      </c>
      <c r="H618" s="3" t="n">
        <v>0</v>
      </c>
      <c r="I618" s="3">
        <f>ROUND(IF(ISNUMBER(AG618),AG618,G618)+H618,2)</f>
        <v/>
      </c>
      <c r="J618" s="2" t="inlineStr">
        <is>
          <t>Завтрак "Шведский стол"</t>
        </is>
      </c>
      <c r="K618" s="5" t="n">
        <v>46218.58333333334</v>
      </c>
      <c r="L618" t="n">
        <v>1</v>
      </c>
      <c r="M618" s="3">
        <f>I618/L618</f>
        <v/>
      </c>
      <c r="N618">
        <f>IF(M618&gt;=5100,"ставка","мин.ставка")</f>
        <v/>
      </c>
      <c r="O618" s="3">
        <f>ROUND(IF(N618="мин.ставка",L618*100,I618/102*2),2)</f>
        <v/>
      </c>
      <c r="P618" s="5" t="n">
        <v>46219.5</v>
      </c>
      <c r="Q618" t="inlineStr">
        <is>
          <t>TravelLine UTS</t>
        </is>
      </c>
      <c r="R618" s="2" t="inlineStr">
        <is>
          <t>СТАНДАРТНЫЙ ДВУХМЕСТНЫЙ НОМЕР (МАНСАРДА)</t>
        </is>
      </c>
      <c r="S618" t="n">
        <v>41</v>
      </c>
      <c r="T618" t="n">
        <v>1</v>
      </c>
      <c r="U618" t="inlineStr"/>
      <c r="V618" t="inlineStr">
        <is>
          <t>Тариф с завтраком</t>
        </is>
      </c>
      <c r="W618" t="n">
        <v>6320</v>
      </c>
      <c r="X618" s="3" t="n">
        <v>0</v>
      </c>
      <c r="Y618" t="inlineStr"/>
      <c r="Z618" t="inlineStr"/>
      <c r="AA618" s="3" t="n">
        <v>6320</v>
      </c>
      <c r="AB618" t="inlineStr">
        <is>
          <t>Сошлось по ночным тарифам</t>
        </is>
      </c>
      <c r="AC618" s="2" t="inlineStr"/>
      <c r="AD618" t="n">
        <v>0</v>
      </c>
      <c r="AE618" t="n">
        <v>0</v>
      </c>
      <c r="AF618" t="inlineStr">
        <is>
          <t>Скидки нет</t>
        </is>
      </c>
      <c r="AG618" t="n">
        <v>6320</v>
      </c>
      <c r="AH618" t="n">
        <v>6320</v>
      </c>
      <c r="AI618" t="inlineStr">
        <is>
          <t>Полное проживание в выбранном периоде</t>
        </is>
      </c>
    </row>
    <row r="619">
      <c r="A619" t="inlineStr">
        <is>
          <t>20260814-8186-458217555</t>
        </is>
      </c>
      <c r="B619" t="n">
        <v>1</v>
      </c>
      <c r="C619" s="2" t="inlineStr">
        <is>
          <t>МАРГАРИТА АНИСИМОВА</t>
        </is>
      </c>
      <c r="D619" s="3" t="n">
        <v>23200</v>
      </c>
      <c r="E619" s="4" t="n">
        <v>20</v>
      </c>
      <c r="F619" t="inlineStr">
        <is>
          <t>ООО "КОМПАНИЯ БРОНЕВИК" [Чайковский]</t>
        </is>
      </c>
      <c r="G619" s="3">
        <f>ROUND(D619/(100-E619)*100,2)</f>
        <v/>
      </c>
      <c r="H619" s="3" t="n">
        <v>0</v>
      </c>
      <c r="I619" s="3">
        <f>ROUND(IF(ISNUMBER(AG619),AG619,G619)+H619,2)</f>
        <v/>
      </c>
      <c r="J619" s="2" t="inlineStr">
        <is>
          <t>Завтрак "Шведский стол"</t>
        </is>
      </c>
      <c r="K619" s="5" t="n">
        <v>46248.58333333334</v>
      </c>
      <c r="L619" t="n">
        <v>2</v>
      </c>
      <c r="M619" s="3">
        <f>I619/L619</f>
        <v/>
      </c>
      <c r="N619">
        <f>IF(M619&gt;=5100,"ставка","мин.ставка")</f>
        <v/>
      </c>
      <c r="O619" s="3">
        <f>ROUND(IF(N619="мин.ставка",L619*100,I619/102*2),2)</f>
        <v/>
      </c>
      <c r="P619" s="5" t="n">
        <v>46250.5</v>
      </c>
      <c r="Q619" t="inlineStr">
        <is>
          <t>TravelLine BR2</t>
        </is>
      </c>
      <c r="R619" s="2" t="inlineStr">
        <is>
          <t>ПОЛУЛЮКС</t>
        </is>
      </c>
      <c r="S619" t="n">
        <v>11</v>
      </c>
      <c r="T619" t="n">
        <v>1</v>
      </c>
      <c r="U619" t="inlineStr"/>
      <c r="V619" t="inlineStr">
        <is>
          <t>Тариф с завтраком</t>
        </is>
      </c>
      <c r="W619" t="n">
        <v>23200</v>
      </c>
      <c r="X619" s="3" t="n">
        <v>0</v>
      </c>
      <c r="Y619" t="inlineStr"/>
      <c r="Z619" t="inlineStr"/>
      <c r="AA619" s="3" t="n">
        <v>23200</v>
      </c>
      <c r="AB619" t="inlineStr">
        <is>
          <t>Сошлось по ночным тарифам</t>
        </is>
      </c>
      <c r="AC619" s="2" t="inlineStr"/>
      <c r="AD619" t="n">
        <v>0</v>
      </c>
      <c r="AE619" t="n">
        <v>0</v>
      </c>
      <c r="AF619" t="inlineStr">
        <is>
          <t>Скидки нет</t>
        </is>
      </c>
      <c r="AG619" t="n">
        <v>23200</v>
      </c>
      <c r="AH619" t="n">
        <v>23200</v>
      </c>
      <c r="AI619" t="inlineStr">
        <is>
          <t>Полное проживание в выбранном периоде</t>
        </is>
      </c>
    </row>
    <row r="620">
      <c r="A620" t="inlineStr">
        <is>
          <t>20260907-8186-434979583</t>
        </is>
      </c>
      <c r="B620" t="n">
        <v>1</v>
      </c>
      <c r="C620" s="2" t="inlineStr">
        <is>
          <t>Маргарита Михина</t>
        </is>
      </c>
      <c r="D620" s="3" t="n">
        <v>31600</v>
      </c>
      <c r="E620" s="4" t="n">
        <v>0</v>
      </c>
      <c r="F620" t="inlineStr">
        <is>
          <t>Прямые бронирования (стойка) [Чайковский]</t>
        </is>
      </c>
      <c r="G620" s="3">
        <f>ROUND(D620/(100-E620)*100,2)</f>
        <v/>
      </c>
      <c r="H620" s="3" t="n">
        <v>0</v>
      </c>
      <c r="I620" s="3">
        <f>ROUND(IF(ISNUMBER(AG620),AG620,G620)+H620,2)</f>
        <v/>
      </c>
      <c r="J620" s="2" t="inlineStr">
        <is>
          <t>Завтрак "Шведский стол"</t>
        </is>
      </c>
      <c r="K620" s="5" t="n">
        <v>46272.58333333334</v>
      </c>
      <c r="L620" t="n">
        <v>4</v>
      </c>
      <c r="M620" s="3">
        <f>I620/L620</f>
        <v/>
      </c>
      <c r="N620">
        <f>IF(M620&gt;=5100,"ставка","мин.ставка")</f>
        <v/>
      </c>
      <c r="O620" s="3">
        <f>ROUND(IF(N620="мин.ставка",L620*100,I620/102*2),2)</f>
        <v/>
      </c>
      <c r="P620" s="5" t="n">
        <v>46276.5</v>
      </c>
      <c r="Q620" t="inlineStr">
        <is>
          <t>TravelLine ресепшен</t>
        </is>
      </c>
      <c r="R620" s="2" t="inlineStr">
        <is>
          <t>СТАНДАРТНЫЙ ДВУХМЕСТНЫЙ НОМЕР (МАНСАРДА)</t>
        </is>
      </c>
      <c r="S620" t="n">
        <v>41</v>
      </c>
      <c r="T620" t="n">
        <v>1</v>
      </c>
      <c r="U620" t="inlineStr"/>
      <c r="V620" t="inlineStr">
        <is>
          <t>Тариф с завтраком</t>
        </is>
      </c>
      <c r="W620" t="n">
        <v>31600</v>
      </c>
      <c r="X620" s="3" t="n">
        <v>0</v>
      </c>
      <c r="Y620" t="inlineStr"/>
      <c r="Z620" t="inlineStr"/>
      <c r="AA620" s="3" t="n">
        <v>31600</v>
      </c>
      <c r="AB620" t="inlineStr">
        <is>
          <t>Сошлось по ночным тарифам</t>
        </is>
      </c>
      <c r="AC620" s="2" t="inlineStr"/>
      <c r="AD620" t="n">
        <v>0</v>
      </c>
      <c r="AE620" t="n">
        <v>0</v>
      </c>
      <c r="AF620" t="inlineStr">
        <is>
          <t>Скидки нет</t>
        </is>
      </c>
      <c r="AG620" t="n">
        <v>31600</v>
      </c>
      <c r="AH620" t="n">
        <v>31600</v>
      </c>
      <c r="AI620" t="inlineStr">
        <is>
          <t>Полное проживание в выбранном периоде</t>
        </is>
      </c>
    </row>
    <row r="621">
      <c r="A621" t="inlineStr">
        <is>
          <t>20260715-8186-425955806</t>
        </is>
      </c>
      <c r="B621" t="n">
        <v>1</v>
      </c>
      <c r="C621" s="2" t="inlineStr">
        <is>
          <t>Маргарита Петрова</t>
        </is>
      </c>
      <c r="D621" s="3" t="n">
        <v>24640</v>
      </c>
      <c r="E621" s="4" t="n">
        <v>18</v>
      </c>
      <c r="F621" t="inlineStr">
        <is>
          <t>Яндекс.Путешествия [Чайковский]</t>
        </is>
      </c>
      <c r="G621" s="3">
        <f>ROUND(D621/(100-E621)*100,2)</f>
        <v/>
      </c>
      <c r="H621" s="3" t="n">
        <v>0</v>
      </c>
      <c r="I621" s="3">
        <f>ROUND(IF(ISNUMBER(AG621),AG621,G621)+H621,2)</f>
        <v/>
      </c>
      <c r="J621" s="2" t="inlineStr">
        <is>
          <t>Завтрак "Шведский стол"</t>
        </is>
      </c>
      <c r="K621" s="5" t="n">
        <v>46218.58333333334</v>
      </c>
      <c r="L621" t="n">
        <v>4</v>
      </c>
      <c r="M621" s="3">
        <f>I621/L621</f>
        <v/>
      </c>
      <c r="N621">
        <f>IF(M621&gt;=5100,"ставка","мин.ставка")</f>
        <v/>
      </c>
      <c r="O621" s="3">
        <f>ROUND(IF(N621="мин.ставка",L621*100,I621/102*2),2)</f>
        <v/>
      </c>
      <c r="P621" s="5" t="n">
        <v>46222.5</v>
      </c>
      <c r="Q621" t="inlineStr">
        <is>
          <t>TravelLine YAX</t>
        </is>
      </c>
      <c r="R621" s="2" t="inlineStr">
        <is>
          <t>СТАНДАРТНЫЙ ОДНОМЕСТНЫЙ НОМЕР</t>
        </is>
      </c>
      <c r="S621" t="n">
        <v>24</v>
      </c>
      <c r="T621" t="n">
        <v>1</v>
      </c>
      <c r="U621" t="inlineStr"/>
      <c r="V621" t="inlineStr">
        <is>
          <t>Тариф с завтраком</t>
        </is>
      </c>
      <c r="W621" t="n">
        <v>24640</v>
      </c>
      <c r="X621" s="3" t="n">
        <v>6160</v>
      </c>
      <c r="Y621" t="inlineStr">
        <is>
          <t>20%</t>
        </is>
      </c>
      <c r="Z621" t="inlineStr">
        <is>
          <t>2026-07-15, 2026-07-16, 2026-07-17, 2026-07-18</t>
        </is>
      </c>
      <c r="AA621" s="3" t="n">
        <v>24640</v>
      </c>
      <c r="AB621" t="inlineStr">
        <is>
          <t>Сошлось по ночным тарифам</t>
        </is>
      </c>
      <c r="AC621" s="2" t="inlineStr"/>
      <c r="AD621" t="n">
        <v>6160</v>
      </c>
      <c r="AE621" t="n">
        <v>0</v>
      </c>
      <c r="AF621" t="inlineStr">
        <is>
          <t>Скидка добавлена к налоговой базе</t>
        </is>
      </c>
      <c r="AG621" t="n">
        <v>30800</v>
      </c>
      <c r="AH621" t="n">
        <v>24640</v>
      </c>
      <c r="AI621" t="inlineStr">
        <is>
          <t>Полное проживание в выбранном периоде</t>
        </is>
      </c>
    </row>
    <row r="622">
      <c r="A622" t="inlineStr">
        <is>
          <t>20260706-8186-420338941</t>
        </is>
      </c>
      <c r="B622" t="n">
        <v>1</v>
      </c>
      <c r="C622" s="2" t="inlineStr">
        <is>
          <t>Марина Бурова</t>
        </is>
      </c>
      <c r="D622" s="3" t="n">
        <v>13090</v>
      </c>
      <c r="E622" s="4" t="n">
        <v>17</v>
      </c>
      <c r="F622" t="inlineStr">
        <is>
          <t>ООО «Дубль Гис» (OTELLO) [Чайковский]</t>
        </is>
      </c>
      <c r="G622" s="3">
        <f>ROUND(D622/(100-E622)*100,2)</f>
        <v/>
      </c>
      <c r="H622" s="3" t="n">
        <v>0</v>
      </c>
      <c r="I622" s="3">
        <f>ROUND(IF(ISNUMBER(AG622),AG622,G622)+H622,2)</f>
        <v/>
      </c>
      <c r="J622" s="2" t="inlineStr">
        <is>
          <t>Завтрак "Шведский стол"</t>
        </is>
      </c>
      <c r="K622" s="5" t="n">
        <v>46209.58333333334</v>
      </c>
      <c r="L622" t="n">
        <v>2</v>
      </c>
      <c r="M622" s="3">
        <f>I622/L622</f>
        <v/>
      </c>
      <c r="N622">
        <f>IF(M622&gt;=5100,"ставка","мин.ставка")</f>
        <v/>
      </c>
      <c r="O622" s="3">
        <f>ROUND(IF(N622="мин.ставка",L622*100,I622/102*2),2)</f>
        <v/>
      </c>
      <c r="P622" s="5" t="n">
        <v>46211.5</v>
      </c>
      <c r="Q622" t="inlineStr">
        <is>
          <t>TravelLine OL2</t>
        </is>
      </c>
      <c r="R622" s="2" t="inlineStr">
        <is>
          <t>СТАНДАРТНЫЙ ОДНОМЕСТНЫЙ НОМЕР</t>
        </is>
      </c>
      <c r="S622" t="n">
        <v>24</v>
      </c>
      <c r="T622" t="n">
        <v>1</v>
      </c>
      <c r="U622" t="inlineStr"/>
      <c r="V622" t="inlineStr">
        <is>
          <t>Тариф с завтраком</t>
        </is>
      </c>
      <c r="W622" t="n">
        <v>13090</v>
      </c>
      <c r="X622" s="3" t="n">
        <v>2310</v>
      </c>
      <c r="Y622" t="inlineStr">
        <is>
          <t>15%</t>
        </is>
      </c>
      <c r="Z622" t="inlineStr">
        <is>
          <t>2026-07-06, 2026-07-07</t>
        </is>
      </c>
      <c r="AA622" s="3" t="n">
        <v>13090</v>
      </c>
      <c r="AB622" t="inlineStr">
        <is>
          <t>Сошлось по ночным тарифам</t>
        </is>
      </c>
      <c r="AC622" s="2" t="inlineStr"/>
      <c r="AD622" t="n">
        <v>2310</v>
      </c>
      <c r="AE622" t="n">
        <v>0</v>
      </c>
      <c r="AF622" t="inlineStr">
        <is>
          <t>Скидка добавлена к налоговой базе</t>
        </is>
      </c>
      <c r="AG622" t="n">
        <v>15400</v>
      </c>
      <c r="AH622" t="n">
        <v>13090</v>
      </c>
      <c r="AI622" t="inlineStr">
        <is>
          <t>Полное проживание в выбранном периоде</t>
        </is>
      </c>
    </row>
    <row r="623">
      <c r="A623" t="inlineStr">
        <is>
          <t>20260708-8186-420258045</t>
        </is>
      </c>
      <c r="B623" t="n">
        <v>1</v>
      </c>
      <c r="C623" s="2" t="inlineStr">
        <is>
          <t>Марина Бурова</t>
        </is>
      </c>
      <c r="D623" s="3" t="n">
        <v>13090</v>
      </c>
      <c r="E623" s="4" t="n">
        <v>17</v>
      </c>
      <c r="F623" t="inlineStr">
        <is>
          <t>ООО «Дубль Гис» (OTELLO) [Чайковский]</t>
        </is>
      </c>
      <c r="G623" s="3">
        <f>ROUND(D623/(100-E623)*100,2)</f>
        <v/>
      </c>
      <c r="H623" s="3" t="n">
        <v>0</v>
      </c>
      <c r="I623" s="3">
        <f>ROUND(IF(ISNUMBER(AG623),AG623,G623)+H623,2)</f>
        <v/>
      </c>
      <c r="J623" s="2" t="inlineStr">
        <is>
          <t>Завтрак "Шведский стол"</t>
        </is>
      </c>
      <c r="K623" s="5" t="n">
        <v>46211.58333333334</v>
      </c>
      <c r="L623" t="n">
        <v>2</v>
      </c>
      <c r="M623" s="3">
        <f>I623/L623</f>
        <v/>
      </c>
      <c r="N623">
        <f>IF(M623&gt;=5100,"ставка","мин.ставка")</f>
        <v/>
      </c>
      <c r="O623" s="3">
        <f>ROUND(IF(N623="мин.ставка",L623*100,I623/102*2),2)</f>
        <v/>
      </c>
      <c r="P623" s="5" t="n">
        <v>46213.5</v>
      </c>
      <c r="Q623" t="inlineStr">
        <is>
          <t>TravelLine OL2</t>
        </is>
      </c>
      <c r="R623" s="2" t="inlineStr">
        <is>
          <t>СТАНДАРТНЫЙ ОДНОМЕСТНЫЙ НОМЕР</t>
        </is>
      </c>
      <c r="S623" t="n">
        <v>24</v>
      </c>
      <c r="T623" t="n">
        <v>1</v>
      </c>
      <c r="U623" t="inlineStr"/>
      <c r="V623" t="inlineStr">
        <is>
          <t>Тариф с завтраком</t>
        </is>
      </c>
      <c r="W623" t="n">
        <v>13090</v>
      </c>
      <c r="X623" s="3" t="n">
        <v>2310</v>
      </c>
      <c r="Y623" t="inlineStr">
        <is>
          <t>15%</t>
        </is>
      </c>
      <c r="Z623" t="inlineStr">
        <is>
          <t>2026-07-08, 2026-07-09</t>
        </is>
      </c>
      <c r="AA623" s="3" t="n">
        <v>13090</v>
      </c>
      <c r="AB623" t="inlineStr">
        <is>
          <t>Сошлось по ночным тарифам</t>
        </is>
      </c>
      <c r="AC623" s="2" t="inlineStr"/>
      <c r="AD623" t="n">
        <v>2310</v>
      </c>
      <c r="AE623" t="n">
        <v>0</v>
      </c>
      <c r="AF623" t="inlineStr">
        <is>
          <t>Скидка добавлена к налоговой базе</t>
        </is>
      </c>
      <c r="AG623" t="n">
        <v>15400</v>
      </c>
      <c r="AH623" t="n">
        <v>13090</v>
      </c>
      <c r="AI623" t="inlineStr">
        <is>
          <t>Полное проживание в выбранном периоде</t>
        </is>
      </c>
    </row>
    <row r="624">
      <c r="A624" t="inlineStr">
        <is>
          <t>20260915-8186-465509331</t>
        </is>
      </c>
      <c r="B624" t="n">
        <v>1</v>
      </c>
      <c r="C624" s="2" t="inlineStr">
        <is>
          <t>Марина Волкова, Александр Волков</t>
        </is>
      </c>
      <c r="D624" s="3" t="n">
        <v>118192</v>
      </c>
      <c r="E624" s="4" t="n">
        <v>17</v>
      </c>
      <c r="F624" t="inlineStr">
        <is>
          <t>ООО «Интернет Трэвел» (OZON) [Чайковский]</t>
        </is>
      </c>
      <c r="G624" s="3">
        <f>ROUND(D624/(100-E624)*100,2)</f>
        <v/>
      </c>
      <c r="H624" s="3" t="n">
        <v>0</v>
      </c>
      <c r="I624" s="3">
        <f>ROUND(IF(ISNUMBER(AG624),AG624,G624)+H624,2)</f>
        <v/>
      </c>
      <c r="J624" s="2" t="inlineStr">
        <is>
          <t>Завтрак "Шведский стол"</t>
        </is>
      </c>
      <c r="K624" s="5" t="n">
        <v>46280.58333333334</v>
      </c>
      <c r="L624" t="n">
        <v>8</v>
      </c>
      <c r="M624" s="3">
        <f>I624/L624</f>
        <v/>
      </c>
      <c r="N624">
        <f>IF(M624&gt;=5100,"ставка","мин.ставка")</f>
        <v/>
      </c>
      <c r="O624" s="3">
        <f>ROUND(IF(N624="мин.ставка",L624*100,I624/102*2),2)</f>
        <v/>
      </c>
      <c r="P624" s="5" t="n">
        <v>46288.5</v>
      </c>
      <c r="Q624" t="inlineStr">
        <is>
          <t>TravelLine OZ2</t>
        </is>
      </c>
      <c r="R624" s="2" t="inlineStr">
        <is>
          <t>ЛЮКС ВТОРОЙ КОРПУС</t>
        </is>
      </c>
      <c r="S624" t="n">
        <v>57</v>
      </c>
      <c r="T624" t="n">
        <v>2</v>
      </c>
      <c r="U624" t="inlineStr"/>
      <c r="V624" t="inlineStr">
        <is>
          <t>Тариф с завтраком</t>
        </is>
      </c>
      <c r="W624" t="n">
        <v>118192</v>
      </c>
      <c r="X624" s="3" t="n">
        <v>24208</v>
      </c>
      <c r="Y624" t="inlineStr">
        <is>
          <t>17%</t>
        </is>
      </c>
      <c r="Z624" t="inlineStr">
        <is>
          <t>2026-09-15, 2026-09-16, 2026-09-17, 2026-09-18, 2026-09-19, 2026-09-20, 2026-09-21, 2026-09-22</t>
        </is>
      </c>
      <c r="AA624" s="3" t="n">
        <v>118192</v>
      </c>
      <c r="AB624" t="inlineStr">
        <is>
          <t>Сошлось по ночным тарифам</t>
        </is>
      </c>
      <c r="AC624" s="2" t="inlineStr"/>
      <c r="AD624" t="n">
        <v>24208</v>
      </c>
      <c r="AE624" t="n">
        <v>0</v>
      </c>
      <c r="AF624" t="inlineStr">
        <is>
          <t>Скидка добавлена к налоговой базе</t>
        </is>
      </c>
      <c r="AG624" t="n">
        <v>142400</v>
      </c>
      <c r="AH624" t="n">
        <v>118192</v>
      </c>
      <c r="AI624" t="inlineStr">
        <is>
          <t>Полное проживание в выбранном периоде</t>
        </is>
      </c>
    </row>
    <row r="625">
      <c r="A625" t="inlineStr">
        <is>
          <t>20260720-8186-434462277</t>
        </is>
      </c>
      <c r="B625" t="n">
        <v>1</v>
      </c>
      <c r="C625" s="2" t="inlineStr">
        <is>
          <t>МАРИНА ГОНЧАРОВА</t>
        </is>
      </c>
      <c r="D625" s="3" t="n">
        <v>45400</v>
      </c>
      <c r="E625" s="4" t="n">
        <v>20</v>
      </c>
      <c r="F625" t="inlineStr">
        <is>
          <t>ООО "ХБ-ПРО" [Чайковский]</t>
        </is>
      </c>
      <c r="G625" s="3">
        <f>ROUND(D625/(100-E625)*100,2)</f>
        <v/>
      </c>
      <c r="H625" s="3" t="n">
        <v>5675</v>
      </c>
      <c r="I625" s="3">
        <f>ROUND(IF(ISNUMBER(AG625),AG625,G625)+H625,2)</f>
        <v/>
      </c>
      <c r="J625" s="2" t="inlineStr">
        <is>
          <t>продление номера — 5 675,00 ₽; Завтрак "Шведский стол"</t>
        </is>
      </c>
      <c r="K625" s="5" t="n">
        <v>46223.58333333334</v>
      </c>
      <c r="L625" t="n">
        <v>5</v>
      </c>
      <c r="M625" s="3">
        <f>I625/L625</f>
        <v/>
      </c>
      <c r="N625">
        <f>IF(M625&gt;=5100,"ставка","мин.ставка")</f>
        <v/>
      </c>
      <c r="O625" s="3">
        <f>ROUND(IF(N625="мин.ставка",L625*100,I625/102*2),2)</f>
        <v/>
      </c>
      <c r="P625" s="5" t="n">
        <v>46228.75</v>
      </c>
      <c r="Q625" t="inlineStr">
        <is>
          <t>TravelLine UTS</t>
        </is>
      </c>
      <c r="R625" s="2" t="inlineStr">
        <is>
          <t>СТАНДАРТНЫЙ ДВУХМЕСТНЫЙ НОМЕР</t>
        </is>
      </c>
      <c r="S625" t="n">
        <v>22</v>
      </c>
      <c r="T625" t="n">
        <v>1</v>
      </c>
      <c r="U625" t="inlineStr"/>
      <c r="V625" t="inlineStr">
        <is>
          <t>Тариф с завтраком</t>
        </is>
      </c>
      <c r="W625" t="n">
        <v>51075</v>
      </c>
      <c r="X625" s="3" t="n">
        <v>0</v>
      </c>
      <c r="Y625" t="inlineStr"/>
      <c r="Z625" t="inlineStr"/>
      <c r="AA625" s="3" t="n">
        <v>45400</v>
      </c>
      <c r="AB625" t="inlineStr">
        <is>
          <t>Сошлось с услугами</t>
        </is>
      </c>
      <c r="AC625" s="2" t="inlineStr"/>
      <c r="AD625" t="n">
        <v>0</v>
      </c>
      <c r="AE625" t="n">
        <v>0</v>
      </c>
      <c r="AF625" t="inlineStr">
        <is>
          <t>Скидки нет</t>
        </is>
      </c>
      <c r="AG625" t="n">
        <v>45400</v>
      </c>
      <c r="AH625" t="n">
        <v>45400</v>
      </c>
      <c r="AI625" t="inlineStr">
        <is>
          <t>Полное проживание в выбранном периоде</t>
        </is>
      </c>
    </row>
    <row r="626">
      <c r="A626" t="inlineStr">
        <is>
          <t>20260718-8186-439204883</t>
        </is>
      </c>
      <c r="B626" t="n">
        <v>1</v>
      </c>
      <c r="C626" s="2" t="inlineStr">
        <is>
          <t>Марина Невзорова, Наталья Гайдай</t>
        </is>
      </c>
      <c r="D626" s="3" t="n">
        <v>53199.75</v>
      </c>
      <c r="E626" s="4" t="n">
        <v>4</v>
      </c>
      <c r="F626" t="inlineStr">
        <is>
          <t>TravelLine Booking Engine [Чайковский]</t>
        </is>
      </c>
      <c r="G626" s="3">
        <f>ROUND(D626/(100-E626)*100,2)</f>
        <v/>
      </c>
      <c r="H626" s="3" t="n">
        <v>0</v>
      </c>
      <c r="I626" s="3">
        <f>ROUND(IF(ISNUMBER(AG626),AG626,G626)+H626,2)</f>
        <v/>
      </c>
      <c r="J626" s="2" t="inlineStr">
        <is>
          <t>Завтрак "Шведский стол"</t>
        </is>
      </c>
      <c r="K626" s="5" t="n">
        <v>46221.58333333334</v>
      </c>
      <c r="L626" t="n">
        <v>4</v>
      </c>
      <c r="M626" s="3">
        <f>I626/L626</f>
        <v/>
      </c>
      <c r="N626">
        <f>IF(M626&gt;=5100,"ставка","мин.ставка")</f>
        <v/>
      </c>
      <c r="O626" s="3">
        <f>ROUND(IF(N626="мин.ставка",L626*100,I626/102*2),2)</f>
        <v/>
      </c>
      <c r="P626" s="5" t="n">
        <v>46225.5</v>
      </c>
      <c r="Q626" t="inlineStr">
        <is>
          <t>TravelLine сайт</t>
        </is>
      </c>
      <c r="R626" s="2" t="inlineStr">
        <is>
          <t>СТАНДАРТНЫЙ ДВУХМЕСТНЫЙ НОМЕР</t>
        </is>
      </c>
      <c r="S626" t="n">
        <v>32</v>
      </c>
      <c r="T626" t="n">
        <v>1</v>
      </c>
      <c r="U626" t="inlineStr"/>
      <c r="V626" t="inlineStr">
        <is>
          <t>Тариф с завтраком</t>
        </is>
      </c>
      <c r="W626" t="n">
        <v>53199.75</v>
      </c>
      <c r="X626" s="3" t="n">
        <v>200.25</v>
      </c>
      <c r="Y626" t="inlineStr">
        <is>
          <t>1.5%</t>
        </is>
      </c>
      <c r="Z626" t="inlineStr">
        <is>
          <t>2026-07-18</t>
        </is>
      </c>
      <c r="AA626" s="3" t="n">
        <v>53199.75</v>
      </c>
      <c r="AB626" t="inlineStr">
        <is>
          <t>Сошлось по ночным тарифам</t>
        </is>
      </c>
      <c r="AC626" s="2" t="inlineStr"/>
      <c r="AD626" t="n">
        <v>200.25</v>
      </c>
      <c r="AE626" t="n">
        <v>0</v>
      </c>
      <c r="AF626" t="inlineStr">
        <is>
          <t>Скидка добавлена к налоговой базе</t>
        </is>
      </c>
      <c r="AG626" t="n">
        <v>53400</v>
      </c>
      <c r="AH626" t="n">
        <v>53199.75</v>
      </c>
      <c r="AI626" t="inlineStr">
        <is>
          <t>Полное проживание в выбранном периоде</t>
        </is>
      </c>
    </row>
    <row r="627">
      <c r="A627" t="inlineStr">
        <is>
          <t>20260730-8186-438491467</t>
        </is>
      </c>
      <c r="B627" t="n">
        <v>1</v>
      </c>
      <c r="C627" s="2" t="inlineStr">
        <is>
          <t>Марина Немова, Лариса Немова</t>
        </is>
      </c>
      <c r="D627" s="3" t="n">
        <v>17533</v>
      </c>
      <c r="E627" s="4" t="n">
        <v>4</v>
      </c>
      <c r="F627" t="inlineStr">
        <is>
          <t>TravelLine Booking Engine [Чайковский]</t>
        </is>
      </c>
      <c r="G627" s="3">
        <f>ROUND(D627/(100-E627)*100,2)</f>
        <v/>
      </c>
      <c r="H627" s="3" t="n">
        <v>0</v>
      </c>
      <c r="I627" s="3">
        <f>ROUND(IF(ISNUMBER(AG627),AG627,G627)+H627,2)</f>
        <v/>
      </c>
      <c r="J627" s="2" t="inlineStr">
        <is>
          <t>Завтрак "Шведский стол"</t>
        </is>
      </c>
      <c r="K627" s="5" t="n">
        <v>46233.58333333334</v>
      </c>
      <c r="L627" t="n">
        <v>1</v>
      </c>
      <c r="M627" s="3">
        <f>I627/L627</f>
        <v/>
      </c>
      <c r="N627">
        <f>IF(M627&gt;=5100,"ставка","мин.ставка")</f>
        <v/>
      </c>
      <c r="O627" s="3">
        <f>ROUND(IF(N627="мин.ставка",L627*100,I627/102*2),2)</f>
        <v/>
      </c>
      <c r="P627" s="5" t="n">
        <v>46234.5</v>
      </c>
      <c r="Q627" t="inlineStr">
        <is>
          <t>TravelLine сайт</t>
        </is>
      </c>
      <c r="R627" s="2" t="inlineStr">
        <is>
          <t>ЛЮКС ВТОРОЙ КОРПУС</t>
        </is>
      </c>
      <c r="S627" t="n">
        <v>54</v>
      </c>
      <c r="T627" t="n">
        <v>2</v>
      </c>
      <c r="U627" t="inlineStr"/>
      <c r="V627" t="inlineStr">
        <is>
          <t>Тариф с завтраком</t>
        </is>
      </c>
      <c r="W627" t="n">
        <v>17533</v>
      </c>
      <c r="X627" s="3" t="n">
        <v>267</v>
      </c>
      <c r="Y627" t="inlineStr">
        <is>
          <t>1.5%</t>
        </is>
      </c>
      <c r="Z627" t="inlineStr">
        <is>
          <t>2026-07-30</t>
        </is>
      </c>
      <c r="AA627" s="3" t="n">
        <v>17533</v>
      </c>
      <c r="AB627" t="inlineStr">
        <is>
          <t>Сошлось по ночным тарифам</t>
        </is>
      </c>
      <c r="AC627" s="2" t="inlineStr"/>
      <c r="AD627" t="n">
        <v>267</v>
      </c>
      <c r="AE627" t="n">
        <v>0</v>
      </c>
      <c r="AF627" t="inlineStr">
        <is>
          <t>Скидка добавлена к налоговой базе</t>
        </is>
      </c>
      <c r="AG627" t="n">
        <v>17800</v>
      </c>
      <c r="AH627" t="n">
        <v>17533</v>
      </c>
      <c r="AI627" t="inlineStr">
        <is>
          <t>Полное проживание в выбранном периоде</t>
        </is>
      </c>
    </row>
    <row r="628">
      <c r="A628" t="inlineStr">
        <is>
          <t>20260721-8186-440916265</t>
        </is>
      </c>
      <c r="B628" t="n">
        <v>1</v>
      </c>
      <c r="C628" s="2" t="inlineStr">
        <is>
          <t>Марина Непомнящая</t>
        </is>
      </c>
      <c r="D628" s="3" t="n">
        <v>22700</v>
      </c>
      <c r="E628" s="4" t="n">
        <v>0</v>
      </c>
      <c r="F628" t="inlineStr">
        <is>
          <t>Прямые бронирования (стойка) [Чайковский]</t>
        </is>
      </c>
      <c r="G628" s="3">
        <f>ROUND(D628/(100-E628)*100,2)</f>
        <v/>
      </c>
      <c r="H628" s="3" t="n">
        <v>0</v>
      </c>
      <c r="I628" s="3">
        <f>ROUND(IF(ISNUMBER(AG628),AG628,G628)+H628,2)</f>
        <v/>
      </c>
      <c r="J628" s="2" t="inlineStr">
        <is>
          <t>Завтрак "Шведский стол"</t>
        </is>
      </c>
      <c r="K628" s="5" t="n">
        <v>46224.58333333334</v>
      </c>
      <c r="L628" t="n">
        <v>2</v>
      </c>
      <c r="M628" s="3">
        <f>I628/L628</f>
        <v/>
      </c>
      <c r="N628">
        <f>IF(M628&gt;=5100,"ставка","мин.ставка")</f>
        <v/>
      </c>
      <c r="O628" s="3">
        <f>ROUND(IF(N628="мин.ставка",L628*100,I628/102*2),2)</f>
        <v/>
      </c>
      <c r="P628" s="5" t="n">
        <v>46226.5</v>
      </c>
      <c r="Q628" t="inlineStr">
        <is>
          <t>TravelLine ресепшен</t>
        </is>
      </c>
      <c r="R628" s="2" t="inlineStr">
        <is>
          <t>СТАНДАРТНЫЙ ДВУХМЕСТНЫЙ НОМЕР</t>
        </is>
      </c>
      <c r="S628" t="n">
        <v>44</v>
      </c>
      <c r="T628" t="n">
        <v>1</v>
      </c>
      <c r="U628" t="inlineStr"/>
      <c r="V628" t="inlineStr">
        <is>
          <t>Тариф с завтраком</t>
        </is>
      </c>
      <c r="W628" t="n">
        <v>22700</v>
      </c>
      <c r="X628" s="3" t="n">
        <v>0</v>
      </c>
      <c r="Y628" t="inlineStr"/>
      <c r="Z628" t="inlineStr"/>
      <c r="AA628" s="3" t="n">
        <v>22700</v>
      </c>
      <c r="AB628" t="inlineStr">
        <is>
          <t>Сошлось по ночным тарифам</t>
        </is>
      </c>
      <c r="AC628" s="2" t="inlineStr"/>
      <c r="AD628" t="n">
        <v>0</v>
      </c>
      <c r="AE628" t="n">
        <v>0</v>
      </c>
      <c r="AF628" t="inlineStr">
        <is>
          <t>Скидки нет</t>
        </is>
      </c>
      <c r="AG628" t="n">
        <v>22700</v>
      </c>
      <c r="AH628" t="n">
        <v>22700</v>
      </c>
      <c r="AI628" t="inlineStr">
        <is>
          <t>Полное проживание в выбранном периоде</t>
        </is>
      </c>
    </row>
    <row r="629">
      <c r="A629" t="inlineStr">
        <is>
          <t>20260908-8186-464538528</t>
        </is>
      </c>
      <c r="B629" t="n">
        <v>1</v>
      </c>
      <c r="C629" s="2" t="inlineStr">
        <is>
          <t>Марина Павшенко, Елена Павшенко</t>
        </is>
      </c>
      <c r="D629" s="3" t="n">
        <v>11347.5</v>
      </c>
      <c r="E629" s="4" t="n">
        <v>15</v>
      </c>
      <c r="F629" t="inlineStr">
        <is>
          <t>Trip.com Group [Чайковский]</t>
        </is>
      </c>
      <c r="G629" s="3">
        <f>ROUND(D629/(100-E629)*100,2)</f>
        <v/>
      </c>
      <c r="H629" s="3" t="n">
        <v>0</v>
      </c>
      <c r="I629" s="3">
        <f>ROUND(IF(ISNUMBER(AG629),AG629,G629)+H629,2)</f>
        <v/>
      </c>
      <c r="J629" s="2" t="inlineStr">
        <is>
          <t>Завтрак "Шведский стол"</t>
        </is>
      </c>
      <c r="K629" s="5" t="n">
        <v>46273.58333333334</v>
      </c>
      <c r="L629" t="n">
        <v>1</v>
      </c>
      <c r="M629" s="3">
        <f>I629/L629</f>
        <v/>
      </c>
      <c r="N629">
        <f>IF(M629&gt;=5100,"ставка","мин.ставка")</f>
        <v/>
      </c>
      <c r="O629" s="3">
        <f>ROUND(IF(N629="мин.ставка",L629*100,I629/102*2),2)</f>
        <v/>
      </c>
      <c r="P629" s="5" t="n">
        <v>46274.5</v>
      </c>
      <c r="Q629" t="inlineStr">
        <is>
          <t>TravelLine CTP</t>
        </is>
      </c>
      <c r="R629" s="2" t="inlineStr">
        <is>
          <t>СТАНДАРТНЫЙ ДВУХМЕСТНЫЙ НОМЕР</t>
        </is>
      </c>
      <c r="S629" t="n">
        <v>52</v>
      </c>
      <c r="T629" t="n">
        <v>2</v>
      </c>
      <c r="U629" t="inlineStr"/>
      <c r="V629" t="inlineStr">
        <is>
          <t>Тариф с завтраком</t>
        </is>
      </c>
      <c r="W629" t="n">
        <v>11347.5</v>
      </c>
      <c r="X629" s="3" t="n">
        <v>2002.5</v>
      </c>
      <c r="Y629" t="inlineStr">
        <is>
          <t>15%</t>
        </is>
      </c>
      <c r="Z629" t="inlineStr">
        <is>
          <t>2026-09-08</t>
        </is>
      </c>
      <c r="AA629" s="3" t="n">
        <v>11347.5</v>
      </c>
      <c r="AB629" t="inlineStr">
        <is>
          <t>Сошлось по ночным тарифам</t>
        </is>
      </c>
      <c r="AC629" s="2" t="inlineStr"/>
      <c r="AD629" t="n">
        <v>2002.5</v>
      </c>
      <c r="AE629" t="n">
        <v>0</v>
      </c>
      <c r="AF629" t="inlineStr">
        <is>
          <t>Скидка добавлена к налоговой базе</t>
        </is>
      </c>
      <c r="AG629" t="n">
        <v>13350</v>
      </c>
      <c r="AH629" t="n">
        <v>11347.5</v>
      </c>
      <c r="AI629" t="inlineStr">
        <is>
          <t>Полное проживание в выбранном периоде</t>
        </is>
      </c>
    </row>
    <row r="630">
      <c r="A630" t="inlineStr">
        <is>
          <t>20260908-8186-450576410</t>
        </is>
      </c>
      <c r="B630" t="n">
        <v>1</v>
      </c>
      <c r="C630" s="2" t="inlineStr">
        <is>
          <t>Марина Пономаренко</t>
        </is>
      </c>
      <c r="D630" s="3" t="n">
        <v>33698.15</v>
      </c>
      <c r="E630" s="4" t="n">
        <v>4</v>
      </c>
      <c r="F630" t="inlineStr">
        <is>
          <t>TravelLine Booking Engine [Чайковский]</t>
        </is>
      </c>
      <c r="G630" s="3">
        <f>ROUND(D630/(100-E630)*100,2)</f>
        <v/>
      </c>
      <c r="H630" s="3" t="n">
        <v>0</v>
      </c>
      <c r="I630" s="3">
        <f>ROUND(IF(ISNUMBER(AG630),AG630,G630)+H630,2)</f>
        <v/>
      </c>
      <c r="J630" s="2" t="inlineStr">
        <is>
          <t>Завтрак "Шведский стол"</t>
        </is>
      </c>
      <c r="K630" s="5" t="n">
        <v>46273.58333333334</v>
      </c>
      <c r="L630" t="n">
        <v>3</v>
      </c>
      <c r="M630" s="3">
        <f>I630/L630</f>
        <v/>
      </c>
      <c r="N630">
        <f>IF(M630&gt;=5100,"ставка","мин.ставка")</f>
        <v/>
      </c>
      <c r="O630" s="3">
        <f>ROUND(IF(N630="мин.ставка",L630*100,I630/102*2),2)</f>
        <v/>
      </c>
      <c r="P630" s="5" t="n">
        <v>46276.5</v>
      </c>
      <c r="Q630" t="inlineStr">
        <is>
          <t>TravelLine сайт</t>
        </is>
      </c>
      <c r="R630" s="2" t="inlineStr">
        <is>
          <t>СТАНДАРТНЫЙ ДВУХМЕСТНЫЙ НОМЕР</t>
        </is>
      </c>
      <c r="S630" t="n">
        <v>58</v>
      </c>
      <c r="T630" t="n">
        <v>2</v>
      </c>
      <c r="U630" t="inlineStr"/>
      <c r="V630" t="inlineStr">
        <is>
          <t>Тариф с завтраком</t>
        </is>
      </c>
      <c r="W630" t="n">
        <v>33698.15</v>
      </c>
      <c r="X630" s="3" t="n">
        <v>351.85</v>
      </c>
      <c r="Y630" t="inlineStr">
        <is>
          <t>3.1%</t>
        </is>
      </c>
      <c r="Z630" t="inlineStr">
        <is>
          <t>2026-09-08</t>
        </is>
      </c>
      <c r="AA630" s="3" t="n">
        <v>33698.15</v>
      </c>
      <c r="AB630" t="inlineStr">
        <is>
          <t>Сошлось по ночным тарифам</t>
        </is>
      </c>
      <c r="AC630" s="2" t="inlineStr"/>
      <c r="AD630" t="n">
        <v>351.85</v>
      </c>
      <c r="AE630" t="n">
        <v>0</v>
      </c>
      <c r="AF630" t="inlineStr">
        <is>
          <t>Скидка добавлена к налоговой базе</t>
        </is>
      </c>
      <c r="AG630" t="n">
        <v>34050</v>
      </c>
      <c r="AH630" t="n">
        <v>33698.15</v>
      </c>
      <c r="AI630" t="inlineStr">
        <is>
          <t>Полное проживание в выбранном периоде</t>
        </is>
      </c>
    </row>
    <row r="631">
      <c r="A631" t="inlineStr">
        <is>
          <t>20260822-8186-412015169</t>
        </is>
      </c>
      <c r="B631" t="n">
        <v>1</v>
      </c>
      <c r="C631" s="2" t="inlineStr">
        <is>
          <t>МАРИНА РОСТНИКОВА, Александр Попов</t>
        </is>
      </c>
      <c r="D631" s="3" t="n">
        <v>15988.5</v>
      </c>
      <c r="E631" s="4" t="n">
        <v>4</v>
      </c>
      <c r="F631" t="inlineStr">
        <is>
          <t>TravelLine Booking Engine [Чайковский]</t>
        </is>
      </c>
      <c r="G631" s="3">
        <f>ROUND(D631/(100-E631)*100,2)</f>
        <v/>
      </c>
      <c r="H631" s="3" t="n">
        <v>0</v>
      </c>
      <c r="I631" s="3">
        <f>ROUND(IF(ISNUMBER(AG631),AG631,G631)+H631,2)</f>
        <v/>
      </c>
      <c r="J631" s="2" t="inlineStr">
        <is>
          <t>Завтрак "Шведский стол"</t>
        </is>
      </c>
      <c r="K631" s="5" t="n">
        <v>46256.58333333334</v>
      </c>
      <c r="L631" t="n">
        <v>1</v>
      </c>
      <c r="M631" s="3">
        <f>I631/L631</f>
        <v/>
      </c>
      <c r="N631">
        <f>IF(M631&gt;=5100,"ставка","мин.ставка")</f>
        <v/>
      </c>
      <c r="O631" s="3">
        <f>ROUND(IF(N631="мин.ставка",L631*100,I631/102*2),2)</f>
        <v/>
      </c>
      <c r="P631" s="5" t="n">
        <v>46257.5</v>
      </c>
      <c r="Q631" t="inlineStr">
        <is>
          <t>TravelLine сайт</t>
        </is>
      </c>
      <c r="R631" s="2" t="inlineStr">
        <is>
          <t>ПОЛУЛЮКС</t>
        </is>
      </c>
      <c r="S631" t="n">
        <v>35</v>
      </c>
      <c r="T631" t="n">
        <v>1</v>
      </c>
      <c r="U631" t="inlineStr"/>
      <c r="V631" t="inlineStr">
        <is>
          <t>Тариф с завтраком</t>
        </is>
      </c>
      <c r="W631" t="n">
        <v>15988.5</v>
      </c>
      <c r="X631" s="3" t="n">
        <v>511.5</v>
      </c>
      <c r="Y631" t="inlineStr">
        <is>
          <t>3.1%</t>
        </is>
      </c>
      <c r="Z631" t="inlineStr">
        <is>
          <t>2026-08-22</t>
        </is>
      </c>
      <c r="AA631" s="3" t="n">
        <v>15988.5</v>
      </c>
      <c r="AB631" t="inlineStr">
        <is>
          <t>Сошлось по ночным тарифам</t>
        </is>
      </c>
      <c r="AC631" s="2" t="inlineStr"/>
      <c r="AD631" t="n">
        <v>511.5</v>
      </c>
      <c r="AE631" t="n">
        <v>0</v>
      </c>
      <c r="AF631" t="inlineStr">
        <is>
          <t>Скидка добавлена к налоговой базе</t>
        </is>
      </c>
      <c r="AG631" t="n">
        <v>16500</v>
      </c>
      <c r="AH631" t="n">
        <v>15988.5</v>
      </c>
      <c r="AI631" t="inlineStr">
        <is>
          <t>Полное проживание в выбранном периоде</t>
        </is>
      </c>
    </row>
    <row r="632">
      <c r="A632" t="inlineStr">
        <is>
          <t>20260803-8186-421031747</t>
        </is>
      </c>
      <c r="B632" t="n">
        <v>1</v>
      </c>
      <c r="C632" s="2" t="inlineStr">
        <is>
          <t>Марина Хрусталева, Екатерина Хрусталева</t>
        </is>
      </c>
      <c r="D632" s="3" t="n">
        <v>39849.75</v>
      </c>
      <c r="E632" s="4" t="n">
        <v>4</v>
      </c>
      <c r="F632" t="inlineStr">
        <is>
          <t>TravelLine Booking Engine [Чайковский]</t>
        </is>
      </c>
      <c r="G632" s="3">
        <f>ROUND(D632/(100-E632)*100,2)</f>
        <v/>
      </c>
      <c r="H632" s="3" t="n">
        <v>0</v>
      </c>
      <c r="I632" s="3">
        <f>ROUND(IF(ISNUMBER(AG632),AG632,G632)+H632,2)</f>
        <v/>
      </c>
      <c r="J632" s="2" t="inlineStr">
        <is>
          <t>Завтрак "Шведский стол"</t>
        </is>
      </c>
      <c r="K632" s="5" t="n">
        <v>46237.58333333334</v>
      </c>
      <c r="L632" t="n">
        <v>3</v>
      </c>
      <c r="M632" s="3">
        <f>I632/L632</f>
        <v/>
      </c>
      <c r="N632">
        <f>IF(M632&gt;=5100,"ставка","мин.ставка")</f>
        <v/>
      </c>
      <c r="O632" s="3">
        <f>ROUND(IF(N632="мин.ставка",L632*100,I632/102*2),2)</f>
        <v/>
      </c>
      <c r="P632" s="5" t="n">
        <v>46240.5</v>
      </c>
      <c r="Q632" t="inlineStr">
        <is>
          <t>TravelLine сайт</t>
        </is>
      </c>
      <c r="R632" s="2" t="inlineStr">
        <is>
          <t>СТАНДАРТНЫЙ ДВУХМЕСТНЫЙ НОМЕР</t>
        </is>
      </c>
      <c r="S632" t="n">
        <v>42</v>
      </c>
      <c r="T632" t="n">
        <v>1</v>
      </c>
      <c r="U632" t="inlineStr"/>
      <c r="V632" t="inlineStr">
        <is>
          <t>Тариф с завтраком</t>
        </is>
      </c>
      <c r="W632" t="n">
        <v>73729.5</v>
      </c>
      <c r="X632" s="3" t="n">
        <v>200.25</v>
      </c>
      <c r="Y632" t="inlineStr">
        <is>
          <t>1.5%</t>
        </is>
      </c>
      <c r="Z632" t="inlineStr">
        <is>
          <t>2026-08-03</t>
        </is>
      </c>
      <c r="AA632" s="3" t="n">
        <v>39849.75</v>
      </c>
      <c r="AB632" t="inlineStr">
        <is>
          <t>Сошлось по ночным тарифам</t>
        </is>
      </c>
      <c r="AC632" s="2" t="inlineStr"/>
      <c r="AD632" t="n">
        <v>200.25</v>
      </c>
      <c r="AE632" t="n">
        <v>0</v>
      </c>
      <c r="AF632" t="inlineStr">
        <is>
          <t>Скидка добавлена к налоговой базе</t>
        </is>
      </c>
      <c r="AG632" t="n">
        <v>40050</v>
      </c>
      <c r="AH632" t="n">
        <v>39849.75</v>
      </c>
      <c r="AI632" t="inlineStr">
        <is>
          <t>Полное проживание в выбранном периоде</t>
        </is>
      </c>
    </row>
    <row r="633">
      <c r="A633" t="inlineStr">
        <is>
          <t>20260821-8186-448701128</t>
        </is>
      </c>
      <c r="B633" t="n">
        <v>1</v>
      </c>
      <c r="C633" s="2" t="inlineStr">
        <is>
          <t>МАРИНА ШВЕЦОВА, ДАНИЛА ДРОЖЖИН</t>
        </is>
      </c>
      <c r="D633" s="3" t="n">
        <v>8415</v>
      </c>
      <c r="E633" s="4" t="n">
        <v>16</v>
      </c>
      <c r="F633" t="inlineStr">
        <is>
          <t>ООО "БРОНИРОВАНИЕ ГОСТИНИЦ" (OSTROVOK) [Чайковский]</t>
        </is>
      </c>
      <c r="G633" s="3">
        <f>ROUND(D633/(100-E633)*100,2)</f>
        <v/>
      </c>
      <c r="H633" s="3" t="n">
        <v>0</v>
      </c>
      <c r="I633" s="3">
        <f>ROUND(IF(ISNUMBER(AG633),AG633,G633)+H633,2)</f>
        <v/>
      </c>
      <c r="J633" s="2" t="inlineStr">
        <is>
          <t>Завтрак "Шведский стол"</t>
        </is>
      </c>
      <c r="K633" s="5" t="n">
        <v>46255.58333333334</v>
      </c>
      <c r="L633" t="n">
        <v>1</v>
      </c>
      <c r="M633" s="3">
        <f>I633/L633</f>
        <v/>
      </c>
      <c r="N633">
        <f>IF(M633&gt;=5100,"ставка","мин.ставка")</f>
        <v/>
      </c>
      <c r="O633" s="3">
        <f>ROUND(IF(N633="мин.ставка",L633*100,I633/102*2),2)</f>
        <v/>
      </c>
      <c r="P633" s="5" t="n">
        <v>46256.5</v>
      </c>
      <c r="Q633" t="inlineStr">
        <is>
          <t>TravelLine OTK</t>
        </is>
      </c>
      <c r="R633" s="2" t="inlineStr">
        <is>
          <t>СТАНДАРТНЫЙ ДВУХМЕСТНЫЙ НОМЕР (МАНСАРДА)</t>
        </is>
      </c>
      <c r="S633" t="n">
        <v>41</v>
      </c>
      <c r="T633" t="n">
        <v>1</v>
      </c>
      <c r="U633" t="inlineStr"/>
      <c r="V633" t="inlineStr">
        <is>
          <t>Тариф с завтраком</t>
        </is>
      </c>
      <c r="W633" t="n">
        <v>8415</v>
      </c>
      <c r="X633" s="3" t="n">
        <v>1485</v>
      </c>
      <c r="Y633" t="inlineStr">
        <is>
          <t>15%</t>
        </is>
      </c>
      <c r="Z633" t="inlineStr">
        <is>
          <t>2026-08-21</t>
        </is>
      </c>
      <c r="AA633" s="3" t="n">
        <v>8415</v>
      </c>
      <c r="AB633" t="inlineStr">
        <is>
          <t>Сошлось по ночным тарифам</t>
        </is>
      </c>
      <c r="AC633" s="2" t="inlineStr"/>
      <c r="AD633" t="n">
        <v>1485</v>
      </c>
      <c r="AE633" t="n">
        <v>0</v>
      </c>
      <c r="AF633" t="inlineStr">
        <is>
          <t>Скидка добавлена к налоговой базе</t>
        </is>
      </c>
      <c r="AG633" t="n">
        <v>9900</v>
      </c>
      <c r="AH633" t="n">
        <v>8415</v>
      </c>
      <c r="AI633" t="inlineStr">
        <is>
          <t>Полное проживание в выбранном периоде</t>
        </is>
      </c>
    </row>
    <row r="634">
      <c r="A634" t="inlineStr">
        <is>
          <t>20260928-8186-467819293</t>
        </is>
      </c>
      <c r="B634" t="n">
        <v>1</v>
      </c>
      <c r="C634" s="2" t="inlineStr">
        <is>
          <t>МАРИЯ АВАНЕСОВА</t>
        </is>
      </c>
      <c r="D634" s="3" t="n">
        <v>11257.5</v>
      </c>
      <c r="E634" s="4" t="n">
        <v>18</v>
      </c>
      <c r="F634" t="inlineStr">
        <is>
          <t>Яндекс.Путешествия [Чайковский]</t>
        </is>
      </c>
      <c r="G634" s="3">
        <f>ROUND(D634/(100-E634)*100,2)</f>
        <v/>
      </c>
      <c r="H634" s="3" t="n">
        <v>0</v>
      </c>
      <c r="I634" s="3">
        <f>ROUND(IF(ISNUMBER(AG634),AG634,G634)+H634,2)</f>
        <v/>
      </c>
      <c r="J634" s="2" t="inlineStr">
        <is>
          <t>Завтрак "Шведский стол"</t>
        </is>
      </c>
      <c r="K634" s="5" t="n">
        <v>46293.58333333334</v>
      </c>
      <c r="L634" t="n">
        <v>2</v>
      </c>
      <c r="M634" s="3">
        <f>I634/L634</f>
        <v/>
      </c>
      <c r="N634">
        <f>IF(M634&gt;=5100,"ставка","мин.ставка")</f>
        <v/>
      </c>
      <c r="O634" s="3">
        <f>ROUND(IF(N634="мин.ставка",L634*100,I634/102*2),2)</f>
        <v/>
      </c>
      <c r="P634" s="5" t="n">
        <v>46295.5</v>
      </c>
      <c r="Q634" t="inlineStr">
        <is>
          <t>TravelLine YAX</t>
        </is>
      </c>
      <c r="R634" s="2" t="inlineStr">
        <is>
          <t>СТАНДАРТНЫЙ ДВУХМЕСТНЫЙ НОМЕР (МАНСАРДА)</t>
        </is>
      </c>
      <c r="S634" t="n">
        <v>43</v>
      </c>
      <c r="T634" t="n">
        <v>1</v>
      </c>
      <c r="U634" t="inlineStr"/>
      <c r="V634" t="inlineStr">
        <is>
          <t>Тариф с завтраком</t>
        </is>
      </c>
      <c r="W634" t="n">
        <v>11257.5</v>
      </c>
      <c r="X634" s="3" t="n">
        <v>3752.5</v>
      </c>
      <c r="Y634" t="inlineStr">
        <is>
          <t>25%</t>
        </is>
      </c>
      <c r="Z634" t="inlineStr">
        <is>
          <t>2026-09-28, 2026-09-29</t>
        </is>
      </c>
      <c r="AA634" s="3" t="n">
        <v>11257.5</v>
      </c>
      <c r="AB634" t="inlineStr">
        <is>
          <t>Сошлось по ночным тарифам</t>
        </is>
      </c>
      <c r="AC634" s="2" t="inlineStr"/>
      <c r="AD634" t="n">
        <v>3752.5</v>
      </c>
      <c r="AE634" t="n">
        <v>0</v>
      </c>
      <c r="AF634" t="inlineStr">
        <is>
          <t>Скидка добавлена к налоговой базе</t>
        </is>
      </c>
      <c r="AG634" t="n">
        <v>15010</v>
      </c>
      <c r="AH634" t="n">
        <v>11257.5</v>
      </c>
      <c r="AI634" t="inlineStr">
        <is>
          <t>Полное проживание в выбранном периоде</t>
        </is>
      </c>
    </row>
    <row r="635">
      <c r="A635" t="inlineStr">
        <is>
          <t>20260827-8186-438982348</t>
        </is>
      </c>
      <c r="B635" t="n">
        <v>1</v>
      </c>
      <c r="C635" s="2" t="inlineStr">
        <is>
          <t>Мария Астахова</t>
        </is>
      </c>
      <c r="D635" s="3" t="n">
        <v>52360</v>
      </c>
      <c r="E635" s="4" t="n">
        <v>16</v>
      </c>
      <c r="F635" t="inlineStr">
        <is>
          <t>ООО "БРОНИРОВАНИЕ ГОСТИНИЦ" (OSTROVOK) [Чайковский]</t>
        </is>
      </c>
      <c r="G635" s="3">
        <f>ROUND(D635/(100-E635)*100,2)</f>
        <v/>
      </c>
      <c r="H635" s="3" t="n">
        <v>0</v>
      </c>
      <c r="I635" s="3">
        <f>ROUND(IF(ISNUMBER(AG635),AG635,G635)+H635,2)</f>
        <v/>
      </c>
      <c r="J635" s="2" t="inlineStr">
        <is>
          <t>Завтрак "Шведский стол"</t>
        </is>
      </c>
      <c r="K635" s="5" t="n">
        <v>46261.58333333334</v>
      </c>
      <c r="L635" t="n">
        <v>8</v>
      </c>
      <c r="M635" s="3">
        <f>I635/L635</f>
        <v/>
      </c>
      <c r="N635">
        <f>IF(M635&gt;=5100,"ставка","мин.ставка")</f>
        <v/>
      </c>
      <c r="O635" s="3">
        <f>ROUND(IF(N635="мин.ставка",L635*100,I635/102*2),2)</f>
        <v/>
      </c>
      <c r="P635" s="5" t="n">
        <v>46269.5</v>
      </c>
      <c r="Q635" t="inlineStr">
        <is>
          <t>TravelLine OTK</t>
        </is>
      </c>
      <c r="R635" s="2" t="inlineStr">
        <is>
          <t>СТАНДАРТНЫЙ ОДНОМЕСТНЫЙ НОМЕР</t>
        </is>
      </c>
      <c r="S635" t="n">
        <v>34</v>
      </c>
      <c r="T635" t="n">
        <v>1</v>
      </c>
      <c r="U635" t="inlineStr"/>
      <c r="V635" t="inlineStr">
        <is>
          <t>Тариф с завтраком</t>
        </is>
      </c>
      <c r="W635" t="n">
        <v>52360</v>
      </c>
      <c r="X635" s="3" t="n">
        <v>9240</v>
      </c>
      <c r="Y635" t="inlineStr">
        <is>
          <t>15%</t>
        </is>
      </c>
      <c r="Z635" t="inlineStr">
        <is>
          <t>2026-08-27, 2026-08-28, 2026-08-29, 2026-08-30, 2026-08-31, 2026-09-01, 2026-09-02, 2026-09-03</t>
        </is>
      </c>
      <c r="AA635" s="3" t="n">
        <v>52360</v>
      </c>
      <c r="AB635" t="inlineStr">
        <is>
          <t>Сошлось по ночным тарифам</t>
        </is>
      </c>
      <c r="AC635" s="2" t="inlineStr"/>
      <c r="AD635" t="n">
        <v>9240</v>
      </c>
      <c r="AE635" t="n">
        <v>0</v>
      </c>
      <c r="AF635" t="inlineStr">
        <is>
          <t>Скидка добавлена к налоговой базе</t>
        </is>
      </c>
      <c r="AG635" t="n">
        <v>61600</v>
      </c>
      <c r="AH635" t="n">
        <v>52360</v>
      </c>
      <c r="AI635" t="inlineStr">
        <is>
          <t>Полное проживание в выбранном периоде</t>
        </is>
      </c>
    </row>
    <row r="636">
      <c r="A636" t="inlineStr">
        <is>
          <t>20260925-8186-464901936</t>
        </is>
      </c>
      <c r="B636" t="n">
        <v>1</v>
      </c>
      <c r="C636" s="2" t="inlineStr">
        <is>
          <t>Мария Ашихмина</t>
        </is>
      </c>
      <c r="D636" s="3" t="n">
        <v>30993.75</v>
      </c>
      <c r="E636" s="4" t="n">
        <v>18</v>
      </c>
      <c r="F636" t="inlineStr">
        <is>
          <t>Яндекс.Путешествия [Чайковский]</t>
        </is>
      </c>
      <c r="G636" s="3">
        <f>ROUND(D636/(100-E636)*100,2)</f>
        <v/>
      </c>
      <c r="H636" s="3" t="n">
        <v>0</v>
      </c>
      <c r="I636" s="3">
        <f>ROUND(IF(ISNUMBER(AG636),AG636,G636)+H636,2)</f>
        <v/>
      </c>
      <c r="J636" s="2" t="inlineStr">
        <is>
          <t>Завтрак "Шведский стол"</t>
        </is>
      </c>
      <c r="K636" s="5" t="n">
        <v>46290.58333333334</v>
      </c>
      <c r="L636" t="n">
        <v>3</v>
      </c>
      <c r="M636" s="3">
        <f>I636/L636</f>
        <v/>
      </c>
      <c r="N636">
        <f>IF(M636&gt;=5100,"ставка","мин.ставка")</f>
        <v/>
      </c>
      <c r="O636" s="3">
        <f>ROUND(IF(N636="мин.ставка",L636*100,I636/102*2),2)</f>
        <v/>
      </c>
      <c r="P636" s="5" t="n">
        <v>46293.5</v>
      </c>
      <c r="Q636" t="inlineStr">
        <is>
          <t>TravelLine YAX</t>
        </is>
      </c>
      <c r="R636" s="2" t="inlineStr">
        <is>
          <t>ПОЛУЛЮКС</t>
        </is>
      </c>
      <c r="S636" t="n">
        <v>35</v>
      </c>
      <c r="T636" t="n">
        <v>1</v>
      </c>
      <c r="U636" t="inlineStr"/>
      <c r="V636" t="inlineStr">
        <is>
          <t>Тариф с завтраком</t>
        </is>
      </c>
      <c r="W636" t="n">
        <v>30993.75</v>
      </c>
      <c r="X636" s="3" t="n">
        <v>1631.25</v>
      </c>
      <c r="Y636" t="inlineStr">
        <is>
          <t>5%</t>
        </is>
      </c>
      <c r="Z636" t="inlineStr">
        <is>
          <t>2026-09-25, 2026-09-26, 2026-09-27</t>
        </is>
      </c>
      <c r="AA636" s="3" t="n">
        <v>30993.75</v>
      </c>
      <c r="AB636" t="inlineStr">
        <is>
          <t>Сошлось по ночным тарифам</t>
        </is>
      </c>
      <c r="AC636" s="2" t="inlineStr"/>
      <c r="AD636" t="n">
        <v>1631.25</v>
      </c>
      <c r="AE636" t="n">
        <v>0</v>
      </c>
      <c r="AF636" t="inlineStr">
        <is>
          <t>Скидка добавлена к налоговой базе</t>
        </is>
      </c>
      <c r="AG636" t="n">
        <v>32625</v>
      </c>
      <c r="AH636" t="n">
        <v>30993.75</v>
      </c>
      <c r="AI636" t="inlineStr">
        <is>
          <t>Полное проживание в выбранном периоде</t>
        </is>
      </c>
    </row>
    <row r="637">
      <c r="A637" t="inlineStr">
        <is>
          <t>20260729-8186-400177699</t>
        </is>
      </c>
      <c r="B637" t="n">
        <v>1</v>
      </c>
      <c r="C637" s="2" t="inlineStr">
        <is>
          <t>МАРИЯ БЕЛЕЕВСКАЯ, ЕВГЕНИЙ БЕЛЕЕВСКИЙ</t>
        </is>
      </c>
      <c r="D637" s="3" t="n">
        <v>52020</v>
      </c>
      <c r="E637" s="4" t="n">
        <v>0</v>
      </c>
      <c r="F637" t="inlineStr">
        <is>
          <t>Прямые бронирования (стойка) [Чайковский]</t>
        </is>
      </c>
      <c r="G637" s="3">
        <f>ROUND(D637/(100-E637)*100,2)</f>
        <v/>
      </c>
      <c r="H637" s="3" t="n">
        <v>28625</v>
      </c>
      <c r="I637" s="3">
        <f>ROUND(IF(ISNUMBER(AG637),AG637,G637)+H637,2)</f>
        <v/>
      </c>
      <c r="J637" s="2" t="inlineStr">
        <is>
          <t>продление номера — 5 600,00 ₽; продление номера — 16 800,00 ₽; продление номера — 6 225,00 ₽; Завтрак "Шведский стол"</t>
        </is>
      </c>
      <c r="K637" s="5" t="n">
        <v>46232.58333333334</v>
      </c>
      <c r="L637" t="n">
        <v>4</v>
      </c>
      <c r="M637" s="3">
        <f>I637/L637</f>
        <v/>
      </c>
      <c r="N637">
        <f>IF(M637&gt;=5100,"ставка","мин.ставка")</f>
        <v/>
      </c>
      <c r="O637" s="3">
        <f>ROUND(IF(N637="мин.ставка",L637*100,I637/102*2),2)</f>
        <v/>
      </c>
      <c r="P637" s="5" t="n">
        <v>46236.8125</v>
      </c>
      <c r="Q637" t="inlineStr">
        <is>
          <t>TravelLine ресепшен</t>
        </is>
      </c>
      <c r="R637" s="2" t="inlineStr">
        <is>
          <t>семейный номер категории "стандарт"</t>
        </is>
      </c>
      <c r="S637" t="n">
        <v>51</v>
      </c>
      <c r="T637" t="n">
        <v>2</v>
      </c>
      <c r="U637" t="inlineStr"/>
      <c r="V637" t="inlineStr">
        <is>
          <t>Тариф с завтраком</t>
        </is>
      </c>
      <c r="W637" t="n">
        <v>80645</v>
      </c>
      <c r="X637" s="3" t="n">
        <v>5780</v>
      </c>
      <c r="Y637" t="inlineStr">
        <is>
          <t>10%</t>
        </is>
      </c>
      <c r="Z637" t="inlineStr">
        <is>
          <t>2026-07-29, 2026-07-30, 2026-07-31, 2026-08-01</t>
        </is>
      </c>
      <c r="AA637" s="3" t="n">
        <v>52020</v>
      </c>
      <c r="AB637" t="inlineStr">
        <is>
          <t>Сошлось с услугами</t>
        </is>
      </c>
      <c r="AC637" s="2" t="inlineStr"/>
      <c r="AD637" t="n">
        <v>5780</v>
      </c>
      <c r="AE637" t="n">
        <v>0</v>
      </c>
      <c r="AF637" t="inlineStr">
        <is>
          <t>Скидка добавлена к налоговой базе</t>
        </is>
      </c>
      <c r="AG637" t="n">
        <v>57800</v>
      </c>
      <c r="AH637" t="n">
        <v>52020</v>
      </c>
      <c r="AI637" t="inlineStr">
        <is>
          <t>Полное проживание в выбранном периоде</t>
        </is>
      </c>
    </row>
    <row r="638">
      <c r="A638" t="inlineStr">
        <is>
          <t>20260711-8186-440445654</t>
        </is>
      </c>
      <c r="B638" t="n">
        <v>1</v>
      </c>
      <c r="C638" s="2" t="inlineStr">
        <is>
          <t>Мария Евгенова</t>
        </is>
      </c>
      <c r="D638" s="3" t="n">
        <v>18841</v>
      </c>
      <c r="E638" s="4" t="n">
        <v>0</v>
      </c>
      <c r="F638" t="inlineStr">
        <is>
          <t>Прямые бронирования (стойка) [Чайковский]</t>
        </is>
      </c>
      <c r="G638" s="3">
        <f>ROUND(D638/(100-E638)*100,2)</f>
        <v/>
      </c>
      <c r="H638" s="3" t="n">
        <v>0</v>
      </c>
      <c r="I638" s="3">
        <f>ROUND(IF(ISNUMBER(AG638),AG638,G638)+H638,2)</f>
        <v/>
      </c>
      <c r="J638" s="2" t="inlineStr">
        <is>
          <t>Завтрак "Шведский стол"</t>
        </is>
      </c>
      <c r="K638" s="5" t="n">
        <v>46214.58333333334</v>
      </c>
      <c r="L638" t="n">
        <v>2</v>
      </c>
      <c r="M638" s="3">
        <f>I638/L638</f>
        <v/>
      </c>
      <c r="N638">
        <f>IF(M638&gt;=5100,"ставка","мин.ставка")</f>
        <v/>
      </c>
      <c r="O638" s="3">
        <f>ROUND(IF(N638="мин.ставка",L638*100,I638/102*2),2)</f>
        <v/>
      </c>
      <c r="P638" s="5" t="n">
        <v>46216.5</v>
      </c>
      <c r="Q638" t="inlineStr">
        <is>
          <t>TravelLine CMB</t>
        </is>
      </c>
      <c r="R638" s="2" t="inlineStr">
        <is>
          <t>СТАНДАРТНЫЙ ДВУХМЕСТНЫЙ НОМЕР</t>
        </is>
      </c>
      <c r="S638" t="n">
        <v>58</v>
      </c>
      <c r="T638" t="n">
        <v>2</v>
      </c>
      <c r="U638" t="inlineStr"/>
      <c r="V638" t="inlineStr">
        <is>
          <t>Тариф с завтраком</t>
        </is>
      </c>
      <c r="W638" t="n">
        <v>18841</v>
      </c>
      <c r="X638" s="3" t="n">
        <v>3859</v>
      </c>
      <c r="Y638" t="inlineStr">
        <is>
          <t>17%</t>
        </is>
      </c>
      <c r="Z638" t="inlineStr">
        <is>
          <t>2026-07-11, 2026-07-12</t>
        </is>
      </c>
      <c r="AA638" s="3" t="n">
        <v>18841</v>
      </c>
      <c r="AB638" t="inlineStr">
        <is>
          <t>Сошлось по ночным тарифам</t>
        </is>
      </c>
      <c r="AC638" s="2" t="inlineStr"/>
      <c r="AD638" t="n">
        <v>3859</v>
      </c>
      <c r="AE638" t="n">
        <v>0</v>
      </c>
      <c r="AF638" t="inlineStr">
        <is>
          <t>Скидка добавлена к налоговой базе</t>
        </is>
      </c>
      <c r="AG638" t="n">
        <v>22700</v>
      </c>
      <c r="AH638" t="n">
        <v>18841</v>
      </c>
      <c r="AI638" t="inlineStr">
        <is>
          <t>Полное проживание в выбранном периоде</t>
        </is>
      </c>
    </row>
    <row r="639">
      <c r="A639" t="inlineStr">
        <is>
          <t>20260702-8186-443240661</t>
        </is>
      </c>
      <c r="B639" t="n">
        <v>1</v>
      </c>
      <c r="C639" s="2" t="inlineStr">
        <is>
          <t>Мария Еремеева, Альбина Зуева</t>
        </is>
      </c>
      <c r="D639" s="3" t="n">
        <v>33241.5</v>
      </c>
      <c r="E639" s="4" t="n">
        <v>17</v>
      </c>
      <c r="F639" t="inlineStr">
        <is>
          <t>ООО «Интернет Трэвел» (OZON) [Чайковский]</t>
        </is>
      </c>
      <c r="G639" s="3">
        <f>ROUND(D639/(100-E639)*100,2)</f>
        <v/>
      </c>
      <c r="H639" s="3" t="n">
        <v>0</v>
      </c>
      <c r="I639" s="3">
        <f>ROUND(IF(ISNUMBER(AG639),AG639,G639)+H639,2)</f>
        <v/>
      </c>
      <c r="J639" s="2" t="inlineStr">
        <is>
          <t>Завтрак "Шведский стол"</t>
        </is>
      </c>
      <c r="K639" s="5" t="n">
        <v>46205.58333333334</v>
      </c>
      <c r="L639" t="n">
        <v>3</v>
      </c>
      <c r="M639" s="3">
        <f>I639/L639</f>
        <v/>
      </c>
      <c r="N639">
        <f>IF(M639&gt;=5100,"ставка","мин.ставка")</f>
        <v/>
      </c>
      <c r="O639" s="3">
        <f>ROUND(IF(N639="мин.ставка",L639*100,I639/102*2),2)</f>
        <v/>
      </c>
      <c r="P639" s="5" t="n">
        <v>46208.5</v>
      </c>
      <c r="Q639" t="inlineStr">
        <is>
          <t>TravelLine OZ2</t>
        </is>
      </c>
      <c r="R639" s="2" t="inlineStr">
        <is>
          <t>СТАНДАРТНЫЙ ДВУХМЕСТНЫЙ НОМЕР</t>
        </is>
      </c>
      <c r="S639" t="n">
        <v>55</v>
      </c>
      <c r="T639" t="n">
        <v>2</v>
      </c>
      <c r="U639" t="inlineStr"/>
      <c r="V639" t="inlineStr">
        <is>
          <t>Тариф с завтраком</t>
        </is>
      </c>
      <c r="W639" t="n">
        <v>33241.5</v>
      </c>
      <c r="X639" s="3" t="n">
        <v>6808.5</v>
      </c>
      <c r="Y639" t="inlineStr">
        <is>
          <t>17%</t>
        </is>
      </c>
      <c r="Z639" t="inlineStr">
        <is>
          <t>2026-07-02, 2026-07-03, 2026-07-04</t>
        </is>
      </c>
      <c r="AA639" s="3" t="n">
        <v>33241.5</v>
      </c>
      <c r="AB639" t="inlineStr">
        <is>
          <t>Сошлось по ночным тарифам</t>
        </is>
      </c>
      <c r="AC639" s="2" t="inlineStr"/>
      <c r="AD639" t="n">
        <v>6808.5</v>
      </c>
      <c r="AE639" t="n">
        <v>0</v>
      </c>
      <c r="AF639" t="inlineStr">
        <is>
          <t>Скидка добавлена к налоговой базе</t>
        </is>
      </c>
      <c r="AG639" t="n">
        <v>40050</v>
      </c>
      <c r="AH639" t="n">
        <v>33241.5</v>
      </c>
      <c r="AI639" t="inlineStr">
        <is>
          <t>Полное проживание в выбранном периоде</t>
        </is>
      </c>
    </row>
    <row r="640">
      <c r="A640" t="inlineStr">
        <is>
          <t>20260707-8186-427987036</t>
        </is>
      </c>
      <c r="B640" t="n">
        <v>1</v>
      </c>
      <c r="C640" s="2" t="inlineStr">
        <is>
          <t>Мария Журина, Степан Ртищев</t>
        </is>
      </c>
      <c r="D640" s="3" t="n">
        <v>11347.5</v>
      </c>
      <c r="E640" s="4" t="n">
        <v>15</v>
      </c>
      <c r="F640" t="inlineStr">
        <is>
          <t>ООО "БРОНИРОВАНИЕ ГОСТИНИЦ" (OSTROVOK) [Чайковский]</t>
        </is>
      </c>
      <c r="G640" s="3">
        <f>ROUND(D640/(100-E640)*100,2)</f>
        <v/>
      </c>
      <c r="H640" s="3" t="n">
        <v>0</v>
      </c>
      <c r="I640" s="3">
        <f>ROUND(IF(ISNUMBER(AG640),AG640,G640)+H640,2)</f>
        <v/>
      </c>
      <c r="J640" s="2" t="inlineStr">
        <is>
          <t>Завтрак "Шведский стол"</t>
        </is>
      </c>
      <c r="K640" s="5" t="n">
        <v>46210.58333333334</v>
      </c>
      <c r="L640" t="n">
        <v>1</v>
      </c>
      <c r="M640" s="3">
        <f>I640/L640</f>
        <v/>
      </c>
      <c r="N640">
        <f>IF(M640&gt;=5100,"ставка","мин.ставка")</f>
        <v/>
      </c>
      <c r="O640" s="3">
        <f>ROUND(IF(N640="мин.ставка",L640*100,I640/102*2),2)</f>
        <v/>
      </c>
      <c r="P640" s="5" t="n">
        <v>46211.5</v>
      </c>
      <c r="Q640" t="inlineStr">
        <is>
          <t>TravelLine OTK</t>
        </is>
      </c>
      <c r="R640" s="2" t="inlineStr">
        <is>
          <t>СТАНДАРТНЫЙ ДВУХМЕСТНЫЙ НОМЕР</t>
        </is>
      </c>
      <c r="S640" t="n">
        <v>36</v>
      </c>
      <c r="T640" t="n">
        <v>1</v>
      </c>
      <c r="U640" t="inlineStr"/>
      <c r="V640" t="inlineStr">
        <is>
          <t>Тариф с завтраком</t>
        </is>
      </c>
      <c r="W640" t="n">
        <v>11347.5</v>
      </c>
      <c r="X640" s="3" t="n">
        <v>2002.5</v>
      </c>
      <c r="Y640" t="inlineStr">
        <is>
          <t>15%</t>
        </is>
      </c>
      <c r="Z640" t="inlineStr">
        <is>
          <t>2026-07-07</t>
        </is>
      </c>
      <c r="AA640" s="3" t="n">
        <v>11347.5</v>
      </c>
      <c r="AB640" t="inlineStr">
        <is>
          <t>Сошлось по ночным тарифам</t>
        </is>
      </c>
      <c r="AC640" s="2" t="inlineStr"/>
      <c r="AD640" t="n">
        <v>2002.5</v>
      </c>
      <c r="AE640" t="n">
        <v>0</v>
      </c>
      <c r="AF640" t="inlineStr">
        <is>
          <t>Скидка добавлена к налоговой базе</t>
        </is>
      </c>
      <c r="AG640" t="n">
        <v>13350</v>
      </c>
      <c r="AH640" t="n">
        <v>11347.5</v>
      </c>
      <c r="AI640" t="inlineStr">
        <is>
          <t>Полное проживание в выбранном периоде</t>
        </is>
      </c>
    </row>
    <row r="641">
      <c r="A641" t="inlineStr">
        <is>
          <t>20260927-8186-463737797</t>
        </is>
      </c>
      <c r="B641" t="n">
        <v>1</v>
      </c>
      <c r="C641" s="2" t="inlineStr">
        <is>
          <t>МАРИЯ Исакова</t>
        </is>
      </c>
      <c r="D641" s="3" t="n">
        <v>5925</v>
      </c>
      <c r="E641" s="4" t="n">
        <v>18</v>
      </c>
      <c r="F641" t="inlineStr">
        <is>
          <t>Яндекс.Путешествия [Чайковский]</t>
        </is>
      </c>
      <c r="G641" s="3">
        <f>ROUND(D641/(100-E641)*100,2)</f>
        <v/>
      </c>
      <c r="H641" s="3" t="n">
        <v>0</v>
      </c>
      <c r="I641" s="3">
        <f>ROUND(IF(ISNUMBER(AG641),AG641,G641)+H641,2)</f>
        <v/>
      </c>
      <c r="J641" s="2" t="inlineStr">
        <is>
          <t>Завтрак "Шведский стол"</t>
        </is>
      </c>
      <c r="K641" s="5" t="n">
        <v>46292.58333333334</v>
      </c>
      <c r="L641" t="n">
        <v>1</v>
      </c>
      <c r="M641" s="3">
        <f>I641/L641</f>
        <v/>
      </c>
      <c r="N641">
        <f>IF(M641&gt;=5100,"ставка","мин.ставка")</f>
        <v/>
      </c>
      <c r="O641" s="3">
        <f>ROUND(IF(N641="мин.ставка",L641*100,I641/102*2),2)</f>
        <v/>
      </c>
      <c r="P641" s="5" t="n">
        <v>46293.5</v>
      </c>
      <c r="Q641" t="inlineStr">
        <is>
          <t>TravelLine YAX</t>
        </is>
      </c>
      <c r="R641" s="2" t="inlineStr">
        <is>
          <t>СТАНДАРТНЫЙ ДВУХМЕСТНЫЙ НОМЕР (МАНСАРДА)</t>
        </is>
      </c>
      <c r="S641" t="n">
        <v>41</v>
      </c>
      <c r="T641" t="n">
        <v>1</v>
      </c>
      <c r="U641" t="inlineStr"/>
      <c r="V641" t="inlineStr">
        <is>
          <t>Тариф с завтраком</t>
        </is>
      </c>
      <c r="W641" t="n">
        <v>5925</v>
      </c>
      <c r="X641" s="3" t="n">
        <v>1975</v>
      </c>
      <c r="Y641" t="inlineStr">
        <is>
          <t>25%</t>
        </is>
      </c>
      <c r="Z641" t="inlineStr">
        <is>
          <t>2026-09-27</t>
        </is>
      </c>
      <c r="AA641" s="3" t="n">
        <v>5925</v>
      </c>
      <c r="AB641" t="inlineStr">
        <is>
          <t>Сошлось по ночным тарифам</t>
        </is>
      </c>
      <c r="AC641" s="2" t="inlineStr"/>
      <c r="AD641" t="n">
        <v>1975</v>
      </c>
      <c r="AE641" t="n">
        <v>0</v>
      </c>
      <c r="AF641" t="inlineStr">
        <is>
          <t>Скидка добавлена к налоговой базе</t>
        </is>
      </c>
      <c r="AG641" t="n">
        <v>7900</v>
      </c>
      <c r="AH641" t="n">
        <v>5925</v>
      </c>
      <c r="AI641" t="inlineStr">
        <is>
          <t>Полное проживание в выбранном периоде</t>
        </is>
      </c>
    </row>
    <row r="642">
      <c r="A642" t="inlineStr">
        <is>
          <t>20260812-8186-454218570</t>
        </is>
      </c>
      <c r="B642" t="n">
        <v>1</v>
      </c>
      <c r="C642" s="2" t="inlineStr">
        <is>
          <t>Мария Кондратьева</t>
        </is>
      </c>
      <c r="D642" s="3" t="n">
        <v>23780</v>
      </c>
      <c r="E642" s="4" t="n">
        <v>18</v>
      </c>
      <c r="F642" t="inlineStr">
        <is>
          <t>ООО "Эй энд Эй" [Чайковский]</t>
        </is>
      </c>
      <c r="G642" s="3">
        <f>ROUND(D642/(100-E642)*100,2)</f>
        <v/>
      </c>
      <c r="H642" s="3" t="n">
        <v>0</v>
      </c>
      <c r="I642" s="3">
        <f>ROUND(IF(ISNUMBER(AG642),AG642,G642)+H642,2)</f>
        <v/>
      </c>
      <c r="J642" s="2" t="inlineStr">
        <is>
          <t>Завтрак "Шведский стол"</t>
        </is>
      </c>
      <c r="K642" s="5" t="n">
        <v>46246.58333333334</v>
      </c>
      <c r="L642" t="n">
        <v>2</v>
      </c>
      <c r="M642" s="3">
        <f>I642/L642</f>
        <v/>
      </c>
      <c r="N642">
        <f>IF(M642&gt;=5100,"ставка","мин.ставка")</f>
        <v/>
      </c>
      <c r="O642" s="3">
        <f>ROUND(IF(N642="мин.ставка",L642*100,I642/102*2),2)</f>
        <v/>
      </c>
      <c r="P642" s="5" t="n">
        <v>46248.5</v>
      </c>
      <c r="Q642" t="inlineStr">
        <is>
          <t>TravelLine ANA</t>
        </is>
      </c>
      <c r="R642" s="2" t="inlineStr">
        <is>
          <t>ПОЛУЛЮКС</t>
        </is>
      </c>
      <c r="S642" t="n">
        <v>25</v>
      </c>
      <c r="T642" t="n">
        <v>1</v>
      </c>
      <c r="U642" t="inlineStr"/>
      <c r="V642" t="inlineStr">
        <is>
          <t>Тариф с завтраком</t>
        </is>
      </c>
      <c r="W642" t="n">
        <v>23780</v>
      </c>
      <c r="X642" s="3" t="n">
        <v>5220</v>
      </c>
      <c r="Y642" t="inlineStr">
        <is>
          <t>18%</t>
        </is>
      </c>
      <c r="Z642" t="inlineStr">
        <is>
          <t>2026-08-12, 2026-08-13</t>
        </is>
      </c>
      <c r="AA642" s="3" t="n">
        <v>23780</v>
      </c>
      <c r="AB642" t="inlineStr">
        <is>
          <t>Сошлось по ночным тарифам</t>
        </is>
      </c>
      <c r="AC642" s="2" t="inlineStr"/>
      <c r="AD642" t="n">
        <v>5220</v>
      </c>
      <c r="AE642" t="n">
        <v>0</v>
      </c>
      <c r="AF642" t="inlineStr">
        <is>
          <t>Скидка добавлена к налоговой базе</t>
        </is>
      </c>
      <c r="AG642" t="n">
        <v>29000</v>
      </c>
      <c r="AH642" t="n">
        <v>23780</v>
      </c>
      <c r="AI642" t="inlineStr">
        <is>
          <t>Полное проживание в выбранном периоде</t>
        </is>
      </c>
    </row>
    <row r="643">
      <c r="A643" t="inlineStr">
        <is>
          <t>20260806-8186-452608643</t>
        </is>
      </c>
      <c r="B643" t="n">
        <v>1</v>
      </c>
      <c r="C643" s="2" t="inlineStr">
        <is>
          <t>Мария КОТОВА</t>
        </is>
      </c>
      <c r="D643" s="3" t="n">
        <v>31000.5</v>
      </c>
      <c r="E643" s="4" t="n">
        <v>20</v>
      </c>
      <c r="F643" t="inlineStr">
        <is>
          <t>ООО «Дубль Гис» (OTELLO) [Чайковский]</t>
        </is>
      </c>
      <c r="G643" s="3">
        <f>ROUND(D643/(100-E643)*100,2)</f>
        <v/>
      </c>
      <c r="H643" s="3" t="n">
        <v>0</v>
      </c>
      <c r="I643" s="3">
        <f>ROUND(IF(ISNUMBER(AG643),AG643,G643)+H643,2)</f>
        <v/>
      </c>
      <c r="J643" s="2" t="inlineStr">
        <is>
          <t>Завтрак "Шведский стол"</t>
        </is>
      </c>
      <c r="K643" s="5" t="n">
        <v>46240.58333333334</v>
      </c>
      <c r="L643" t="n">
        <v>3</v>
      </c>
      <c r="M643" s="3">
        <f>I643/L643</f>
        <v/>
      </c>
      <c r="N643">
        <f>IF(M643&gt;=5100,"ставка","мин.ставка")</f>
        <v/>
      </c>
      <c r="O643" s="3">
        <f>ROUND(IF(N643="мин.ставка",L643*100,I643/102*2),2)</f>
        <v/>
      </c>
      <c r="P643" s="5" t="n">
        <v>46243.5</v>
      </c>
      <c r="Q643" t="inlineStr">
        <is>
          <t>TravelLine OL2</t>
        </is>
      </c>
      <c r="R643" s="2" t="inlineStr">
        <is>
          <t>СЕМЕЙНЫЙ НОМЕР КАТЕГОРИИ "СТАНДАРТ" ВТОРОЙ КОРПУС</t>
        </is>
      </c>
      <c r="S643" t="n">
        <v>51</v>
      </c>
      <c r="T643" t="n">
        <v>2</v>
      </c>
      <c r="U643" t="inlineStr"/>
      <c r="V643" t="inlineStr">
        <is>
          <t>Тариф с завтраком</t>
        </is>
      </c>
      <c r="W643" t="n">
        <v>31000.5</v>
      </c>
      <c r="X643" s="3" t="n">
        <v>6349.5</v>
      </c>
      <c r="Y643" t="inlineStr">
        <is>
          <t>17%</t>
        </is>
      </c>
      <c r="Z643" t="inlineStr">
        <is>
          <t>2026-08-06, 2026-08-07, 2026-08-08</t>
        </is>
      </c>
      <c r="AA643" s="3" t="n">
        <v>31000.5</v>
      </c>
      <c r="AB643" t="inlineStr">
        <is>
          <t>Сошлось по ночным тарифам</t>
        </is>
      </c>
      <c r="AC643" s="2" t="inlineStr"/>
      <c r="AD643" t="n">
        <v>6349.5</v>
      </c>
      <c r="AE643" t="n">
        <v>0</v>
      </c>
      <c r="AF643" t="inlineStr">
        <is>
          <t>Скидка добавлена к налоговой базе</t>
        </is>
      </c>
      <c r="AG643" t="n">
        <v>37350</v>
      </c>
      <c r="AH643" t="n">
        <v>31000.5</v>
      </c>
      <c r="AI643" t="inlineStr">
        <is>
          <t>Полное проживание в выбранном периоде</t>
        </is>
      </c>
    </row>
    <row r="644">
      <c r="A644" t="inlineStr">
        <is>
          <t>20260914-8186-463736656</t>
        </is>
      </c>
      <c r="B644" t="n">
        <v>1</v>
      </c>
      <c r="C644" s="2" t="inlineStr">
        <is>
          <t>МАРИЯ КУТЕПОВА</t>
        </is>
      </c>
      <c r="D644" s="3" t="n">
        <v>26544</v>
      </c>
      <c r="E644" s="4" t="n">
        <v>16</v>
      </c>
      <c r="F644" t="inlineStr">
        <is>
          <t>ООО "БРОНИРОВАНИЕ ГОСТИНИЦ" (OSTROVOK) [Чайковский]</t>
        </is>
      </c>
      <c r="G644" s="3">
        <f>ROUND(D644/(100-E644)*100,2)</f>
        <v/>
      </c>
      <c r="H644" s="3" t="n">
        <v>0</v>
      </c>
      <c r="I644" s="3">
        <f>ROUND(IF(ISNUMBER(AG644),AG644,G644)+H644,2)</f>
        <v/>
      </c>
      <c r="J644" s="2" t="inlineStr">
        <is>
          <t>Завтрак "Шведский стол"</t>
        </is>
      </c>
      <c r="K644" s="5" t="n">
        <v>46279.58333333334</v>
      </c>
      <c r="L644" t="n">
        <v>2</v>
      </c>
      <c r="M644" s="3">
        <f>I644/L644</f>
        <v/>
      </c>
      <c r="N644">
        <f>IF(M644&gt;=5100,"ставка","мин.ставка")</f>
        <v/>
      </c>
      <c r="O644" s="3">
        <f>ROUND(IF(N644="мин.ставка",L644*100,I644/102*2),2)</f>
        <v/>
      </c>
      <c r="P644" s="5" t="n">
        <v>46281.5</v>
      </c>
      <c r="Q644" t="inlineStr">
        <is>
          <t>TravelLine OTK</t>
        </is>
      </c>
      <c r="R644" s="2" t="inlineStr">
        <is>
          <t>ЛЮКС ВТОРОЙ КОРПУС</t>
        </is>
      </c>
      <c r="S644" t="n">
        <v>54</v>
      </c>
      <c r="T644" t="n">
        <v>2</v>
      </c>
      <c r="U644" t="inlineStr"/>
      <c r="V644" t="inlineStr">
        <is>
          <t>Тариф с завтраком</t>
        </is>
      </c>
      <c r="W644" t="n">
        <v>26544</v>
      </c>
      <c r="X644" s="3" t="n">
        <v>5056</v>
      </c>
      <c r="Y644" t="inlineStr">
        <is>
          <t>16%</t>
        </is>
      </c>
      <c r="Z644" t="inlineStr">
        <is>
          <t>2026-09-14, 2026-09-15</t>
        </is>
      </c>
      <c r="AA644" s="3" t="n">
        <v>26544</v>
      </c>
      <c r="AB644" t="inlineStr">
        <is>
          <t>Сошлось по ночным тарифам</t>
        </is>
      </c>
      <c r="AC644" s="2" t="inlineStr"/>
      <c r="AD644" t="n">
        <v>5056</v>
      </c>
      <c r="AE644" t="n">
        <v>0</v>
      </c>
      <c r="AF644" t="inlineStr">
        <is>
          <t>Скидка добавлена к налоговой базе</t>
        </is>
      </c>
      <c r="AG644" t="n">
        <v>31600</v>
      </c>
      <c r="AH644" t="n">
        <v>26544</v>
      </c>
      <c r="AI644" t="inlineStr">
        <is>
          <t>Полное проживание в выбранном периоде</t>
        </is>
      </c>
    </row>
    <row r="645">
      <c r="A645" t="inlineStr">
        <is>
          <t>20260810-8186-395777109</t>
        </is>
      </c>
      <c r="B645" t="n">
        <v>1</v>
      </c>
      <c r="C645" s="2" t="inlineStr">
        <is>
          <t>Мария Моллот</t>
        </is>
      </c>
      <c r="D645" s="3" t="n">
        <v>56880</v>
      </c>
      <c r="E645" s="4" t="n">
        <v>0</v>
      </c>
      <c r="F645" t="inlineStr">
        <is>
          <t>Прямые бронирования (стойка) [Чайковский]</t>
        </is>
      </c>
      <c r="G645" s="3">
        <f>ROUND(D645/(100-E645)*100,2)</f>
        <v/>
      </c>
      <c r="H645" s="3" t="n">
        <v>0</v>
      </c>
      <c r="I645" s="3">
        <f>ROUND(IF(ISNUMBER(AG645),AG645,G645)+H645,2)</f>
        <v/>
      </c>
      <c r="J645" s="2" t="inlineStr">
        <is>
          <t>Завтрак "Шведский стол"</t>
        </is>
      </c>
      <c r="K645" s="5" t="n">
        <v>46244.58333333334</v>
      </c>
      <c r="L645" t="n">
        <v>8</v>
      </c>
      <c r="M645" s="3">
        <f>I645/L645</f>
        <v/>
      </c>
      <c r="N645">
        <f>IF(M645&gt;=5100,"ставка","мин.ставка")</f>
        <v/>
      </c>
      <c r="O645" s="3">
        <f>ROUND(IF(N645="мин.ставка",L645*100,I645/102*2),2)</f>
        <v/>
      </c>
      <c r="P645" s="5" t="n">
        <v>46252.5</v>
      </c>
      <c r="Q645" t="inlineStr">
        <is>
          <t>TravelLine ресепшен</t>
        </is>
      </c>
      <c r="R645" s="2" t="inlineStr">
        <is>
          <t>СТАНДАРТНЫЙ ОДНОМЕСТНЫЙ НОМЕР</t>
        </is>
      </c>
      <c r="S645" t="n">
        <v>24</v>
      </c>
      <c r="T645" t="n">
        <v>1</v>
      </c>
      <c r="U645" t="inlineStr"/>
      <c r="V645" t="inlineStr">
        <is>
          <t>Тариф с завтраком</t>
        </is>
      </c>
      <c r="W645" t="n">
        <v>56880</v>
      </c>
      <c r="X645" s="3" t="n">
        <v>6320</v>
      </c>
      <c r="Y645" t="inlineStr">
        <is>
          <t>10%</t>
        </is>
      </c>
      <c r="Z645" t="inlineStr">
        <is>
          <t>2026-08-10, 2026-08-11, 2026-08-12, 2026-08-13, 2026-08-14, 2026-08-15, 2026-08-16, 2026-08-17</t>
        </is>
      </c>
      <c r="AA645" s="3" t="n">
        <v>56880</v>
      </c>
      <c r="AB645" t="inlineStr">
        <is>
          <t>Сошлось по ночным тарифам</t>
        </is>
      </c>
      <c r="AC645" s="2" t="inlineStr"/>
      <c r="AD645" t="n">
        <v>6320</v>
      </c>
      <c r="AE645" t="n">
        <v>0</v>
      </c>
      <c r="AF645" t="inlineStr">
        <is>
          <t>Скидка добавлена к налоговой базе</t>
        </is>
      </c>
      <c r="AG645" t="n">
        <v>63200</v>
      </c>
      <c r="AH645" t="n">
        <v>56880</v>
      </c>
      <c r="AI645" t="inlineStr">
        <is>
          <t>Полное проживание в выбранном периоде</t>
        </is>
      </c>
    </row>
    <row r="646">
      <c r="A646" t="inlineStr">
        <is>
          <t>20260920-8186-465332627</t>
        </is>
      </c>
      <c r="B646" t="n">
        <v>1</v>
      </c>
      <c r="C646" s="2" t="inlineStr">
        <is>
          <t>Мария Москаленко</t>
        </is>
      </c>
      <c r="D646" s="3" t="n">
        <v>79279.75</v>
      </c>
      <c r="E646" s="4" t="n">
        <v>4</v>
      </c>
      <c r="F646" t="inlineStr">
        <is>
          <t>TravelLine Booking Engine [Чайковский]</t>
        </is>
      </c>
      <c r="G646" s="3">
        <f>ROUND(D646/(100-E646)*100,2)</f>
        <v/>
      </c>
      <c r="H646" s="3" t="n">
        <v>0</v>
      </c>
      <c r="I646" s="3">
        <f>ROUND(IF(ISNUMBER(AG646),AG646,G646)+H646,2)</f>
        <v/>
      </c>
      <c r="J646" s="2" t="inlineStr">
        <is>
          <t>Завтрак "Шведский стол"</t>
        </is>
      </c>
      <c r="K646" s="5" t="n">
        <v>46285.97916666666</v>
      </c>
      <c r="L646" t="n">
        <v>7</v>
      </c>
      <c r="M646" s="3">
        <f>I646/L646</f>
        <v/>
      </c>
      <c r="N646">
        <f>IF(M646&gt;=5100,"ставка","мин.ставка")</f>
        <v/>
      </c>
      <c r="O646" s="3">
        <f>ROUND(IF(N646="мин.ставка",L646*100,I646/102*2),2)</f>
        <v/>
      </c>
      <c r="P646" s="5" t="n">
        <v>46292.5</v>
      </c>
      <c r="Q646" t="inlineStr">
        <is>
          <t>TravelLine сайт</t>
        </is>
      </c>
      <c r="R646" s="2" t="inlineStr">
        <is>
          <t>СТАНДАРТНЫЙ ДВУХМЕСТНЫЙ НОМЕР</t>
        </is>
      </c>
      <c r="S646" t="n">
        <v>55</v>
      </c>
      <c r="T646" t="n">
        <v>2</v>
      </c>
      <c r="U646" t="inlineStr"/>
      <c r="V646" t="inlineStr">
        <is>
          <t>Тариф с завтраком</t>
        </is>
      </c>
      <c r="W646" t="n">
        <v>79279.75</v>
      </c>
      <c r="X646" s="3" t="n">
        <v>170.25</v>
      </c>
      <c r="Y646" t="inlineStr">
        <is>
          <t>1.5%</t>
        </is>
      </c>
      <c r="Z646" t="inlineStr">
        <is>
          <t>2026-09-20</t>
        </is>
      </c>
      <c r="AA646" s="3" t="n">
        <v>79279.75</v>
      </c>
      <c r="AB646" t="inlineStr">
        <is>
          <t>Сошлось по ночным тарифам</t>
        </is>
      </c>
      <c r="AC646" s="2" t="inlineStr"/>
      <c r="AD646" t="n">
        <v>170.25</v>
      </c>
      <c r="AE646" t="n">
        <v>0</v>
      </c>
      <c r="AF646" t="inlineStr">
        <is>
          <t>Скидка добавлена к налоговой базе</t>
        </is>
      </c>
      <c r="AG646" t="n">
        <v>79450</v>
      </c>
      <c r="AH646" t="n">
        <v>79279.75</v>
      </c>
      <c r="AI646" t="inlineStr">
        <is>
          <t>Полное проживание в выбранном периоде</t>
        </is>
      </c>
    </row>
    <row r="647">
      <c r="A647" t="inlineStr">
        <is>
          <t>20260930-8186-465412038</t>
        </is>
      </c>
      <c r="B647" t="n">
        <v>1</v>
      </c>
      <c r="C647" s="2" t="inlineStr">
        <is>
          <t>Мария Новосельцева</t>
        </is>
      </c>
      <c r="D647" s="3" t="n">
        <v>29920</v>
      </c>
      <c r="E647" s="4" t="n">
        <v>15</v>
      </c>
      <c r="F647" t="inlineStr">
        <is>
          <t>«ЖилиБыли» [Чайковский]</t>
        </is>
      </c>
      <c r="G647" s="3">
        <f>ROUND(D647/(100-E647)*100,2)</f>
        <v/>
      </c>
      <c r="H647" s="3" t="n">
        <v>0</v>
      </c>
      <c r="I647" s="3">
        <f>ROUND(IF(ISNUMBER(AG647),AG647,G647)+H647,2)</f>
        <v/>
      </c>
      <c r="J647" s="2" t="inlineStr"/>
      <c r="K647" s="5" t="n">
        <v>46295.58333333334</v>
      </c>
      <c r="L647" t="n">
        <v>1</v>
      </c>
      <c r="M647" s="3">
        <f>I647/L647</f>
        <v/>
      </c>
      <c r="N647">
        <f>IF(M647&gt;=5100,"ставка","мин.ставка")</f>
        <v/>
      </c>
      <c r="O647" s="3">
        <f>ROUND(IF(N647="мин.ставка",L647*100,I647/102*2),2)</f>
        <v/>
      </c>
      <c r="P647" s="5" t="n">
        <v>46298.5</v>
      </c>
      <c r="Q647" t="inlineStr">
        <is>
          <t>TravelLine JLB</t>
        </is>
      </c>
      <c r="R647" s="2" t="inlineStr">
        <is>
          <t>УЛУЧШЕННЫЙ ДВУХМЕСТНЫЙ НОМЕР</t>
        </is>
      </c>
      <c r="S647" t="n">
        <v>56</v>
      </c>
      <c r="T647" t="n">
        <v>2</v>
      </c>
      <c r="U647" t="inlineStr"/>
      <c r="V647" t="inlineStr">
        <is>
          <t>Тариф с завтраком</t>
        </is>
      </c>
      <c r="W647" t="n">
        <v>29920</v>
      </c>
      <c r="X647" s="3" t="n">
        <v>5280</v>
      </c>
      <c r="Y647" t="inlineStr">
        <is>
          <t>15%</t>
        </is>
      </c>
      <c r="Z647" t="inlineStr">
        <is>
          <t>Не распределена по датам</t>
        </is>
      </c>
      <c r="AA647" s="3" t="n">
        <v>29920</v>
      </c>
      <c r="AB647" t="inlineStr">
        <is>
          <t>Сошлось по ночным тарифам</t>
        </is>
      </c>
      <c r="AC647" s="2" t="inlineStr"/>
      <c r="AD647" t="n">
        <v>0</v>
      </c>
      <c r="AE647" t="n">
        <v>0</v>
      </c>
      <c r="AF647" t="inlineStr">
        <is>
          <t>Частичный период: дата агрегированной скидки не определена; скидка не добавлена к базе</t>
        </is>
      </c>
      <c r="AG647" t="n">
        <v>11390</v>
      </c>
      <c r="AH647" t="n">
        <v>11390</v>
      </c>
      <c r="AI647" t="inlineStr">
        <is>
          <t>Частичное проживание распределено по dailyRates; скидка без даты не восстановлена</t>
        </is>
      </c>
    </row>
    <row r="648">
      <c r="A648" t="inlineStr">
        <is>
          <t>20260914-8186-420584796</t>
        </is>
      </c>
      <c r="B648" t="n">
        <v>1</v>
      </c>
      <c r="C648" s="2" t="inlineStr">
        <is>
          <t>МАРИЯ ПЕРЯТИНСКАЯ, АННА КАЗАНКОВА</t>
        </is>
      </c>
      <c r="D648" s="3" t="n">
        <v>42075</v>
      </c>
      <c r="E648" s="4" t="n">
        <v>0</v>
      </c>
      <c r="F648" t="inlineStr">
        <is>
          <t>ООО «ХОМЛИН ЛЭНД» (ПЕГАС) [Чайковский]</t>
        </is>
      </c>
      <c r="G648" s="3">
        <f>ROUND(D648/(100-E648)*100,2)</f>
        <v/>
      </c>
      <c r="H648" s="3" t="n">
        <v>0</v>
      </c>
      <c r="I648" s="3">
        <f>ROUND(IF(ISNUMBER(AG648),AG648,G648)+H648,2)</f>
        <v/>
      </c>
      <c r="J648" s="2" t="inlineStr">
        <is>
          <t>Завтрак "Шведский стол"</t>
        </is>
      </c>
      <c r="K648" s="5" t="n">
        <v>46279.58333333334</v>
      </c>
      <c r="L648" t="n">
        <v>5</v>
      </c>
      <c r="M648" s="3">
        <f>I648/L648</f>
        <v/>
      </c>
      <c r="N648">
        <f>IF(M648&gt;=5100,"ставка","мин.ставка")</f>
        <v/>
      </c>
      <c r="O648" s="3">
        <f>ROUND(IF(N648="мин.ставка",L648*100,I648/102*2),2)</f>
        <v/>
      </c>
      <c r="P648" s="5" t="n">
        <v>46284.5</v>
      </c>
      <c r="Q648" t="inlineStr">
        <is>
          <t>TravelLine PGS</t>
        </is>
      </c>
      <c r="R648" s="2" t="inlineStr">
        <is>
          <t>СТАНДАРТНЫЙ ДВУХМЕСТНЫЙ НОМЕР (МАНСАРДА)</t>
        </is>
      </c>
      <c r="S648" t="n">
        <v>43</v>
      </c>
      <c r="T648" t="n">
        <v>1</v>
      </c>
      <c r="U648" t="inlineStr"/>
      <c r="V648" t="inlineStr">
        <is>
          <t>Тариф с завтраком</t>
        </is>
      </c>
      <c r="W648" t="n">
        <v>42075</v>
      </c>
      <c r="X648" s="3" t="n">
        <v>7425</v>
      </c>
      <c r="Y648" t="inlineStr">
        <is>
          <t>15%</t>
        </is>
      </c>
      <c r="Z648" t="inlineStr">
        <is>
          <t>2026-09-14, 2026-09-15, 2026-09-16, 2026-09-17, 2026-09-18</t>
        </is>
      </c>
      <c r="AA648" s="3" t="n">
        <v>42075</v>
      </c>
      <c r="AB648" t="inlineStr">
        <is>
          <t>Сошлось по ночным тарифам</t>
        </is>
      </c>
      <c r="AC648" s="2" t="inlineStr"/>
      <c r="AD648" t="n">
        <v>7425</v>
      </c>
      <c r="AE648" t="n">
        <v>0</v>
      </c>
      <c r="AF648" t="inlineStr">
        <is>
          <t>Скидка добавлена к налоговой базе</t>
        </is>
      </c>
      <c r="AG648" t="n">
        <v>49500</v>
      </c>
      <c r="AH648" t="n">
        <v>42075</v>
      </c>
      <c r="AI648" t="inlineStr">
        <is>
          <t>Полное проживание в выбранном периоде</t>
        </is>
      </c>
    </row>
    <row r="649">
      <c r="A649" t="inlineStr">
        <is>
          <t>20260803-8186-453610722</t>
        </is>
      </c>
      <c r="B649" t="n">
        <v>1</v>
      </c>
      <c r="C649" s="2" t="inlineStr">
        <is>
          <t>Мария Рознер</t>
        </is>
      </c>
      <c r="D649" s="3" t="n">
        <v>6320</v>
      </c>
      <c r="E649" s="4" t="n">
        <v>18</v>
      </c>
      <c r="F649" t="inlineStr">
        <is>
          <t>Яндекс.Путешествия [Чайковский]</t>
        </is>
      </c>
      <c r="G649" s="3">
        <f>ROUND(D649/(100-E649)*100,2)</f>
        <v/>
      </c>
      <c r="H649" s="3" t="n">
        <v>0</v>
      </c>
      <c r="I649" s="3">
        <f>ROUND(IF(ISNUMBER(AG649),AG649,G649)+H649,2)</f>
        <v/>
      </c>
      <c r="J649" s="2" t="inlineStr">
        <is>
          <t>Завтрак "Шведский стол"</t>
        </is>
      </c>
      <c r="K649" s="5" t="n">
        <v>46237.58333333334</v>
      </c>
      <c r="L649" t="n">
        <v>1</v>
      </c>
      <c r="M649" s="3">
        <f>I649/L649</f>
        <v/>
      </c>
      <c r="N649">
        <f>IF(M649&gt;=5100,"ставка","мин.ставка")</f>
        <v/>
      </c>
      <c r="O649" s="3">
        <f>ROUND(IF(N649="мин.ставка",L649*100,I649/102*2),2)</f>
        <v/>
      </c>
      <c r="P649" s="5" t="n">
        <v>46238.5</v>
      </c>
      <c r="Q649" t="inlineStr">
        <is>
          <t>TravelLine YAX</t>
        </is>
      </c>
      <c r="R649" s="2" t="inlineStr">
        <is>
          <t>СТАНДАРТНЫЙ ДВУХМЕСТНЫЙ НОМЕР (МАНСАРДА)</t>
        </is>
      </c>
      <c r="S649" t="n">
        <v>47</v>
      </c>
      <c r="T649" t="n">
        <v>1</v>
      </c>
      <c r="U649" t="inlineStr"/>
      <c r="V649" t="inlineStr">
        <is>
          <t>Тариф с завтраком</t>
        </is>
      </c>
      <c r="W649" t="n">
        <v>6320</v>
      </c>
      <c r="X649" s="3" t="n">
        <v>1580</v>
      </c>
      <c r="Y649" t="inlineStr">
        <is>
          <t>20%</t>
        </is>
      </c>
      <c r="Z649" t="inlineStr">
        <is>
          <t>2026-08-03</t>
        </is>
      </c>
      <c r="AA649" s="3" t="n">
        <v>6320</v>
      </c>
      <c r="AB649" t="inlineStr">
        <is>
          <t>Сошлось по ночным тарифам</t>
        </is>
      </c>
      <c r="AC649" s="2" t="inlineStr"/>
      <c r="AD649" t="n">
        <v>1580</v>
      </c>
      <c r="AE649" t="n">
        <v>0</v>
      </c>
      <c r="AF649" t="inlineStr">
        <is>
          <t>Скидка добавлена к налоговой базе</t>
        </is>
      </c>
      <c r="AG649" t="n">
        <v>7900</v>
      </c>
      <c r="AH649" t="n">
        <v>6320</v>
      </c>
      <c r="AI649" t="inlineStr">
        <is>
          <t>Полное проживание в выбранном периоде</t>
        </is>
      </c>
    </row>
    <row r="650">
      <c r="A650" t="inlineStr">
        <is>
          <t>20260927-8186-468805448</t>
        </is>
      </c>
      <c r="B650" t="n">
        <v>1</v>
      </c>
      <c r="C650" s="2" t="inlineStr">
        <is>
          <t>Мария Сазонова</t>
        </is>
      </c>
      <c r="D650" s="3" t="n">
        <v>5775</v>
      </c>
      <c r="E650" s="4" t="n">
        <v>18</v>
      </c>
      <c r="F650" t="inlineStr">
        <is>
          <t>Яндекс.Путешествия [Чайковский]</t>
        </is>
      </c>
      <c r="G650" s="3">
        <f>ROUND(D650/(100-E650)*100,2)</f>
        <v/>
      </c>
      <c r="H650" s="3" t="n">
        <v>0</v>
      </c>
      <c r="I650" s="3">
        <f>ROUND(IF(ISNUMBER(AG650),AG650,G650)+H650,2)</f>
        <v/>
      </c>
      <c r="J650" s="2" t="inlineStr">
        <is>
          <t>Завтрак "Шведский стол"</t>
        </is>
      </c>
      <c r="K650" s="5" t="n">
        <v>46292.58333333334</v>
      </c>
      <c r="L650" t="n">
        <v>1</v>
      </c>
      <c r="M650" s="3">
        <f>I650/L650</f>
        <v/>
      </c>
      <c r="N650">
        <f>IF(M650&gt;=5100,"ставка","мин.ставка")</f>
        <v/>
      </c>
      <c r="O650" s="3">
        <f>ROUND(IF(N650="мин.ставка",L650*100,I650/102*2),2)</f>
        <v/>
      </c>
      <c r="P650" s="5" t="n">
        <v>46293.5</v>
      </c>
      <c r="Q650" t="inlineStr">
        <is>
          <t>TravelLine YAX</t>
        </is>
      </c>
      <c r="R650" s="2" t="inlineStr">
        <is>
          <t>СТАНДАРТНЫЙ ОДНОМЕСТНЫЙ НОМЕР</t>
        </is>
      </c>
      <c r="S650" t="n">
        <v>24</v>
      </c>
      <c r="T650" t="n">
        <v>1</v>
      </c>
      <c r="U650" t="inlineStr"/>
      <c r="V650" t="inlineStr">
        <is>
          <t>Тариф с завтраком</t>
        </is>
      </c>
      <c r="W650" t="n">
        <v>5775</v>
      </c>
      <c r="X650" s="3" t="n">
        <v>1925</v>
      </c>
      <c r="Y650" t="inlineStr">
        <is>
          <t>25%</t>
        </is>
      </c>
      <c r="Z650" t="inlineStr">
        <is>
          <t>2026-09-27</t>
        </is>
      </c>
      <c r="AA650" s="3" t="n">
        <v>5775</v>
      </c>
      <c r="AB650" t="inlineStr">
        <is>
          <t>Сошлось по ночным тарифам</t>
        </is>
      </c>
      <c r="AC650" s="2" t="inlineStr"/>
      <c r="AD650" t="n">
        <v>1925</v>
      </c>
      <c r="AE650" t="n">
        <v>0</v>
      </c>
      <c r="AF650" t="inlineStr">
        <is>
          <t>Скидка добавлена к налоговой базе</t>
        </is>
      </c>
      <c r="AG650" t="n">
        <v>7700</v>
      </c>
      <c r="AH650" t="n">
        <v>5775</v>
      </c>
      <c r="AI650" t="inlineStr">
        <is>
          <t>Полное проживание в выбранном периоде</t>
        </is>
      </c>
    </row>
    <row r="651">
      <c r="A651" t="inlineStr">
        <is>
          <t>20260813-8186-436955349</t>
        </is>
      </c>
      <c r="B651" t="n">
        <v>1</v>
      </c>
      <c r="C651" s="2" t="inlineStr">
        <is>
          <t>МАРИЯ САММУТ КАБАНОВА, Аня САММУТ КАБАНОВА</t>
        </is>
      </c>
      <c r="D651" s="3" t="n">
        <v>23760</v>
      </c>
      <c r="E651" s="4" t="n">
        <v>18</v>
      </c>
      <c r="F651" t="inlineStr">
        <is>
          <t>Яндекс.Путешествия [Чайковский]</t>
        </is>
      </c>
      <c r="G651" s="3">
        <f>ROUND(D651/(100-E651)*100,2)</f>
        <v/>
      </c>
      <c r="H651" s="3" t="n">
        <v>0</v>
      </c>
      <c r="I651" s="3">
        <f>ROUND(IF(ISNUMBER(AG651),AG651,G651)+H651,2)</f>
        <v/>
      </c>
      <c r="J651" s="2" t="inlineStr">
        <is>
          <t>Завтрак "Шведский стол"</t>
        </is>
      </c>
      <c r="K651" s="5" t="n">
        <v>46247.58333333334</v>
      </c>
      <c r="L651" t="n">
        <v>3</v>
      </c>
      <c r="M651" s="3">
        <f>I651/L651</f>
        <v/>
      </c>
      <c r="N651">
        <f>IF(M651&gt;=5100,"ставка","мин.ставка")</f>
        <v/>
      </c>
      <c r="O651" s="3">
        <f>ROUND(IF(N651="мин.ставка",L651*100,I651/102*2),2)</f>
        <v/>
      </c>
      <c r="P651" s="5" t="n">
        <v>46250.5</v>
      </c>
      <c r="Q651" t="inlineStr">
        <is>
          <t>TravelLine YAX</t>
        </is>
      </c>
      <c r="R651" s="2" t="inlineStr">
        <is>
          <t>СТАНДАРТНЫЙ ДВУХМЕСТНЫЙ НОМЕР (МАНСАРДА)</t>
        </is>
      </c>
      <c r="S651" t="n">
        <v>41</v>
      </c>
      <c r="T651" t="n">
        <v>1</v>
      </c>
      <c r="U651" t="inlineStr"/>
      <c r="V651" t="inlineStr">
        <is>
          <t>Тариф с завтраком</t>
        </is>
      </c>
      <c r="W651" t="n">
        <v>23760</v>
      </c>
      <c r="X651" s="3" t="n">
        <v>5940</v>
      </c>
      <c r="Y651" t="inlineStr">
        <is>
          <t>20%</t>
        </is>
      </c>
      <c r="Z651" t="inlineStr">
        <is>
          <t>2026-08-13, 2026-08-14, 2026-08-15</t>
        </is>
      </c>
      <c r="AA651" s="3" t="n">
        <v>23760</v>
      </c>
      <c r="AB651" t="inlineStr">
        <is>
          <t>Сошлось по ночным тарифам</t>
        </is>
      </c>
      <c r="AC651" s="2" t="inlineStr"/>
      <c r="AD651" t="n">
        <v>5940</v>
      </c>
      <c r="AE651" t="n">
        <v>0</v>
      </c>
      <c r="AF651" t="inlineStr">
        <is>
          <t>Скидка добавлена к налоговой базе</t>
        </is>
      </c>
      <c r="AG651" t="n">
        <v>29700</v>
      </c>
      <c r="AH651" t="n">
        <v>23760</v>
      </c>
      <c r="AI651" t="inlineStr">
        <is>
          <t>Полное проживание в выбранном периоде</t>
        </is>
      </c>
    </row>
    <row r="652">
      <c r="A652" t="inlineStr">
        <is>
          <t>20260723-8186-448963382</t>
        </is>
      </c>
      <c r="B652" t="n">
        <v>1</v>
      </c>
      <c r="C652" s="2" t="inlineStr">
        <is>
          <t>МАРИЯ СЕЛИВЕРСТОВА</t>
        </is>
      </c>
      <c r="D652" s="3" t="n">
        <v>40200</v>
      </c>
      <c r="E652" s="4" t="n">
        <v>0</v>
      </c>
      <c r="F652" t="inlineStr">
        <is>
          <t>Прямые бронирования (стойка) [Чайковский]</t>
        </is>
      </c>
      <c r="G652" s="3">
        <f>ROUND(D652/(100-E652)*100,2)</f>
        <v/>
      </c>
      <c r="H652" s="3" t="n">
        <v>0</v>
      </c>
      <c r="I652" s="3">
        <f>ROUND(IF(ISNUMBER(AG652),AG652,G652)+H652,2)</f>
        <v/>
      </c>
      <c r="J652" s="2" t="inlineStr">
        <is>
          <t>Завтрак "Шведский стол"</t>
        </is>
      </c>
      <c r="K652" s="5" t="n">
        <v>46226.58333333334</v>
      </c>
      <c r="L652" t="n">
        <v>3</v>
      </c>
      <c r="M652" s="3">
        <f>I652/L652</f>
        <v/>
      </c>
      <c r="N652">
        <f>IF(M652&gt;=5100,"ставка","мин.ставка")</f>
        <v/>
      </c>
      <c r="O652" s="3">
        <f>ROUND(IF(N652="мин.ставка",L652*100,I652/102*2),2)</f>
        <v/>
      </c>
      <c r="P652" s="5" t="n">
        <v>46229.5</v>
      </c>
      <c r="Q652" t="inlineStr">
        <is>
          <t>TravelLine ресепшен</t>
        </is>
      </c>
      <c r="R652" s="2" t="inlineStr">
        <is>
          <t>УЛУЧШЕННЫЙ ДВУХМЕСТНЫЙ НОМЕР</t>
        </is>
      </c>
      <c r="S652" t="n">
        <v>59</v>
      </c>
      <c r="T652" t="n">
        <v>2</v>
      </c>
      <c r="U652" t="inlineStr"/>
      <c r="V652" t="inlineStr">
        <is>
          <t>Тариф с завтраком</t>
        </is>
      </c>
      <c r="W652" t="n">
        <v>40200</v>
      </c>
      <c r="X652" s="3" t="n">
        <v>0</v>
      </c>
      <c r="Y652" t="inlineStr"/>
      <c r="Z652" t="inlineStr"/>
      <c r="AA652" s="3" t="n">
        <v>40200</v>
      </c>
      <c r="AB652" t="inlineStr">
        <is>
          <t>Сошлось по ночным тарифам</t>
        </is>
      </c>
      <c r="AC652" s="2" t="inlineStr"/>
      <c r="AD652" t="n">
        <v>0</v>
      </c>
      <c r="AE652" t="n">
        <v>0</v>
      </c>
      <c r="AF652" t="inlineStr">
        <is>
          <t>Скидки нет</t>
        </is>
      </c>
      <c r="AG652" t="n">
        <v>40200</v>
      </c>
      <c r="AH652" t="n">
        <v>40200</v>
      </c>
      <c r="AI652" t="inlineStr">
        <is>
          <t>Полное проживание в выбранном периоде</t>
        </is>
      </c>
    </row>
    <row r="653">
      <c r="A653" t="inlineStr">
        <is>
          <t>20260804-8186-455621888</t>
        </is>
      </c>
      <c r="B653" t="n">
        <v>1</v>
      </c>
      <c r="C653" s="2" t="inlineStr">
        <is>
          <t>Мария Семенова</t>
        </is>
      </c>
      <c r="D653" s="3" t="n">
        <v>6557</v>
      </c>
      <c r="E653" s="4" t="n">
        <v>18</v>
      </c>
      <c r="F653" t="inlineStr">
        <is>
          <t>Яндекс.Путешествия [Чайковский]</t>
        </is>
      </c>
      <c r="G653" s="3">
        <f>ROUND(D653/(100-E653)*100,2)</f>
        <v/>
      </c>
      <c r="H653" s="3" t="n">
        <v>0</v>
      </c>
      <c r="I653" s="3">
        <f>ROUND(IF(ISNUMBER(AG653),AG653,G653)+H653,2)</f>
        <v/>
      </c>
      <c r="J653" s="2" t="inlineStr">
        <is>
          <t>Завтрак "Шведский стол"</t>
        </is>
      </c>
      <c r="K653" s="5" t="n">
        <v>46238.58333333334</v>
      </c>
      <c r="L653" t="n">
        <v>1</v>
      </c>
      <c r="M653" s="3">
        <f>I653/L653</f>
        <v/>
      </c>
      <c r="N653">
        <f>IF(M653&gt;=5100,"ставка","мин.ставка")</f>
        <v/>
      </c>
      <c r="O653" s="3">
        <f>ROUND(IF(N653="мин.ставка",L653*100,I653/102*2),2)</f>
        <v/>
      </c>
      <c r="P653" s="5" t="n">
        <v>46239.5</v>
      </c>
      <c r="Q653" t="inlineStr">
        <is>
          <t>TravelLine YAX</t>
        </is>
      </c>
      <c r="R653" s="2" t="inlineStr">
        <is>
          <t>СТАНДАРТНЫЙ ДВУХМЕСТНЫЙ НОМЕР (МАНСАРДА)</t>
        </is>
      </c>
      <c r="S653" t="n">
        <v>43</v>
      </c>
      <c r="T653" t="n">
        <v>1</v>
      </c>
      <c r="U653" t="inlineStr"/>
      <c r="V653" t="inlineStr">
        <is>
          <t>Тариф с завтраком</t>
        </is>
      </c>
      <c r="W653" t="n">
        <v>6557</v>
      </c>
      <c r="X653" s="3" t="n">
        <v>0</v>
      </c>
      <c r="Y653" t="inlineStr"/>
      <c r="Z653" t="inlineStr"/>
      <c r="AA653" s="3" t="n">
        <v>6557</v>
      </c>
      <c r="AB653" t="inlineStr">
        <is>
          <t>Сошлось по ночным тарифам</t>
        </is>
      </c>
      <c r="AC653" s="2" t="inlineStr"/>
      <c r="AD653" t="n">
        <v>0</v>
      </c>
      <c r="AE653" t="n">
        <v>0</v>
      </c>
      <c r="AF653" t="inlineStr">
        <is>
          <t>Скидки нет</t>
        </is>
      </c>
      <c r="AG653" t="n">
        <v>6557</v>
      </c>
      <c r="AH653" t="n">
        <v>6557</v>
      </c>
      <c r="AI653" t="inlineStr">
        <is>
          <t>Полное проживание в выбранном периоде</t>
        </is>
      </c>
    </row>
    <row r="654">
      <c r="A654" t="inlineStr">
        <is>
          <t>20260701-8186-442331561</t>
        </is>
      </c>
      <c r="B654" t="n">
        <v>1</v>
      </c>
      <c r="C654" s="2" t="inlineStr">
        <is>
          <t>МАРИЯ ХРОМОВА, ВИКТОРИЯ СЕМЕНОВА</t>
        </is>
      </c>
      <c r="D654" s="3" t="n">
        <v>13350</v>
      </c>
      <c r="E654" s="4" t="n">
        <v>0</v>
      </c>
      <c r="F654" t="inlineStr">
        <is>
          <t>Прямые бронирования (стойка) [Чайковский]</t>
        </is>
      </c>
      <c r="G654" s="3">
        <f>ROUND(D654/(100-E654)*100,2)</f>
        <v/>
      </c>
      <c r="H654" s="3" t="n">
        <v>0</v>
      </c>
      <c r="I654" s="3">
        <f>ROUND(IF(ISNUMBER(AG654),AG654,G654)+H654,2)</f>
        <v/>
      </c>
      <c r="J654" s="2" t="inlineStr">
        <is>
          <t>Завтрак "Шведский стол"</t>
        </is>
      </c>
      <c r="K654" s="5" t="n">
        <v>46204.58333333334</v>
      </c>
      <c r="L654" t="n">
        <v>1</v>
      </c>
      <c r="M654" s="3">
        <f>I654/L654</f>
        <v/>
      </c>
      <c r="N654">
        <f>IF(M654&gt;=5100,"ставка","мин.ставка")</f>
        <v/>
      </c>
      <c r="O654" s="3">
        <f>ROUND(IF(N654="мин.ставка",L654*100,I654/102*2),2)</f>
        <v/>
      </c>
      <c r="P654" s="5" t="n">
        <v>46205.5</v>
      </c>
      <c r="Q654" t="inlineStr">
        <is>
          <t>TravelLine ресепшен</t>
        </is>
      </c>
      <c r="R654" s="2" t="inlineStr">
        <is>
          <t>СТАНДАРТНЫЙ ДВУХМЕСТНЫЙ НОМЕР</t>
        </is>
      </c>
      <c r="S654" t="n">
        <v>36</v>
      </c>
      <c r="T654" t="n">
        <v>1</v>
      </c>
      <c r="U654" t="inlineStr"/>
      <c r="V654" t="inlineStr">
        <is>
          <t>Тариф с завтраком</t>
        </is>
      </c>
      <c r="W654" t="n">
        <v>13350</v>
      </c>
      <c r="X654" s="3" t="n">
        <v>0</v>
      </c>
      <c r="Y654" t="inlineStr"/>
      <c r="Z654" t="inlineStr"/>
      <c r="AA654" s="3" t="n">
        <v>13350</v>
      </c>
      <c r="AB654" t="inlineStr">
        <is>
          <t>Сошлось по ночным тарифам</t>
        </is>
      </c>
      <c r="AC654" s="2" t="inlineStr"/>
      <c r="AD654" t="n">
        <v>0</v>
      </c>
      <c r="AE654" t="n">
        <v>0</v>
      </c>
      <c r="AF654" t="inlineStr">
        <is>
          <t>Скидки нет</t>
        </is>
      </c>
      <c r="AG654" t="n">
        <v>13350</v>
      </c>
      <c r="AH654" t="n">
        <v>13350</v>
      </c>
      <c r="AI654" t="inlineStr">
        <is>
          <t>Полное проживание в выбранном периоде</t>
        </is>
      </c>
    </row>
    <row r="655">
      <c r="A655" t="inlineStr">
        <is>
          <t>20260910-8186-427551341</t>
        </is>
      </c>
      <c r="B655" t="n">
        <v>1</v>
      </c>
      <c r="C655" s="2" t="inlineStr">
        <is>
          <t>Мария Штыркина, Ольга Мулдашева</t>
        </is>
      </c>
      <c r="D655" s="3" t="n">
        <v>36045</v>
      </c>
      <c r="E655" s="4" t="n">
        <v>0</v>
      </c>
      <c r="F655" t="inlineStr">
        <is>
          <t>Прямые бронирования (стойка) [Чайковский]</t>
        </is>
      </c>
      <c r="G655" s="3">
        <f>ROUND(D655/(100-E655)*100,2)</f>
        <v/>
      </c>
      <c r="H655" s="3" t="n">
        <v>0</v>
      </c>
      <c r="I655" s="3">
        <f>ROUND(IF(ISNUMBER(AG655),AG655,G655)+H655,2)</f>
        <v/>
      </c>
      <c r="J655" s="2" t="inlineStr">
        <is>
          <t>Завтрак "Шведский стол"</t>
        </is>
      </c>
      <c r="K655" s="5" t="n">
        <v>46275.58333333334</v>
      </c>
      <c r="L655" t="n">
        <v>3</v>
      </c>
      <c r="M655" s="3">
        <f>I655/L655</f>
        <v/>
      </c>
      <c r="N655">
        <f>IF(M655&gt;=5100,"ставка","мин.ставка")</f>
        <v/>
      </c>
      <c r="O655" s="3">
        <f>ROUND(IF(N655="мин.ставка",L655*100,I655/102*2),2)</f>
        <v/>
      </c>
      <c r="P655" s="5" t="n">
        <v>46278.5</v>
      </c>
      <c r="Q655" t="inlineStr">
        <is>
          <t>TravelLine ресепшен</t>
        </is>
      </c>
      <c r="R655" s="2" t="inlineStr">
        <is>
          <t>СТАНДАРТНЫЙ ДВУХМЕСТНЫЙ НОМЕР</t>
        </is>
      </c>
      <c r="S655" t="n">
        <v>36</v>
      </c>
      <c r="T655" t="n">
        <v>1</v>
      </c>
      <c r="U655" t="inlineStr"/>
      <c r="V655" t="inlineStr">
        <is>
          <t>Тариф с завтраком</t>
        </is>
      </c>
      <c r="W655" t="n">
        <v>216270</v>
      </c>
      <c r="X655" s="3" t="n">
        <v>4005</v>
      </c>
      <c r="Y655" t="inlineStr">
        <is>
          <t>10%</t>
        </is>
      </c>
      <c r="Z655" t="inlineStr">
        <is>
          <t>2026-09-10, 2026-09-11, 2026-09-12</t>
        </is>
      </c>
      <c r="AA655" s="3" t="n">
        <v>36045</v>
      </c>
      <c r="AB655" t="inlineStr">
        <is>
          <t>Сошлось по ночным тарифам</t>
        </is>
      </c>
      <c r="AC655" s="2" t="inlineStr"/>
      <c r="AD655" t="n">
        <v>4005</v>
      </c>
      <c r="AE655" t="n">
        <v>0</v>
      </c>
      <c r="AF655" t="inlineStr">
        <is>
          <t>Скидка добавлена к налоговой базе</t>
        </is>
      </c>
      <c r="AG655" t="n">
        <v>40050</v>
      </c>
      <c r="AH655" t="n">
        <v>36045</v>
      </c>
      <c r="AI655" t="inlineStr">
        <is>
          <t>Полное проживание в выбранном периоде</t>
        </is>
      </c>
    </row>
    <row r="656">
      <c r="A656" t="inlineStr">
        <is>
          <t>20260629-8186-439481776</t>
        </is>
      </c>
      <c r="B656" t="n">
        <v>1</v>
      </c>
      <c r="C656" s="2" t="inlineStr">
        <is>
          <t>МАРЬЯМ ЯКУБОВСКАЯ</t>
        </is>
      </c>
      <c r="D656" s="3" t="n">
        <v>48060</v>
      </c>
      <c r="E656" s="4" t="n">
        <v>0</v>
      </c>
      <c r="F656" t="inlineStr">
        <is>
          <t>Прямые бронирования (стойка) [Чайковский]</t>
        </is>
      </c>
      <c r="G656" s="3">
        <f>ROUND(D656/(100-E656)*100,2)</f>
        <v/>
      </c>
      <c r="H656" s="3" t="n">
        <v>0</v>
      </c>
      <c r="I656" s="3">
        <f>ROUND(IF(ISNUMBER(AG656),AG656,G656)+H656,2)</f>
        <v/>
      </c>
      <c r="J656" s="2" t="inlineStr"/>
      <c r="K656" s="5" t="n">
        <v>46202.58333333334</v>
      </c>
      <c r="L656" t="n">
        <v>2</v>
      </c>
      <c r="M656" s="3">
        <f>I656/L656</f>
        <v/>
      </c>
      <c r="N656">
        <f>IF(M656&gt;=5100,"ставка","мин.ставка")</f>
        <v/>
      </c>
      <c r="O656" s="3">
        <f>ROUND(IF(N656="мин.ставка",L656*100,I656/102*2),2)</f>
        <v/>
      </c>
      <c r="P656" s="5" t="n">
        <v>46206.5</v>
      </c>
      <c r="Q656" t="inlineStr">
        <is>
          <t>TravelLine ресепшен</t>
        </is>
      </c>
      <c r="R656" s="2" t="inlineStr">
        <is>
          <t>СТАНДАРТНЫЙ ДВУХМЕСТНЫЙ НОМЕР</t>
        </is>
      </c>
      <c r="S656" t="n">
        <v>42</v>
      </c>
      <c r="T656" t="n">
        <v>1</v>
      </c>
      <c r="U656" t="inlineStr"/>
      <c r="V656" t="inlineStr">
        <is>
          <t>Тариф с завтраком</t>
        </is>
      </c>
      <c r="W656" t="n">
        <v>48060</v>
      </c>
      <c r="X656" s="3" t="n">
        <v>5340</v>
      </c>
      <c r="Y656" t="inlineStr">
        <is>
          <t>10%</t>
        </is>
      </c>
      <c r="Z656" t="inlineStr">
        <is>
          <t>2026-06-29, 2026-06-30, 2026-07-01, 2026-07-02</t>
        </is>
      </c>
      <c r="AA656" s="3" t="n">
        <v>48060</v>
      </c>
      <c r="AB656" t="inlineStr">
        <is>
          <t>Сошлось по ночным тарифам</t>
        </is>
      </c>
      <c r="AC656" s="2" t="inlineStr"/>
      <c r="AD656" t="n">
        <v>2670</v>
      </c>
      <c r="AE656" t="n">
        <v>0</v>
      </c>
      <c r="AF656" t="inlineStr">
        <is>
          <t>Ночи скидки определены по dailyRates; в базу добавлена только часть выбранного периода</t>
        </is>
      </c>
      <c r="AG656" t="n">
        <v>26700</v>
      </c>
      <c r="AH656" t="n">
        <v>24030</v>
      </c>
      <c r="AI656" t="inlineStr">
        <is>
          <t>Частичное проживание распределено по dailyRates</t>
        </is>
      </c>
    </row>
    <row r="657">
      <c r="A657" t="inlineStr">
        <is>
          <t>20260813-8186-456350100</t>
        </is>
      </c>
      <c r="B657" t="n">
        <v>1</v>
      </c>
      <c r="C657" s="2" t="inlineStr">
        <is>
          <t>Матвей Фролов, Мария Фролова</t>
        </is>
      </c>
      <c r="D657" s="3" t="n">
        <v>64080</v>
      </c>
      <c r="E657" s="4" t="n">
        <v>20</v>
      </c>
      <c r="F657" t="inlineStr">
        <is>
          <t>ООО "КОМПАНИЯ БРОНЕВИК" [Чайковский]</t>
        </is>
      </c>
      <c r="G657" s="3">
        <f>ROUND(D657/(100-E657)*100,2)</f>
        <v/>
      </c>
      <c r="H657" s="3" t="n">
        <v>0</v>
      </c>
      <c r="I657" s="3">
        <f>ROUND(IF(ISNUMBER(AG657),AG657,G657)+H657,2)</f>
        <v/>
      </c>
      <c r="J657" s="2" t="inlineStr">
        <is>
          <t>Завтрак "Шведский стол"</t>
        </is>
      </c>
      <c r="K657" s="5" t="n">
        <v>46247.58333333334</v>
      </c>
      <c r="L657" t="n">
        <v>6</v>
      </c>
      <c r="M657" s="3">
        <f>I657/L657</f>
        <v/>
      </c>
      <c r="N657">
        <f>IF(M657&gt;=5100,"ставка","мин.ставка")</f>
        <v/>
      </c>
      <c r="O657" s="3">
        <f>ROUND(IF(N657="мин.ставка",L657*100,I657/102*2),2)</f>
        <v/>
      </c>
      <c r="P657" s="5" t="n">
        <v>46253.5</v>
      </c>
      <c r="Q657" t="inlineStr">
        <is>
          <t>TravelLine BR2</t>
        </is>
      </c>
      <c r="R657" s="2" t="inlineStr">
        <is>
          <t>СТАНДАРТНЫЙ ДВУХМЕСТНЫЙ НОМЕР</t>
        </is>
      </c>
      <c r="S657" t="n">
        <v>26</v>
      </c>
      <c r="T657" t="n">
        <v>1</v>
      </c>
      <c r="U657" t="inlineStr"/>
      <c r="V657" t="inlineStr">
        <is>
          <t>Тариф с завтраком</t>
        </is>
      </c>
      <c r="W657" t="n">
        <v>64080</v>
      </c>
      <c r="X657" s="3" t="n">
        <v>0</v>
      </c>
      <c r="Y657" t="inlineStr"/>
      <c r="Z657" t="inlineStr"/>
      <c r="AA657" s="3" t="n">
        <v>64080</v>
      </c>
      <c r="AB657" t="inlineStr">
        <is>
          <t>Сошлось по ночным тарифам</t>
        </is>
      </c>
      <c r="AC657" s="2" t="inlineStr"/>
      <c r="AD657" t="n">
        <v>0</v>
      </c>
      <c r="AE657" t="n">
        <v>0</v>
      </c>
      <c r="AF657" t="inlineStr">
        <is>
          <t>Скидки нет</t>
        </is>
      </c>
      <c r="AG657" t="n">
        <v>64080</v>
      </c>
      <c r="AH657" t="n">
        <v>64080</v>
      </c>
      <c r="AI657" t="inlineStr">
        <is>
          <t>Полное проживание в выбранном периоде</t>
        </is>
      </c>
    </row>
    <row r="658">
      <c r="A658" t="inlineStr">
        <is>
          <t>20260810-8186-457515494</t>
        </is>
      </c>
      <c r="B658" t="n">
        <v>1</v>
      </c>
      <c r="C658" s="2" t="inlineStr">
        <is>
          <t>Михаил Дворкин, Мария Леевик, Герман Дворкин</t>
        </is>
      </c>
      <c r="D658" s="3" t="n">
        <v>14317.5</v>
      </c>
      <c r="E658" s="4" t="n">
        <v>17</v>
      </c>
      <c r="F658" t="inlineStr">
        <is>
          <t>ООО «Интернет Трэвел» (OZON) [Чайковский]</t>
        </is>
      </c>
      <c r="G658" s="3">
        <f>ROUND(D658/(100-E658)*100,2)</f>
        <v/>
      </c>
      <c r="H658" s="3" t="n">
        <v>0</v>
      </c>
      <c r="I658" s="3">
        <f>ROUND(IF(ISNUMBER(AG658),AG658,G658)+H658,2)</f>
        <v/>
      </c>
      <c r="J658" s="2" t="inlineStr">
        <is>
          <t>Завтрак "Шведский стол"</t>
        </is>
      </c>
      <c r="K658" s="5" t="n">
        <v>46244.58333333334</v>
      </c>
      <c r="L658" t="n">
        <v>1</v>
      </c>
      <c r="M658" s="3">
        <f>I658/L658</f>
        <v/>
      </c>
      <c r="N658">
        <f>IF(M658&gt;=5100,"ставка","мин.ставка")</f>
        <v/>
      </c>
      <c r="O658" s="3">
        <f>ROUND(IF(N658="мин.ставка",L658*100,I658/102*2),2)</f>
        <v/>
      </c>
      <c r="P658" s="5" t="n">
        <v>46245.5</v>
      </c>
      <c r="Q658" t="inlineStr">
        <is>
          <t>TravelLine OZ2</t>
        </is>
      </c>
      <c r="R658" s="2" t="inlineStr">
        <is>
          <t>СЕМЕЙНЫЙ НОМЕР КАТЕГОРИИ "СТАНДАРТ" ВТОРОЙ КОРПУС</t>
        </is>
      </c>
      <c r="S658" t="n">
        <v>50</v>
      </c>
      <c r="T658" t="n">
        <v>2</v>
      </c>
      <c r="U658" t="inlineStr"/>
      <c r="V658" t="inlineStr">
        <is>
          <t>Тариф с завтраком</t>
        </is>
      </c>
      <c r="W658" t="n">
        <v>14317.5</v>
      </c>
      <c r="X658" s="3" t="n">
        <v>2932.5</v>
      </c>
      <c r="Y658" t="inlineStr">
        <is>
          <t>17%</t>
        </is>
      </c>
      <c r="Z658" t="inlineStr">
        <is>
          <t>2026-08-10</t>
        </is>
      </c>
      <c r="AA658" s="3" t="n">
        <v>14317.5</v>
      </c>
      <c r="AB658" t="inlineStr">
        <is>
          <t>Сошлось по ночным тарифам</t>
        </is>
      </c>
      <c r="AC658" s="2" t="inlineStr"/>
      <c r="AD658" t="n">
        <v>2932.5</v>
      </c>
      <c r="AE658" t="n">
        <v>0</v>
      </c>
      <c r="AF658" t="inlineStr">
        <is>
          <t>Скидка добавлена к налоговой базе</t>
        </is>
      </c>
      <c r="AG658" t="n">
        <v>17250</v>
      </c>
      <c r="AH658" t="n">
        <v>14317.5</v>
      </c>
      <c r="AI658" t="inlineStr">
        <is>
          <t>Полное проживание в выбранном периоде</t>
        </is>
      </c>
    </row>
    <row r="659">
      <c r="A659" t="inlineStr">
        <is>
          <t>20260731-8186-450039766</t>
        </is>
      </c>
      <c r="B659" t="n">
        <v>1</v>
      </c>
      <c r="C659" s="2" t="inlineStr">
        <is>
          <t>Михаил Запальский</t>
        </is>
      </c>
      <c r="D659" s="3" t="n">
        <v>15555.1</v>
      </c>
      <c r="E659" s="4" t="n">
        <v>4</v>
      </c>
      <c r="F659" t="inlineStr">
        <is>
          <t>TravelLine Booking Engine [Чайковский]</t>
        </is>
      </c>
      <c r="G659" s="3">
        <f>ROUND(D659/(100-E659)*100,2)</f>
        <v/>
      </c>
      <c r="H659" s="3" t="n">
        <v>0</v>
      </c>
      <c r="I659" s="3">
        <f>ROUND(IF(ISNUMBER(AG659),AG659,G659)+H659,2)</f>
        <v/>
      </c>
      <c r="J659" s="2" t="inlineStr">
        <is>
          <t>Завтрак "Шведский стол"</t>
        </is>
      </c>
      <c r="K659" s="5" t="n">
        <v>46234.58333333334</v>
      </c>
      <c r="L659" t="n">
        <v>2</v>
      </c>
      <c r="M659" s="3">
        <f>I659/L659</f>
        <v/>
      </c>
      <c r="N659">
        <f>IF(M659&gt;=5100,"ставка","мин.ставка")</f>
        <v/>
      </c>
      <c r="O659" s="3">
        <f>ROUND(IF(N659="мин.ставка",L659*100,I659/102*2),2)</f>
        <v/>
      </c>
      <c r="P659" s="5" t="n">
        <v>46236.5</v>
      </c>
      <c r="Q659" t="inlineStr">
        <is>
          <t>TravelLine сайт</t>
        </is>
      </c>
      <c r="R659" s="2" t="inlineStr">
        <is>
          <t>СТАНДАРТНЫЙ ДВУХМЕСТНЫЙ НОМЕР (МАНСАРДА)</t>
        </is>
      </c>
      <c r="S659" t="n">
        <v>43</v>
      </c>
      <c r="T659" t="n">
        <v>1</v>
      </c>
      <c r="U659" t="inlineStr"/>
      <c r="V659" t="inlineStr">
        <is>
          <t>Тариф с завтраком</t>
        </is>
      </c>
      <c r="W659" t="n">
        <v>15555.1</v>
      </c>
      <c r="X659" s="3" t="n">
        <v>244.9</v>
      </c>
      <c r="Y659" t="inlineStr">
        <is>
          <t>3.1%</t>
        </is>
      </c>
      <c r="Z659" t="inlineStr">
        <is>
          <t>2026-07-31</t>
        </is>
      </c>
      <c r="AA659" s="3" t="n">
        <v>15555.1</v>
      </c>
      <c r="AB659" t="inlineStr">
        <is>
          <t>Сошлось по ночным тарифам</t>
        </is>
      </c>
      <c r="AC659" s="2" t="inlineStr"/>
      <c r="AD659" t="n">
        <v>244.9</v>
      </c>
      <c r="AE659" t="n">
        <v>0</v>
      </c>
      <c r="AF659" t="inlineStr">
        <is>
          <t>Скидка добавлена к налоговой базе</t>
        </is>
      </c>
      <c r="AG659" t="n">
        <v>15800</v>
      </c>
      <c r="AH659" t="n">
        <v>15555.1</v>
      </c>
      <c r="AI659" t="inlineStr">
        <is>
          <t>Полное проживание в выбранном периоде</t>
        </is>
      </c>
    </row>
    <row r="660">
      <c r="A660" t="inlineStr">
        <is>
          <t>20260721-8186-421839122</t>
        </is>
      </c>
      <c r="B660" t="n">
        <v>1</v>
      </c>
      <c r="C660" s="2" t="inlineStr">
        <is>
          <t>МИХАИЛ ИНЯКИН, АЛЕКСАНДРА КОЗЛОВА</t>
        </is>
      </c>
      <c r="D660" s="3" t="n">
        <v>64080</v>
      </c>
      <c r="E660" s="4" t="n">
        <v>0</v>
      </c>
      <c r="F660" t="inlineStr">
        <is>
          <t>Прямые бронирования (стойка) [Чайковский]</t>
        </is>
      </c>
      <c r="G660" s="3">
        <f>ROUND(D660/(100-E660)*100,2)</f>
        <v/>
      </c>
      <c r="H660" s="3" t="n">
        <v>0</v>
      </c>
      <c r="I660" s="3">
        <f>ROUND(IF(ISNUMBER(AG660),AG660,G660)+H660,2)</f>
        <v/>
      </c>
      <c r="J660" s="2" t="inlineStr">
        <is>
          <t>Завтрак "Шведский стол"</t>
        </is>
      </c>
      <c r="K660" s="5" t="n">
        <v>46224.58333333334</v>
      </c>
      <c r="L660" t="n">
        <v>6</v>
      </c>
      <c r="M660" s="3">
        <f>I660/L660</f>
        <v/>
      </c>
      <c r="N660">
        <f>IF(M660&gt;=5100,"ставка","мин.ставка")</f>
        <v/>
      </c>
      <c r="O660" s="3">
        <f>ROUND(IF(N660="мин.ставка",L660*100,I660/102*2),2)</f>
        <v/>
      </c>
      <c r="P660" s="5" t="n">
        <v>46230.5</v>
      </c>
      <c r="Q660" t="inlineStr">
        <is>
          <t>TravelLine ресепшен</t>
        </is>
      </c>
      <c r="R660" s="2" t="inlineStr">
        <is>
          <t>СТАНДАРТНЫЙ ДВУХМЕСТНЫЙ НОМЕР</t>
        </is>
      </c>
      <c r="S660" t="n">
        <v>26</v>
      </c>
      <c r="T660" t="n">
        <v>1</v>
      </c>
      <c r="U660" t="inlineStr"/>
      <c r="V660" t="inlineStr">
        <is>
          <t>Тариф с завтраком</t>
        </is>
      </c>
      <c r="W660" t="n">
        <v>64080</v>
      </c>
      <c r="X660" s="3" t="n">
        <v>16020</v>
      </c>
      <c r="Y660" t="inlineStr">
        <is>
          <t>20%</t>
        </is>
      </c>
      <c r="Z660" t="inlineStr">
        <is>
          <t>2026-07-21, 2026-07-22, 2026-07-23, 2026-07-24, 2026-07-25, 2026-07-26</t>
        </is>
      </c>
      <c r="AA660" s="3" t="n">
        <v>64080</v>
      </c>
      <c r="AB660" t="inlineStr">
        <is>
          <t>Сошлось по ночным тарифам</t>
        </is>
      </c>
      <c r="AC660" s="2" t="inlineStr"/>
      <c r="AD660" t="n">
        <v>16020</v>
      </c>
      <c r="AE660" t="n">
        <v>0</v>
      </c>
      <c r="AF660" t="inlineStr">
        <is>
          <t>Скидка добавлена к налоговой базе</t>
        </is>
      </c>
      <c r="AG660" t="n">
        <v>80100</v>
      </c>
      <c r="AH660" t="n">
        <v>64080</v>
      </c>
      <c r="AI660" t="inlineStr">
        <is>
          <t>Полное проживание в выбранном периоде</t>
        </is>
      </c>
    </row>
    <row r="661">
      <c r="A661" t="inlineStr">
        <is>
          <t>20260824-8186-450244783</t>
        </is>
      </c>
      <c r="B661" t="n">
        <v>1</v>
      </c>
      <c r="C661" s="2" t="inlineStr">
        <is>
          <t>Михаил Каюмов</t>
        </is>
      </c>
      <c r="D661" s="3" t="n">
        <v>6160</v>
      </c>
      <c r="E661" s="4" t="n">
        <v>20</v>
      </c>
      <c r="F661" t="inlineStr">
        <is>
          <t>ООО "КОМПАНИЯ БРОНЕВИК" [Чайковский]</t>
        </is>
      </c>
      <c r="G661" s="3">
        <f>ROUND(D661/(100-E661)*100,2)</f>
        <v/>
      </c>
      <c r="H661" s="3" t="n">
        <v>0</v>
      </c>
      <c r="I661" s="3">
        <f>ROUND(IF(ISNUMBER(AG661),AG661,G661)+H661,2)</f>
        <v/>
      </c>
      <c r="J661" s="2" t="inlineStr">
        <is>
          <t>Завтрак "Шведский стол"</t>
        </is>
      </c>
      <c r="K661" s="5" t="n">
        <v>46258.58333333334</v>
      </c>
      <c r="L661" t="n">
        <v>1</v>
      </c>
      <c r="M661" s="3">
        <f>I661/L661</f>
        <v/>
      </c>
      <c r="N661">
        <f>IF(M661&gt;=5100,"ставка","мин.ставка")</f>
        <v/>
      </c>
      <c r="O661" s="3">
        <f>ROUND(IF(N661="мин.ставка",L661*100,I661/102*2),2)</f>
        <v/>
      </c>
      <c r="P661" s="5" t="n">
        <v>46259.5</v>
      </c>
      <c r="Q661" t="inlineStr">
        <is>
          <t>TravelLine BR2</t>
        </is>
      </c>
      <c r="R661" s="2" t="inlineStr">
        <is>
          <t>СТАНДАРТНЫЙ ОДНОМЕСТНЫЙ НОМЕР</t>
        </is>
      </c>
      <c r="S661" t="n">
        <v>34</v>
      </c>
      <c r="T661" t="n">
        <v>1</v>
      </c>
      <c r="U661" t="inlineStr"/>
      <c r="V661" t="inlineStr">
        <is>
          <t>Тариф с завтраком</t>
        </is>
      </c>
      <c r="W661" t="n">
        <v>6160</v>
      </c>
      <c r="X661" s="3" t="n">
        <v>0</v>
      </c>
      <c r="Y661" t="inlineStr"/>
      <c r="Z661" t="inlineStr"/>
      <c r="AA661" s="3" t="n">
        <v>6160</v>
      </c>
      <c r="AB661" t="inlineStr">
        <is>
          <t>Сошлось по ночным тарифам</t>
        </is>
      </c>
      <c r="AC661" s="2" t="inlineStr"/>
      <c r="AD661" t="n">
        <v>0</v>
      </c>
      <c r="AE661" t="n">
        <v>0</v>
      </c>
      <c r="AF661" t="inlineStr">
        <is>
          <t>Скидки нет</t>
        </is>
      </c>
      <c r="AG661" t="n">
        <v>6160</v>
      </c>
      <c r="AH661" t="n">
        <v>6160</v>
      </c>
      <c r="AI661" t="inlineStr">
        <is>
          <t>Полное проживание в выбранном периоде</t>
        </is>
      </c>
    </row>
    <row r="662">
      <c r="A662" t="inlineStr">
        <is>
          <t>20260705-8186-420485306</t>
        </is>
      </c>
      <c r="B662" t="n">
        <v>1</v>
      </c>
      <c r="C662" s="2" t="inlineStr">
        <is>
          <t>МИХАИЛ КОРСАКОВ, ЕЛЕНА Осипова</t>
        </is>
      </c>
      <c r="D662" s="3" t="n">
        <v>13350</v>
      </c>
      <c r="E662" s="4" t="n">
        <v>0</v>
      </c>
      <c r="F662" t="inlineStr">
        <is>
          <t>Прямые бронирования (стойка) [Чайковский]</t>
        </is>
      </c>
      <c r="G662" s="3">
        <f>ROUND(D662/(100-E662)*100,2)</f>
        <v/>
      </c>
      <c r="H662" s="3" t="n">
        <v>0</v>
      </c>
      <c r="I662" s="3">
        <f>ROUND(IF(ISNUMBER(AG662),AG662,G662)+H662,2)</f>
        <v/>
      </c>
      <c r="J662" s="2" t="inlineStr">
        <is>
          <t>Завтрак "Шведский стол"</t>
        </is>
      </c>
      <c r="K662" s="5" t="n">
        <v>46208.58333333334</v>
      </c>
      <c r="L662" t="n">
        <v>1</v>
      </c>
      <c r="M662" s="3">
        <f>I662/L662</f>
        <v/>
      </c>
      <c r="N662">
        <f>IF(M662&gt;=5100,"ставка","мин.ставка")</f>
        <v/>
      </c>
      <c r="O662" s="3">
        <f>ROUND(IF(N662="мин.ставка",L662*100,I662/102*2),2)</f>
        <v/>
      </c>
      <c r="P662" s="5" t="n">
        <v>46209.5</v>
      </c>
      <c r="Q662" t="inlineStr">
        <is>
          <t>TravelLine ресепшен</t>
        </is>
      </c>
      <c r="R662" s="2" t="inlineStr">
        <is>
          <t>СТАНДАРТНЫЙ ДВУХМЕСТНЫЙ НОМЕР</t>
        </is>
      </c>
      <c r="S662" t="n">
        <v>22</v>
      </c>
      <c r="T662" t="n">
        <v>1</v>
      </c>
      <c r="U662" t="inlineStr"/>
      <c r="V662" t="inlineStr">
        <is>
          <t>Тариф с завтраком</t>
        </is>
      </c>
      <c r="W662" t="n">
        <v>13350</v>
      </c>
      <c r="X662" s="3" t="n">
        <v>0</v>
      </c>
      <c r="Y662" t="inlineStr"/>
      <c r="Z662" t="inlineStr"/>
      <c r="AA662" s="3" t="n">
        <v>13350</v>
      </c>
      <c r="AB662" t="inlineStr">
        <is>
          <t>Сошлось по ночным тарифам</t>
        </is>
      </c>
      <c r="AC662" s="2" t="inlineStr"/>
      <c r="AD662" t="n">
        <v>0</v>
      </c>
      <c r="AE662" t="n">
        <v>0</v>
      </c>
      <c r="AF662" t="inlineStr">
        <is>
          <t>Скидки нет</t>
        </is>
      </c>
      <c r="AG662" t="n">
        <v>13350</v>
      </c>
      <c r="AH662" t="n">
        <v>13350</v>
      </c>
      <c r="AI662" t="inlineStr">
        <is>
          <t>Полное проживание в выбранном периоде</t>
        </is>
      </c>
    </row>
    <row r="663">
      <c r="A663" t="inlineStr">
        <is>
          <t>20260707-8186-438267525</t>
        </is>
      </c>
      <c r="B663" t="n">
        <v>1</v>
      </c>
      <c r="C663" s="2" t="inlineStr">
        <is>
          <t>МИХАИЛ МОРОЗОВ, Полина Морозова</t>
        </is>
      </c>
      <c r="D663" s="3" t="n">
        <v>66750</v>
      </c>
      <c r="E663" s="4" t="n">
        <v>0</v>
      </c>
      <c r="F663" t="inlineStr">
        <is>
          <t>Прямые бронирования (стойка) [Чайковский]</t>
        </is>
      </c>
      <c r="G663" s="3">
        <f>ROUND(D663/(100-E663)*100,2)</f>
        <v/>
      </c>
      <c r="H663" s="3" t="n">
        <v>400</v>
      </c>
      <c r="I663" s="3">
        <f>ROUND(IF(ISNUMBER(AG663),AG663,G663)+H663,2)</f>
        <v/>
      </c>
      <c r="J663" s="2" t="inlineStr">
        <is>
          <t>продление номера — 400,00 ₽; Завтрак "Шведский стол"</t>
        </is>
      </c>
      <c r="K663" s="5" t="n">
        <v>46210.58333333334</v>
      </c>
      <c r="L663" t="n">
        <v>5</v>
      </c>
      <c r="M663" s="3">
        <f>I663/L663</f>
        <v/>
      </c>
      <c r="N663">
        <f>IF(M663&gt;=5100,"ставка","мин.ставка")</f>
        <v/>
      </c>
      <c r="O663" s="3">
        <f>ROUND(IF(N663="мин.ставка",L663*100,I663/102*2),2)</f>
        <v/>
      </c>
      <c r="P663" s="5" t="n">
        <v>46215.5</v>
      </c>
      <c r="Q663" t="inlineStr">
        <is>
          <t>TravelLine ресепшен</t>
        </is>
      </c>
      <c r="R663" s="2" t="inlineStr">
        <is>
          <t>СТАНДАРТНЫЙ ДВУХМЕСТНЫЙ НОМЕР</t>
        </is>
      </c>
      <c r="S663" t="n">
        <v>26</v>
      </c>
      <c r="T663" t="n">
        <v>1</v>
      </c>
      <c r="U663" t="inlineStr"/>
      <c r="V663" t="inlineStr">
        <is>
          <t>Тариф с завтраком</t>
        </is>
      </c>
      <c r="W663" t="n">
        <v>67150</v>
      </c>
      <c r="X663" s="3" t="n">
        <v>0</v>
      </c>
      <c r="Y663" t="inlineStr"/>
      <c r="Z663" t="inlineStr"/>
      <c r="AA663" s="3" t="n">
        <v>66750</v>
      </c>
      <c r="AB663" t="inlineStr">
        <is>
          <t>Сошлось с услугами</t>
        </is>
      </c>
      <c r="AC663" s="2" t="inlineStr"/>
      <c r="AD663" t="n">
        <v>0</v>
      </c>
      <c r="AE663" t="n">
        <v>0</v>
      </c>
      <c r="AF663" t="inlineStr">
        <is>
          <t>Скидки нет</t>
        </is>
      </c>
      <c r="AG663" t="n">
        <v>66750</v>
      </c>
      <c r="AH663" t="n">
        <v>66750</v>
      </c>
      <c r="AI663" t="inlineStr">
        <is>
          <t>Полное проживание в выбранном периоде</t>
        </is>
      </c>
    </row>
    <row r="664">
      <c r="A664" t="inlineStr">
        <is>
          <t>20260817-8186-435147824</t>
        </is>
      </c>
      <c r="B664" t="n">
        <v>1</v>
      </c>
      <c r="C664" s="2" t="inlineStr">
        <is>
          <t>Михаил Полежаев, МАРИЯ ПОЛЕЖАЕВА</t>
        </is>
      </c>
      <c r="D664" s="3" t="n">
        <v>40460</v>
      </c>
      <c r="E664" s="4" t="n">
        <v>0</v>
      </c>
      <c r="F664" t="inlineStr">
        <is>
          <t>Прямые бронирования (стойка) [Чайковский]</t>
        </is>
      </c>
      <c r="G664" s="3">
        <f>ROUND(D664/(100-E664)*100,2)</f>
        <v/>
      </c>
      <c r="H664" s="3" t="n">
        <v>19800</v>
      </c>
      <c r="I664" s="3">
        <f>ROUND(IF(ISNUMBER(AG664),AG664,G664)+H664,2)</f>
        <v/>
      </c>
      <c r="J664" s="2" t="inlineStr">
        <is>
          <t>продление номера — 3 000,00 ₽; продление номера — 16 800,00 ₽; Завтрак "Шведский стол"</t>
        </is>
      </c>
      <c r="K664" s="5" t="n">
        <v>46251.58333333334</v>
      </c>
      <c r="L664" t="n">
        <v>3</v>
      </c>
      <c r="M664" s="3">
        <f>I664/L664</f>
        <v/>
      </c>
      <c r="N664">
        <f>IF(M664&gt;=5100,"ставка","мин.ставка")</f>
        <v/>
      </c>
      <c r="O664" s="3">
        <f>ROUND(IF(N664="мин.ставка",L664*100,I664/102*2),2)</f>
        <v/>
      </c>
      <c r="P664" s="5" t="n">
        <v>46254.5</v>
      </c>
      <c r="Q664" t="inlineStr">
        <is>
          <t>TravelLine ресепшен</t>
        </is>
      </c>
      <c r="R664" s="2" t="inlineStr">
        <is>
          <t>СЕМЕЙНЫЙ НОМЕР КАТЕГОРИИ "СТАНДАРТ" ВТОРОЙ КОРПУС</t>
        </is>
      </c>
      <c r="S664" t="n">
        <v>51</v>
      </c>
      <c r="T664" t="n">
        <v>2</v>
      </c>
      <c r="U664" t="inlineStr"/>
      <c r="V664" t="inlineStr">
        <is>
          <t>Тариф с завтраком</t>
        </is>
      </c>
      <c r="W664" t="n">
        <v>60260</v>
      </c>
      <c r="X664" s="3" t="n">
        <v>2890</v>
      </c>
      <c r="Y664" t="inlineStr">
        <is>
          <t>10%</t>
        </is>
      </c>
      <c r="Z664" t="inlineStr">
        <is>
          <t>2026-08-18, 2026-08-19</t>
        </is>
      </c>
      <c r="AA664" s="3" t="n">
        <v>40460</v>
      </c>
      <c r="AB664" t="inlineStr">
        <is>
          <t>Сошлось с услугами</t>
        </is>
      </c>
      <c r="AC664" s="2" t="inlineStr"/>
      <c r="AD664" t="n">
        <v>2890</v>
      </c>
      <c r="AE664" t="n">
        <v>0</v>
      </c>
      <c r="AF664" t="inlineStr">
        <is>
          <t>Скидка добавлена к налоговой базе</t>
        </is>
      </c>
      <c r="AG664" t="n">
        <v>43350</v>
      </c>
      <c r="AH664" t="n">
        <v>40460</v>
      </c>
      <c r="AI664" t="inlineStr">
        <is>
          <t>Полное проживание в выбранном периоде</t>
        </is>
      </c>
    </row>
    <row r="665">
      <c r="A665" t="inlineStr">
        <is>
          <t>20260817-8186-459136649</t>
        </is>
      </c>
      <c r="B665" t="n">
        <v>1</v>
      </c>
      <c r="C665" s="2" t="inlineStr">
        <is>
          <t>МИХАИЛ ПРОНИН</t>
        </is>
      </c>
      <c r="D665" s="3" t="n">
        <v>23100</v>
      </c>
      <c r="E665" s="4" t="n">
        <v>0</v>
      </c>
      <c r="F665" t="inlineStr">
        <is>
          <t>Прямые бронирования (стойка) [Чайковский]</t>
        </is>
      </c>
      <c r="G665" s="3">
        <f>ROUND(D665/(100-E665)*100,2)</f>
        <v/>
      </c>
      <c r="H665" s="3" t="n">
        <v>0</v>
      </c>
      <c r="I665" s="3">
        <f>ROUND(IF(ISNUMBER(AG665),AG665,G665)+H665,2)</f>
        <v/>
      </c>
      <c r="J665" s="2" t="inlineStr">
        <is>
          <t>Завтрак "Шведский стол"</t>
        </is>
      </c>
      <c r="K665" s="5" t="n">
        <v>46251.58333333334</v>
      </c>
      <c r="L665" t="n">
        <v>3</v>
      </c>
      <c r="M665" s="3">
        <f>I665/L665</f>
        <v/>
      </c>
      <c r="N665">
        <f>IF(M665&gt;=5100,"ставка","мин.ставка")</f>
        <v/>
      </c>
      <c r="O665" s="3">
        <f>ROUND(IF(N665="мин.ставка",L665*100,I665/102*2),2)</f>
        <v/>
      </c>
      <c r="P665" s="5" t="n">
        <v>46254.5</v>
      </c>
      <c r="Q665" t="inlineStr">
        <is>
          <t>TravelLine ресепшен</t>
        </is>
      </c>
      <c r="R665" s="2" t="inlineStr">
        <is>
          <t>СТАНДАРТНЫЙ ОДНОМЕСТНЫЙ НОМЕР</t>
        </is>
      </c>
      <c r="S665" t="n">
        <v>34</v>
      </c>
      <c r="T665" t="n">
        <v>1</v>
      </c>
      <c r="U665" t="inlineStr"/>
      <c r="V665" t="inlineStr">
        <is>
          <t>Тариф с завтраком</t>
        </is>
      </c>
      <c r="W665" t="n">
        <v>23100</v>
      </c>
      <c r="X665" s="3" t="n">
        <v>0</v>
      </c>
      <c r="Y665" t="inlineStr"/>
      <c r="Z665" t="inlineStr"/>
      <c r="AA665" s="3" t="n">
        <v>23100</v>
      </c>
      <c r="AB665" t="inlineStr">
        <is>
          <t>Сошлось по ночным тарифам</t>
        </is>
      </c>
      <c r="AC665" s="2" t="inlineStr"/>
      <c r="AD665" t="n">
        <v>0</v>
      </c>
      <c r="AE665" t="n">
        <v>0</v>
      </c>
      <c r="AF665" t="inlineStr">
        <is>
          <t>Скидки нет</t>
        </is>
      </c>
      <c r="AG665" t="n">
        <v>23100</v>
      </c>
      <c r="AH665" t="n">
        <v>23100</v>
      </c>
      <c r="AI665" t="inlineStr">
        <is>
          <t>Полное проживание в выбранном периоде</t>
        </is>
      </c>
    </row>
    <row r="666">
      <c r="A666" t="inlineStr">
        <is>
          <t>20260803-8186-429997810</t>
        </is>
      </c>
      <c r="B666" t="n">
        <v>1</v>
      </c>
      <c r="C666" s="2" t="inlineStr">
        <is>
          <t>Михаил Селецкий, Анна Гордеева</t>
        </is>
      </c>
      <c r="D666" s="3" t="n">
        <v>39270</v>
      </c>
      <c r="E666" s="4" t="n">
        <v>16</v>
      </c>
      <c r="F666" t="inlineStr">
        <is>
          <t>ООО "БРОНИРОВАНИЕ ГОСТИНИЦ" (OSTROVOK) [Чайковский]</t>
        </is>
      </c>
      <c r="G666" s="3">
        <f>ROUND(D666/(100-E666)*100,2)</f>
        <v/>
      </c>
      <c r="H666" s="3" t="n">
        <v>0</v>
      </c>
      <c r="I666" s="3">
        <f>ROUND(IF(ISNUMBER(AG666),AG666,G666)+H666,2)</f>
        <v/>
      </c>
      <c r="J666" s="2" t="inlineStr">
        <is>
          <t>Завтрак "Шведский стол"</t>
        </is>
      </c>
      <c r="K666" s="5" t="n">
        <v>46237.58333333334</v>
      </c>
      <c r="L666" t="n">
        <v>3</v>
      </c>
      <c r="M666" s="3">
        <f>I666/L666</f>
        <v/>
      </c>
      <c r="N666">
        <f>IF(M666&gt;=5100,"ставка","мин.ставка")</f>
        <v/>
      </c>
      <c r="O666" s="3">
        <f>ROUND(IF(N666="мин.ставка",L666*100,I666/102*2),2)</f>
        <v/>
      </c>
      <c r="P666" s="5" t="n">
        <v>46240.5</v>
      </c>
      <c r="Q666" t="inlineStr">
        <is>
          <t>TravelLine OTK</t>
        </is>
      </c>
      <c r="R666" s="2" t="inlineStr">
        <is>
          <t>УЛУЧШЕННЫЙ ДВУХМЕСТНЫЙ НОМЕР</t>
        </is>
      </c>
      <c r="S666" t="n">
        <v>21</v>
      </c>
      <c r="T666" t="n">
        <v>1</v>
      </c>
      <c r="U666" t="inlineStr"/>
      <c r="V666" t="inlineStr">
        <is>
          <t>Тариф с завтраком</t>
        </is>
      </c>
      <c r="W666" t="n">
        <v>39270</v>
      </c>
      <c r="X666" s="3" t="n">
        <v>6930</v>
      </c>
      <c r="Y666" t="inlineStr">
        <is>
          <t>15%</t>
        </is>
      </c>
      <c r="Z666" t="inlineStr">
        <is>
          <t>2026-08-03, 2026-08-04, 2026-08-05</t>
        </is>
      </c>
      <c r="AA666" s="3" t="n">
        <v>39270</v>
      </c>
      <c r="AB666" t="inlineStr">
        <is>
          <t>Сошлось по ночным тарифам</t>
        </is>
      </c>
      <c r="AC666" s="2" t="inlineStr"/>
      <c r="AD666" t="n">
        <v>6930</v>
      </c>
      <c r="AE666" t="n">
        <v>0</v>
      </c>
      <c r="AF666" t="inlineStr">
        <is>
          <t>Скидка добавлена к налоговой базе</t>
        </is>
      </c>
      <c r="AG666" t="n">
        <v>46200</v>
      </c>
      <c r="AH666" t="n">
        <v>39270</v>
      </c>
      <c r="AI666" t="inlineStr">
        <is>
          <t>Полное проживание в выбранном периоде</t>
        </is>
      </c>
    </row>
    <row r="667">
      <c r="A667" t="inlineStr">
        <is>
          <t>20260626-8186-443934240</t>
        </is>
      </c>
      <c r="B667" t="n">
        <v>1</v>
      </c>
      <c r="C667" s="2" t="inlineStr">
        <is>
          <t>Михаил Семенов</t>
        </is>
      </c>
      <c r="D667" s="3" t="n">
        <v>80100</v>
      </c>
      <c r="E667" s="4" t="n">
        <v>4</v>
      </c>
      <c r="F667" t="inlineStr">
        <is>
          <t>TravelLine Booking Engine [Чайковский]</t>
        </is>
      </c>
      <c r="G667" s="3">
        <f>ROUND(D667/(100-E667)*100,2)</f>
        <v/>
      </c>
      <c r="H667" s="3" t="n">
        <v>0</v>
      </c>
      <c r="I667" s="3">
        <f>ROUND(IF(ISNUMBER(AG667),AG667,G667)+H667,2)</f>
        <v/>
      </c>
      <c r="J667" s="2" t="inlineStr"/>
      <c r="K667" s="5" t="n">
        <v>46201.58333333334</v>
      </c>
      <c r="L667" t="n">
        <v>3</v>
      </c>
      <c r="M667" s="3">
        <f>I667/L667</f>
        <v/>
      </c>
      <c r="N667">
        <f>IF(M667&gt;=5100,"ставка","мин.ставка")</f>
        <v/>
      </c>
      <c r="O667" s="3">
        <f>ROUND(IF(N667="мин.ставка",L667*100,I667/102*2),2)</f>
        <v/>
      </c>
      <c r="P667" s="5" t="n">
        <v>46207.5</v>
      </c>
      <c r="Q667" t="inlineStr">
        <is>
          <t>TravelLine сайт</t>
        </is>
      </c>
      <c r="R667" s="2" t="inlineStr">
        <is>
          <t>УЛУЧШЕННЫЙ ДВУХМЕСТНЫЙ НОМЕР</t>
        </is>
      </c>
      <c r="S667" t="n">
        <v>21</v>
      </c>
      <c r="T667" t="n">
        <v>1</v>
      </c>
      <c r="U667" t="inlineStr"/>
      <c r="V667" t="inlineStr">
        <is>
          <t>Тариф с завтраком</t>
        </is>
      </c>
      <c r="W667" t="n">
        <v>114049.75</v>
      </c>
      <c r="X667" s="3" t="n">
        <v>0</v>
      </c>
      <c r="Y667" t="inlineStr"/>
      <c r="Z667" t="inlineStr"/>
      <c r="AA667" s="3" t="n">
        <v>80100</v>
      </c>
      <c r="AB667" t="inlineStr">
        <is>
          <t>Сошлось по ночным тарифам</t>
        </is>
      </c>
      <c r="AC667" s="2" t="inlineStr"/>
      <c r="AD667" t="n">
        <v>0</v>
      </c>
      <c r="AE667" t="n">
        <v>0</v>
      </c>
      <c r="AF667" t="inlineStr">
        <is>
          <t>Скидки нет</t>
        </is>
      </c>
      <c r="AG667" t="n">
        <v>40050</v>
      </c>
      <c r="AH667" t="n">
        <v>40050</v>
      </c>
      <c r="AI667" t="inlineStr">
        <is>
          <t>Частичное проживание распределено по dailyRates</t>
        </is>
      </c>
    </row>
    <row r="668">
      <c r="A668" t="inlineStr">
        <is>
          <t>20260924-8186-447704409</t>
        </is>
      </c>
      <c r="B668" t="n">
        <v>1</v>
      </c>
      <c r="C668" s="2" t="inlineStr">
        <is>
          <t>Михаил Терехов, Алена Терехова</t>
        </is>
      </c>
      <c r="D668" s="3" t="n">
        <v>23760</v>
      </c>
      <c r="E668" s="4" t="n">
        <v>18</v>
      </c>
      <c r="F668" t="inlineStr">
        <is>
          <t>Яндекс.Путешествия [Чайковский]</t>
        </is>
      </c>
      <c r="G668" s="3">
        <f>ROUND(D668/(100-E668)*100,2)</f>
        <v/>
      </c>
      <c r="H668" s="3" t="n">
        <v>0</v>
      </c>
      <c r="I668" s="3">
        <f>ROUND(IF(ISNUMBER(AG668),AG668,G668)+H668,2)</f>
        <v/>
      </c>
      <c r="J668" s="2" t="inlineStr">
        <is>
          <t>Завтрак "Шведский стол"</t>
        </is>
      </c>
      <c r="K668" s="5" t="n">
        <v>46289.58333333334</v>
      </c>
      <c r="L668" t="n">
        <v>3</v>
      </c>
      <c r="M668" s="3">
        <f>I668/L668</f>
        <v/>
      </c>
      <c r="N668">
        <f>IF(M668&gt;=5100,"ставка","мин.ставка")</f>
        <v/>
      </c>
      <c r="O668" s="3">
        <f>ROUND(IF(N668="мин.ставка",L668*100,I668/102*2),2)</f>
        <v/>
      </c>
      <c r="P668" s="5" t="n">
        <v>46292.5</v>
      </c>
      <c r="Q668" t="inlineStr">
        <is>
          <t>TravelLine YAX</t>
        </is>
      </c>
      <c r="R668" s="2" t="inlineStr">
        <is>
          <t>СТАНДАРТНЫЙ ДВУХМЕСТНЫЙ НОМЕР (МАНСАРДА)</t>
        </is>
      </c>
      <c r="S668" t="n">
        <v>43</v>
      </c>
      <c r="T668" t="n">
        <v>1</v>
      </c>
      <c r="U668" t="inlineStr"/>
      <c r="V668" t="inlineStr">
        <is>
          <t>Тариф с завтраком</t>
        </is>
      </c>
      <c r="W668" t="n">
        <v>23760</v>
      </c>
      <c r="X668" s="3" t="n">
        <v>5940</v>
      </c>
      <c r="Y668" t="inlineStr">
        <is>
          <t>20%</t>
        </is>
      </c>
      <c r="Z668" t="inlineStr">
        <is>
          <t>2026-09-24, 2026-09-25, 2026-09-26</t>
        </is>
      </c>
      <c r="AA668" s="3" t="n">
        <v>23760</v>
      </c>
      <c r="AB668" t="inlineStr">
        <is>
          <t>Сошлось по ночным тарифам</t>
        </is>
      </c>
      <c r="AC668" s="2" t="inlineStr"/>
      <c r="AD668" t="n">
        <v>5940</v>
      </c>
      <c r="AE668" t="n">
        <v>0</v>
      </c>
      <c r="AF668" t="inlineStr">
        <is>
          <t>Скидка добавлена к налоговой базе</t>
        </is>
      </c>
      <c r="AG668" t="n">
        <v>29700</v>
      </c>
      <c r="AH668" t="n">
        <v>23760</v>
      </c>
      <c r="AI668" t="inlineStr">
        <is>
          <t>Полное проживание в выбранном периоде</t>
        </is>
      </c>
    </row>
    <row r="669">
      <c r="A669" t="inlineStr">
        <is>
          <t>20260905-8186-460961015</t>
        </is>
      </c>
      <c r="B669" t="n">
        <v>1</v>
      </c>
      <c r="C669" s="2" t="inlineStr">
        <is>
          <t>Михаил Фролов, Оксана Фролова</t>
        </is>
      </c>
      <c r="D669" s="3" t="n">
        <v>88644</v>
      </c>
      <c r="E669" s="4" t="n">
        <v>17</v>
      </c>
      <c r="F669" t="inlineStr">
        <is>
          <t>ООО «Интернет Трэвел» (OZON) [Чайковский]</t>
        </is>
      </c>
      <c r="G669" s="3">
        <f>ROUND(D669/(100-E669)*100,2)</f>
        <v/>
      </c>
      <c r="H669" s="3" t="n">
        <v>0</v>
      </c>
      <c r="I669" s="3">
        <f>ROUND(IF(ISNUMBER(AG669),AG669,G669)+H669,2)</f>
        <v/>
      </c>
      <c r="J669" s="2" t="inlineStr">
        <is>
          <t>Завтрак "Шведский стол"</t>
        </is>
      </c>
      <c r="K669" s="5" t="n">
        <v>46270.58333333334</v>
      </c>
      <c r="L669" t="n">
        <v>8</v>
      </c>
      <c r="M669" s="3">
        <f>I669/L669</f>
        <v/>
      </c>
      <c r="N669">
        <f>IF(M669&gt;=5100,"ставка","мин.ставка")</f>
        <v/>
      </c>
      <c r="O669" s="3">
        <f>ROUND(IF(N669="мин.ставка",L669*100,I669/102*2),2)</f>
        <v/>
      </c>
      <c r="P669" s="5" t="n">
        <v>46278.5</v>
      </c>
      <c r="Q669" t="inlineStr">
        <is>
          <t>TravelLine OZ2</t>
        </is>
      </c>
      <c r="R669" s="2" t="inlineStr">
        <is>
          <t>СТАНДАРТНЫЙ ДВУХМЕСТНЫЙ НОМЕР</t>
        </is>
      </c>
      <c r="S669" t="n">
        <v>55</v>
      </c>
      <c r="T669" t="n">
        <v>2</v>
      </c>
      <c r="U669" t="inlineStr"/>
      <c r="V669" t="inlineStr">
        <is>
          <t>Тариф с завтраком</t>
        </is>
      </c>
      <c r="W669" t="n">
        <v>88644</v>
      </c>
      <c r="X669" s="3" t="n">
        <v>18156</v>
      </c>
      <c r="Y669" t="inlineStr">
        <is>
          <t>17%</t>
        </is>
      </c>
      <c r="Z669" t="inlineStr">
        <is>
          <t>2026-09-05, 2026-09-06, 2026-09-07, 2026-09-08, 2026-09-09, 2026-09-10, 2026-09-11, 2026-09-12</t>
        </is>
      </c>
      <c r="AA669" s="3" t="n">
        <v>88644</v>
      </c>
      <c r="AB669" t="inlineStr">
        <is>
          <t>Сошлось по ночным тарифам</t>
        </is>
      </c>
      <c r="AC669" s="2" t="inlineStr"/>
      <c r="AD669" t="n">
        <v>18156</v>
      </c>
      <c r="AE669" t="n">
        <v>0</v>
      </c>
      <c r="AF669" t="inlineStr">
        <is>
          <t>Скидка добавлена к налоговой базе</t>
        </is>
      </c>
      <c r="AG669" t="n">
        <v>106800</v>
      </c>
      <c r="AH669" t="n">
        <v>88644</v>
      </c>
      <c r="AI669" t="inlineStr">
        <is>
          <t>Полное проживание в выбранном периоде</t>
        </is>
      </c>
    </row>
    <row r="670">
      <c r="A670" t="inlineStr">
        <is>
          <t>20260720-8186-410208436</t>
        </is>
      </c>
      <c r="B670" t="n">
        <v>1</v>
      </c>
      <c r="C670" s="2" t="inlineStr">
        <is>
          <t>Михаил Чистяков, Алексей Чистяков</t>
        </is>
      </c>
      <c r="D670" s="3" t="n">
        <v>56826</v>
      </c>
      <c r="E670" s="4" t="n">
        <v>18</v>
      </c>
      <c r="F670" t="inlineStr">
        <is>
          <t>Яндекс.Путешествия [Чайковский]</t>
        </is>
      </c>
      <c r="G670" s="3">
        <f>ROUND(D670/(100-E670)*100,2)</f>
        <v/>
      </c>
      <c r="H670" s="3" t="n">
        <v>0</v>
      </c>
      <c r="I670" s="3">
        <f>ROUND(IF(ISNUMBER(AG670),AG670,G670)+H670,2)</f>
        <v/>
      </c>
      <c r="J670" s="2" t="inlineStr">
        <is>
          <t>Завтрак "Шведский стол"</t>
        </is>
      </c>
      <c r="K670" s="5" t="n">
        <v>46223.58333333334</v>
      </c>
      <c r="L670" t="n">
        <v>7</v>
      </c>
      <c r="M670" s="3">
        <f>I670/L670</f>
        <v/>
      </c>
      <c r="N670">
        <f>IF(M670&gt;=5100,"ставка","мин.ставка")</f>
        <v/>
      </c>
      <c r="O670" s="3">
        <f>ROUND(IF(N670="мин.ставка",L670*100,I670/102*2),2)</f>
        <v/>
      </c>
      <c r="P670" s="5" t="n">
        <v>46230.5</v>
      </c>
      <c r="Q670" t="inlineStr">
        <is>
          <t>TravelLine YAX</t>
        </is>
      </c>
      <c r="R670" s="2" t="inlineStr">
        <is>
          <t>СТАНДАРТНЫЙ ДВУХМЕСТНЫЙ НОМЕР (МАНСАРДА)</t>
        </is>
      </c>
      <c r="S670" t="n">
        <v>45</v>
      </c>
      <c r="T670" t="n">
        <v>1</v>
      </c>
      <c r="U670" t="inlineStr"/>
      <c r="V670" t="inlineStr">
        <is>
          <t>Тариф с завтраком</t>
        </is>
      </c>
      <c r="W670" t="n">
        <v>113652</v>
      </c>
      <c r="X670" s="3" t="n">
        <v>12474</v>
      </c>
      <c r="Y670" t="inlineStr">
        <is>
          <t>18%</t>
        </is>
      </c>
      <c r="Z670" t="inlineStr">
        <is>
          <t>2026-07-20, 2026-07-21, 2026-07-22, 2026-07-23, 2026-07-24, 2026-07-25, 2026-07-26</t>
        </is>
      </c>
      <c r="AA670" s="3" t="n">
        <v>56826</v>
      </c>
      <c r="AB670" t="inlineStr">
        <is>
          <t>Сошлось по ночным тарифам</t>
        </is>
      </c>
      <c r="AC670" s="2" t="inlineStr"/>
      <c r="AD670" t="n">
        <v>12474</v>
      </c>
      <c r="AE670" t="n">
        <v>0</v>
      </c>
      <c r="AF670" t="inlineStr">
        <is>
          <t>Скидка добавлена к налоговой базе</t>
        </is>
      </c>
      <c r="AG670" t="n">
        <v>69300</v>
      </c>
      <c r="AH670" t="n">
        <v>56826</v>
      </c>
      <c r="AI670" t="inlineStr">
        <is>
          <t>Полное проживание в выбранном периоде</t>
        </is>
      </c>
    </row>
    <row r="671">
      <c r="A671" t="inlineStr">
        <is>
          <t>20260702-8186-446408397</t>
        </is>
      </c>
      <c r="B671" t="n">
        <v>1</v>
      </c>
      <c r="C671" s="2" t="inlineStr">
        <is>
          <t>мохнов мохнов</t>
        </is>
      </c>
      <c r="D671" s="3" t="n">
        <v>14240</v>
      </c>
      <c r="E671" s="4" t="n">
        <v>0</v>
      </c>
      <c r="F671" t="inlineStr">
        <is>
          <t>Прямые бронирования (стойка) [Чайковский]</t>
        </is>
      </c>
      <c r="G671" s="3">
        <f>ROUND(D671/(100-E671)*100,2)</f>
        <v/>
      </c>
      <c r="H671" s="3" t="n">
        <v>0</v>
      </c>
      <c r="I671" s="3">
        <f>ROUND(IF(ISNUMBER(AG671),AG671,G671)+H671,2)</f>
        <v/>
      </c>
      <c r="J671" s="2" t="inlineStr">
        <is>
          <t>Завтрак "Шведский стол"</t>
        </is>
      </c>
      <c r="K671" s="5" t="n">
        <v>46205.58333333334</v>
      </c>
      <c r="L671" t="n">
        <v>1</v>
      </c>
      <c r="M671" s="3">
        <f>I671/L671</f>
        <v/>
      </c>
      <c r="N671">
        <f>IF(M671&gt;=5100,"ставка","мин.ставка")</f>
        <v/>
      </c>
      <c r="O671" s="3">
        <f>ROUND(IF(N671="мин.ставка",L671*100,I671/102*2),2)</f>
        <v/>
      </c>
      <c r="P671" s="5" t="n">
        <v>46206.5</v>
      </c>
      <c r="Q671" t="inlineStr">
        <is>
          <t>TravelLine ресепшен</t>
        </is>
      </c>
      <c r="R671" s="2" t="inlineStr">
        <is>
          <t>ЛЮКС ВТОРОЙ КОРПУС</t>
        </is>
      </c>
      <c r="S671" t="n">
        <v>53</v>
      </c>
      <c r="T671" t="n">
        <v>2</v>
      </c>
      <c r="U671" t="inlineStr"/>
      <c r="V671" t="inlineStr">
        <is>
          <t>Тариф с завтраком</t>
        </is>
      </c>
      <c r="W671" t="n">
        <v>14240</v>
      </c>
      <c r="X671" s="3" t="n">
        <v>3560</v>
      </c>
      <c r="Y671" t="inlineStr">
        <is>
          <t>20%</t>
        </is>
      </c>
      <c r="Z671" t="inlineStr">
        <is>
          <t>2026-07-02</t>
        </is>
      </c>
      <c r="AA671" s="3" t="n">
        <v>14240</v>
      </c>
      <c r="AB671" t="inlineStr">
        <is>
          <t>Сошлось по ночным тарифам</t>
        </is>
      </c>
      <c r="AC671" s="2" t="inlineStr"/>
      <c r="AD671" t="n">
        <v>3560</v>
      </c>
      <c r="AE671" t="n">
        <v>0</v>
      </c>
      <c r="AF671" t="inlineStr">
        <is>
          <t>Скидка добавлена к налоговой базе</t>
        </is>
      </c>
      <c r="AG671" t="n">
        <v>17800</v>
      </c>
      <c r="AH671" t="n">
        <v>14240</v>
      </c>
      <c r="AI671" t="inlineStr">
        <is>
          <t>Полное проживание в выбранном периоде</t>
        </is>
      </c>
    </row>
    <row r="672">
      <c r="A672" t="inlineStr">
        <is>
          <t>20260822-8186-427442163</t>
        </is>
      </c>
      <c r="B672" t="n">
        <v>1</v>
      </c>
      <c r="C672" s="2" t="inlineStr">
        <is>
          <t>МУРАТ ГАНЕЕВ, ИРИНА АБРАМОВА</t>
        </is>
      </c>
      <c r="D672" s="3" t="n">
        <v>68174</v>
      </c>
      <c r="E672" s="4" t="n">
        <v>17</v>
      </c>
      <c r="F672" t="inlineStr">
        <is>
          <t>ООО "ОНЛАЙН ИННОВАЦИИ" (101 Отель) [Чайковский]</t>
        </is>
      </c>
      <c r="G672" s="3">
        <f>ROUND(D672/(100-E672)*100,2)</f>
        <v/>
      </c>
      <c r="H672" s="3" t="n">
        <v>0</v>
      </c>
      <c r="I672" s="3">
        <f>ROUND(IF(ISNUMBER(AG672),AG672,G672)+H672,2)</f>
        <v/>
      </c>
      <c r="J672" s="2" t="inlineStr">
        <is>
          <t>Завтрак "Шведский стол"</t>
        </is>
      </c>
      <c r="K672" s="5" t="n">
        <v>46256.58333333334</v>
      </c>
      <c r="L672" t="n">
        <v>4</v>
      </c>
      <c r="M672" s="3">
        <f>I672/L672</f>
        <v/>
      </c>
      <c r="N672">
        <f>IF(M672&gt;=5100,"ставка","мин.ставка")</f>
        <v/>
      </c>
      <c r="O672" s="3">
        <f>ROUND(IF(N672="мин.ставка",L672*100,I672/102*2),2)</f>
        <v/>
      </c>
      <c r="P672" s="5" t="n">
        <v>46260.5</v>
      </c>
      <c r="Q672" t="inlineStr">
        <is>
          <t>TravelLine H1C</t>
        </is>
      </c>
      <c r="R672" s="2" t="inlineStr">
        <is>
          <t>ЛЮКС</t>
        </is>
      </c>
      <c r="S672" t="n">
        <v>53</v>
      </c>
      <c r="T672" t="n">
        <v>2</v>
      </c>
      <c r="U672" t="inlineStr"/>
      <c r="V672" t="inlineStr">
        <is>
          <t>Тариф с завтраком</t>
        </is>
      </c>
      <c r="W672" t="n">
        <v>68174</v>
      </c>
      <c r="X672" s="3" t="n">
        <v>3026</v>
      </c>
      <c r="Y672" t="inlineStr">
        <is>
          <t>17%</t>
        </is>
      </c>
      <c r="Z672" t="inlineStr">
        <is>
          <t>2026-08-22</t>
        </is>
      </c>
      <c r="AA672" s="3" t="n">
        <v>68174</v>
      </c>
      <c r="AB672" t="inlineStr">
        <is>
          <t>Сошлось по ночным тарифам</t>
        </is>
      </c>
      <c r="AC672" s="2" t="inlineStr"/>
      <c r="AD672" t="n">
        <v>3026</v>
      </c>
      <c r="AE672" t="n">
        <v>0</v>
      </c>
      <c r="AF672" t="inlineStr">
        <is>
          <t>Скидка добавлена к налоговой базе</t>
        </is>
      </c>
      <c r="AG672" t="n">
        <v>71200</v>
      </c>
      <c r="AH672" t="n">
        <v>68174</v>
      </c>
      <c r="AI672" t="inlineStr">
        <is>
          <t>Полное проживание в выбранном периоде</t>
        </is>
      </c>
    </row>
    <row r="673">
      <c r="A673" t="inlineStr">
        <is>
          <t>20260730-8186-437645974</t>
        </is>
      </c>
      <c r="B673" t="n">
        <v>1</v>
      </c>
      <c r="C673" s="2" t="inlineStr">
        <is>
          <t>Надежда Великанова</t>
        </is>
      </c>
      <c r="D673" s="3" t="n">
        <v>13149.75</v>
      </c>
      <c r="E673" s="4" t="n">
        <v>4</v>
      </c>
      <c r="F673" t="inlineStr">
        <is>
          <t>TravelLine Booking Engine [Чайковский]</t>
        </is>
      </c>
      <c r="G673" s="3">
        <f>ROUND(D673/(100-E673)*100,2)</f>
        <v/>
      </c>
      <c r="H673" s="3" t="n">
        <v>0</v>
      </c>
      <c r="I673" s="3">
        <f>ROUND(IF(ISNUMBER(AG673),AG673,G673)+H673,2)</f>
        <v/>
      </c>
      <c r="J673" s="2" t="inlineStr">
        <is>
          <t>Завтрак "Шведский стол"</t>
        </is>
      </c>
      <c r="K673" s="5" t="n">
        <v>46233.58333333334</v>
      </c>
      <c r="L673" t="n">
        <v>1</v>
      </c>
      <c r="M673" s="3">
        <f>I673/L673</f>
        <v/>
      </c>
      <c r="N673">
        <f>IF(M673&gt;=5100,"ставка","мин.ставка")</f>
        <v/>
      </c>
      <c r="O673" s="3">
        <f>ROUND(IF(N673="мин.ставка",L673*100,I673/102*2),2)</f>
        <v/>
      </c>
      <c r="P673" s="5" t="n">
        <v>46234.5</v>
      </c>
      <c r="Q673" t="inlineStr">
        <is>
          <t>TravelLine сайт</t>
        </is>
      </c>
      <c r="R673" s="2" t="inlineStr">
        <is>
          <t>СТАНДАРТНЫЙ ДВУХМЕСТНЫЙ НОМЕР</t>
        </is>
      </c>
      <c r="S673" t="n">
        <v>23</v>
      </c>
      <c r="T673" t="n">
        <v>1</v>
      </c>
      <c r="U673" t="inlineStr"/>
      <c r="V673" t="inlineStr">
        <is>
          <t>Тариф с завтраком</t>
        </is>
      </c>
      <c r="W673" t="n">
        <v>13149.75</v>
      </c>
      <c r="X673" s="3" t="n">
        <v>200.25</v>
      </c>
      <c r="Y673" t="inlineStr">
        <is>
          <t>1.5%</t>
        </is>
      </c>
      <c r="Z673" t="inlineStr">
        <is>
          <t>2026-07-30</t>
        </is>
      </c>
      <c r="AA673" s="3" t="n">
        <v>13149.75</v>
      </c>
      <c r="AB673" t="inlineStr">
        <is>
          <t>Сошлось по ночным тарифам</t>
        </is>
      </c>
      <c r="AC673" s="2" t="inlineStr"/>
      <c r="AD673" t="n">
        <v>200.25</v>
      </c>
      <c r="AE673" t="n">
        <v>0</v>
      </c>
      <c r="AF673" t="inlineStr">
        <is>
          <t>Скидка добавлена к налоговой базе</t>
        </is>
      </c>
      <c r="AG673" t="n">
        <v>13350</v>
      </c>
      <c r="AH673" t="n">
        <v>13149.75</v>
      </c>
      <c r="AI673" t="inlineStr">
        <is>
          <t>Полное проживание в выбранном периоде</t>
        </is>
      </c>
    </row>
    <row r="674">
      <c r="A674" t="inlineStr">
        <is>
          <t>20260630-8186-444909188</t>
        </is>
      </c>
      <c r="B674" t="n">
        <v>1</v>
      </c>
      <c r="C674" s="2" t="inlineStr">
        <is>
          <t>Надежда Еремеева</t>
        </is>
      </c>
      <c r="D674" s="3" t="n">
        <v>21440</v>
      </c>
      <c r="E674" s="4" t="n">
        <v>20</v>
      </c>
      <c r="F674" t="inlineStr">
        <is>
          <t>ООО "УК ГЦБ и Т" [Чайковский]</t>
        </is>
      </c>
      <c r="G674" s="3">
        <f>ROUND(D674/(100-E674)*100,2)</f>
        <v/>
      </c>
      <c r="H674" s="3" t="n">
        <v>0</v>
      </c>
      <c r="I674" s="3">
        <f>ROUND(IF(ISNUMBER(AG674),AG674,G674)+H674,2)</f>
        <v/>
      </c>
      <c r="J674" s="2" t="inlineStr"/>
      <c r="K674" s="5" t="n">
        <v>46203.58333333334</v>
      </c>
      <c r="L674" t="n">
        <v>1</v>
      </c>
      <c r="M674" s="3">
        <f>I674/L674</f>
        <v/>
      </c>
      <c r="N674">
        <f>IF(M674&gt;=5100,"ставка","мин.ставка")</f>
        <v/>
      </c>
      <c r="O674" s="3">
        <f>ROUND(IF(N674="мин.ставка",L674*100,I674/102*2),2)</f>
        <v/>
      </c>
      <c r="P674" s="5" t="n">
        <v>46205.5</v>
      </c>
      <c r="Q674" t="inlineStr">
        <is>
          <t>TravelLine CBC</t>
        </is>
      </c>
      <c r="R674" s="2" t="inlineStr">
        <is>
          <t>УЛУЧШЕННЫЙ ДВУХМЕСТНЫЙ НОМЕР</t>
        </is>
      </c>
      <c r="S674" t="n">
        <v>56</v>
      </c>
      <c r="T674" t="n">
        <v>2</v>
      </c>
      <c r="U674" t="inlineStr"/>
      <c r="V674" t="inlineStr">
        <is>
          <t>Тариф с завтраком</t>
        </is>
      </c>
      <c r="W674" t="n">
        <v>21440</v>
      </c>
      <c r="X674" s="3" t="n">
        <v>5360</v>
      </c>
      <c r="Y674" t="inlineStr">
        <is>
          <t>20%</t>
        </is>
      </c>
      <c r="Z674" t="inlineStr">
        <is>
          <t>2026-06-30, 2026-07-01</t>
        </is>
      </c>
      <c r="AA674" s="3" t="n">
        <v>21440</v>
      </c>
      <c r="AB674" t="inlineStr">
        <is>
          <t>Сошлось по ночным тарифам</t>
        </is>
      </c>
      <c r="AC674" s="2" t="inlineStr"/>
      <c r="AD674" t="n">
        <v>2680</v>
      </c>
      <c r="AE674" t="n">
        <v>0</v>
      </c>
      <c r="AF674" t="inlineStr">
        <is>
          <t>Ночи скидки определены по dailyRates; в базу добавлена только часть выбранного периода</t>
        </is>
      </c>
      <c r="AG674" t="n">
        <v>13400</v>
      </c>
      <c r="AH674" t="n">
        <v>10720</v>
      </c>
      <c r="AI674" t="inlineStr">
        <is>
          <t>Частичное проживание распределено по dailyRates</t>
        </is>
      </c>
    </row>
    <row r="675">
      <c r="A675" t="inlineStr">
        <is>
          <t>20260805-8186-436895950</t>
        </is>
      </c>
      <c r="B675" t="n">
        <v>1</v>
      </c>
      <c r="C675" s="2" t="inlineStr">
        <is>
          <t>НАДЕЖДА ЛЕВЕНКОВА, Мария Гущина</t>
        </is>
      </c>
      <c r="D675" s="3" t="n">
        <v>19651.5</v>
      </c>
      <c r="E675" s="4" t="n">
        <v>4</v>
      </c>
      <c r="F675" t="inlineStr">
        <is>
          <t>TravelLine Booking Engine [Чайковский]</t>
        </is>
      </c>
      <c r="G675" s="3">
        <f>ROUND(D675/(100-E675)*100,2)</f>
        <v/>
      </c>
      <c r="H675" s="3" t="n">
        <v>0</v>
      </c>
      <c r="I675" s="3">
        <f>ROUND(IF(ISNUMBER(AG675),AG675,G675)+H675,2)</f>
        <v/>
      </c>
      <c r="J675" s="2" t="inlineStr">
        <is>
          <t>Завтрак "Шведский стол"</t>
        </is>
      </c>
      <c r="K675" s="5" t="n">
        <v>46239.58333333334</v>
      </c>
      <c r="L675" t="n">
        <v>2</v>
      </c>
      <c r="M675" s="3">
        <f>I675/L675</f>
        <v/>
      </c>
      <c r="N675">
        <f>IF(M675&gt;=5100,"ставка","мин.ставка")</f>
        <v/>
      </c>
      <c r="O675" s="3">
        <f>ROUND(IF(N675="мин.ставка",L675*100,I675/102*2),2)</f>
        <v/>
      </c>
      <c r="P675" s="5" t="n">
        <v>46241.5</v>
      </c>
      <c r="Q675" t="inlineStr">
        <is>
          <t>TravelLine сайт</t>
        </is>
      </c>
      <c r="R675" s="2" t="inlineStr">
        <is>
          <t>СТАНДАРТНЫЙ ДВУХМЕСТНЫЙ НОМЕР (МАНСАРДА)</t>
        </is>
      </c>
      <c r="S675" t="n">
        <v>47</v>
      </c>
      <c r="T675" t="n">
        <v>1</v>
      </c>
      <c r="U675" t="inlineStr"/>
      <c r="V675" t="inlineStr">
        <is>
          <t>Тариф с завтраком</t>
        </is>
      </c>
      <c r="W675" t="n">
        <v>19651.5</v>
      </c>
      <c r="X675" s="3" t="n">
        <v>148.5</v>
      </c>
      <c r="Y675" t="inlineStr">
        <is>
          <t>1.5%</t>
        </is>
      </c>
      <c r="Z675" t="inlineStr">
        <is>
          <t>2026-08-05</t>
        </is>
      </c>
      <c r="AA675" s="3" t="n">
        <v>19651.5</v>
      </c>
      <c r="AB675" t="inlineStr">
        <is>
          <t>Сошлось по ночным тарифам</t>
        </is>
      </c>
      <c r="AC675" s="2" t="inlineStr"/>
      <c r="AD675" t="n">
        <v>148.5</v>
      </c>
      <c r="AE675" t="n">
        <v>0</v>
      </c>
      <c r="AF675" t="inlineStr">
        <is>
          <t>Скидка добавлена к налоговой базе</t>
        </is>
      </c>
      <c r="AG675" t="n">
        <v>19800</v>
      </c>
      <c r="AH675" t="n">
        <v>19651.5</v>
      </c>
      <c r="AI675" t="inlineStr">
        <is>
          <t>Полное проживание в выбранном периоде</t>
        </is>
      </c>
    </row>
    <row r="676">
      <c r="A676" t="inlineStr">
        <is>
          <t>20260822-8186-425651545</t>
        </is>
      </c>
      <c r="B676" t="n">
        <v>1</v>
      </c>
      <c r="C676" s="2" t="inlineStr">
        <is>
          <t>Надежда Шведова, Даниил Шведов</t>
        </is>
      </c>
      <c r="D676" s="3" t="n">
        <v>60876</v>
      </c>
      <c r="E676" s="4" t="n">
        <v>18</v>
      </c>
      <c r="F676" t="inlineStr">
        <is>
          <t>Яндекс.Путешествия [Чайковский]</t>
        </is>
      </c>
      <c r="G676" s="3">
        <f>ROUND(D676/(100-E676)*100,2)</f>
        <v/>
      </c>
      <c r="H676" s="3" t="n">
        <v>300</v>
      </c>
      <c r="I676" s="3">
        <f>ROUND(IF(ISNUMBER(AG676),AG676,G676)+H676,2)</f>
        <v/>
      </c>
      <c r="J676" s="2" t="inlineStr">
        <is>
          <t>продление номера — 300,00 ₽; Завтрак "Шведский стол"</t>
        </is>
      </c>
      <c r="K676" s="5" t="n">
        <v>46256.58333333334</v>
      </c>
      <c r="L676" t="n">
        <v>6</v>
      </c>
      <c r="M676" s="3">
        <f>I676/L676</f>
        <v/>
      </c>
      <c r="N676">
        <f>IF(M676&gt;=5100,"ставка","мин.ставка")</f>
        <v/>
      </c>
      <c r="O676" s="3">
        <f>ROUND(IF(N676="мин.ставка",L676*100,I676/102*2),2)</f>
        <v/>
      </c>
      <c r="P676" s="5" t="n">
        <v>46262.5</v>
      </c>
      <c r="Q676" t="inlineStr">
        <is>
          <t>TravelLine YAX</t>
        </is>
      </c>
      <c r="R676" s="2" t="inlineStr">
        <is>
          <t>СТАНДАРТНЫЙ ДВУХМЕСТНЫЙ НОМЕР</t>
        </is>
      </c>
      <c r="S676" t="n">
        <v>26</v>
      </c>
      <c r="T676" t="n">
        <v>1</v>
      </c>
      <c r="U676" t="inlineStr"/>
      <c r="V676" t="inlineStr">
        <is>
          <t>Тариф с завтраком</t>
        </is>
      </c>
      <c r="W676" t="n">
        <v>182928</v>
      </c>
      <c r="X676" s="3" t="n">
        <v>15219</v>
      </c>
      <c r="Y676" t="inlineStr">
        <is>
          <t>20%</t>
        </is>
      </c>
      <c r="Z676" t="inlineStr">
        <is>
          <t>2026-08-22, 2026-08-23, 2026-08-24, 2026-08-25, 2026-08-26, 2026-08-27</t>
        </is>
      </c>
      <c r="AA676" s="3" t="n">
        <v>60876</v>
      </c>
      <c r="AB676" t="inlineStr">
        <is>
          <t>Сошлось с услугами</t>
        </is>
      </c>
      <c r="AC676" s="2" t="inlineStr"/>
      <c r="AD676" t="n">
        <v>15219</v>
      </c>
      <c r="AE676" t="n">
        <v>0</v>
      </c>
      <c r="AF676" t="inlineStr">
        <is>
          <t>Скидка добавлена к налоговой базе</t>
        </is>
      </c>
      <c r="AG676" t="n">
        <v>76095</v>
      </c>
      <c r="AH676" t="n">
        <v>60876</v>
      </c>
      <c r="AI676" t="inlineStr">
        <is>
          <t>Полное проживание в выбранном периоде</t>
        </is>
      </c>
    </row>
    <row r="677">
      <c r="A677" t="inlineStr">
        <is>
          <t>20260813-8186-450552757</t>
        </is>
      </c>
      <c r="B677" t="n">
        <v>1</v>
      </c>
      <c r="C677" s="2" t="inlineStr">
        <is>
          <t>Надежда Шевырина, Владимир Юмашев</t>
        </is>
      </c>
      <c r="D677" s="3" t="n">
        <v>40584</v>
      </c>
      <c r="E677" s="4" t="n">
        <v>18</v>
      </c>
      <c r="F677" t="inlineStr">
        <is>
          <t>Яндекс.Путешествия [Чайковский]</t>
        </is>
      </c>
      <c r="G677" s="3">
        <f>ROUND(D677/(100-E677)*100,2)</f>
        <v/>
      </c>
      <c r="H677" s="3" t="n">
        <v>0</v>
      </c>
      <c r="I677" s="3">
        <f>ROUND(IF(ISNUMBER(AG677),AG677,G677)+H677,2)</f>
        <v/>
      </c>
      <c r="J677" s="2" t="inlineStr">
        <is>
          <t>Завтрак "Шведский стол"</t>
        </is>
      </c>
      <c r="K677" s="5" t="n">
        <v>46247.58333333334</v>
      </c>
      <c r="L677" t="n">
        <v>4</v>
      </c>
      <c r="M677" s="3">
        <f>I677/L677</f>
        <v/>
      </c>
      <c r="N677">
        <f>IF(M677&gt;=5100,"ставка","мин.ставка")</f>
        <v/>
      </c>
      <c r="O677" s="3">
        <f>ROUND(IF(N677="мин.ставка",L677*100,I677/102*2),2)</f>
        <v/>
      </c>
      <c r="P677" s="5" t="n">
        <v>46251.5</v>
      </c>
      <c r="Q677" t="inlineStr">
        <is>
          <t>TravelLine YAX</t>
        </is>
      </c>
      <c r="R677" s="2" t="inlineStr">
        <is>
          <t>СТАНДАРТНЫЙ ДВУХМЕСТНЫЙ НОМЕР</t>
        </is>
      </c>
      <c r="S677" t="n">
        <v>33</v>
      </c>
      <c r="T677" t="n">
        <v>1</v>
      </c>
      <c r="U677" t="inlineStr"/>
      <c r="V677" t="inlineStr">
        <is>
          <t>Тариф с завтраком</t>
        </is>
      </c>
      <c r="W677" t="n">
        <v>40584</v>
      </c>
      <c r="X677" s="3" t="n">
        <v>10146</v>
      </c>
      <c r="Y677" t="inlineStr">
        <is>
          <t>20%</t>
        </is>
      </c>
      <c r="Z677" t="inlineStr">
        <is>
          <t>2026-08-13, 2026-08-14, 2026-08-15, 2026-08-16</t>
        </is>
      </c>
      <c r="AA677" s="3" t="n">
        <v>40584</v>
      </c>
      <c r="AB677" t="inlineStr">
        <is>
          <t>Сошлось по ночным тарифам</t>
        </is>
      </c>
      <c r="AC677" s="2" t="inlineStr"/>
      <c r="AD677" t="n">
        <v>10146</v>
      </c>
      <c r="AE677" t="n">
        <v>0</v>
      </c>
      <c r="AF677" t="inlineStr">
        <is>
          <t>Скидка добавлена к налоговой базе</t>
        </is>
      </c>
      <c r="AG677" t="n">
        <v>50730</v>
      </c>
      <c r="AH677" t="n">
        <v>40584</v>
      </c>
      <c r="AI677" t="inlineStr">
        <is>
          <t>Полное проживание в выбранном периоде</t>
        </is>
      </c>
    </row>
    <row r="678">
      <c r="A678" t="inlineStr">
        <is>
          <t>20260826-8186-447063291</t>
        </is>
      </c>
      <c r="B678" t="n">
        <v>1</v>
      </c>
      <c r="C678" s="2" t="inlineStr">
        <is>
          <t>Наталия Золотарева</t>
        </is>
      </c>
      <c r="D678" s="3" t="n">
        <v>18960</v>
      </c>
      <c r="E678" s="4" t="n">
        <v>20</v>
      </c>
      <c r="F678" t="inlineStr">
        <is>
          <t>ООО "КОМПАНИЯ БРОНЕВИК" [Чайковский]</t>
        </is>
      </c>
      <c r="G678" s="3">
        <f>ROUND(D678/(100-E678)*100,2)</f>
        <v/>
      </c>
      <c r="H678" s="3" t="n">
        <v>0</v>
      </c>
      <c r="I678" s="3">
        <f>ROUND(IF(ISNUMBER(AG678),AG678,G678)+H678,2)</f>
        <v/>
      </c>
      <c r="J678" s="2" t="inlineStr">
        <is>
          <t>Завтрак "Шведский стол"</t>
        </is>
      </c>
      <c r="K678" s="5" t="n">
        <v>46260.58333333334</v>
      </c>
      <c r="L678" t="n">
        <v>3</v>
      </c>
      <c r="M678" s="3">
        <f>I678/L678</f>
        <v/>
      </c>
      <c r="N678">
        <f>IF(M678&gt;=5100,"ставка","мин.ставка")</f>
        <v/>
      </c>
      <c r="O678" s="3">
        <f>ROUND(IF(N678="мин.ставка",L678*100,I678/102*2),2)</f>
        <v/>
      </c>
      <c r="P678" s="5" t="n">
        <v>46263.5</v>
      </c>
      <c r="Q678" t="inlineStr">
        <is>
          <t>TravelLine BR2</t>
        </is>
      </c>
      <c r="R678" s="2" t="inlineStr">
        <is>
          <t>СТАНДАРТНЫЙ ДВУХМЕСТНЫЙ НОМЕР (МАНСАРДА)</t>
        </is>
      </c>
      <c r="S678" t="n">
        <v>41</v>
      </c>
      <c r="T678" t="n">
        <v>1</v>
      </c>
      <c r="U678" t="inlineStr"/>
      <c r="V678" t="inlineStr">
        <is>
          <t>Тариф с завтраком</t>
        </is>
      </c>
      <c r="W678" t="n">
        <v>18960</v>
      </c>
      <c r="X678" s="3" t="n">
        <v>0</v>
      </c>
      <c r="Y678" t="inlineStr"/>
      <c r="Z678" t="inlineStr"/>
      <c r="AA678" s="3" t="n">
        <v>18960</v>
      </c>
      <c r="AB678" t="inlineStr">
        <is>
          <t>Сошлось по ночным тарифам</t>
        </is>
      </c>
      <c r="AC678" s="2" t="inlineStr"/>
      <c r="AD678" t="n">
        <v>0</v>
      </c>
      <c r="AE678" t="n">
        <v>0</v>
      </c>
      <c r="AF678" t="inlineStr">
        <is>
          <t>Скидки нет</t>
        </is>
      </c>
      <c r="AG678" t="n">
        <v>18960</v>
      </c>
      <c r="AH678" t="n">
        <v>18960</v>
      </c>
      <c r="AI678" t="inlineStr">
        <is>
          <t>Полное проживание в выбранном периоде</t>
        </is>
      </c>
    </row>
    <row r="679">
      <c r="A679" t="inlineStr">
        <is>
          <t>20260908-8186-464310952</t>
        </is>
      </c>
      <c r="B679" t="n">
        <v>1</v>
      </c>
      <c r="C679" s="2" t="inlineStr">
        <is>
          <t>Наталия Купцова</t>
        </is>
      </c>
      <c r="D679" s="3" t="n">
        <v>19908</v>
      </c>
      <c r="E679" s="4" t="n">
        <v>16</v>
      </c>
      <c r="F679" t="inlineStr">
        <is>
          <t>ООО "БРОНИРОВАНИЕ ГОСТИНИЦ" (OSTROVOK) [Чайковский]</t>
        </is>
      </c>
      <c r="G679" s="3">
        <f>ROUND(D679/(100-E679)*100,2)</f>
        <v/>
      </c>
      <c r="H679" s="3" t="n">
        <v>0</v>
      </c>
      <c r="I679" s="3">
        <f>ROUND(IF(ISNUMBER(AG679),AG679,G679)+H679,2)</f>
        <v/>
      </c>
      <c r="J679" s="2" t="inlineStr">
        <is>
          <t>Завтрак "Шведский стол"</t>
        </is>
      </c>
      <c r="K679" s="5" t="n">
        <v>46273.58333333334</v>
      </c>
      <c r="L679" t="n">
        <v>3</v>
      </c>
      <c r="M679" s="3">
        <f>I679/L679</f>
        <v/>
      </c>
      <c r="N679">
        <f>IF(M679&gt;=5100,"ставка","мин.ставка")</f>
        <v/>
      </c>
      <c r="O679" s="3">
        <f>ROUND(IF(N679="мин.ставка",L679*100,I679/102*2),2)</f>
        <v/>
      </c>
      <c r="P679" s="5" t="n">
        <v>46276.5</v>
      </c>
      <c r="Q679" t="inlineStr">
        <is>
          <t>TravelLine OTK</t>
        </is>
      </c>
      <c r="R679" s="2" t="inlineStr">
        <is>
          <t>СТАНДАРТНЫЙ ДВУХМЕСТНЫЙ НОМЕР (МАНСАРДА)</t>
        </is>
      </c>
      <c r="S679" t="n">
        <v>45</v>
      </c>
      <c r="T679" t="n">
        <v>1</v>
      </c>
      <c r="U679" t="inlineStr"/>
      <c r="V679" t="inlineStr">
        <is>
          <t>Тариф с завтраком</t>
        </is>
      </c>
      <c r="W679" t="n">
        <v>19908</v>
      </c>
      <c r="X679" s="3" t="n">
        <v>3792</v>
      </c>
      <c r="Y679" t="inlineStr">
        <is>
          <t>16%</t>
        </is>
      </c>
      <c r="Z679" t="inlineStr">
        <is>
          <t>2026-09-08, 2026-09-09, 2026-09-10</t>
        </is>
      </c>
      <c r="AA679" s="3" t="n">
        <v>19908</v>
      </c>
      <c r="AB679" t="inlineStr">
        <is>
          <t>Сошлось по ночным тарифам</t>
        </is>
      </c>
      <c r="AC679" s="2" t="inlineStr"/>
      <c r="AD679" t="n">
        <v>3792</v>
      </c>
      <c r="AE679" t="n">
        <v>0</v>
      </c>
      <c r="AF679" t="inlineStr">
        <is>
          <t>Скидка добавлена к налоговой базе</t>
        </is>
      </c>
      <c r="AG679" t="n">
        <v>23700</v>
      </c>
      <c r="AH679" t="n">
        <v>19908</v>
      </c>
      <c r="AI679" t="inlineStr">
        <is>
          <t>Полное проживание в выбранном периоде</t>
        </is>
      </c>
    </row>
    <row r="680">
      <c r="A680" t="inlineStr">
        <is>
          <t>20260809-8186-451680118</t>
        </is>
      </c>
      <c r="B680" t="n">
        <v>1</v>
      </c>
      <c r="C680" s="2" t="inlineStr">
        <is>
          <t>НАТАЛИЯ СЛОБОДЯНЮК, ЕЛЕНА БЕЛОВА</t>
        </is>
      </c>
      <c r="D680" s="3" t="n">
        <v>48060</v>
      </c>
      <c r="E680" s="4" t="n">
        <v>0</v>
      </c>
      <c r="F680" t="inlineStr">
        <is>
          <t>Прямые бронирования (стойка) [Чайковский]</t>
        </is>
      </c>
      <c r="G680" s="3">
        <f>ROUND(D680/(100-E680)*100,2)</f>
        <v/>
      </c>
      <c r="H680" s="3" t="n">
        <v>0</v>
      </c>
      <c r="I680" s="3">
        <f>ROUND(IF(ISNUMBER(AG680),AG680,G680)+H680,2)</f>
        <v/>
      </c>
      <c r="J680" s="2" t="inlineStr">
        <is>
          <t>Завтрак "Шведский стол"</t>
        </is>
      </c>
      <c r="K680" s="5" t="n">
        <v>46243.58333333334</v>
      </c>
      <c r="L680" t="n">
        <v>4</v>
      </c>
      <c r="M680" s="3">
        <f>I680/L680</f>
        <v/>
      </c>
      <c r="N680">
        <f>IF(M680&gt;=5100,"ставка","мин.ставка")</f>
        <v/>
      </c>
      <c r="O680" s="3">
        <f>ROUND(IF(N680="мин.ставка",L680*100,I680/102*2),2)</f>
        <v/>
      </c>
      <c r="P680" s="5" t="n">
        <v>46247.5</v>
      </c>
      <c r="Q680" t="inlineStr">
        <is>
          <t>TravelLine ресепшен</t>
        </is>
      </c>
      <c r="R680" s="2" t="inlineStr">
        <is>
          <t>СТАНДАРТНЫЙ ДВУХМЕСТНЫЙ НОМЕР</t>
        </is>
      </c>
      <c r="S680" t="n">
        <v>33</v>
      </c>
      <c r="T680" t="n">
        <v>1</v>
      </c>
      <c r="U680" t="inlineStr"/>
      <c r="V680" t="inlineStr">
        <is>
          <t>Тариф с завтраком</t>
        </is>
      </c>
      <c r="W680" t="n">
        <v>48060</v>
      </c>
      <c r="X680" s="3" t="n">
        <v>5340</v>
      </c>
      <c r="Y680" t="inlineStr">
        <is>
          <t>10%</t>
        </is>
      </c>
      <c r="Z680" t="inlineStr">
        <is>
          <t>2026-08-09, 2026-08-10, 2026-08-11, 2026-08-12</t>
        </is>
      </c>
      <c r="AA680" s="3" t="n">
        <v>48060</v>
      </c>
      <c r="AB680" t="inlineStr">
        <is>
          <t>Сошлось по ночным тарифам</t>
        </is>
      </c>
      <c r="AC680" s="2" t="inlineStr"/>
      <c r="AD680" t="n">
        <v>5340</v>
      </c>
      <c r="AE680" t="n">
        <v>0</v>
      </c>
      <c r="AF680" t="inlineStr">
        <is>
          <t>Скидка добавлена к налоговой базе</t>
        </is>
      </c>
      <c r="AG680" t="n">
        <v>53400</v>
      </c>
      <c r="AH680" t="n">
        <v>48060</v>
      </c>
      <c r="AI680" t="inlineStr">
        <is>
          <t>Полное проживание в выбранном периоде</t>
        </is>
      </c>
    </row>
    <row r="681">
      <c r="A681" t="inlineStr">
        <is>
          <t>20260915-8186-456399111</t>
        </is>
      </c>
      <c r="B681" t="n">
        <v>1</v>
      </c>
      <c r="C681" s="2" t="inlineStr">
        <is>
          <t>Наталия Титова</t>
        </is>
      </c>
      <c r="D681" s="3" t="n">
        <v>22700</v>
      </c>
      <c r="E681" s="4" t="n">
        <v>0</v>
      </c>
      <c r="F681" t="inlineStr">
        <is>
          <t>Прямые бронирования (стойка) [Чайковский]</t>
        </is>
      </c>
      <c r="G681" s="3">
        <f>ROUND(D681/(100-E681)*100,2)</f>
        <v/>
      </c>
      <c r="H681" s="3" t="n">
        <v>0</v>
      </c>
      <c r="I681" s="3">
        <f>ROUND(IF(ISNUMBER(AG681),AG681,G681)+H681,2)</f>
        <v/>
      </c>
      <c r="J681" s="2" t="inlineStr">
        <is>
          <t>Завтрак "Шведский стол"</t>
        </is>
      </c>
      <c r="K681" s="5" t="n">
        <v>46280.58333333334</v>
      </c>
      <c r="L681" t="n">
        <v>2</v>
      </c>
      <c r="M681" s="3">
        <f>I681/L681</f>
        <v/>
      </c>
      <c r="N681">
        <f>IF(M681&gt;=5100,"ставка","мин.ставка")</f>
        <v/>
      </c>
      <c r="O681" s="3">
        <f>ROUND(IF(N681="мин.ставка",L681*100,I681/102*2),2)</f>
        <v/>
      </c>
      <c r="P681" s="5" t="n">
        <v>46282.5</v>
      </c>
      <c r="Q681" t="inlineStr">
        <is>
          <t>TravelLine ресепшен</t>
        </is>
      </c>
      <c r="R681" s="2" t="inlineStr">
        <is>
          <t>СТАНДАРТНЫЙ ДВУХМЕСТНЫЙ НОМЕР</t>
        </is>
      </c>
      <c r="S681" t="n">
        <v>23</v>
      </c>
      <c r="T681" t="n">
        <v>1</v>
      </c>
      <c r="U681" t="inlineStr"/>
      <c r="V681" t="inlineStr">
        <is>
          <t>Тариф с завтраком</t>
        </is>
      </c>
      <c r="W681" t="n">
        <v>22700</v>
      </c>
      <c r="X681" s="3" t="n">
        <v>0</v>
      </c>
      <c r="Y681" t="inlineStr"/>
      <c r="Z681" t="inlineStr"/>
      <c r="AA681" s="3" t="n">
        <v>22700</v>
      </c>
      <c r="AB681" t="inlineStr">
        <is>
          <t>Сошлось по ночным тарифам</t>
        </is>
      </c>
      <c r="AC681" s="2" t="inlineStr"/>
      <c r="AD681" t="n">
        <v>0</v>
      </c>
      <c r="AE681" t="n">
        <v>0</v>
      </c>
      <c r="AF681" t="inlineStr">
        <is>
          <t>Скидки нет</t>
        </is>
      </c>
      <c r="AG681" t="n">
        <v>22700</v>
      </c>
      <c r="AH681" t="n">
        <v>22700</v>
      </c>
      <c r="AI681" t="inlineStr">
        <is>
          <t>Полное проживание в выбранном периоде</t>
        </is>
      </c>
    </row>
    <row r="682">
      <c r="A682" t="inlineStr">
        <is>
          <t>20260726-8186-423278923</t>
        </is>
      </c>
      <c r="B682" t="n">
        <v>1</v>
      </c>
      <c r="C682" s="2" t="inlineStr">
        <is>
          <t>Наталия Шлеёнкова, Сергей Щлеёнков</t>
        </is>
      </c>
      <c r="D682" s="3" t="n">
        <v>45390</v>
      </c>
      <c r="E682" s="4" t="n">
        <v>0</v>
      </c>
      <c r="F682" t="inlineStr">
        <is>
          <t>ООО «ХОМЛИН ЛЭНД» (ПЕГАС) [Чайковский]</t>
        </is>
      </c>
      <c r="G682" s="3">
        <f>ROUND(D682/(100-E682)*100,2)</f>
        <v/>
      </c>
      <c r="H682" s="3" t="n">
        <v>0</v>
      </c>
      <c r="I682" s="3">
        <f>ROUND(IF(ISNUMBER(AG682),AG682,G682)+H682,2)</f>
        <v/>
      </c>
      <c r="J682" s="2" t="inlineStr">
        <is>
          <t>Завтрак "Шведский стол"</t>
        </is>
      </c>
      <c r="K682" s="5" t="n">
        <v>46229.58333333334</v>
      </c>
      <c r="L682" t="n">
        <v>4</v>
      </c>
      <c r="M682" s="3">
        <f>I682/L682</f>
        <v/>
      </c>
      <c r="N682">
        <f>IF(M682&gt;=5100,"ставка","мин.ставка")</f>
        <v/>
      </c>
      <c r="O682" s="3">
        <f>ROUND(IF(N682="мин.ставка",L682*100,I682/102*2),2)</f>
        <v/>
      </c>
      <c r="P682" s="5" t="n">
        <v>46233.5</v>
      </c>
      <c r="Q682" t="inlineStr">
        <is>
          <t>TravelLine PGS</t>
        </is>
      </c>
      <c r="R682" s="2" t="inlineStr">
        <is>
          <t>СТАНДАРТНЫЙ ДВУХМЕСТНЫЙ НОМЕР</t>
        </is>
      </c>
      <c r="S682" t="n">
        <v>32</v>
      </c>
      <c r="T682" t="n">
        <v>1</v>
      </c>
      <c r="U682" t="inlineStr"/>
      <c r="V682" t="inlineStr">
        <is>
          <t>Тариф с завтраком</t>
        </is>
      </c>
      <c r="W682" t="n">
        <v>45390</v>
      </c>
      <c r="X682" s="3" t="n">
        <v>8010</v>
      </c>
      <c r="Y682" t="inlineStr">
        <is>
          <t>15%</t>
        </is>
      </c>
      <c r="Z682" t="inlineStr">
        <is>
          <t>2026-07-26, 2026-07-27, 2026-07-28, 2026-07-29</t>
        </is>
      </c>
      <c r="AA682" s="3" t="n">
        <v>45390</v>
      </c>
      <c r="AB682" t="inlineStr">
        <is>
          <t>Сошлось по ночным тарифам</t>
        </is>
      </c>
      <c r="AC682" s="2" t="inlineStr"/>
      <c r="AD682" t="n">
        <v>8010</v>
      </c>
      <c r="AE682" t="n">
        <v>0</v>
      </c>
      <c r="AF682" t="inlineStr">
        <is>
          <t>Скидка добавлена к налоговой базе</t>
        </is>
      </c>
      <c r="AG682" t="n">
        <v>53400</v>
      </c>
      <c r="AH682" t="n">
        <v>45390</v>
      </c>
      <c r="AI682" t="inlineStr">
        <is>
          <t>Полное проживание в выбранном периоде</t>
        </is>
      </c>
    </row>
    <row r="683">
      <c r="A683" t="inlineStr">
        <is>
          <t>20260910-8186-427551341</t>
        </is>
      </c>
      <c r="B683" t="n">
        <v>1</v>
      </c>
      <c r="C683" s="2" t="inlineStr">
        <is>
          <t>НАТАЛИЯ ШТЕРКЕЛЬ, Екатерина Мигуля</t>
        </is>
      </c>
      <c r="D683" s="3" t="n">
        <v>36045</v>
      </c>
      <c r="E683" s="4" t="n">
        <v>0</v>
      </c>
      <c r="F683" t="inlineStr">
        <is>
          <t>Прямые бронирования (стойка) [Чайковский]</t>
        </is>
      </c>
      <c r="G683" s="3">
        <f>ROUND(D683/(100-E683)*100,2)</f>
        <v/>
      </c>
      <c r="H683" s="3" t="n">
        <v>0</v>
      </c>
      <c r="I683" s="3">
        <f>ROUND(IF(ISNUMBER(AG683),AG683,G683)+H683,2)</f>
        <v/>
      </c>
      <c r="J683" s="2" t="inlineStr">
        <is>
          <t>Завтрак "Шведский стол"</t>
        </is>
      </c>
      <c r="K683" s="5" t="n">
        <v>46275.58333333334</v>
      </c>
      <c r="L683" t="n">
        <v>3</v>
      </c>
      <c r="M683" s="3">
        <f>I683/L683</f>
        <v/>
      </c>
      <c r="N683">
        <f>IF(M683&gt;=5100,"ставка","мин.ставка")</f>
        <v/>
      </c>
      <c r="O683" s="3">
        <f>ROUND(IF(N683="мин.ставка",L683*100,I683/102*2),2)</f>
        <v/>
      </c>
      <c r="P683" s="5" t="n">
        <v>46278.5</v>
      </c>
      <c r="Q683" t="inlineStr">
        <is>
          <t>TravelLine ресепшен</t>
        </is>
      </c>
      <c r="R683" s="2" t="inlineStr">
        <is>
          <t>СТАНДАРТНЫЙ ДВУХМЕСТНЫЙ НОМЕР</t>
        </is>
      </c>
      <c r="S683" t="n">
        <v>42</v>
      </c>
      <c r="T683" t="n">
        <v>1</v>
      </c>
      <c r="U683" t="inlineStr"/>
      <c r="V683" t="inlineStr">
        <is>
          <t>Тариф с завтраком</t>
        </is>
      </c>
      <c r="W683" t="n">
        <v>216270</v>
      </c>
      <c r="X683" s="3" t="n">
        <v>4005</v>
      </c>
      <c r="Y683" t="inlineStr">
        <is>
          <t>10%</t>
        </is>
      </c>
      <c r="Z683" t="inlineStr">
        <is>
          <t>2026-09-10, 2026-09-11, 2026-09-12</t>
        </is>
      </c>
      <c r="AA683" s="3" t="n">
        <v>36045</v>
      </c>
      <c r="AB683" t="inlineStr">
        <is>
          <t>Сошлось по ночным тарифам</t>
        </is>
      </c>
      <c r="AC683" s="2" t="inlineStr"/>
      <c r="AD683" t="n">
        <v>4005</v>
      </c>
      <c r="AE683" t="n">
        <v>0</v>
      </c>
      <c r="AF683" t="inlineStr">
        <is>
          <t>Скидка добавлена к налоговой базе</t>
        </is>
      </c>
      <c r="AG683" t="n">
        <v>40050</v>
      </c>
      <c r="AH683" t="n">
        <v>36045</v>
      </c>
      <c r="AI683" t="inlineStr">
        <is>
          <t>Полное проживание в выбранном периоде</t>
        </is>
      </c>
    </row>
    <row r="684">
      <c r="A684" t="inlineStr">
        <is>
          <t>20260815-8186-458640858</t>
        </is>
      </c>
      <c r="B684" t="n">
        <v>1</v>
      </c>
      <c r="C684" s="2" t="inlineStr">
        <is>
          <t>Наталия Элуашвили</t>
        </is>
      </c>
      <c r="D684" s="3" t="n">
        <v>10215</v>
      </c>
      <c r="E684" s="4" t="n">
        <v>0</v>
      </c>
      <c r="F684" t="inlineStr">
        <is>
          <t>Прямые бронирования (стойка) [Чайковский]</t>
        </is>
      </c>
      <c r="G684" s="3">
        <f>ROUND(D684/(100-E684)*100,2)</f>
        <v/>
      </c>
      <c r="H684" s="3" t="n">
        <v>0</v>
      </c>
      <c r="I684" s="3">
        <f>ROUND(IF(ISNUMBER(AG684),AG684,G684)+H684,2)</f>
        <v/>
      </c>
      <c r="J684" s="2" t="inlineStr">
        <is>
          <t>Завтрак "Шведский стол"</t>
        </is>
      </c>
      <c r="K684" s="5" t="n">
        <v>46249.58333333334</v>
      </c>
      <c r="L684" t="n">
        <v>1</v>
      </c>
      <c r="M684" s="3">
        <f>I684/L684</f>
        <v/>
      </c>
      <c r="N684">
        <f>IF(M684&gt;=5100,"ставка","мин.ставка")</f>
        <v/>
      </c>
      <c r="O684" s="3">
        <f>ROUND(IF(N684="мин.ставка",L684*100,I684/102*2),2)</f>
        <v/>
      </c>
      <c r="P684" s="5" t="n">
        <v>46250.5</v>
      </c>
      <c r="Q684" t="inlineStr">
        <is>
          <t>TravelLine ресепшен</t>
        </is>
      </c>
      <c r="R684" s="2" t="inlineStr">
        <is>
          <t>СТАНДАРТНЫЙ ДВУХМЕСТНЫЙ НОМЕР</t>
        </is>
      </c>
      <c r="S684" t="n">
        <v>44</v>
      </c>
      <c r="T684" t="n">
        <v>1</v>
      </c>
      <c r="U684" t="inlineStr"/>
      <c r="V684" t="inlineStr">
        <is>
          <t>Тариф с завтраком</t>
        </is>
      </c>
      <c r="W684" t="n">
        <v>10215</v>
      </c>
      <c r="X684" s="3" t="n">
        <v>1135</v>
      </c>
      <c r="Y684" t="inlineStr">
        <is>
          <t>10%</t>
        </is>
      </c>
      <c r="Z684" t="inlineStr">
        <is>
          <t>2026-08-15</t>
        </is>
      </c>
      <c r="AA684" s="3" t="n">
        <v>10215</v>
      </c>
      <c r="AB684" t="inlineStr">
        <is>
          <t>Сошлось по ночным тарифам</t>
        </is>
      </c>
      <c r="AC684" s="2" t="inlineStr"/>
      <c r="AD684" t="n">
        <v>1135</v>
      </c>
      <c r="AE684" t="n">
        <v>0</v>
      </c>
      <c r="AF684" t="inlineStr">
        <is>
          <t>Скидка добавлена к налоговой базе</t>
        </is>
      </c>
      <c r="AG684" t="n">
        <v>11350</v>
      </c>
      <c r="AH684" t="n">
        <v>10215</v>
      </c>
      <c r="AI684" t="inlineStr">
        <is>
          <t>Полное проживание в выбранном периоде</t>
        </is>
      </c>
    </row>
    <row r="685">
      <c r="A685" t="inlineStr">
        <is>
          <t>20260710-8186-442591146</t>
        </is>
      </c>
      <c r="B685" t="n">
        <v>1</v>
      </c>
      <c r="C685" s="2" t="inlineStr">
        <is>
          <t>Наталья Анохина, Анна Анохина</t>
        </is>
      </c>
      <c r="D685" s="3" t="n">
        <v>15988.5</v>
      </c>
      <c r="E685" s="4" t="n">
        <v>4</v>
      </c>
      <c r="F685" t="inlineStr">
        <is>
          <t>TravelLine Booking Engine [Чайковский]</t>
        </is>
      </c>
      <c r="G685" s="3">
        <f>ROUND(D685/(100-E685)*100,2)</f>
        <v/>
      </c>
      <c r="H685" s="3" t="n">
        <v>0</v>
      </c>
      <c r="I685" s="3">
        <f>ROUND(IF(ISNUMBER(AG685),AG685,G685)+H685,2)</f>
        <v/>
      </c>
      <c r="J685" s="2" t="inlineStr">
        <is>
          <t>Завтрак "Шведский стол"</t>
        </is>
      </c>
      <c r="K685" s="5" t="n">
        <v>46213.58333333334</v>
      </c>
      <c r="L685" t="n">
        <v>1</v>
      </c>
      <c r="M685" s="3">
        <f>I685/L685</f>
        <v/>
      </c>
      <c r="N685">
        <f>IF(M685&gt;=5100,"ставка","мин.ставка")</f>
        <v/>
      </c>
      <c r="O685" s="3">
        <f>ROUND(IF(N685="мин.ставка",L685*100,I685/102*2),2)</f>
        <v/>
      </c>
      <c r="P685" s="5" t="n">
        <v>46214.5</v>
      </c>
      <c r="Q685" t="inlineStr">
        <is>
          <t>TravelLine сайт</t>
        </is>
      </c>
      <c r="R685" s="2" t="inlineStr">
        <is>
          <t>ПОЛУЛЮКС</t>
        </is>
      </c>
      <c r="S685" t="n">
        <v>25</v>
      </c>
      <c r="T685" t="n">
        <v>1</v>
      </c>
      <c r="U685" t="inlineStr"/>
      <c r="V685" t="inlineStr">
        <is>
          <t>Тариф с завтраком</t>
        </is>
      </c>
      <c r="W685" t="n">
        <v>15988.5</v>
      </c>
      <c r="X685" s="3" t="n">
        <v>511.5</v>
      </c>
      <c r="Y685" t="inlineStr">
        <is>
          <t>3.1%</t>
        </is>
      </c>
      <c r="Z685" t="inlineStr">
        <is>
          <t>2026-07-10</t>
        </is>
      </c>
      <c r="AA685" s="3" t="n">
        <v>15988.5</v>
      </c>
      <c r="AB685" t="inlineStr">
        <is>
          <t>Сошлось по ночным тарифам</t>
        </is>
      </c>
      <c r="AC685" s="2" t="inlineStr"/>
      <c r="AD685" t="n">
        <v>511.5</v>
      </c>
      <c r="AE685" t="n">
        <v>0</v>
      </c>
      <c r="AF685" t="inlineStr">
        <is>
          <t>Скидка добавлена к налоговой базе</t>
        </is>
      </c>
      <c r="AG685" t="n">
        <v>16500</v>
      </c>
      <c r="AH685" t="n">
        <v>15988.5</v>
      </c>
      <c r="AI685" t="inlineStr">
        <is>
          <t>Полное проживание в выбранном периоде</t>
        </is>
      </c>
    </row>
    <row r="686">
      <c r="A686" t="inlineStr">
        <is>
          <t>20260904-8186-459092255</t>
        </is>
      </c>
      <c r="B686" t="n">
        <v>1</v>
      </c>
      <c r="C686" s="2" t="inlineStr">
        <is>
          <t>Наталья Бехтерева, Антон Бехтерев</t>
        </is>
      </c>
      <c r="D686" s="3" t="n">
        <v>98488.5</v>
      </c>
      <c r="E686" s="4" t="n">
        <v>4</v>
      </c>
      <c r="F686" t="inlineStr">
        <is>
          <t>TravelLine Booking Engine [Чайковский]</t>
        </is>
      </c>
      <c r="G686" s="3">
        <f>ROUND(D686/(100-E686)*100,2)</f>
        <v/>
      </c>
      <c r="H686" s="3" t="n">
        <v>0</v>
      </c>
      <c r="I686" s="3">
        <f>ROUND(IF(ISNUMBER(AG686),AG686,G686)+H686,2)</f>
        <v/>
      </c>
      <c r="J686" s="2" t="inlineStr">
        <is>
          <t>Завтрак "Шведский стол"</t>
        </is>
      </c>
      <c r="K686" s="5" t="n">
        <v>46269.58333333334</v>
      </c>
      <c r="L686" t="n">
        <v>6</v>
      </c>
      <c r="M686" s="3">
        <f>I686/L686</f>
        <v/>
      </c>
      <c r="N686">
        <f>IF(M686&gt;=5100,"ставка","мин.ставка")</f>
        <v/>
      </c>
      <c r="O686" s="3">
        <f>ROUND(IF(N686="мин.ставка",L686*100,I686/102*2),2)</f>
        <v/>
      </c>
      <c r="P686" s="5" t="n">
        <v>46275.5</v>
      </c>
      <c r="Q686" t="inlineStr">
        <is>
          <t>TravelLine сайт</t>
        </is>
      </c>
      <c r="R686" s="2" t="inlineStr">
        <is>
          <t>ПОЛУЛЮКС</t>
        </is>
      </c>
      <c r="S686" t="n">
        <v>11</v>
      </c>
      <c r="T686" t="n">
        <v>1</v>
      </c>
      <c r="U686" t="inlineStr"/>
      <c r="V686" t="inlineStr">
        <is>
          <t>Тариф с завтраком</t>
        </is>
      </c>
      <c r="W686" t="n">
        <v>98488.5</v>
      </c>
      <c r="X686" s="3" t="n">
        <v>511.5</v>
      </c>
      <c r="Y686" t="inlineStr">
        <is>
          <t>3.1%</t>
        </is>
      </c>
      <c r="Z686" t="inlineStr">
        <is>
          <t>2026-09-04</t>
        </is>
      </c>
      <c r="AA686" s="3" t="n">
        <v>98488.5</v>
      </c>
      <c r="AB686" t="inlineStr">
        <is>
          <t>Сошлось по ночным тарифам</t>
        </is>
      </c>
      <c r="AC686" s="2" t="inlineStr"/>
      <c r="AD686" t="n">
        <v>511.5</v>
      </c>
      <c r="AE686" t="n">
        <v>0</v>
      </c>
      <c r="AF686" t="inlineStr">
        <is>
          <t>Скидка добавлена к налоговой базе</t>
        </is>
      </c>
      <c r="AG686" t="n">
        <v>99000</v>
      </c>
      <c r="AH686" t="n">
        <v>98488.5</v>
      </c>
      <c r="AI686" t="inlineStr">
        <is>
          <t>Полное проживание в выбранном периоде</t>
        </is>
      </c>
    </row>
    <row r="687">
      <c r="A687" t="inlineStr">
        <is>
          <t>20260807-8186-402291252</t>
        </is>
      </c>
      <c r="B687" t="n">
        <v>1</v>
      </c>
      <c r="C687" s="2" t="inlineStr">
        <is>
          <t>НАТАЛЬЯ БОРИСОВА</t>
        </is>
      </c>
      <c r="D687" s="3" t="n">
        <v>20790</v>
      </c>
      <c r="E687" s="4" t="n">
        <v>0</v>
      </c>
      <c r="F687" t="inlineStr">
        <is>
          <t>Прямые бронирования (стойка) [Чайковский]</t>
        </is>
      </c>
      <c r="G687" s="3">
        <f>ROUND(D687/(100-E687)*100,2)</f>
        <v/>
      </c>
      <c r="H687" s="3" t="n">
        <v>0</v>
      </c>
      <c r="I687" s="3">
        <f>ROUND(IF(ISNUMBER(AG687),AG687,G687)+H687,2)</f>
        <v/>
      </c>
      <c r="J687" s="2" t="inlineStr">
        <is>
          <t>Завтрак "Шведский стол"</t>
        </is>
      </c>
      <c r="K687" s="5" t="n">
        <v>46241.58333333334</v>
      </c>
      <c r="L687" t="n">
        <v>3</v>
      </c>
      <c r="M687" s="3">
        <f>I687/L687</f>
        <v/>
      </c>
      <c r="N687">
        <f>IF(M687&gt;=5100,"ставка","мин.ставка")</f>
        <v/>
      </c>
      <c r="O687" s="3">
        <f>ROUND(IF(N687="мин.ставка",L687*100,I687/102*2),2)</f>
        <v/>
      </c>
      <c r="P687" s="5" t="n">
        <v>46244.5</v>
      </c>
      <c r="Q687" t="inlineStr">
        <is>
          <t>TravelLine ресепшен</t>
        </is>
      </c>
      <c r="R687" s="2" t="inlineStr">
        <is>
          <t>СТАНДАРТНЫЙ ОДНОМЕСТНЫЙ НОМЕР</t>
        </is>
      </c>
      <c r="S687" t="n">
        <v>24</v>
      </c>
      <c r="T687" t="n">
        <v>1</v>
      </c>
      <c r="U687" t="inlineStr"/>
      <c r="V687" t="inlineStr">
        <is>
          <t>Тариф с завтраком</t>
        </is>
      </c>
      <c r="W687" t="n">
        <v>20790</v>
      </c>
      <c r="X687" s="3" t="n">
        <v>2310</v>
      </c>
      <c r="Y687" t="inlineStr">
        <is>
          <t>10%</t>
        </is>
      </c>
      <c r="Z687" t="inlineStr">
        <is>
          <t>2026-08-07, 2026-08-08, 2026-08-09</t>
        </is>
      </c>
      <c r="AA687" s="3" t="n">
        <v>20790</v>
      </c>
      <c r="AB687" t="inlineStr">
        <is>
          <t>Сошлось по ночным тарифам</t>
        </is>
      </c>
      <c r="AC687" s="2" t="inlineStr"/>
      <c r="AD687" t="n">
        <v>2310</v>
      </c>
      <c r="AE687" t="n">
        <v>0</v>
      </c>
      <c r="AF687" t="inlineStr">
        <is>
          <t>Скидка добавлена к налоговой базе</t>
        </is>
      </c>
      <c r="AG687" t="n">
        <v>23100</v>
      </c>
      <c r="AH687" t="n">
        <v>20790</v>
      </c>
      <c r="AI687" t="inlineStr">
        <is>
          <t>Полное проживание в выбранном периоде</t>
        </is>
      </c>
    </row>
    <row r="688">
      <c r="A688" t="inlineStr">
        <is>
          <t>20260906-8186-464058568</t>
        </is>
      </c>
      <c r="B688" t="n">
        <v>1</v>
      </c>
      <c r="C688" s="2" t="inlineStr">
        <is>
          <t>Наталья Волнянская, ВИКТОР ПРОЦЕНКО</t>
        </is>
      </c>
      <c r="D688" s="3" t="n">
        <v>27720</v>
      </c>
      <c r="E688" s="4" t="n">
        <v>0</v>
      </c>
      <c r="F688" t="inlineStr">
        <is>
          <t>Прямые бронирования (стойка) [Чайковский]</t>
        </is>
      </c>
      <c r="G688" s="3">
        <f>ROUND(D688/(100-E688)*100,2)</f>
        <v/>
      </c>
      <c r="H688" s="3" t="n">
        <v>1520</v>
      </c>
      <c r="I688" s="3">
        <f>ROUND(IF(ISNUMBER(AG688),AG688,G688)+H688,2)</f>
        <v/>
      </c>
      <c r="J688" s="2" t="inlineStr">
        <is>
          <t>продление номера — 1 520,00 ₽; Завтрак "Шведский стол"</t>
        </is>
      </c>
      <c r="K688" s="5" t="n">
        <v>46271.58333333334</v>
      </c>
      <c r="L688" t="n">
        <v>2</v>
      </c>
      <c r="M688" s="3">
        <f>I688/L688</f>
        <v/>
      </c>
      <c r="N688">
        <f>IF(M688&gt;=5100,"ставка","мин.ставка")</f>
        <v/>
      </c>
      <c r="O688" s="3">
        <f>ROUND(IF(N688="мин.ставка",L688*100,I688/102*2),2)</f>
        <v/>
      </c>
      <c r="P688" s="5" t="n">
        <v>46273.5</v>
      </c>
      <c r="Q688" t="inlineStr">
        <is>
          <t>TravelLine ресепшен</t>
        </is>
      </c>
      <c r="R688" s="2" t="inlineStr">
        <is>
          <t>УЛУЧШЕННЫЙ ДВУХМЕСТНЫЙ НОМЕР</t>
        </is>
      </c>
      <c r="S688" t="n">
        <v>56</v>
      </c>
      <c r="T688" t="n">
        <v>2</v>
      </c>
      <c r="U688" t="inlineStr"/>
      <c r="V688" t="inlineStr">
        <is>
          <t>Тариф с завтраком</t>
        </is>
      </c>
      <c r="W688" t="n">
        <v>29240</v>
      </c>
      <c r="X688" s="3" t="n">
        <v>3080</v>
      </c>
      <c r="Y688" t="inlineStr">
        <is>
          <t>10%</t>
        </is>
      </c>
      <c r="Z688" t="inlineStr">
        <is>
          <t>2026-09-06, 2026-09-07</t>
        </is>
      </c>
      <c r="AA688" s="3" t="n">
        <v>27720</v>
      </c>
      <c r="AB688" t="inlineStr">
        <is>
          <t>Сошлось с услугами</t>
        </is>
      </c>
      <c r="AC688" s="2" t="inlineStr"/>
      <c r="AD688" t="n">
        <v>3080</v>
      </c>
      <c r="AE688" t="n">
        <v>0</v>
      </c>
      <c r="AF688" t="inlineStr">
        <is>
          <t>Скидка добавлена к налоговой базе</t>
        </is>
      </c>
      <c r="AG688" t="n">
        <v>30800</v>
      </c>
      <c r="AH688" t="n">
        <v>27720</v>
      </c>
      <c r="AI688" t="inlineStr">
        <is>
          <t>Полное проживание в выбранном периоде</t>
        </is>
      </c>
    </row>
    <row r="689">
      <c r="A689" t="inlineStr">
        <is>
          <t>20260812-8186-432301165</t>
        </is>
      </c>
      <c r="B689" t="n">
        <v>1</v>
      </c>
      <c r="C689" s="2" t="inlineStr">
        <is>
          <t>Наталья Гончарова, София Цугуй</t>
        </is>
      </c>
      <c r="D689" s="3" t="n">
        <v>12320</v>
      </c>
      <c r="E689" s="4" t="n">
        <v>18</v>
      </c>
      <c r="F689" t="inlineStr">
        <is>
          <t>Яндекс.Путешествия [Чайковский]</t>
        </is>
      </c>
      <c r="G689" s="3">
        <f>ROUND(D689/(100-E689)*100,2)</f>
        <v/>
      </c>
      <c r="H689" s="3" t="n">
        <v>0</v>
      </c>
      <c r="I689" s="3">
        <f>ROUND(IF(ISNUMBER(AG689),AG689,G689)+H689,2)</f>
        <v/>
      </c>
      <c r="J689" s="2" t="inlineStr">
        <is>
          <t>Завтрак "Шведский стол"</t>
        </is>
      </c>
      <c r="K689" s="5" t="n">
        <v>46247.58333333334</v>
      </c>
      <c r="L689" t="n">
        <v>1</v>
      </c>
      <c r="M689" s="3">
        <f>I689/L689</f>
        <v/>
      </c>
      <c r="N689">
        <f>IF(M689&gt;=5100,"ставка","мин.ставка")</f>
        <v/>
      </c>
      <c r="O689" s="3">
        <f>ROUND(IF(N689="мин.ставка",L689*100,I689/102*2),2)</f>
        <v/>
      </c>
      <c r="P689" s="5" t="n">
        <v>46248.5</v>
      </c>
      <c r="Q689" t="inlineStr">
        <is>
          <t>TravelLine YAX</t>
        </is>
      </c>
      <c r="R689" s="2" t="inlineStr">
        <is>
          <t>УЛУЧШЕННЫЙ ДВУХМЕСТНЫЙ НОМЕР</t>
        </is>
      </c>
      <c r="S689" t="n">
        <v>31</v>
      </c>
      <c r="T689" t="n">
        <v>1</v>
      </c>
      <c r="U689" t="inlineStr"/>
      <c r="V689" t="inlineStr">
        <is>
          <t>Тариф с завтраком</t>
        </is>
      </c>
      <c r="W689" t="n">
        <v>12320</v>
      </c>
      <c r="X689" s="3" t="n">
        <v>3080</v>
      </c>
      <c r="Y689" t="inlineStr">
        <is>
          <t>20%</t>
        </is>
      </c>
      <c r="Z689" t="inlineStr">
        <is>
          <t>2026-08-13</t>
        </is>
      </c>
      <c r="AA689" s="3" t="n">
        <v>12320</v>
      </c>
      <c r="AB689" t="inlineStr">
        <is>
          <t>Сошлось по ночным тарифам</t>
        </is>
      </c>
      <c r="AC689" s="2" t="inlineStr"/>
      <c r="AD689" t="n">
        <v>3080</v>
      </c>
      <c r="AE689" t="n">
        <v>0</v>
      </c>
      <c r="AF689" t="inlineStr">
        <is>
          <t>Скидка добавлена к налоговой базе</t>
        </is>
      </c>
      <c r="AG689" t="n">
        <v>15400</v>
      </c>
      <c r="AH689" t="n">
        <v>12320</v>
      </c>
      <c r="AI689" t="inlineStr">
        <is>
          <t>Полное проживание в выбранном периоде</t>
        </is>
      </c>
    </row>
    <row r="690">
      <c r="A690" t="inlineStr">
        <is>
          <t>20260814-8186-443750002</t>
        </is>
      </c>
      <c r="B690" t="n">
        <v>1</v>
      </c>
      <c r="C690" s="2" t="inlineStr">
        <is>
          <t>Наталья Гончарова, София Цугуй</t>
        </is>
      </c>
      <c r="D690" s="3" t="n">
        <v>12320</v>
      </c>
      <c r="E690" s="4" t="n">
        <v>18</v>
      </c>
      <c r="F690" t="inlineStr">
        <is>
          <t>Яндекс.Путешествия [Чайковский]</t>
        </is>
      </c>
      <c r="G690" s="3">
        <f>ROUND(D690/(100-E690)*100,2)</f>
        <v/>
      </c>
      <c r="H690" s="3" t="n">
        <v>0</v>
      </c>
      <c r="I690" s="3">
        <f>ROUND(IF(ISNUMBER(AG690),AG690,G690)+H690,2)</f>
        <v/>
      </c>
      <c r="J690" s="2" t="inlineStr">
        <is>
          <t>Завтрак "Шведский стол"</t>
        </is>
      </c>
      <c r="K690" s="5" t="n">
        <v>46248.58333333334</v>
      </c>
      <c r="L690" t="n">
        <v>1</v>
      </c>
      <c r="M690" s="3">
        <f>I690/L690</f>
        <v/>
      </c>
      <c r="N690">
        <f>IF(M690&gt;=5100,"ставка","мин.ставка")</f>
        <v/>
      </c>
      <c r="O690" s="3">
        <f>ROUND(IF(N690="мин.ставка",L690*100,I690/102*2),2)</f>
        <v/>
      </c>
      <c r="P690" s="5" t="n">
        <v>46249.5</v>
      </c>
      <c r="Q690" t="inlineStr">
        <is>
          <t>TravelLine YAX</t>
        </is>
      </c>
      <c r="R690" s="2" t="inlineStr">
        <is>
          <t>УЛУЧШЕННЫЙ ДВУХМЕСТНЫЙ НОМЕР</t>
        </is>
      </c>
      <c r="S690" t="n">
        <v>31</v>
      </c>
      <c r="T690" t="n">
        <v>1</v>
      </c>
      <c r="U690" t="inlineStr"/>
      <c r="V690" t="inlineStr">
        <is>
          <t>Тариф с завтраком</t>
        </is>
      </c>
      <c r="W690" t="n">
        <v>12320</v>
      </c>
      <c r="X690" s="3" t="n">
        <v>3080</v>
      </c>
      <c r="Y690" t="inlineStr">
        <is>
          <t>20%</t>
        </is>
      </c>
      <c r="Z690" t="inlineStr">
        <is>
          <t>2026-08-14</t>
        </is>
      </c>
      <c r="AA690" s="3" t="n">
        <v>12320</v>
      </c>
      <c r="AB690" t="inlineStr">
        <is>
          <t>Сошлось по ночным тарифам</t>
        </is>
      </c>
      <c r="AC690" s="2" t="inlineStr"/>
      <c r="AD690" t="n">
        <v>3080</v>
      </c>
      <c r="AE690" t="n">
        <v>0</v>
      </c>
      <c r="AF690" t="inlineStr">
        <is>
          <t>Скидка добавлена к налоговой базе</t>
        </is>
      </c>
      <c r="AG690" t="n">
        <v>15400</v>
      </c>
      <c r="AH690" t="n">
        <v>12320</v>
      </c>
      <c r="AI690" t="inlineStr">
        <is>
          <t>Полное проживание в выбранном периоде</t>
        </is>
      </c>
    </row>
    <row r="691">
      <c r="A691" t="inlineStr">
        <is>
          <t>20260826-8186-453545439</t>
        </is>
      </c>
      <c r="B691" t="n">
        <v>1</v>
      </c>
      <c r="C691" s="2" t="inlineStr">
        <is>
          <t>Наталья Горшкова, Илья Ивлев</t>
        </is>
      </c>
      <c r="D691" s="3" t="n">
        <v>10680</v>
      </c>
      <c r="E691" s="4" t="n">
        <v>20</v>
      </c>
      <c r="F691" t="inlineStr">
        <is>
          <t>ООО "КОМПАНИЯ БРОНЕВИК" [Чайковский]</t>
        </is>
      </c>
      <c r="G691" s="3">
        <f>ROUND(D691/(100-E691)*100,2)</f>
        <v/>
      </c>
      <c r="H691" s="3" t="n">
        <v>0</v>
      </c>
      <c r="I691" s="3">
        <f>ROUND(IF(ISNUMBER(AG691),AG691,G691)+H691,2)</f>
        <v/>
      </c>
      <c r="J691" s="2" t="inlineStr">
        <is>
          <t>Завтрак "Шведский стол"</t>
        </is>
      </c>
      <c r="K691" s="5" t="n">
        <v>46260.58333333334</v>
      </c>
      <c r="L691" t="n">
        <v>1</v>
      </c>
      <c r="M691" s="3">
        <f>I691/L691</f>
        <v/>
      </c>
      <c r="N691">
        <f>IF(M691&gt;=5100,"ставка","мин.ставка")</f>
        <v/>
      </c>
      <c r="O691" s="3">
        <f>ROUND(IF(N691="мин.ставка",L691*100,I691/102*2),2)</f>
        <v/>
      </c>
      <c r="P691" s="5" t="n">
        <v>46261.5</v>
      </c>
      <c r="Q691" t="inlineStr">
        <is>
          <t>TravelLine BR2</t>
        </is>
      </c>
      <c r="R691" s="2" t="inlineStr">
        <is>
          <t>СТАНДАРТНЫЙ ДВУХМЕСТНЫЙ НОМЕР</t>
        </is>
      </c>
      <c r="S691" t="n">
        <v>32</v>
      </c>
      <c r="T691" t="n">
        <v>1</v>
      </c>
      <c r="U691" t="inlineStr"/>
      <c r="V691" t="inlineStr">
        <is>
          <t>Тариф с завтраком</t>
        </is>
      </c>
      <c r="W691" t="n">
        <v>10680</v>
      </c>
      <c r="X691" s="3" t="n">
        <v>0</v>
      </c>
      <c r="Y691" t="inlineStr"/>
      <c r="Z691" t="inlineStr"/>
      <c r="AA691" s="3" t="n">
        <v>10680</v>
      </c>
      <c r="AB691" t="inlineStr">
        <is>
          <t>Сошлось по ночным тарифам</t>
        </is>
      </c>
      <c r="AC691" s="2" t="inlineStr"/>
      <c r="AD691" t="n">
        <v>0</v>
      </c>
      <c r="AE691" t="n">
        <v>0</v>
      </c>
      <c r="AF691" t="inlineStr">
        <is>
          <t>Скидки нет</t>
        </is>
      </c>
      <c r="AG691" t="n">
        <v>10680</v>
      </c>
      <c r="AH691" t="n">
        <v>10680</v>
      </c>
      <c r="AI691" t="inlineStr">
        <is>
          <t>Полное проживание в выбранном периоде</t>
        </is>
      </c>
    </row>
    <row r="692">
      <c r="A692" t="inlineStr">
        <is>
          <t>20260708-8186-426313855</t>
        </is>
      </c>
      <c r="B692" t="n">
        <v>1</v>
      </c>
      <c r="C692" s="2" t="inlineStr">
        <is>
          <t>НАТАЛЬЯ ДЕРНОВА, Виталий Савельев</t>
        </is>
      </c>
      <c r="D692" s="3" t="n">
        <v>71200</v>
      </c>
      <c r="E692" s="4" t="n">
        <v>4</v>
      </c>
      <c r="F692" t="inlineStr">
        <is>
          <t>TravelLine Booking Engine [Чайковский]</t>
        </is>
      </c>
      <c r="G692" s="3">
        <f>ROUND(D692/(100-E692)*100,2)</f>
        <v/>
      </c>
      <c r="H692" s="3" t="n">
        <v>1900</v>
      </c>
      <c r="I692" s="3">
        <f>ROUND(IF(ISNUMBER(AG692),AG692,G692)+H692,2)</f>
        <v/>
      </c>
      <c r="J692" s="2" t="inlineStr">
        <is>
          <t>продление номера — 1 600,00 ₽; продление номера — 300,00 ₽; Завтрак "Шведский стол"</t>
        </is>
      </c>
      <c r="K692" s="5" t="n">
        <v>46211.58333333334</v>
      </c>
      <c r="L692" t="n">
        <v>4</v>
      </c>
      <c r="M692" s="3">
        <f>I692/L692</f>
        <v/>
      </c>
      <c r="N692">
        <f>IF(M692&gt;=5100,"ставка","мин.ставка")</f>
        <v/>
      </c>
      <c r="O692" s="3">
        <f>ROUND(IF(N692="мин.ставка",L692*100,I692/102*2),2)</f>
        <v/>
      </c>
      <c r="P692" s="5" t="n">
        <v>46215.5</v>
      </c>
      <c r="Q692" t="inlineStr">
        <is>
          <t>TravelLine сайт</t>
        </is>
      </c>
      <c r="R692" s="2" t="inlineStr">
        <is>
          <t>ЛЮКС</t>
        </is>
      </c>
      <c r="S692" t="n">
        <v>54</v>
      </c>
      <c r="T692" t="n">
        <v>2</v>
      </c>
      <c r="U692" t="inlineStr"/>
      <c r="V692" t="inlineStr">
        <is>
          <t>Тариф с завтраком</t>
        </is>
      </c>
      <c r="W692" t="n">
        <v>73100</v>
      </c>
      <c r="X692" s="3" t="n">
        <v>0</v>
      </c>
      <c r="Y692" t="inlineStr"/>
      <c r="Z692" t="inlineStr"/>
      <c r="AA692" s="3" t="n">
        <v>71200</v>
      </c>
      <c r="AB692" t="inlineStr">
        <is>
          <t>Сошлось с услугами</t>
        </is>
      </c>
      <c r="AC692" s="2" t="inlineStr"/>
      <c r="AD692" t="n">
        <v>0</v>
      </c>
      <c r="AE692" t="n">
        <v>0</v>
      </c>
      <c r="AF692" t="inlineStr">
        <is>
          <t>Скидки нет</t>
        </is>
      </c>
      <c r="AG692" t="n">
        <v>71200</v>
      </c>
      <c r="AH692" t="n">
        <v>71200</v>
      </c>
      <c r="AI692" t="inlineStr">
        <is>
          <t>Полное проживание в выбранном периоде</t>
        </is>
      </c>
    </row>
    <row r="693">
      <c r="A693" t="inlineStr">
        <is>
          <t>20260915-8186-459193237</t>
        </is>
      </c>
      <c r="B693" t="n">
        <v>1</v>
      </c>
      <c r="C693" s="2" t="inlineStr">
        <is>
          <t>Наталья Жукова</t>
        </is>
      </c>
      <c r="D693" s="3" t="n">
        <v>27921</v>
      </c>
      <c r="E693" s="4" t="n">
        <v>18</v>
      </c>
      <c r="F693" t="inlineStr">
        <is>
          <t>ООО "Эй энд Эй" [Чайковский]</t>
        </is>
      </c>
      <c r="G693" s="3">
        <f>ROUND(D693/(100-E693)*100,2)</f>
        <v/>
      </c>
      <c r="H693" s="3" t="n">
        <v>0</v>
      </c>
      <c r="I693" s="3">
        <f>ROUND(IF(ISNUMBER(AG693),AG693,G693)+H693,2)</f>
        <v/>
      </c>
      <c r="J693" s="2" t="inlineStr">
        <is>
          <t>Завтрак "Шведский стол"</t>
        </is>
      </c>
      <c r="K693" s="5" t="n">
        <v>46280.58333333334</v>
      </c>
      <c r="L693" t="n">
        <v>3</v>
      </c>
      <c r="M693" s="3">
        <f>I693/L693</f>
        <v/>
      </c>
      <c r="N693">
        <f>IF(M693&gt;=5100,"ставка","мин.ставка")</f>
        <v/>
      </c>
      <c r="O693" s="3">
        <f>ROUND(IF(N693="мин.ставка",L693*100,I693/102*2),2)</f>
        <v/>
      </c>
      <c r="P693" s="5" t="n">
        <v>46283.5</v>
      </c>
      <c r="Q693" t="inlineStr">
        <is>
          <t>TravelLine ANA</t>
        </is>
      </c>
      <c r="R693" s="2" t="inlineStr">
        <is>
          <t>СТАНДАРТНЫЙ ДВУХМЕСТНЫЙ НОМЕР</t>
        </is>
      </c>
      <c r="S693" t="n">
        <v>58</v>
      </c>
      <c r="T693" t="n">
        <v>2</v>
      </c>
      <c r="U693" t="inlineStr"/>
      <c r="V693" t="inlineStr">
        <is>
          <t>Тариф с завтраком</t>
        </is>
      </c>
      <c r="W693" t="n">
        <v>27921</v>
      </c>
      <c r="X693" s="3" t="n">
        <v>6129</v>
      </c>
      <c r="Y693" t="inlineStr">
        <is>
          <t>18%</t>
        </is>
      </c>
      <c r="Z693" t="inlineStr">
        <is>
          <t>2026-09-15, 2026-09-16, 2026-09-17</t>
        </is>
      </c>
      <c r="AA693" s="3" t="n">
        <v>27921</v>
      </c>
      <c r="AB693" t="inlineStr">
        <is>
          <t>Сошлось по ночным тарифам</t>
        </is>
      </c>
      <c r="AC693" s="2" t="inlineStr"/>
      <c r="AD693" t="n">
        <v>6129</v>
      </c>
      <c r="AE693" t="n">
        <v>0</v>
      </c>
      <c r="AF693" t="inlineStr">
        <is>
          <t>Скидка добавлена к налоговой базе</t>
        </is>
      </c>
      <c r="AG693" t="n">
        <v>34050</v>
      </c>
      <c r="AH693" t="n">
        <v>27921</v>
      </c>
      <c r="AI693" t="inlineStr">
        <is>
          <t>Полное проживание в выбранном периоде</t>
        </is>
      </c>
    </row>
    <row r="694">
      <c r="A694" t="inlineStr">
        <is>
          <t>20260722-8186-452072624</t>
        </is>
      </c>
      <c r="B694" t="n">
        <v>1</v>
      </c>
      <c r="C694" s="2" t="inlineStr">
        <is>
          <t>Наталья Жукова, Владимир Жуков</t>
        </is>
      </c>
      <c r="D694" s="3" t="n">
        <v>13860</v>
      </c>
      <c r="E694" s="4" t="n">
        <v>0</v>
      </c>
      <c r="F694" t="inlineStr">
        <is>
          <t>Прямые бронирования (стойка) [Чайковский]</t>
        </is>
      </c>
      <c r="G694" s="3">
        <f>ROUND(D694/(100-E694)*100,2)</f>
        <v/>
      </c>
      <c r="H694" s="3" t="n">
        <v>240</v>
      </c>
      <c r="I694" s="3">
        <f>ROUND(IF(ISNUMBER(AG694),AG694,G694)+H694,2)</f>
        <v/>
      </c>
      <c r="J694" s="2" t="inlineStr">
        <is>
          <t>продление номера — 240,00 ₽; Завтрак "Шведский стол"</t>
        </is>
      </c>
      <c r="K694" s="5" t="n">
        <v>46225.58333333334</v>
      </c>
      <c r="L694" t="n">
        <v>1</v>
      </c>
      <c r="M694" s="3">
        <f>I694/L694</f>
        <v/>
      </c>
      <c r="N694">
        <f>IF(M694&gt;=5100,"ставка","мин.ставка")</f>
        <v/>
      </c>
      <c r="O694" s="3">
        <f>ROUND(IF(N694="мин.ставка",L694*100,I694/102*2),2)</f>
        <v/>
      </c>
      <c r="P694" s="5" t="n">
        <v>46226.5</v>
      </c>
      <c r="Q694" t="inlineStr">
        <is>
          <t>TravelLine ресепшен</t>
        </is>
      </c>
      <c r="R694" s="2" t="inlineStr">
        <is>
          <t>УЛУЧШЕННЫЙ ДВУХМЕСТНЫЙ НОМЕР</t>
        </is>
      </c>
      <c r="S694" t="n">
        <v>21</v>
      </c>
      <c r="T694" t="n">
        <v>1</v>
      </c>
      <c r="U694" t="inlineStr"/>
      <c r="V694" t="inlineStr">
        <is>
          <t>Тариф с завтраком</t>
        </is>
      </c>
      <c r="W694" t="n">
        <v>14100</v>
      </c>
      <c r="X694" s="3" t="n">
        <v>1540</v>
      </c>
      <c r="Y694" t="inlineStr">
        <is>
          <t>10%</t>
        </is>
      </c>
      <c r="Z694" t="inlineStr">
        <is>
          <t>2026-07-22</t>
        </is>
      </c>
      <c r="AA694" s="3" t="n">
        <v>13860</v>
      </c>
      <c r="AB694" t="inlineStr">
        <is>
          <t>Сошлось с услугами</t>
        </is>
      </c>
      <c r="AC694" s="2" t="inlineStr"/>
      <c r="AD694" t="n">
        <v>1540</v>
      </c>
      <c r="AE694" t="n">
        <v>0</v>
      </c>
      <c r="AF694" t="inlineStr">
        <is>
          <t>Скидка добавлена к налоговой базе</t>
        </is>
      </c>
      <c r="AG694" t="n">
        <v>15400</v>
      </c>
      <c r="AH694" t="n">
        <v>13860</v>
      </c>
      <c r="AI694" t="inlineStr">
        <is>
          <t>Полное проживание в выбранном периоде</t>
        </is>
      </c>
    </row>
    <row r="695">
      <c r="A695" t="inlineStr">
        <is>
          <t>20260729-8186-446530257</t>
        </is>
      </c>
      <c r="B695" t="n">
        <v>1</v>
      </c>
      <c r="C695" s="2" t="inlineStr">
        <is>
          <t>Наталья Жукова, Владимир Жуков</t>
        </is>
      </c>
      <c r="D695" s="3" t="n">
        <v>12015</v>
      </c>
      <c r="E695" s="4" t="n">
        <v>0</v>
      </c>
      <c r="F695" t="inlineStr">
        <is>
          <t>Прямые бронирования (стойка) [Чайковский]</t>
        </is>
      </c>
      <c r="G695" s="3">
        <f>ROUND(D695/(100-E695)*100,2)</f>
        <v/>
      </c>
      <c r="H695" s="3" t="n">
        <v>0</v>
      </c>
      <c r="I695" s="3">
        <f>ROUND(IF(ISNUMBER(AG695),AG695,G695)+H695,2)</f>
        <v/>
      </c>
      <c r="J695" s="2" t="inlineStr">
        <is>
          <t>Завтрак "Шведский стол"</t>
        </is>
      </c>
      <c r="K695" s="5" t="n">
        <v>46232.58333333334</v>
      </c>
      <c r="L695" t="n">
        <v>1</v>
      </c>
      <c r="M695" s="3">
        <f>I695/L695</f>
        <v/>
      </c>
      <c r="N695">
        <f>IF(M695&gt;=5100,"ставка","мин.ставка")</f>
        <v/>
      </c>
      <c r="O695" s="3">
        <f>ROUND(IF(N695="мин.ставка",L695*100,I695/102*2),2)</f>
        <v/>
      </c>
      <c r="P695" s="5" t="n">
        <v>46233.5</v>
      </c>
      <c r="Q695" t="inlineStr">
        <is>
          <t>TravelLine ресепшен</t>
        </is>
      </c>
      <c r="R695" s="2" t="inlineStr">
        <is>
          <t>СТАНДАРТНЫЙ ДВУХМЕСТНЫЙ НОМЕР</t>
        </is>
      </c>
      <c r="S695" t="n">
        <v>23</v>
      </c>
      <c r="T695" t="n">
        <v>1</v>
      </c>
      <c r="U695" t="inlineStr"/>
      <c r="V695" t="inlineStr">
        <is>
          <t>Тариф с завтраком</t>
        </is>
      </c>
      <c r="W695" t="n">
        <v>12015</v>
      </c>
      <c r="X695" s="3" t="n">
        <v>1335</v>
      </c>
      <c r="Y695" t="inlineStr">
        <is>
          <t>10%</t>
        </is>
      </c>
      <c r="Z695" t="inlineStr">
        <is>
          <t>2026-07-29</t>
        </is>
      </c>
      <c r="AA695" s="3" t="n">
        <v>12015</v>
      </c>
      <c r="AB695" t="inlineStr">
        <is>
          <t>Сошлось по ночным тарифам</t>
        </is>
      </c>
      <c r="AC695" s="2" t="inlineStr"/>
      <c r="AD695" t="n">
        <v>1335</v>
      </c>
      <c r="AE695" t="n">
        <v>0</v>
      </c>
      <c r="AF695" t="inlineStr">
        <is>
          <t>Скидка добавлена к налоговой базе</t>
        </is>
      </c>
      <c r="AG695" t="n">
        <v>13350</v>
      </c>
      <c r="AH695" t="n">
        <v>12015</v>
      </c>
      <c r="AI695" t="inlineStr">
        <is>
          <t>Полное проживание в выбранном периоде</t>
        </is>
      </c>
    </row>
    <row r="696">
      <c r="A696" t="inlineStr">
        <is>
          <t>20260801-8186-453170442</t>
        </is>
      </c>
      <c r="B696" t="n">
        <v>1</v>
      </c>
      <c r="C696" s="2" t="inlineStr">
        <is>
          <t>Наталья Зайковская</t>
        </is>
      </c>
      <c r="D696" s="3" t="n">
        <v>9751.5</v>
      </c>
      <c r="E696" s="4" t="n">
        <v>4</v>
      </c>
      <c r="F696" t="inlineStr">
        <is>
          <t>TravelLine Booking Engine [Чайковский]</t>
        </is>
      </c>
      <c r="G696" s="3">
        <f>ROUND(D696/(100-E696)*100,2)</f>
        <v/>
      </c>
      <c r="H696" s="3" t="n">
        <v>0</v>
      </c>
      <c r="I696" s="3">
        <f>ROUND(IF(ISNUMBER(AG696),AG696,G696)+H696,2)</f>
        <v/>
      </c>
      <c r="J696" s="2" t="inlineStr">
        <is>
          <t>Завтрак "Шведский стол"</t>
        </is>
      </c>
      <c r="K696" s="5" t="n">
        <v>46235.58333333334</v>
      </c>
      <c r="L696" t="n">
        <v>1</v>
      </c>
      <c r="M696" s="3">
        <f>I696/L696</f>
        <v/>
      </c>
      <c r="N696">
        <f>IF(M696&gt;=5100,"ставка","мин.ставка")</f>
        <v/>
      </c>
      <c r="O696" s="3">
        <f>ROUND(IF(N696="мин.ставка",L696*100,I696/102*2),2)</f>
        <v/>
      </c>
      <c r="P696" s="5" t="n">
        <v>46236.5</v>
      </c>
      <c r="Q696" t="inlineStr">
        <is>
          <t>TravelLine сайт</t>
        </is>
      </c>
      <c r="R696" s="2" t="inlineStr">
        <is>
          <t>СТАНДАРТНЫЙ ДВУХМЕСТНЫЙ НОМЕР (МАНСАРДА)</t>
        </is>
      </c>
      <c r="S696" t="n">
        <v>41</v>
      </c>
      <c r="T696" t="n">
        <v>1</v>
      </c>
      <c r="U696" t="inlineStr"/>
      <c r="V696" t="inlineStr">
        <is>
          <t>Тариф с завтраком</t>
        </is>
      </c>
      <c r="W696" t="n">
        <v>9751.5</v>
      </c>
      <c r="X696" s="3" t="n">
        <v>148.5</v>
      </c>
      <c r="Y696" t="inlineStr">
        <is>
          <t>1.5%</t>
        </is>
      </c>
      <c r="Z696" t="inlineStr">
        <is>
          <t>2026-08-01</t>
        </is>
      </c>
      <c r="AA696" s="3" t="n">
        <v>9751.5</v>
      </c>
      <c r="AB696" t="inlineStr">
        <is>
          <t>Сошлось по ночным тарифам</t>
        </is>
      </c>
      <c r="AC696" s="2" t="inlineStr"/>
      <c r="AD696" t="n">
        <v>148.5</v>
      </c>
      <c r="AE696" t="n">
        <v>0</v>
      </c>
      <c r="AF696" t="inlineStr">
        <is>
          <t>Скидка добавлена к налоговой базе</t>
        </is>
      </c>
      <c r="AG696" t="n">
        <v>9900</v>
      </c>
      <c r="AH696" t="n">
        <v>9751.5</v>
      </c>
      <c r="AI696" t="inlineStr">
        <is>
          <t>Полное проживание в выбранном периоде</t>
        </is>
      </c>
    </row>
    <row r="697">
      <c r="A697" t="inlineStr">
        <is>
          <t>20260721-8186-440916013</t>
        </is>
      </c>
      <c r="B697" t="n">
        <v>1</v>
      </c>
      <c r="C697" s="2" t="inlineStr">
        <is>
          <t>Наталья Зайлер</t>
        </is>
      </c>
      <c r="D697" s="3" t="n">
        <v>43500</v>
      </c>
      <c r="E697" s="4" t="n">
        <v>0</v>
      </c>
      <c r="F697" t="inlineStr">
        <is>
          <t>Прямые бронирования (стойка) [Чайковский]</t>
        </is>
      </c>
      <c r="G697" s="3">
        <f>ROUND(D697/(100-E697)*100,2)</f>
        <v/>
      </c>
      <c r="H697" s="3" t="n">
        <v>0</v>
      </c>
      <c r="I697" s="3">
        <f>ROUND(IF(ISNUMBER(AG697),AG697,G697)+H697,2)</f>
        <v/>
      </c>
      <c r="J697" s="2" t="inlineStr">
        <is>
          <t>Завтрак "Шведский стол"</t>
        </is>
      </c>
      <c r="K697" s="5" t="n">
        <v>46224.58333333334</v>
      </c>
      <c r="L697" t="n">
        <v>3</v>
      </c>
      <c r="M697" s="3">
        <f>I697/L697</f>
        <v/>
      </c>
      <c r="N697">
        <f>IF(M697&gt;=5100,"ставка","мин.ставка")</f>
        <v/>
      </c>
      <c r="O697" s="3">
        <f>ROUND(IF(N697="мин.ставка",L697*100,I697/102*2),2)</f>
        <v/>
      </c>
      <c r="P697" s="5" t="n">
        <v>46227.5</v>
      </c>
      <c r="Q697" t="inlineStr">
        <is>
          <t>TravelLine ресепшен</t>
        </is>
      </c>
      <c r="R697" s="2" t="inlineStr">
        <is>
          <t>ПОЛУЛЮКС</t>
        </is>
      </c>
      <c r="S697" t="n">
        <v>25</v>
      </c>
      <c r="T697" t="n">
        <v>1</v>
      </c>
      <c r="U697" t="inlineStr"/>
      <c r="V697" t="inlineStr">
        <is>
          <t>Тариф с завтраком</t>
        </is>
      </c>
      <c r="W697" t="n">
        <v>43500</v>
      </c>
      <c r="X697" s="3" t="n">
        <v>0</v>
      </c>
      <c r="Y697" t="inlineStr"/>
      <c r="Z697" t="inlineStr"/>
      <c r="AA697" s="3" t="n">
        <v>43500</v>
      </c>
      <c r="AB697" t="inlineStr">
        <is>
          <t>Сошлось по ночным тарифам</t>
        </is>
      </c>
      <c r="AC697" s="2" t="inlineStr"/>
      <c r="AD697" t="n">
        <v>0</v>
      </c>
      <c r="AE697" t="n">
        <v>0</v>
      </c>
      <c r="AF697" t="inlineStr">
        <is>
          <t>Скидки нет</t>
        </is>
      </c>
      <c r="AG697" t="n">
        <v>43500</v>
      </c>
      <c r="AH697" t="n">
        <v>43500</v>
      </c>
      <c r="AI697" t="inlineStr">
        <is>
          <t>Полное проживание в выбранном периоде</t>
        </is>
      </c>
    </row>
    <row r="698">
      <c r="A698" t="inlineStr">
        <is>
          <t>20260907-8186-464187956</t>
        </is>
      </c>
      <c r="B698" t="n">
        <v>1</v>
      </c>
      <c r="C698" s="2" t="inlineStr">
        <is>
          <t>Наталья Зарубина</t>
        </is>
      </c>
      <c r="D698" s="3" t="n">
        <v>5925</v>
      </c>
      <c r="E698" s="4" t="n">
        <v>18</v>
      </c>
      <c r="F698" t="inlineStr">
        <is>
          <t>Яндекс.Путешествия [Чайковский]</t>
        </is>
      </c>
      <c r="G698" s="3">
        <f>ROUND(D698/(100-E698)*100,2)</f>
        <v/>
      </c>
      <c r="H698" s="3" t="n">
        <v>0</v>
      </c>
      <c r="I698" s="3">
        <f>ROUND(IF(ISNUMBER(AG698),AG698,G698)+H698,2)</f>
        <v/>
      </c>
      <c r="J698" s="2" t="inlineStr">
        <is>
          <t>Завтрак "Шведский стол"</t>
        </is>
      </c>
      <c r="K698" s="5" t="n">
        <v>46272.58333333334</v>
      </c>
      <c r="L698" t="n">
        <v>1</v>
      </c>
      <c r="M698" s="3">
        <f>I698/L698</f>
        <v/>
      </c>
      <c r="N698">
        <f>IF(M698&gt;=5100,"ставка","мин.ставка")</f>
        <v/>
      </c>
      <c r="O698" s="3">
        <f>ROUND(IF(N698="мин.ставка",L698*100,I698/102*2),2)</f>
        <v/>
      </c>
      <c r="P698" s="5" t="n">
        <v>46273.5</v>
      </c>
      <c r="Q698" t="inlineStr">
        <is>
          <t>TravelLine YAX</t>
        </is>
      </c>
      <c r="R698" s="2" t="inlineStr">
        <is>
          <t>СТАНДАРТНЫЙ ДВУХМЕСТНЫЙ НОМЕР (МАНСАРДА)</t>
        </is>
      </c>
      <c r="S698" t="n">
        <v>47</v>
      </c>
      <c r="T698" t="n">
        <v>1</v>
      </c>
      <c r="U698" t="inlineStr"/>
      <c r="V698" t="inlineStr">
        <is>
          <t>Тариф с завтраком</t>
        </is>
      </c>
      <c r="W698" t="n">
        <v>5925</v>
      </c>
      <c r="X698" s="3" t="n">
        <v>1975</v>
      </c>
      <c r="Y698" t="inlineStr">
        <is>
          <t>25%</t>
        </is>
      </c>
      <c r="Z698" t="inlineStr">
        <is>
          <t>2026-09-07</t>
        </is>
      </c>
      <c r="AA698" s="3" t="n">
        <v>5925</v>
      </c>
      <c r="AB698" t="inlineStr">
        <is>
          <t>Сошлось по ночным тарифам</t>
        </is>
      </c>
      <c r="AC698" s="2" t="inlineStr"/>
      <c r="AD698" t="n">
        <v>1975</v>
      </c>
      <c r="AE698" t="n">
        <v>0</v>
      </c>
      <c r="AF698" t="inlineStr">
        <is>
          <t>Скидка добавлена к налоговой базе</t>
        </is>
      </c>
      <c r="AG698" t="n">
        <v>7900</v>
      </c>
      <c r="AH698" t="n">
        <v>5925</v>
      </c>
      <c r="AI698" t="inlineStr">
        <is>
          <t>Полное проживание в выбранном периоде</t>
        </is>
      </c>
    </row>
    <row r="699">
      <c r="A699" t="inlineStr">
        <is>
          <t>20260831-8186-462545984</t>
        </is>
      </c>
      <c r="B699" t="n">
        <v>1</v>
      </c>
      <c r="C699" s="2" t="inlineStr">
        <is>
          <t>Наталья Карасева, Елена Карасева</t>
        </is>
      </c>
      <c r="D699" s="3" t="n">
        <v>8316</v>
      </c>
      <c r="E699" s="4" t="n">
        <v>16</v>
      </c>
      <c r="F699" t="inlineStr">
        <is>
          <t>ООО "БРОНИРОВАНИЕ ГОСТИНИЦ" (OSTROVOK) [Чайковский]</t>
        </is>
      </c>
      <c r="G699" s="3">
        <f>ROUND(D699/(100-E699)*100,2)</f>
        <v/>
      </c>
      <c r="H699" s="3" t="n">
        <v>0</v>
      </c>
      <c r="I699" s="3">
        <f>ROUND(IF(ISNUMBER(AG699),AG699,G699)+H699,2)</f>
        <v/>
      </c>
      <c r="J699" s="2" t="inlineStr">
        <is>
          <t>Завтрак "Шведский стол"</t>
        </is>
      </c>
      <c r="K699" s="5" t="n">
        <v>46265.58333333334</v>
      </c>
      <c r="L699" t="n">
        <v>1</v>
      </c>
      <c r="M699" s="3">
        <f>I699/L699</f>
        <v/>
      </c>
      <c r="N699">
        <f>IF(M699&gt;=5100,"ставка","мин.ставка")</f>
        <v/>
      </c>
      <c r="O699" s="3">
        <f>ROUND(IF(N699="мин.ставка",L699*100,I699/102*2),2)</f>
        <v/>
      </c>
      <c r="P699" s="5" t="n">
        <v>46266.5</v>
      </c>
      <c r="Q699" t="inlineStr">
        <is>
          <t>TravelLine OTK</t>
        </is>
      </c>
      <c r="R699" s="2" t="inlineStr">
        <is>
          <t>СТАНДАРТНЫЙ ДВУХМЕСТНЫЙ НОМЕР</t>
        </is>
      </c>
      <c r="S699" t="n">
        <v>22</v>
      </c>
      <c r="T699" t="n">
        <v>1</v>
      </c>
      <c r="U699" t="inlineStr"/>
      <c r="V699" t="inlineStr">
        <is>
          <t>Тариф с завтраком</t>
        </is>
      </c>
      <c r="W699" t="n">
        <v>8316</v>
      </c>
      <c r="X699" s="3" t="n">
        <v>1584</v>
      </c>
      <c r="Y699" t="inlineStr">
        <is>
          <t>16%</t>
        </is>
      </c>
      <c r="Z699" t="inlineStr">
        <is>
          <t>2026-08-31</t>
        </is>
      </c>
      <c r="AA699" s="3" t="n">
        <v>8316</v>
      </c>
      <c r="AB699" t="inlineStr">
        <is>
          <t>Сошлось по ночным тарифам</t>
        </is>
      </c>
      <c r="AC699" s="2" t="inlineStr"/>
      <c r="AD699" t="n">
        <v>1584</v>
      </c>
      <c r="AE699" t="n">
        <v>0</v>
      </c>
      <c r="AF699" t="inlineStr">
        <is>
          <t>Скидка добавлена к налоговой базе</t>
        </is>
      </c>
      <c r="AG699" t="n">
        <v>9900</v>
      </c>
      <c r="AH699" t="n">
        <v>8316</v>
      </c>
      <c r="AI699" t="inlineStr">
        <is>
          <t>Полное проживание в выбранном периоде</t>
        </is>
      </c>
    </row>
    <row r="700">
      <c r="A700" t="inlineStr">
        <is>
          <t>20260907-8186-455643629</t>
        </is>
      </c>
      <c r="B700" t="n">
        <v>1</v>
      </c>
      <c r="C700" s="2" t="inlineStr">
        <is>
          <t>Наталья Коноваленко, ВИКТОРИЯ ХРОМОВА</t>
        </is>
      </c>
      <c r="D700" s="3" t="n">
        <v>52986.15</v>
      </c>
      <c r="E700" s="4" t="n">
        <v>4</v>
      </c>
      <c r="F700" t="inlineStr">
        <is>
          <t>TravelLine Booking Engine [Чайковский]</t>
        </is>
      </c>
      <c r="G700" s="3">
        <f>ROUND(D700/(100-E700)*100,2)</f>
        <v/>
      </c>
      <c r="H700" s="3" t="n">
        <v>0</v>
      </c>
      <c r="I700" s="3">
        <f>ROUND(IF(ISNUMBER(AG700),AG700,G700)+H700,2)</f>
        <v/>
      </c>
      <c r="J700" s="2" t="inlineStr">
        <is>
          <t>Завтрак "Шведский стол"</t>
        </is>
      </c>
      <c r="K700" s="5" t="n">
        <v>46272.58333333334</v>
      </c>
      <c r="L700" t="n">
        <v>4</v>
      </c>
      <c r="M700" s="3">
        <f>I700/L700</f>
        <v/>
      </c>
      <c r="N700">
        <f>IF(M700&gt;=5100,"ставка","мин.ставка")</f>
        <v/>
      </c>
      <c r="O700" s="3">
        <f>ROUND(IF(N700="мин.ставка",L700*100,I700/102*2),2)</f>
        <v/>
      </c>
      <c r="P700" s="5" t="n">
        <v>46276.5</v>
      </c>
      <c r="Q700" t="inlineStr">
        <is>
          <t>TravelLine сайт</t>
        </is>
      </c>
      <c r="R700" s="2" t="inlineStr">
        <is>
          <t>СЕМЕЙНЫЙ НОМЕР КАТЕГОРИИ "СТАНДАРТ" ВТОРОЙ КОРПУС</t>
        </is>
      </c>
      <c r="S700" t="n">
        <v>50</v>
      </c>
      <c r="T700" t="n">
        <v>2</v>
      </c>
      <c r="U700" t="inlineStr"/>
      <c r="V700" t="inlineStr">
        <is>
          <t>Тариф с завтраком</t>
        </is>
      </c>
      <c r="W700" t="n">
        <v>52986.15</v>
      </c>
      <c r="X700" s="3" t="n">
        <v>413.85</v>
      </c>
      <c r="Y700" t="inlineStr">
        <is>
          <t>3.1%</t>
        </is>
      </c>
      <c r="Z700" t="inlineStr">
        <is>
          <t>2026-09-07</t>
        </is>
      </c>
      <c r="AA700" s="3" t="n">
        <v>52986.15</v>
      </c>
      <c r="AB700" t="inlineStr">
        <is>
          <t>Сошлось по ночным тарифам</t>
        </is>
      </c>
      <c r="AC700" s="2" t="inlineStr"/>
      <c r="AD700" t="n">
        <v>413.85</v>
      </c>
      <c r="AE700" t="n">
        <v>0</v>
      </c>
      <c r="AF700" t="inlineStr">
        <is>
          <t>Скидка добавлена к налоговой базе</t>
        </is>
      </c>
      <c r="AG700" t="n">
        <v>53400</v>
      </c>
      <c r="AH700" t="n">
        <v>52986.15</v>
      </c>
      <c r="AI700" t="inlineStr">
        <is>
          <t>Полное проживание в выбранном периоде</t>
        </is>
      </c>
    </row>
    <row r="701">
      <c r="A701" t="inlineStr">
        <is>
          <t>20260811-8186-451623831</t>
        </is>
      </c>
      <c r="B701" t="n">
        <v>1</v>
      </c>
      <c r="C701" s="2" t="inlineStr">
        <is>
          <t>Наталья Копейкина, Андрей Копейкин</t>
        </is>
      </c>
      <c r="D701" s="3" t="n">
        <v>26180</v>
      </c>
      <c r="E701" s="4" t="n">
        <v>16</v>
      </c>
      <c r="F701" t="inlineStr">
        <is>
          <t>ООО "БРОНИРОВАНИЕ ГОСТИНИЦ" (OSTROVOK) [Чайковский]</t>
        </is>
      </c>
      <c r="G701" s="3">
        <f>ROUND(D701/(100-E701)*100,2)</f>
        <v/>
      </c>
      <c r="H701" s="3" t="n">
        <v>0</v>
      </c>
      <c r="I701" s="3">
        <f>ROUND(IF(ISNUMBER(AG701),AG701,G701)+H701,2)</f>
        <v/>
      </c>
      <c r="J701" s="2" t="inlineStr">
        <is>
          <t>Завтрак "Шведский стол"</t>
        </is>
      </c>
      <c r="K701" s="5" t="n">
        <v>46245.58333333334</v>
      </c>
      <c r="L701" t="n">
        <v>2</v>
      </c>
      <c r="M701" s="3">
        <f>I701/L701</f>
        <v/>
      </c>
      <c r="N701">
        <f>IF(M701&gt;=5100,"ставка","мин.ставка")</f>
        <v/>
      </c>
      <c r="O701" s="3">
        <f>ROUND(IF(N701="мин.ставка",L701*100,I701/102*2),2)</f>
        <v/>
      </c>
      <c r="P701" s="5" t="n">
        <v>46247.5</v>
      </c>
      <c r="Q701" t="inlineStr">
        <is>
          <t>TravelLine OTK</t>
        </is>
      </c>
      <c r="R701" s="2" t="inlineStr">
        <is>
          <t>УЛУЧШЕННЫЙ ДВУХМЕСТНЫЙ НОМЕР</t>
        </is>
      </c>
      <c r="S701" t="n">
        <v>59</v>
      </c>
      <c r="T701" t="n">
        <v>2</v>
      </c>
      <c r="U701" t="inlineStr"/>
      <c r="V701" t="inlineStr">
        <is>
          <t>Тариф с завтраком</t>
        </is>
      </c>
      <c r="W701" t="n">
        <v>26180</v>
      </c>
      <c r="X701" s="3" t="n">
        <v>4620</v>
      </c>
      <c r="Y701" t="inlineStr">
        <is>
          <t>15%</t>
        </is>
      </c>
      <c r="Z701" t="inlineStr">
        <is>
          <t>2026-08-11, 2026-08-12</t>
        </is>
      </c>
      <c r="AA701" s="3" t="n">
        <v>26180</v>
      </c>
      <c r="AB701" t="inlineStr">
        <is>
          <t>Сошлось по ночным тарифам</t>
        </is>
      </c>
      <c r="AC701" s="2" t="inlineStr"/>
      <c r="AD701" t="n">
        <v>4620</v>
      </c>
      <c r="AE701" t="n">
        <v>0</v>
      </c>
      <c r="AF701" t="inlineStr">
        <is>
          <t>Скидка добавлена к налоговой базе</t>
        </is>
      </c>
      <c r="AG701" t="n">
        <v>30800</v>
      </c>
      <c r="AH701" t="n">
        <v>26180</v>
      </c>
      <c r="AI701" t="inlineStr">
        <is>
          <t>Полное проживание в выбранном периоде</t>
        </is>
      </c>
    </row>
    <row r="702">
      <c r="A702" t="inlineStr">
        <is>
          <t>20260825-8186-460757995</t>
        </is>
      </c>
      <c r="B702" t="n">
        <v>1</v>
      </c>
      <c r="C702" s="2" t="inlineStr">
        <is>
          <t>НАТАЛЬЯ КОРОЛЕВА</t>
        </is>
      </c>
      <c r="D702" s="3" t="n">
        <v>6680</v>
      </c>
      <c r="E702" s="4" t="n">
        <v>17</v>
      </c>
      <c r="F702" t="inlineStr">
        <is>
          <t>ООО «Интернет Трэвел» (OZON) [Чайковский]</t>
        </is>
      </c>
      <c r="G702" s="3">
        <f>ROUND(D702/(100-E702)*100,2)</f>
        <v/>
      </c>
      <c r="H702" s="3" t="n">
        <v>0</v>
      </c>
      <c r="I702" s="3">
        <f>ROUND(IF(ISNUMBER(AG702),AG702,G702)+H702,2)</f>
        <v/>
      </c>
      <c r="J702" s="2" t="inlineStr">
        <is>
          <t>Завтрак "Шведский стол"</t>
        </is>
      </c>
      <c r="K702" s="5" t="n">
        <v>46259.58333333334</v>
      </c>
      <c r="L702" t="n">
        <v>1</v>
      </c>
      <c r="M702" s="3">
        <f>I702/L702</f>
        <v/>
      </c>
      <c r="N702">
        <f>IF(M702&gt;=5100,"ставка","мин.ставка")</f>
        <v/>
      </c>
      <c r="O702" s="3">
        <f>ROUND(IF(N702="мин.ставка",L702*100,I702/102*2),2)</f>
        <v/>
      </c>
      <c r="P702" s="5" t="n">
        <v>46260.5</v>
      </c>
      <c r="Q702" t="inlineStr">
        <is>
          <t>TravelLine OZ2</t>
        </is>
      </c>
      <c r="R702" s="2" t="inlineStr">
        <is>
          <t>СТАНДАРТНЫЙ ОДНОМЕСТНЫЙ НОМЕР</t>
        </is>
      </c>
      <c r="S702" t="n">
        <v>34</v>
      </c>
      <c r="T702" t="n">
        <v>1</v>
      </c>
      <c r="U702" t="inlineStr"/>
      <c r="V702" t="inlineStr">
        <is>
          <t>Тариф с завтраком</t>
        </is>
      </c>
      <c r="W702" t="n">
        <v>6680</v>
      </c>
      <c r="X702" s="3" t="n">
        <v>0</v>
      </c>
      <c r="Y702" t="inlineStr"/>
      <c r="Z702" t="inlineStr"/>
      <c r="AA702" s="3" t="n">
        <v>6680</v>
      </c>
      <c r="AB702" t="inlineStr">
        <is>
          <t>Сошлось по ночным тарифам</t>
        </is>
      </c>
      <c r="AC702" s="2" t="inlineStr"/>
      <c r="AD702" t="n">
        <v>0</v>
      </c>
      <c r="AE702" t="n">
        <v>0</v>
      </c>
      <c r="AF702" t="inlineStr">
        <is>
          <t>Скидки нет</t>
        </is>
      </c>
      <c r="AG702" t="n">
        <v>6680</v>
      </c>
      <c r="AH702" t="n">
        <v>6680</v>
      </c>
      <c r="AI702" t="inlineStr">
        <is>
          <t>Полное проживание в выбранном периоде</t>
        </is>
      </c>
    </row>
    <row r="703">
      <c r="A703" t="inlineStr">
        <is>
          <t>20260701-8186-446759137</t>
        </is>
      </c>
      <c r="B703" t="n">
        <v>1</v>
      </c>
      <c r="C703" s="2" t="inlineStr">
        <is>
          <t>НАТАЛЬЯ ЛЕОСКО</t>
        </is>
      </c>
      <c r="D703" s="3" t="n">
        <v>16560</v>
      </c>
      <c r="E703" s="4" t="n">
        <v>20</v>
      </c>
      <c r="F703" t="inlineStr">
        <is>
          <t>ООО "ХБ-ПРО" [Чайковский]</t>
        </is>
      </c>
      <c r="G703" s="3">
        <f>ROUND(D703/(100-E703)*100,2)</f>
        <v/>
      </c>
      <c r="H703" s="3" t="n">
        <v>0</v>
      </c>
      <c r="I703" s="3">
        <f>ROUND(IF(ISNUMBER(AG703),AG703,G703)+H703,2)</f>
        <v/>
      </c>
      <c r="J703" s="2" t="inlineStr">
        <is>
          <t>Завтрак "Шведский стол"</t>
        </is>
      </c>
      <c r="K703" s="5" t="n">
        <v>46204.58333333334</v>
      </c>
      <c r="L703" t="n">
        <v>2</v>
      </c>
      <c r="M703" s="3">
        <f>I703/L703</f>
        <v/>
      </c>
      <c r="N703">
        <f>IF(M703&gt;=5100,"ставка","мин.ставка")</f>
        <v/>
      </c>
      <c r="O703" s="3">
        <f>ROUND(IF(N703="мин.ставка",L703*100,I703/102*2),2)</f>
        <v/>
      </c>
      <c r="P703" s="5" t="n">
        <v>46206.5</v>
      </c>
      <c r="Q703" t="inlineStr">
        <is>
          <t>TravelLine UTS</t>
        </is>
      </c>
      <c r="R703" s="2" t="inlineStr">
        <is>
          <t>СЕМЕЙНЫЙ НОМЕР КАТЕГОРИИ "СТАНДАРТ" ВТОРОЙ КОРПУС</t>
        </is>
      </c>
      <c r="S703" t="n">
        <v>50</v>
      </c>
      <c r="T703" t="n">
        <v>2</v>
      </c>
      <c r="U703" t="inlineStr"/>
      <c r="V703" t="inlineStr">
        <is>
          <t>Тариф с завтраком</t>
        </is>
      </c>
      <c r="W703" t="n">
        <v>16560</v>
      </c>
      <c r="X703" s="3" t="n">
        <v>0</v>
      </c>
      <c r="Y703" t="inlineStr"/>
      <c r="Z703" t="inlineStr"/>
      <c r="AA703" s="3" t="n">
        <v>16560</v>
      </c>
      <c r="AB703" t="inlineStr">
        <is>
          <t>Сошлось по ночным тарифам</t>
        </is>
      </c>
      <c r="AC703" s="2" t="inlineStr"/>
      <c r="AD703" t="n">
        <v>0</v>
      </c>
      <c r="AE703" t="n">
        <v>0</v>
      </c>
      <c r="AF703" t="inlineStr">
        <is>
          <t>Скидки нет</t>
        </is>
      </c>
      <c r="AG703" t="n">
        <v>16560</v>
      </c>
      <c r="AH703" t="n">
        <v>16560</v>
      </c>
      <c r="AI703" t="inlineStr">
        <is>
          <t>Полное проживание в выбранном периоде</t>
        </is>
      </c>
    </row>
    <row r="704">
      <c r="A704" t="inlineStr">
        <is>
          <t>20260809-8186-419208245</t>
        </is>
      </c>
      <c r="B704" t="n">
        <v>1</v>
      </c>
      <c r="C704" s="2" t="inlineStr">
        <is>
          <t>НАТАЛЬЯ МАКАРОВА, АНДРЕЙ МИХАЛЕВ</t>
        </is>
      </c>
      <c r="D704" s="3" t="n">
        <v>68085</v>
      </c>
      <c r="E704" s="4" t="n">
        <v>16</v>
      </c>
      <c r="F704" t="inlineStr">
        <is>
          <t>ООО "БРОНИРОВАНИЕ ГОСТИНИЦ" (OSTROVOK) [Чайковский]</t>
        </is>
      </c>
      <c r="G704" s="3">
        <f>ROUND(D704/(100-E704)*100,2)</f>
        <v/>
      </c>
      <c r="H704" s="3" t="n">
        <v>0</v>
      </c>
      <c r="I704" s="3">
        <f>ROUND(IF(ISNUMBER(AG704),AG704,G704)+H704,2)</f>
        <v/>
      </c>
      <c r="J704" s="2" t="inlineStr">
        <is>
          <t>Завтрак "Шведский стол"</t>
        </is>
      </c>
      <c r="K704" s="5" t="n">
        <v>46243.58333333334</v>
      </c>
      <c r="L704" t="n">
        <v>6</v>
      </c>
      <c r="M704" s="3">
        <f>I704/L704</f>
        <v/>
      </c>
      <c r="N704">
        <f>IF(M704&gt;=5100,"ставка","мин.ставка")</f>
        <v/>
      </c>
      <c r="O704" s="3">
        <f>ROUND(IF(N704="мин.ставка",L704*100,I704/102*2),2)</f>
        <v/>
      </c>
      <c r="P704" s="5" t="n">
        <v>46249.5</v>
      </c>
      <c r="Q704" t="inlineStr">
        <is>
          <t>TravelLine OTK</t>
        </is>
      </c>
      <c r="R704" s="2" t="inlineStr">
        <is>
          <t>СТАНДАРТНЫЙ ДВУХМЕСТНЫЙ НОМЕР</t>
        </is>
      </c>
      <c r="S704" t="n">
        <v>42</v>
      </c>
      <c r="T704" t="n">
        <v>1</v>
      </c>
      <c r="U704" t="inlineStr"/>
      <c r="V704" t="inlineStr">
        <is>
          <t>Тариф с завтраком</t>
        </is>
      </c>
      <c r="W704" t="n">
        <v>136170</v>
      </c>
      <c r="X704" s="3" t="n">
        <v>12015</v>
      </c>
      <c r="Y704" t="inlineStr">
        <is>
          <t>15%</t>
        </is>
      </c>
      <c r="Z704" t="inlineStr">
        <is>
          <t>2026-08-09, 2026-08-10, 2026-08-11, 2026-08-12, 2026-08-13, 2026-08-14</t>
        </is>
      </c>
      <c r="AA704" s="3" t="n">
        <v>68085</v>
      </c>
      <c r="AB704" t="inlineStr">
        <is>
          <t>Сошлось по ночным тарифам</t>
        </is>
      </c>
      <c r="AC704" s="2" t="inlineStr"/>
      <c r="AD704" t="n">
        <v>12015</v>
      </c>
      <c r="AE704" t="n">
        <v>0</v>
      </c>
      <c r="AF704" t="inlineStr">
        <is>
          <t>Скидка добавлена к налоговой базе</t>
        </is>
      </c>
      <c r="AG704" t="n">
        <v>80100</v>
      </c>
      <c r="AH704" t="n">
        <v>68085</v>
      </c>
      <c r="AI704" t="inlineStr">
        <is>
          <t>Полное проживание в выбранном периоде</t>
        </is>
      </c>
    </row>
    <row r="705">
      <c r="A705" t="inlineStr">
        <is>
          <t>20260721-8186-450735881</t>
        </is>
      </c>
      <c r="B705" t="n">
        <v>1</v>
      </c>
      <c r="C705" s="2" t="inlineStr">
        <is>
          <t>НАТАЛЬЯ НИКОНОВА, Яков Никонов</t>
        </is>
      </c>
      <c r="D705" s="3" t="n">
        <v>37920</v>
      </c>
      <c r="E705" s="4" t="n">
        <v>20</v>
      </c>
      <c r="F705" t="inlineStr">
        <is>
          <t>ООО "ХБ-ПРО" [Чайковский]</t>
        </is>
      </c>
      <c r="G705" s="3">
        <f>ROUND(D705/(100-E705)*100,2)</f>
        <v/>
      </c>
      <c r="H705" s="3" t="n">
        <v>6000</v>
      </c>
      <c r="I705" s="3">
        <f>ROUND(IF(ISNUMBER(AG705),AG705,G705)+H705,2)</f>
        <v/>
      </c>
      <c r="J705" s="2" t="inlineStr">
        <is>
          <t>продление номера — 6 000,00 ₽; Завтрак "Шведский стол"</t>
        </is>
      </c>
      <c r="K705" s="5" t="n">
        <v>46224.58333333334</v>
      </c>
      <c r="L705" t="n">
        <v>3</v>
      </c>
      <c r="M705" s="3">
        <f>I705/L705</f>
        <v/>
      </c>
      <c r="N705">
        <f>IF(M705&gt;=5100,"ставка","мин.ставка")</f>
        <v/>
      </c>
      <c r="O705" s="3">
        <f>ROUND(IF(N705="мин.ставка",L705*100,I705/102*2),2)</f>
        <v/>
      </c>
      <c r="P705" s="5" t="n">
        <v>46227.5</v>
      </c>
      <c r="Q705" t="inlineStr">
        <is>
          <t>TravelLine UTS</t>
        </is>
      </c>
      <c r="R705" s="2" t="inlineStr">
        <is>
          <t>ЛЮКС ВТОРОЙ КОРПУС</t>
        </is>
      </c>
      <c r="S705" t="n">
        <v>57</v>
      </c>
      <c r="T705" t="n">
        <v>2</v>
      </c>
      <c r="U705" t="inlineStr"/>
      <c r="V705" t="inlineStr">
        <is>
          <t>Тариф с завтраком</t>
        </is>
      </c>
      <c r="W705" t="n">
        <v>43920</v>
      </c>
      <c r="X705" s="3" t="n">
        <v>0</v>
      </c>
      <c r="Y705" t="inlineStr"/>
      <c r="Z705" t="inlineStr"/>
      <c r="AA705" s="3" t="n">
        <v>37920</v>
      </c>
      <c r="AB705" t="inlineStr">
        <is>
          <t>Сошлось с услугами</t>
        </is>
      </c>
      <c r="AC705" s="2" t="inlineStr"/>
      <c r="AD705" t="n">
        <v>0</v>
      </c>
      <c r="AE705" t="n">
        <v>0</v>
      </c>
      <c r="AF705" t="inlineStr">
        <is>
          <t>Скидки нет</t>
        </is>
      </c>
      <c r="AG705" t="n">
        <v>37920</v>
      </c>
      <c r="AH705" t="n">
        <v>37920</v>
      </c>
      <c r="AI705" t="inlineStr">
        <is>
          <t>Полное проживание в выбранном периоде</t>
        </is>
      </c>
    </row>
    <row r="706">
      <c r="A706" t="inlineStr">
        <is>
          <t>20260721-8186-440916164</t>
        </is>
      </c>
      <c r="B706" t="n">
        <v>1</v>
      </c>
      <c r="C706" s="2" t="inlineStr">
        <is>
          <t>Наталья Новикова</t>
        </is>
      </c>
      <c r="D706" s="3" t="n">
        <v>34050</v>
      </c>
      <c r="E706" s="4" t="n">
        <v>0</v>
      </c>
      <c r="F706" t="inlineStr">
        <is>
          <t>Прямые бронирования (стойка) [Чайковский]</t>
        </is>
      </c>
      <c r="G706" s="3">
        <f>ROUND(D706/(100-E706)*100,2)</f>
        <v/>
      </c>
      <c r="H706" s="3" t="n">
        <v>0</v>
      </c>
      <c r="I706" s="3">
        <f>ROUND(IF(ISNUMBER(AG706),AG706,G706)+H706,2)</f>
        <v/>
      </c>
      <c r="J706" s="2" t="inlineStr">
        <is>
          <t>Завтрак "Шведский стол"</t>
        </is>
      </c>
      <c r="K706" s="5" t="n">
        <v>46224.58333333334</v>
      </c>
      <c r="L706" t="n">
        <v>3</v>
      </c>
      <c r="M706" s="3">
        <f>I706/L706</f>
        <v/>
      </c>
      <c r="N706">
        <f>IF(M706&gt;=5100,"ставка","мин.ставка")</f>
        <v/>
      </c>
      <c r="O706" s="3">
        <f>ROUND(IF(N706="мин.ставка",L706*100,I706/102*2),2)</f>
        <v/>
      </c>
      <c r="P706" s="5" t="n">
        <v>46227.5</v>
      </c>
      <c r="Q706" t="inlineStr">
        <is>
          <t>TravelLine ресепшен</t>
        </is>
      </c>
      <c r="R706" s="2" t="inlineStr">
        <is>
          <t>СТАНДАРТНЫЙ ДВУХМЕСТНЫЙ НОМЕР</t>
        </is>
      </c>
      <c r="S706" t="n">
        <v>46</v>
      </c>
      <c r="T706" t="n">
        <v>1</v>
      </c>
      <c r="U706" t="inlineStr"/>
      <c r="V706" t="inlineStr">
        <is>
          <t>Тариф с завтраком</t>
        </is>
      </c>
      <c r="W706" t="n">
        <v>34050</v>
      </c>
      <c r="X706" s="3" t="n">
        <v>0</v>
      </c>
      <c r="Y706" t="inlineStr"/>
      <c r="Z706" t="inlineStr"/>
      <c r="AA706" s="3" t="n">
        <v>34050</v>
      </c>
      <c r="AB706" t="inlineStr">
        <is>
          <t>Сошлось по ночным тарифам</t>
        </is>
      </c>
      <c r="AC706" s="2" t="inlineStr"/>
      <c r="AD706" t="n">
        <v>0</v>
      </c>
      <c r="AE706" t="n">
        <v>0</v>
      </c>
      <c r="AF706" t="inlineStr">
        <is>
          <t>Скидки нет</t>
        </is>
      </c>
      <c r="AG706" t="n">
        <v>34050</v>
      </c>
      <c r="AH706" t="n">
        <v>34050</v>
      </c>
      <c r="AI706" t="inlineStr">
        <is>
          <t>Полное проживание в выбранном периоде</t>
        </is>
      </c>
    </row>
    <row r="707">
      <c r="A707" t="inlineStr">
        <is>
          <t>20260929-8186-468991538</t>
        </is>
      </c>
      <c r="B707" t="n">
        <v>1</v>
      </c>
      <c r="C707" s="2" t="inlineStr">
        <is>
          <t>Наталья Поночевная, RYOTARO MIYASHITA</t>
        </is>
      </c>
      <c r="D707" s="3" t="n">
        <v>42925</v>
      </c>
      <c r="E707" s="4" t="n">
        <v>15</v>
      </c>
      <c r="F707" t="inlineStr">
        <is>
          <t>Trip.com Group [Чайковский]</t>
        </is>
      </c>
      <c r="G707" s="3">
        <f>ROUND(D707/(100-E707)*100,2)</f>
        <v/>
      </c>
      <c r="H707" s="3" t="n">
        <v>0</v>
      </c>
      <c r="I707" s="3">
        <f>ROUND(IF(ISNUMBER(AG707),AG707,G707)+H707,2)</f>
        <v/>
      </c>
      <c r="J707" s="2" t="inlineStr"/>
      <c r="K707" s="5" t="n">
        <v>46294.58333333334</v>
      </c>
      <c r="L707" t="n">
        <v>2</v>
      </c>
      <c r="M707" s="3">
        <f>I707/L707</f>
        <v/>
      </c>
      <c r="N707">
        <f>IF(M707&gt;=5100,"ставка","мин.ставка")</f>
        <v/>
      </c>
      <c r="O707" s="3">
        <f>ROUND(IF(N707="мин.ставка",L707*100,I707/102*2),2)</f>
        <v/>
      </c>
      <c r="P707" s="5" t="n">
        <v>46297.5</v>
      </c>
      <c r="Q707" t="inlineStr">
        <is>
          <t>TravelLine CTP</t>
        </is>
      </c>
      <c r="R707" s="2" t="inlineStr">
        <is>
          <t>ЛЮКС ВТОРОЙ КОРПУС</t>
        </is>
      </c>
      <c r="S707" t="n">
        <v>54</v>
      </c>
      <c r="T707" t="n">
        <v>2</v>
      </c>
      <c r="U707" t="inlineStr"/>
      <c r="V707" t="inlineStr">
        <is>
          <t>Тариф с завтраком</t>
        </is>
      </c>
      <c r="W707" t="n">
        <v>42925</v>
      </c>
      <c r="X707" s="3" t="n">
        <v>0</v>
      </c>
      <c r="Y707" t="inlineStr"/>
      <c r="Z707" t="inlineStr"/>
      <c r="AA707" s="3" t="n">
        <v>42925</v>
      </c>
      <c r="AB707" t="inlineStr">
        <is>
          <t>Сошлось по ночным тарифам</t>
        </is>
      </c>
      <c r="AC707" s="2" t="inlineStr"/>
      <c r="AD707" t="n">
        <v>0</v>
      </c>
      <c r="AE707" t="n">
        <v>0</v>
      </c>
      <c r="AF707" t="inlineStr">
        <is>
          <t>Скидки нет</t>
        </is>
      </c>
      <c r="AG707" t="n">
        <v>30260</v>
      </c>
      <c r="AH707" t="n">
        <v>30260</v>
      </c>
      <c r="AI707" t="inlineStr">
        <is>
          <t>Частичное проживание распределено по dailyRates</t>
        </is>
      </c>
    </row>
    <row r="708">
      <c r="A708" t="inlineStr">
        <is>
          <t>20260909-8186-463439312</t>
        </is>
      </c>
      <c r="B708" t="n">
        <v>1</v>
      </c>
      <c r="C708" s="2" t="inlineStr">
        <is>
          <t>Наталья Пряхина</t>
        </is>
      </c>
      <c r="D708" s="3" t="n">
        <v>10998.15</v>
      </c>
      <c r="E708" s="4" t="n">
        <v>4</v>
      </c>
      <c r="F708" t="inlineStr">
        <is>
          <t>TravelLine Booking Engine [Чайковский]</t>
        </is>
      </c>
      <c r="G708" s="3">
        <f>ROUND(D708/(100-E708)*100,2)</f>
        <v/>
      </c>
      <c r="H708" s="3" t="n">
        <v>0</v>
      </c>
      <c r="I708" s="3">
        <f>ROUND(IF(ISNUMBER(AG708),AG708,G708)+H708,2)</f>
        <v/>
      </c>
      <c r="J708" s="2" t="inlineStr">
        <is>
          <t>Завтрак "Шведский стол"</t>
        </is>
      </c>
      <c r="K708" s="5" t="n">
        <v>46274.58333333334</v>
      </c>
      <c r="L708" t="n">
        <v>1</v>
      </c>
      <c r="M708" s="3">
        <f>I708/L708</f>
        <v/>
      </c>
      <c r="N708">
        <f>IF(M708&gt;=5100,"ставка","мин.ставка")</f>
        <v/>
      </c>
      <c r="O708" s="3">
        <f>ROUND(IF(N708="мин.ставка",L708*100,I708/102*2),2)</f>
        <v/>
      </c>
      <c r="P708" s="5" t="n">
        <v>46275.5</v>
      </c>
      <c r="Q708" t="inlineStr">
        <is>
          <t>TravelLine сайт</t>
        </is>
      </c>
      <c r="R708" s="2" t="inlineStr">
        <is>
          <t>СТАНДАРТНЫЙ ДВУХМЕСТНЫЙ НОМЕР</t>
        </is>
      </c>
      <c r="S708" t="n">
        <v>36</v>
      </c>
      <c r="T708" t="n">
        <v>1</v>
      </c>
      <c r="U708" t="inlineStr"/>
      <c r="V708" t="inlineStr">
        <is>
          <t>Тариф с завтраком</t>
        </is>
      </c>
      <c r="W708" t="n">
        <v>10998.15</v>
      </c>
      <c r="X708" s="3" t="n">
        <v>351.85</v>
      </c>
      <c r="Y708" t="inlineStr">
        <is>
          <t>3.1%</t>
        </is>
      </c>
      <c r="Z708" t="inlineStr">
        <is>
          <t>2026-09-09</t>
        </is>
      </c>
      <c r="AA708" s="3" t="n">
        <v>10998.15</v>
      </c>
      <c r="AB708" t="inlineStr">
        <is>
          <t>Сошлось по ночным тарифам</t>
        </is>
      </c>
      <c r="AC708" s="2" t="inlineStr"/>
      <c r="AD708" t="n">
        <v>351.85</v>
      </c>
      <c r="AE708" t="n">
        <v>0</v>
      </c>
      <c r="AF708" t="inlineStr">
        <is>
          <t>Скидка добавлена к налоговой базе</t>
        </is>
      </c>
      <c r="AG708" t="n">
        <v>11350</v>
      </c>
      <c r="AH708" t="n">
        <v>10998.15</v>
      </c>
      <c r="AI708" t="inlineStr">
        <is>
          <t>Полное проживание в выбранном периоде</t>
        </is>
      </c>
    </row>
    <row r="709">
      <c r="A709" t="inlineStr">
        <is>
          <t>20260730-8186-401372495</t>
        </is>
      </c>
      <c r="B709" t="n">
        <v>1</v>
      </c>
      <c r="C709" s="2" t="inlineStr">
        <is>
          <t>Наталья Селина, Илья Задорин</t>
        </is>
      </c>
      <c r="D709" s="3" t="n">
        <v>22695</v>
      </c>
      <c r="E709" s="4" t="n">
        <v>15</v>
      </c>
      <c r="F709" t="inlineStr">
        <is>
          <t>ООО "БРОНИРОВАНИЕ ГОСТИНИЦ" (OSTROVOK) [Чайковский]</t>
        </is>
      </c>
      <c r="G709" s="3">
        <f>ROUND(D709/(100-E709)*100,2)</f>
        <v/>
      </c>
      <c r="H709" s="3" t="n">
        <v>0</v>
      </c>
      <c r="I709" s="3">
        <f>ROUND(IF(ISNUMBER(AG709),AG709,G709)+H709,2)</f>
        <v/>
      </c>
      <c r="J709" s="2" t="inlineStr">
        <is>
          <t>Завтрак "Шведский стол"</t>
        </is>
      </c>
      <c r="K709" s="5" t="n">
        <v>46233.58333333334</v>
      </c>
      <c r="L709" t="n">
        <v>2</v>
      </c>
      <c r="M709" s="3">
        <f>I709/L709</f>
        <v/>
      </c>
      <c r="N709">
        <f>IF(M709&gt;=5100,"ставка","мин.ставка")</f>
        <v/>
      </c>
      <c r="O709" s="3">
        <f>ROUND(IF(N709="мин.ставка",L709*100,I709/102*2),2)</f>
        <v/>
      </c>
      <c r="P709" s="5" t="n">
        <v>46235.5</v>
      </c>
      <c r="Q709" t="inlineStr">
        <is>
          <t>TravelLine OTK</t>
        </is>
      </c>
      <c r="R709" s="2" t="inlineStr">
        <is>
          <t>СТАНДАРТНЫЙ ДВУХМЕСТНЫЙ НОМЕР</t>
        </is>
      </c>
      <c r="S709" t="n">
        <v>33</v>
      </c>
      <c r="T709" t="n">
        <v>1</v>
      </c>
      <c r="U709" t="inlineStr"/>
      <c r="V709" t="inlineStr">
        <is>
          <t>Тариф с завтраком</t>
        </is>
      </c>
      <c r="W709" t="n">
        <v>22695</v>
      </c>
      <c r="X709" s="3" t="n">
        <v>4005</v>
      </c>
      <c r="Y709" t="inlineStr">
        <is>
          <t>15%</t>
        </is>
      </c>
      <c r="Z709" t="inlineStr">
        <is>
          <t>2026-07-30, 2026-07-31</t>
        </is>
      </c>
      <c r="AA709" s="3" t="n">
        <v>22695</v>
      </c>
      <c r="AB709" t="inlineStr">
        <is>
          <t>Сошлось по ночным тарифам</t>
        </is>
      </c>
      <c r="AC709" s="2" t="inlineStr"/>
      <c r="AD709" t="n">
        <v>4005</v>
      </c>
      <c r="AE709" t="n">
        <v>0</v>
      </c>
      <c r="AF709" t="inlineStr">
        <is>
          <t>Скидка добавлена к налоговой базе</t>
        </is>
      </c>
      <c r="AG709" t="n">
        <v>26700</v>
      </c>
      <c r="AH709" t="n">
        <v>22695</v>
      </c>
      <c r="AI709" t="inlineStr">
        <is>
          <t>Полное проживание в выбранном периоде</t>
        </is>
      </c>
    </row>
    <row r="710">
      <c r="A710" t="inlineStr">
        <is>
          <t>20260724-8186-452953731</t>
        </is>
      </c>
      <c r="B710" t="n">
        <v>1</v>
      </c>
      <c r="C710" s="2" t="inlineStr">
        <is>
          <t>Наталья Сибирева, ВЛАДИМИР ТИХОНОВ</t>
        </is>
      </c>
      <c r="D710" s="3" t="n">
        <v>10736.5</v>
      </c>
      <c r="E710" s="4" t="n">
        <v>4</v>
      </c>
      <c r="F710" t="inlineStr">
        <is>
          <t>TravelLine Booking Engine [Чайковский]</t>
        </is>
      </c>
      <c r="G710" s="3">
        <f>ROUND(D710/(100-E710)*100,2)</f>
        <v/>
      </c>
      <c r="H710" s="3" t="n">
        <v>0</v>
      </c>
      <c r="I710" s="3">
        <f>ROUND(IF(ISNUMBER(AG710),AG710,G710)+H710,2)</f>
        <v/>
      </c>
      <c r="J710" s="2" t="inlineStr">
        <is>
          <t>Завтрак "Шведский стол"</t>
        </is>
      </c>
      <c r="K710" s="5" t="n">
        <v>46227.75</v>
      </c>
      <c r="L710" t="n">
        <v>1</v>
      </c>
      <c r="M710" s="3">
        <f>I710/L710</f>
        <v/>
      </c>
      <c r="N710">
        <f>IF(M710&gt;=5100,"ставка","мин.ставка")</f>
        <v/>
      </c>
      <c r="O710" s="3">
        <f>ROUND(IF(N710="мин.ставка",L710*100,I710/102*2),2)</f>
        <v/>
      </c>
      <c r="P710" s="5" t="n">
        <v>46228.5</v>
      </c>
      <c r="Q710" t="inlineStr">
        <is>
          <t>TravelLine сайт</t>
        </is>
      </c>
      <c r="R710" s="2" t="inlineStr">
        <is>
          <t>СЕМЕЙНЫЙ НОМЕР КАТЕГОРИИ "СТАНДАРТ" ВТОРОЙ КОРПУС</t>
        </is>
      </c>
      <c r="S710" t="n">
        <v>51</v>
      </c>
      <c r="T710" t="n">
        <v>2</v>
      </c>
      <c r="U710" t="inlineStr"/>
      <c r="V710" t="inlineStr">
        <is>
          <t>Тариф с завтраком</t>
        </is>
      </c>
      <c r="W710" t="n">
        <v>10736.5</v>
      </c>
      <c r="X710" s="3" t="n">
        <v>163.5</v>
      </c>
      <c r="Y710" t="inlineStr">
        <is>
          <t>1.5%</t>
        </is>
      </c>
      <c r="Z710" t="inlineStr">
        <is>
          <t>2026-07-24</t>
        </is>
      </c>
      <c r="AA710" s="3" t="n">
        <v>10736.5</v>
      </c>
      <c r="AB710" t="inlineStr">
        <is>
          <t>Сошлось по ночным тарифам</t>
        </is>
      </c>
      <c r="AC710" s="2" t="inlineStr"/>
      <c r="AD710" t="n">
        <v>163.5</v>
      </c>
      <c r="AE710" t="n">
        <v>0</v>
      </c>
      <c r="AF710" t="inlineStr">
        <is>
          <t>Скидка добавлена к налоговой базе</t>
        </is>
      </c>
      <c r="AG710" t="n">
        <v>10900</v>
      </c>
      <c r="AH710" t="n">
        <v>10736.5</v>
      </c>
      <c r="AI710" t="inlineStr">
        <is>
          <t>Полное проживание в выбранном периоде</t>
        </is>
      </c>
    </row>
    <row r="711">
      <c r="A711" t="inlineStr">
        <is>
          <t>20260910-8186-462995264</t>
        </is>
      </c>
      <c r="B711" t="n">
        <v>1</v>
      </c>
      <c r="C711" s="2" t="inlineStr">
        <is>
          <t>Наталья Соболева, ЕВГЕНИЙ БЕКИН</t>
        </is>
      </c>
      <c r="D711" s="3" t="n">
        <v>30627</v>
      </c>
      <c r="E711" s="4" t="n">
        <v>18</v>
      </c>
      <c r="F711" t="inlineStr">
        <is>
          <t>ООО "Эй энд Эй" [Чайковский]</t>
        </is>
      </c>
      <c r="G711" s="3">
        <f>ROUND(D711/(100-E711)*100,2)</f>
        <v/>
      </c>
      <c r="H711" s="3" t="n">
        <v>6000</v>
      </c>
      <c r="I711" s="3">
        <f>ROUND(IF(ISNUMBER(AG711),AG711,G711)+H711,2)</f>
        <v/>
      </c>
      <c r="J711" s="2" t="inlineStr">
        <is>
          <t>продление номера — 6 000,00 ₽; Завтрак "Шведский стол"</t>
        </is>
      </c>
      <c r="K711" s="5" t="n">
        <v>46275.58333333334</v>
      </c>
      <c r="L711" t="n">
        <v>3</v>
      </c>
      <c r="M711" s="3">
        <f>I711/L711</f>
        <v/>
      </c>
      <c r="N711">
        <f>IF(M711&gt;=5100,"ставка","мин.ставка")</f>
        <v/>
      </c>
      <c r="O711" s="3">
        <f>ROUND(IF(N711="мин.ставка",L711*100,I711/102*2),2)</f>
        <v/>
      </c>
      <c r="P711" s="5" t="n">
        <v>46278.5</v>
      </c>
      <c r="Q711" t="inlineStr">
        <is>
          <t>TravelLine ANA</t>
        </is>
      </c>
      <c r="R711" s="2" t="inlineStr">
        <is>
          <t>СЕМЕЙНЫЙ НОМЕР КАТЕГОРИИ "СТАНДАРТ" ВТОРОЙ КОРПУС</t>
        </is>
      </c>
      <c r="S711" t="n">
        <v>51</v>
      </c>
      <c r="T711" t="n">
        <v>2</v>
      </c>
      <c r="U711" t="inlineStr"/>
      <c r="V711" t="inlineStr">
        <is>
          <t>Тариф с завтраком</t>
        </is>
      </c>
      <c r="W711" t="n">
        <v>36627</v>
      </c>
      <c r="X711" s="3" t="n">
        <v>6723</v>
      </c>
      <c r="Y711" t="inlineStr">
        <is>
          <t>18%</t>
        </is>
      </c>
      <c r="Z711" t="inlineStr">
        <is>
          <t>2026-09-10, 2026-09-11, 2026-09-12</t>
        </is>
      </c>
      <c r="AA711" s="3" t="n">
        <v>30627</v>
      </c>
      <c r="AB711" t="inlineStr">
        <is>
          <t>Сошлось с услугами</t>
        </is>
      </c>
      <c r="AC711" s="2" t="inlineStr"/>
      <c r="AD711" t="n">
        <v>6723</v>
      </c>
      <c r="AE711" t="n">
        <v>0</v>
      </c>
      <c r="AF711" t="inlineStr">
        <is>
          <t>Скидка добавлена к налоговой базе</t>
        </is>
      </c>
      <c r="AG711" t="n">
        <v>37350</v>
      </c>
      <c r="AH711" t="n">
        <v>30627</v>
      </c>
      <c r="AI711" t="inlineStr">
        <is>
          <t>Полное проживание в выбранном периоде</t>
        </is>
      </c>
    </row>
    <row r="712">
      <c r="A712" t="inlineStr">
        <is>
          <t>20260702-8186-447187422</t>
        </is>
      </c>
      <c r="B712" t="n">
        <v>1</v>
      </c>
      <c r="C712" s="2" t="inlineStr">
        <is>
          <t>Наталья Фетисова</t>
        </is>
      </c>
      <c r="D712" s="3" t="n">
        <v>9900</v>
      </c>
      <c r="E712" s="4" t="n">
        <v>0</v>
      </c>
      <c r="F712" t="inlineStr">
        <is>
          <t>Прямые бронирования (стойка) [Чайковский]</t>
        </is>
      </c>
      <c r="G712" s="3">
        <f>ROUND(D712/(100-E712)*100,2)</f>
        <v/>
      </c>
      <c r="H712" s="3" t="n">
        <v>0</v>
      </c>
      <c r="I712" s="3">
        <f>ROUND(IF(ISNUMBER(AG712),AG712,G712)+H712,2)</f>
        <v/>
      </c>
      <c r="J712" s="2" t="inlineStr">
        <is>
          <t>Завтрак "Шведский стол"</t>
        </is>
      </c>
      <c r="K712" s="5" t="n">
        <v>46205.58333333334</v>
      </c>
      <c r="L712" t="n">
        <v>1</v>
      </c>
      <c r="M712" s="3">
        <f>I712/L712</f>
        <v/>
      </c>
      <c r="N712">
        <f>IF(M712&gt;=5100,"ставка","мин.ставка")</f>
        <v/>
      </c>
      <c r="O712" s="3">
        <f>ROUND(IF(N712="мин.ставка",L712*100,I712/102*2),2)</f>
        <v/>
      </c>
      <c r="P712" s="5" t="n">
        <v>46206.5</v>
      </c>
      <c r="Q712" t="inlineStr">
        <is>
          <t>TravelLine ресепшен</t>
        </is>
      </c>
      <c r="R712" s="2" t="inlineStr">
        <is>
          <t>СТАНДАРТНЫЙ ДВУХМЕСТНЫЙ НОМЕР (МАНСАРДА)</t>
        </is>
      </c>
      <c r="S712" t="n">
        <v>43</v>
      </c>
      <c r="T712" t="n">
        <v>1</v>
      </c>
      <c r="U712" t="inlineStr"/>
      <c r="V712" t="inlineStr">
        <is>
          <t>Тариф с завтраком</t>
        </is>
      </c>
      <c r="W712" t="n">
        <v>9900</v>
      </c>
      <c r="X712" s="3" t="n">
        <v>0</v>
      </c>
      <c r="Y712" t="inlineStr"/>
      <c r="Z712" t="inlineStr"/>
      <c r="AA712" s="3" t="n">
        <v>9900</v>
      </c>
      <c r="AB712" t="inlineStr">
        <is>
          <t>Сошлось по ночным тарифам</t>
        </is>
      </c>
      <c r="AC712" s="2" t="inlineStr"/>
      <c r="AD712" t="n">
        <v>0</v>
      </c>
      <c r="AE712" t="n">
        <v>0</v>
      </c>
      <c r="AF712" t="inlineStr">
        <is>
          <t>Скидки нет</t>
        </is>
      </c>
      <c r="AG712" t="n">
        <v>9900</v>
      </c>
      <c r="AH712" t="n">
        <v>9900</v>
      </c>
      <c r="AI712" t="inlineStr">
        <is>
          <t>Полное проживание в выбранном периоде</t>
        </is>
      </c>
    </row>
    <row r="713">
      <c r="A713" t="inlineStr">
        <is>
          <t>20260904-8186-463350025</t>
        </is>
      </c>
      <c r="B713" t="n">
        <v>1</v>
      </c>
      <c r="C713" s="2" t="inlineStr">
        <is>
          <t>Наталья Шиловская</t>
        </is>
      </c>
      <c r="D713" s="3" t="n">
        <v>10500</v>
      </c>
      <c r="E713" s="4" t="n">
        <v>16</v>
      </c>
      <c r="F713" t="inlineStr">
        <is>
          <t>ООО "БРОНИРОВАНИЕ ГОСТИНИЦ" (OSTROVOK) [Чайковский]</t>
        </is>
      </c>
      <c r="G713" s="3">
        <f>ROUND(D713/(100-E713)*100,2)</f>
        <v/>
      </c>
      <c r="H713" s="3" t="n">
        <v>0</v>
      </c>
      <c r="I713" s="3">
        <f>ROUND(IF(ISNUMBER(AG713),AG713,G713)+H713,2)</f>
        <v/>
      </c>
      <c r="J713" s="2" t="inlineStr"/>
      <c r="K713" s="5" t="n">
        <v>46269.58333333334</v>
      </c>
      <c r="L713" t="n">
        <v>1</v>
      </c>
      <c r="M713" s="3">
        <f>I713/L713</f>
        <v/>
      </c>
      <c r="N713">
        <f>IF(M713&gt;=5100,"ставка","мин.ставка")</f>
        <v/>
      </c>
      <c r="O713" s="3">
        <f>ROUND(IF(N713="мин.ставка",L713*100,I713/102*2),2)</f>
        <v/>
      </c>
      <c r="P713" s="5" t="n">
        <v>46270.5</v>
      </c>
      <c r="Q713" t="inlineStr">
        <is>
          <t>TravelLine OTK</t>
        </is>
      </c>
      <c r="R713" s="2" t="inlineStr">
        <is>
          <t>ЛЮКС ВТОРОЙ КОРПУС</t>
        </is>
      </c>
      <c r="S713" t="n">
        <v>54</v>
      </c>
      <c r="T713" t="n">
        <v>2</v>
      </c>
      <c r="U713" t="inlineStr"/>
      <c r="V713" t="inlineStr">
        <is>
          <t>Основной тариф без завтрака</t>
        </is>
      </c>
      <c r="W713" t="n">
        <v>10500</v>
      </c>
      <c r="X713" s="3" t="n">
        <v>2000</v>
      </c>
      <c r="Y713" t="inlineStr">
        <is>
          <t>16%</t>
        </is>
      </c>
      <c r="Z713" t="inlineStr">
        <is>
          <t>2026-09-04</t>
        </is>
      </c>
      <c r="AA713" s="3" t="n">
        <v>10500</v>
      </c>
      <c r="AB713" t="inlineStr">
        <is>
          <t>Сошлось по ночным тарифам</t>
        </is>
      </c>
      <c r="AC713" s="2" t="inlineStr"/>
      <c r="AD713" t="n">
        <v>2000</v>
      </c>
      <c r="AE713" t="n">
        <v>0</v>
      </c>
      <c r="AF713" t="inlineStr">
        <is>
          <t>Скидка добавлена к налоговой базе</t>
        </is>
      </c>
      <c r="AG713" t="n">
        <v>12500</v>
      </c>
      <c r="AH713" t="n">
        <v>10500</v>
      </c>
      <c r="AI713" t="inlineStr">
        <is>
          <t>Полное проживание в выбранном периоде</t>
        </is>
      </c>
    </row>
    <row r="714">
      <c r="A714" t="inlineStr">
        <is>
          <t>20260627-8186-410539344</t>
        </is>
      </c>
      <c r="B714" t="n">
        <v>1</v>
      </c>
      <c r="C714" s="2" t="inlineStr">
        <is>
          <t>Наталья Шинкарюк</t>
        </is>
      </c>
      <c r="D714" s="3" t="n">
        <v>61600</v>
      </c>
      <c r="E714" s="4" t="n">
        <v>0</v>
      </c>
      <c r="F714" t="inlineStr">
        <is>
          <t>Прямые бронирования (стойка) [Чайковский]</t>
        </is>
      </c>
      <c r="G714" s="3">
        <f>ROUND(D714/(100-E714)*100,2)</f>
        <v/>
      </c>
      <c r="H714" s="3" t="n">
        <v>0</v>
      </c>
      <c r="I714" s="3">
        <f>ROUND(IF(ISNUMBER(AG714),AG714,G714)+H714,2)</f>
        <v/>
      </c>
      <c r="J714" s="2" t="inlineStr"/>
      <c r="K714" s="5" t="n">
        <v>46200.58333333334</v>
      </c>
      <c r="L714" t="n">
        <v>4</v>
      </c>
      <c r="M714" s="3">
        <f>I714/L714</f>
        <v/>
      </c>
      <c r="N714">
        <f>IF(M714&gt;=5100,"ставка","мин.ставка")</f>
        <v/>
      </c>
      <c r="O714" s="3">
        <f>ROUND(IF(N714="мин.ставка",L714*100,I714/102*2),2)</f>
        <v/>
      </c>
      <c r="P714" s="5" t="n">
        <v>46208.5</v>
      </c>
      <c r="Q714" t="inlineStr">
        <is>
          <t>TravelLine ресепшен</t>
        </is>
      </c>
      <c r="R714" s="2" t="inlineStr">
        <is>
          <t>СТАНДАРТНЫЙ ОДНОМЕСТНЫЙ НОМЕР</t>
        </is>
      </c>
      <c r="S714" t="n">
        <v>34</v>
      </c>
      <c r="T714" t="n">
        <v>1</v>
      </c>
      <c r="U714" t="inlineStr"/>
      <c r="V714" t="inlineStr">
        <is>
          <t>Тариф с завтраком</t>
        </is>
      </c>
      <c r="W714" t="n">
        <v>61600</v>
      </c>
      <c r="X714" s="3" t="n">
        <v>0</v>
      </c>
      <c r="Y714" t="inlineStr"/>
      <c r="Z714" t="inlineStr"/>
      <c r="AA714" s="3" t="n">
        <v>61600</v>
      </c>
      <c r="AB714" t="inlineStr">
        <is>
          <t>Сошлось по ночным тарифам</t>
        </is>
      </c>
      <c r="AC714" s="2" t="inlineStr"/>
      <c r="AD714" t="n">
        <v>0</v>
      </c>
      <c r="AE714" t="n">
        <v>0</v>
      </c>
      <c r="AF714" t="inlineStr">
        <is>
          <t>Скидки нет</t>
        </is>
      </c>
      <c r="AG714" t="n">
        <v>30800</v>
      </c>
      <c r="AH714" t="n">
        <v>30800</v>
      </c>
      <c r="AI714" t="inlineStr">
        <is>
          <t>Частичное проживание распределено по dailyRates</t>
        </is>
      </c>
    </row>
    <row r="715">
      <c r="A715" t="inlineStr">
        <is>
          <t>20260914-8186-463592253</t>
        </is>
      </c>
      <c r="B715" t="n">
        <v>1</v>
      </c>
      <c r="C715" s="2" t="inlineStr">
        <is>
          <t>НАТТЕЛА ТКАВАДЗЕ</t>
        </is>
      </c>
      <c r="D715" s="3" t="n">
        <v>9647.5</v>
      </c>
      <c r="E715" s="4" t="n">
        <v>15</v>
      </c>
      <c r="F715" t="inlineStr">
        <is>
          <t>ООО "Библио-Глобус Туроператор" [Чайковский]</t>
        </is>
      </c>
      <c r="G715" s="3">
        <f>ROUND(D715/(100-E715)*100,2)</f>
        <v/>
      </c>
      <c r="H715" s="3" t="n">
        <v>0</v>
      </c>
      <c r="I715" s="3">
        <f>ROUND(IF(ISNUMBER(AG715),AG715,G715)+H715,2)</f>
        <v/>
      </c>
      <c r="J715" s="2" t="inlineStr">
        <is>
          <t>Завтрак "Шведский стол"</t>
        </is>
      </c>
      <c r="K715" s="5" t="n">
        <v>46279.58333333334</v>
      </c>
      <c r="L715" t="n">
        <v>1</v>
      </c>
      <c r="M715" s="3">
        <f>I715/L715</f>
        <v/>
      </c>
      <c r="N715">
        <f>IF(M715&gt;=5100,"ставка","мин.ставка")</f>
        <v/>
      </c>
      <c r="O715" s="3">
        <f>ROUND(IF(N715="мин.ставка",L715*100,I715/102*2),2)</f>
        <v/>
      </c>
      <c r="P715" s="5" t="n">
        <v>46280.5</v>
      </c>
      <c r="Q715" t="inlineStr">
        <is>
          <t>TravelLine BGL</t>
        </is>
      </c>
      <c r="R715" s="2" t="inlineStr">
        <is>
          <t>СТАНДАРТНЫЙ ДВУХМЕСТНЫЙ НОМЕР</t>
        </is>
      </c>
      <c r="S715" t="n">
        <v>22</v>
      </c>
      <c r="T715" t="n">
        <v>1</v>
      </c>
      <c r="U715" t="inlineStr"/>
      <c r="V715" t="inlineStr">
        <is>
          <t>Тариф с завтраком</t>
        </is>
      </c>
      <c r="W715" t="n">
        <v>9647.5</v>
      </c>
      <c r="X715" s="3" t="n">
        <v>0</v>
      </c>
      <c r="Y715" t="inlineStr"/>
      <c r="Z715" t="inlineStr"/>
      <c r="AA715" s="3" t="n">
        <v>9647.5</v>
      </c>
      <c r="AB715" t="inlineStr">
        <is>
          <t>Сошлось по ночным тарифам</t>
        </is>
      </c>
      <c r="AC715" s="2" t="inlineStr"/>
      <c r="AD715" t="n">
        <v>0</v>
      </c>
      <c r="AE715" t="n">
        <v>0</v>
      </c>
      <c r="AF715" t="inlineStr">
        <is>
          <t>Скидки нет</t>
        </is>
      </c>
      <c r="AG715" t="n">
        <v>9647.5</v>
      </c>
      <c r="AH715" t="n">
        <v>9647.5</v>
      </c>
      <c r="AI715" t="inlineStr">
        <is>
          <t>Полное проживание в выбранном периоде</t>
        </is>
      </c>
    </row>
    <row r="716">
      <c r="A716" t="inlineStr">
        <is>
          <t>20260808-8186-441380386</t>
        </is>
      </c>
      <c r="B716" t="n">
        <v>1</v>
      </c>
      <c r="C716" s="2" t="inlineStr">
        <is>
          <t>Никита Войнов, Мария Муромова</t>
        </is>
      </c>
      <c r="D716" s="3" t="n">
        <v>7920</v>
      </c>
      <c r="E716" s="4" t="n">
        <v>18</v>
      </c>
      <c r="F716" t="inlineStr">
        <is>
          <t>Яндекс.Путешествия [Чайковский]</t>
        </is>
      </c>
      <c r="G716" s="3">
        <f>ROUND(D716/(100-E716)*100,2)</f>
        <v/>
      </c>
      <c r="H716" s="3" t="n">
        <v>0</v>
      </c>
      <c r="I716" s="3">
        <f>ROUND(IF(ISNUMBER(AG716),AG716,G716)+H716,2)</f>
        <v/>
      </c>
      <c r="J716" s="2" t="inlineStr">
        <is>
          <t>Завтрак "Шведский стол"</t>
        </is>
      </c>
      <c r="K716" s="5" t="n">
        <v>46242.58333333334</v>
      </c>
      <c r="L716" t="n">
        <v>1</v>
      </c>
      <c r="M716" s="3">
        <f>I716/L716</f>
        <v/>
      </c>
      <c r="N716">
        <f>IF(M716&gt;=5100,"ставка","мин.ставка")</f>
        <v/>
      </c>
      <c r="O716" s="3">
        <f>ROUND(IF(N716="мин.ставка",L716*100,I716/102*2),2)</f>
        <v/>
      </c>
      <c r="P716" s="5" t="n">
        <v>46243.5</v>
      </c>
      <c r="Q716" t="inlineStr">
        <is>
          <t>TravelLine YAX</t>
        </is>
      </c>
      <c r="R716" s="2" t="inlineStr">
        <is>
          <t>СТАНДАРТНЫЙ ДВУХМЕСТНЫЙ НОМЕР (МАНСАРДА)</t>
        </is>
      </c>
      <c r="S716" t="n">
        <v>47</v>
      </c>
      <c r="T716" t="n">
        <v>1</v>
      </c>
      <c r="U716" t="inlineStr"/>
      <c r="V716" t="inlineStr">
        <is>
          <t>Тариф с завтраком</t>
        </is>
      </c>
      <c r="W716" t="n">
        <v>7920</v>
      </c>
      <c r="X716" s="3" t="n">
        <v>1980</v>
      </c>
      <c r="Y716" t="inlineStr">
        <is>
          <t>20%</t>
        </is>
      </c>
      <c r="Z716" t="inlineStr">
        <is>
          <t>2026-08-08</t>
        </is>
      </c>
      <c r="AA716" s="3" t="n">
        <v>7920</v>
      </c>
      <c r="AB716" t="inlineStr">
        <is>
          <t>Сошлось по ночным тарифам</t>
        </is>
      </c>
      <c r="AC716" s="2" t="inlineStr"/>
      <c r="AD716" t="n">
        <v>1980</v>
      </c>
      <c r="AE716" t="n">
        <v>0</v>
      </c>
      <c r="AF716" t="inlineStr">
        <is>
          <t>Скидка добавлена к налоговой базе</t>
        </is>
      </c>
      <c r="AG716" t="n">
        <v>9900</v>
      </c>
      <c r="AH716" t="n">
        <v>7920</v>
      </c>
      <c r="AI716" t="inlineStr">
        <is>
          <t>Полное проживание в выбранном периоде</t>
        </is>
      </c>
    </row>
    <row r="717">
      <c r="A717" t="inlineStr">
        <is>
          <t>20260924-8186-467746202</t>
        </is>
      </c>
      <c r="B717" t="n">
        <v>1</v>
      </c>
      <c r="C717" s="2" t="inlineStr">
        <is>
          <t>Никита Кривошеин, Алина Федорец</t>
        </is>
      </c>
      <c r="D717" s="3" t="n">
        <v>26700</v>
      </c>
      <c r="E717" s="4" t="n">
        <v>18</v>
      </c>
      <c r="F717" t="inlineStr">
        <is>
          <t>Яндекс.Путешествия [Чайковский]</t>
        </is>
      </c>
      <c r="G717" s="3">
        <f>ROUND(D717/(100-E717)*100,2)</f>
        <v/>
      </c>
      <c r="H717" s="3" t="n">
        <v>0</v>
      </c>
      <c r="I717" s="3">
        <f>ROUND(IF(ISNUMBER(AG717),AG717,G717)+H717,2)</f>
        <v/>
      </c>
      <c r="J717" s="2" t="inlineStr">
        <is>
          <t>Завтрак "Шведский стол"</t>
        </is>
      </c>
      <c r="K717" s="5" t="n">
        <v>46289.58333333334</v>
      </c>
      <c r="L717" t="n">
        <v>2</v>
      </c>
      <c r="M717" s="3">
        <f>I717/L717</f>
        <v/>
      </c>
      <c r="N717">
        <f>IF(M717&gt;=5100,"ставка","мин.ставка")</f>
        <v/>
      </c>
      <c r="O717" s="3">
        <f>ROUND(IF(N717="мин.ставка",L717*100,I717/102*2),2)</f>
        <v/>
      </c>
      <c r="P717" s="5" t="n">
        <v>46291.5</v>
      </c>
      <c r="Q717" t="inlineStr">
        <is>
          <t>TravelLine YAX</t>
        </is>
      </c>
      <c r="R717" s="2" t="inlineStr">
        <is>
          <t>ЛЮКС ВТОРОЙ КОРПУС</t>
        </is>
      </c>
      <c r="S717" t="n">
        <v>54</v>
      </c>
      <c r="T717" t="n">
        <v>2</v>
      </c>
      <c r="U717" t="inlineStr"/>
      <c r="V717" t="inlineStr">
        <is>
          <t>Тариф с завтраком</t>
        </is>
      </c>
      <c r="W717" t="n">
        <v>26700</v>
      </c>
      <c r="X717" s="3" t="n">
        <v>8900</v>
      </c>
      <c r="Y717" t="inlineStr">
        <is>
          <t>25%</t>
        </is>
      </c>
      <c r="Z717" t="inlineStr">
        <is>
          <t>2026-09-24, 2026-09-25</t>
        </is>
      </c>
      <c r="AA717" s="3" t="n">
        <v>26700</v>
      </c>
      <c r="AB717" t="inlineStr">
        <is>
          <t>Сошлось по ночным тарифам</t>
        </is>
      </c>
      <c r="AC717" s="2" t="inlineStr"/>
      <c r="AD717" t="n">
        <v>8900</v>
      </c>
      <c r="AE717" t="n">
        <v>0</v>
      </c>
      <c r="AF717" t="inlineStr">
        <is>
          <t>Скидка добавлена к налоговой базе</t>
        </is>
      </c>
      <c r="AG717" t="n">
        <v>35600</v>
      </c>
      <c r="AH717" t="n">
        <v>26700</v>
      </c>
      <c r="AI717" t="inlineStr">
        <is>
          <t>Полное проживание в выбранном периоде</t>
        </is>
      </c>
    </row>
    <row r="718">
      <c r="A718" t="inlineStr">
        <is>
          <t>20260930-8186-466735765</t>
        </is>
      </c>
      <c r="B718" t="n">
        <v>1</v>
      </c>
      <c r="C718" s="2" t="inlineStr">
        <is>
          <t>НИКИТА СЕРГЕЕВ</t>
        </is>
      </c>
      <c r="D718" s="3" t="n">
        <v>18062.5</v>
      </c>
      <c r="E718" s="4" t="n">
        <v>15</v>
      </c>
      <c r="F718" t="inlineStr">
        <is>
          <t>ООО "АКАДЕМ-ОНЛАЙН" [Чайковский]</t>
        </is>
      </c>
      <c r="G718" s="3">
        <f>ROUND(D718/(100-E718)*100,2)</f>
        <v/>
      </c>
      <c r="H718" s="3" t="n">
        <v>0</v>
      </c>
      <c r="I718" s="3">
        <f>ROUND(IF(ISNUMBER(AG718),AG718,G718)+H718,2)</f>
        <v/>
      </c>
      <c r="J718" s="2" t="inlineStr"/>
      <c r="K718" s="5" t="n">
        <v>46295.58333333334</v>
      </c>
      <c r="L718" t="n">
        <v>1</v>
      </c>
      <c r="M718" s="3">
        <f>I718/L718</f>
        <v/>
      </c>
      <c r="N718">
        <f>IF(M718&gt;=5100,"ставка","мин.ставка")</f>
        <v/>
      </c>
      <c r="O718" s="3">
        <f>ROUND(IF(N718="мин.ставка",L718*100,I718/102*2),2)</f>
        <v/>
      </c>
      <c r="P718" s="5" t="n">
        <v>46297.5</v>
      </c>
      <c r="Q718" t="inlineStr">
        <is>
          <t>TravelLine ACS</t>
        </is>
      </c>
      <c r="R718" s="2" t="inlineStr">
        <is>
          <t>СТАНДАРТНЫЙ ДВУХМЕСТНЫЙ НОМЕР</t>
        </is>
      </c>
      <c r="S718" t="n">
        <v>46</v>
      </c>
      <c r="T718" t="n">
        <v>1</v>
      </c>
      <c r="U718" t="inlineStr"/>
      <c r="V718" t="inlineStr">
        <is>
          <t>Тариф с завтраком</t>
        </is>
      </c>
      <c r="W718" t="n">
        <v>18062.5</v>
      </c>
      <c r="X718" s="3" t="n">
        <v>3187.5</v>
      </c>
      <c r="Y718" t="inlineStr">
        <is>
          <t>15%</t>
        </is>
      </c>
      <c r="Z718" t="inlineStr">
        <is>
          <t>Не распределена по датам</t>
        </is>
      </c>
      <c r="AA718" s="3" t="n">
        <v>18062.5</v>
      </c>
      <c r="AB718" t="inlineStr">
        <is>
          <t>Сошлось по ночным тарифам</t>
        </is>
      </c>
      <c r="AC718" s="2" t="inlineStr"/>
      <c r="AD718" t="n">
        <v>0</v>
      </c>
      <c r="AE718" t="n">
        <v>0</v>
      </c>
      <c r="AF718" t="inlineStr">
        <is>
          <t>Частичный период: дата агрегированной скидки не определена; скидка не добавлена к базе</t>
        </is>
      </c>
      <c r="AG718" t="n">
        <v>9647.5</v>
      </c>
      <c r="AH718" t="n">
        <v>9647.5</v>
      </c>
      <c r="AI718" t="inlineStr">
        <is>
          <t>Частичное проживание распределено по dailyRates; скидка без даты не восстановлена</t>
        </is>
      </c>
    </row>
    <row r="719">
      <c r="A719" t="inlineStr">
        <is>
          <t>20260704-8186-442805250</t>
        </is>
      </c>
      <c r="B719" t="n">
        <v>1</v>
      </c>
      <c r="C719" s="2" t="inlineStr">
        <is>
          <t>Никита Шалыгин</t>
        </is>
      </c>
      <c r="D719" s="3" t="n">
        <v>34050</v>
      </c>
      <c r="E719" s="4" t="n">
        <v>0</v>
      </c>
      <c r="F719" t="inlineStr">
        <is>
          <t>Прямые бронирования (стойка) [Чайковский]</t>
        </is>
      </c>
      <c r="G719" s="3">
        <f>ROUND(D719/(100-E719)*100,2)</f>
        <v/>
      </c>
      <c r="H719" s="3" t="n">
        <v>0</v>
      </c>
      <c r="I719" s="3">
        <f>ROUND(IF(ISNUMBER(AG719),AG719,G719)+H719,2)</f>
        <v/>
      </c>
      <c r="J719" s="2" t="inlineStr">
        <is>
          <t>Завтрак "Шведский стол"</t>
        </is>
      </c>
      <c r="K719" s="5" t="n">
        <v>46207.58333333334</v>
      </c>
      <c r="L719" t="n">
        <v>3</v>
      </c>
      <c r="M719" s="3">
        <f>I719/L719</f>
        <v/>
      </c>
      <c r="N719">
        <f>IF(M719&gt;=5100,"ставка","мин.ставка")</f>
        <v/>
      </c>
      <c r="O719" s="3">
        <f>ROUND(IF(N719="мин.ставка",L719*100,I719/102*2),2)</f>
        <v/>
      </c>
      <c r="P719" s="5" t="n">
        <v>46210.5</v>
      </c>
      <c r="Q719" t="inlineStr">
        <is>
          <t>TravelLine ресепшен</t>
        </is>
      </c>
      <c r="R719" s="2" t="inlineStr">
        <is>
          <t>СТАНДАРТНЫЙ ДВУХМЕСТНЫЙ НОМЕР</t>
        </is>
      </c>
      <c r="S719" t="n">
        <v>32</v>
      </c>
      <c r="T719" t="n">
        <v>1</v>
      </c>
      <c r="U719" t="inlineStr"/>
      <c r="V719" t="inlineStr">
        <is>
          <t>Тариф с завтраком</t>
        </is>
      </c>
      <c r="W719" t="n">
        <v>34050</v>
      </c>
      <c r="X719" s="3" t="n">
        <v>0</v>
      </c>
      <c r="Y719" t="inlineStr"/>
      <c r="Z719" t="inlineStr"/>
      <c r="AA719" s="3" t="n">
        <v>34050</v>
      </c>
      <c r="AB719" t="inlineStr">
        <is>
          <t>Сошлось по ночным тарифам</t>
        </is>
      </c>
      <c r="AC719" s="2" t="inlineStr"/>
      <c r="AD719" t="n">
        <v>0</v>
      </c>
      <c r="AE719" t="n">
        <v>0</v>
      </c>
      <c r="AF719" t="inlineStr">
        <is>
          <t>Скидки нет</t>
        </is>
      </c>
      <c r="AG719" t="n">
        <v>34050</v>
      </c>
      <c r="AH719" t="n">
        <v>34050</v>
      </c>
      <c r="AI719" t="inlineStr">
        <is>
          <t>Полное проживание в выбранном периоде</t>
        </is>
      </c>
    </row>
    <row r="720">
      <c r="A720" t="inlineStr">
        <is>
          <t>20260630-8186-439700002</t>
        </is>
      </c>
      <c r="B720" t="n">
        <v>1</v>
      </c>
      <c r="C720" s="2" t="inlineStr">
        <is>
          <t>Николай Богданов</t>
        </is>
      </c>
      <c r="D720" s="3" t="n">
        <v>27921</v>
      </c>
      <c r="E720" s="4" t="n">
        <v>18</v>
      </c>
      <c r="F720" t="inlineStr">
        <is>
          <t>ООО "Эй энд Эй" [Чайковский]</t>
        </is>
      </c>
      <c r="G720" s="3">
        <f>ROUND(D720/(100-E720)*100,2)</f>
        <v/>
      </c>
      <c r="H720" s="3" t="n">
        <v>0</v>
      </c>
      <c r="I720" s="3">
        <f>ROUND(IF(ISNUMBER(AG720),AG720,G720)+H720,2)</f>
        <v/>
      </c>
      <c r="J720" s="2" t="inlineStr"/>
      <c r="K720" s="5" t="n">
        <v>46203.58333333334</v>
      </c>
      <c r="L720" t="n">
        <v>2</v>
      </c>
      <c r="M720" s="3">
        <f>I720/L720</f>
        <v/>
      </c>
      <c r="N720">
        <f>IF(M720&gt;=5100,"ставка","мин.ставка")</f>
        <v/>
      </c>
      <c r="O720" s="3">
        <f>ROUND(IF(N720="мин.ставка",L720*100,I720/102*2),2)</f>
        <v/>
      </c>
      <c r="P720" s="5" t="n">
        <v>46206.5</v>
      </c>
      <c r="Q720" t="inlineStr">
        <is>
          <t>TravelLine ANA</t>
        </is>
      </c>
      <c r="R720" s="2" t="inlineStr">
        <is>
          <t>СТАНДАРТНЫЙ ДВУХМЕСТНЫЙ НОМЕР</t>
        </is>
      </c>
      <c r="S720" t="n">
        <v>46</v>
      </c>
      <c r="T720" t="n">
        <v>1</v>
      </c>
      <c r="U720" t="inlineStr"/>
      <c r="V720" t="inlineStr">
        <is>
          <t>Тариф с завтраком</t>
        </is>
      </c>
      <c r="W720" t="n">
        <v>27921</v>
      </c>
      <c r="X720" s="3" t="n">
        <v>6129</v>
      </c>
      <c r="Y720" t="inlineStr">
        <is>
          <t>18%</t>
        </is>
      </c>
      <c r="Z720" t="inlineStr">
        <is>
          <t>2026-06-30, 2026-07-01, 2026-07-02</t>
        </is>
      </c>
      <c r="AA720" s="3" t="n">
        <v>27921</v>
      </c>
      <c r="AB720" t="inlineStr">
        <is>
          <t>Сошлось по ночным тарифам</t>
        </is>
      </c>
      <c r="AC720" s="2" t="inlineStr"/>
      <c r="AD720" t="n">
        <v>4086</v>
      </c>
      <c r="AE720" t="n">
        <v>0</v>
      </c>
      <c r="AF720" t="inlineStr">
        <is>
          <t>Ночи скидки определены по dailyRates; в базу добавлена только часть выбранного периода</t>
        </is>
      </c>
      <c r="AG720" t="n">
        <v>22700</v>
      </c>
      <c r="AH720" t="n">
        <v>18614</v>
      </c>
      <c r="AI720" t="inlineStr">
        <is>
          <t>Частичное проживание распределено по dailyRates</t>
        </is>
      </c>
    </row>
    <row r="721">
      <c r="A721" t="inlineStr">
        <is>
          <t>20260728-8186-451976578</t>
        </is>
      </c>
      <c r="B721" t="n">
        <v>1</v>
      </c>
      <c r="C721" s="2" t="inlineStr">
        <is>
          <t>НИКОЛАЙ ГАВРИЛЬЧЕНКО, ГАЛИНА ГАВРИЛЬЧЕНКО</t>
        </is>
      </c>
      <c r="D721" s="3" t="n">
        <v>78540</v>
      </c>
      <c r="E721" s="4" t="n">
        <v>0</v>
      </c>
      <c r="F721" t="inlineStr">
        <is>
          <t>ООО «ХОМЛИН ЛЭНД» (ПЕГАС) [Чайковский]</t>
        </is>
      </c>
      <c r="G721" s="3">
        <f>ROUND(D721/(100-E721)*100,2)</f>
        <v/>
      </c>
      <c r="H721" s="3" t="n">
        <v>0</v>
      </c>
      <c r="I721" s="3">
        <f>ROUND(IF(ISNUMBER(AG721),AG721,G721)+H721,2)</f>
        <v/>
      </c>
      <c r="J721" s="2" t="inlineStr">
        <is>
          <t>Завтрак "Шведский стол"</t>
        </is>
      </c>
      <c r="K721" s="5" t="n">
        <v>46231.58333333334</v>
      </c>
      <c r="L721" t="n">
        <v>6</v>
      </c>
      <c r="M721" s="3">
        <f>I721/L721</f>
        <v/>
      </c>
      <c r="N721">
        <f>IF(M721&gt;=5100,"ставка","мин.ставка")</f>
        <v/>
      </c>
      <c r="O721" s="3">
        <f>ROUND(IF(N721="мин.ставка",L721*100,I721/102*2),2)</f>
        <v/>
      </c>
      <c r="P721" s="5" t="n">
        <v>46237.5</v>
      </c>
      <c r="Q721" t="inlineStr">
        <is>
          <t>TravelLine PGS</t>
        </is>
      </c>
      <c r="R721" s="2" t="inlineStr">
        <is>
          <t>УЛУЧШЕННЫЙ ДВУХМЕСТНЫЙ НОМЕР</t>
        </is>
      </c>
      <c r="S721" t="n">
        <v>59</v>
      </c>
      <c r="T721" t="n">
        <v>2</v>
      </c>
      <c r="U721" t="inlineStr"/>
      <c r="V721" t="inlineStr">
        <is>
          <t>Тариф с завтраком</t>
        </is>
      </c>
      <c r="W721" t="n">
        <v>78540</v>
      </c>
      <c r="X721" s="3" t="n">
        <v>13860</v>
      </c>
      <c r="Y721" t="inlineStr">
        <is>
          <t>15%</t>
        </is>
      </c>
      <c r="Z721" t="inlineStr">
        <is>
          <t>2026-07-28, 2026-07-29, 2026-07-30, 2026-07-31, 2026-08-01, 2026-08-02</t>
        </is>
      </c>
      <c r="AA721" s="3" t="n">
        <v>78540</v>
      </c>
      <c r="AB721" t="inlineStr">
        <is>
          <t>Сошлось по ночным тарифам</t>
        </is>
      </c>
      <c r="AC721" s="2" t="inlineStr"/>
      <c r="AD721" t="n">
        <v>13860</v>
      </c>
      <c r="AE721" t="n">
        <v>0</v>
      </c>
      <c r="AF721" t="inlineStr">
        <is>
          <t>Скидка добавлена к налоговой базе</t>
        </is>
      </c>
      <c r="AG721" t="n">
        <v>92400</v>
      </c>
      <c r="AH721" t="n">
        <v>78540</v>
      </c>
      <c r="AI721" t="inlineStr">
        <is>
          <t>Полное проживание в выбранном периоде</t>
        </is>
      </c>
    </row>
    <row r="722">
      <c r="A722" t="inlineStr">
        <is>
          <t>20260809-8186-456961370</t>
        </is>
      </c>
      <c r="B722" t="n">
        <v>1</v>
      </c>
      <c r="C722" s="2" t="inlineStr">
        <is>
          <t>НИКОЛАЙ Двугрошев</t>
        </is>
      </c>
      <c r="D722" s="3" t="n">
        <v>16500</v>
      </c>
      <c r="E722" s="4" t="n">
        <v>0</v>
      </c>
      <c r="F722" t="inlineStr">
        <is>
          <t>Прямые бронирования (стойка) [Чайковский]</t>
        </is>
      </c>
      <c r="G722" s="3">
        <f>ROUND(D722/(100-E722)*100,2)</f>
        <v/>
      </c>
      <c r="H722" s="3" t="n">
        <v>0</v>
      </c>
      <c r="I722" s="3">
        <f>ROUND(IF(ISNUMBER(AG722),AG722,G722)+H722,2)</f>
        <v/>
      </c>
      <c r="J722" s="2" t="inlineStr">
        <is>
          <t>Завтрак "Шведский стол"</t>
        </is>
      </c>
      <c r="K722" s="5" t="n">
        <v>46243.58333333334</v>
      </c>
      <c r="L722" t="n">
        <v>1</v>
      </c>
      <c r="M722" s="3">
        <f>I722/L722</f>
        <v/>
      </c>
      <c r="N722">
        <f>IF(M722&gt;=5100,"ставка","мин.ставка")</f>
        <v/>
      </c>
      <c r="O722" s="3">
        <f>ROUND(IF(N722="мин.ставка",L722*100,I722/102*2),2)</f>
        <v/>
      </c>
      <c r="P722" s="5" t="n">
        <v>46244.5</v>
      </c>
      <c r="Q722" t="inlineStr">
        <is>
          <t>TravelLine ресепшен</t>
        </is>
      </c>
      <c r="R722" s="2" t="inlineStr">
        <is>
          <t>ПОЛУЛЮКС</t>
        </is>
      </c>
      <c r="S722" t="n">
        <v>25</v>
      </c>
      <c r="T722" t="n">
        <v>1</v>
      </c>
      <c r="U722" t="inlineStr"/>
      <c r="V722" t="inlineStr">
        <is>
          <t>Тариф с завтраком</t>
        </is>
      </c>
      <c r="W722" t="n">
        <v>16500</v>
      </c>
      <c r="X722" s="3" t="n">
        <v>0</v>
      </c>
      <c r="Y722" t="inlineStr"/>
      <c r="Z722" t="inlineStr"/>
      <c r="AA722" s="3" t="n">
        <v>16500</v>
      </c>
      <c r="AB722" t="inlineStr">
        <is>
          <t>Сошлось по ночным тарифам</t>
        </is>
      </c>
      <c r="AC722" s="2" t="inlineStr"/>
      <c r="AD722" t="n">
        <v>0</v>
      </c>
      <c r="AE722" t="n">
        <v>0</v>
      </c>
      <c r="AF722" t="inlineStr">
        <is>
          <t>Скидки нет</t>
        </is>
      </c>
      <c r="AG722" t="n">
        <v>16500</v>
      </c>
      <c r="AH722" t="n">
        <v>16500</v>
      </c>
      <c r="AI722" t="inlineStr">
        <is>
          <t>Полное проживание в выбранном периоде</t>
        </is>
      </c>
    </row>
    <row r="723">
      <c r="A723" t="inlineStr">
        <is>
          <t>20260723-8186-449405708</t>
        </is>
      </c>
      <c r="B723" t="n">
        <v>1</v>
      </c>
      <c r="C723" s="2" t="inlineStr">
        <is>
          <t>Николай Семенов</t>
        </is>
      </c>
      <c r="D723" s="3" t="n">
        <v>30645</v>
      </c>
      <c r="E723" s="4" t="n">
        <v>0</v>
      </c>
      <c r="F723" t="inlineStr">
        <is>
          <t>Прямые бронирования (стойка) [Чайковский]</t>
        </is>
      </c>
      <c r="G723" s="3">
        <f>ROUND(D723/(100-E723)*100,2)</f>
        <v/>
      </c>
      <c r="H723" s="3" t="n">
        <v>0</v>
      </c>
      <c r="I723" s="3">
        <f>ROUND(IF(ISNUMBER(AG723),AG723,G723)+H723,2)</f>
        <v/>
      </c>
      <c r="J723" s="2" t="inlineStr">
        <is>
          <t>Завтрак "Шведский стол"</t>
        </is>
      </c>
      <c r="K723" s="5" t="n">
        <v>46226.58333333334</v>
      </c>
      <c r="L723" t="n">
        <v>3</v>
      </c>
      <c r="M723" s="3">
        <f>I723/L723</f>
        <v/>
      </c>
      <c r="N723">
        <f>IF(M723&gt;=5100,"ставка","мин.ставка")</f>
        <v/>
      </c>
      <c r="O723" s="3">
        <f>ROUND(IF(N723="мин.ставка",L723*100,I723/102*2),2)</f>
        <v/>
      </c>
      <c r="P723" s="5" t="n">
        <v>46229.5</v>
      </c>
      <c r="Q723" t="inlineStr">
        <is>
          <t>TravelLine ресепшен</t>
        </is>
      </c>
      <c r="R723" s="2" t="inlineStr">
        <is>
          <t>СТАНДАРТНЫЙ ДВУХМЕСТНЫЙ НОМЕР</t>
        </is>
      </c>
      <c r="S723" t="n">
        <v>58</v>
      </c>
      <c r="T723" t="n">
        <v>2</v>
      </c>
      <c r="U723" t="inlineStr"/>
      <c r="V723" t="inlineStr">
        <is>
          <t>Тариф с завтраком</t>
        </is>
      </c>
      <c r="W723" t="n">
        <v>30645</v>
      </c>
      <c r="X723" s="3" t="n">
        <v>3405</v>
      </c>
      <c r="Y723" t="inlineStr">
        <is>
          <t>10%</t>
        </is>
      </c>
      <c r="Z723" t="inlineStr">
        <is>
          <t>2026-07-23, 2026-07-24, 2026-07-25</t>
        </is>
      </c>
      <c r="AA723" s="3" t="n">
        <v>30645</v>
      </c>
      <c r="AB723" t="inlineStr">
        <is>
          <t>Сошлось по ночным тарифам</t>
        </is>
      </c>
      <c r="AC723" s="2" t="inlineStr"/>
      <c r="AD723" t="n">
        <v>3405</v>
      </c>
      <c r="AE723" t="n">
        <v>0</v>
      </c>
      <c r="AF723" t="inlineStr">
        <is>
          <t>Скидка добавлена к налоговой базе</t>
        </is>
      </c>
      <c r="AG723" t="n">
        <v>34050</v>
      </c>
      <c r="AH723" t="n">
        <v>30645</v>
      </c>
      <c r="AI723" t="inlineStr">
        <is>
          <t>Полное проживание в выбранном периоде</t>
        </is>
      </c>
    </row>
    <row r="724">
      <c r="A724" t="inlineStr">
        <is>
          <t>20260821-8186-459875156</t>
        </is>
      </c>
      <c r="B724" t="n">
        <v>1</v>
      </c>
      <c r="C724" s="2" t="inlineStr">
        <is>
          <t>НИКОЛАЙ Соболев</t>
        </is>
      </c>
      <c r="D724" s="3" t="n">
        <v>11350</v>
      </c>
      <c r="E724" s="4" t="n">
        <v>0</v>
      </c>
      <c r="F724" t="inlineStr">
        <is>
          <t>Прямые бронирования (стойка) [Чайковский]</t>
        </is>
      </c>
      <c r="G724" s="3">
        <f>ROUND(D724/(100-E724)*100,2)</f>
        <v/>
      </c>
      <c r="H724" s="3" t="n">
        <v>0</v>
      </c>
      <c r="I724" s="3">
        <f>ROUND(IF(ISNUMBER(AG724),AG724,G724)+H724,2)</f>
        <v/>
      </c>
      <c r="J724" s="2" t="inlineStr">
        <is>
          <t>Завтрак "Шведский стол"</t>
        </is>
      </c>
      <c r="K724" s="5" t="n">
        <v>46255.58333333334</v>
      </c>
      <c r="L724" t="n">
        <v>1</v>
      </c>
      <c r="M724" s="3">
        <f>I724/L724</f>
        <v/>
      </c>
      <c r="N724">
        <f>IF(M724&gt;=5100,"ставка","мин.ставка")</f>
        <v/>
      </c>
      <c r="O724" s="3">
        <f>ROUND(IF(N724="мин.ставка",L724*100,I724/102*2),2)</f>
        <v/>
      </c>
      <c r="P724" s="5" t="n">
        <v>46256.5</v>
      </c>
      <c r="Q724" t="inlineStr">
        <is>
          <t>TravelLine ресепшен</t>
        </is>
      </c>
      <c r="R724" s="2" t="inlineStr">
        <is>
          <t>СТАНДАРТНЫЙ ДВУХМЕСТНЫЙ НОМЕР</t>
        </is>
      </c>
      <c r="S724" t="n">
        <v>26</v>
      </c>
      <c r="T724" t="n">
        <v>1</v>
      </c>
      <c r="U724" t="inlineStr"/>
      <c r="V724" t="inlineStr">
        <is>
          <t>Тариф с завтраком</t>
        </is>
      </c>
      <c r="W724" t="n">
        <v>11350</v>
      </c>
      <c r="X724" s="3" t="n">
        <v>0</v>
      </c>
      <c r="Y724" t="inlineStr"/>
      <c r="Z724" t="inlineStr"/>
      <c r="AA724" s="3" t="n">
        <v>11350</v>
      </c>
      <c r="AB724" t="inlineStr">
        <is>
          <t>Сошлось по ночным тарифам</t>
        </is>
      </c>
      <c r="AC724" s="2" t="inlineStr"/>
      <c r="AD724" t="n">
        <v>0</v>
      </c>
      <c r="AE724" t="n">
        <v>0</v>
      </c>
      <c r="AF724" t="inlineStr">
        <is>
          <t>Скидки нет</t>
        </is>
      </c>
      <c r="AG724" t="n">
        <v>11350</v>
      </c>
      <c r="AH724" t="n">
        <v>11350</v>
      </c>
      <c r="AI724" t="inlineStr">
        <is>
          <t>Полное проживание в выбранном периоде</t>
        </is>
      </c>
    </row>
    <row r="725">
      <c r="A725" t="inlineStr">
        <is>
          <t>20260706-8186-446293718</t>
        </is>
      </c>
      <c r="B725" t="n">
        <v>1</v>
      </c>
      <c r="C725" s="2" t="inlineStr">
        <is>
          <t>Николай Сорокин</t>
        </is>
      </c>
      <c r="D725" s="3" t="n">
        <v>30000</v>
      </c>
      <c r="E725" s="4" t="n">
        <v>0</v>
      </c>
      <c r="F725" t="inlineStr">
        <is>
          <t>Прямые бронирования (стойка) [Чайковский]</t>
        </is>
      </c>
      <c r="G725" s="3">
        <f>ROUND(D725/(100-E725)*100,2)</f>
        <v/>
      </c>
      <c r="H725" s="3" t="n">
        <v>0</v>
      </c>
      <c r="I725" s="3">
        <f>ROUND(IF(ISNUMBER(AG725),AG725,G725)+H725,2)</f>
        <v/>
      </c>
      <c r="J725" s="2" t="inlineStr">
        <is>
          <t>Завтрак "Шведский стол"</t>
        </is>
      </c>
      <c r="K725" s="5" t="n">
        <v>46209.58333333334</v>
      </c>
      <c r="L725" t="n">
        <v>2</v>
      </c>
      <c r="M725" s="3">
        <f>I725/L725</f>
        <v/>
      </c>
      <c r="N725">
        <f>IF(M725&gt;=5100,"ставка","мин.ставка")</f>
        <v/>
      </c>
      <c r="O725" s="3">
        <f>ROUND(IF(N725="мин.ставка",L725*100,I725/102*2),2)</f>
        <v/>
      </c>
      <c r="P725" s="5" t="n">
        <v>46211.5</v>
      </c>
      <c r="Q725" t="inlineStr">
        <is>
          <t>TravelLine ресепшен</t>
        </is>
      </c>
      <c r="R725" s="2" t="inlineStr">
        <is>
          <t>СТАНДАРТНЫЙ ДВУХМЕСТНЫЙ НОМЕР</t>
        </is>
      </c>
      <c r="S725" t="n">
        <v>55</v>
      </c>
      <c r="T725" t="n">
        <v>2</v>
      </c>
      <c r="U725" t="inlineStr"/>
      <c r="V725" t="inlineStr">
        <is>
          <t>Тариф с завтраком</t>
        </is>
      </c>
      <c r="W725" t="n">
        <v>30000</v>
      </c>
      <c r="X725" s="3" t="n">
        <v>0</v>
      </c>
      <c r="Y725" t="inlineStr"/>
      <c r="Z725" t="inlineStr"/>
      <c r="AA725" s="3" t="n">
        <v>30000</v>
      </c>
      <c r="AB725" t="inlineStr">
        <is>
          <t>Сошлось по ночным тарифам</t>
        </is>
      </c>
      <c r="AC725" s="2" t="inlineStr"/>
      <c r="AD725" t="n">
        <v>0</v>
      </c>
      <c r="AE725" t="n">
        <v>0</v>
      </c>
      <c r="AF725" t="inlineStr">
        <is>
          <t>Скидки нет</t>
        </is>
      </c>
      <c r="AG725" t="n">
        <v>30000</v>
      </c>
      <c r="AH725" t="n">
        <v>30000</v>
      </c>
      <c r="AI725" t="inlineStr">
        <is>
          <t>Полное проживание в выбранном периоде</t>
        </is>
      </c>
    </row>
    <row r="726">
      <c r="A726" t="inlineStr">
        <is>
          <t>20260916-8186-460918498</t>
        </is>
      </c>
      <c r="B726" t="n">
        <v>1</v>
      </c>
      <c r="C726" s="2" t="inlineStr">
        <is>
          <t>Николай Стовпец, ЛЮДМИЛА СТОВПЕЦ</t>
        </is>
      </c>
      <c r="D726" s="3" t="n">
        <v>83160</v>
      </c>
      <c r="E726" s="4" t="n">
        <v>0</v>
      </c>
      <c r="F726" t="inlineStr">
        <is>
          <t>Прямые бронирования (стойка) [Чайковский]</t>
        </is>
      </c>
      <c r="G726" s="3">
        <f>ROUND(D726/(100-E726)*100,2)</f>
        <v/>
      </c>
      <c r="H726" s="3" t="n">
        <v>0</v>
      </c>
      <c r="I726" s="3">
        <f>ROUND(IF(ISNUMBER(AG726),AG726,G726)+H726,2)</f>
        <v/>
      </c>
      <c r="J726" s="2" t="inlineStr">
        <is>
          <t>Завтрак "Шведский стол"</t>
        </is>
      </c>
      <c r="K726" s="5" t="n">
        <v>46280.58333333334</v>
      </c>
      <c r="L726" t="n">
        <v>6</v>
      </c>
      <c r="M726" s="3">
        <f>I726/L726</f>
        <v/>
      </c>
      <c r="N726">
        <f>IF(M726&gt;=5100,"ставка","мин.ставка")</f>
        <v/>
      </c>
      <c r="O726" s="3">
        <f>ROUND(IF(N726="мин.ставка",L726*100,I726/102*2),2)</f>
        <v/>
      </c>
      <c r="P726" s="5" t="n">
        <v>46286.5</v>
      </c>
      <c r="Q726" t="inlineStr">
        <is>
          <t>TravelLine ресепшен</t>
        </is>
      </c>
      <c r="R726" s="2" t="inlineStr">
        <is>
          <t>УЛУЧШЕННЫЙ ДВУХМЕСТНЫЙ НОМЕР</t>
        </is>
      </c>
      <c r="S726" t="n">
        <v>56</v>
      </c>
      <c r="T726" t="n">
        <v>2</v>
      </c>
      <c r="U726" t="inlineStr"/>
      <c r="V726" t="inlineStr">
        <is>
          <t>Тариф с завтраком</t>
        </is>
      </c>
      <c r="W726" t="n">
        <v>83160</v>
      </c>
      <c r="X726" s="3" t="n">
        <v>9240</v>
      </c>
      <c r="Y726" t="inlineStr">
        <is>
          <t>10%</t>
        </is>
      </c>
      <c r="Z726" t="inlineStr">
        <is>
          <t>2026-09-15, 2026-09-16, 2026-09-17, 2026-09-18, 2026-09-19, 2026-09-20</t>
        </is>
      </c>
      <c r="AA726" s="3" t="n">
        <v>83160</v>
      </c>
      <c r="AB726" t="inlineStr">
        <is>
          <t>Сошлось по ночным тарифам</t>
        </is>
      </c>
      <c r="AC726" s="2" t="inlineStr"/>
      <c r="AD726" t="n">
        <v>9240</v>
      </c>
      <c r="AE726" t="n">
        <v>0</v>
      </c>
      <c r="AF726" t="inlineStr">
        <is>
          <t>Скидка добавлена к налоговой базе</t>
        </is>
      </c>
      <c r="AG726" t="n">
        <v>92400</v>
      </c>
      <c r="AH726" t="n">
        <v>83160</v>
      </c>
      <c r="AI726" t="inlineStr">
        <is>
          <t>Полное проживание в выбранном периоде</t>
        </is>
      </c>
    </row>
    <row r="727">
      <c r="A727" t="inlineStr">
        <is>
          <t>20260911-8186-459836145</t>
        </is>
      </c>
      <c r="B727" t="n">
        <v>1</v>
      </c>
      <c r="C727" s="2" t="inlineStr">
        <is>
          <t>НИКОЛАЙ ШИНОВ, ТАТЬЯНА ЛЕВАЧЕВА</t>
        </is>
      </c>
      <c r="D727" s="3" t="n">
        <v>39449.25</v>
      </c>
      <c r="E727" s="4" t="n">
        <v>4</v>
      </c>
      <c r="F727" t="inlineStr">
        <is>
          <t>TravelLine Booking Engine [Чайковский]</t>
        </is>
      </c>
      <c r="G727" s="3">
        <f>ROUND(D727/(100-E727)*100,2)</f>
        <v/>
      </c>
      <c r="H727" s="3" t="n">
        <v>0</v>
      </c>
      <c r="I727" s="3">
        <f>ROUND(IF(ISNUMBER(AG727),AG727,G727)+H727,2)</f>
        <v/>
      </c>
      <c r="J727" s="2" t="inlineStr">
        <is>
          <t>Завтрак "Шведский стол"</t>
        </is>
      </c>
      <c r="K727" s="5" t="n">
        <v>46276.58333333334</v>
      </c>
      <c r="L727" t="n">
        <v>3</v>
      </c>
      <c r="M727" s="3">
        <f>I727/L727</f>
        <v/>
      </c>
      <c r="N727">
        <f>IF(M727&gt;=5100,"ставка","мин.ставка")</f>
        <v/>
      </c>
      <c r="O727" s="3">
        <f>ROUND(IF(N727="мин.ставка",L727*100,I727/102*2),2)</f>
        <v/>
      </c>
      <c r="P727" s="5" t="n">
        <v>46279.5</v>
      </c>
      <c r="Q727" t="inlineStr">
        <is>
          <t>TravelLine сайт</t>
        </is>
      </c>
      <c r="R727" s="2" t="inlineStr">
        <is>
          <t>СТАНДАРТНЫЙ ДВУХМЕСТНЫЙ НОМЕР</t>
        </is>
      </c>
      <c r="S727" t="n">
        <v>58</v>
      </c>
      <c r="T727" t="n">
        <v>2</v>
      </c>
      <c r="U727" t="inlineStr"/>
      <c r="V727" t="inlineStr">
        <is>
          <t>Тариф с завтраком</t>
        </is>
      </c>
      <c r="W727" t="n">
        <v>39449.25</v>
      </c>
      <c r="X727" s="3" t="n">
        <v>600.75</v>
      </c>
      <c r="Y727" t="inlineStr">
        <is>
          <t>1.5%</t>
        </is>
      </c>
      <c r="Z727" t="inlineStr">
        <is>
          <t>2026-09-11, 2026-09-12, 2026-09-13</t>
        </is>
      </c>
      <c r="AA727" s="3" t="n">
        <v>39449.25</v>
      </c>
      <c r="AB727" t="inlineStr">
        <is>
          <t>Сошлось по ночным тарифам</t>
        </is>
      </c>
      <c r="AC727" s="2" t="inlineStr"/>
      <c r="AD727" t="n">
        <v>600.75</v>
      </c>
      <c r="AE727" t="n">
        <v>0</v>
      </c>
      <c r="AF727" t="inlineStr">
        <is>
          <t>Скидка добавлена к налоговой базе</t>
        </is>
      </c>
      <c r="AG727" t="n">
        <v>40050</v>
      </c>
      <c r="AH727" t="n">
        <v>39449.25</v>
      </c>
      <c r="AI727" t="inlineStr">
        <is>
          <t>Полное проживание в выбранном периоде</t>
        </is>
      </c>
    </row>
    <row r="728">
      <c r="A728" t="inlineStr">
        <is>
          <t>20260627-8186-440220677</t>
        </is>
      </c>
      <c r="B728" t="n">
        <v>1</v>
      </c>
      <c r="C728" s="2" t="inlineStr">
        <is>
          <t>НИКОЛАЙ ЯРОВОЙ, ЕЛЕНА ИСУПОВА</t>
        </is>
      </c>
      <c r="D728" s="3" t="n">
        <v>76629</v>
      </c>
      <c r="E728" s="4" t="n">
        <v>18</v>
      </c>
      <c r="F728" t="inlineStr">
        <is>
          <t>ООО "ТРИВИО СЕРВИС" [Чайковский]</t>
        </is>
      </c>
      <c r="G728" s="3">
        <f>ROUND(D728/(100-E728)*100,2)</f>
        <v/>
      </c>
      <c r="H728" s="3" t="n">
        <v>0</v>
      </c>
      <c r="I728" s="3">
        <f>ROUND(IF(ISNUMBER(AG728),AG728,G728)+H728,2)</f>
        <v/>
      </c>
      <c r="J728" s="2" t="inlineStr"/>
      <c r="K728" s="5" t="n">
        <v>46200.58333333334</v>
      </c>
      <c r="L728" t="n">
        <v>3</v>
      </c>
      <c r="M728" s="3">
        <f>I728/L728</f>
        <v/>
      </c>
      <c r="N728">
        <f>IF(M728&gt;=5100,"ставка","мин.ставка")</f>
        <v/>
      </c>
      <c r="O728" s="3">
        <f>ROUND(IF(N728="мин.ставка",L728*100,I728/102*2),2)</f>
        <v/>
      </c>
      <c r="P728" s="5" t="n">
        <v>46207.91666666666</v>
      </c>
      <c r="Q728" t="inlineStr">
        <is>
          <t>TravelLine TIO</t>
        </is>
      </c>
      <c r="R728" s="2" t="inlineStr">
        <is>
          <t>СТАНДАРТНЫЙ ДВУХМЕСТНЫЙ НОМЕР</t>
        </is>
      </c>
      <c r="S728" t="n">
        <v>33</v>
      </c>
      <c r="T728" t="n">
        <v>1</v>
      </c>
      <c r="U728" t="inlineStr"/>
      <c r="V728" t="inlineStr">
        <is>
          <t>Тариф с завтраком</t>
        </is>
      </c>
      <c r="W728" t="n">
        <v>89776</v>
      </c>
      <c r="X728" s="3" t="n">
        <v>16821</v>
      </c>
      <c r="Y728" t="inlineStr">
        <is>
          <t>18%</t>
        </is>
      </c>
      <c r="Z728" t="inlineStr">
        <is>
          <t>2026-06-27, 2026-06-28, 2026-06-29, 2026-06-30, 2026-07-01, 2026-07-02, 2026-07-03</t>
        </is>
      </c>
      <c r="AA728" s="3" t="n">
        <v>76629</v>
      </c>
      <c r="AB728" t="inlineStr">
        <is>
          <t>Расхождение -10947.00 ₽</t>
        </is>
      </c>
      <c r="AC728" s="2" t="inlineStr"/>
      <c r="AD728" t="n">
        <v>7209</v>
      </c>
      <c r="AE728" t="n">
        <v>0</v>
      </c>
      <c r="AF728" t="inlineStr">
        <is>
          <t>Ночи скидки определены по dailyRates; в базу добавлена только часть выбранного периода</t>
        </is>
      </c>
      <c r="AG728" t="n">
        <v>40050</v>
      </c>
      <c r="AH728" t="n">
        <v>32841</v>
      </c>
      <c r="AI728" t="inlineStr">
        <is>
          <t>Частичное проживание распределено по dailyRates; допуслуги без даты исключены</t>
        </is>
      </c>
    </row>
    <row r="729">
      <c r="A729" t="inlineStr">
        <is>
          <t>20260806-8186-455738885</t>
        </is>
      </c>
      <c r="B729" t="n">
        <v>1</v>
      </c>
      <c r="C729" s="2" t="inlineStr">
        <is>
          <t>Николай Яроцкий</t>
        </is>
      </c>
      <c r="D729" s="3" t="n">
        <v>11350</v>
      </c>
      <c r="E729" s="4" t="n">
        <v>0</v>
      </c>
      <c r="F729" t="inlineStr">
        <is>
          <t>Прямые бронирования (стойка) [Чайковский]</t>
        </is>
      </c>
      <c r="G729" s="3">
        <f>ROUND(D729/(100-E729)*100,2)</f>
        <v/>
      </c>
      <c r="H729" s="3" t="n">
        <v>0</v>
      </c>
      <c r="I729" s="3">
        <f>ROUND(IF(ISNUMBER(AG729),AG729,G729)+H729,2)</f>
        <v/>
      </c>
      <c r="J729" s="2" t="inlineStr">
        <is>
          <t>Завтрак "Шведский стол"</t>
        </is>
      </c>
      <c r="K729" s="5" t="n">
        <v>46240.58333333334</v>
      </c>
      <c r="L729" t="n">
        <v>1</v>
      </c>
      <c r="M729" s="3">
        <f>I729/L729</f>
        <v/>
      </c>
      <c r="N729">
        <f>IF(M729&gt;=5100,"ставка","мин.ставка")</f>
        <v/>
      </c>
      <c r="O729" s="3">
        <f>ROUND(IF(N729="мин.ставка",L729*100,I729/102*2),2)</f>
        <v/>
      </c>
      <c r="P729" s="5" t="n">
        <v>46241.5</v>
      </c>
      <c r="Q729" t="inlineStr">
        <is>
          <t>TravelLine ресепшен</t>
        </is>
      </c>
      <c r="R729" s="2" t="inlineStr">
        <is>
          <t>СТАНДАРТНЫЙ ДВУХМЕСТНЫЙ НОМЕР</t>
        </is>
      </c>
      <c r="S729" t="n">
        <v>42</v>
      </c>
      <c r="T729" t="n">
        <v>1</v>
      </c>
      <c r="U729" t="inlineStr"/>
      <c r="V729" t="inlineStr">
        <is>
          <t>Тариф с завтраком</t>
        </is>
      </c>
      <c r="W729" t="n">
        <v>11350</v>
      </c>
      <c r="X729" s="3" t="n">
        <v>0</v>
      </c>
      <c r="Y729" t="inlineStr"/>
      <c r="Z729" t="inlineStr"/>
      <c r="AA729" s="3" t="n">
        <v>11350</v>
      </c>
      <c r="AB729" t="inlineStr">
        <is>
          <t>Сошлось по ночным тарифам</t>
        </is>
      </c>
      <c r="AC729" s="2" t="inlineStr"/>
      <c r="AD729" t="n">
        <v>0</v>
      </c>
      <c r="AE729" t="n">
        <v>0</v>
      </c>
      <c r="AF729" t="inlineStr">
        <is>
          <t>Скидки нет</t>
        </is>
      </c>
      <c r="AG729" t="n">
        <v>11350</v>
      </c>
      <c r="AH729" t="n">
        <v>11350</v>
      </c>
      <c r="AI729" t="inlineStr">
        <is>
          <t>Полное проживание в выбранном периоде</t>
        </is>
      </c>
    </row>
    <row r="730">
      <c r="A730" t="inlineStr">
        <is>
          <t>20260922-8186-466961418</t>
        </is>
      </c>
      <c r="B730" t="n">
        <v>1</v>
      </c>
      <c r="C730" s="2" t="inlineStr">
        <is>
          <t>Нина Балаян</t>
        </is>
      </c>
      <c r="D730" s="3" t="n">
        <v>44325</v>
      </c>
      <c r="E730" s="4" t="n">
        <v>18</v>
      </c>
      <c r="F730" t="inlineStr">
        <is>
          <t>Яндекс.Путешествия [Чайковский]</t>
        </is>
      </c>
      <c r="G730" s="3">
        <f>ROUND(D730/(100-E730)*100,2)</f>
        <v/>
      </c>
      <c r="H730" s="3" t="n">
        <v>0</v>
      </c>
      <c r="I730" s="3">
        <f>ROUND(IF(ISNUMBER(AG730),AG730,G730)+H730,2)</f>
        <v/>
      </c>
      <c r="J730" s="2" t="inlineStr"/>
      <c r="K730" s="5" t="n">
        <v>46287.58333333334</v>
      </c>
      <c r="L730" t="n">
        <v>6</v>
      </c>
      <c r="M730" s="3">
        <f>I730/L730</f>
        <v/>
      </c>
      <c r="N730">
        <f>IF(M730&gt;=5100,"ставка","мин.ставка")</f>
        <v/>
      </c>
      <c r="O730" s="3">
        <f>ROUND(IF(N730="мин.ставка",L730*100,I730/102*2),2)</f>
        <v/>
      </c>
      <c r="P730" s="5" t="n">
        <v>46293.5</v>
      </c>
      <c r="Q730" t="inlineStr">
        <is>
          <t>TravelLine YAX</t>
        </is>
      </c>
      <c r="R730" s="2" t="inlineStr">
        <is>
          <t>СТАНДАРТНЫЙ ДВУХМЕСТНЫЙ НОМЕР</t>
        </is>
      </c>
      <c r="S730" t="n">
        <v>58</v>
      </c>
      <c r="T730" t="n">
        <v>2</v>
      </c>
      <c r="U730" t="inlineStr"/>
      <c r="V730" t="inlineStr">
        <is>
          <t>Основной тариф без завтрака</t>
        </is>
      </c>
      <c r="W730" t="n">
        <v>44325</v>
      </c>
      <c r="X730" s="3" t="n">
        <v>14775</v>
      </c>
      <c r="Y730" t="inlineStr">
        <is>
          <t>25%</t>
        </is>
      </c>
      <c r="Z730" t="inlineStr">
        <is>
          <t>2026-09-22, 2026-09-23, 2026-09-24, 2026-09-25, 2026-09-26, 2026-09-27</t>
        </is>
      </c>
      <c r="AA730" s="3" t="n">
        <v>44325</v>
      </c>
      <c r="AB730" t="inlineStr">
        <is>
          <t>Сошлось по ночным тарифам</t>
        </is>
      </c>
      <c r="AC730" s="2" t="inlineStr"/>
      <c r="AD730" t="n">
        <v>14775</v>
      </c>
      <c r="AE730" t="n">
        <v>0</v>
      </c>
      <c r="AF730" t="inlineStr">
        <is>
          <t>Скидка добавлена к налоговой базе</t>
        </is>
      </c>
      <c r="AG730" t="n">
        <v>59100</v>
      </c>
      <c r="AH730" t="n">
        <v>44325</v>
      </c>
      <c r="AI730" t="inlineStr">
        <is>
          <t>Полное проживание в выбранном периоде</t>
        </is>
      </c>
    </row>
    <row r="731">
      <c r="A731" t="inlineStr">
        <is>
          <t>20260919-8186-467166169</t>
        </is>
      </c>
      <c r="B731" t="n">
        <v>1</v>
      </c>
      <c r="C731" s="2" t="inlineStr">
        <is>
          <t>НИНА ДАВЫДОВА, ИГОРЬ ТИЩЕНКО</t>
        </is>
      </c>
      <c r="D731" s="3" t="n">
        <v>12500</v>
      </c>
      <c r="E731" s="4" t="n">
        <v>0</v>
      </c>
      <c r="F731" t="inlineStr">
        <is>
          <t>Прямые бронирования (стойка) [Чайковский]</t>
        </is>
      </c>
      <c r="G731" s="3">
        <f>ROUND(D731/(100-E731)*100,2)</f>
        <v/>
      </c>
      <c r="H731" s="3" t="n">
        <v>0</v>
      </c>
      <c r="I731" s="3">
        <f>ROUND(IF(ISNUMBER(AG731),AG731,G731)+H731,2)</f>
        <v/>
      </c>
      <c r="J731" s="2" t="inlineStr">
        <is>
          <t>Завтрак "Шведский стол"</t>
        </is>
      </c>
      <c r="K731" s="5" t="n">
        <v>46284.58333333334</v>
      </c>
      <c r="L731" t="n">
        <v>1</v>
      </c>
      <c r="M731" s="3">
        <f>I731/L731</f>
        <v/>
      </c>
      <c r="N731">
        <f>IF(M731&gt;=5100,"ставка","мин.ставка")</f>
        <v/>
      </c>
      <c r="O731" s="3">
        <f>ROUND(IF(N731="мин.ставка",L731*100,I731/102*2),2)</f>
        <v/>
      </c>
      <c r="P731" s="5" t="n">
        <v>46285.5</v>
      </c>
      <c r="Q731" t="inlineStr">
        <is>
          <t>TravelLine ресепшен</t>
        </is>
      </c>
      <c r="R731" s="2" t="inlineStr">
        <is>
          <t>СЕМЕЙНЫЙ НОМЕР КАТЕГОРИИ "СТАНДАРТ" ВТОРОЙ КОРПУС</t>
        </is>
      </c>
      <c r="S731" t="n">
        <v>51</v>
      </c>
      <c r="T731" t="n">
        <v>2</v>
      </c>
      <c r="U731" t="inlineStr"/>
      <c r="V731" t="inlineStr">
        <is>
          <t>Тариф с завтраком</t>
        </is>
      </c>
      <c r="W731" t="n">
        <v>12500</v>
      </c>
      <c r="X731" s="3" t="n">
        <v>0</v>
      </c>
      <c r="Y731" t="inlineStr"/>
      <c r="Z731" t="inlineStr"/>
      <c r="AA731" s="3" t="n">
        <v>12500</v>
      </c>
      <c r="AB731" t="inlineStr">
        <is>
          <t>Сошлось по ночным тарифам</t>
        </is>
      </c>
      <c r="AC731" s="2" t="inlineStr"/>
      <c r="AD731" t="n">
        <v>0</v>
      </c>
      <c r="AE731" t="n">
        <v>0</v>
      </c>
      <c r="AF731" t="inlineStr">
        <is>
          <t>Скидки нет</t>
        </is>
      </c>
      <c r="AG731" t="n">
        <v>12500</v>
      </c>
      <c r="AH731" t="n">
        <v>12500</v>
      </c>
      <c r="AI731" t="inlineStr">
        <is>
          <t>Полное проживание в выбранном периоде</t>
        </is>
      </c>
    </row>
    <row r="732">
      <c r="A732" t="inlineStr">
        <is>
          <t>20260915-8186-465944203</t>
        </is>
      </c>
      <c r="B732" t="n">
        <v>1</v>
      </c>
      <c r="C732" s="2" t="inlineStr">
        <is>
          <t>Нина Кравченко, Елизавета Смольская</t>
        </is>
      </c>
      <c r="D732" s="3" t="n">
        <v>23987</v>
      </c>
      <c r="E732" s="4" t="n">
        <v>17</v>
      </c>
      <c r="F732" t="inlineStr">
        <is>
          <t>ООО «Интернет Трэвел» (OZON) [Чайковский]</t>
        </is>
      </c>
      <c r="G732" s="3">
        <f>ROUND(D732/(100-E732)*100,2)</f>
        <v/>
      </c>
      <c r="H732" s="3" t="n">
        <v>0</v>
      </c>
      <c r="I732" s="3">
        <f>ROUND(IF(ISNUMBER(AG732),AG732,G732)+H732,2)</f>
        <v/>
      </c>
      <c r="J732" s="2" t="inlineStr">
        <is>
          <t>Завтрак "Шведский стол"</t>
        </is>
      </c>
      <c r="K732" s="5" t="n">
        <v>46280.58333333334</v>
      </c>
      <c r="L732" t="n">
        <v>2</v>
      </c>
      <c r="M732" s="3">
        <f>I732/L732</f>
        <v/>
      </c>
      <c r="N732">
        <f>IF(M732&gt;=5100,"ставка","мин.ставка")</f>
        <v/>
      </c>
      <c r="O732" s="3">
        <f>ROUND(IF(N732="мин.ставка",L732*100,I732/102*2),2)</f>
        <v/>
      </c>
      <c r="P732" s="5" t="n">
        <v>46282.5</v>
      </c>
      <c r="Q732" t="inlineStr">
        <is>
          <t>TravelLine OZ2</t>
        </is>
      </c>
      <c r="R732" s="2" t="inlineStr">
        <is>
          <t>СЕМЕЙНЫЙ НОМЕР КАТЕГОРИИ "СТАНДАРТ" ВТОРОЙ КОРПУС</t>
        </is>
      </c>
      <c r="S732" t="n">
        <v>51</v>
      </c>
      <c r="T732" t="n">
        <v>2</v>
      </c>
      <c r="U732" t="inlineStr"/>
      <c r="V732" t="inlineStr">
        <is>
          <t>Тариф с завтраком</t>
        </is>
      </c>
      <c r="W732" t="n">
        <v>23987</v>
      </c>
      <c r="X732" s="3" t="n">
        <v>4913</v>
      </c>
      <c r="Y732" t="inlineStr">
        <is>
          <t>17%</t>
        </is>
      </c>
      <c r="Z732" t="inlineStr">
        <is>
          <t>2026-09-15, 2026-09-16</t>
        </is>
      </c>
      <c r="AA732" s="3" t="n">
        <v>23987</v>
      </c>
      <c r="AB732" t="inlineStr">
        <is>
          <t>Сошлось по ночным тарифам</t>
        </is>
      </c>
      <c r="AC732" s="2" t="inlineStr"/>
      <c r="AD732" t="n">
        <v>4913</v>
      </c>
      <c r="AE732" t="n">
        <v>0</v>
      </c>
      <c r="AF732" t="inlineStr">
        <is>
          <t>Скидка добавлена к налоговой базе</t>
        </is>
      </c>
      <c r="AG732" t="n">
        <v>28900</v>
      </c>
      <c r="AH732" t="n">
        <v>23987</v>
      </c>
      <c r="AI732" t="inlineStr">
        <is>
          <t>Полное проживание в выбранном периоде</t>
        </is>
      </c>
    </row>
    <row r="733">
      <c r="A733" t="inlineStr">
        <is>
          <t>20260820-8186-416292777</t>
        </is>
      </c>
      <c r="B733" t="n">
        <v>1</v>
      </c>
      <c r="C733" s="2" t="inlineStr">
        <is>
          <t>Нина Тарасова</t>
        </is>
      </c>
      <c r="D733" s="3" t="n">
        <v>38261.3</v>
      </c>
      <c r="E733" s="4" t="n">
        <v>4</v>
      </c>
      <c r="F733" t="inlineStr">
        <is>
          <t>TravelLine Booking Engine [Чайковский]</t>
        </is>
      </c>
      <c r="G733" s="3">
        <f>ROUND(D733/(100-E733)*100,2)</f>
        <v/>
      </c>
      <c r="H733" s="3" t="n">
        <v>0</v>
      </c>
      <c r="I733" s="3">
        <f>ROUND(IF(ISNUMBER(AG733),AG733,G733)+H733,2)</f>
        <v/>
      </c>
      <c r="J733" s="2" t="inlineStr">
        <is>
          <t>Завтрак "Шведский стол"</t>
        </is>
      </c>
      <c r="K733" s="5" t="n">
        <v>46254.58333333334</v>
      </c>
      <c r="L733" t="n">
        <v>5</v>
      </c>
      <c r="M733" s="3">
        <f>I733/L733</f>
        <v/>
      </c>
      <c r="N733">
        <f>IF(M733&gt;=5100,"ставка","мин.ставка")</f>
        <v/>
      </c>
      <c r="O733" s="3">
        <f>ROUND(IF(N733="мин.ставка",L733*100,I733/102*2),2)</f>
        <v/>
      </c>
      <c r="P733" s="5" t="n">
        <v>46259.5</v>
      </c>
      <c r="Q733" t="inlineStr">
        <is>
          <t>TravelLine сайт</t>
        </is>
      </c>
      <c r="R733" s="2" t="inlineStr">
        <is>
          <t>СТАНДАРТНЫЙ ОДНОМЕСТНЫЙ НОМЕР</t>
        </is>
      </c>
      <c r="S733" t="n">
        <v>24</v>
      </c>
      <c r="T733" t="n">
        <v>1</v>
      </c>
      <c r="U733" t="inlineStr"/>
      <c r="V733" t="inlineStr">
        <is>
          <t>Тариф с завтраком</t>
        </is>
      </c>
      <c r="W733" t="n">
        <v>38261.3</v>
      </c>
      <c r="X733" s="3" t="n">
        <v>238.7</v>
      </c>
      <c r="Y733" t="inlineStr">
        <is>
          <t>3.1%</t>
        </is>
      </c>
      <c r="Z733" t="inlineStr">
        <is>
          <t>2026-08-20</t>
        </is>
      </c>
      <c r="AA733" s="3" t="n">
        <v>38261.3</v>
      </c>
      <c r="AB733" t="inlineStr">
        <is>
          <t>Сошлось по ночным тарифам</t>
        </is>
      </c>
      <c r="AC733" s="2" t="inlineStr"/>
      <c r="AD733" t="n">
        <v>238.7</v>
      </c>
      <c r="AE733" t="n">
        <v>0</v>
      </c>
      <c r="AF733" t="inlineStr">
        <is>
          <t>Скидка добавлена к налоговой базе</t>
        </is>
      </c>
      <c r="AG733" t="n">
        <v>38500</v>
      </c>
      <c r="AH733" t="n">
        <v>38261.3</v>
      </c>
      <c r="AI733" t="inlineStr">
        <is>
          <t>Полное проживание в выбранном периоде</t>
        </is>
      </c>
    </row>
    <row r="734">
      <c r="A734" t="inlineStr">
        <is>
          <t>20260730-8186-412433351</t>
        </is>
      </c>
      <c r="B734" t="n">
        <v>1</v>
      </c>
      <c r="C734" s="2" t="inlineStr">
        <is>
          <t>Нина Хохлова</t>
        </is>
      </c>
      <c r="D734" s="3" t="n">
        <v>12320</v>
      </c>
      <c r="E734" s="4" t="n">
        <v>18</v>
      </c>
      <c r="F734" t="inlineStr">
        <is>
          <t>Яндекс.Путешествия [Чайковский]</t>
        </is>
      </c>
      <c r="G734" s="3">
        <f>ROUND(D734/(100-E734)*100,2)</f>
        <v/>
      </c>
      <c r="H734" s="3" t="n">
        <v>0</v>
      </c>
      <c r="I734" s="3">
        <f>ROUND(IF(ISNUMBER(AG734),AG734,G734)+H734,2)</f>
        <v/>
      </c>
      <c r="J734" s="2" t="inlineStr">
        <is>
          <t>Завтрак "Шведский стол"</t>
        </is>
      </c>
      <c r="K734" s="5" t="n">
        <v>46233.58333333334</v>
      </c>
      <c r="L734" t="n">
        <v>2</v>
      </c>
      <c r="M734" s="3">
        <f>I734/L734</f>
        <v/>
      </c>
      <c r="N734">
        <f>IF(M734&gt;=5100,"ставка","мин.ставка")</f>
        <v/>
      </c>
      <c r="O734" s="3">
        <f>ROUND(IF(N734="мин.ставка",L734*100,I734/102*2),2)</f>
        <v/>
      </c>
      <c r="P734" s="5" t="n">
        <v>46235.5</v>
      </c>
      <c r="Q734" t="inlineStr">
        <is>
          <t>TravelLine YAX</t>
        </is>
      </c>
      <c r="R734" s="2" t="inlineStr">
        <is>
          <t>СТАНДАРТНЫЙ ОДНОМЕСТНЫЙ НОМЕР</t>
        </is>
      </c>
      <c r="S734" t="n">
        <v>34</v>
      </c>
      <c r="T734" t="n">
        <v>1</v>
      </c>
      <c r="U734" t="inlineStr"/>
      <c r="V734" t="inlineStr">
        <is>
          <t>Тариф с завтраком</t>
        </is>
      </c>
      <c r="W734" t="n">
        <v>12320</v>
      </c>
      <c r="X734" s="3" t="n">
        <v>3080</v>
      </c>
      <c r="Y734" t="inlineStr">
        <is>
          <t>20%</t>
        </is>
      </c>
      <c r="Z734" t="inlineStr">
        <is>
          <t>2026-07-30, 2026-07-31</t>
        </is>
      </c>
      <c r="AA734" s="3" t="n">
        <v>12320</v>
      </c>
      <c r="AB734" t="inlineStr">
        <is>
          <t>Сошлось по ночным тарифам</t>
        </is>
      </c>
      <c r="AC734" s="2" t="inlineStr"/>
      <c r="AD734" t="n">
        <v>3080</v>
      </c>
      <c r="AE734" t="n">
        <v>0</v>
      </c>
      <c r="AF734" t="inlineStr">
        <is>
          <t>Скидка добавлена к налоговой базе</t>
        </is>
      </c>
      <c r="AG734" t="n">
        <v>15400</v>
      </c>
      <c r="AH734" t="n">
        <v>12320</v>
      </c>
      <c r="AI734" t="inlineStr">
        <is>
          <t>Полное проживание в выбранном периоде</t>
        </is>
      </c>
    </row>
    <row r="735">
      <c r="A735" t="inlineStr">
        <is>
          <t>20260802-8186-455240119</t>
        </is>
      </c>
      <c r="B735" t="n">
        <v>1</v>
      </c>
      <c r="C735" s="2" t="inlineStr">
        <is>
          <t>Нина Яроцкая, Иван Горбунчиков</t>
        </is>
      </c>
      <c r="D735" s="3" t="n">
        <v>8217</v>
      </c>
      <c r="E735" s="4" t="n">
        <v>18</v>
      </c>
      <c r="F735" t="inlineStr">
        <is>
          <t>Яндекс.Путешествия [Чайковский]</t>
        </is>
      </c>
      <c r="G735" s="3">
        <f>ROUND(D735/(100-E735)*100,2)</f>
        <v/>
      </c>
      <c r="H735" s="3" t="n">
        <v>0</v>
      </c>
      <c r="I735" s="3">
        <f>ROUND(IF(ISNUMBER(AG735),AG735,G735)+H735,2)</f>
        <v/>
      </c>
      <c r="J735" s="2" t="inlineStr">
        <is>
          <t>Завтрак "Шведский стол"</t>
        </is>
      </c>
      <c r="K735" s="5" t="n">
        <v>46236.58333333334</v>
      </c>
      <c r="L735" t="n">
        <v>1</v>
      </c>
      <c r="M735" s="3">
        <f>I735/L735</f>
        <v/>
      </c>
      <c r="N735">
        <f>IF(M735&gt;=5100,"ставка","мин.ставка")</f>
        <v/>
      </c>
      <c r="O735" s="3">
        <f>ROUND(IF(N735="мин.ставка",L735*100,I735/102*2),2)</f>
        <v/>
      </c>
      <c r="P735" s="5" t="n">
        <v>46237.5</v>
      </c>
      <c r="Q735" t="inlineStr">
        <is>
          <t>TravelLine YAX</t>
        </is>
      </c>
      <c r="R735" s="2" t="inlineStr">
        <is>
          <t>СТАНДАРТНЫЙ ДВУХМЕСТНЫЙ НОМЕР (МАНСАРДА)</t>
        </is>
      </c>
      <c r="S735" t="n">
        <v>43</v>
      </c>
      <c r="T735" t="n">
        <v>1</v>
      </c>
      <c r="U735" t="inlineStr"/>
      <c r="V735" t="inlineStr">
        <is>
          <t>Тариф с завтраком</t>
        </is>
      </c>
      <c r="W735" t="n">
        <v>8217</v>
      </c>
      <c r="X735" s="3" t="n">
        <v>1683</v>
      </c>
      <c r="Y735" t="inlineStr">
        <is>
          <t>17%</t>
        </is>
      </c>
      <c r="Z735" t="inlineStr">
        <is>
          <t>2026-08-02</t>
        </is>
      </c>
      <c r="AA735" s="3" t="n">
        <v>8217</v>
      </c>
      <c r="AB735" t="inlineStr">
        <is>
          <t>Сошлось по ночным тарифам</t>
        </is>
      </c>
      <c r="AC735" s="2" t="inlineStr"/>
      <c r="AD735" t="n">
        <v>1683</v>
      </c>
      <c r="AE735" t="n">
        <v>0</v>
      </c>
      <c r="AF735" t="inlineStr">
        <is>
          <t>Скидка добавлена к налоговой базе</t>
        </is>
      </c>
      <c r="AG735" t="n">
        <v>9900</v>
      </c>
      <c r="AH735" t="n">
        <v>8217</v>
      </c>
      <c r="AI735" t="inlineStr">
        <is>
          <t>Полное проживание в выбранном периоде</t>
        </is>
      </c>
    </row>
    <row r="736">
      <c r="A736" t="inlineStr">
        <is>
          <t>20260708-8186-447576976</t>
        </is>
      </c>
      <c r="B736" t="n">
        <v>1</v>
      </c>
      <c r="C736" s="2" t="inlineStr">
        <is>
          <t>Оксана Дяденко</t>
        </is>
      </c>
      <c r="D736" s="3" t="n">
        <v>33879.75</v>
      </c>
      <c r="E736" s="4" t="n">
        <v>4</v>
      </c>
      <c r="F736" t="inlineStr">
        <is>
          <t>TravelLine Booking Engine [Чайковский]</t>
        </is>
      </c>
      <c r="G736" s="3">
        <f>ROUND(D736/(100-E736)*100,2)</f>
        <v/>
      </c>
      <c r="H736" s="3" t="n">
        <v>0</v>
      </c>
      <c r="I736" s="3">
        <f>ROUND(IF(ISNUMBER(AG736),AG736,G736)+H736,2)</f>
        <v/>
      </c>
      <c r="J736" s="2" t="inlineStr">
        <is>
          <t>Завтрак "Шведский стол"</t>
        </is>
      </c>
      <c r="K736" s="5" t="n">
        <v>46211.58333333334</v>
      </c>
      <c r="L736" t="n">
        <v>3</v>
      </c>
      <c r="M736" s="3">
        <f>I736/L736</f>
        <v/>
      </c>
      <c r="N736">
        <f>IF(M736&gt;=5100,"ставка","мин.ставка")</f>
        <v/>
      </c>
      <c r="O736" s="3">
        <f>ROUND(IF(N736="мин.ставка",L736*100,I736/102*2),2)</f>
        <v/>
      </c>
      <c r="P736" s="5" t="n">
        <v>46214.5</v>
      </c>
      <c r="Q736" t="inlineStr">
        <is>
          <t>TravelLine сайт</t>
        </is>
      </c>
      <c r="R736" s="2" t="inlineStr">
        <is>
          <t>СТАНДАРТНЫЙ ДВУХМЕСТНЫЙ НОМЕР</t>
        </is>
      </c>
      <c r="S736" t="n">
        <v>55</v>
      </c>
      <c r="T736" t="n">
        <v>2</v>
      </c>
      <c r="U736" t="inlineStr"/>
      <c r="V736" t="inlineStr">
        <is>
          <t>Тариф с завтраком</t>
        </is>
      </c>
      <c r="W736" t="n">
        <v>33879.75</v>
      </c>
      <c r="X736" s="3" t="n">
        <v>170.25</v>
      </c>
      <c r="Y736" t="inlineStr">
        <is>
          <t>1.5%</t>
        </is>
      </c>
      <c r="Z736" t="inlineStr">
        <is>
          <t>2026-07-08</t>
        </is>
      </c>
      <c r="AA736" s="3" t="n">
        <v>33879.75</v>
      </c>
      <c r="AB736" t="inlineStr">
        <is>
          <t>Сошлось по ночным тарифам</t>
        </is>
      </c>
      <c r="AC736" s="2" t="inlineStr"/>
      <c r="AD736" t="n">
        <v>170.25</v>
      </c>
      <c r="AE736" t="n">
        <v>0</v>
      </c>
      <c r="AF736" t="inlineStr">
        <is>
          <t>Скидка добавлена к налоговой базе</t>
        </is>
      </c>
      <c r="AG736" t="n">
        <v>34050</v>
      </c>
      <c r="AH736" t="n">
        <v>33879.75</v>
      </c>
      <c r="AI736" t="inlineStr">
        <is>
          <t>Полное проживание в выбранном периоде</t>
        </is>
      </c>
    </row>
    <row r="737">
      <c r="A737" t="inlineStr">
        <is>
          <t>20260814-8186-458393454</t>
        </is>
      </c>
      <c r="B737" t="n">
        <v>1</v>
      </c>
      <c r="C737" s="2" t="inlineStr">
        <is>
          <t>Оксана Мисанец, ЭДУАРД АНТОНЯН</t>
        </is>
      </c>
      <c r="D737" s="3" t="n">
        <v>16252.5</v>
      </c>
      <c r="E737" s="4" t="n">
        <v>4</v>
      </c>
      <c r="F737" t="inlineStr">
        <is>
          <t>TravelLine Booking Engine [Чайковский]</t>
        </is>
      </c>
      <c r="G737" s="3">
        <f>ROUND(D737/(100-E737)*100,2)</f>
        <v/>
      </c>
      <c r="H737" s="3" t="n">
        <v>0</v>
      </c>
      <c r="I737" s="3">
        <f>ROUND(IF(ISNUMBER(AG737),AG737,G737)+H737,2)</f>
        <v/>
      </c>
      <c r="J737" s="2" t="inlineStr">
        <is>
          <t>Завтрак "Шведский стол"</t>
        </is>
      </c>
      <c r="K737" s="5" t="n">
        <v>46248.58333333334</v>
      </c>
      <c r="L737" t="n">
        <v>1</v>
      </c>
      <c r="M737" s="3">
        <f>I737/L737</f>
        <v/>
      </c>
      <c r="N737">
        <f>IF(M737&gt;=5100,"ставка","мин.ставка")</f>
        <v/>
      </c>
      <c r="O737" s="3">
        <f>ROUND(IF(N737="мин.ставка",L737*100,I737/102*2),2)</f>
        <v/>
      </c>
      <c r="P737" s="5" t="n">
        <v>46249.5</v>
      </c>
      <c r="Q737" t="inlineStr">
        <is>
          <t>TravelLine сайт</t>
        </is>
      </c>
      <c r="R737" s="2" t="inlineStr">
        <is>
          <t>ПОЛУЛЮКС</t>
        </is>
      </c>
      <c r="S737" t="n">
        <v>35</v>
      </c>
      <c r="T737" t="n">
        <v>1</v>
      </c>
      <c r="U737" t="inlineStr"/>
      <c r="V737" t="inlineStr">
        <is>
          <t>Тариф с завтраком</t>
        </is>
      </c>
      <c r="W737" t="n">
        <v>16252.5</v>
      </c>
      <c r="X737" s="3" t="n">
        <v>247.5</v>
      </c>
      <c r="Y737" t="inlineStr">
        <is>
          <t>1.5%</t>
        </is>
      </c>
      <c r="Z737" t="inlineStr">
        <is>
          <t>2026-08-14</t>
        </is>
      </c>
      <c r="AA737" s="3" t="n">
        <v>16252.5</v>
      </c>
      <c r="AB737" t="inlineStr">
        <is>
          <t>Сошлось по ночным тарифам</t>
        </is>
      </c>
      <c r="AC737" s="2" t="inlineStr"/>
      <c r="AD737" t="n">
        <v>247.5</v>
      </c>
      <c r="AE737" t="n">
        <v>0</v>
      </c>
      <c r="AF737" t="inlineStr">
        <is>
          <t>Скидка добавлена к налоговой базе</t>
        </is>
      </c>
      <c r="AG737" t="n">
        <v>16500</v>
      </c>
      <c r="AH737" t="n">
        <v>16252.5</v>
      </c>
      <c r="AI737" t="inlineStr">
        <is>
          <t>Полное проживание в выбранном периоде</t>
        </is>
      </c>
    </row>
    <row r="738">
      <c r="A738" t="inlineStr">
        <is>
          <t>20260818-8186-455916790</t>
        </is>
      </c>
      <c r="B738" t="n">
        <v>1</v>
      </c>
      <c r="C738" s="2" t="inlineStr">
        <is>
          <t>Оксана Степаненко</t>
        </is>
      </c>
      <c r="D738" s="3" t="n">
        <v>28782.5</v>
      </c>
      <c r="E738" s="4" t="n">
        <v>4</v>
      </c>
      <c r="F738" t="inlineStr">
        <is>
          <t>TravelLine Booking Engine [Чайковский]</t>
        </is>
      </c>
      <c r="G738" s="3">
        <f>ROUND(D738/(100-E738)*100,2)</f>
        <v/>
      </c>
      <c r="H738" s="3" t="n">
        <v>0</v>
      </c>
      <c r="I738" s="3">
        <f>ROUND(IF(ISNUMBER(AG738),AG738,G738)+H738,2)</f>
        <v/>
      </c>
      <c r="J738" s="2" t="inlineStr">
        <is>
          <t>Завтрак "Шведский стол"</t>
        </is>
      </c>
      <c r="K738" s="5" t="n">
        <v>46252.58333333334</v>
      </c>
      <c r="L738" t="n">
        <v>2</v>
      </c>
      <c r="M738" s="3">
        <f>I738/L738</f>
        <v/>
      </c>
      <c r="N738">
        <f>IF(M738&gt;=5100,"ставка","мин.ставка")</f>
        <v/>
      </c>
      <c r="O738" s="3">
        <f>ROUND(IF(N738="мин.ставка",L738*100,I738/102*2),2)</f>
        <v/>
      </c>
      <c r="P738" s="5" t="n">
        <v>46254.5</v>
      </c>
      <c r="Q738" t="inlineStr">
        <is>
          <t>TravelLine сайт</t>
        </is>
      </c>
      <c r="R738" s="2" t="inlineStr">
        <is>
          <t>ПОЛУЛЮКС</t>
        </is>
      </c>
      <c r="S738" t="n">
        <v>35</v>
      </c>
      <c r="T738" t="n">
        <v>1</v>
      </c>
      <c r="U738" t="inlineStr"/>
      <c r="V738" t="inlineStr">
        <is>
          <t>Тариф с завтраком</t>
        </is>
      </c>
      <c r="W738" t="n">
        <v>28782.5</v>
      </c>
      <c r="X738" s="3" t="n">
        <v>217.5</v>
      </c>
      <c r="Y738" t="inlineStr">
        <is>
          <t>1.5%</t>
        </is>
      </c>
      <c r="Z738" t="inlineStr">
        <is>
          <t>2026-08-18</t>
        </is>
      </c>
      <c r="AA738" s="3" t="n">
        <v>28782.5</v>
      </c>
      <c r="AB738" t="inlineStr">
        <is>
          <t>Сошлось по ночным тарифам</t>
        </is>
      </c>
      <c r="AC738" s="2" t="inlineStr"/>
      <c r="AD738" t="n">
        <v>217.5</v>
      </c>
      <c r="AE738" t="n">
        <v>0</v>
      </c>
      <c r="AF738" t="inlineStr">
        <is>
          <t>Скидка добавлена к налоговой базе</t>
        </is>
      </c>
      <c r="AG738" t="n">
        <v>29000</v>
      </c>
      <c r="AH738" t="n">
        <v>28782.5</v>
      </c>
      <c r="AI738" t="inlineStr">
        <is>
          <t>Полное проживание в выбранном периоде</t>
        </is>
      </c>
    </row>
    <row r="739">
      <c r="A739" t="inlineStr">
        <is>
          <t>20260820-8186-455918537</t>
        </is>
      </c>
      <c r="B739" t="n">
        <v>1</v>
      </c>
      <c r="C739" s="2" t="inlineStr">
        <is>
          <t>Оксана Степаненко</t>
        </is>
      </c>
      <c r="D739" s="3" t="n">
        <v>15310.2</v>
      </c>
      <c r="E739" s="4" t="n">
        <v>4</v>
      </c>
      <c r="F739" t="inlineStr">
        <is>
          <t>TravelLine Booking Engine [Чайковский]</t>
        </is>
      </c>
      <c r="G739" s="3">
        <f>ROUND(D739/(100-E739)*100,2)</f>
        <v/>
      </c>
      <c r="H739" s="3" t="n">
        <v>0</v>
      </c>
      <c r="I739" s="3">
        <f>ROUND(IF(ISNUMBER(AG739),AG739,G739)+H739,2)</f>
        <v/>
      </c>
      <c r="J739" s="2" t="inlineStr">
        <is>
          <t>Завтрак "Шведский стол"</t>
        </is>
      </c>
      <c r="K739" s="5" t="n">
        <v>46254.58333333334</v>
      </c>
      <c r="L739" t="n">
        <v>1</v>
      </c>
      <c r="M739" s="3">
        <f>I739/L739</f>
        <v/>
      </c>
      <c r="N739">
        <f>IF(M739&gt;=5100,"ставка","мин.ставка")</f>
        <v/>
      </c>
      <c r="O739" s="3">
        <f>ROUND(IF(N739="мин.ставка",L739*100,I739/102*2),2)</f>
        <v/>
      </c>
      <c r="P739" s="5" t="n">
        <v>46255.5</v>
      </c>
      <c r="Q739" t="inlineStr">
        <is>
          <t>TravelLine сайт</t>
        </is>
      </c>
      <c r="R739" s="2" t="inlineStr">
        <is>
          <t>ЛЮКС ВТОРОЙ КОРПУС</t>
        </is>
      </c>
      <c r="S739" t="n">
        <v>53</v>
      </c>
      <c r="T739" t="n">
        <v>2</v>
      </c>
      <c r="U739" t="inlineStr"/>
      <c r="V739" t="inlineStr">
        <is>
          <t>Тариф с завтраком</t>
        </is>
      </c>
      <c r="W739" t="n">
        <v>15310.2</v>
      </c>
      <c r="X739" s="3" t="n">
        <v>489.8</v>
      </c>
      <c r="Y739" t="inlineStr">
        <is>
          <t>3.1%</t>
        </is>
      </c>
      <c r="Z739" t="inlineStr">
        <is>
          <t>2026-08-20</t>
        </is>
      </c>
      <c r="AA739" s="3" t="n">
        <v>15310.2</v>
      </c>
      <c r="AB739" t="inlineStr">
        <is>
          <t>Сошлось по ночным тарифам</t>
        </is>
      </c>
      <c r="AC739" s="2" t="inlineStr"/>
      <c r="AD739" t="n">
        <v>489.8</v>
      </c>
      <c r="AE739" t="n">
        <v>0</v>
      </c>
      <c r="AF739" t="inlineStr">
        <is>
          <t>Скидка добавлена к налоговой базе</t>
        </is>
      </c>
      <c r="AG739" t="n">
        <v>15800</v>
      </c>
      <c r="AH739" t="n">
        <v>15310.2</v>
      </c>
      <c r="AI739" t="inlineStr">
        <is>
          <t>Полное проживание в выбранном периоде</t>
        </is>
      </c>
    </row>
    <row r="740">
      <c r="A740" t="inlineStr">
        <is>
          <t>20260916-8186-464600077</t>
        </is>
      </c>
      <c r="B740" t="n">
        <v>1</v>
      </c>
      <c r="C740" s="2" t="inlineStr">
        <is>
          <t>ОКСАНА СЫСУЕВА</t>
        </is>
      </c>
      <c r="D740" s="3" t="n">
        <v>10972.5</v>
      </c>
      <c r="E740" s="4" t="n">
        <v>18</v>
      </c>
      <c r="F740" t="inlineStr">
        <is>
          <t>Яндекс.Путешествия [Чайковский]</t>
        </is>
      </c>
      <c r="G740" s="3">
        <f>ROUND(D740/(100-E740)*100,2)</f>
        <v/>
      </c>
      <c r="H740" s="3" t="n">
        <v>0</v>
      </c>
      <c r="I740" s="3">
        <f>ROUND(IF(ISNUMBER(AG740),AG740,G740)+H740,2)</f>
        <v/>
      </c>
      <c r="J740" s="2" t="inlineStr">
        <is>
          <t>Завтрак "Шведский стол"</t>
        </is>
      </c>
      <c r="K740" s="5" t="n">
        <v>46281.58333333334</v>
      </c>
      <c r="L740" t="n">
        <v>2</v>
      </c>
      <c r="M740" s="3">
        <f>I740/L740</f>
        <v/>
      </c>
      <c r="N740">
        <f>IF(M740&gt;=5100,"ставка","мин.ставка")</f>
        <v/>
      </c>
      <c r="O740" s="3">
        <f>ROUND(IF(N740="мин.ставка",L740*100,I740/102*2),2)</f>
        <v/>
      </c>
      <c r="P740" s="5" t="n">
        <v>46283.5</v>
      </c>
      <c r="Q740" t="inlineStr">
        <is>
          <t>TravelLine YAX</t>
        </is>
      </c>
      <c r="R740" s="2" t="inlineStr">
        <is>
          <t>СТАНДАРТНЫЙ ОДНОМЕСТНЫЙ НОМЕР</t>
        </is>
      </c>
      <c r="S740" t="n">
        <v>34</v>
      </c>
      <c r="T740" t="n">
        <v>1</v>
      </c>
      <c r="U740" t="inlineStr"/>
      <c r="V740" t="inlineStr">
        <is>
          <t>Тариф с завтраком</t>
        </is>
      </c>
      <c r="W740" t="n">
        <v>10972.5</v>
      </c>
      <c r="X740" s="3" t="n">
        <v>3657.5</v>
      </c>
      <c r="Y740" t="inlineStr">
        <is>
          <t>25%</t>
        </is>
      </c>
      <c r="Z740" t="inlineStr">
        <is>
          <t>2026-09-16, 2026-09-17</t>
        </is>
      </c>
      <c r="AA740" s="3" t="n">
        <v>10972.5</v>
      </c>
      <c r="AB740" t="inlineStr">
        <is>
          <t>Сошлось по ночным тарифам</t>
        </is>
      </c>
      <c r="AC740" s="2" t="inlineStr"/>
      <c r="AD740" t="n">
        <v>3657.5</v>
      </c>
      <c r="AE740" t="n">
        <v>0</v>
      </c>
      <c r="AF740" t="inlineStr">
        <is>
          <t>Скидка добавлена к налоговой базе</t>
        </is>
      </c>
      <c r="AG740" t="n">
        <v>14630</v>
      </c>
      <c r="AH740" t="n">
        <v>10972.5</v>
      </c>
      <c r="AI740" t="inlineStr">
        <is>
          <t>Полное проживание в выбранном периоде</t>
        </is>
      </c>
    </row>
    <row r="741">
      <c r="A741" t="inlineStr">
        <is>
          <t>20260916-8186-461117504</t>
        </is>
      </c>
      <c r="B741" t="n">
        <v>1</v>
      </c>
      <c r="C741" s="2" t="inlineStr">
        <is>
          <t>ОКТЯБРИНА КАЙСАНОВА</t>
        </is>
      </c>
      <c r="D741" s="3" t="n">
        <v>38590</v>
      </c>
      <c r="E741" s="4" t="n">
        <v>15</v>
      </c>
      <c r="F741" t="inlineStr">
        <is>
          <t>ООО "АКАДЕМ-ОНЛАЙН" [Чайковский]</t>
        </is>
      </c>
      <c r="G741" s="3">
        <f>ROUND(D741/(100-E741)*100,2)</f>
        <v/>
      </c>
      <c r="H741" s="3" t="n">
        <v>0</v>
      </c>
      <c r="I741" s="3">
        <f>ROUND(IF(ISNUMBER(AG741),AG741,G741)+H741,2)</f>
        <v/>
      </c>
      <c r="J741" s="2" t="inlineStr">
        <is>
          <t>Завтрак "Шведский стол"</t>
        </is>
      </c>
      <c r="K741" s="5" t="n">
        <v>46281.58333333334</v>
      </c>
      <c r="L741" t="n">
        <v>4</v>
      </c>
      <c r="M741" s="3">
        <f>I741/L741</f>
        <v/>
      </c>
      <c r="N741">
        <f>IF(M741&gt;=5100,"ставка","мин.ставка")</f>
        <v/>
      </c>
      <c r="O741" s="3">
        <f>ROUND(IF(N741="мин.ставка",L741*100,I741/102*2),2)</f>
        <v/>
      </c>
      <c r="P741" s="5" t="n">
        <v>46285.5</v>
      </c>
      <c r="Q741" t="inlineStr">
        <is>
          <t>TravelLine ACS</t>
        </is>
      </c>
      <c r="R741" s="2" t="inlineStr">
        <is>
          <t>СТАНДАРТНЫЙ ДВУХМЕСТНЫЙ НОМЕР</t>
        </is>
      </c>
      <c r="S741" t="n">
        <v>52</v>
      </c>
      <c r="T741" t="n">
        <v>2</v>
      </c>
      <c r="U741" t="inlineStr"/>
      <c r="V741" t="inlineStr">
        <is>
          <t>Тариф с завтраком</t>
        </is>
      </c>
      <c r="W741" t="n">
        <v>38590</v>
      </c>
      <c r="X741" s="3" t="n">
        <v>6810</v>
      </c>
      <c r="Y741" t="inlineStr">
        <is>
          <t>15%</t>
        </is>
      </c>
      <c r="Z741" t="inlineStr">
        <is>
          <t>2026-09-16, 2026-09-17, 2026-09-18, 2026-09-19</t>
        </is>
      </c>
      <c r="AA741" s="3" t="n">
        <v>38590</v>
      </c>
      <c r="AB741" t="inlineStr">
        <is>
          <t>Сошлось по ночным тарифам</t>
        </is>
      </c>
      <c r="AC741" s="2" t="inlineStr"/>
      <c r="AD741" t="n">
        <v>6810</v>
      </c>
      <c r="AE741" t="n">
        <v>0</v>
      </c>
      <c r="AF741" t="inlineStr">
        <is>
          <t>Скидка добавлена к налоговой базе</t>
        </is>
      </c>
      <c r="AG741" t="n">
        <v>45400</v>
      </c>
      <c r="AH741" t="n">
        <v>38590</v>
      </c>
      <c r="AI741" t="inlineStr">
        <is>
          <t>Полное проживание в выбранном периоде</t>
        </is>
      </c>
    </row>
    <row r="742">
      <c r="A742" t="inlineStr">
        <is>
          <t>20260725-8186-442138766</t>
        </is>
      </c>
      <c r="B742" t="n">
        <v>1</v>
      </c>
      <c r="C742" s="2" t="inlineStr">
        <is>
          <t>Олег Веселов</t>
        </is>
      </c>
      <c r="D742" s="3" t="n">
        <v>17800</v>
      </c>
      <c r="E742" s="4" t="n">
        <v>0</v>
      </c>
      <c r="F742" t="inlineStr">
        <is>
          <t>Прямые бронирования (стойка) [Чайковский]</t>
        </is>
      </c>
      <c r="G742" s="3">
        <f>ROUND(D742/(100-E742)*100,2)</f>
        <v/>
      </c>
      <c r="H742" s="3" t="n">
        <v>0</v>
      </c>
      <c r="I742" s="3">
        <f>ROUND(IF(ISNUMBER(AG742),AG742,G742)+H742,2)</f>
        <v/>
      </c>
      <c r="J742" s="2" t="inlineStr">
        <is>
          <t>Завтрак "Шведский стол"</t>
        </is>
      </c>
      <c r="K742" s="5" t="n">
        <v>46228.58333333334</v>
      </c>
      <c r="L742" t="n">
        <v>1</v>
      </c>
      <c r="M742" s="3">
        <f>I742/L742</f>
        <v/>
      </c>
      <c r="N742">
        <f>IF(M742&gt;=5100,"ставка","мин.ставка")</f>
        <v/>
      </c>
      <c r="O742" s="3">
        <f>ROUND(IF(N742="мин.ставка",L742*100,I742/102*2),2)</f>
        <v/>
      </c>
      <c r="P742" s="5" t="n">
        <v>46229.5</v>
      </c>
      <c r="Q742" t="inlineStr">
        <is>
          <t>TravelLine ресепшен</t>
        </is>
      </c>
      <c r="R742" s="2" t="inlineStr">
        <is>
          <t>ЛЮКС ВТОРОЙ КОРПУС</t>
        </is>
      </c>
      <c r="S742" t="n">
        <v>53</v>
      </c>
      <c r="T742" t="n">
        <v>2</v>
      </c>
      <c r="U742" t="inlineStr"/>
      <c r="V742" t="inlineStr">
        <is>
          <t>Тариф с завтраком</t>
        </is>
      </c>
      <c r="W742" t="n">
        <v>17800</v>
      </c>
      <c r="X742" s="3" t="n">
        <v>0</v>
      </c>
      <c r="Y742" t="inlineStr"/>
      <c r="Z742" t="inlineStr"/>
      <c r="AA742" s="3" t="n">
        <v>17800</v>
      </c>
      <c r="AB742" t="inlineStr">
        <is>
          <t>Сошлось по ночным тарифам</t>
        </is>
      </c>
      <c r="AC742" s="2" t="inlineStr"/>
      <c r="AD742" t="n">
        <v>0</v>
      </c>
      <c r="AE742" t="n">
        <v>0</v>
      </c>
      <c r="AF742" t="inlineStr">
        <is>
          <t>Скидки нет</t>
        </is>
      </c>
      <c r="AG742" t="n">
        <v>17800</v>
      </c>
      <c r="AH742" t="n">
        <v>17800</v>
      </c>
      <c r="AI742" t="inlineStr">
        <is>
          <t>Полное проживание в выбранном периоде</t>
        </is>
      </c>
    </row>
    <row r="743">
      <c r="A743" t="inlineStr">
        <is>
          <t>20260830-8186-462334439</t>
        </is>
      </c>
      <c r="B743" t="n">
        <v>1</v>
      </c>
      <c r="C743" s="2" t="inlineStr">
        <is>
          <t>Олег Лисовский</t>
        </is>
      </c>
      <c r="D743" s="3" t="n">
        <v>6478</v>
      </c>
      <c r="E743" s="4" t="n">
        <v>18</v>
      </c>
      <c r="F743" t="inlineStr">
        <is>
          <t>ООО "Эй энд Эй" [Чайковский]</t>
        </is>
      </c>
      <c r="G743" s="3">
        <f>ROUND(D743/(100-E743)*100,2)</f>
        <v/>
      </c>
      <c r="H743" s="3" t="n">
        <v>0</v>
      </c>
      <c r="I743" s="3">
        <f>ROUND(IF(ISNUMBER(AG743),AG743,G743)+H743,2)</f>
        <v/>
      </c>
      <c r="J743" s="2" t="inlineStr">
        <is>
          <t>Завтрак "Шведский стол"</t>
        </is>
      </c>
      <c r="K743" s="5" t="n">
        <v>46264.58333333334</v>
      </c>
      <c r="L743" t="n">
        <v>1</v>
      </c>
      <c r="M743" s="3">
        <f>I743/L743</f>
        <v/>
      </c>
      <c r="N743">
        <f>IF(M743&gt;=5100,"ставка","мин.ставка")</f>
        <v/>
      </c>
      <c r="O743" s="3">
        <f>ROUND(IF(N743="мин.ставка",L743*100,I743/102*2),2)</f>
        <v/>
      </c>
      <c r="P743" s="5" t="n">
        <v>46265.5</v>
      </c>
      <c r="Q743" t="inlineStr">
        <is>
          <t>TravelLine ANA</t>
        </is>
      </c>
      <c r="R743" s="2" t="inlineStr">
        <is>
          <t>СТАНДАРТНЫЙ ДВУХМЕСТНЫЙ НОМЕР</t>
        </is>
      </c>
      <c r="S743" t="n">
        <v>33</v>
      </c>
      <c r="T743" t="n">
        <v>1</v>
      </c>
      <c r="U743" t="inlineStr"/>
      <c r="V743" t="inlineStr">
        <is>
          <t>Тариф с завтраком</t>
        </is>
      </c>
      <c r="W743" t="n">
        <v>6478</v>
      </c>
      <c r="X743" s="3" t="n">
        <v>1422</v>
      </c>
      <c r="Y743" t="inlineStr">
        <is>
          <t>18%</t>
        </is>
      </c>
      <c r="Z743" t="inlineStr">
        <is>
          <t>2026-08-30</t>
        </is>
      </c>
      <c r="AA743" s="3" t="n">
        <v>6478</v>
      </c>
      <c r="AB743" t="inlineStr">
        <is>
          <t>Сошлось по ночным тарифам</t>
        </is>
      </c>
      <c r="AC743" s="2" t="inlineStr"/>
      <c r="AD743" t="n">
        <v>1422</v>
      </c>
      <c r="AE743" t="n">
        <v>0</v>
      </c>
      <c r="AF743" t="inlineStr">
        <is>
          <t>Скидка добавлена к налоговой базе</t>
        </is>
      </c>
      <c r="AG743" t="n">
        <v>7900</v>
      </c>
      <c r="AH743" t="n">
        <v>6478</v>
      </c>
      <c r="AI743" t="inlineStr">
        <is>
          <t>Полное проживание в выбранном периоде</t>
        </is>
      </c>
    </row>
    <row r="744">
      <c r="A744" t="inlineStr">
        <is>
          <t>20260830-8186-461980619</t>
        </is>
      </c>
      <c r="B744" t="n">
        <v>1</v>
      </c>
      <c r="C744" s="2" t="inlineStr">
        <is>
          <t>Олег Пашкин, ЮЛИЯ ПАШКИНА</t>
        </is>
      </c>
      <c r="D744" s="3" t="n">
        <v>7920</v>
      </c>
      <c r="E744" s="4" t="n">
        <v>20</v>
      </c>
      <c r="F744" t="inlineStr">
        <is>
          <t>ООО "КОМПАНИЯ БРОНЕВИК" [Чайковский]</t>
        </is>
      </c>
      <c r="G744" s="3">
        <f>ROUND(D744/(100-E744)*100,2)</f>
        <v/>
      </c>
      <c r="H744" s="3" t="n">
        <v>0</v>
      </c>
      <c r="I744" s="3">
        <f>ROUND(IF(ISNUMBER(AG744),AG744,G744)+H744,2)</f>
        <v/>
      </c>
      <c r="J744" s="2" t="inlineStr">
        <is>
          <t>Завтрак "Шведский стол"</t>
        </is>
      </c>
      <c r="K744" s="5" t="n">
        <v>46264.58333333334</v>
      </c>
      <c r="L744" t="n">
        <v>1</v>
      </c>
      <c r="M744" s="3">
        <f>I744/L744</f>
        <v/>
      </c>
      <c r="N744">
        <f>IF(M744&gt;=5100,"ставка","мин.ставка")</f>
        <v/>
      </c>
      <c r="O744" s="3">
        <f>ROUND(IF(N744="мин.ставка",L744*100,I744/102*2),2)</f>
        <v/>
      </c>
      <c r="P744" s="5" t="n">
        <v>46265.5</v>
      </c>
      <c r="Q744" t="inlineStr">
        <is>
          <t>TravelLine BR2</t>
        </is>
      </c>
      <c r="R744" s="2" t="inlineStr">
        <is>
          <t>СТАНДАРТНЫЙ ДВУХМЕСТНЫЙ НОМЕР</t>
        </is>
      </c>
      <c r="S744" t="n">
        <v>32</v>
      </c>
      <c r="T744" t="n">
        <v>1</v>
      </c>
      <c r="U744" t="inlineStr"/>
      <c r="V744" t="inlineStr">
        <is>
          <t>Тариф с завтраком</t>
        </is>
      </c>
      <c r="W744" t="n">
        <v>7920</v>
      </c>
      <c r="X744" s="3" t="n">
        <v>0</v>
      </c>
      <c r="Y744" t="inlineStr"/>
      <c r="Z744" t="inlineStr"/>
      <c r="AA744" s="3" t="n">
        <v>7920</v>
      </c>
      <c r="AB744" t="inlineStr">
        <is>
          <t>Сошлось по ночным тарифам</t>
        </is>
      </c>
      <c r="AC744" s="2" t="inlineStr"/>
      <c r="AD744" t="n">
        <v>0</v>
      </c>
      <c r="AE744" t="n">
        <v>0</v>
      </c>
      <c r="AF744" t="inlineStr">
        <is>
          <t>Скидки нет</t>
        </is>
      </c>
      <c r="AG744" t="n">
        <v>7920</v>
      </c>
      <c r="AH744" t="n">
        <v>7920</v>
      </c>
      <c r="AI744" t="inlineStr">
        <is>
          <t>Полное проживание в выбранном периоде</t>
        </is>
      </c>
    </row>
    <row r="745">
      <c r="A745" t="inlineStr">
        <is>
          <t>20260831-8186-462645979</t>
        </is>
      </c>
      <c r="B745" t="n">
        <v>1</v>
      </c>
      <c r="C745" s="2" t="inlineStr">
        <is>
          <t>Олег Пашкин, ЮЛИЯ ПАШКИНА</t>
        </is>
      </c>
      <c r="D745" s="3" t="n">
        <v>9900</v>
      </c>
      <c r="E745" s="4" t="n">
        <v>0</v>
      </c>
      <c r="F745" t="inlineStr">
        <is>
          <t>Прямые бронирования (стойка) [Чайковский]</t>
        </is>
      </c>
      <c r="G745" s="3">
        <f>ROUND(D745/(100-E745)*100,2)</f>
        <v/>
      </c>
      <c r="H745" s="3" t="n">
        <v>0</v>
      </c>
      <c r="I745" s="3">
        <f>ROUND(IF(ISNUMBER(AG745),AG745,G745)+H745,2)</f>
        <v/>
      </c>
      <c r="J745" s="2" t="inlineStr">
        <is>
          <t>Завтрак "Шведский стол"</t>
        </is>
      </c>
      <c r="K745" s="5" t="n">
        <v>46265.58333333334</v>
      </c>
      <c r="L745" t="n">
        <v>1</v>
      </c>
      <c r="M745" s="3">
        <f>I745/L745</f>
        <v/>
      </c>
      <c r="N745">
        <f>IF(M745&gt;=5100,"ставка","мин.ставка")</f>
        <v/>
      </c>
      <c r="O745" s="3">
        <f>ROUND(IF(N745="мин.ставка",L745*100,I745/102*2),2)</f>
        <v/>
      </c>
      <c r="P745" s="5" t="n">
        <v>46266.5</v>
      </c>
      <c r="Q745" t="inlineStr">
        <is>
          <t>TravelLine ресепшен</t>
        </is>
      </c>
      <c r="R745" s="2" t="inlineStr">
        <is>
          <t>СТАНДАРТНЫЙ ДВУХМЕСТНЫЙ НОМЕР</t>
        </is>
      </c>
      <c r="S745" t="n">
        <v>32</v>
      </c>
      <c r="T745" t="n">
        <v>1</v>
      </c>
      <c r="U745" t="inlineStr"/>
      <c r="V745" t="inlineStr">
        <is>
          <t>Тариф с завтраком</t>
        </is>
      </c>
      <c r="W745" t="n">
        <v>9900</v>
      </c>
      <c r="X745" s="3" t="n">
        <v>0</v>
      </c>
      <c r="Y745" t="inlineStr"/>
      <c r="Z745" t="inlineStr"/>
      <c r="AA745" s="3" t="n">
        <v>9900</v>
      </c>
      <c r="AB745" t="inlineStr">
        <is>
          <t>Сошлось по ночным тарифам</t>
        </is>
      </c>
      <c r="AC745" s="2" t="inlineStr"/>
      <c r="AD745" t="n">
        <v>0</v>
      </c>
      <c r="AE745" t="n">
        <v>0</v>
      </c>
      <c r="AF745" t="inlineStr">
        <is>
          <t>Скидки нет</t>
        </is>
      </c>
      <c r="AG745" t="n">
        <v>9900</v>
      </c>
      <c r="AH745" t="n">
        <v>9900</v>
      </c>
      <c r="AI745" t="inlineStr">
        <is>
          <t>Полное проживание в выбранном периоде</t>
        </is>
      </c>
    </row>
    <row r="746">
      <c r="A746" t="inlineStr">
        <is>
          <t>20260904-8186-419608255</t>
        </is>
      </c>
      <c r="B746" t="n">
        <v>1</v>
      </c>
      <c r="C746" s="2" t="inlineStr">
        <is>
          <t>Олег Рассказов, Дмитрий Рассказов</t>
        </is>
      </c>
      <c r="D746" s="3" t="n">
        <v>19493.1</v>
      </c>
      <c r="E746" s="4" t="n">
        <v>4</v>
      </c>
      <c r="F746" t="inlineStr">
        <is>
          <t>TravelLine Booking Engine [Чайковский]</t>
        </is>
      </c>
      <c r="G746" s="3">
        <f>ROUND(D746/(100-E746)*100,2)</f>
        <v/>
      </c>
      <c r="H746" s="3" t="n">
        <v>0</v>
      </c>
      <c r="I746" s="3">
        <f>ROUND(IF(ISNUMBER(AG746),AG746,G746)+H746,2)</f>
        <v/>
      </c>
      <c r="J746" s="2" t="inlineStr">
        <is>
          <t>Завтрак "Шведский стол"</t>
        </is>
      </c>
      <c r="K746" s="5" t="n">
        <v>46269.58333333334</v>
      </c>
      <c r="L746" t="n">
        <v>2</v>
      </c>
      <c r="M746" s="3">
        <f>I746/L746</f>
        <v/>
      </c>
      <c r="N746">
        <f>IF(M746&gt;=5100,"ставка","мин.ставка")</f>
        <v/>
      </c>
      <c r="O746" s="3">
        <f>ROUND(IF(N746="мин.ставка",L746*100,I746/102*2),2)</f>
        <v/>
      </c>
      <c r="P746" s="5" t="n">
        <v>46271.5</v>
      </c>
      <c r="Q746" t="inlineStr">
        <is>
          <t>TravelLine сайт</t>
        </is>
      </c>
      <c r="R746" s="2" t="inlineStr">
        <is>
          <t>УЛУЧШЕННЫЙ ДВУХМЕСТНЫЙ НОМЕР</t>
        </is>
      </c>
      <c r="S746" t="n">
        <v>21</v>
      </c>
      <c r="T746" t="n">
        <v>1</v>
      </c>
      <c r="U746" t="inlineStr"/>
      <c r="V746" t="inlineStr">
        <is>
          <t>Тариф с завтраком</t>
        </is>
      </c>
      <c r="W746" t="n">
        <v>45779.25</v>
      </c>
      <c r="X746" s="3" t="n">
        <v>306.9</v>
      </c>
      <c r="Y746" t="inlineStr">
        <is>
          <t>3.1%</t>
        </is>
      </c>
      <c r="Z746" t="inlineStr">
        <is>
          <t>2026-09-04</t>
        </is>
      </c>
      <c r="AA746" s="3" t="n">
        <v>19493.1</v>
      </c>
      <c r="AB746" t="inlineStr">
        <is>
          <t>Сошлось по ночным тарифам</t>
        </is>
      </c>
      <c r="AC746" s="2" t="inlineStr"/>
      <c r="AD746" t="n">
        <v>306.9</v>
      </c>
      <c r="AE746" t="n">
        <v>0</v>
      </c>
      <c r="AF746" t="inlineStr">
        <is>
          <t>Скидка добавлена к налоговой базе</t>
        </is>
      </c>
      <c r="AG746" t="n">
        <v>19800</v>
      </c>
      <c r="AH746" t="n">
        <v>19493.1</v>
      </c>
      <c r="AI746" t="inlineStr">
        <is>
          <t>Полное проживание в выбранном периоде</t>
        </is>
      </c>
    </row>
    <row r="747">
      <c r="A747" t="inlineStr">
        <is>
          <t>20260824-8186-435973741</t>
        </is>
      </c>
      <c r="B747" t="n">
        <v>1</v>
      </c>
      <c r="C747" s="2" t="inlineStr">
        <is>
          <t>ОЛЕГ СОКОЛОВ, АННА ШИШКОВА</t>
        </is>
      </c>
      <c r="D747" s="3" t="n">
        <v>93450</v>
      </c>
      <c r="E747" s="4" t="n">
        <v>15</v>
      </c>
      <c r="F747" t="inlineStr">
        <is>
          <t>ООО «12Т» (ранее ONE TWO TRIP) [Чайковский]</t>
        </is>
      </c>
      <c r="G747" s="3">
        <f>ROUND(D747/(100-E747)*100,2)</f>
        <v/>
      </c>
      <c r="H747" s="3" t="n">
        <v>0</v>
      </c>
      <c r="I747" s="3">
        <f>ROUND(IF(ISNUMBER(AG747),AG747,G747)+H747,2)</f>
        <v/>
      </c>
      <c r="J747" s="2" t="inlineStr">
        <is>
          <t>Завтрак "Шведский стол"</t>
        </is>
      </c>
      <c r="K747" s="5" t="n">
        <v>46260.58333333334</v>
      </c>
      <c r="L747" t="n">
        <v>7</v>
      </c>
      <c r="M747" s="3">
        <f>I747/L747</f>
        <v/>
      </c>
      <c r="N747">
        <f>IF(M747&gt;=5100,"ставка","мин.ставка")</f>
        <v/>
      </c>
      <c r="O747" s="3">
        <f>ROUND(IF(N747="мин.ставка",L747*100,I747/102*2),2)</f>
        <v/>
      </c>
      <c r="P747" s="5" t="n">
        <v>46267.5</v>
      </c>
      <c r="Q747" t="inlineStr">
        <is>
          <t>TravelLine OTT</t>
        </is>
      </c>
      <c r="R747" s="2" t="inlineStr">
        <is>
          <t>СТАНДАРТНЫЙ ДВУХМЕСТНЫЙ НОМЕР</t>
        </is>
      </c>
      <c r="S747" t="n">
        <v>44</v>
      </c>
      <c r="T747" t="n">
        <v>1</v>
      </c>
      <c r="U747" t="inlineStr"/>
      <c r="V747" t="inlineStr">
        <is>
          <t>Тариф с завтраком</t>
        </is>
      </c>
      <c r="W747" t="n">
        <v>93450</v>
      </c>
      <c r="X747" s="3" t="n">
        <v>0</v>
      </c>
      <c r="Y747" t="inlineStr"/>
      <c r="Z747" t="inlineStr"/>
      <c r="AA747" s="3" t="n">
        <v>93450</v>
      </c>
      <c r="AB747" t="inlineStr">
        <is>
          <t>Сошлось по ночным тарифам</t>
        </is>
      </c>
      <c r="AC747" s="2" t="inlineStr"/>
      <c r="AD747" t="n">
        <v>0</v>
      </c>
      <c r="AE747" t="n">
        <v>0</v>
      </c>
      <c r="AF747" t="inlineStr">
        <is>
          <t>Скидки нет</t>
        </is>
      </c>
      <c r="AG747" t="n">
        <v>93450</v>
      </c>
      <c r="AH747" t="n">
        <v>93450</v>
      </c>
      <c r="AI747" t="inlineStr">
        <is>
          <t>Полное проживание в выбранном периоде</t>
        </is>
      </c>
    </row>
    <row r="748">
      <c r="A748" t="inlineStr">
        <is>
          <t>20260831-8186-462574200</t>
        </is>
      </c>
      <c r="B748" t="n">
        <v>1</v>
      </c>
      <c r="C748" s="2" t="inlineStr">
        <is>
          <t>Олег Худзиев</t>
        </is>
      </c>
      <c r="D748" s="3" t="n">
        <v>7781.5</v>
      </c>
      <c r="E748" s="4" t="n">
        <v>4</v>
      </c>
      <c r="F748" t="inlineStr">
        <is>
          <t>TravelLine Booking Engine [Чайковский]</t>
        </is>
      </c>
      <c r="G748" s="3">
        <f>ROUND(D748/(100-E748)*100,2)</f>
        <v/>
      </c>
      <c r="H748" s="3" t="n">
        <v>0</v>
      </c>
      <c r="I748" s="3">
        <f>ROUND(IF(ISNUMBER(AG748),AG748,G748)+H748,2)</f>
        <v/>
      </c>
      <c r="J748" s="2" t="inlineStr">
        <is>
          <t>Завтрак "Шведский стол"</t>
        </is>
      </c>
      <c r="K748" s="5" t="n">
        <v>46265.58333333334</v>
      </c>
      <c r="L748" t="n">
        <v>1</v>
      </c>
      <c r="M748" s="3">
        <f>I748/L748</f>
        <v/>
      </c>
      <c r="N748">
        <f>IF(M748&gt;=5100,"ставка","мин.ставка")</f>
        <v/>
      </c>
      <c r="O748" s="3">
        <f>ROUND(IF(N748="мин.ставка",L748*100,I748/102*2),2)</f>
        <v/>
      </c>
      <c r="P748" s="5" t="n">
        <v>46266.5</v>
      </c>
      <c r="Q748" t="inlineStr">
        <is>
          <t>TravelLine сайт</t>
        </is>
      </c>
      <c r="R748" s="2" t="inlineStr">
        <is>
          <t>СТАНДАРТНЫЙ ДВУХМЕСТНЫЙ НОМЕР</t>
        </is>
      </c>
      <c r="S748" t="n">
        <v>26</v>
      </c>
      <c r="T748" t="n">
        <v>1</v>
      </c>
      <c r="U748" t="inlineStr"/>
      <c r="V748" t="inlineStr">
        <is>
          <t>Тариф с завтраком</t>
        </is>
      </c>
      <c r="W748" t="n">
        <v>7781.5</v>
      </c>
      <c r="X748" s="3" t="n">
        <v>118.5</v>
      </c>
      <c r="Y748" t="inlineStr">
        <is>
          <t>1.5%</t>
        </is>
      </c>
      <c r="Z748" t="inlineStr">
        <is>
          <t>2026-08-31</t>
        </is>
      </c>
      <c r="AA748" s="3" t="n">
        <v>7781.5</v>
      </c>
      <c r="AB748" t="inlineStr">
        <is>
          <t>Сошлось по ночным тарифам</t>
        </is>
      </c>
      <c r="AC748" s="2" t="inlineStr"/>
      <c r="AD748" t="n">
        <v>118.5</v>
      </c>
      <c r="AE748" t="n">
        <v>0</v>
      </c>
      <c r="AF748" t="inlineStr">
        <is>
          <t>Скидка добавлена к налоговой базе</t>
        </is>
      </c>
      <c r="AG748" t="n">
        <v>7900</v>
      </c>
      <c r="AH748" t="n">
        <v>7781.5</v>
      </c>
      <c r="AI748" t="inlineStr">
        <is>
          <t>Полное проживание в выбранном периоде</t>
        </is>
      </c>
    </row>
    <row r="749">
      <c r="A749" t="inlineStr">
        <is>
          <t>20260930-8186-468529147</t>
        </is>
      </c>
      <c r="B749" t="n">
        <v>1</v>
      </c>
      <c r="C749" s="2" t="inlineStr">
        <is>
          <t>ОЛЕСЯ ВЛАСЕНКО</t>
        </is>
      </c>
      <c r="D749" s="3" t="n">
        <v>9307</v>
      </c>
      <c r="E749" s="4" t="n">
        <v>18</v>
      </c>
      <c r="F749" t="inlineStr">
        <is>
          <t>ООО "ТРИВИО СЕРВИС" [Чайковский]</t>
        </is>
      </c>
      <c r="G749" s="3">
        <f>ROUND(D749/(100-E749)*100,2)</f>
        <v/>
      </c>
      <c r="H749" s="3" t="n">
        <v>0</v>
      </c>
      <c r="I749" s="3">
        <f>ROUND(IF(ISNUMBER(AG749),AG749,G749)+H749,2)</f>
        <v/>
      </c>
      <c r="J749" s="2" t="inlineStr">
        <is>
          <t>Завтрак "Шведский стол"</t>
        </is>
      </c>
      <c r="K749" s="5" t="n">
        <v>46295.58333333334</v>
      </c>
      <c r="L749" t="n">
        <v>1</v>
      </c>
      <c r="M749" s="3">
        <f>I749/L749</f>
        <v/>
      </c>
      <c r="N749">
        <f>IF(M749&gt;=5100,"ставка","мин.ставка")</f>
        <v/>
      </c>
      <c r="O749" s="3">
        <f>ROUND(IF(N749="мин.ставка",L749*100,I749/102*2),2)</f>
        <v/>
      </c>
      <c r="P749" s="5" t="n">
        <v>46296.5</v>
      </c>
      <c r="Q749" t="inlineStr">
        <is>
          <t>TravelLine TIO</t>
        </is>
      </c>
      <c r="R749" s="2" t="inlineStr">
        <is>
          <t>СТАНДАРТНЫЙ ДВУХМЕСТНЫЙ НОМЕР</t>
        </is>
      </c>
      <c r="S749" t="n">
        <v>42</v>
      </c>
      <c r="T749" t="n">
        <v>1</v>
      </c>
      <c r="U749" t="inlineStr"/>
      <c r="V749" t="inlineStr">
        <is>
          <t>Тариф с завтраком</t>
        </is>
      </c>
      <c r="W749" t="n">
        <v>9307</v>
      </c>
      <c r="X749" s="3" t="n">
        <v>2043</v>
      </c>
      <c r="Y749" t="inlineStr">
        <is>
          <t>18%</t>
        </is>
      </c>
      <c r="Z749" t="inlineStr">
        <is>
          <t>2026-09-30</t>
        </is>
      </c>
      <c r="AA749" s="3" t="n">
        <v>9307</v>
      </c>
      <c r="AB749" t="inlineStr">
        <is>
          <t>Сошлось по ночным тарифам</t>
        </is>
      </c>
      <c r="AC749" s="2" t="inlineStr"/>
      <c r="AD749" t="n">
        <v>2043</v>
      </c>
      <c r="AE749" t="n">
        <v>0</v>
      </c>
      <c r="AF749" t="inlineStr">
        <is>
          <t>Скидка добавлена к налоговой базе</t>
        </is>
      </c>
      <c r="AG749" t="n">
        <v>11350</v>
      </c>
      <c r="AH749" t="n">
        <v>9307</v>
      </c>
      <c r="AI749" t="inlineStr">
        <is>
          <t>Полное проживание в выбранном периоде</t>
        </is>
      </c>
    </row>
    <row r="750">
      <c r="A750" t="inlineStr">
        <is>
          <t>20260905-8186-441680792</t>
        </is>
      </c>
      <c r="B750" t="n">
        <v>1</v>
      </c>
      <c r="C750" s="2" t="inlineStr">
        <is>
          <t>Олеся Долгополик</t>
        </is>
      </c>
      <c r="D750" s="3" t="n">
        <v>36320</v>
      </c>
      <c r="E750" s="4" t="n">
        <v>20</v>
      </c>
      <c r="F750" t="inlineStr">
        <is>
          <t>ООО "КОМПАНИЯ БРОНЕВИК" [Чайковский]</t>
        </is>
      </c>
      <c r="G750" s="3">
        <f>ROUND(D750/(100-E750)*100,2)</f>
        <v/>
      </c>
      <c r="H750" s="3" t="n">
        <v>0</v>
      </c>
      <c r="I750" s="3">
        <f>ROUND(IF(ISNUMBER(AG750),AG750,G750)+H750,2)</f>
        <v/>
      </c>
      <c r="J750" s="2" t="inlineStr">
        <is>
          <t>Завтрак "Шведский стол"</t>
        </is>
      </c>
      <c r="K750" s="5" t="n">
        <v>46270.58333333334</v>
      </c>
      <c r="L750" t="n">
        <v>4</v>
      </c>
      <c r="M750" s="3">
        <f>I750/L750</f>
        <v/>
      </c>
      <c r="N750">
        <f>IF(M750&gt;=5100,"ставка","мин.ставка")</f>
        <v/>
      </c>
      <c r="O750" s="3">
        <f>ROUND(IF(N750="мин.ставка",L750*100,I750/102*2),2)</f>
        <v/>
      </c>
      <c r="P750" s="5" t="n">
        <v>46274.5</v>
      </c>
      <c r="Q750" t="inlineStr">
        <is>
          <t>TravelLine BR2</t>
        </is>
      </c>
      <c r="R750" s="2" t="inlineStr">
        <is>
          <t>СТАНДАРТНЫЙ ДВУХМЕСТНЫЙ НОМЕР</t>
        </is>
      </c>
      <c r="S750" t="n">
        <v>33</v>
      </c>
      <c r="T750" t="n">
        <v>1</v>
      </c>
      <c r="U750" t="inlineStr"/>
      <c r="V750" t="inlineStr">
        <is>
          <t>Тариф с завтраком</t>
        </is>
      </c>
      <c r="W750" t="n">
        <v>36320</v>
      </c>
      <c r="X750" s="3" t="n">
        <v>0</v>
      </c>
      <c r="Y750" t="inlineStr"/>
      <c r="Z750" t="inlineStr"/>
      <c r="AA750" s="3" t="n">
        <v>36320</v>
      </c>
      <c r="AB750" t="inlineStr">
        <is>
          <t>Сошлось по ночным тарифам</t>
        </is>
      </c>
      <c r="AC750" s="2" t="inlineStr"/>
      <c r="AD750" t="n">
        <v>0</v>
      </c>
      <c r="AE750" t="n">
        <v>0</v>
      </c>
      <c r="AF750" t="inlineStr">
        <is>
          <t>Скидки нет</t>
        </is>
      </c>
      <c r="AG750" t="n">
        <v>36320</v>
      </c>
      <c r="AH750" t="n">
        <v>36320</v>
      </c>
      <c r="AI750" t="inlineStr">
        <is>
          <t>Полное проживание в выбранном периоде</t>
        </is>
      </c>
    </row>
    <row r="751">
      <c r="A751" t="inlineStr">
        <is>
          <t>20260728-8186-453872864</t>
        </is>
      </c>
      <c r="B751" t="n">
        <v>1</v>
      </c>
      <c r="C751" s="2" t="inlineStr">
        <is>
          <t>Олеся Крохина</t>
        </is>
      </c>
      <c r="D751" s="3" t="n">
        <v>7298</v>
      </c>
      <c r="E751" s="4" t="n">
        <v>18</v>
      </c>
      <c r="F751" t="inlineStr">
        <is>
          <t>ООО "Эй энд Эй" [Чайковский]</t>
        </is>
      </c>
      <c r="G751" s="3">
        <f>ROUND(D751/(100-E751)*100,2)</f>
        <v/>
      </c>
      <c r="H751" s="3" t="n">
        <v>0</v>
      </c>
      <c r="I751" s="3">
        <f>ROUND(IF(ISNUMBER(AG751),AG751,G751)+H751,2)</f>
        <v/>
      </c>
      <c r="J751" s="2" t="inlineStr">
        <is>
          <t>Завтрак "Шведский стол"</t>
        </is>
      </c>
      <c r="K751" s="5" t="n">
        <v>46231.58333333334</v>
      </c>
      <c r="L751" t="n">
        <v>1</v>
      </c>
      <c r="M751" s="3">
        <f>I751/L751</f>
        <v/>
      </c>
      <c r="N751">
        <f>IF(M751&gt;=5100,"ставка","мин.ставка")</f>
        <v/>
      </c>
      <c r="O751" s="3">
        <f>ROUND(IF(N751="мин.ставка",L751*100,I751/102*2),2)</f>
        <v/>
      </c>
      <c r="P751" s="5" t="n">
        <v>46232.5</v>
      </c>
      <c r="Q751" t="inlineStr">
        <is>
          <t>TravelLine ANA</t>
        </is>
      </c>
      <c r="R751" s="2" t="inlineStr">
        <is>
          <t>СТАНДАРТНЫЙ ДВУХМЕСТНЫЙ НОМЕР</t>
        </is>
      </c>
      <c r="S751" t="n">
        <v>52</v>
      </c>
      <c r="T751" t="n">
        <v>2</v>
      </c>
      <c r="U751" t="inlineStr"/>
      <c r="V751" t="inlineStr">
        <is>
          <t>Тариф с завтраком</t>
        </is>
      </c>
      <c r="W751" t="n">
        <v>7298</v>
      </c>
      <c r="X751" s="3" t="n">
        <v>1602</v>
      </c>
      <c r="Y751" t="inlineStr">
        <is>
          <t>18%</t>
        </is>
      </c>
      <c r="Z751" t="inlineStr">
        <is>
          <t>2026-07-28</t>
        </is>
      </c>
      <c r="AA751" s="3" t="n">
        <v>7298</v>
      </c>
      <c r="AB751" t="inlineStr">
        <is>
          <t>Сошлось по ночным тарифам</t>
        </is>
      </c>
      <c r="AC751" s="2" t="inlineStr"/>
      <c r="AD751" t="n">
        <v>1602</v>
      </c>
      <c r="AE751" t="n">
        <v>0</v>
      </c>
      <c r="AF751" t="inlineStr">
        <is>
          <t>Скидка добавлена к налоговой базе</t>
        </is>
      </c>
      <c r="AG751" t="n">
        <v>8900</v>
      </c>
      <c r="AH751" t="n">
        <v>7298</v>
      </c>
      <c r="AI751" t="inlineStr">
        <is>
          <t>Полное проживание в выбранном периоде</t>
        </is>
      </c>
    </row>
    <row r="752">
      <c r="A752" t="inlineStr">
        <is>
          <t>20260630-8186-440656915</t>
        </is>
      </c>
      <c r="B752" t="n">
        <v>1</v>
      </c>
      <c r="C752" s="2" t="inlineStr">
        <is>
          <t>Олеся Порхало</t>
        </is>
      </c>
      <c r="D752" s="3" t="n">
        <v>18160</v>
      </c>
      <c r="E752" s="4" t="n">
        <v>20</v>
      </c>
      <c r="F752" t="inlineStr">
        <is>
          <t>ООО "УК ГЦБ и Т" [Чайковский]</t>
        </is>
      </c>
      <c r="G752" s="3">
        <f>ROUND(D752/(100-E752)*100,2)</f>
        <v/>
      </c>
      <c r="H752" s="3" t="n">
        <v>0</v>
      </c>
      <c r="I752" s="3">
        <f>ROUND(IF(ISNUMBER(AG752),AG752,G752)+H752,2)</f>
        <v/>
      </c>
      <c r="J752" s="2" t="inlineStr"/>
      <c r="K752" s="5" t="n">
        <v>46203.58333333334</v>
      </c>
      <c r="L752" t="n">
        <v>1</v>
      </c>
      <c r="M752" s="3">
        <f>I752/L752</f>
        <v/>
      </c>
      <c r="N752">
        <f>IF(M752&gt;=5100,"ставка","мин.ставка")</f>
        <v/>
      </c>
      <c r="O752" s="3">
        <f>ROUND(IF(N752="мин.ставка",L752*100,I752/102*2),2)</f>
        <v/>
      </c>
      <c r="P752" s="5" t="n">
        <v>46205.5</v>
      </c>
      <c r="Q752" t="inlineStr">
        <is>
          <t>TravelLine CBC</t>
        </is>
      </c>
      <c r="R752" s="2" t="inlineStr">
        <is>
          <t>СТАНДАРТНЫЙ ДВУХМЕСТНЫЙ НОМЕР</t>
        </is>
      </c>
      <c r="S752" t="n">
        <v>52</v>
      </c>
      <c r="T752" t="n">
        <v>2</v>
      </c>
      <c r="U752" t="inlineStr"/>
      <c r="V752" t="inlineStr">
        <is>
          <t>Тариф с завтраком</t>
        </is>
      </c>
      <c r="W752" t="n">
        <v>18160</v>
      </c>
      <c r="X752" s="3" t="n">
        <v>4540</v>
      </c>
      <c r="Y752" t="inlineStr">
        <is>
          <t>20%</t>
        </is>
      </c>
      <c r="Z752" t="inlineStr">
        <is>
          <t>2026-06-30, 2026-07-01</t>
        </is>
      </c>
      <c r="AA752" s="3" t="n">
        <v>18160</v>
      </c>
      <c r="AB752" t="inlineStr">
        <is>
          <t>Сошлось по ночным тарифам</t>
        </is>
      </c>
      <c r="AC752" s="2" t="inlineStr"/>
      <c r="AD752" t="n">
        <v>2270</v>
      </c>
      <c r="AE752" t="n">
        <v>0</v>
      </c>
      <c r="AF752" t="inlineStr">
        <is>
          <t>Ночи скидки определены по dailyRates; в базу добавлена только часть выбранного периода</t>
        </is>
      </c>
      <c r="AG752" t="n">
        <v>11350</v>
      </c>
      <c r="AH752" t="n">
        <v>9080</v>
      </c>
      <c r="AI752" t="inlineStr">
        <is>
          <t>Частичное проживание распределено по dailyRates</t>
        </is>
      </c>
    </row>
    <row r="753">
      <c r="A753" t="inlineStr">
        <is>
          <t>20260825-8186-459972581</t>
        </is>
      </c>
      <c r="B753" t="n">
        <v>1</v>
      </c>
      <c r="C753" s="2" t="inlineStr">
        <is>
          <t>Ольга Александрова, ИЛЬЯ ИВАНОВ</t>
        </is>
      </c>
      <c r="D753" s="3" t="n">
        <v>29904</v>
      </c>
      <c r="E753" s="4" t="n">
        <v>16</v>
      </c>
      <c r="F753" t="inlineStr">
        <is>
          <t>ООО "БРОНИРОВАНИЕ ГОСТИНИЦ" (OSTROVOK) [Чайковский]</t>
        </is>
      </c>
      <c r="G753" s="3">
        <f>ROUND(D753/(100-E753)*100,2)</f>
        <v/>
      </c>
      <c r="H753" s="3" t="n">
        <v>0</v>
      </c>
      <c r="I753" s="3">
        <f>ROUND(IF(ISNUMBER(AG753),AG753,G753)+H753,2)</f>
        <v/>
      </c>
      <c r="J753" s="2" t="inlineStr">
        <is>
          <t>Завтрак "Шведский стол"</t>
        </is>
      </c>
      <c r="K753" s="5" t="n">
        <v>46259.58333333334</v>
      </c>
      <c r="L753" t="n">
        <v>2</v>
      </c>
      <c r="M753" s="3">
        <f>I753/L753</f>
        <v/>
      </c>
      <c r="N753">
        <f>IF(M753&gt;=5100,"ставка","мин.ставка")</f>
        <v/>
      </c>
      <c r="O753" s="3">
        <f>ROUND(IF(N753="мин.ставка",L753*100,I753/102*2),2)</f>
        <v/>
      </c>
      <c r="P753" s="5" t="n">
        <v>46261.5</v>
      </c>
      <c r="Q753" t="inlineStr">
        <is>
          <t>TravelLine OTK</t>
        </is>
      </c>
      <c r="R753" s="2" t="inlineStr">
        <is>
          <t>ЛЮКС ВТОРОЙ КОРПУС</t>
        </is>
      </c>
      <c r="S753" t="n">
        <v>57</v>
      </c>
      <c r="T753" t="n">
        <v>2</v>
      </c>
      <c r="U753" t="inlineStr"/>
      <c r="V753" t="inlineStr">
        <is>
          <t>Тариф с завтраком</t>
        </is>
      </c>
      <c r="W753" t="n">
        <v>29904</v>
      </c>
      <c r="X753" s="3" t="n">
        <v>5696</v>
      </c>
      <c r="Y753" t="inlineStr">
        <is>
          <t>16%</t>
        </is>
      </c>
      <c r="Z753" t="inlineStr">
        <is>
          <t>2026-08-25, 2026-08-26</t>
        </is>
      </c>
      <c r="AA753" s="3" t="n">
        <v>29904</v>
      </c>
      <c r="AB753" t="inlineStr">
        <is>
          <t>Сошлось по ночным тарифам</t>
        </is>
      </c>
      <c r="AC753" s="2" t="inlineStr"/>
      <c r="AD753" t="n">
        <v>5696</v>
      </c>
      <c r="AE753" t="n">
        <v>0</v>
      </c>
      <c r="AF753" t="inlineStr">
        <is>
          <t>Скидка добавлена к налоговой базе</t>
        </is>
      </c>
      <c r="AG753" t="n">
        <v>35600</v>
      </c>
      <c r="AH753" t="n">
        <v>29904</v>
      </c>
      <c r="AI753" t="inlineStr">
        <is>
          <t>Полное проживание в выбранном периоде</t>
        </is>
      </c>
    </row>
    <row r="754">
      <c r="A754" t="inlineStr">
        <is>
          <t>20260702-8186-441025472</t>
        </is>
      </c>
      <c r="B754" t="n">
        <v>1</v>
      </c>
      <c r="C754" s="2" t="inlineStr">
        <is>
          <t>Ольга Алимова</t>
        </is>
      </c>
      <c r="D754" s="3" t="n">
        <v>40200</v>
      </c>
      <c r="E754" s="4" t="n">
        <v>0</v>
      </c>
      <c r="F754" t="inlineStr">
        <is>
          <t>Прямые бронирования (стойка) [Чайковский]</t>
        </is>
      </c>
      <c r="G754" s="3">
        <f>ROUND(D754/(100-E754)*100,2)</f>
        <v/>
      </c>
      <c r="H754" s="3" t="n">
        <v>0</v>
      </c>
      <c r="I754" s="3">
        <f>ROUND(IF(ISNUMBER(AG754),AG754,G754)+H754,2)</f>
        <v/>
      </c>
      <c r="J754" s="2" t="inlineStr">
        <is>
          <t>Завтрак "Шведский стол"</t>
        </is>
      </c>
      <c r="K754" s="5" t="n">
        <v>46205.58333333334</v>
      </c>
      <c r="L754" t="n">
        <v>3</v>
      </c>
      <c r="M754" s="3">
        <f>I754/L754</f>
        <v/>
      </c>
      <c r="N754">
        <f>IF(M754&gt;=5100,"ставка","мин.ставка")</f>
        <v/>
      </c>
      <c r="O754" s="3">
        <f>ROUND(IF(N754="мин.ставка",L754*100,I754/102*2),2)</f>
        <v/>
      </c>
      <c r="P754" s="5" t="n">
        <v>46208.5</v>
      </c>
      <c r="Q754" t="inlineStr">
        <is>
          <t>TravelLine ресепшен</t>
        </is>
      </c>
      <c r="R754" s="2" t="inlineStr">
        <is>
          <t>УЛУЧШЕННЫЙ ДВУХМЕСТНЫЙ НОМЕР</t>
        </is>
      </c>
      <c r="S754" t="n">
        <v>31</v>
      </c>
      <c r="T754" t="n">
        <v>1</v>
      </c>
      <c r="U754" t="inlineStr"/>
      <c r="V754" t="inlineStr">
        <is>
          <t>Тариф с завтраком</t>
        </is>
      </c>
      <c r="W754" t="n">
        <v>40200</v>
      </c>
      <c r="X754" s="3" t="n">
        <v>0</v>
      </c>
      <c r="Y754" t="inlineStr"/>
      <c r="Z754" t="inlineStr"/>
      <c r="AA754" s="3" t="n">
        <v>40200</v>
      </c>
      <c r="AB754" t="inlineStr">
        <is>
          <t>Сошлось по ночным тарифам</t>
        </is>
      </c>
      <c r="AC754" s="2" t="inlineStr"/>
      <c r="AD754" t="n">
        <v>0</v>
      </c>
      <c r="AE754" t="n">
        <v>0</v>
      </c>
      <c r="AF754" t="inlineStr">
        <is>
          <t>Скидки нет</t>
        </is>
      </c>
      <c r="AG754" t="n">
        <v>40200</v>
      </c>
      <c r="AH754" t="n">
        <v>40200</v>
      </c>
      <c r="AI754" t="inlineStr">
        <is>
          <t>Полное проживание в выбранном периоде</t>
        </is>
      </c>
    </row>
    <row r="755">
      <c r="A755" t="inlineStr">
        <is>
          <t>20260921-8186-458690011</t>
        </is>
      </c>
      <c r="B755" t="n">
        <v>1</v>
      </c>
      <c r="C755" s="2" t="inlineStr">
        <is>
          <t>Ольга Ахапкина, Дмитрий Ахапкин</t>
        </is>
      </c>
      <c r="D755" s="3" t="n">
        <v>64080</v>
      </c>
      <c r="E755" s="4" t="n">
        <v>20</v>
      </c>
      <c r="F755" t="inlineStr">
        <is>
          <t>ООО "КОМПАНИЯ БРОНЕВИК" [Чайковский]</t>
        </is>
      </c>
      <c r="G755" s="3">
        <f>ROUND(D755/(100-E755)*100,2)</f>
        <v/>
      </c>
      <c r="H755" s="3" t="n">
        <v>0</v>
      </c>
      <c r="I755" s="3">
        <f>ROUND(IF(ISNUMBER(AG755),AG755,G755)+H755,2)</f>
        <v/>
      </c>
      <c r="J755" s="2" t="inlineStr">
        <is>
          <t>Завтрак "Шведский стол"</t>
        </is>
      </c>
      <c r="K755" s="5" t="n">
        <v>46286.58333333334</v>
      </c>
      <c r="L755" t="n">
        <v>6</v>
      </c>
      <c r="M755" s="3">
        <f>I755/L755</f>
        <v/>
      </c>
      <c r="N755">
        <f>IF(M755&gt;=5100,"ставка","мин.ставка")</f>
        <v/>
      </c>
      <c r="O755" s="3">
        <f>ROUND(IF(N755="мин.ставка",L755*100,I755/102*2),2)</f>
        <v/>
      </c>
      <c r="P755" s="5" t="n">
        <v>46292.5</v>
      </c>
      <c r="Q755" t="inlineStr">
        <is>
          <t>TravelLine BR2</t>
        </is>
      </c>
      <c r="R755" s="2" t="inlineStr">
        <is>
          <t>УЛУЧШЕННЫЙ ДВУХМЕСТНЫЙ НОМЕР</t>
        </is>
      </c>
      <c r="S755" t="n">
        <v>56</v>
      </c>
      <c r="T755" t="n">
        <v>2</v>
      </c>
      <c r="U755" t="inlineStr"/>
      <c r="V755" t="inlineStr">
        <is>
          <t>Тариф с завтраком</t>
        </is>
      </c>
      <c r="W755" t="n">
        <v>64080</v>
      </c>
      <c r="X755" s="3" t="n">
        <v>0</v>
      </c>
      <c r="Y755" t="inlineStr"/>
      <c r="Z755" t="inlineStr"/>
      <c r="AA755" s="3" t="n">
        <v>64080</v>
      </c>
      <c r="AB755" t="inlineStr">
        <is>
          <t>Сошлось по ночным тарифам</t>
        </is>
      </c>
      <c r="AC755" s="2" t="inlineStr"/>
      <c r="AD755" t="n">
        <v>0</v>
      </c>
      <c r="AE755" t="n">
        <v>0</v>
      </c>
      <c r="AF755" t="inlineStr">
        <is>
          <t>Скидки нет</t>
        </is>
      </c>
      <c r="AG755" t="n">
        <v>64080</v>
      </c>
      <c r="AH755" t="n">
        <v>64080</v>
      </c>
      <c r="AI755" t="inlineStr">
        <is>
          <t>Полное проживание в выбранном периоде</t>
        </is>
      </c>
    </row>
    <row r="756">
      <c r="A756" t="inlineStr">
        <is>
          <t>20260715-8186-450507435</t>
        </is>
      </c>
      <c r="B756" t="n">
        <v>1</v>
      </c>
      <c r="C756" s="2" t="inlineStr">
        <is>
          <t>Ольга Беловол</t>
        </is>
      </c>
      <c r="D756" s="3" t="n">
        <v>10998.15</v>
      </c>
      <c r="E756" s="4" t="n">
        <v>4</v>
      </c>
      <c r="F756" t="inlineStr">
        <is>
          <t>TravelLine Booking Engine [Чайковский]</t>
        </is>
      </c>
      <c r="G756" s="3">
        <f>ROUND(D756/(100-E756)*100,2)</f>
        <v/>
      </c>
      <c r="H756" s="3" t="n">
        <v>0</v>
      </c>
      <c r="I756" s="3">
        <f>ROUND(IF(ISNUMBER(AG756),AG756,G756)+H756,2)</f>
        <v/>
      </c>
      <c r="J756" s="2" t="inlineStr">
        <is>
          <t>Завтрак "Шведский стол"</t>
        </is>
      </c>
      <c r="K756" s="5" t="n">
        <v>46218.72916666666</v>
      </c>
      <c r="L756" t="n">
        <v>1</v>
      </c>
      <c r="M756" s="3">
        <f>I756/L756</f>
        <v/>
      </c>
      <c r="N756">
        <f>IF(M756&gt;=5100,"ставка","мин.ставка")</f>
        <v/>
      </c>
      <c r="O756" s="3">
        <f>ROUND(IF(N756="мин.ставка",L756*100,I756/102*2),2)</f>
        <v/>
      </c>
      <c r="P756" s="5" t="n">
        <v>46219.5</v>
      </c>
      <c r="Q756" t="inlineStr">
        <is>
          <t>TravelLine сайт</t>
        </is>
      </c>
      <c r="R756" s="2" t="inlineStr">
        <is>
          <t>СТАНДАРТНЫЙ ДВУХМЕСТНЫЙ НОМЕР</t>
        </is>
      </c>
      <c r="S756" t="n">
        <v>46</v>
      </c>
      <c r="T756" t="n">
        <v>1</v>
      </c>
      <c r="U756" t="inlineStr"/>
      <c r="V756" t="inlineStr">
        <is>
          <t>Тариф с завтраком</t>
        </is>
      </c>
      <c r="W756" t="n">
        <v>10998.15</v>
      </c>
      <c r="X756" s="3" t="n">
        <v>351.85</v>
      </c>
      <c r="Y756" t="inlineStr">
        <is>
          <t>3.1%</t>
        </is>
      </c>
      <c r="Z756" t="inlineStr">
        <is>
          <t>2026-07-15</t>
        </is>
      </c>
      <c r="AA756" s="3" t="n">
        <v>10998.15</v>
      </c>
      <c r="AB756" t="inlineStr">
        <is>
          <t>Сошлось по ночным тарифам</t>
        </is>
      </c>
      <c r="AC756" s="2" t="inlineStr"/>
      <c r="AD756" t="n">
        <v>351.85</v>
      </c>
      <c r="AE756" t="n">
        <v>0</v>
      </c>
      <c r="AF756" t="inlineStr">
        <is>
          <t>Скидка добавлена к налоговой базе</t>
        </is>
      </c>
      <c r="AG756" t="n">
        <v>11350</v>
      </c>
      <c r="AH756" t="n">
        <v>10998.15</v>
      </c>
      <c r="AI756" t="inlineStr">
        <is>
          <t>Полное проживание в выбранном периоде</t>
        </is>
      </c>
    </row>
    <row r="757">
      <c r="A757" t="inlineStr">
        <is>
          <t>20260930-8186-469639188</t>
        </is>
      </c>
      <c r="B757" t="n">
        <v>1</v>
      </c>
      <c r="C757" s="2" t="inlineStr">
        <is>
          <t>Ольга Беловол</t>
        </is>
      </c>
      <c r="D757" s="3" t="n">
        <v>10050</v>
      </c>
      <c r="E757" s="4" t="n">
        <v>18</v>
      </c>
      <c r="F757" t="inlineStr">
        <is>
          <t>Яндекс.Путешествия [Чайковский]</t>
        </is>
      </c>
      <c r="G757" s="3">
        <f>ROUND(D757/(100-E757)*100,2)</f>
        <v/>
      </c>
      <c r="H757" s="3" t="n">
        <v>0</v>
      </c>
      <c r="I757" s="3">
        <f>ROUND(IF(ISNUMBER(AG757),AG757,G757)+H757,2)</f>
        <v/>
      </c>
      <c r="J757" s="2" t="inlineStr">
        <is>
          <t>Завтрак "Шведский стол"</t>
        </is>
      </c>
      <c r="K757" s="5" t="n">
        <v>46295.58333333334</v>
      </c>
      <c r="L757" t="n">
        <v>1</v>
      </c>
      <c r="M757" s="3">
        <f>I757/L757</f>
        <v/>
      </c>
      <c r="N757">
        <f>IF(M757&gt;=5100,"ставка","мин.ставка")</f>
        <v/>
      </c>
      <c r="O757" s="3">
        <f>ROUND(IF(N757="мин.ставка",L757*100,I757/102*2),2)</f>
        <v/>
      </c>
      <c r="P757" s="5" t="n">
        <v>46296.5</v>
      </c>
      <c r="Q757" t="inlineStr">
        <is>
          <t>TravelLine YAX</t>
        </is>
      </c>
      <c r="R757" s="2" t="inlineStr">
        <is>
          <t>УЛУЧШЕННЫЙ ДВУХМЕСТНЫЙ НОМЕР</t>
        </is>
      </c>
      <c r="S757" t="n">
        <v>21</v>
      </c>
      <c r="T757" t="n">
        <v>1</v>
      </c>
      <c r="U757" t="inlineStr"/>
      <c r="V757" t="inlineStr">
        <is>
          <t>Тариф с завтраком</t>
        </is>
      </c>
      <c r="W757" t="n">
        <v>10050</v>
      </c>
      <c r="X757" s="3" t="n">
        <v>3350</v>
      </c>
      <c r="Y757" t="inlineStr">
        <is>
          <t>25%</t>
        </is>
      </c>
      <c r="Z757" t="inlineStr">
        <is>
          <t>2026-09-30</t>
        </is>
      </c>
      <c r="AA757" s="3" t="n">
        <v>10050</v>
      </c>
      <c r="AB757" t="inlineStr">
        <is>
          <t>Сошлось по ночным тарифам</t>
        </is>
      </c>
      <c r="AC757" s="2" t="inlineStr"/>
      <c r="AD757" t="n">
        <v>3350</v>
      </c>
      <c r="AE757" t="n">
        <v>0</v>
      </c>
      <c r="AF757" t="inlineStr">
        <is>
          <t>Скидка добавлена к налоговой базе</t>
        </is>
      </c>
      <c r="AG757" t="n">
        <v>13400</v>
      </c>
      <c r="AH757" t="n">
        <v>10050</v>
      </c>
      <c r="AI757" t="inlineStr">
        <is>
          <t>Полное проживание в выбранном периоде</t>
        </is>
      </c>
    </row>
    <row r="758">
      <c r="A758" t="inlineStr">
        <is>
          <t>20260918-8186-452110660</t>
        </is>
      </c>
      <c r="B758" t="n">
        <v>1</v>
      </c>
      <c r="C758" s="2" t="inlineStr">
        <is>
          <t>Ольга Беспалова</t>
        </is>
      </c>
      <c r="D758" s="3" t="n">
        <v>15161.3</v>
      </c>
      <c r="E758" s="4" t="n">
        <v>4</v>
      </c>
      <c r="F758" t="inlineStr">
        <is>
          <t>TravelLine Booking Engine [Чайковский]</t>
        </is>
      </c>
      <c r="G758" s="3">
        <f>ROUND(D758/(100-E758)*100,2)</f>
        <v/>
      </c>
      <c r="H758" s="3" t="n">
        <v>0</v>
      </c>
      <c r="I758" s="3">
        <f>ROUND(IF(ISNUMBER(AG758),AG758,G758)+H758,2)</f>
        <v/>
      </c>
      <c r="J758" s="2" t="inlineStr">
        <is>
          <t>Завтрак "Шведский стол"</t>
        </is>
      </c>
      <c r="K758" s="5" t="n">
        <v>46283.58333333334</v>
      </c>
      <c r="L758" t="n">
        <v>2</v>
      </c>
      <c r="M758" s="3">
        <f>I758/L758</f>
        <v/>
      </c>
      <c r="N758">
        <f>IF(M758&gt;=5100,"ставка","мин.ставка")</f>
        <v/>
      </c>
      <c r="O758" s="3">
        <f>ROUND(IF(N758="мин.ставка",L758*100,I758/102*2),2)</f>
        <v/>
      </c>
      <c r="P758" s="5" t="n">
        <v>46285.5</v>
      </c>
      <c r="Q758" t="inlineStr">
        <is>
          <t>TravelLine сайт</t>
        </is>
      </c>
      <c r="R758" s="2" t="inlineStr">
        <is>
          <t>СТАНДАРТНЫЙ ОДНОМЕСТНЫЙ НОМЕР</t>
        </is>
      </c>
      <c r="S758" t="n">
        <v>24</v>
      </c>
      <c r="T758" t="n">
        <v>1</v>
      </c>
      <c r="U758" t="inlineStr"/>
      <c r="V758" t="inlineStr">
        <is>
          <t>Тариф с завтраком</t>
        </is>
      </c>
      <c r="W758" t="n">
        <v>15161.3</v>
      </c>
      <c r="X758" s="3" t="n">
        <v>238.7</v>
      </c>
      <c r="Y758" t="inlineStr">
        <is>
          <t>3.1%</t>
        </is>
      </c>
      <c r="Z758" t="inlineStr">
        <is>
          <t>2026-09-18</t>
        </is>
      </c>
      <c r="AA758" s="3" t="n">
        <v>15161.3</v>
      </c>
      <c r="AB758" t="inlineStr">
        <is>
          <t>Сошлось по ночным тарифам</t>
        </is>
      </c>
      <c r="AC758" s="2" t="inlineStr"/>
      <c r="AD758" t="n">
        <v>238.7</v>
      </c>
      <c r="AE758" t="n">
        <v>0</v>
      </c>
      <c r="AF758" t="inlineStr">
        <is>
          <t>Скидка добавлена к налоговой базе</t>
        </is>
      </c>
      <c r="AG758" t="n">
        <v>15400</v>
      </c>
      <c r="AH758" t="n">
        <v>15161.3</v>
      </c>
      <c r="AI758" t="inlineStr">
        <is>
          <t>Полное проживание в выбранном периоде</t>
        </is>
      </c>
    </row>
    <row r="759">
      <c r="A759" t="inlineStr">
        <is>
          <t>20260908-8186-455933749</t>
        </is>
      </c>
      <c r="B759" t="n">
        <v>1</v>
      </c>
      <c r="C759" s="2" t="inlineStr">
        <is>
          <t>Ольга Бобылева, Сергей Гайдук</t>
        </is>
      </c>
      <c r="D759" s="3" t="n">
        <v>33642</v>
      </c>
      <c r="E759" s="4" t="n">
        <v>16</v>
      </c>
      <c r="F759" t="inlineStr">
        <is>
          <t>ООО "БРОНИРОВАНИЕ ГОСТИНИЦ" (OSTROVOK) [Чайковский]</t>
        </is>
      </c>
      <c r="G759" s="3">
        <f>ROUND(D759/(100-E759)*100,2)</f>
        <v/>
      </c>
      <c r="H759" s="3" t="n">
        <v>0</v>
      </c>
      <c r="I759" s="3">
        <f>ROUND(IF(ISNUMBER(AG759),AG759,G759)+H759,2)</f>
        <v/>
      </c>
      <c r="J759" s="2" t="inlineStr">
        <is>
          <t>Завтрак "Шведский стол"</t>
        </is>
      </c>
      <c r="K759" s="5" t="n">
        <v>46273.58333333334</v>
      </c>
      <c r="L759" t="n">
        <v>3</v>
      </c>
      <c r="M759" s="3">
        <f>I759/L759</f>
        <v/>
      </c>
      <c r="N759">
        <f>IF(M759&gt;=5100,"ставка","мин.ставка")</f>
        <v/>
      </c>
      <c r="O759" s="3">
        <f>ROUND(IF(N759="мин.ставка",L759*100,I759/102*2),2)</f>
        <v/>
      </c>
      <c r="P759" s="5" t="n">
        <v>46276.5</v>
      </c>
      <c r="Q759" t="inlineStr">
        <is>
          <t>TravelLine OTK</t>
        </is>
      </c>
      <c r="R759" s="2" t="inlineStr">
        <is>
          <t>УЛУЧШЕННЫЙ ДВУХМЕСТНЫЙ НОМЕР</t>
        </is>
      </c>
      <c r="S759" t="n">
        <v>56</v>
      </c>
      <c r="T759" t="n">
        <v>2</v>
      </c>
      <c r="U759" t="inlineStr"/>
      <c r="V759" t="inlineStr">
        <is>
          <t>Тариф с завтраком</t>
        </is>
      </c>
      <c r="W759" t="n">
        <v>33642</v>
      </c>
      <c r="X759" s="3" t="n">
        <v>6408</v>
      </c>
      <c r="Y759" t="inlineStr">
        <is>
          <t>16%</t>
        </is>
      </c>
      <c r="Z759" t="inlineStr">
        <is>
          <t>2026-09-08, 2026-09-09, 2026-09-10</t>
        </is>
      </c>
      <c r="AA759" s="3" t="n">
        <v>33642</v>
      </c>
      <c r="AB759" t="inlineStr">
        <is>
          <t>Сошлось по ночным тарифам</t>
        </is>
      </c>
      <c r="AC759" s="2" t="inlineStr"/>
      <c r="AD759" t="n">
        <v>6408</v>
      </c>
      <c r="AE759" t="n">
        <v>0</v>
      </c>
      <c r="AF759" t="inlineStr">
        <is>
          <t>Скидка добавлена к налоговой базе</t>
        </is>
      </c>
      <c r="AG759" t="n">
        <v>40050</v>
      </c>
      <c r="AH759" t="n">
        <v>33642</v>
      </c>
      <c r="AI759" t="inlineStr">
        <is>
          <t>Полное проживание в выбранном периоде</t>
        </is>
      </c>
    </row>
    <row r="760">
      <c r="A760" t="inlineStr">
        <is>
          <t>20260720-8186-421910187</t>
        </is>
      </c>
      <c r="B760" t="n">
        <v>1</v>
      </c>
      <c r="C760" s="2" t="inlineStr">
        <is>
          <t>ОЛЬГА ВАХНЕНКО</t>
        </is>
      </c>
      <c r="D760" s="3" t="n">
        <v>45815</v>
      </c>
      <c r="E760" s="4" t="n">
        <v>15</v>
      </c>
      <c r="F760" t="inlineStr">
        <is>
          <t>ООО "БРОНИРОВАНИЕ ГОСТИНИЦ" (OSTROVOK) [Чайковский]</t>
        </is>
      </c>
      <c r="G760" s="3">
        <f>ROUND(D760/(100-E760)*100,2)</f>
        <v/>
      </c>
      <c r="H760" s="3" t="n">
        <v>0</v>
      </c>
      <c r="I760" s="3">
        <f>ROUND(IF(ISNUMBER(AG760),AG760,G760)+H760,2)</f>
        <v/>
      </c>
      <c r="J760" s="2" t="inlineStr">
        <is>
          <t>Завтрак "Шведский стол"</t>
        </is>
      </c>
      <c r="K760" s="5" t="n">
        <v>46223.58333333334</v>
      </c>
      <c r="L760" t="n">
        <v>7</v>
      </c>
      <c r="M760" s="3">
        <f>I760/L760</f>
        <v/>
      </c>
      <c r="N760">
        <f>IF(M760&gt;=5100,"ставка","мин.ставка")</f>
        <v/>
      </c>
      <c r="O760" s="3">
        <f>ROUND(IF(N760="мин.ставка",L760*100,I760/102*2),2)</f>
        <v/>
      </c>
      <c r="P760" s="5" t="n">
        <v>46230.5</v>
      </c>
      <c r="Q760" t="inlineStr">
        <is>
          <t>TravelLine OTK</t>
        </is>
      </c>
      <c r="R760" s="2" t="inlineStr">
        <is>
          <t>СТАНДАРТНЫЙ ОДНОМЕСТНЫЙ НОМЕР</t>
        </is>
      </c>
      <c r="S760" t="n">
        <v>34</v>
      </c>
      <c r="T760" t="n">
        <v>1</v>
      </c>
      <c r="U760" t="inlineStr"/>
      <c r="V760" t="inlineStr">
        <is>
          <t>Тариф с завтраком</t>
        </is>
      </c>
      <c r="W760" t="n">
        <v>45815</v>
      </c>
      <c r="X760" s="3" t="n">
        <v>8085</v>
      </c>
      <c r="Y760" t="inlineStr">
        <is>
          <t>15%</t>
        </is>
      </c>
      <c r="Z760" t="inlineStr">
        <is>
          <t>2026-07-20, 2026-07-21, 2026-07-22, 2026-07-23, 2026-07-24, 2026-07-25, 2026-07-26</t>
        </is>
      </c>
      <c r="AA760" s="3" t="n">
        <v>45815</v>
      </c>
      <c r="AB760" t="inlineStr">
        <is>
          <t>Сошлось по ночным тарифам</t>
        </is>
      </c>
      <c r="AC760" s="2" t="inlineStr"/>
      <c r="AD760" t="n">
        <v>8085</v>
      </c>
      <c r="AE760" t="n">
        <v>0</v>
      </c>
      <c r="AF760" t="inlineStr">
        <is>
          <t>Скидка добавлена к налоговой базе</t>
        </is>
      </c>
      <c r="AG760" t="n">
        <v>53900</v>
      </c>
      <c r="AH760" t="n">
        <v>45815</v>
      </c>
      <c r="AI760" t="inlineStr">
        <is>
          <t>Полное проживание в выбранном периоде</t>
        </is>
      </c>
    </row>
    <row r="761">
      <c r="A761" t="inlineStr">
        <is>
          <t>20260919-8186-464149509</t>
        </is>
      </c>
      <c r="B761" t="n">
        <v>1</v>
      </c>
      <c r="C761" s="2" t="inlineStr">
        <is>
          <t>Ольга Верховцева</t>
        </is>
      </c>
      <c r="D761" s="3" t="n">
        <v>6557</v>
      </c>
      <c r="E761" s="4" t="n">
        <v>17</v>
      </c>
      <c r="F761" t="inlineStr">
        <is>
          <t>ООО «Интернет Трэвел» (OZON) [Чайковский]</t>
        </is>
      </c>
      <c r="G761" s="3">
        <f>ROUND(D761/(100-E761)*100,2)</f>
        <v/>
      </c>
      <c r="H761" s="3" t="n">
        <v>0</v>
      </c>
      <c r="I761" s="3">
        <f>ROUND(IF(ISNUMBER(AG761),AG761,G761)+H761,2)</f>
        <v/>
      </c>
      <c r="J761" s="2" t="inlineStr">
        <is>
          <t>Завтрак "Шведский стол"</t>
        </is>
      </c>
      <c r="K761" s="5" t="n">
        <v>46284.58333333334</v>
      </c>
      <c r="L761" t="n">
        <v>1</v>
      </c>
      <c r="M761" s="3">
        <f>I761/L761</f>
        <v/>
      </c>
      <c r="N761">
        <f>IF(M761&gt;=5100,"ставка","мин.ставка")</f>
        <v/>
      </c>
      <c r="O761" s="3">
        <f>ROUND(IF(N761="мин.ставка",L761*100,I761/102*2),2)</f>
        <v/>
      </c>
      <c r="P761" s="5" t="n">
        <v>46285.5</v>
      </c>
      <c r="Q761" t="inlineStr">
        <is>
          <t>TravelLine OZ2</t>
        </is>
      </c>
      <c r="R761" s="2" t="inlineStr">
        <is>
          <t>СТАНДАРТНЫЙ ДВУХМЕСТНЫЙ НОМЕР (МАНСАРДА)</t>
        </is>
      </c>
      <c r="S761" t="n">
        <v>43</v>
      </c>
      <c r="T761" t="n">
        <v>1</v>
      </c>
      <c r="U761" t="inlineStr"/>
      <c r="V761" t="inlineStr">
        <is>
          <t>Тариф с завтраком</t>
        </is>
      </c>
      <c r="W761" t="n">
        <v>6557</v>
      </c>
      <c r="X761" s="3" t="n">
        <v>1343</v>
      </c>
      <c r="Y761" t="inlineStr">
        <is>
          <t>17%</t>
        </is>
      </c>
      <c r="Z761" t="inlineStr">
        <is>
          <t>2026-09-19</t>
        </is>
      </c>
      <c r="AA761" s="3" t="n">
        <v>6557</v>
      </c>
      <c r="AB761" t="inlineStr">
        <is>
          <t>Сошлось по ночным тарифам</t>
        </is>
      </c>
      <c r="AC761" s="2" t="inlineStr"/>
      <c r="AD761" t="n">
        <v>1343</v>
      </c>
      <c r="AE761" t="n">
        <v>0</v>
      </c>
      <c r="AF761" t="inlineStr">
        <is>
          <t>Скидка добавлена к налоговой базе</t>
        </is>
      </c>
      <c r="AG761" t="n">
        <v>7900</v>
      </c>
      <c r="AH761" t="n">
        <v>6557</v>
      </c>
      <c r="AI761" t="inlineStr">
        <is>
          <t>Полное проживание в выбранном периоде</t>
        </is>
      </c>
    </row>
    <row r="762">
      <c r="A762" t="inlineStr">
        <is>
          <t>20260901-8186-462400147</t>
        </is>
      </c>
      <c r="B762" t="n">
        <v>1</v>
      </c>
      <c r="C762" s="2" t="inlineStr">
        <is>
          <t>Ольга Галатенко, Павел Ворник</t>
        </is>
      </c>
      <c r="D762" s="3" t="n">
        <v>38346</v>
      </c>
      <c r="E762" s="4" t="n">
        <v>17</v>
      </c>
      <c r="F762" t="inlineStr">
        <is>
          <t>ООО «Интернет Трэвел» (OZON) [Чайковский]</t>
        </is>
      </c>
      <c r="G762" s="3">
        <f>ROUND(D762/(100-E762)*100,2)</f>
        <v/>
      </c>
      <c r="H762" s="3" t="n">
        <v>0</v>
      </c>
      <c r="I762" s="3">
        <f>ROUND(IF(ISNUMBER(AG762),AG762,G762)+H762,2)</f>
        <v/>
      </c>
      <c r="J762" s="2" t="inlineStr">
        <is>
          <t>Завтрак "Шведский стол"</t>
        </is>
      </c>
      <c r="K762" s="5" t="n">
        <v>46266.58333333334</v>
      </c>
      <c r="L762" t="n">
        <v>3</v>
      </c>
      <c r="M762" s="3">
        <f>I762/L762</f>
        <v/>
      </c>
      <c r="N762">
        <f>IF(M762&gt;=5100,"ставка","мин.ставка")</f>
        <v/>
      </c>
      <c r="O762" s="3">
        <f>ROUND(IF(N762="мин.ставка",L762*100,I762/102*2),2)</f>
        <v/>
      </c>
      <c r="P762" s="5" t="n">
        <v>46269.5</v>
      </c>
      <c r="Q762" t="inlineStr">
        <is>
          <t>TravelLine OZ2</t>
        </is>
      </c>
      <c r="R762" s="2" t="inlineStr">
        <is>
          <t>УЛУЧШЕННЫЙ ДВУХМЕСТНЫЙ НОМЕР</t>
        </is>
      </c>
      <c r="S762" t="n">
        <v>59</v>
      </c>
      <c r="T762" t="n">
        <v>2</v>
      </c>
      <c r="U762" t="inlineStr"/>
      <c r="V762" t="inlineStr">
        <is>
          <t>Тариф с завтраком</t>
        </is>
      </c>
      <c r="W762" t="n">
        <v>38346</v>
      </c>
      <c r="X762" s="3" t="n">
        <v>7854</v>
      </c>
      <c r="Y762" t="inlineStr">
        <is>
          <t>17%</t>
        </is>
      </c>
      <c r="Z762" t="inlineStr">
        <is>
          <t>2026-09-01, 2026-09-02, 2026-09-03</t>
        </is>
      </c>
      <c r="AA762" s="3" t="n">
        <v>38346</v>
      </c>
      <c r="AB762" t="inlineStr">
        <is>
          <t>Сошлось по ночным тарифам</t>
        </is>
      </c>
      <c r="AC762" s="2" t="inlineStr"/>
      <c r="AD762" t="n">
        <v>7854</v>
      </c>
      <c r="AE762" t="n">
        <v>0</v>
      </c>
      <c r="AF762" t="inlineStr">
        <is>
          <t>Скидка добавлена к налоговой базе</t>
        </is>
      </c>
      <c r="AG762" t="n">
        <v>46200</v>
      </c>
      <c r="AH762" t="n">
        <v>38346</v>
      </c>
      <c r="AI762" t="inlineStr">
        <is>
          <t>Полное проживание в выбранном периоде</t>
        </is>
      </c>
    </row>
    <row r="763">
      <c r="A763" t="inlineStr">
        <is>
          <t>20260729-8186-414621062</t>
        </is>
      </c>
      <c r="B763" t="n">
        <v>1</v>
      </c>
      <c r="C763" s="2" t="inlineStr">
        <is>
          <t>Ольга Егоренкова</t>
        </is>
      </c>
      <c r="D763" s="3" t="n">
        <v>11600</v>
      </c>
      <c r="E763" s="4" t="n">
        <v>0</v>
      </c>
      <c r="F763" t="inlineStr">
        <is>
          <t>Прямые бронирования (стойка) [Чайковский]</t>
        </is>
      </c>
      <c r="G763" s="3">
        <f>ROUND(D763/(100-E763)*100,2)</f>
        <v/>
      </c>
      <c r="H763" s="3" t="n">
        <v>0</v>
      </c>
      <c r="I763" s="3">
        <f>ROUND(IF(ISNUMBER(AG763),AG763,G763)+H763,2)</f>
        <v/>
      </c>
      <c r="J763" s="2" t="inlineStr">
        <is>
          <t>Завтрак "Шведский стол"</t>
        </is>
      </c>
      <c r="K763" s="5" t="n">
        <v>46232.58333333334</v>
      </c>
      <c r="L763" t="n">
        <v>1</v>
      </c>
      <c r="M763" s="3">
        <f>I763/L763</f>
        <v/>
      </c>
      <c r="N763">
        <f>IF(M763&gt;=5100,"ставка","мин.ставка")</f>
        <v/>
      </c>
      <c r="O763" s="3">
        <f>ROUND(IF(N763="мин.ставка",L763*100,I763/102*2),2)</f>
        <v/>
      </c>
      <c r="P763" s="5" t="n">
        <v>46233.5</v>
      </c>
      <c r="Q763" t="inlineStr">
        <is>
          <t>TravelLine ресепшен</t>
        </is>
      </c>
      <c r="R763" s="2" t="inlineStr">
        <is>
          <t>ПОЛУЛЮКС</t>
        </is>
      </c>
      <c r="S763" t="n">
        <v>25</v>
      </c>
      <c r="T763" t="n">
        <v>1</v>
      </c>
      <c r="U763" t="inlineStr"/>
      <c r="V763" t="inlineStr">
        <is>
          <t>Тариф с завтраком</t>
        </is>
      </c>
      <c r="W763" t="n">
        <v>11600</v>
      </c>
      <c r="X763" s="3" t="n">
        <v>2900</v>
      </c>
      <c r="Y763" t="inlineStr">
        <is>
          <t>20%</t>
        </is>
      </c>
      <c r="Z763" t="inlineStr">
        <is>
          <t>2026-07-29</t>
        </is>
      </c>
      <c r="AA763" s="3" t="n">
        <v>11600</v>
      </c>
      <c r="AB763" t="inlineStr">
        <is>
          <t>Сошлось по ночным тарифам</t>
        </is>
      </c>
      <c r="AC763" s="2" t="inlineStr"/>
      <c r="AD763" t="n">
        <v>2900</v>
      </c>
      <c r="AE763" t="n">
        <v>0</v>
      </c>
      <c r="AF763" t="inlineStr">
        <is>
          <t>Скидка добавлена к налоговой базе</t>
        </is>
      </c>
      <c r="AG763" t="n">
        <v>14500</v>
      </c>
      <c r="AH763" t="n">
        <v>11600</v>
      </c>
      <c r="AI763" t="inlineStr">
        <is>
          <t>Полное проживание в выбранном периоде</t>
        </is>
      </c>
    </row>
    <row r="764">
      <c r="A764" t="inlineStr">
        <is>
          <t>20260915-8186-459062307</t>
        </is>
      </c>
      <c r="B764" t="n">
        <v>1</v>
      </c>
      <c r="C764" s="2" t="inlineStr">
        <is>
          <t>ОЛЬГА Запара, ВИКТОР ЗАПАРА</t>
        </is>
      </c>
      <c r="D764" s="3" t="n">
        <v>59400</v>
      </c>
      <c r="E764" s="4" t="n">
        <v>0</v>
      </c>
      <c r="F764" t="inlineStr">
        <is>
          <t>Прямые бронирования (стойка) [Чайковский]</t>
        </is>
      </c>
      <c r="G764" s="3">
        <f>ROUND(D764/(100-E764)*100,2)</f>
        <v/>
      </c>
      <c r="H764" s="3" t="n">
        <v>0</v>
      </c>
      <c r="I764" s="3">
        <f>ROUND(IF(ISNUMBER(AG764),AG764,G764)+H764,2)</f>
        <v/>
      </c>
      <c r="J764" s="2" t="inlineStr">
        <is>
          <t>Завтрак "Шведский стол"</t>
        </is>
      </c>
      <c r="K764" s="5" t="n">
        <v>46280.58333333334</v>
      </c>
      <c r="L764" t="n">
        <v>4</v>
      </c>
      <c r="M764" s="3">
        <f>I764/L764</f>
        <v/>
      </c>
      <c r="N764">
        <f>IF(M764&gt;=5100,"ставка","мин.ставка")</f>
        <v/>
      </c>
      <c r="O764" s="3">
        <f>ROUND(IF(N764="мин.ставка",L764*100,I764/102*2),2)</f>
        <v/>
      </c>
      <c r="P764" s="5" t="n">
        <v>46284.5</v>
      </c>
      <c r="Q764" t="inlineStr">
        <is>
          <t>TravelLine ресепшен</t>
        </is>
      </c>
      <c r="R764" s="2" t="inlineStr">
        <is>
          <t>ПОЛУЛЮКС</t>
        </is>
      </c>
      <c r="S764" t="n">
        <v>25</v>
      </c>
      <c r="T764" t="n">
        <v>1</v>
      </c>
      <c r="U764" t="inlineStr"/>
      <c r="V764" t="inlineStr">
        <is>
          <t>Тариф с завтраком</t>
        </is>
      </c>
      <c r="W764" t="n">
        <v>59400</v>
      </c>
      <c r="X764" s="3" t="n">
        <v>6600</v>
      </c>
      <c r="Y764" t="inlineStr">
        <is>
          <t>10%</t>
        </is>
      </c>
      <c r="Z764" t="inlineStr">
        <is>
          <t>2026-09-15, 2026-09-16, 2026-09-17, 2026-09-18</t>
        </is>
      </c>
      <c r="AA764" s="3" t="n">
        <v>59400</v>
      </c>
      <c r="AB764" t="inlineStr">
        <is>
          <t>Сошлось по ночным тарифам</t>
        </is>
      </c>
      <c r="AC764" s="2" t="inlineStr"/>
      <c r="AD764" t="n">
        <v>6600</v>
      </c>
      <c r="AE764" t="n">
        <v>0</v>
      </c>
      <c r="AF764" t="inlineStr">
        <is>
          <t>Скидка добавлена к налоговой базе</t>
        </is>
      </c>
      <c r="AG764" t="n">
        <v>66000</v>
      </c>
      <c r="AH764" t="n">
        <v>59400</v>
      </c>
      <c r="AI764" t="inlineStr">
        <is>
          <t>Полное проживание в выбранном периоде</t>
        </is>
      </c>
    </row>
    <row r="765">
      <c r="A765" t="inlineStr">
        <is>
          <t>20260809-8186-455980804</t>
        </is>
      </c>
      <c r="B765" t="n">
        <v>1</v>
      </c>
      <c r="C765" s="2" t="inlineStr">
        <is>
          <t>ОЛЬГА ЗДОРИКОВА</t>
        </is>
      </c>
      <c r="D765" s="3" t="n">
        <v>22512</v>
      </c>
      <c r="E765" s="4" t="n">
        <v>16</v>
      </c>
      <c r="F765" t="inlineStr">
        <is>
          <t>ООО "БРОНИРОВАНИЕ ГОСТИНИЦ" (OSTROVOK) [Чайковский]</t>
        </is>
      </c>
      <c r="G765" s="3">
        <f>ROUND(D765/(100-E765)*100,2)</f>
        <v/>
      </c>
      <c r="H765" s="3" t="n">
        <v>0</v>
      </c>
      <c r="I765" s="3">
        <f>ROUND(IF(ISNUMBER(AG765),AG765,G765)+H765,2)</f>
        <v/>
      </c>
      <c r="J765" s="2" t="inlineStr">
        <is>
          <t>Завтрак "Шведский стол"</t>
        </is>
      </c>
      <c r="K765" s="5" t="n">
        <v>46243.58333333334</v>
      </c>
      <c r="L765" t="n">
        <v>2</v>
      </c>
      <c r="M765" s="3">
        <f>I765/L765</f>
        <v/>
      </c>
      <c r="N765">
        <f>IF(M765&gt;=5100,"ставка","мин.ставка")</f>
        <v/>
      </c>
      <c r="O765" s="3">
        <f>ROUND(IF(N765="мин.ставка",L765*100,I765/102*2),2)</f>
        <v/>
      </c>
      <c r="P765" s="5" t="n">
        <v>46245.5</v>
      </c>
      <c r="Q765" t="inlineStr">
        <is>
          <t>TravelLine OTK</t>
        </is>
      </c>
      <c r="R765" s="2" t="inlineStr">
        <is>
          <t>УЛУЧШЕННЫЙ ДВУХМЕСТНЫЙ НОМЕР</t>
        </is>
      </c>
      <c r="S765" t="n">
        <v>31</v>
      </c>
      <c r="T765" t="n">
        <v>1</v>
      </c>
      <c r="U765" t="inlineStr"/>
      <c r="V765" t="inlineStr">
        <is>
          <t>Тариф с завтраком</t>
        </is>
      </c>
      <c r="W765" t="n">
        <v>22512</v>
      </c>
      <c r="X765" s="3" t="n">
        <v>4288</v>
      </c>
      <c r="Y765" t="inlineStr">
        <is>
          <t>16%</t>
        </is>
      </c>
      <c r="Z765" t="inlineStr">
        <is>
          <t>2026-08-09, 2026-08-10</t>
        </is>
      </c>
      <c r="AA765" s="3" t="n">
        <v>22512</v>
      </c>
      <c r="AB765" t="inlineStr">
        <is>
          <t>Сошлось по ночным тарифам</t>
        </is>
      </c>
      <c r="AC765" s="2" t="inlineStr"/>
      <c r="AD765" t="n">
        <v>4288</v>
      </c>
      <c r="AE765" t="n">
        <v>0</v>
      </c>
      <c r="AF765" t="inlineStr">
        <is>
          <t>Скидка добавлена к налоговой базе</t>
        </is>
      </c>
      <c r="AG765" t="n">
        <v>26800</v>
      </c>
      <c r="AH765" t="n">
        <v>22512</v>
      </c>
      <c r="AI765" t="inlineStr">
        <is>
          <t>Полное проживание в выбранном периоде</t>
        </is>
      </c>
    </row>
    <row r="766">
      <c r="A766" t="inlineStr">
        <is>
          <t>20260821-8186-458141920</t>
        </is>
      </c>
      <c r="B766" t="n">
        <v>1</v>
      </c>
      <c r="C766" s="2" t="inlineStr">
        <is>
          <t>Ольга Каширина, Михаил Китаев</t>
        </is>
      </c>
      <c r="D766" s="3" t="n">
        <v>41085</v>
      </c>
      <c r="E766" s="4" t="n">
        <v>18</v>
      </c>
      <c r="F766" t="inlineStr">
        <is>
          <t>Яндекс.Путешествия [Чайковский]</t>
        </is>
      </c>
      <c r="G766" s="3">
        <f>ROUND(D766/(100-E766)*100,2)</f>
        <v/>
      </c>
      <c r="H766" s="3" t="n">
        <v>0</v>
      </c>
      <c r="I766" s="3">
        <f>ROUND(IF(ISNUMBER(AG766),AG766,G766)+H766,2)</f>
        <v/>
      </c>
      <c r="J766" s="2" t="inlineStr">
        <is>
          <t>Завтрак "Шведский стол"</t>
        </is>
      </c>
      <c r="K766" s="5" t="n">
        <v>46255.58333333334</v>
      </c>
      <c r="L766" t="n">
        <v>3</v>
      </c>
      <c r="M766" s="3">
        <f>I766/L766</f>
        <v/>
      </c>
      <c r="N766">
        <f>IF(M766&gt;=5100,"ставка","мин.ставка")</f>
        <v/>
      </c>
      <c r="O766" s="3">
        <f>ROUND(IF(N766="мин.ставка",L766*100,I766/102*2),2)</f>
        <v/>
      </c>
      <c r="P766" s="5" t="n">
        <v>46258.5</v>
      </c>
      <c r="Q766" t="inlineStr">
        <is>
          <t>TravelLine YAX</t>
        </is>
      </c>
      <c r="R766" s="2" t="inlineStr">
        <is>
          <t>ПОЛУЛЮКС</t>
        </is>
      </c>
      <c r="S766" t="n">
        <v>11</v>
      </c>
      <c r="T766" t="n">
        <v>1</v>
      </c>
      <c r="U766" t="inlineStr"/>
      <c r="V766" t="inlineStr">
        <is>
          <t>Тариф с завтраком</t>
        </is>
      </c>
      <c r="W766" t="n">
        <v>41085</v>
      </c>
      <c r="X766" s="3" t="n">
        <v>8415</v>
      </c>
      <c r="Y766" t="inlineStr">
        <is>
          <t>17%</t>
        </is>
      </c>
      <c r="Z766" t="inlineStr">
        <is>
          <t>2026-08-21, 2026-08-22, 2026-08-23</t>
        </is>
      </c>
      <c r="AA766" s="3" t="n">
        <v>41085</v>
      </c>
      <c r="AB766" t="inlineStr">
        <is>
          <t>Сошлось по ночным тарифам</t>
        </is>
      </c>
      <c r="AC766" s="2" t="inlineStr"/>
      <c r="AD766" t="n">
        <v>8415</v>
      </c>
      <c r="AE766" t="n">
        <v>0</v>
      </c>
      <c r="AF766" t="inlineStr">
        <is>
          <t>Скидка добавлена к налоговой базе</t>
        </is>
      </c>
      <c r="AG766" t="n">
        <v>49500</v>
      </c>
      <c r="AH766" t="n">
        <v>41085</v>
      </c>
      <c r="AI766" t="inlineStr">
        <is>
          <t>Полное проживание в выбранном периоде</t>
        </is>
      </c>
    </row>
    <row r="767">
      <c r="A767" t="inlineStr">
        <is>
          <t>20260819-8186-406343443</t>
        </is>
      </c>
      <c r="B767" t="n">
        <v>1</v>
      </c>
      <c r="C767" s="2" t="inlineStr">
        <is>
          <t>Ольга Коростелева, Андрей Коростелев</t>
        </is>
      </c>
      <c r="D767" s="3" t="n">
        <v>13016.25</v>
      </c>
      <c r="E767" s="4" t="n">
        <v>4</v>
      </c>
      <c r="F767" t="inlineStr">
        <is>
          <t>TravelLine Booking Engine [Чайковский]</t>
        </is>
      </c>
      <c r="G767" s="3">
        <f>ROUND(D767/(100-E767)*100,2)</f>
        <v/>
      </c>
      <c r="H767" s="3" t="n">
        <v>0</v>
      </c>
      <c r="I767" s="3">
        <f>ROUND(IF(ISNUMBER(AG767),AG767,G767)+H767,2)</f>
        <v/>
      </c>
      <c r="J767" s="2" t="inlineStr">
        <is>
          <t>Завтрак "Шведский стол"</t>
        </is>
      </c>
      <c r="K767" s="5" t="n">
        <v>46253.58333333334</v>
      </c>
      <c r="L767" t="n">
        <v>1</v>
      </c>
      <c r="M767" s="3">
        <f>I767/L767</f>
        <v/>
      </c>
      <c r="N767">
        <f>IF(M767&gt;=5100,"ставка","мин.ставка")</f>
        <v/>
      </c>
      <c r="O767" s="3">
        <f>ROUND(IF(N767="мин.ставка",L767*100,I767/102*2),2)</f>
        <v/>
      </c>
      <c r="P767" s="5" t="n">
        <v>46254.5</v>
      </c>
      <c r="Q767" t="inlineStr">
        <is>
          <t>TravelLine сайт</t>
        </is>
      </c>
      <c r="R767" s="2" t="inlineStr">
        <is>
          <t>СТАНДАРТНЫЙ ДВУХМЕСТНЫЙ НОМЕР</t>
        </is>
      </c>
      <c r="S767" t="n">
        <v>26</v>
      </c>
      <c r="T767" t="n">
        <v>1</v>
      </c>
      <c r="U767" t="inlineStr"/>
      <c r="V767" t="inlineStr">
        <is>
          <t>Тариф с завтраком</t>
        </is>
      </c>
      <c r="W767" t="n">
        <v>13016.25</v>
      </c>
      <c r="X767" s="3" t="n">
        <v>333.75</v>
      </c>
      <c r="Y767" t="inlineStr">
        <is>
          <t>2.5%</t>
        </is>
      </c>
      <c r="Z767" t="inlineStr">
        <is>
          <t>2026-08-19</t>
        </is>
      </c>
      <c r="AA767" s="3" t="n">
        <v>13016.25</v>
      </c>
      <c r="AB767" t="inlineStr">
        <is>
          <t>Сошлось по ночным тарифам</t>
        </is>
      </c>
      <c r="AC767" s="2" t="inlineStr"/>
      <c r="AD767" t="n">
        <v>333.75</v>
      </c>
      <c r="AE767" t="n">
        <v>0</v>
      </c>
      <c r="AF767" t="inlineStr">
        <is>
          <t>Скидка добавлена к налоговой базе</t>
        </is>
      </c>
      <c r="AG767" t="n">
        <v>13350</v>
      </c>
      <c r="AH767" t="n">
        <v>13016.25</v>
      </c>
      <c r="AI767" t="inlineStr">
        <is>
          <t>Полное проживание в выбранном периоде</t>
        </is>
      </c>
    </row>
    <row r="768">
      <c r="A768" t="inlineStr">
        <is>
          <t>20260716-8186-448718425</t>
        </is>
      </c>
      <c r="B768" t="n">
        <v>1</v>
      </c>
      <c r="C768" s="2" t="inlineStr">
        <is>
          <t>ОЛЬГА КОРШУНОВА</t>
        </is>
      </c>
      <c r="D768" s="3" t="n">
        <v>30260</v>
      </c>
      <c r="E768" s="4" t="n">
        <v>15</v>
      </c>
      <c r="F768" t="inlineStr">
        <is>
          <t>ООО "Библио-Глобус Туроператор" [Чайковский]</t>
        </is>
      </c>
      <c r="G768" s="3">
        <f>ROUND(D768/(100-E768)*100,2)</f>
        <v/>
      </c>
      <c r="H768" s="3" t="n">
        <v>0</v>
      </c>
      <c r="I768" s="3">
        <f>ROUND(IF(ISNUMBER(AG768),AG768,G768)+H768,2)</f>
        <v/>
      </c>
      <c r="J768" s="2" t="inlineStr">
        <is>
          <t>Завтрак "Шведский стол"</t>
        </is>
      </c>
      <c r="K768" s="5" t="n">
        <v>46219.58333333334</v>
      </c>
      <c r="L768" t="n">
        <v>4</v>
      </c>
      <c r="M768" s="3">
        <f>I768/L768</f>
        <v/>
      </c>
      <c r="N768">
        <f>IF(M768&gt;=5100,"ставка","мин.ставка")</f>
        <v/>
      </c>
      <c r="O768" s="3">
        <f>ROUND(IF(N768="мин.ставка",L768*100,I768/102*2),2)</f>
        <v/>
      </c>
      <c r="P768" s="5" t="n">
        <v>46223.5</v>
      </c>
      <c r="Q768" t="inlineStr">
        <is>
          <t>TravelLine BGL</t>
        </is>
      </c>
      <c r="R768" s="2" t="inlineStr">
        <is>
          <t>СТАНДАРТНЫЙ ДВУХМЕСТНЫЙ НОМЕР</t>
        </is>
      </c>
      <c r="S768" t="n">
        <v>36</v>
      </c>
      <c r="T768" t="n">
        <v>1</v>
      </c>
      <c r="U768" t="inlineStr"/>
      <c r="V768" t="inlineStr">
        <is>
          <t>Тариф с завтраком</t>
        </is>
      </c>
      <c r="W768" t="n">
        <v>30260</v>
      </c>
      <c r="X768" s="3" t="n">
        <v>5340</v>
      </c>
      <c r="Y768" t="inlineStr">
        <is>
          <t>15%</t>
        </is>
      </c>
      <c r="Z768" t="inlineStr">
        <is>
          <t>2026-07-16, 2026-07-17, 2026-07-18, 2026-07-19</t>
        </is>
      </c>
      <c r="AA768" s="3" t="n">
        <v>30260</v>
      </c>
      <c r="AB768" t="inlineStr">
        <is>
          <t>Сошлось по ночным тарифам</t>
        </is>
      </c>
      <c r="AC768" s="2" t="inlineStr"/>
      <c r="AD768" t="n">
        <v>5340</v>
      </c>
      <c r="AE768" t="n">
        <v>0</v>
      </c>
      <c r="AF768" t="inlineStr">
        <is>
          <t>Скидка добавлена к налоговой базе</t>
        </is>
      </c>
      <c r="AG768" t="n">
        <v>35600</v>
      </c>
      <c r="AH768" t="n">
        <v>30260</v>
      </c>
      <c r="AI768" t="inlineStr">
        <is>
          <t>Полное проживание в выбранном периоде</t>
        </is>
      </c>
    </row>
    <row r="769">
      <c r="A769" t="inlineStr">
        <is>
          <t>20260713-8186-449799013</t>
        </is>
      </c>
      <c r="B769" t="n">
        <v>1</v>
      </c>
      <c r="C769" s="2" t="inlineStr">
        <is>
          <t>Ольга Красоцкая, Ольга Красоцкая</t>
        </is>
      </c>
      <c r="D769" s="3" t="n">
        <v>9265</v>
      </c>
      <c r="E769" s="4" t="n">
        <v>15</v>
      </c>
      <c r="F769" t="inlineStr">
        <is>
          <t>ООО Тинькофф Путешествия [Чайковский]</t>
        </is>
      </c>
      <c r="G769" s="3">
        <f>ROUND(D769/(100-E769)*100,2)</f>
        <v/>
      </c>
      <c r="H769" s="3" t="n">
        <v>0</v>
      </c>
      <c r="I769" s="3">
        <f>ROUND(IF(ISNUMBER(AG769),AG769,G769)+H769,2)</f>
        <v/>
      </c>
      <c r="J769" s="2" t="inlineStr">
        <is>
          <t>Завтрак "Шведский стол"</t>
        </is>
      </c>
      <c r="K769" s="5" t="n">
        <v>46216.58333333334</v>
      </c>
      <c r="L769" t="n">
        <v>1</v>
      </c>
      <c r="M769" s="3">
        <f>I769/L769</f>
        <v/>
      </c>
      <c r="N769">
        <f>IF(M769&gt;=5100,"ставка","мин.ставка")</f>
        <v/>
      </c>
      <c r="O769" s="3">
        <f>ROUND(IF(N769="мин.ставка",L769*100,I769/102*2),2)</f>
        <v/>
      </c>
      <c r="P769" s="5" t="n">
        <v>46217.5</v>
      </c>
      <c r="Q769" t="inlineStr">
        <is>
          <t>TravelLine TNK</t>
        </is>
      </c>
      <c r="R769" s="2" t="inlineStr">
        <is>
          <t>СЕМЕЙНЫЙ НОМЕР КАТЕГОРИИ "СТАНДАРТ" ВТОРОЙ КОРПУС</t>
        </is>
      </c>
      <c r="S769" t="n">
        <v>50</v>
      </c>
      <c r="T769" t="n">
        <v>2</v>
      </c>
      <c r="U769" t="inlineStr"/>
      <c r="V769" t="inlineStr">
        <is>
          <t>Тариф с завтраком</t>
        </is>
      </c>
      <c r="W769" t="n">
        <v>9265</v>
      </c>
      <c r="X769" s="3" t="n">
        <v>1635</v>
      </c>
      <c r="Y769" t="inlineStr">
        <is>
          <t>15%</t>
        </is>
      </c>
      <c r="Z769" t="inlineStr">
        <is>
          <t>2026-07-13</t>
        </is>
      </c>
      <c r="AA769" s="3" t="n">
        <v>9265</v>
      </c>
      <c r="AB769" t="inlineStr">
        <is>
          <t>Сошлось по ночным тарифам</t>
        </is>
      </c>
      <c r="AC769" s="2" t="inlineStr"/>
      <c r="AD769" t="n">
        <v>1635</v>
      </c>
      <c r="AE769" t="n">
        <v>0</v>
      </c>
      <c r="AF769" t="inlineStr">
        <is>
          <t>Скидка добавлена к налоговой базе</t>
        </is>
      </c>
      <c r="AG769" t="n">
        <v>10900</v>
      </c>
      <c r="AH769" t="n">
        <v>9265</v>
      </c>
      <c r="AI769" t="inlineStr">
        <is>
          <t>Полное проживание в выбранном периоде</t>
        </is>
      </c>
    </row>
    <row r="770">
      <c r="A770" t="inlineStr">
        <is>
          <t>20260821-8186-460289458</t>
        </is>
      </c>
      <c r="B770" t="n">
        <v>1</v>
      </c>
      <c r="C770" s="2" t="inlineStr">
        <is>
          <t>Ольга Ляшенко</t>
        </is>
      </c>
      <c r="D770" s="3" t="n">
        <v>10998.15</v>
      </c>
      <c r="E770" s="4" t="n">
        <v>4</v>
      </c>
      <c r="F770" t="inlineStr">
        <is>
          <t>TravelLine Booking Engine [Чайковский]</t>
        </is>
      </c>
      <c r="G770" s="3">
        <f>ROUND(D770/(100-E770)*100,2)</f>
        <v/>
      </c>
      <c r="H770" s="3" t="n">
        <v>0</v>
      </c>
      <c r="I770" s="3">
        <f>ROUND(IF(ISNUMBER(AG770),AG770,G770)+H770,2)</f>
        <v/>
      </c>
      <c r="J770" s="2" t="inlineStr">
        <is>
          <t>Завтрак "Шведский стол"</t>
        </is>
      </c>
      <c r="K770" s="5" t="n">
        <v>46255.58333333334</v>
      </c>
      <c r="L770" t="n">
        <v>1</v>
      </c>
      <c r="M770" s="3">
        <f>I770/L770</f>
        <v/>
      </c>
      <c r="N770">
        <f>IF(M770&gt;=5100,"ставка","мин.ставка")</f>
        <v/>
      </c>
      <c r="O770" s="3">
        <f>ROUND(IF(N770="мин.ставка",L770*100,I770/102*2),2)</f>
        <v/>
      </c>
      <c r="P770" s="5" t="n">
        <v>46256.5</v>
      </c>
      <c r="Q770" t="inlineStr">
        <is>
          <t>TravelLine сайт</t>
        </is>
      </c>
      <c r="R770" s="2" t="inlineStr">
        <is>
          <t>СТАНДАРТНЫЙ ДВУХМЕСТНЫЙ НОМЕР</t>
        </is>
      </c>
      <c r="S770" t="n">
        <v>42</v>
      </c>
      <c r="T770" t="n">
        <v>1</v>
      </c>
      <c r="U770" t="inlineStr"/>
      <c r="V770" t="inlineStr">
        <is>
          <t>Тариф с завтраком</t>
        </is>
      </c>
      <c r="W770" t="n">
        <v>10998.15</v>
      </c>
      <c r="X770" s="3" t="n">
        <v>351.85</v>
      </c>
      <c r="Y770" t="inlineStr">
        <is>
          <t>3.1%</t>
        </is>
      </c>
      <c r="Z770" t="inlineStr">
        <is>
          <t>2026-08-21</t>
        </is>
      </c>
      <c r="AA770" s="3" t="n">
        <v>10998.15</v>
      </c>
      <c r="AB770" t="inlineStr">
        <is>
          <t>Сошлось по ночным тарифам</t>
        </is>
      </c>
      <c r="AC770" s="2" t="inlineStr"/>
      <c r="AD770" t="n">
        <v>351.85</v>
      </c>
      <c r="AE770" t="n">
        <v>0</v>
      </c>
      <c r="AF770" t="inlineStr">
        <is>
          <t>Скидка добавлена к налоговой базе</t>
        </is>
      </c>
      <c r="AG770" t="n">
        <v>11350</v>
      </c>
      <c r="AH770" t="n">
        <v>10998.15</v>
      </c>
      <c r="AI770" t="inlineStr">
        <is>
          <t>Полное проживание в выбранном периоде</t>
        </is>
      </c>
    </row>
    <row r="771">
      <c r="A771" t="inlineStr">
        <is>
          <t>20260822-8186-435212432</t>
        </is>
      </c>
      <c r="B771" t="n">
        <v>1</v>
      </c>
      <c r="C771" s="2" t="inlineStr">
        <is>
          <t>ОЛЬГА МАКСИМОВИЧ, ПАВЕЛ ГУРБИЧ</t>
        </is>
      </c>
      <c r="D771" s="3" t="n">
        <v>25245</v>
      </c>
      <c r="E771" s="4" t="n">
        <v>16</v>
      </c>
      <c r="F771" t="inlineStr">
        <is>
          <t>ООО "БРОНИРОВАНИЕ ГОСТИНИЦ" (OSTROVOK) [Чайковский]</t>
        </is>
      </c>
      <c r="G771" s="3">
        <f>ROUND(D771/(100-E771)*100,2)</f>
        <v/>
      </c>
      <c r="H771" s="3" t="n">
        <v>0</v>
      </c>
      <c r="I771" s="3">
        <f>ROUND(IF(ISNUMBER(AG771),AG771,G771)+H771,2)</f>
        <v/>
      </c>
      <c r="J771" s="2" t="inlineStr">
        <is>
          <t>Завтрак "Шведский стол"</t>
        </is>
      </c>
      <c r="K771" s="5" t="n">
        <v>46256.58333333334</v>
      </c>
      <c r="L771" t="n">
        <v>3</v>
      </c>
      <c r="M771" s="3">
        <f>I771/L771</f>
        <v/>
      </c>
      <c r="N771">
        <f>IF(M771&gt;=5100,"ставка","мин.ставка")</f>
        <v/>
      </c>
      <c r="O771" s="3">
        <f>ROUND(IF(N771="мин.ставка",L771*100,I771/102*2),2)</f>
        <v/>
      </c>
      <c r="P771" s="5" t="n">
        <v>46259.5</v>
      </c>
      <c r="Q771" t="inlineStr">
        <is>
          <t>TravelLine OTK</t>
        </is>
      </c>
      <c r="R771" s="2" t="inlineStr">
        <is>
          <t>СТАНДАРТНЫЙ ДВУХМЕСТНЫЙ НОМЕР (МАНСАРДА)</t>
        </is>
      </c>
      <c r="S771" t="n">
        <v>47</v>
      </c>
      <c r="T771" t="n">
        <v>1</v>
      </c>
      <c r="U771" t="inlineStr"/>
      <c r="V771" t="inlineStr">
        <is>
          <t>Тариф с завтраком</t>
        </is>
      </c>
      <c r="W771" t="n">
        <v>25245</v>
      </c>
      <c r="X771" s="3" t="n">
        <v>4455</v>
      </c>
      <c r="Y771" t="inlineStr">
        <is>
          <t>15%</t>
        </is>
      </c>
      <c r="Z771" t="inlineStr">
        <is>
          <t>2026-08-22, 2026-08-23, 2026-08-24</t>
        </is>
      </c>
      <c r="AA771" s="3" t="n">
        <v>25245</v>
      </c>
      <c r="AB771" t="inlineStr">
        <is>
          <t>Сошлось по ночным тарифам</t>
        </is>
      </c>
      <c r="AC771" s="2" t="inlineStr"/>
      <c r="AD771" t="n">
        <v>4455</v>
      </c>
      <c r="AE771" t="n">
        <v>0</v>
      </c>
      <c r="AF771" t="inlineStr">
        <is>
          <t>Скидка добавлена к налоговой базе</t>
        </is>
      </c>
      <c r="AG771" t="n">
        <v>29700</v>
      </c>
      <c r="AH771" t="n">
        <v>25245</v>
      </c>
      <c r="AI771" t="inlineStr">
        <is>
          <t>Полное проживание в выбранном периоде</t>
        </is>
      </c>
    </row>
    <row r="772">
      <c r="A772" t="inlineStr">
        <is>
          <t>20260929-8186-465328503</t>
        </is>
      </c>
      <c r="B772" t="n">
        <v>1</v>
      </c>
      <c r="C772" s="2" t="inlineStr">
        <is>
          <t>Ольга Маурина</t>
        </is>
      </c>
      <c r="D772" s="3" t="n">
        <v>5486.25</v>
      </c>
      <c r="E772" s="4" t="n">
        <v>18</v>
      </c>
      <c r="F772" t="inlineStr">
        <is>
          <t>Яндекс.Путешествия [Чайковский]</t>
        </is>
      </c>
      <c r="G772" s="3">
        <f>ROUND(D772/(100-E772)*100,2)</f>
        <v/>
      </c>
      <c r="H772" s="3" t="n">
        <v>0</v>
      </c>
      <c r="I772" s="3">
        <f>ROUND(IF(ISNUMBER(AG772),AG772,G772)+H772,2)</f>
        <v/>
      </c>
      <c r="J772" s="2" t="inlineStr">
        <is>
          <t>Завтрак "Шведский стол"</t>
        </is>
      </c>
      <c r="K772" s="5" t="n">
        <v>46294.58333333334</v>
      </c>
      <c r="L772" t="n">
        <v>1</v>
      </c>
      <c r="M772" s="3">
        <f>I772/L772</f>
        <v/>
      </c>
      <c r="N772">
        <f>IF(M772&gt;=5100,"ставка","мин.ставка")</f>
        <v/>
      </c>
      <c r="O772" s="3">
        <f>ROUND(IF(N772="мин.ставка",L772*100,I772/102*2),2)</f>
        <v/>
      </c>
      <c r="P772" s="5" t="n">
        <v>46295.5</v>
      </c>
      <c r="Q772" t="inlineStr">
        <is>
          <t>TravelLine YAX</t>
        </is>
      </c>
      <c r="R772" s="2" t="inlineStr">
        <is>
          <t>СТАНДАРТНЫЙ ОДНОМЕСТНЫЙ НОМЕР</t>
        </is>
      </c>
      <c r="S772" t="n">
        <v>24</v>
      </c>
      <c r="T772" t="n">
        <v>1</v>
      </c>
      <c r="U772" t="inlineStr"/>
      <c r="V772" t="inlineStr">
        <is>
          <t>Тариф с завтраком</t>
        </is>
      </c>
      <c r="W772" t="n">
        <v>5486.25</v>
      </c>
      <c r="X772" s="3" t="n">
        <v>0</v>
      </c>
      <c r="Y772" t="inlineStr"/>
      <c r="Z772" t="inlineStr"/>
      <c r="AA772" s="3" t="n">
        <v>5486.25</v>
      </c>
      <c r="AB772" t="inlineStr">
        <is>
          <t>Сошлось по ночным тарифам</t>
        </is>
      </c>
      <c r="AC772" s="2" t="inlineStr"/>
      <c r="AD772" t="n">
        <v>0</v>
      </c>
      <c r="AE772" t="n">
        <v>0</v>
      </c>
      <c r="AF772" t="inlineStr">
        <is>
          <t>Скидки нет</t>
        </is>
      </c>
      <c r="AG772" t="n">
        <v>5486.25</v>
      </c>
      <c r="AH772" t="n">
        <v>5486.25</v>
      </c>
      <c r="AI772" t="inlineStr">
        <is>
          <t>Полное проживание в выбранном периоде</t>
        </is>
      </c>
    </row>
    <row r="773">
      <c r="A773" t="inlineStr">
        <is>
          <t>20260707-8186-408949108</t>
        </is>
      </c>
      <c r="B773" t="n">
        <v>1</v>
      </c>
      <c r="C773" s="2" t="inlineStr">
        <is>
          <t>Ольга Минченко, Станислав Сушков</t>
        </is>
      </c>
      <c r="D773" s="3" t="n">
        <v>69151.5</v>
      </c>
      <c r="E773" s="4" t="n">
        <v>4</v>
      </c>
      <c r="F773" t="inlineStr">
        <is>
          <t>TravelLine Booking Engine [Чайковский]</t>
        </is>
      </c>
      <c r="G773" s="3">
        <f>ROUND(D773/(100-E773)*100,2)</f>
        <v/>
      </c>
      <c r="H773" s="3" t="n">
        <v>0</v>
      </c>
      <c r="I773" s="3">
        <f>ROUND(IF(ISNUMBER(AG773),AG773,G773)+H773,2)</f>
        <v/>
      </c>
      <c r="J773" s="2" t="inlineStr">
        <is>
          <t>Завтрак "Шведский стол"</t>
        </is>
      </c>
      <c r="K773" s="5" t="n">
        <v>46210.58333333334</v>
      </c>
      <c r="L773" t="n">
        <v>7</v>
      </c>
      <c r="M773" s="3">
        <f>I773/L773</f>
        <v/>
      </c>
      <c r="N773">
        <f>IF(M773&gt;=5100,"ставка","мин.ставка")</f>
        <v/>
      </c>
      <c r="O773" s="3">
        <f>ROUND(IF(N773="мин.ставка",L773*100,I773/102*2),2)</f>
        <v/>
      </c>
      <c r="P773" s="5" t="n">
        <v>46217.5</v>
      </c>
      <c r="Q773" t="inlineStr">
        <is>
          <t>TravelLine сайт</t>
        </is>
      </c>
      <c r="R773" s="2" t="inlineStr">
        <is>
          <t>СТАНДАРТНЫЙ ДВУХМЕСТНЫЙ НОМЕР (МАНСАРДА)</t>
        </is>
      </c>
      <c r="S773" t="n">
        <v>43</v>
      </c>
      <c r="T773" t="n">
        <v>1</v>
      </c>
      <c r="U773" t="inlineStr"/>
      <c r="V773" t="inlineStr">
        <is>
          <t>Тариф с завтраком</t>
        </is>
      </c>
      <c r="W773" t="n">
        <v>69151.5</v>
      </c>
      <c r="X773" s="3" t="n">
        <v>148.5</v>
      </c>
      <c r="Y773" t="inlineStr">
        <is>
          <t>1.5%</t>
        </is>
      </c>
      <c r="Z773" t="inlineStr">
        <is>
          <t>2026-07-07</t>
        </is>
      </c>
      <c r="AA773" s="3" t="n">
        <v>69151.5</v>
      </c>
      <c r="AB773" t="inlineStr">
        <is>
          <t>Сошлось по ночным тарифам</t>
        </is>
      </c>
      <c r="AC773" s="2" t="inlineStr"/>
      <c r="AD773" t="n">
        <v>148.5</v>
      </c>
      <c r="AE773" t="n">
        <v>0</v>
      </c>
      <c r="AF773" t="inlineStr">
        <is>
          <t>Скидка добавлена к налоговой базе</t>
        </is>
      </c>
      <c r="AG773" t="n">
        <v>69300</v>
      </c>
      <c r="AH773" t="n">
        <v>69151.5</v>
      </c>
      <c r="AI773" t="inlineStr">
        <is>
          <t>Полное проживание в выбранном периоде</t>
        </is>
      </c>
    </row>
    <row r="774">
      <c r="A774" t="inlineStr">
        <is>
          <t>20260709-8186-448353253</t>
        </is>
      </c>
      <c r="B774" t="n">
        <v>1</v>
      </c>
      <c r="C774" s="2" t="inlineStr">
        <is>
          <t>ОЛЬГА Мотовилова</t>
        </is>
      </c>
      <c r="D774" s="3" t="n">
        <v>11850</v>
      </c>
      <c r="E774" s="4" t="n">
        <v>0</v>
      </c>
      <c r="F774" t="inlineStr">
        <is>
          <t>Прямые бронирования (стойка) [Чайковский]</t>
        </is>
      </c>
      <c r="G774" s="3">
        <f>ROUND(D774/(100-E774)*100,2)</f>
        <v/>
      </c>
      <c r="H774" s="3" t="n">
        <v>0</v>
      </c>
      <c r="I774" s="3">
        <f>ROUND(IF(ISNUMBER(AG774),AG774,G774)+H774,2)</f>
        <v/>
      </c>
      <c r="J774" s="2" t="inlineStr">
        <is>
          <t>Завтрак "Шведский стол"</t>
        </is>
      </c>
      <c r="K774" s="5" t="n">
        <v>46212.58333333334</v>
      </c>
      <c r="L774" t="n">
        <v>1</v>
      </c>
      <c r="M774" s="3">
        <f>I774/L774</f>
        <v/>
      </c>
      <c r="N774">
        <f>IF(M774&gt;=5100,"ставка","мин.ставка")</f>
        <v/>
      </c>
      <c r="O774" s="3">
        <f>ROUND(IF(N774="мин.ставка",L774*100,I774/102*2),2)</f>
        <v/>
      </c>
      <c r="P774" s="5" t="n">
        <v>46213.5</v>
      </c>
      <c r="Q774" t="inlineStr">
        <is>
          <t>TravelLine ресепшен</t>
        </is>
      </c>
      <c r="R774" s="2" t="inlineStr">
        <is>
          <t>ПОЛУЛЮКС</t>
        </is>
      </c>
      <c r="S774" t="n">
        <v>25</v>
      </c>
      <c r="T774" t="n">
        <v>1</v>
      </c>
      <c r="U774" t="inlineStr"/>
      <c r="V774" t="inlineStr">
        <is>
          <t>Тариф с завтраком</t>
        </is>
      </c>
      <c r="W774" t="n">
        <v>11850</v>
      </c>
      <c r="X774" s="3" t="n">
        <v>0</v>
      </c>
      <c r="Y774" t="inlineStr"/>
      <c r="Z774" t="inlineStr"/>
      <c r="AA774" s="3" t="n">
        <v>11850</v>
      </c>
      <c r="AB774" t="inlineStr">
        <is>
          <t>Сошлось по ночным тарифам</t>
        </is>
      </c>
      <c r="AC774" s="2" t="inlineStr"/>
      <c r="AD774" t="n">
        <v>0</v>
      </c>
      <c r="AE774" t="n">
        <v>0</v>
      </c>
      <c r="AF774" t="inlineStr">
        <is>
          <t>Скидки нет</t>
        </is>
      </c>
      <c r="AG774" t="n">
        <v>11850</v>
      </c>
      <c r="AH774" t="n">
        <v>11850</v>
      </c>
      <c r="AI774" t="inlineStr">
        <is>
          <t>Полное проживание в выбранном периоде</t>
        </is>
      </c>
    </row>
    <row r="775">
      <c r="A775" t="inlineStr">
        <is>
          <t>20260917-8186-466217197</t>
        </is>
      </c>
      <c r="B775" t="n">
        <v>1</v>
      </c>
      <c r="C775" s="2" t="inlineStr">
        <is>
          <t>Ольга Пономарева</t>
        </is>
      </c>
      <c r="D775" s="3" t="n">
        <v>22348.15</v>
      </c>
      <c r="E775" s="4" t="n">
        <v>4</v>
      </c>
      <c r="F775" t="inlineStr">
        <is>
          <t>TravelLine Booking Engine [Чайковский]</t>
        </is>
      </c>
      <c r="G775" s="3">
        <f>ROUND(D775/(100-E775)*100,2)</f>
        <v/>
      </c>
      <c r="H775" s="3" t="n">
        <v>0</v>
      </c>
      <c r="I775" s="3">
        <f>ROUND(IF(ISNUMBER(AG775),AG775,G775)+H775,2)</f>
        <v/>
      </c>
      <c r="J775" s="2" t="inlineStr">
        <is>
          <t>Завтрак "Шведский стол"</t>
        </is>
      </c>
      <c r="K775" s="5" t="n">
        <v>46282.58333333334</v>
      </c>
      <c r="L775" t="n">
        <v>2</v>
      </c>
      <c r="M775" s="3">
        <f>I775/L775</f>
        <v/>
      </c>
      <c r="N775">
        <f>IF(M775&gt;=5100,"ставка","мин.ставка")</f>
        <v/>
      </c>
      <c r="O775" s="3">
        <f>ROUND(IF(N775="мин.ставка",L775*100,I775/102*2),2)</f>
        <v/>
      </c>
      <c r="P775" s="5" t="n">
        <v>46284.5</v>
      </c>
      <c r="Q775" t="inlineStr">
        <is>
          <t>TravelLine сайт</t>
        </is>
      </c>
      <c r="R775" s="2" t="inlineStr">
        <is>
          <t>СТАНДАРТНЫЙ ДВУХМЕСТНЫЙ НОМЕР</t>
        </is>
      </c>
      <c r="S775" t="n">
        <v>55</v>
      </c>
      <c r="T775" t="n">
        <v>2</v>
      </c>
      <c r="U775" t="inlineStr"/>
      <c r="V775" t="inlineStr">
        <is>
          <t>Тариф с завтраком</t>
        </is>
      </c>
      <c r="W775" t="n">
        <v>22348.15</v>
      </c>
      <c r="X775" s="3" t="n">
        <v>351.85</v>
      </c>
      <c r="Y775" t="inlineStr">
        <is>
          <t>3.1%</t>
        </is>
      </c>
      <c r="Z775" t="inlineStr">
        <is>
          <t>2026-09-17</t>
        </is>
      </c>
      <c r="AA775" s="3" t="n">
        <v>22348.15</v>
      </c>
      <c r="AB775" t="inlineStr">
        <is>
          <t>Сошлось по ночным тарифам</t>
        </is>
      </c>
      <c r="AC775" s="2" t="inlineStr"/>
      <c r="AD775" t="n">
        <v>351.85</v>
      </c>
      <c r="AE775" t="n">
        <v>0</v>
      </c>
      <c r="AF775" t="inlineStr">
        <is>
          <t>Скидка добавлена к налоговой базе</t>
        </is>
      </c>
      <c r="AG775" t="n">
        <v>22700</v>
      </c>
      <c r="AH775" t="n">
        <v>22348.15</v>
      </c>
      <c r="AI775" t="inlineStr">
        <is>
          <t>Полное проживание в выбранном периоде</t>
        </is>
      </c>
    </row>
    <row r="776">
      <c r="A776" t="inlineStr">
        <is>
          <t>20260802-8186-438830441</t>
        </is>
      </c>
      <c r="B776" t="n">
        <v>1</v>
      </c>
      <c r="C776" s="2" t="inlineStr">
        <is>
          <t>ОЛЬГА ПРОСКУРНИНА, АЛЕНА ПРОСКУРНИНА</t>
        </is>
      </c>
      <c r="D776" s="3" t="n">
        <v>68085</v>
      </c>
      <c r="E776" s="4" t="n">
        <v>0</v>
      </c>
      <c r="F776" t="inlineStr">
        <is>
          <t>ООО "АЛЕАН ОТДЫХ" [Чайковский]</t>
        </is>
      </c>
      <c r="G776" s="3">
        <f>ROUND(D776/(100-E776)*100,2)</f>
        <v/>
      </c>
      <c r="H776" s="3" t="n">
        <v>0</v>
      </c>
      <c r="I776" s="3">
        <f>ROUND(IF(ISNUMBER(AG776),AG776,G776)+H776,2)</f>
        <v/>
      </c>
      <c r="J776" s="2" t="inlineStr">
        <is>
          <t>meal_bf_buffet_1; meal_bf_buffet_1; Завтрак "Шведский стол"</t>
        </is>
      </c>
      <c r="K776" s="5" t="n">
        <v>46236.58333333334</v>
      </c>
      <c r="L776" t="n">
        <v>6</v>
      </c>
      <c r="M776" s="3">
        <f>I776/L776</f>
        <v/>
      </c>
      <c r="N776">
        <f>IF(M776&gt;=5100,"ставка","мин.ставка")</f>
        <v/>
      </c>
      <c r="O776" s="3">
        <f>ROUND(IF(N776="мин.ставка",L776*100,I776/102*2),2)</f>
        <v/>
      </c>
      <c r="P776" s="5" t="n">
        <v>46242.5</v>
      </c>
      <c r="Q776" t="inlineStr">
        <is>
          <t>TravelLine ALN</t>
        </is>
      </c>
      <c r="R776" s="2" t="inlineStr">
        <is>
          <t>СТАНДАРТНЫЙ ДВУХМЕСТНЫЙ НОМЕР</t>
        </is>
      </c>
      <c r="S776" t="n">
        <v>36</v>
      </c>
      <c r="T776" t="n">
        <v>1</v>
      </c>
      <c r="U776" t="inlineStr"/>
      <c r="V776" t="inlineStr">
        <is>
          <t>Тариф с завтраком</t>
        </is>
      </c>
      <c r="W776" t="n">
        <v>68085</v>
      </c>
      <c r="X776" s="3" t="n">
        <v>12015</v>
      </c>
      <c r="Y776" t="inlineStr">
        <is>
          <t>15%</t>
        </is>
      </c>
      <c r="Z776" t="inlineStr">
        <is>
          <t>2026-08-02, 2026-08-03, 2026-08-04, 2026-08-05, 2026-08-06, 2026-08-07</t>
        </is>
      </c>
      <c r="AA776" s="3" t="n">
        <v>68085</v>
      </c>
      <c r="AB776" t="inlineStr">
        <is>
          <t>Сошлось по ночным тарифам</t>
        </is>
      </c>
      <c r="AC776" s="2" t="inlineStr"/>
      <c r="AD776" t="n">
        <v>12015</v>
      </c>
      <c r="AE776" t="n">
        <v>0</v>
      </c>
      <c r="AF776" t="inlineStr">
        <is>
          <t>Скидка добавлена к налоговой базе</t>
        </is>
      </c>
      <c r="AG776" t="n">
        <v>80100</v>
      </c>
      <c r="AH776" t="n">
        <v>68085</v>
      </c>
      <c r="AI776" t="inlineStr">
        <is>
          <t>Полное проживание в выбранном периоде</t>
        </is>
      </c>
    </row>
    <row r="777">
      <c r="A777" t="inlineStr">
        <is>
          <t>20260923-8186-461586020</t>
        </is>
      </c>
      <c r="B777" t="n">
        <v>1</v>
      </c>
      <c r="C777" s="2" t="inlineStr">
        <is>
          <t>Ольга Протопопова</t>
        </is>
      </c>
      <c r="D777" s="3" t="n">
        <v>18160</v>
      </c>
      <c r="E777" s="4" t="n">
        <v>20</v>
      </c>
      <c r="F777" t="inlineStr">
        <is>
          <t>ООО "КОМПАНИЯ БРОНЕВИК" [Чайковский]</t>
        </is>
      </c>
      <c r="G777" s="3">
        <f>ROUND(D777/(100-E777)*100,2)</f>
        <v/>
      </c>
      <c r="H777" s="3" t="n">
        <v>0</v>
      </c>
      <c r="I777" s="3">
        <f>ROUND(IF(ISNUMBER(AG777),AG777,G777)+H777,2)</f>
        <v/>
      </c>
      <c r="J777" s="2" t="inlineStr">
        <is>
          <t>Завтрак "Шведский стол"</t>
        </is>
      </c>
      <c r="K777" s="5" t="n">
        <v>46288.58333333334</v>
      </c>
      <c r="L777" t="n">
        <v>2</v>
      </c>
      <c r="M777" s="3">
        <f>I777/L777</f>
        <v/>
      </c>
      <c r="N777">
        <f>IF(M777&gt;=5100,"ставка","мин.ставка")</f>
        <v/>
      </c>
      <c r="O777" s="3">
        <f>ROUND(IF(N777="мин.ставка",L777*100,I777/102*2),2)</f>
        <v/>
      </c>
      <c r="P777" s="5" t="n">
        <v>46290.5</v>
      </c>
      <c r="Q777" t="inlineStr">
        <is>
          <t>TravelLine BR2</t>
        </is>
      </c>
      <c r="R777" s="2" t="inlineStr">
        <is>
          <t>СТАНДАРТНЫЙ ДВУХМЕСТНЫЙ НОМЕР</t>
        </is>
      </c>
      <c r="S777" t="n">
        <v>36</v>
      </c>
      <c r="T777" t="n">
        <v>1</v>
      </c>
      <c r="U777" t="inlineStr"/>
      <c r="V777" t="inlineStr">
        <is>
          <t>Тариф с завтраком</t>
        </is>
      </c>
      <c r="W777" t="n">
        <v>18160</v>
      </c>
      <c r="X777" s="3" t="n">
        <v>0</v>
      </c>
      <c r="Y777" t="inlineStr"/>
      <c r="Z777" t="inlineStr"/>
      <c r="AA777" s="3" t="n">
        <v>18160</v>
      </c>
      <c r="AB777" t="inlineStr">
        <is>
          <t>Сошлось по ночным тарифам</t>
        </is>
      </c>
      <c r="AC777" s="2" t="inlineStr"/>
      <c r="AD777" t="n">
        <v>0</v>
      </c>
      <c r="AE777" t="n">
        <v>0</v>
      </c>
      <c r="AF777" t="inlineStr">
        <is>
          <t>Скидки нет</t>
        </is>
      </c>
      <c r="AG777" t="n">
        <v>18160</v>
      </c>
      <c r="AH777" t="n">
        <v>18160</v>
      </c>
      <c r="AI777" t="inlineStr">
        <is>
          <t>Полное проживание в выбранном периоде</t>
        </is>
      </c>
    </row>
    <row r="778">
      <c r="A778" t="inlineStr">
        <is>
          <t>20260913-8186-465502302</t>
        </is>
      </c>
      <c r="B778" t="n">
        <v>1</v>
      </c>
      <c r="C778" s="2" t="inlineStr">
        <is>
          <t>Ольга Савостьянова</t>
        </is>
      </c>
      <c r="D778" s="3" t="n">
        <v>12936</v>
      </c>
      <c r="E778" s="4" t="n">
        <v>16</v>
      </c>
      <c r="F778" t="inlineStr">
        <is>
          <t>ООО "БРОНИРОВАНИЕ ГОСТИНИЦ" (OSTROVOK) [Чайковский]</t>
        </is>
      </c>
      <c r="G778" s="3">
        <f>ROUND(D778/(100-E778)*100,2)</f>
        <v/>
      </c>
      <c r="H778" s="3" t="n">
        <v>0</v>
      </c>
      <c r="I778" s="3">
        <f>ROUND(IF(ISNUMBER(AG778),AG778,G778)+H778,2)</f>
        <v/>
      </c>
      <c r="J778" s="2" t="inlineStr">
        <is>
          <t>Завтрак "Шведский стол"</t>
        </is>
      </c>
      <c r="K778" s="5" t="n">
        <v>46278.58333333334</v>
      </c>
      <c r="L778" t="n">
        <v>2</v>
      </c>
      <c r="M778" s="3">
        <f>I778/L778</f>
        <v/>
      </c>
      <c r="N778">
        <f>IF(M778&gt;=5100,"ставка","мин.ставка")</f>
        <v/>
      </c>
      <c r="O778" s="3">
        <f>ROUND(IF(N778="мин.ставка",L778*100,I778/102*2),2)</f>
        <v/>
      </c>
      <c r="P778" s="5" t="n">
        <v>46280.5</v>
      </c>
      <c r="Q778" t="inlineStr">
        <is>
          <t>TravelLine OTK</t>
        </is>
      </c>
      <c r="R778" s="2" t="inlineStr">
        <is>
          <t>СТАНДАРТНЫЙ ОДНОМЕСТНЫЙ НОМЕР</t>
        </is>
      </c>
      <c r="S778" t="n">
        <v>24</v>
      </c>
      <c r="T778" t="n">
        <v>1</v>
      </c>
      <c r="U778" t="inlineStr"/>
      <c r="V778" t="inlineStr">
        <is>
          <t>Тариф с завтраком</t>
        </is>
      </c>
      <c r="W778" t="n">
        <v>12936</v>
      </c>
      <c r="X778" s="3" t="n">
        <v>2464</v>
      </c>
      <c r="Y778" t="inlineStr">
        <is>
          <t>16%</t>
        </is>
      </c>
      <c r="Z778" t="inlineStr">
        <is>
          <t>2026-09-13, 2026-09-14</t>
        </is>
      </c>
      <c r="AA778" s="3" t="n">
        <v>12936</v>
      </c>
      <c r="AB778" t="inlineStr">
        <is>
          <t>Сошлось по ночным тарифам</t>
        </is>
      </c>
      <c r="AC778" s="2" t="inlineStr"/>
      <c r="AD778" t="n">
        <v>2464</v>
      </c>
      <c r="AE778" t="n">
        <v>0</v>
      </c>
      <c r="AF778" t="inlineStr">
        <is>
          <t>Скидка добавлена к налоговой базе</t>
        </is>
      </c>
      <c r="AG778" t="n">
        <v>15400</v>
      </c>
      <c r="AH778" t="n">
        <v>12936</v>
      </c>
      <c r="AI778" t="inlineStr">
        <is>
          <t>Полное проживание в выбранном периоде</t>
        </is>
      </c>
    </row>
    <row r="779">
      <c r="A779" t="inlineStr">
        <is>
          <t>20260714-8186-448937681</t>
        </is>
      </c>
      <c r="B779" t="n">
        <v>1</v>
      </c>
      <c r="C779" s="2" t="inlineStr">
        <is>
          <t>Ольга Самыгина</t>
        </is>
      </c>
      <c r="D779" s="3" t="n">
        <v>21440</v>
      </c>
      <c r="E779" s="4" t="n">
        <v>18</v>
      </c>
      <c r="F779" t="inlineStr">
        <is>
          <t>Яндекс.Путешествия [Чайковский]</t>
        </is>
      </c>
      <c r="G779" s="3">
        <f>ROUND(D779/(100-E779)*100,2)</f>
        <v/>
      </c>
      <c r="H779" s="3" t="n">
        <v>0</v>
      </c>
      <c r="I779" s="3">
        <f>ROUND(IF(ISNUMBER(AG779),AG779,G779)+H779,2)</f>
        <v/>
      </c>
      <c r="J779" s="2" t="inlineStr">
        <is>
          <t>Завтрак "Шведский стол"</t>
        </is>
      </c>
      <c r="K779" s="5" t="n">
        <v>46217.58333333334</v>
      </c>
      <c r="L779" t="n">
        <v>2</v>
      </c>
      <c r="M779" s="3">
        <f>I779/L779</f>
        <v/>
      </c>
      <c r="N779">
        <f>IF(M779&gt;=5100,"ставка","мин.ставка")</f>
        <v/>
      </c>
      <c r="O779" s="3">
        <f>ROUND(IF(N779="мин.ставка",L779*100,I779/102*2),2)</f>
        <v/>
      </c>
      <c r="P779" s="5" t="n">
        <v>46219.5</v>
      </c>
      <c r="Q779" t="inlineStr">
        <is>
          <t>TravelLine YAX</t>
        </is>
      </c>
      <c r="R779" s="2" t="inlineStr">
        <is>
          <t>УЛУЧШЕННЫЙ ДВУХМЕСТНЫЙ НОМЕР</t>
        </is>
      </c>
      <c r="S779" t="n">
        <v>21</v>
      </c>
      <c r="T779" t="n">
        <v>1</v>
      </c>
      <c r="U779" t="inlineStr"/>
      <c r="V779" t="inlineStr">
        <is>
          <t>Тариф с завтраком</t>
        </is>
      </c>
      <c r="W779" t="n">
        <v>21440</v>
      </c>
      <c r="X779" s="3" t="n">
        <v>5360</v>
      </c>
      <c r="Y779" t="inlineStr">
        <is>
          <t>20%</t>
        </is>
      </c>
      <c r="Z779" t="inlineStr">
        <is>
          <t>2026-07-14, 2026-07-15</t>
        </is>
      </c>
      <c r="AA779" s="3" t="n">
        <v>21440</v>
      </c>
      <c r="AB779" t="inlineStr">
        <is>
          <t>Сошлось по ночным тарифам</t>
        </is>
      </c>
      <c r="AC779" s="2" t="inlineStr"/>
      <c r="AD779" t="n">
        <v>5360</v>
      </c>
      <c r="AE779" t="n">
        <v>0</v>
      </c>
      <c r="AF779" t="inlineStr">
        <is>
          <t>Скидка добавлена к налоговой базе</t>
        </is>
      </c>
      <c r="AG779" t="n">
        <v>26800</v>
      </c>
      <c r="AH779" t="n">
        <v>21440</v>
      </c>
      <c r="AI779" t="inlineStr">
        <is>
          <t>Полное проживание в выбранном периоде</t>
        </is>
      </c>
    </row>
    <row r="780">
      <c r="A780" t="inlineStr">
        <is>
          <t>20260702-8186-443610618</t>
        </is>
      </c>
      <c r="B780" t="n">
        <v>1</v>
      </c>
      <c r="C780" s="2" t="inlineStr">
        <is>
          <t>Ольга Саппо, Александр Саппо</t>
        </is>
      </c>
      <c r="D780" s="3" t="n">
        <v>64080</v>
      </c>
      <c r="E780" s="4" t="n">
        <v>20</v>
      </c>
      <c r="F780" t="inlineStr">
        <is>
          <t>ООО "ХБ-ПРО" [Чайковский]</t>
        </is>
      </c>
      <c r="G780" s="3">
        <f>ROUND(D780/(100-E780)*100,2)</f>
        <v/>
      </c>
      <c r="H780" s="3" t="n">
        <v>0</v>
      </c>
      <c r="I780" s="3">
        <f>ROUND(IF(ISNUMBER(AG780),AG780,G780)+H780,2)</f>
        <v/>
      </c>
      <c r="J780" s="2" t="inlineStr">
        <is>
          <t>Завтрак "Шведский стол"</t>
        </is>
      </c>
      <c r="K780" s="5" t="n">
        <v>46205.58333333334</v>
      </c>
      <c r="L780" t="n">
        <v>6</v>
      </c>
      <c r="M780" s="3">
        <f>I780/L780</f>
        <v/>
      </c>
      <c r="N780">
        <f>IF(M780&gt;=5100,"ставка","мин.ставка")</f>
        <v/>
      </c>
      <c r="O780" s="3">
        <f>ROUND(IF(N780="мин.ставка",L780*100,I780/102*2),2)</f>
        <v/>
      </c>
      <c r="P780" s="5" t="n">
        <v>46211.5</v>
      </c>
      <c r="Q780" t="inlineStr">
        <is>
          <t>TravelLine UTS</t>
        </is>
      </c>
      <c r="R780" s="2" t="inlineStr">
        <is>
          <t>СТАНДАРТНЫЙ ДВУХМЕСТНЫЙ НОМЕР</t>
        </is>
      </c>
      <c r="S780" t="n">
        <v>52</v>
      </c>
      <c r="T780" t="n">
        <v>2</v>
      </c>
      <c r="U780" t="inlineStr"/>
      <c r="V780" t="inlineStr">
        <is>
          <t>Тариф с завтраком</t>
        </is>
      </c>
      <c r="W780" t="n">
        <v>64080</v>
      </c>
      <c r="X780" s="3" t="n">
        <v>0</v>
      </c>
      <c r="Y780" t="inlineStr"/>
      <c r="Z780" t="inlineStr"/>
      <c r="AA780" s="3" t="n">
        <v>64080</v>
      </c>
      <c r="AB780" t="inlineStr">
        <is>
          <t>Сошлось по ночным тарифам</t>
        </is>
      </c>
      <c r="AC780" s="2" t="inlineStr"/>
      <c r="AD780" t="n">
        <v>0</v>
      </c>
      <c r="AE780" t="n">
        <v>0</v>
      </c>
      <c r="AF780" t="inlineStr">
        <is>
          <t>Скидки нет</t>
        </is>
      </c>
      <c r="AG780" t="n">
        <v>64080</v>
      </c>
      <c r="AH780" t="n">
        <v>64080</v>
      </c>
      <c r="AI780" t="inlineStr">
        <is>
          <t>Полное проживание в выбранном периоде</t>
        </is>
      </c>
    </row>
    <row r="781">
      <c r="A781" t="inlineStr">
        <is>
          <t>20260914-8186-463592259</t>
        </is>
      </c>
      <c r="B781" t="n">
        <v>1</v>
      </c>
      <c r="C781" s="2" t="inlineStr">
        <is>
          <t>ОЛЬГА САРАТОВА</t>
        </is>
      </c>
      <c r="D781" s="3" t="n">
        <v>9647.5</v>
      </c>
      <c r="E781" s="4" t="n">
        <v>15</v>
      </c>
      <c r="F781" t="inlineStr">
        <is>
          <t>ООО "Библио-Глобус Туроператор" [Чайковский]</t>
        </is>
      </c>
      <c r="G781" s="3">
        <f>ROUND(D781/(100-E781)*100,2)</f>
        <v/>
      </c>
      <c r="H781" s="3" t="n">
        <v>0</v>
      </c>
      <c r="I781" s="3">
        <f>ROUND(IF(ISNUMBER(AG781),AG781,G781)+H781,2)</f>
        <v/>
      </c>
      <c r="J781" s="2" t="inlineStr">
        <is>
          <t>Завтрак "Шведский стол"</t>
        </is>
      </c>
      <c r="K781" s="5" t="n">
        <v>46279.58333333334</v>
      </c>
      <c r="L781" t="n">
        <v>1</v>
      </c>
      <c r="M781" s="3">
        <f>I781/L781</f>
        <v/>
      </c>
      <c r="N781">
        <f>IF(M781&gt;=5100,"ставка","мин.ставка")</f>
        <v/>
      </c>
      <c r="O781" s="3">
        <f>ROUND(IF(N781="мин.ставка",L781*100,I781/102*2),2)</f>
        <v/>
      </c>
      <c r="P781" s="5" t="n">
        <v>46280.5</v>
      </c>
      <c r="Q781" t="inlineStr">
        <is>
          <t>TravelLine BGL</t>
        </is>
      </c>
      <c r="R781" s="2" t="inlineStr">
        <is>
          <t>УЛУЧШЕННЫЙ ДВУХМЕСТНЫЙ НОМЕР</t>
        </is>
      </c>
      <c r="S781" t="n">
        <v>59</v>
      </c>
      <c r="T781" t="n">
        <v>2</v>
      </c>
      <c r="U781" t="inlineStr"/>
      <c r="V781" t="inlineStr">
        <is>
          <t>Тариф с завтраком</t>
        </is>
      </c>
      <c r="W781" t="n">
        <v>9647.5</v>
      </c>
      <c r="X781" s="3" t="n">
        <v>0</v>
      </c>
      <c r="Y781" t="inlineStr"/>
      <c r="Z781" t="inlineStr"/>
      <c r="AA781" s="3" t="n">
        <v>9647.5</v>
      </c>
      <c r="AB781" t="inlineStr">
        <is>
          <t>Сошлось по ночным тарифам</t>
        </is>
      </c>
      <c r="AC781" s="2" t="inlineStr"/>
      <c r="AD781" t="n">
        <v>0</v>
      </c>
      <c r="AE781" t="n">
        <v>0</v>
      </c>
      <c r="AF781" t="inlineStr">
        <is>
          <t>Скидки нет</t>
        </is>
      </c>
      <c r="AG781" t="n">
        <v>9647.5</v>
      </c>
      <c r="AH781" t="n">
        <v>9647.5</v>
      </c>
      <c r="AI781" t="inlineStr">
        <is>
          <t>Полное проживание в выбранном периоде</t>
        </is>
      </c>
    </row>
    <row r="782">
      <c r="A782" t="inlineStr">
        <is>
          <t>20260915-8186-462648104</t>
        </is>
      </c>
      <c r="B782" t="n">
        <v>1</v>
      </c>
      <c r="C782" s="2" t="inlineStr">
        <is>
          <t>Ольга Свидинская</t>
        </is>
      </c>
      <c r="D782" s="3" t="n">
        <v>21976</v>
      </c>
      <c r="E782" s="4" t="n">
        <v>18</v>
      </c>
      <c r="F782" t="inlineStr">
        <is>
          <t>ООО "Эй энд Эй" [Чайковский]</t>
        </is>
      </c>
      <c r="G782" s="3">
        <f>ROUND(D782/(100-E782)*100,2)</f>
        <v/>
      </c>
      <c r="H782" s="3" t="n">
        <v>0</v>
      </c>
      <c r="I782" s="3">
        <f>ROUND(IF(ISNUMBER(AG782),AG782,G782)+H782,2)</f>
        <v/>
      </c>
      <c r="J782" s="2" t="inlineStr">
        <is>
          <t>Завтрак "Шведский стол"</t>
        </is>
      </c>
      <c r="K782" s="5" t="n">
        <v>46280.58333333334</v>
      </c>
      <c r="L782" t="n">
        <v>2</v>
      </c>
      <c r="M782" s="3">
        <f>I782/L782</f>
        <v/>
      </c>
      <c r="N782">
        <f>IF(M782&gt;=5100,"ставка","мин.ставка")</f>
        <v/>
      </c>
      <c r="O782" s="3">
        <f>ROUND(IF(N782="мин.ставка",L782*100,I782/102*2),2)</f>
        <v/>
      </c>
      <c r="P782" s="5" t="n">
        <v>46282.5</v>
      </c>
      <c r="Q782" t="inlineStr">
        <is>
          <t>TravelLine ANA</t>
        </is>
      </c>
      <c r="R782" s="2" t="inlineStr">
        <is>
          <t>УЛУЧШЕННЫЙ ДВУХМЕСТНЫЙ НОМЕР</t>
        </is>
      </c>
      <c r="S782" t="n">
        <v>59</v>
      </c>
      <c r="T782" t="n">
        <v>2</v>
      </c>
      <c r="U782" t="inlineStr"/>
      <c r="V782" t="inlineStr">
        <is>
          <t>Тариф с завтраком</t>
        </is>
      </c>
      <c r="W782" t="n">
        <v>21976</v>
      </c>
      <c r="X782" s="3" t="n">
        <v>4824</v>
      </c>
      <c r="Y782" t="inlineStr">
        <is>
          <t>18%</t>
        </is>
      </c>
      <c r="Z782" t="inlineStr">
        <is>
          <t>2026-09-15, 2026-09-16</t>
        </is>
      </c>
      <c r="AA782" s="3" t="n">
        <v>21976</v>
      </c>
      <c r="AB782" t="inlineStr">
        <is>
          <t>Сошлось по ночным тарифам</t>
        </is>
      </c>
      <c r="AC782" s="2" t="inlineStr"/>
      <c r="AD782" t="n">
        <v>4824</v>
      </c>
      <c r="AE782" t="n">
        <v>0</v>
      </c>
      <c r="AF782" t="inlineStr">
        <is>
          <t>Скидка добавлена к налоговой базе</t>
        </is>
      </c>
      <c r="AG782" t="n">
        <v>26800</v>
      </c>
      <c r="AH782" t="n">
        <v>21976</v>
      </c>
      <c r="AI782" t="inlineStr">
        <is>
          <t>Полное проживание в выбранном периоде</t>
        </is>
      </c>
    </row>
    <row r="783">
      <c r="A783" t="inlineStr">
        <is>
          <t>20260806-8186-450640950</t>
        </is>
      </c>
      <c r="B783" t="n">
        <v>1</v>
      </c>
      <c r="C783" s="2" t="inlineStr">
        <is>
          <t>ОЛЬГА СОЛДАТОВА</t>
        </is>
      </c>
      <c r="D783" s="3" t="n">
        <v>28942.5</v>
      </c>
      <c r="E783" s="4" t="n">
        <v>15</v>
      </c>
      <c r="F783" t="inlineStr">
        <is>
          <t>ООО «12Т» (ранее ONE TWO TRIP) [Чайковский]</t>
        </is>
      </c>
      <c r="G783" s="3">
        <f>ROUND(D783/(100-E783)*100,2)</f>
        <v/>
      </c>
      <c r="H783" s="3" t="n">
        <v>0</v>
      </c>
      <c r="I783" s="3">
        <f>ROUND(IF(ISNUMBER(AG783),AG783,G783)+H783,2)</f>
        <v/>
      </c>
      <c r="J783" s="2" t="inlineStr">
        <is>
          <t>Завтрак "Шведский стол"</t>
        </is>
      </c>
      <c r="K783" s="5" t="n">
        <v>46240.58333333334</v>
      </c>
      <c r="L783" t="n">
        <v>3</v>
      </c>
      <c r="M783" s="3">
        <f>I783/L783</f>
        <v/>
      </c>
      <c r="N783">
        <f>IF(M783&gt;=5100,"ставка","мин.ставка")</f>
        <v/>
      </c>
      <c r="O783" s="3">
        <f>ROUND(IF(N783="мин.ставка",L783*100,I783/102*2),2)</f>
        <v/>
      </c>
      <c r="P783" s="5" t="n">
        <v>46243.5</v>
      </c>
      <c r="Q783" t="inlineStr">
        <is>
          <t>TravelLine OTT</t>
        </is>
      </c>
      <c r="R783" s="2" t="inlineStr">
        <is>
          <t>СТАНДАРТНЫЙ ДВУХМЕСТНЫЙ НОМЕР</t>
        </is>
      </c>
      <c r="S783" t="n">
        <v>22</v>
      </c>
      <c r="T783" t="n">
        <v>1</v>
      </c>
      <c r="U783" t="inlineStr"/>
      <c r="V783" t="inlineStr">
        <is>
          <t>Тариф с завтраком</t>
        </is>
      </c>
      <c r="W783" t="n">
        <v>86827.5</v>
      </c>
      <c r="X783" s="3" t="n">
        <v>5107.5</v>
      </c>
      <c r="Y783" t="inlineStr">
        <is>
          <t>15%</t>
        </is>
      </c>
      <c r="Z783" t="inlineStr">
        <is>
          <t>2026-08-06, 2026-08-07, 2026-08-08</t>
        </is>
      </c>
      <c r="AA783" s="3" t="n">
        <v>28942.5</v>
      </c>
      <c r="AB783" t="inlineStr">
        <is>
          <t>Сошлось по ночным тарифам</t>
        </is>
      </c>
      <c r="AC783" s="2" t="inlineStr"/>
      <c r="AD783" t="n">
        <v>5107.5</v>
      </c>
      <c r="AE783" t="n">
        <v>0</v>
      </c>
      <c r="AF783" t="inlineStr">
        <is>
          <t>Скидка добавлена к налоговой базе</t>
        </is>
      </c>
      <c r="AG783" t="n">
        <v>34050</v>
      </c>
      <c r="AH783" t="n">
        <v>28942.5</v>
      </c>
      <c r="AI783" t="inlineStr">
        <is>
          <t>Полное проживание в выбранном периоде</t>
        </is>
      </c>
    </row>
    <row r="784">
      <c r="A784" t="inlineStr">
        <is>
          <t>20260803-8186-441315614</t>
        </is>
      </c>
      <c r="B784" t="n">
        <v>1</v>
      </c>
      <c r="C784" s="2" t="inlineStr">
        <is>
          <t>ОЛЬГА УШАКОВА</t>
        </is>
      </c>
      <c r="D784" s="3" t="n">
        <v>6320</v>
      </c>
      <c r="E784" s="4" t="n">
        <v>20</v>
      </c>
      <c r="F784" t="inlineStr">
        <is>
          <t>ООО "ХБ-ПРО" [Чайковский]</t>
        </is>
      </c>
      <c r="G784" s="3">
        <f>ROUND(D784/(100-E784)*100,2)</f>
        <v/>
      </c>
      <c r="H784" s="3" t="n">
        <v>0</v>
      </c>
      <c r="I784" s="3">
        <f>ROUND(IF(ISNUMBER(AG784),AG784,G784)+H784,2)</f>
        <v/>
      </c>
      <c r="J784" s="2" t="inlineStr">
        <is>
          <t>Завтрак "Шведский стол"</t>
        </is>
      </c>
      <c r="K784" s="5" t="n">
        <v>46237.58333333334</v>
      </c>
      <c r="L784" t="n">
        <v>1</v>
      </c>
      <c r="M784" s="3">
        <f>I784/L784</f>
        <v/>
      </c>
      <c r="N784">
        <f>IF(M784&gt;=5100,"ставка","мин.ставка")</f>
        <v/>
      </c>
      <c r="O784" s="3">
        <f>ROUND(IF(N784="мин.ставка",L784*100,I784/102*2),2)</f>
        <v/>
      </c>
      <c r="P784" s="5" t="n">
        <v>46238.5</v>
      </c>
      <c r="Q784" t="inlineStr">
        <is>
          <t>TravelLine UTS</t>
        </is>
      </c>
      <c r="R784" s="2" t="inlineStr">
        <is>
          <t>СТАНДАРТНЫЙ ДВУХМЕСТНЫЙ НОМЕР (МАНСАРДА)</t>
        </is>
      </c>
      <c r="S784" t="n">
        <v>43</v>
      </c>
      <c r="T784" t="n">
        <v>1</v>
      </c>
      <c r="U784" t="inlineStr"/>
      <c r="V784" t="inlineStr">
        <is>
          <t>Тариф с завтраком</t>
        </is>
      </c>
      <c r="W784" t="n">
        <v>6320</v>
      </c>
      <c r="X784" s="3" t="n">
        <v>0</v>
      </c>
      <c r="Y784" t="inlineStr"/>
      <c r="Z784" t="inlineStr"/>
      <c r="AA784" s="3" t="n">
        <v>6320</v>
      </c>
      <c r="AB784" t="inlineStr">
        <is>
          <t>Сошлось по ночным тарифам</t>
        </is>
      </c>
      <c r="AC784" s="2" t="inlineStr"/>
      <c r="AD784" t="n">
        <v>0</v>
      </c>
      <c r="AE784" t="n">
        <v>0</v>
      </c>
      <c r="AF784" t="inlineStr">
        <is>
          <t>Скидки нет</t>
        </is>
      </c>
      <c r="AG784" t="n">
        <v>6320</v>
      </c>
      <c r="AH784" t="n">
        <v>6320</v>
      </c>
      <c r="AI784" t="inlineStr">
        <is>
          <t>Полное проживание в выбранном периоде</t>
        </is>
      </c>
    </row>
    <row r="785">
      <c r="A785" t="inlineStr">
        <is>
          <t>20260901-8186-425074158</t>
        </is>
      </c>
      <c r="B785" t="n">
        <v>1</v>
      </c>
      <c r="C785" s="2" t="inlineStr">
        <is>
          <t>Ольга Федрунова, Ирина Федрунова</t>
        </is>
      </c>
      <c r="D785" s="3" t="n">
        <v>30096</v>
      </c>
      <c r="E785" s="4" t="n">
        <v>18</v>
      </c>
      <c r="F785" t="inlineStr">
        <is>
          <t>Яндекс.Путешествия [Чайковский]</t>
        </is>
      </c>
      <c r="G785" s="3">
        <f>ROUND(D785/(100-E785)*100,2)</f>
        <v/>
      </c>
      <c r="H785" s="3" t="n">
        <v>0</v>
      </c>
      <c r="I785" s="3">
        <f>ROUND(IF(ISNUMBER(AG785),AG785,G785)+H785,2)</f>
        <v/>
      </c>
      <c r="J785" s="2" t="inlineStr">
        <is>
          <t>Завтрак "Шведский стол"</t>
        </is>
      </c>
      <c r="K785" s="5" t="n">
        <v>46266.58333333334</v>
      </c>
      <c r="L785" t="n">
        <v>4</v>
      </c>
      <c r="M785" s="3">
        <f>I785/L785</f>
        <v/>
      </c>
      <c r="N785">
        <f>IF(M785&gt;=5100,"ставка","мин.ставка")</f>
        <v/>
      </c>
      <c r="O785" s="3">
        <f>ROUND(IF(N785="мин.ставка",L785*100,I785/102*2),2)</f>
        <v/>
      </c>
      <c r="P785" s="5" t="n">
        <v>46270.5</v>
      </c>
      <c r="Q785" t="inlineStr">
        <is>
          <t>TravelLine YAX</t>
        </is>
      </c>
      <c r="R785" s="2" t="inlineStr">
        <is>
          <t>СТАНДАРТНЫЙ ДВУХМЕСТНЫЙ НОМЕР (МАНСАРДА)</t>
        </is>
      </c>
      <c r="S785" t="n">
        <v>43</v>
      </c>
      <c r="T785" t="n">
        <v>1</v>
      </c>
      <c r="U785" t="inlineStr"/>
      <c r="V785" t="inlineStr">
        <is>
          <t>Тариф с завтраком</t>
        </is>
      </c>
      <c r="W785" t="n">
        <v>30096</v>
      </c>
      <c r="X785" s="3" t="n">
        <v>7524</v>
      </c>
      <c r="Y785" t="inlineStr">
        <is>
          <t>20%</t>
        </is>
      </c>
      <c r="Z785" t="inlineStr">
        <is>
          <t>2026-09-01, 2026-09-02, 2026-09-03, 2026-09-04</t>
        </is>
      </c>
      <c r="AA785" s="3" t="n">
        <v>30096</v>
      </c>
      <c r="AB785" t="inlineStr">
        <is>
          <t>Сошлось по ночным тарифам</t>
        </is>
      </c>
      <c r="AC785" s="2" t="inlineStr"/>
      <c r="AD785" t="n">
        <v>7524</v>
      </c>
      <c r="AE785" t="n">
        <v>0</v>
      </c>
      <c r="AF785" t="inlineStr">
        <is>
          <t>Скидка добавлена к налоговой базе</t>
        </is>
      </c>
      <c r="AG785" t="n">
        <v>37620</v>
      </c>
      <c r="AH785" t="n">
        <v>30096</v>
      </c>
      <c r="AI785" t="inlineStr">
        <is>
          <t>Полное проживание в выбранном периоде</t>
        </is>
      </c>
    </row>
    <row r="786">
      <c r="A786" t="inlineStr">
        <is>
          <t>20260910-8186-427551341</t>
        </is>
      </c>
      <c r="B786" t="n">
        <v>1</v>
      </c>
      <c r="C786" s="2" t="inlineStr">
        <is>
          <t>Ольга Шашкина, Дарья Павлова</t>
        </is>
      </c>
      <c r="D786" s="3" t="n">
        <v>36045</v>
      </c>
      <c r="E786" s="4" t="n">
        <v>0</v>
      </c>
      <c r="F786" t="inlineStr">
        <is>
          <t>Прямые бронирования (стойка) [Чайковский]</t>
        </is>
      </c>
      <c r="G786" s="3">
        <f>ROUND(D786/(100-E786)*100,2)</f>
        <v/>
      </c>
      <c r="H786" s="3" t="n">
        <v>0</v>
      </c>
      <c r="I786" s="3">
        <f>ROUND(IF(ISNUMBER(AG786),AG786,G786)+H786,2)</f>
        <v/>
      </c>
      <c r="J786" s="2" t="inlineStr">
        <is>
          <t>Завтрак "Шведский стол"</t>
        </is>
      </c>
      <c r="K786" s="5" t="n">
        <v>46275.58333333334</v>
      </c>
      <c r="L786" t="n">
        <v>3</v>
      </c>
      <c r="M786" s="3">
        <f>I786/L786</f>
        <v/>
      </c>
      <c r="N786">
        <f>IF(M786&gt;=5100,"ставка","мин.ставка")</f>
        <v/>
      </c>
      <c r="O786" s="3">
        <f>ROUND(IF(N786="мин.ставка",L786*100,I786/102*2),2)</f>
        <v/>
      </c>
      <c r="P786" s="5" t="n">
        <v>46278.5</v>
      </c>
      <c r="Q786" t="inlineStr">
        <is>
          <t>TravelLine ресепшен</t>
        </is>
      </c>
      <c r="R786" s="2" t="inlineStr">
        <is>
          <t>СТАНДАРТНЫЙ ДВУХМЕСТНЫЙ НОМЕР</t>
        </is>
      </c>
      <c r="S786" t="n">
        <v>32</v>
      </c>
      <c r="T786" t="n">
        <v>1</v>
      </c>
      <c r="U786" t="inlineStr"/>
      <c r="V786" t="inlineStr">
        <is>
          <t>Тариф с завтраком</t>
        </is>
      </c>
      <c r="W786" t="n">
        <v>216270</v>
      </c>
      <c r="X786" s="3" t="n">
        <v>4005</v>
      </c>
      <c r="Y786" t="inlineStr">
        <is>
          <t>10%</t>
        </is>
      </c>
      <c r="Z786" t="inlineStr">
        <is>
          <t>2026-09-10, 2026-09-11, 2026-09-12</t>
        </is>
      </c>
      <c r="AA786" s="3" t="n">
        <v>36045</v>
      </c>
      <c r="AB786" t="inlineStr">
        <is>
          <t>Сошлось по ночным тарифам</t>
        </is>
      </c>
      <c r="AC786" s="2" t="inlineStr"/>
      <c r="AD786" t="n">
        <v>4005</v>
      </c>
      <c r="AE786" t="n">
        <v>0</v>
      </c>
      <c r="AF786" t="inlineStr">
        <is>
          <t>Скидка добавлена к налоговой базе</t>
        </is>
      </c>
      <c r="AG786" t="n">
        <v>40050</v>
      </c>
      <c r="AH786" t="n">
        <v>36045</v>
      </c>
      <c r="AI786" t="inlineStr">
        <is>
          <t>Полное проживание в выбранном периоде</t>
        </is>
      </c>
    </row>
    <row r="787">
      <c r="A787" t="inlineStr">
        <is>
          <t>20260716-8186-408701650</t>
        </is>
      </c>
      <c r="B787" t="n">
        <v>1</v>
      </c>
      <c r="C787" s="2" t="inlineStr">
        <is>
          <t>ПАВЕЛ БЕЛИЧ, Кристина Углина</t>
        </is>
      </c>
      <c r="D787" s="3" t="n">
        <v>35333</v>
      </c>
      <c r="E787" s="4" t="n">
        <v>4</v>
      </c>
      <c r="F787" t="inlineStr">
        <is>
          <t>TravelLine Booking Engine [Чайковский]</t>
        </is>
      </c>
      <c r="G787" s="3">
        <f>ROUND(D787/(100-E787)*100,2)</f>
        <v/>
      </c>
      <c r="H787" s="3" t="n">
        <v>0</v>
      </c>
      <c r="I787" s="3">
        <f>ROUND(IF(ISNUMBER(AG787),AG787,G787)+H787,2)</f>
        <v/>
      </c>
      <c r="J787" s="2" t="inlineStr">
        <is>
          <t>Завтрак "Шведский стол"</t>
        </is>
      </c>
      <c r="K787" s="5" t="n">
        <v>46219.77083333334</v>
      </c>
      <c r="L787" t="n">
        <v>2</v>
      </c>
      <c r="M787" s="3">
        <f>I787/L787</f>
        <v/>
      </c>
      <c r="N787">
        <f>IF(M787&gt;=5100,"ставка","мин.ставка")</f>
        <v/>
      </c>
      <c r="O787" s="3">
        <f>ROUND(IF(N787="мин.ставка",L787*100,I787/102*2),2)</f>
        <v/>
      </c>
      <c r="P787" s="5" t="n">
        <v>46221.5</v>
      </c>
      <c r="Q787" t="inlineStr">
        <is>
          <t>TravelLine сайт</t>
        </is>
      </c>
      <c r="R787" s="2" t="inlineStr">
        <is>
          <t>ЛЮКС</t>
        </is>
      </c>
      <c r="S787" t="n">
        <v>54</v>
      </c>
      <c r="T787" t="n">
        <v>2</v>
      </c>
      <c r="U787" t="inlineStr"/>
      <c r="V787" t="inlineStr">
        <is>
          <t>Тариф с завтраком</t>
        </is>
      </c>
      <c r="W787" t="n">
        <v>35333</v>
      </c>
      <c r="X787" s="3" t="n">
        <v>267</v>
      </c>
      <c r="Y787" t="inlineStr">
        <is>
          <t>1.5%</t>
        </is>
      </c>
      <c r="Z787" t="inlineStr">
        <is>
          <t>2026-07-16</t>
        </is>
      </c>
      <c r="AA787" s="3" t="n">
        <v>35333</v>
      </c>
      <c r="AB787" t="inlineStr">
        <is>
          <t>Сошлось по ночным тарифам</t>
        </is>
      </c>
      <c r="AC787" s="2" t="inlineStr"/>
      <c r="AD787" t="n">
        <v>267</v>
      </c>
      <c r="AE787" t="n">
        <v>0</v>
      </c>
      <c r="AF787" t="inlineStr">
        <is>
          <t>Скидка добавлена к налоговой базе</t>
        </is>
      </c>
      <c r="AG787" t="n">
        <v>35600</v>
      </c>
      <c r="AH787" t="n">
        <v>35333</v>
      </c>
      <c r="AI787" t="inlineStr">
        <is>
          <t>Полное проживание в выбранном периоде</t>
        </is>
      </c>
    </row>
    <row r="788">
      <c r="A788" t="inlineStr">
        <is>
          <t>20260821-8186-456404204</t>
        </is>
      </c>
      <c r="B788" t="n">
        <v>1</v>
      </c>
      <c r="C788" s="2" t="inlineStr">
        <is>
          <t>Павел Воеводин</t>
        </is>
      </c>
      <c r="D788" s="3" t="n">
        <v>12782</v>
      </c>
      <c r="E788" s="4" t="n">
        <v>18</v>
      </c>
      <c r="F788" t="inlineStr">
        <is>
          <t>Яндекс.Путешествия [Чайковский]</t>
        </is>
      </c>
      <c r="G788" s="3">
        <f>ROUND(D788/(100-E788)*100,2)</f>
        <v/>
      </c>
      <c r="H788" s="3" t="n">
        <v>0</v>
      </c>
      <c r="I788" s="3">
        <f>ROUND(IF(ISNUMBER(AG788),AG788,G788)+H788,2)</f>
        <v/>
      </c>
      <c r="J788" s="2" t="inlineStr">
        <is>
          <t>Завтрак "Шведский стол"</t>
        </is>
      </c>
      <c r="K788" s="5" t="n">
        <v>46255.58333333334</v>
      </c>
      <c r="L788" t="n">
        <v>2</v>
      </c>
      <c r="M788" s="3">
        <f>I788/L788</f>
        <v/>
      </c>
      <c r="N788">
        <f>IF(M788&gt;=5100,"ставка","мин.ставка")</f>
        <v/>
      </c>
      <c r="O788" s="3">
        <f>ROUND(IF(N788="мин.ставка",L788*100,I788/102*2),2)</f>
        <v/>
      </c>
      <c r="P788" s="5" t="n">
        <v>46257.5</v>
      </c>
      <c r="Q788" t="inlineStr">
        <is>
          <t>TravelLine YAX</t>
        </is>
      </c>
      <c r="R788" s="2" t="inlineStr">
        <is>
          <t>СТАНДАРТНЫЙ ОДНОМЕСТНЫЙ НОМЕР</t>
        </is>
      </c>
      <c r="S788" t="n">
        <v>34</v>
      </c>
      <c r="T788" t="n">
        <v>1</v>
      </c>
      <c r="U788" t="inlineStr"/>
      <c r="V788" t="inlineStr">
        <is>
          <t>Тариф с завтраком</t>
        </is>
      </c>
      <c r="W788" t="n">
        <v>12782</v>
      </c>
      <c r="X788" s="3" t="n">
        <v>2618</v>
      </c>
      <c r="Y788" t="inlineStr">
        <is>
          <t>17%</t>
        </is>
      </c>
      <c r="Z788" t="inlineStr">
        <is>
          <t>2026-08-21, 2026-08-22</t>
        </is>
      </c>
      <c r="AA788" s="3" t="n">
        <v>12782</v>
      </c>
      <c r="AB788" t="inlineStr">
        <is>
          <t>Сошлось по ночным тарифам</t>
        </is>
      </c>
      <c r="AC788" s="2" t="inlineStr"/>
      <c r="AD788" t="n">
        <v>2618</v>
      </c>
      <c r="AE788" t="n">
        <v>0</v>
      </c>
      <c r="AF788" t="inlineStr">
        <is>
          <t>Скидка добавлена к налоговой базе</t>
        </is>
      </c>
      <c r="AG788" t="n">
        <v>15400</v>
      </c>
      <c r="AH788" t="n">
        <v>12782</v>
      </c>
      <c r="AI788" t="inlineStr">
        <is>
          <t>Полное проживание в выбранном периоде</t>
        </is>
      </c>
    </row>
    <row r="789">
      <c r="A789" t="inlineStr">
        <is>
          <t>20260710-8186-447566954</t>
        </is>
      </c>
      <c r="B789" t="n">
        <v>1</v>
      </c>
      <c r="C789" s="2" t="inlineStr">
        <is>
          <t>Павел Глазов, Елена Глазова</t>
        </is>
      </c>
      <c r="D789" s="3" t="n">
        <v>65450</v>
      </c>
      <c r="E789" s="4" t="n">
        <v>0</v>
      </c>
      <c r="F789" t="inlineStr">
        <is>
          <t>ООО "АЛЕАН ОТДЫХ" [Чайковский]</t>
        </is>
      </c>
      <c r="G789" s="3">
        <f>ROUND(D789/(100-E789)*100,2)</f>
        <v/>
      </c>
      <c r="H789" s="3" t="n">
        <v>0</v>
      </c>
      <c r="I789" s="3">
        <f>ROUND(IF(ISNUMBER(AG789),AG789,G789)+H789,2)</f>
        <v/>
      </c>
      <c r="J789" s="2" t="inlineStr">
        <is>
          <t>meal_bf_buffet_1; meal_bf_buffet_1; Завтрак "Шведский стол"</t>
        </is>
      </c>
      <c r="K789" s="5" t="n">
        <v>46213.58333333334</v>
      </c>
      <c r="L789" t="n">
        <v>5</v>
      </c>
      <c r="M789" s="3">
        <f>I789/L789</f>
        <v/>
      </c>
      <c r="N789">
        <f>IF(M789&gt;=5100,"ставка","мин.ставка")</f>
        <v/>
      </c>
      <c r="O789" s="3">
        <f>ROUND(IF(N789="мин.ставка",L789*100,I789/102*2),2)</f>
        <v/>
      </c>
      <c r="P789" s="5" t="n">
        <v>46218.5</v>
      </c>
      <c r="Q789" t="inlineStr">
        <is>
          <t>TravelLine ALN</t>
        </is>
      </c>
      <c r="R789" s="2" t="inlineStr">
        <is>
          <t>УЛУЧШЕННЫЙ ДВУХМЕСТНЫЙ НОМЕР</t>
        </is>
      </c>
      <c r="S789" t="n">
        <v>59</v>
      </c>
      <c r="T789" t="n">
        <v>2</v>
      </c>
      <c r="U789" t="inlineStr"/>
      <c r="V789" t="inlineStr">
        <is>
          <t>Тариф с завтраком</t>
        </is>
      </c>
      <c r="W789" t="n">
        <v>65450</v>
      </c>
      <c r="X789" s="3" t="n">
        <v>11550</v>
      </c>
      <c r="Y789" t="inlineStr">
        <is>
          <t>15%</t>
        </is>
      </c>
      <c r="Z789" t="inlineStr">
        <is>
          <t>2026-07-10, 2026-07-11, 2026-07-12, 2026-07-13, 2026-07-14</t>
        </is>
      </c>
      <c r="AA789" s="3" t="n">
        <v>65450</v>
      </c>
      <c r="AB789" t="inlineStr">
        <is>
          <t>Сошлось по ночным тарифам</t>
        </is>
      </c>
      <c r="AC789" s="2" t="inlineStr"/>
      <c r="AD789" t="n">
        <v>11550</v>
      </c>
      <c r="AE789" t="n">
        <v>0</v>
      </c>
      <c r="AF789" t="inlineStr">
        <is>
          <t>Скидка добавлена к налоговой базе</t>
        </is>
      </c>
      <c r="AG789" t="n">
        <v>77000</v>
      </c>
      <c r="AH789" t="n">
        <v>65450</v>
      </c>
      <c r="AI789" t="inlineStr">
        <is>
          <t>Полное проживание в выбранном периоде</t>
        </is>
      </c>
    </row>
    <row r="790">
      <c r="A790" t="inlineStr">
        <is>
          <t>20260729-8186-435927071</t>
        </is>
      </c>
      <c r="B790" t="n">
        <v>1</v>
      </c>
      <c r="C790" s="2" t="inlineStr">
        <is>
          <t>Павел Ефимов, АНАСТАСИЯ КУЗЬМИНА</t>
        </is>
      </c>
      <c r="D790" s="3" t="n">
        <v>71200</v>
      </c>
      <c r="E790" s="4" t="n">
        <v>4</v>
      </c>
      <c r="F790" t="inlineStr">
        <is>
          <t>TravelLine Booking Engine [Чайковский]</t>
        </is>
      </c>
      <c r="G790" s="3">
        <f>ROUND(D790/(100-E790)*100,2)</f>
        <v/>
      </c>
      <c r="H790" s="3" t="n">
        <v>350</v>
      </c>
      <c r="I790" s="3">
        <f>ROUND(IF(ISNUMBER(AG790),AG790,G790)+H790,2)</f>
        <v/>
      </c>
      <c r="J790" s="2" t="inlineStr">
        <is>
          <t>продление номера — 350,00 ₽; Завтрак "Шведский стол"</t>
        </is>
      </c>
      <c r="K790" s="5" t="n">
        <v>46232.58333333334</v>
      </c>
      <c r="L790" t="n">
        <v>4</v>
      </c>
      <c r="M790" s="3">
        <f>I790/L790</f>
        <v/>
      </c>
      <c r="N790">
        <f>IF(M790&gt;=5100,"ставка","мин.ставка")</f>
        <v/>
      </c>
      <c r="O790" s="3">
        <f>ROUND(IF(N790="мин.ставка",L790*100,I790/102*2),2)</f>
        <v/>
      </c>
      <c r="P790" s="5" t="n">
        <v>46236.5</v>
      </c>
      <c r="Q790" t="inlineStr">
        <is>
          <t>TravelLine сайт</t>
        </is>
      </c>
      <c r="R790" s="2" t="inlineStr">
        <is>
          <t>ЛЮКС ВТОРОЙ КОРПУС</t>
        </is>
      </c>
      <c r="S790" t="n">
        <v>53</v>
      </c>
      <c r="T790" t="n">
        <v>2</v>
      </c>
      <c r="U790" t="inlineStr"/>
      <c r="V790" t="inlineStr">
        <is>
          <t>Тариф с завтраком</t>
        </is>
      </c>
      <c r="W790" t="n">
        <v>71550</v>
      </c>
      <c r="X790" s="3" t="n">
        <v>0</v>
      </c>
      <c r="Y790" t="inlineStr"/>
      <c r="Z790" t="inlineStr"/>
      <c r="AA790" s="3" t="n">
        <v>71200</v>
      </c>
      <c r="AB790" t="inlineStr">
        <is>
          <t>Сошлось с услугами</t>
        </is>
      </c>
      <c r="AC790" s="2" t="inlineStr"/>
      <c r="AD790" t="n">
        <v>0</v>
      </c>
      <c r="AE790" t="n">
        <v>0</v>
      </c>
      <c r="AF790" t="inlineStr">
        <is>
          <t>Скидки нет</t>
        </is>
      </c>
      <c r="AG790" t="n">
        <v>71200</v>
      </c>
      <c r="AH790" t="n">
        <v>71200</v>
      </c>
      <c r="AI790" t="inlineStr">
        <is>
          <t>Полное проживание в выбранном периоде</t>
        </is>
      </c>
    </row>
    <row r="791">
      <c r="A791" t="inlineStr">
        <is>
          <t>20260808-8186-407846139</t>
        </is>
      </c>
      <c r="B791" t="n">
        <v>1</v>
      </c>
      <c r="C791" s="2" t="inlineStr">
        <is>
          <t>Павел Жуков, Анастасия Алёхина</t>
        </is>
      </c>
      <c r="D791" s="3" t="n">
        <v>16500</v>
      </c>
      <c r="E791" s="4" t="n">
        <v>0</v>
      </c>
      <c r="F791" t="inlineStr">
        <is>
          <t>Прямые бронирования (стойка) [Чайковский]</t>
        </is>
      </c>
      <c r="G791" s="3">
        <f>ROUND(D791/(100-E791)*100,2)</f>
        <v/>
      </c>
      <c r="H791" s="3" t="n">
        <v>0</v>
      </c>
      <c r="I791" s="3">
        <f>ROUND(IF(ISNUMBER(AG791),AG791,G791)+H791,2)</f>
        <v/>
      </c>
      <c r="J791" s="2" t="inlineStr">
        <is>
          <t>Завтрак "Шведский стол"</t>
        </is>
      </c>
      <c r="K791" s="5" t="n">
        <v>46242.58333333334</v>
      </c>
      <c r="L791" t="n">
        <v>1</v>
      </c>
      <c r="M791" s="3">
        <f>I791/L791</f>
        <v/>
      </c>
      <c r="N791">
        <f>IF(M791&gt;=5100,"ставка","мин.ставка")</f>
        <v/>
      </c>
      <c r="O791" s="3">
        <f>ROUND(IF(N791="мин.ставка",L791*100,I791/102*2),2)</f>
        <v/>
      </c>
      <c r="P791" s="5" t="n">
        <v>46243.5</v>
      </c>
      <c r="Q791" t="inlineStr">
        <is>
          <t>TravelLine ресепшен</t>
        </is>
      </c>
      <c r="R791" s="2" t="inlineStr">
        <is>
          <t>ПОЛУЛЮКС</t>
        </is>
      </c>
      <c r="S791" t="n">
        <v>25</v>
      </c>
      <c r="T791" t="n">
        <v>1</v>
      </c>
      <c r="U791" t="inlineStr"/>
      <c r="V791" t="inlineStr">
        <is>
          <t>Тариф с завтраком</t>
        </is>
      </c>
      <c r="W791" t="n">
        <v>16500</v>
      </c>
      <c r="X791" s="3" t="n">
        <v>0</v>
      </c>
      <c r="Y791" t="inlineStr"/>
      <c r="Z791" t="inlineStr"/>
      <c r="AA791" s="3" t="n">
        <v>16500</v>
      </c>
      <c r="AB791" t="inlineStr">
        <is>
          <t>Сошлось по ночным тарифам</t>
        </is>
      </c>
      <c r="AC791" s="2" t="inlineStr"/>
      <c r="AD791" t="n">
        <v>0</v>
      </c>
      <c r="AE791" t="n">
        <v>0</v>
      </c>
      <c r="AF791" t="inlineStr">
        <is>
          <t>Скидки нет</t>
        </is>
      </c>
      <c r="AG791" t="n">
        <v>16500</v>
      </c>
      <c r="AH791" t="n">
        <v>16500</v>
      </c>
      <c r="AI791" t="inlineStr">
        <is>
          <t>Полное проживание в выбранном периоде</t>
        </is>
      </c>
    </row>
    <row r="792">
      <c r="A792" t="inlineStr">
        <is>
          <t>20260703-8186-447242080</t>
        </is>
      </c>
      <c r="B792" t="n">
        <v>1</v>
      </c>
      <c r="C792" s="2" t="inlineStr">
        <is>
          <t>ПАВЕЛ Карпенко</t>
        </is>
      </c>
      <c r="D792" s="3" t="n">
        <v>9315</v>
      </c>
      <c r="E792" s="4" t="n">
        <v>0</v>
      </c>
      <c r="F792" t="inlineStr">
        <is>
          <t>Прямые бронирования (стойка) [Чайковский]</t>
        </is>
      </c>
      <c r="G792" s="3">
        <f>ROUND(D792/(100-E792)*100,2)</f>
        <v/>
      </c>
      <c r="H792" s="3" t="n">
        <v>0</v>
      </c>
      <c r="I792" s="3">
        <f>ROUND(IF(ISNUMBER(AG792),AG792,G792)+H792,2)</f>
        <v/>
      </c>
      <c r="J792" s="2" t="inlineStr">
        <is>
          <t>Завтрак "Шведский стол"</t>
        </is>
      </c>
      <c r="K792" s="5" t="n">
        <v>46206.58333333334</v>
      </c>
      <c r="L792" t="n">
        <v>1</v>
      </c>
      <c r="M792" s="3">
        <f>I792/L792</f>
        <v/>
      </c>
      <c r="N792">
        <f>IF(M792&gt;=5100,"ставка","мин.ставка")</f>
        <v/>
      </c>
      <c r="O792" s="3">
        <f>ROUND(IF(N792="мин.ставка",L792*100,I792/102*2),2)</f>
        <v/>
      </c>
      <c r="P792" s="5" t="n">
        <v>46207.5</v>
      </c>
      <c r="Q792" t="inlineStr">
        <is>
          <t>TravelLine ресепшен</t>
        </is>
      </c>
      <c r="R792" s="2" t="inlineStr">
        <is>
          <t>СЕМЕЙНЫЙ НОМЕР КАТЕГОРИИ "СТАНДАРТ" ВТОРОЙ КОРПУС</t>
        </is>
      </c>
      <c r="S792" t="n">
        <v>50</v>
      </c>
      <c r="T792" t="n">
        <v>2</v>
      </c>
      <c r="U792" t="inlineStr"/>
      <c r="V792" t="inlineStr">
        <is>
          <t>Тариф с завтраком</t>
        </is>
      </c>
      <c r="W792" t="n">
        <v>9315</v>
      </c>
      <c r="X792" s="3" t="n">
        <v>1035</v>
      </c>
      <c r="Y792" t="inlineStr">
        <is>
          <t>10%</t>
        </is>
      </c>
      <c r="Z792" t="inlineStr">
        <is>
          <t>2026-07-03</t>
        </is>
      </c>
      <c r="AA792" s="3" t="n">
        <v>9315</v>
      </c>
      <c r="AB792" t="inlineStr">
        <is>
          <t>Сошлось по ночным тарифам</t>
        </is>
      </c>
      <c r="AC792" s="2" t="inlineStr"/>
      <c r="AD792" t="n">
        <v>1035</v>
      </c>
      <c r="AE792" t="n">
        <v>0</v>
      </c>
      <c r="AF792" t="inlineStr">
        <is>
          <t>Скидка добавлена к налоговой базе</t>
        </is>
      </c>
      <c r="AG792" t="n">
        <v>10350</v>
      </c>
      <c r="AH792" t="n">
        <v>9315</v>
      </c>
      <c r="AI792" t="inlineStr">
        <is>
          <t>Полное проживание в выбранном периоде</t>
        </is>
      </c>
    </row>
    <row r="793">
      <c r="A793" t="inlineStr">
        <is>
          <t>20260721-8186-451946348</t>
        </is>
      </c>
      <c r="B793" t="n">
        <v>1</v>
      </c>
      <c r="C793" s="2" t="inlineStr">
        <is>
          <t>ПАВЕЛ Карпенко</t>
        </is>
      </c>
      <c r="D793" s="3" t="n">
        <v>14220</v>
      </c>
      <c r="E793" s="4" t="n">
        <v>0</v>
      </c>
      <c r="F793" t="inlineStr">
        <is>
          <t>Прямые бронирования (стойка) [Чайковский]</t>
        </is>
      </c>
      <c r="G793" s="3">
        <f>ROUND(D793/(100-E793)*100,2)</f>
        <v/>
      </c>
      <c r="H793" s="3" t="n">
        <v>0</v>
      </c>
      <c r="I793" s="3">
        <f>ROUND(IF(ISNUMBER(AG793),AG793,G793)+H793,2)</f>
        <v/>
      </c>
      <c r="J793" s="2" t="inlineStr">
        <is>
          <t>Завтрак "Шведский стол"</t>
        </is>
      </c>
      <c r="K793" s="5" t="n">
        <v>46224.58333333334</v>
      </c>
      <c r="L793" t="n">
        <v>1</v>
      </c>
      <c r="M793" s="3">
        <f>I793/L793</f>
        <v/>
      </c>
      <c r="N793">
        <f>IF(M793&gt;=5100,"ставка","мин.ставка")</f>
        <v/>
      </c>
      <c r="O793" s="3">
        <f>ROUND(IF(N793="мин.ставка",L793*100,I793/102*2),2)</f>
        <v/>
      </c>
      <c r="P793" s="5" t="n">
        <v>46225.5</v>
      </c>
      <c r="Q793" t="inlineStr">
        <is>
          <t>TravelLine ресепшен</t>
        </is>
      </c>
      <c r="R793" s="2" t="inlineStr">
        <is>
          <t>ЛЮКС ВТОРОЙ КОРПУС</t>
        </is>
      </c>
      <c r="S793" t="n">
        <v>54</v>
      </c>
      <c r="T793" t="n">
        <v>2</v>
      </c>
      <c r="U793" t="inlineStr"/>
      <c r="V793" t="inlineStr">
        <is>
          <t>Тариф с завтраком</t>
        </is>
      </c>
      <c r="W793" t="n">
        <v>14220</v>
      </c>
      <c r="X793" s="3" t="n">
        <v>1580</v>
      </c>
      <c r="Y793" t="inlineStr">
        <is>
          <t>10%</t>
        </is>
      </c>
      <c r="Z793" t="inlineStr">
        <is>
          <t>2026-07-21</t>
        </is>
      </c>
      <c r="AA793" s="3" t="n">
        <v>14220</v>
      </c>
      <c r="AB793" t="inlineStr">
        <is>
          <t>Сошлось по ночным тарифам</t>
        </is>
      </c>
      <c r="AC793" s="2" t="inlineStr"/>
      <c r="AD793" t="n">
        <v>1580</v>
      </c>
      <c r="AE793" t="n">
        <v>0</v>
      </c>
      <c r="AF793" t="inlineStr">
        <is>
          <t>Скидка добавлена к налоговой базе</t>
        </is>
      </c>
      <c r="AG793" t="n">
        <v>15800</v>
      </c>
      <c r="AH793" t="n">
        <v>14220</v>
      </c>
      <c r="AI793" t="inlineStr">
        <is>
          <t>Полное проживание в выбранном периоде</t>
        </is>
      </c>
    </row>
    <row r="794">
      <c r="A794" t="inlineStr">
        <is>
          <t>20260807-8186-456585118</t>
        </is>
      </c>
      <c r="B794" t="n">
        <v>1</v>
      </c>
      <c r="C794" s="2" t="inlineStr">
        <is>
          <t>ПАВЕЛ Карпенко</t>
        </is>
      </c>
      <c r="D794" s="3" t="n">
        <v>14220</v>
      </c>
      <c r="E794" s="4" t="n">
        <v>0</v>
      </c>
      <c r="F794" t="inlineStr">
        <is>
          <t>Прямые бронирования (стойка) [Чайковский]</t>
        </is>
      </c>
      <c r="G794" s="3">
        <f>ROUND(D794/(100-E794)*100,2)</f>
        <v/>
      </c>
      <c r="H794" s="3" t="n">
        <v>0</v>
      </c>
      <c r="I794" s="3">
        <f>ROUND(IF(ISNUMBER(AG794),AG794,G794)+H794,2)</f>
        <v/>
      </c>
      <c r="J794" s="2" t="inlineStr">
        <is>
          <t>Завтрак "Шведский стол"</t>
        </is>
      </c>
      <c r="K794" s="5" t="n">
        <v>46241.58333333334</v>
      </c>
      <c r="L794" t="n">
        <v>1</v>
      </c>
      <c r="M794" s="3">
        <f>I794/L794</f>
        <v/>
      </c>
      <c r="N794">
        <f>IF(M794&gt;=5100,"ставка","мин.ставка")</f>
        <v/>
      </c>
      <c r="O794" s="3">
        <f>ROUND(IF(N794="мин.ставка",L794*100,I794/102*2),2)</f>
        <v/>
      </c>
      <c r="P794" s="5" t="n">
        <v>46242.5</v>
      </c>
      <c r="Q794" t="inlineStr">
        <is>
          <t>TravelLine ресепшен</t>
        </is>
      </c>
      <c r="R794" s="2" t="inlineStr">
        <is>
          <t>ЛЮКС ВТОРОЙ КОРПУС</t>
        </is>
      </c>
      <c r="S794" t="n">
        <v>53</v>
      </c>
      <c r="T794" t="n">
        <v>2</v>
      </c>
      <c r="U794" t="inlineStr"/>
      <c r="V794" t="inlineStr">
        <is>
          <t>Тариф с завтраком</t>
        </is>
      </c>
      <c r="W794" t="n">
        <v>14220</v>
      </c>
      <c r="X794" s="3" t="n">
        <v>1580</v>
      </c>
      <c r="Y794" t="inlineStr">
        <is>
          <t>10%</t>
        </is>
      </c>
      <c r="Z794" t="inlineStr">
        <is>
          <t>2026-08-07</t>
        </is>
      </c>
      <c r="AA794" s="3" t="n">
        <v>14220</v>
      </c>
      <c r="AB794" t="inlineStr">
        <is>
          <t>Сошлось по ночным тарифам</t>
        </is>
      </c>
      <c r="AC794" s="2" t="inlineStr"/>
      <c r="AD794" t="n">
        <v>1580</v>
      </c>
      <c r="AE794" t="n">
        <v>0</v>
      </c>
      <c r="AF794" t="inlineStr">
        <is>
          <t>Скидка добавлена к налоговой базе</t>
        </is>
      </c>
      <c r="AG794" t="n">
        <v>15800</v>
      </c>
      <c r="AH794" t="n">
        <v>14220</v>
      </c>
      <c r="AI794" t="inlineStr">
        <is>
          <t>Полное проживание в выбранном периоде</t>
        </is>
      </c>
    </row>
    <row r="795">
      <c r="A795" t="inlineStr">
        <is>
          <t>20260917-8186-466595912</t>
        </is>
      </c>
      <c r="B795" t="n">
        <v>1</v>
      </c>
      <c r="C795" s="2" t="inlineStr">
        <is>
          <t>ПАВЕЛ Карпенко</t>
        </is>
      </c>
      <c r="D795" s="3" t="n">
        <v>14450</v>
      </c>
      <c r="E795" s="4" t="n">
        <v>0</v>
      </c>
      <c r="F795" t="inlineStr">
        <is>
          <t>Прямые бронирования (стойка) [Чайковский]</t>
        </is>
      </c>
      <c r="G795" s="3">
        <f>ROUND(D795/(100-E795)*100,2)</f>
        <v/>
      </c>
      <c r="H795" s="3" t="n">
        <v>0</v>
      </c>
      <c r="I795" s="3">
        <f>ROUND(IF(ISNUMBER(AG795),AG795,G795)+H795,2)</f>
        <v/>
      </c>
      <c r="J795" s="2" t="inlineStr">
        <is>
          <t>Завтрак "Шведский стол"</t>
        </is>
      </c>
      <c r="K795" s="5" t="n">
        <v>46282.58333333334</v>
      </c>
      <c r="L795" t="n">
        <v>1</v>
      </c>
      <c r="M795" s="3">
        <f>I795/L795</f>
        <v/>
      </c>
      <c r="N795">
        <f>IF(M795&gt;=5100,"ставка","мин.ставка")</f>
        <v/>
      </c>
      <c r="O795" s="3">
        <f>ROUND(IF(N795="мин.ставка",L795*100,I795/102*2),2)</f>
        <v/>
      </c>
      <c r="P795" s="5" t="n">
        <v>46283.5</v>
      </c>
      <c r="Q795" t="inlineStr">
        <is>
          <t>TravelLine ресепшен</t>
        </is>
      </c>
      <c r="R795" s="2" t="inlineStr">
        <is>
          <t>СЕМЕЙНЫЙ НОМЕР КАТЕГОРИИ "СТАНДАРТ" ВТОРОЙ КОРПУС</t>
        </is>
      </c>
      <c r="S795" t="n">
        <v>51</v>
      </c>
      <c r="T795" t="n">
        <v>2</v>
      </c>
      <c r="U795" t="inlineStr"/>
      <c r="V795" t="inlineStr">
        <is>
          <t>Тариф с завтраком</t>
        </is>
      </c>
      <c r="W795" t="n">
        <v>14450</v>
      </c>
      <c r="X795" s="3" t="n">
        <v>0</v>
      </c>
      <c r="Y795" t="inlineStr"/>
      <c r="Z795" t="inlineStr"/>
      <c r="AA795" s="3" t="n">
        <v>14450</v>
      </c>
      <c r="AB795" t="inlineStr">
        <is>
          <t>Сошлось по ночным тарифам</t>
        </is>
      </c>
      <c r="AC795" s="2" t="inlineStr"/>
      <c r="AD795" t="n">
        <v>0</v>
      </c>
      <c r="AE795" t="n">
        <v>0</v>
      </c>
      <c r="AF795" t="inlineStr">
        <is>
          <t>Скидки нет</t>
        </is>
      </c>
      <c r="AG795" t="n">
        <v>14450</v>
      </c>
      <c r="AH795" t="n">
        <v>14450</v>
      </c>
      <c r="AI795" t="inlineStr">
        <is>
          <t>Полное проживание в выбранном периоде</t>
        </is>
      </c>
    </row>
    <row r="796">
      <c r="A796" t="inlineStr">
        <is>
          <t>20260901-8186-421878685</t>
        </is>
      </c>
      <c r="B796" t="n">
        <v>1</v>
      </c>
      <c r="C796" s="2" t="inlineStr">
        <is>
          <t>ПАВЕЛ ЛОГИНОВ, ФИЛИПП ЛОГИНОВ</t>
        </is>
      </c>
      <c r="D796" s="3" t="n">
        <v>45390</v>
      </c>
      <c r="E796" s="4" t="n">
        <v>0</v>
      </c>
      <c r="F796" t="inlineStr">
        <is>
          <t>ООО "АЛЕАН ОТДЫХ" [Чайковский]</t>
        </is>
      </c>
      <c r="G796" s="3">
        <f>ROUND(D796/(100-E796)*100,2)</f>
        <v/>
      </c>
      <c r="H796" s="3" t="n">
        <v>0</v>
      </c>
      <c r="I796" s="3">
        <f>ROUND(IF(ISNUMBER(AG796),AG796,G796)+H796,2)</f>
        <v/>
      </c>
      <c r="J796" s="2" t="inlineStr">
        <is>
          <t>meal_bf_buffet_1; meal_bf_buffet_1; Завтрак "Шведский стол"</t>
        </is>
      </c>
      <c r="K796" s="5" t="n">
        <v>46266.58333333334</v>
      </c>
      <c r="L796" t="n">
        <v>4</v>
      </c>
      <c r="M796" s="3">
        <f>I796/L796</f>
        <v/>
      </c>
      <c r="N796">
        <f>IF(M796&gt;=5100,"ставка","мин.ставка")</f>
        <v/>
      </c>
      <c r="O796" s="3">
        <f>ROUND(IF(N796="мин.ставка",L796*100,I796/102*2),2)</f>
        <v/>
      </c>
      <c r="P796" s="5" t="n">
        <v>46270.5</v>
      </c>
      <c r="Q796" t="inlineStr">
        <is>
          <t>TravelLine ALN</t>
        </is>
      </c>
      <c r="R796" s="2" t="inlineStr">
        <is>
          <t>СТАНДАРТНЫЙ ДВУХМЕСТНЫЙ НОМЕР</t>
        </is>
      </c>
      <c r="S796" t="n">
        <v>22</v>
      </c>
      <c r="T796" t="n">
        <v>1</v>
      </c>
      <c r="U796" t="inlineStr"/>
      <c r="V796" t="inlineStr">
        <is>
          <t>Тариф с завтраком</t>
        </is>
      </c>
      <c r="W796" t="n">
        <v>45390</v>
      </c>
      <c r="X796" s="3" t="n">
        <v>8010</v>
      </c>
      <c r="Y796" t="inlineStr">
        <is>
          <t>15%</t>
        </is>
      </c>
      <c r="Z796" t="inlineStr">
        <is>
          <t>2026-09-01, 2026-09-02, 2026-09-03, 2026-09-04</t>
        </is>
      </c>
      <c r="AA796" s="3" t="n">
        <v>45390</v>
      </c>
      <c r="AB796" t="inlineStr">
        <is>
          <t>Сошлось по ночным тарифам</t>
        </is>
      </c>
      <c r="AC796" s="2" t="inlineStr"/>
      <c r="AD796" t="n">
        <v>8010</v>
      </c>
      <c r="AE796" t="n">
        <v>0</v>
      </c>
      <c r="AF796" t="inlineStr">
        <is>
          <t>Скидка добавлена к налоговой базе</t>
        </is>
      </c>
      <c r="AG796" t="n">
        <v>53400</v>
      </c>
      <c r="AH796" t="n">
        <v>45390</v>
      </c>
      <c r="AI796" t="inlineStr">
        <is>
          <t>Полное проживание в выбранном периоде</t>
        </is>
      </c>
    </row>
    <row r="797">
      <c r="A797" t="inlineStr">
        <is>
          <t>20260718-8186-433966251</t>
        </is>
      </c>
      <c r="B797" t="n">
        <v>1</v>
      </c>
      <c r="C797" s="2" t="inlineStr">
        <is>
          <t>Павел Рыбальский, ОКСАНА РЫБАЛЬСКАЯ</t>
        </is>
      </c>
      <c r="D797" s="3" t="n">
        <v>14922.6</v>
      </c>
      <c r="E797" s="4" t="n">
        <v>4</v>
      </c>
      <c r="F797" t="inlineStr">
        <is>
          <t>TravelLine Booking Engine [Чайковский]</t>
        </is>
      </c>
      <c r="G797" s="3">
        <f>ROUND(D797/(100-E797)*100,2)</f>
        <v/>
      </c>
      <c r="H797" s="3" t="n">
        <v>0</v>
      </c>
      <c r="I797" s="3">
        <f>ROUND(IF(ISNUMBER(AG797),AG797,G797)+H797,2)</f>
        <v/>
      </c>
      <c r="J797" s="2" t="inlineStr">
        <is>
          <t>Завтрак "Шведский стол"</t>
        </is>
      </c>
      <c r="K797" s="5" t="n">
        <v>46227.58333333334</v>
      </c>
      <c r="L797" t="n">
        <v>1</v>
      </c>
      <c r="M797" s="3">
        <f>I797/L797</f>
        <v/>
      </c>
      <c r="N797">
        <f>IF(M797&gt;=5100,"ставка","мин.ставка")</f>
        <v/>
      </c>
      <c r="O797" s="3">
        <f>ROUND(IF(N797="мин.ставка",L797*100,I797/102*2),2)</f>
        <v/>
      </c>
      <c r="P797" s="5" t="n">
        <v>46228.5</v>
      </c>
      <c r="Q797" t="inlineStr">
        <is>
          <t>TravelLine сайт</t>
        </is>
      </c>
      <c r="R797" s="2" t="inlineStr">
        <is>
          <t>УЛУЧШЕННЫЙ ДВУХМЕСТНЫЙ НОМЕР</t>
        </is>
      </c>
      <c r="S797" t="n">
        <v>56</v>
      </c>
      <c r="T797" t="n">
        <v>2</v>
      </c>
      <c r="U797" t="inlineStr"/>
      <c r="V797" t="inlineStr">
        <is>
          <t>Тариф с завтраком</t>
        </is>
      </c>
      <c r="W797" t="n">
        <v>14922.6</v>
      </c>
      <c r="X797" s="3" t="n">
        <v>477.4</v>
      </c>
      <c r="Y797" t="inlineStr">
        <is>
          <t>3.1%</t>
        </is>
      </c>
      <c r="Z797" t="inlineStr">
        <is>
          <t>2026-07-24</t>
        </is>
      </c>
      <c r="AA797" s="3" t="n">
        <v>14922.6</v>
      </c>
      <c r="AB797" t="inlineStr">
        <is>
          <t>Сошлось по ночным тарифам</t>
        </is>
      </c>
      <c r="AC797" s="2" t="inlineStr"/>
      <c r="AD797" t="n">
        <v>477.4</v>
      </c>
      <c r="AE797" t="n">
        <v>0</v>
      </c>
      <c r="AF797" t="inlineStr">
        <is>
          <t>Скидка добавлена к налоговой базе</t>
        </is>
      </c>
      <c r="AG797" t="n">
        <v>15400</v>
      </c>
      <c r="AH797" t="n">
        <v>14922.6</v>
      </c>
      <c r="AI797" t="inlineStr">
        <is>
          <t>Полное проживание в выбранном периоде</t>
        </is>
      </c>
    </row>
    <row r="798">
      <c r="A798" t="inlineStr">
        <is>
          <t>20260912-8186-460732993</t>
        </is>
      </c>
      <c r="B798" t="n">
        <v>1</v>
      </c>
      <c r="C798" s="2" t="inlineStr">
        <is>
          <t>Павел Свобода, Софья Суродина</t>
        </is>
      </c>
      <c r="D798" s="3" t="n">
        <v>13200</v>
      </c>
      <c r="E798" s="4" t="n">
        <v>20</v>
      </c>
      <c r="F798" t="inlineStr">
        <is>
          <t>ООО "КОМПАНИЯ БРОНЕВИК" [Чайковский]</t>
        </is>
      </c>
      <c r="G798" s="3">
        <f>ROUND(D798/(100-E798)*100,2)</f>
        <v/>
      </c>
      <c r="H798" s="3" t="n">
        <v>0</v>
      </c>
      <c r="I798" s="3">
        <f>ROUND(IF(ISNUMBER(AG798),AG798,G798)+H798,2)</f>
        <v/>
      </c>
      <c r="J798" s="2" t="inlineStr">
        <is>
          <t>Завтрак "Шведский стол"</t>
        </is>
      </c>
      <c r="K798" s="5" t="n">
        <v>46277.58333333334</v>
      </c>
      <c r="L798" t="n">
        <v>1</v>
      </c>
      <c r="M798" s="3">
        <f>I798/L798</f>
        <v/>
      </c>
      <c r="N798">
        <f>IF(M798&gt;=5100,"ставка","мин.ставка")</f>
        <v/>
      </c>
      <c r="O798" s="3">
        <f>ROUND(IF(N798="мин.ставка",L798*100,I798/102*2),2)</f>
        <v/>
      </c>
      <c r="P798" s="5" t="n">
        <v>46278.5</v>
      </c>
      <c r="Q798" t="inlineStr">
        <is>
          <t>TravelLine BR2</t>
        </is>
      </c>
      <c r="R798" s="2" t="inlineStr">
        <is>
          <t>ПОЛУЛЮКС</t>
        </is>
      </c>
      <c r="S798" t="n">
        <v>25</v>
      </c>
      <c r="T798" t="n">
        <v>1</v>
      </c>
      <c r="U798" t="inlineStr"/>
      <c r="V798" t="inlineStr">
        <is>
          <t>Тариф с завтраком</t>
        </is>
      </c>
      <c r="W798" t="n">
        <v>13200</v>
      </c>
      <c r="X798" s="3" t="n">
        <v>0</v>
      </c>
      <c r="Y798" t="inlineStr"/>
      <c r="Z798" t="inlineStr"/>
      <c r="AA798" s="3" t="n">
        <v>13200</v>
      </c>
      <c r="AB798" t="inlineStr">
        <is>
          <t>Сошлось по ночным тарифам</t>
        </is>
      </c>
      <c r="AC798" s="2" t="inlineStr"/>
      <c r="AD798" t="n">
        <v>0</v>
      </c>
      <c r="AE798" t="n">
        <v>0</v>
      </c>
      <c r="AF798" t="inlineStr">
        <is>
          <t>Скидки нет</t>
        </is>
      </c>
      <c r="AG798" t="n">
        <v>13200</v>
      </c>
      <c r="AH798" t="n">
        <v>13200</v>
      </c>
      <c r="AI798" t="inlineStr">
        <is>
          <t>Полное проживание в выбранном периоде</t>
        </is>
      </c>
    </row>
    <row r="799">
      <c r="A799" t="inlineStr">
        <is>
          <t>20260720-8186-448843941</t>
        </is>
      </c>
      <c r="B799" t="n">
        <v>1</v>
      </c>
      <c r="C799" s="2" t="inlineStr">
        <is>
          <t>Павел Субботин, ЛУИЗА СУББОТИНА, МИХАИЛ СУББОТИН</t>
        </is>
      </c>
      <c r="D799" s="3" t="n">
        <v>27194.5</v>
      </c>
      <c r="E799" s="4" t="n">
        <v>4</v>
      </c>
      <c r="F799" t="inlineStr">
        <is>
          <t>TravelLine Booking Engine [Чайковский]</t>
        </is>
      </c>
      <c r="G799" s="3">
        <f>ROUND(D799/(100-E799)*100,2)</f>
        <v/>
      </c>
      <c r="H799" s="3" t="n">
        <v>0</v>
      </c>
      <c r="I799" s="3">
        <f>ROUND(IF(ISNUMBER(AG799),AG799,G799)+H799,2)</f>
        <v/>
      </c>
      <c r="J799" s="2" t="inlineStr">
        <is>
          <t>Завтрак "Шведский стол"</t>
        </is>
      </c>
      <c r="K799" s="5" t="n">
        <v>46223.58333333334</v>
      </c>
      <c r="L799" t="n">
        <v>2</v>
      </c>
      <c r="M799" s="3">
        <f>I799/L799</f>
        <v/>
      </c>
      <c r="N799">
        <f>IF(M799&gt;=5100,"ставка","мин.ставка")</f>
        <v/>
      </c>
      <c r="O799" s="3">
        <f>ROUND(IF(N799="мин.ставка",L799*100,I799/102*2),2)</f>
        <v/>
      </c>
      <c r="P799" s="5" t="n">
        <v>46225.5</v>
      </c>
      <c r="Q799" t="inlineStr">
        <is>
          <t>TravelLine сайт</t>
        </is>
      </c>
      <c r="R799" s="2" t="inlineStr">
        <is>
          <t>СЕМЕЙНЫЙ НОМЕР КАТЕГОРИИ "СТАНДАРТ" ВТОРОЙ КОРПУС</t>
        </is>
      </c>
      <c r="S799" t="n">
        <v>51</v>
      </c>
      <c r="T799" t="n">
        <v>2</v>
      </c>
      <c r="U799" t="inlineStr"/>
      <c r="V799" t="inlineStr">
        <is>
          <t>Тариф с завтраком</t>
        </is>
      </c>
      <c r="W799" t="n">
        <v>27194.5</v>
      </c>
      <c r="X799" s="3" t="n">
        <v>205.5</v>
      </c>
      <c r="Y799" t="inlineStr">
        <is>
          <t>1.5%</t>
        </is>
      </c>
      <c r="Z799" t="inlineStr">
        <is>
          <t>2026-07-20</t>
        </is>
      </c>
      <c r="AA799" s="3" t="n">
        <v>27194.5</v>
      </c>
      <c r="AB799" t="inlineStr">
        <is>
          <t>Сошлось по ночным тарифам</t>
        </is>
      </c>
      <c r="AC799" s="2" t="inlineStr"/>
      <c r="AD799" t="n">
        <v>205.5</v>
      </c>
      <c r="AE799" t="n">
        <v>0</v>
      </c>
      <c r="AF799" t="inlineStr">
        <is>
          <t>Скидка добавлена к налоговой базе</t>
        </is>
      </c>
      <c r="AG799" t="n">
        <v>27400</v>
      </c>
      <c r="AH799" t="n">
        <v>27194.5</v>
      </c>
      <c r="AI799" t="inlineStr">
        <is>
          <t>Полное проживание в выбранном периоде</t>
        </is>
      </c>
    </row>
    <row r="800">
      <c r="A800" t="inlineStr">
        <is>
          <t>20260810-8186-414060341</t>
        </is>
      </c>
      <c r="B800" t="n">
        <v>1</v>
      </c>
      <c r="C800" s="2" t="inlineStr">
        <is>
          <t>Павел Токарев, Кристина Банникова</t>
        </is>
      </c>
      <c r="D800" s="3" t="n">
        <v>14774</v>
      </c>
      <c r="E800" s="4" t="n">
        <v>17</v>
      </c>
      <c r="F800" t="inlineStr">
        <is>
          <t>ООО «Интернет Трэвел» (OZON) [Чайковский]</t>
        </is>
      </c>
      <c r="G800" s="3">
        <f>ROUND(D800/(100-E800)*100,2)</f>
        <v/>
      </c>
      <c r="H800" s="3" t="n">
        <v>0</v>
      </c>
      <c r="I800" s="3">
        <f>ROUND(IF(ISNUMBER(AG800),AG800,G800)+H800,2)</f>
        <v/>
      </c>
      <c r="J800" s="2" t="inlineStr">
        <is>
          <t>Завтрак "Шведский стол"</t>
        </is>
      </c>
      <c r="K800" s="5" t="n">
        <v>46244.58333333334</v>
      </c>
      <c r="L800" t="n">
        <v>1</v>
      </c>
      <c r="M800" s="3">
        <f>I800/L800</f>
        <v/>
      </c>
      <c r="N800">
        <f>IF(M800&gt;=5100,"ставка","мин.ставка")</f>
        <v/>
      </c>
      <c r="O800" s="3">
        <f>ROUND(IF(N800="мин.ставка",L800*100,I800/102*2),2)</f>
        <v/>
      </c>
      <c r="P800" s="5" t="n">
        <v>46245.5</v>
      </c>
      <c r="Q800" t="inlineStr">
        <is>
          <t>TravelLine OZ2</t>
        </is>
      </c>
      <c r="R800" s="2" t="inlineStr">
        <is>
          <t>ЛЮКС</t>
        </is>
      </c>
      <c r="S800" t="n">
        <v>54</v>
      </c>
      <c r="T800" t="n">
        <v>2</v>
      </c>
      <c r="U800" t="inlineStr"/>
      <c r="V800" t="inlineStr">
        <is>
          <t>Тариф с завтраком</t>
        </is>
      </c>
      <c r="W800" t="n">
        <v>14774</v>
      </c>
      <c r="X800" s="3" t="n">
        <v>3026</v>
      </c>
      <c r="Y800" t="inlineStr">
        <is>
          <t>17%</t>
        </is>
      </c>
      <c r="Z800" t="inlineStr">
        <is>
          <t>2026-08-10</t>
        </is>
      </c>
      <c r="AA800" s="3" t="n">
        <v>14774</v>
      </c>
      <c r="AB800" t="inlineStr">
        <is>
          <t>Сошлось по ночным тарифам</t>
        </is>
      </c>
      <c r="AC800" s="2" t="inlineStr"/>
      <c r="AD800" t="n">
        <v>3026</v>
      </c>
      <c r="AE800" t="n">
        <v>0</v>
      </c>
      <c r="AF800" t="inlineStr">
        <is>
          <t>Скидка добавлена к налоговой базе</t>
        </is>
      </c>
      <c r="AG800" t="n">
        <v>17800</v>
      </c>
      <c r="AH800" t="n">
        <v>14774</v>
      </c>
      <c r="AI800" t="inlineStr">
        <is>
          <t>Полное проживание в выбранном периоде</t>
        </is>
      </c>
    </row>
    <row r="801">
      <c r="A801" t="inlineStr">
        <is>
          <t>20260708-8186-447095510</t>
        </is>
      </c>
      <c r="B801" t="n">
        <v>1</v>
      </c>
      <c r="C801" s="2" t="inlineStr">
        <is>
          <t>ПАВЛЕ ЕЛИСЕЕВ, Ольга Елисеева</t>
        </is>
      </c>
      <c r="D801" s="3" t="n">
        <v>18160</v>
      </c>
      <c r="E801" s="4" t="n">
        <v>20</v>
      </c>
      <c r="F801" t="inlineStr">
        <is>
          <t>ООО "КОМПАНИЯ БРОНЕВИК" [Чайковский]</t>
        </is>
      </c>
      <c r="G801" s="3">
        <f>ROUND(D801/(100-E801)*100,2)</f>
        <v/>
      </c>
      <c r="H801" s="3" t="n">
        <v>4000</v>
      </c>
      <c r="I801" s="3">
        <f>ROUND(IF(ISNUMBER(AG801),AG801,G801)+H801,2)</f>
        <v/>
      </c>
      <c r="J801" s="2" t="inlineStr">
        <is>
          <t>продление номера — 4 000,00 ₽; Завтрак "Шведский стол"</t>
        </is>
      </c>
      <c r="K801" s="5" t="n">
        <v>46211.58333333334</v>
      </c>
      <c r="L801" t="n">
        <v>2</v>
      </c>
      <c r="M801" s="3">
        <f>I801/L801</f>
        <v/>
      </c>
      <c r="N801">
        <f>IF(M801&gt;=5100,"ставка","мин.ставка")</f>
        <v/>
      </c>
      <c r="O801" s="3">
        <f>ROUND(IF(N801="мин.ставка",L801*100,I801/102*2),2)</f>
        <v/>
      </c>
      <c r="P801" s="5" t="n">
        <v>46213.5</v>
      </c>
      <c r="Q801" t="inlineStr">
        <is>
          <t>TravelLine BR2</t>
        </is>
      </c>
      <c r="R801" s="2" t="inlineStr">
        <is>
          <t>СТАНДАРТНЫЙ ДВУХМЕСТНЫЙ НОМЕР</t>
        </is>
      </c>
      <c r="S801" t="n">
        <v>44</v>
      </c>
      <c r="T801" t="n">
        <v>1</v>
      </c>
      <c r="U801" t="inlineStr"/>
      <c r="V801" t="inlineStr">
        <is>
          <t>Тариф с завтраком</t>
        </is>
      </c>
      <c r="W801" t="n">
        <v>22160</v>
      </c>
      <c r="X801" s="3" t="n">
        <v>0</v>
      </c>
      <c r="Y801" t="inlineStr"/>
      <c r="Z801" t="inlineStr"/>
      <c r="AA801" s="3" t="n">
        <v>18160</v>
      </c>
      <c r="AB801" t="inlineStr">
        <is>
          <t>Сошлось с услугами</t>
        </is>
      </c>
      <c r="AC801" s="2" t="inlineStr"/>
      <c r="AD801" t="n">
        <v>0</v>
      </c>
      <c r="AE801" t="n">
        <v>0</v>
      </c>
      <c r="AF801" t="inlineStr">
        <is>
          <t>Скидки нет</t>
        </is>
      </c>
      <c r="AG801" t="n">
        <v>18160</v>
      </c>
      <c r="AH801" t="n">
        <v>18160</v>
      </c>
      <c r="AI801" t="inlineStr">
        <is>
          <t>Полное проживание в выбранном периоде</t>
        </is>
      </c>
    </row>
    <row r="802">
      <c r="A802" t="inlineStr">
        <is>
          <t>20260711-8186-411332065</t>
        </is>
      </c>
      <c r="B802" t="n">
        <v>1</v>
      </c>
      <c r="C802" s="2" t="inlineStr">
        <is>
          <t>Петр Качкаев, Олеся Громовая</t>
        </is>
      </c>
      <c r="D802" s="3" t="n">
        <v>10680</v>
      </c>
      <c r="E802" s="4" t="n">
        <v>0</v>
      </c>
      <c r="F802" t="inlineStr">
        <is>
          <t>Прямые бронирования (стойка) [Чайковский]</t>
        </is>
      </c>
      <c r="G802" s="3">
        <f>ROUND(D802/(100-E802)*100,2)</f>
        <v/>
      </c>
      <c r="H802" s="3" t="n">
        <v>0</v>
      </c>
      <c r="I802" s="3">
        <f>ROUND(IF(ISNUMBER(AG802),AG802,G802)+H802,2)</f>
        <v/>
      </c>
      <c r="J802" s="2" t="inlineStr">
        <is>
          <t>Завтрак "Шведский стол"</t>
        </is>
      </c>
      <c r="K802" s="5" t="n">
        <v>46214.58333333334</v>
      </c>
      <c r="L802" t="n">
        <v>1</v>
      </c>
      <c r="M802" s="3">
        <f>I802/L802</f>
        <v/>
      </c>
      <c r="N802">
        <f>IF(M802&gt;=5100,"ставка","мин.ставка")</f>
        <v/>
      </c>
      <c r="O802" s="3">
        <f>ROUND(IF(N802="мин.ставка",L802*100,I802/102*2),2)</f>
        <v/>
      </c>
      <c r="P802" s="5" t="n">
        <v>46215.5</v>
      </c>
      <c r="Q802" t="inlineStr">
        <is>
          <t>TravelLine ресепшен</t>
        </is>
      </c>
      <c r="R802" s="2" t="inlineStr">
        <is>
          <t>СТАНДАРТНЫЙ ДВУХМЕСТНЫЙ НОМЕР</t>
        </is>
      </c>
      <c r="S802" t="n">
        <v>36</v>
      </c>
      <c r="T802" t="n">
        <v>1</v>
      </c>
      <c r="U802" t="inlineStr"/>
      <c r="V802" t="inlineStr">
        <is>
          <t>Тариф с завтраком</t>
        </is>
      </c>
      <c r="W802" t="n">
        <v>10680</v>
      </c>
      <c r="X802" s="3" t="n">
        <v>2670</v>
      </c>
      <c r="Y802" t="inlineStr">
        <is>
          <t>20%</t>
        </is>
      </c>
      <c r="Z802" t="inlineStr">
        <is>
          <t>2026-07-11</t>
        </is>
      </c>
      <c r="AA802" s="3" t="n">
        <v>10680</v>
      </c>
      <c r="AB802" t="inlineStr">
        <is>
          <t>Сошлось по ночным тарифам</t>
        </is>
      </c>
      <c r="AC802" s="2" t="inlineStr"/>
      <c r="AD802" t="n">
        <v>2670</v>
      </c>
      <c r="AE802" t="n">
        <v>0</v>
      </c>
      <c r="AF802" t="inlineStr">
        <is>
          <t>Скидка добавлена к налоговой базе</t>
        </is>
      </c>
      <c r="AG802" t="n">
        <v>13350</v>
      </c>
      <c r="AH802" t="n">
        <v>10680</v>
      </c>
      <c r="AI802" t="inlineStr">
        <is>
          <t>Полное проживание в выбранном периоде</t>
        </is>
      </c>
    </row>
    <row r="803">
      <c r="A803" t="inlineStr">
        <is>
          <t>20260709-8186-448291072</t>
        </is>
      </c>
      <c r="B803" t="n">
        <v>1</v>
      </c>
      <c r="C803" s="2" t="inlineStr">
        <is>
          <t>ПЛАМЕН ДОБЫЧИН</t>
        </is>
      </c>
      <c r="D803" s="3" t="n">
        <v>6557</v>
      </c>
      <c r="E803" s="4" t="n">
        <v>0</v>
      </c>
      <c r="F803" t="inlineStr">
        <is>
          <t>Прямые бронирования (стойка) [Чайковский]</t>
        </is>
      </c>
      <c r="G803" s="3">
        <f>ROUND(D803/(100-E803)*100,2)</f>
        <v/>
      </c>
      <c r="H803" s="3" t="n">
        <v>0</v>
      </c>
      <c r="I803" s="3">
        <f>ROUND(IF(ISNUMBER(AG803),AG803,G803)+H803,2)</f>
        <v/>
      </c>
      <c r="J803" s="2" t="inlineStr">
        <is>
          <t>Завтрак "Шведский стол"</t>
        </is>
      </c>
      <c r="K803" s="5" t="n">
        <v>46212.58333333334</v>
      </c>
      <c r="L803" t="n">
        <v>1</v>
      </c>
      <c r="M803" s="3">
        <f>I803/L803</f>
        <v/>
      </c>
      <c r="N803">
        <f>IF(M803&gt;=5100,"ставка","мин.ставка")</f>
        <v/>
      </c>
      <c r="O803" s="3">
        <f>ROUND(IF(N803="мин.ставка",L803*100,I803/102*2),2)</f>
        <v/>
      </c>
      <c r="P803" s="5" t="n">
        <v>46213.5</v>
      </c>
      <c r="Q803" t="inlineStr">
        <is>
          <t>TravelLine CMB</t>
        </is>
      </c>
      <c r="R803" s="2" t="inlineStr">
        <is>
          <t>СТАНДАРТНЫЙ ДВУХМЕСТНЫЙ НОМЕР (МАНСАРДА)</t>
        </is>
      </c>
      <c r="S803" t="n">
        <v>41</v>
      </c>
      <c r="T803" t="n">
        <v>1</v>
      </c>
      <c r="U803" t="inlineStr"/>
      <c r="V803" t="inlineStr">
        <is>
          <t>Тариф с завтраком</t>
        </is>
      </c>
      <c r="W803" t="n">
        <v>6557</v>
      </c>
      <c r="X803" s="3" t="n">
        <v>1343</v>
      </c>
      <c r="Y803" t="inlineStr">
        <is>
          <t>17%</t>
        </is>
      </c>
      <c r="Z803" t="inlineStr">
        <is>
          <t>2026-07-09</t>
        </is>
      </c>
      <c r="AA803" s="3" t="n">
        <v>6557</v>
      </c>
      <c r="AB803" t="inlineStr">
        <is>
          <t>Сошлось по ночным тарифам</t>
        </is>
      </c>
      <c r="AC803" s="2" t="inlineStr"/>
      <c r="AD803" t="n">
        <v>1343</v>
      </c>
      <c r="AE803" t="n">
        <v>0</v>
      </c>
      <c r="AF803" t="inlineStr">
        <is>
          <t>Скидка добавлена к налоговой базе</t>
        </is>
      </c>
      <c r="AG803" t="n">
        <v>7900</v>
      </c>
      <c r="AH803" t="n">
        <v>6557</v>
      </c>
      <c r="AI803" t="inlineStr">
        <is>
          <t>Полное проживание в выбранном периоде</t>
        </is>
      </c>
    </row>
    <row r="804">
      <c r="A804" t="inlineStr">
        <is>
          <t>20260828-8186-461460335</t>
        </is>
      </c>
      <c r="B804" t="n">
        <v>1</v>
      </c>
      <c r="C804" s="2" t="inlineStr">
        <is>
          <t>Полина Аксиненко</t>
        </is>
      </c>
      <c r="D804" s="3" t="n">
        <v>28602</v>
      </c>
      <c r="E804" s="4" t="n">
        <v>16</v>
      </c>
      <c r="F804" t="inlineStr">
        <is>
          <t>ООО "БРОНИРОВАНИЕ ГОСТИНИЦ" (OSTROVOK) [Чайковский]</t>
        </is>
      </c>
      <c r="G804" s="3">
        <f>ROUND(D804/(100-E804)*100,2)</f>
        <v/>
      </c>
      <c r="H804" s="3" t="n">
        <v>0</v>
      </c>
      <c r="I804" s="3">
        <f>ROUND(IF(ISNUMBER(AG804),AG804,G804)+H804,2)</f>
        <v/>
      </c>
      <c r="J804" s="2" t="inlineStr">
        <is>
          <t>Завтрак "Шведский стол"</t>
        </is>
      </c>
      <c r="K804" s="5" t="n">
        <v>46262.58333333334</v>
      </c>
      <c r="L804" t="n">
        <v>3</v>
      </c>
      <c r="M804" s="3">
        <f>I804/L804</f>
        <v/>
      </c>
      <c r="N804">
        <f>IF(M804&gt;=5100,"ставка","мин.ставка")</f>
        <v/>
      </c>
      <c r="O804" s="3">
        <f>ROUND(IF(N804="мин.ставка",L804*100,I804/102*2),2)</f>
        <v/>
      </c>
      <c r="P804" s="5" t="n">
        <v>46265.5</v>
      </c>
      <c r="Q804" t="inlineStr">
        <is>
          <t>TravelLine OTK</t>
        </is>
      </c>
      <c r="R804" s="2" t="inlineStr">
        <is>
          <t>ПОЛУЛЮКС</t>
        </is>
      </c>
      <c r="S804" t="n">
        <v>35</v>
      </c>
      <c r="T804" t="n">
        <v>1</v>
      </c>
      <c r="U804" t="inlineStr"/>
      <c r="V804" t="inlineStr">
        <is>
          <t>Тариф с завтраком</t>
        </is>
      </c>
      <c r="W804" t="n">
        <v>28602</v>
      </c>
      <c r="X804" s="3" t="n">
        <v>5448</v>
      </c>
      <c r="Y804" t="inlineStr">
        <is>
          <t>16%</t>
        </is>
      </c>
      <c r="Z804" t="inlineStr">
        <is>
          <t>2026-08-28, 2026-08-29, 2026-08-30</t>
        </is>
      </c>
      <c r="AA804" s="3" t="n">
        <v>28602</v>
      </c>
      <c r="AB804" t="inlineStr">
        <is>
          <t>Сошлось по ночным тарифам</t>
        </is>
      </c>
      <c r="AC804" s="2" t="inlineStr"/>
      <c r="AD804" t="n">
        <v>5448</v>
      </c>
      <c r="AE804" t="n">
        <v>0</v>
      </c>
      <c r="AF804" t="inlineStr">
        <is>
          <t>Скидка добавлена к налоговой базе</t>
        </is>
      </c>
      <c r="AG804" t="n">
        <v>34050</v>
      </c>
      <c r="AH804" t="n">
        <v>28602</v>
      </c>
      <c r="AI804" t="inlineStr">
        <is>
          <t>Полное проживание в выбранном периоде</t>
        </is>
      </c>
    </row>
    <row r="805">
      <c r="A805" t="inlineStr">
        <is>
          <t>20260904-8186-463419173</t>
        </is>
      </c>
      <c r="B805" t="n">
        <v>1</v>
      </c>
      <c r="C805" s="2" t="inlineStr">
        <is>
          <t>Полина Аксиненко</t>
        </is>
      </c>
      <c r="D805" s="3" t="n">
        <v>56280</v>
      </c>
      <c r="E805" s="4" t="n">
        <v>16</v>
      </c>
      <c r="F805" t="inlineStr">
        <is>
          <t>ООО "БРОНИРОВАНИЕ ГОСТИНИЦ" (OSTROVOK) [Чайковский]</t>
        </is>
      </c>
      <c r="G805" s="3">
        <f>ROUND(D805/(100-E805)*100,2)</f>
        <v/>
      </c>
      <c r="H805" s="3" t="n">
        <v>0</v>
      </c>
      <c r="I805" s="3">
        <f>ROUND(IF(ISNUMBER(AG805),AG805,G805)+H805,2)</f>
        <v/>
      </c>
      <c r="J805" s="2" t="inlineStr">
        <is>
          <t>Завтрак "Шведский стол"</t>
        </is>
      </c>
      <c r="K805" s="5" t="n">
        <v>46269.58333333334</v>
      </c>
      <c r="L805" t="n">
        <v>5</v>
      </c>
      <c r="M805" s="3">
        <f>I805/L805</f>
        <v/>
      </c>
      <c r="N805">
        <f>IF(M805&gt;=5100,"ставка","мин.ставка")</f>
        <v/>
      </c>
      <c r="O805" s="3">
        <f>ROUND(IF(N805="мин.ставка",L805*100,I805/102*2),2)</f>
        <v/>
      </c>
      <c r="P805" s="5" t="n">
        <v>46274.5</v>
      </c>
      <c r="Q805" t="inlineStr">
        <is>
          <t>TravelLine OTK</t>
        </is>
      </c>
      <c r="R805" s="2" t="inlineStr">
        <is>
          <t>УЛУЧШЕННЫЙ ДВУХМЕСТНЫЙ НОМЕР</t>
        </is>
      </c>
      <c r="S805" t="n">
        <v>31</v>
      </c>
      <c r="T805" t="n">
        <v>1</v>
      </c>
      <c r="U805" t="inlineStr"/>
      <c r="V805" t="inlineStr">
        <is>
          <t>Тариф с завтраком</t>
        </is>
      </c>
      <c r="W805" t="n">
        <v>56280</v>
      </c>
      <c r="X805" s="3" t="n">
        <v>10720</v>
      </c>
      <c r="Y805" t="inlineStr">
        <is>
          <t>16%</t>
        </is>
      </c>
      <c r="Z805" t="inlineStr">
        <is>
          <t>2026-09-04, 2026-09-05, 2026-09-06, 2026-09-07, 2026-09-08</t>
        </is>
      </c>
      <c r="AA805" s="3" t="n">
        <v>56280</v>
      </c>
      <c r="AB805" t="inlineStr">
        <is>
          <t>Сошлось по ночным тарифам</t>
        </is>
      </c>
      <c r="AC805" s="2" t="inlineStr"/>
      <c r="AD805" t="n">
        <v>10720</v>
      </c>
      <c r="AE805" t="n">
        <v>0</v>
      </c>
      <c r="AF805" t="inlineStr">
        <is>
          <t>Скидка добавлена к налоговой базе</t>
        </is>
      </c>
      <c r="AG805" t="n">
        <v>67000</v>
      </c>
      <c r="AH805" t="n">
        <v>56280</v>
      </c>
      <c r="AI805" t="inlineStr">
        <is>
          <t>Полное проживание в выбранном периоде</t>
        </is>
      </c>
    </row>
    <row r="806">
      <c r="A806" t="inlineStr">
        <is>
          <t>20260913-8186-464324763</t>
        </is>
      </c>
      <c r="B806" t="n">
        <v>1</v>
      </c>
      <c r="C806" s="2" t="inlineStr">
        <is>
          <t>Рамазан Ибрагимов, Евгения Ибрагимова</t>
        </is>
      </c>
      <c r="D806" s="3" t="n">
        <v>53133</v>
      </c>
      <c r="E806" s="4" t="n">
        <v>4</v>
      </c>
      <c r="F806" t="inlineStr">
        <is>
          <t>TravelLine Booking Engine [Чайковский]</t>
        </is>
      </c>
      <c r="G806" s="3">
        <f>ROUND(D806/(100-E806)*100,2)</f>
        <v/>
      </c>
      <c r="H806" s="3" t="n">
        <v>0</v>
      </c>
      <c r="I806" s="3">
        <f>ROUND(IF(ISNUMBER(AG806),AG806,G806)+H806,2)</f>
        <v/>
      </c>
      <c r="J806" s="2" t="inlineStr">
        <is>
          <t>Завтрак "Шведский стол"</t>
        </is>
      </c>
      <c r="K806" s="5" t="n">
        <v>46278.58333333334</v>
      </c>
      <c r="L806" t="n">
        <v>3</v>
      </c>
      <c r="M806" s="3">
        <f>I806/L806</f>
        <v/>
      </c>
      <c r="N806">
        <f>IF(M806&gt;=5100,"ставка","мин.ставка")</f>
        <v/>
      </c>
      <c r="O806" s="3">
        <f>ROUND(IF(N806="мин.ставка",L806*100,I806/102*2),2)</f>
        <v/>
      </c>
      <c r="P806" s="5" t="n">
        <v>46281.5</v>
      </c>
      <c r="Q806" t="inlineStr">
        <is>
          <t>TravelLine сайт</t>
        </is>
      </c>
      <c r="R806" s="2" t="inlineStr">
        <is>
          <t>ЛЮКС ВТОРОЙ КОРПУС</t>
        </is>
      </c>
      <c r="S806" t="n">
        <v>53</v>
      </c>
      <c r="T806" t="n">
        <v>2</v>
      </c>
      <c r="U806" t="inlineStr"/>
      <c r="V806" t="inlineStr">
        <is>
          <t>Тариф с завтраком</t>
        </is>
      </c>
      <c r="W806" t="n">
        <v>53133</v>
      </c>
      <c r="X806" s="3" t="n">
        <v>267</v>
      </c>
      <c r="Y806" t="inlineStr">
        <is>
          <t>1.5%</t>
        </is>
      </c>
      <c r="Z806" t="inlineStr">
        <is>
          <t>2026-09-13</t>
        </is>
      </c>
      <c r="AA806" s="3" t="n">
        <v>53133</v>
      </c>
      <c r="AB806" t="inlineStr">
        <is>
          <t>Сошлось по ночным тарифам</t>
        </is>
      </c>
      <c r="AC806" s="2" t="inlineStr"/>
      <c r="AD806" t="n">
        <v>267</v>
      </c>
      <c r="AE806" t="n">
        <v>0</v>
      </c>
      <c r="AF806" t="inlineStr">
        <is>
          <t>Скидка добавлена к налоговой базе</t>
        </is>
      </c>
      <c r="AG806" t="n">
        <v>53400</v>
      </c>
      <c r="AH806" t="n">
        <v>53133</v>
      </c>
      <c r="AI806" t="inlineStr">
        <is>
          <t>Полное проживание в выбранном периоде</t>
        </is>
      </c>
    </row>
    <row r="807">
      <c r="A807" t="inlineStr">
        <is>
          <t>20260715-8186-403957014</t>
        </is>
      </c>
      <c r="B807" t="n">
        <v>1</v>
      </c>
      <c r="C807" s="2" t="inlineStr">
        <is>
          <t>Раушания Камалова</t>
        </is>
      </c>
      <c r="D807" s="3" t="n">
        <v>23502.5</v>
      </c>
      <c r="E807" s="4" t="n">
        <v>4</v>
      </c>
      <c r="F807" t="inlineStr">
        <is>
          <t>TravelLine Booking Engine [Чайковский]</t>
        </is>
      </c>
      <c r="G807" s="3">
        <f>ROUND(D807/(100-E807)*100,2)</f>
        <v/>
      </c>
      <c r="H807" s="3" t="n">
        <v>0</v>
      </c>
      <c r="I807" s="3">
        <f>ROUND(IF(ISNUMBER(AG807),AG807,G807)+H807,2)</f>
        <v/>
      </c>
      <c r="J807" s="2" t="inlineStr">
        <is>
          <t>Завтрак "Шведский стол"</t>
        </is>
      </c>
      <c r="K807" s="5" t="n">
        <v>46218.58333333334</v>
      </c>
      <c r="L807" t="n">
        <v>3</v>
      </c>
      <c r="M807" s="3">
        <f>I807/L807</f>
        <v/>
      </c>
      <c r="N807">
        <f>IF(M807&gt;=5100,"ставка","мин.ставка")</f>
        <v/>
      </c>
      <c r="O807" s="3">
        <f>ROUND(IF(N807="мин.ставка",L807*100,I807/102*2),2)</f>
        <v/>
      </c>
      <c r="P807" s="5" t="n">
        <v>46221.5</v>
      </c>
      <c r="Q807" t="inlineStr">
        <is>
          <t>TravelLine сайт</t>
        </is>
      </c>
      <c r="R807" s="2" t="inlineStr">
        <is>
          <t>СТАНДАРТНЫЙ ДВУХМЕСТНЫЙ НОМЕР (МАНСАРДА)</t>
        </is>
      </c>
      <c r="S807" t="n">
        <v>43</v>
      </c>
      <c r="T807" t="n">
        <v>1</v>
      </c>
      <c r="U807" t="inlineStr"/>
      <c r="V807" t="inlineStr">
        <is>
          <t>Тариф с завтраком</t>
        </is>
      </c>
      <c r="W807" t="n">
        <v>23502.5</v>
      </c>
      <c r="X807" s="3" t="n">
        <v>197.5</v>
      </c>
      <c r="Y807" t="inlineStr">
        <is>
          <t>2.5%</t>
        </is>
      </c>
      <c r="Z807" t="inlineStr">
        <is>
          <t>2026-07-15</t>
        </is>
      </c>
      <c r="AA807" s="3" t="n">
        <v>23502.5</v>
      </c>
      <c r="AB807" t="inlineStr">
        <is>
          <t>Сошлось по ночным тарифам</t>
        </is>
      </c>
      <c r="AC807" s="2" t="inlineStr"/>
      <c r="AD807" t="n">
        <v>197.5</v>
      </c>
      <c r="AE807" t="n">
        <v>0</v>
      </c>
      <c r="AF807" t="inlineStr">
        <is>
          <t>Скидка добавлена к налоговой базе</t>
        </is>
      </c>
      <c r="AG807" t="n">
        <v>23700</v>
      </c>
      <c r="AH807" t="n">
        <v>23502.5</v>
      </c>
      <c r="AI807" t="inlineStr">
        <is>
          <t>Полное проживание в выбранном периоде</t>
        </is>
      </c>
    </row>
    <row r="808">
      <c r="A808" t="inlineStr">
        <is>
          <t>20260913-8186-458347426</t>
        </is>
      </c>
      <c r="B808" t="n">
        <v>1</v>
      </c>
      <c r="C808" s="2" t="inlineStr">
        <is>
          <t>Регина Гирфанова</t>
        </is>
      </c>
      <c r="D808" s="3" t="n">
        <v>66738</v>
      </c>
      <c r="E808" s="4" t="n">
        <v>16</v>
      </c>
      <c r="F808" t="inlineStr">
        <is>
          <t>ООО "БРОНИРОВАНИЕ ГОСТИНИЦ" (OSTROVOK) [Чайковский]</t>
        </is>
      </c>
      <c r="G808" s="3">
        <f>ROUND(D808/(100-E808)*100,2)</f>
        <v/>
      </c>
      <c r="H808" s="3" t="n">
        <v>0</v>
      </c>
      <c r="I808" s="3">
        <f>ROUND(IF(ISNUMBER(AG808),AG808,G808)+H808,2)</f>
        <v/>
      </c>
      <c r="J808" s="2" t="inlineStr">
        <is>
          <t>Завтрак "Шведский стол"</t>
        </is>
      </c>
      <c r="K808" s="5" t="n">
        <v>46278.58333333334</v>
      </c>
      <c r="L808" t="n">
        <v>7</v>
      </c>
      <c r="M808" s="3">
        <f>I808/L808</f>
        <v/>
      </c>
      <c r="N808">
        <f>IF(M808&gt;=5100,"ставка","мин.ставка")</f>
        <v/>
      </c>
      <c r="O808" s="3">
        <f>ROUND(IF(N808="мин.ставка",L808*100,I808/102*2),2)</f>
        <v/>
      </c>
      <c r="P808" s="5" t="n">
        <v>46285.5</v>
      </c>
      <c r="Q808" t="inlineStr">
        <is>
          <t>TravelLine OTK</t>
        </is>
      </c>
      <c r="R808" s="2" t="inlineStr">
        <is>
          <t>СТАНДАРТНЫЙ ДВУХМЕСТНЫЙ НОМЕР</t>
        </is>
      </c>
      <c r="S808" t="n">
        <v>46</v>
      </c>
      <c r="T808" t="n">
        <v>1</v>
      </c>
      <c r="U808" t="inlineStr"/>
      <c r="V808" t="inlineStr">
        <is>
          <t>Тариф с завтраком</t>
        </is>
      </c>
      <c r="W808" t="n">
        <v>66738</v>
      </c>
      <c r="X808" s="3" t="n">
        <v>12712</v>
      </c>
      <c r="Y808" t="inlineStr">
        <is>
          <t>16%</t>
        </is>
      </c>
      <c r="Z808" t="inlineStr">
        <is>
          <t>2026-09-13, 2026-09-14, 2026-09-15, 2026-09-16, 2026-09-17, 2026-09-18, 2026-09-19</t>
        </is>
      </c>
      <c r="AA808" s="3" t="n">
        <v>66738</v>
      </c>
      <c r="AB808" t="inlineStr">
        <is>
          <t>Сошлось по ночным тарифам</t>
        </is>
      </c>
      <c r="AC808" s="2" t="inlineStr"/>
      <c r="AD808" t="n">
        <v>12712</v>
      </c>
      <c r="AE808" t="n">
        <v>0</v>
      </c>
      <c r="AF808" t="inlineStr">
        <is>
          <t>Скидка добавлена к налоговой базе</t>
        </is>
      </c>
      <c r="AG808" t="n">
        <v>79450</v>
      </c>
      <c r="AH808" t="n">
        <v>66738</v>
      </c>
      <c r="AI808" t="inlineStr">
        <is>
          <t>Полное проживание в выбранном периоде</t>
        </is>
      </c>
    </row>
    <row r="809">
      <c r="A809" t="inlineStr">
        <is>
          <t>20260820-8186-455722511</t>
        </is>
      </c>
      <c r="B809" t="n">
        <v>1</v>
      </c>
      <c r="C809" s="2" t="inlineStr">
        <is>
          <t>РИНАТ ТЕМИРБУЛАТОВ</t>
        </is>
      </c>
      <c r="D809" s="3" t="n">
        <v>9080</v>
      </c>
      <c r="E809" s="4" t="n">
        <v>20</v>
      </c>
      <c r="F809" t="inlineStr">
        <is>
          <t>ООО "ХБ-ПРО" [Чайковский]</t>
        </is>
      </c>
      <c r="G809" s="3">
        <f>ROUND(D809/(100-E809)*100,2)</f>
        <v/>
      </c>
      <c r="H809" s="3" t="n">
        <v>0</v>
      </c>
      <c r="I809" s="3">
        <f>ROUND(IF(ISNUMBER(AG809),AG809,G809)+H809,2)</f>
        <v/>
      </c>
      <c r="J809" s="2" t="inlineStr">
        <is>
          <t>Завтрак "Шведский стол"</t>
        </is>
      </c>
      <c r="K809" s="5" t="n">
        <v>46254.58333333334</v>
      </c>
      <c r="L809" t="n">
        <v>1</v>
      </c>
      <c r="M809" s="3">
        <f>I809/L809</f>
        <v/>
      </c>
      <c r="N809">
        <f>IF(M809&gt;=5100,"ставка","мин.ставка")</f>
        <v/>
      </c>
      <c r="O809" s="3">
        <f>ROUND(IF(N809="мин.ставка",L809*100,I809/102*2),2)</f>
        <v/>
      </c>
      <c r="P809" s="5" t="n">
        <v>46255.5</v>
      </c>
      <c r="Q809" t="inlineStr">
        <is>
          <t>TravelLine UTS</t>
        </is>
      </c>
      <c r="R809" s="2" t="inlineStr">
        <is>
          <t>СТАНДАРТНЫЙ ДВУХМЕСТНЫЙ НОМЕР</t>
        </is>
      </c>
      <c r="S809" t="n">
        <v>26</v>
      </c>
      <c r="T809" t="n">
        <v>1</v>
      </c>
      <c r="U809" t="inlineStr"/>
      <c r="V809" t="inlineStr">
        <is>
          <t>Тариф с завтраком</t>
        </is>
      </c>
      <c r="W809" t="n">
        <v>9080</v>
      </c>
      <c r="X809" s="3" t="n">
        <v>0</v>
      </c>
      <c r="Y809" t="inlineStr"/>
      <c r="Z809" t="inlineStr"/>
      <c r="AA809" s="3" t="n">
        <v>9080</v>
      </c>
      <c r="AB809" t="inlineStr">
        <is>
          <t>Сошлось по ночным тарифам</t>
        </is>
      </c>
      <c r="AC809" s="2" t="inlineStr"/>
      <c r="AD809" t="n">
        <v>0</v>
      </c>
      <c r="AE809" t="n">
        <v>0</v>
      </c>
      <c r="AF809" t="inlineStr">
        <is>
          <t>Скидки нет</t>
        </is>
      </c>
      <c r="AG809" t="n">
        <v>9080</v>
      </c>
      <c r="AH809" t="n">
        <v>9080</v>
      </c>
      <c r="AI809" t="inlineStr">
        <is>
          <t>Полное проживание в выбранном периоде</t>
        </is>
      </c>
    </row>
    <row r="810">
      <c r="A810" t="inlineStr">
        <is>
          <t>20260930-8186-468223714</t>
        </is>
      </c>
      <c r="B810" t="n">
        <v>1</v>
      </c>
      <c r="C810" s="2" t="inlineStr">
        <is>
          <t>Розалия Рыбина</t>
        </is>
      </c>
      <c r="D810" s="3" t="n">
        <v>17056</v>
      </c>
      <c r="E810" s="4" t="n">
        <v>18</v>
      </c>
      <c r="F810" t="inlineStr">
        <is>
          <t>ООО "Эй энд Эй" [Чайковский]</t>
        </is>
      </c>
      <c r="G810" s="3">
        <f>ROUND(D810/(100-E810)*100,2)</f>
        <v/>
      </c>
      <c r="H810" s="3" t="n">
        <v>0</v>
      </c>
      <c r="I810" s="3">
        <f>ROUND(IF(ISNUMBER(AG810),AG810,G810)+H810,2)</f>
        <v/>
      </c>
      <c r="J810" s="2" t="inlineStr"/>
      <c r="K810" s="5" t="n">
        <v>46295.58333333334</v>
      </c>
      <c r="L810" t="n">
        <v>1</v>
      </c>
      <c r="M810" s="3">
        <f>I810/L810</f>
        <v/>
      </c>
      <c r="N810">
        <f>IF(M810&gt;=5100,"ставка","мин.ставка")</f>
        <v/>
      </c>
      <c r="O810" s="3">
        <f>ROUND(IF(N810="мин.ставка",L810*100,I810/102*2),2)</f>
        <v/>
      </c>
      <c r="P810" s="5" t="n">
        <v>46297.5</v>
      </c>
      <c r="Q810" t="inlineStr">
        <is>
          <t>TravelLine ANA</t>
        </is>
      </c>
      <c r="R810" s="2" t="inlineStr">
        <is>
          <t>СТАНДАРТНЫЙ ДВУХМЕСТНЫЙ НОМЕР</t>
        </is>
      </c>
      <c r="S810" t="n">
        <v>23</v>
      </c>
      <c r="T810" t="n">
        <v>1</v>
      </c>
      <c r="U810" t="inlineStr"/>
      <c r="V810" t="inlineStr">
        <is>
          <t>Тариф с завтраком</t>
        </is>
      </c>
      <c r="W810" t="n">
        <v>17056</v>
      </c>
      <c r="X810" s="3" t="n">
        <v>3744</v>
      </c>
      <c r="Y810" t="inlineStr">
        <is>
          <t>18%</t>
        </is>
      </c>
      <c r="Z810" t="inlineStr">
        <is>
          <t>Не распределена по датам</t>
        </is>
      </c>
      <c r="AA810" s="3" t="n">
        <v>17056</v>
      </c>
      <c r="AB810" t="inlineStr">
        <is>
          <t>Сошлось по ночным тарифам</t>
        </is>
      </c>
      <c r="AC810" s="2" t="inlineStr"/>
      <c r="AD810" t="n">
        <v>0</v>
      </c>
      <c r="AE810" t="n">
        <v>0</v>
      </c>
      <c r="AF810" t="inlineStr">
        <is>
          <t>Частичный период: дата агрегированной скидки не определена; скидка не добавлена к базе</t>
        </is>
      </c>
      <c r="AG810" t="n">
        <v>9307</v>
      </c>
      <c r="AH810" t="n">
        <v>9307</v>
      </c>
      <c r="AI810" t="inlineStr">
        <is>
          <t>Частичное проживание распределено по dailyRates; скидка без даты не восстановлена</t>
        </is>
      </c>
    </row>
    <row r="811">
      <c r="A811" t="inlineStr">
        <is>
          <t>20260908-8186-464325070</t>
        </is>
      </c>
      <c r="B811" t="n">
        <v>1</v>
      </c>
      <c r="C811" s="2" t="inlineStr">
        <is>
          <t>Роман Алеев</t>
        </is>
      </c>
      <c r="D811" s="3" t="n">
        <v>9307</v>
      </c>
      <c r="E811" s="4" t="n">
        <v>18</v>
      </c>
      <c r="F811" t="inlineStr">
        <is>
          <t>ООО "Эй энд Эй" [Чайковский]</t>
        </is>
      </c>
      <c r="G811" s="3">
        <f>ROUND(D811/(100-E811)*100,2)</f>
        <v/>
      </c>
      <c r="H811" s="3" t="n">
        <v>0</v>
      </c>
      <c r="I811" s="3">
        <f>ROUND(IF(ISNUMBER(AG811),AG811,G811)+H811,2)</f>
        <v/>
      </c>
      <c r="J811" s="2" t="inlineStr">
        <is>
          <t>Завтрак "Шведский стол"</t>
        </is>
      </c>
      <c r="K811" s="5" t="n">
        <v>46273.58333333334</v>
      </c>
      <c r="L811" t="n">
        <v>1</v>
      </c>
      <c r="M811" s="3">
        <f>I811/L811</f>
        <v/>
      </c>
      <c r="N811">
        <f>IF(M811&gt;=5100,"ставка","мин.ставка")</f>
        <v/>
      </c>
      <c r="O811" s="3">
        <f>ROUND(IF(N811="мин.ставка",L811*100,I811/102*2),2)</f>
        <v/>
      </c>
      <c r="P811" s="5" t="n">
        <v>46274.5</v>
      </c>
      <c r="Q811" t="inlineStr">
        <is>
          <t>TravelLine ANA</t>
        </is>
      </c>
      <c r="R811" s="2" t="inlineStr">
        <is>
          <t>СТАНДАРТНЫЙ ДВУХМЕСТНЫЙ НОМЕР</t>
        </is>
      </c>
      <c r="S811" t="n">
        <v>32</v>
      </c>
      <c r="T811" t="n">
        <v>1</v>
      </c>
      <c r="U811" t="inlineStr"/>
      <c r="V811" t="inlineStr">
        <is>
          <t>Тариф с завтраком</t>
        </is>
      </c>
      <c r="W811" t="n">
        <v>9307</v>
      </c>
      <c r="X811" s="3" t="n">
        <v>2043</v>
      </c>
      <c r="Y811" t="inlineStr">
        <is>
          <t>18%</t>
        </is>
      </c>
      <c r="Z811" t="inlineStr">
        <is>
          <t>2026-09-08</t>
        </is>
      </c>
      <c r="AA811" s="3" t="n">
        <v>9307</v>
      </c>
      <c r="AB811" t="inlineStr">
        <is>
          <t>Сошлось по ночным тарифам</t>
        </is>
      </c>
      <c r="AC811" s="2" t="inlineStr"/>
      <c r="AD811" t="n">
        <v>2043</v>
      </c>
      <c r="AE811" t="n">
        <v>0</v>
      </c>
      <c r="AF811" t="inlineStr">
        <is>
          <t>Скидка добавлена к налоговой базе</t>
        </is>
      </c>
      <c r="AG811" t="n">
        <v>11350</v>
      </c>
      <c r="AH811" t="n">
        <v>9307</v>
      </c>
      <c r="AI811" t="inlineStr">
        <is>
          <t>Полное проживание в выбранном периоде</t>
        </is>
      </c>
    </row>
    <row r="812">
      <c r="A812" t="inlineStr">
        <is>
          <t>20260909-8186-464775049</t>
        </is>
      </c>
      <c r="B812" t="n">
        <v>1</v>
      </c>
      <c r="C812" s="2" t="inlineStr">
        <is>
          <t>Роман Алеев</t>
        </is>
      </c>
      <c r="D812" s="3" t="n">
        <v>9307</v>
      </c>
      <c r="E812" s="4" t="n">
        <v>18</v>
      </c>
      <c r="F812" t="inlineStr">
        <is>
          <t>ООО "Эй энд Эй" [Чайковский]</t>
        </is>
      </c>
      <c r="G812" s="3">
        <f>ROUND(D812/(100-E812)*100,2)</f>
        <v/>
      </c>
      <c r="H812" s="3" t="n">
        <v>0</v>
      </c>
      <c r="I812" s="3">
        <f>ROUND(IF(ISNUMBER(AG812),AG812,G812)+H812,2)</f>
        <v/>
      </c>
      <c r="J812" s="2" t="inlineStr">
        <is>
          <t>Завтрак "Шведский стол"</t>
        </is>
      </c>
      <c r="K812" s="5" t="n">
        <v>46274.58333333334</v>
      </c>
      <c r="L812" t="n">
        <v>1</v>
      </c>
      <c r="M812" s="3">
        <f>I812/L812</f>
        <v/>
      </c>
      <c r="N812">
        <f>IF(M812&gt;=5100,"ставка","мин.ставка")</f>
        <v/>
      </c>
      <c r="O812" s="3">
        <f>ROUND(IF(N812="мин.ставка",L812*100,I812/102*2),2)</f>
        <v/>
      </c>
      <c r="P812" s="5" t="n">
        <v>46275.5</v>
      </c>
      <c r="Q812" t="inlineStr">
        <is>
          <t>TravelLine ANA</t>
        </is>
      </c>
      <c r="R812" s="2" t="inlineStr">
        <is>
          <t>СТАНДАРТНЫЙ ДВУХМЕСТНЫЙ НОМЕР</t>
        </is>
      </c>
      <c r="S812" t="n">
        <v>32</v>
      </c>
      <c r="T812" t="n">
        <v>1</v>
      </c>
      <c r="U812" t="inlineStr"/>
      <c r="V812" t="inlineStr">
        <is>
          <t>Тариф с завтраком</t>
        </is>
      </c>
      <c r="W812" t="n">
        <v>9307</v>
      </c>
      <c r="X812" s="3" t="n">
        <v>2043</v>
      </c>
      <c r="Y812" t="inlineStr">
        <is>
          <t>18%</t>
        </is>
      </c>
      <c r="Z812" t="inlineStr">
        <is>
          <t>2026-09-09</t>
        </is>
      </c>
      <c r="AA812" s="3" t="n">
        <v>9307</v>
      </c>
      <c r="AB812" t="inlineStr">
        <is>
          <t>Сошлось по ночным тарифам</t>
        </is>
      </c>
      <c r="AC812" s="2" t="inlineStr"/>
      <c r="AD812" t="n">
        <v>2043</v>
      </c>
      <c r="AE812" t="n">
        <v>0</v>
      </c>
      <c r="AF812" t="inlineStr">
        <is>
          <t>Скидка добавлена к налоговой базе</t>
        </is>
      </c>
      <c r="AG812" t="n">
        <v>11350</v>
      </c>
      <c r="AH812" t="n">
        <v>9307</v>
      </c>
      <c r="AI812" t="inlineStr">
        <is>
          <t>Полное проживание в выбранном периоде</t>
        </is>
      </c>
    </row>
    <row r="813">
      <c r="A813" t="inlineStr">
        <is>
          <t>20260729-8186-450751367</t>
        </is>
      </c>
      <c r="B813" t="n">
        <v>1</v>
      </c>
      <c r="C813" s="2" t="inlineStr">
        <is>
          <t>Роман Крайнов</t>
        </is>
      </c>
      <c r="D813" s="3" t="n">
        <v>53184.6</v>
      </c>
      <c r="E813" s="4" t="n">
        <v>4</v>
      </c>
      <c r="F813" t="inlineStr">
        <is>
          <t>TravelLine Booking Engine [Чайковский]</t>
        </is>
      </c>
      <c r="G813" s="3">
        <f>ROUND(D813/(100-E813)*100,2)</f>
        <v/>
      </c>
      <c r="H813" s="3" t="n">
        <v>0</v>
      </c>
      <c r="I813" s="3">
        <f>ROUND(IF(ISNUMBER(AG813),AG813,G813)+H813,2)</f>
        <v/>
      </c>
      <c r="J813" s="2" t="inlineStr">
        <is>
          <t>Завтрак "Шведский стол"</t>
        </is>
      </c>
      <c r="K813" s="5" t="n">
        <v>46232.58333333334</v>
      </c>
      <c r="L813" t="n">
        <v>4</v>
      </c>
      <c r="M813" s="3">
        <f>I813/L813</f>
        <v/>
      </c>
      <c r="N813">
        <f>IF(M813&gt;=5100,"ставка","мин.ставка")</f>
        <v/>
      </c>
      <c r="O813" s="3">
        <f>ROUND(IF(N813="мин.ставка",L813*100,I813/102*2),2)</f>
        <v/>
      </c>
      <c r="P813" s="5" t="n">
        <v>46236.5</v>
      </c>
      <c r="Q813" t="inlineStr">
        <is>
          <t>TravelLine сайт</t>
        </is>
      </c>
      <c r="R813" s="2" t="inlineStr">
        <is>
          <t>УЛУЧШЕННЫЙ ДВУХМЕСТНЫЙ НОМЕР</t>
        </is>
      </c>
      <c r="S813" t="n">
        <v>31</v>
      </c>
      <c r="T813" t="n">
        <v>1</v>
      </c>
      <c r="U813" t="inlineStr"/>
      <c r="V813" t="inlineStr">
        <is>
          <t>Тариф с завтраком</t>
        </is>
      </c>
      <c r="W813" t="n">
        <v>53184.6</v>
      </c>
      <c r="X813" s="3" t="n">
        <v>415.4</v>
      </c>
      <c r="Y813" t="inlineStr">
        <is>
          <t>3.1%</t>
        </is>
      </c>
      <c r="Z813" t="inlineStr">
        <is>
          <t>2026-07-29</t>
        </is>
      </c>
      <c r="AA813" s="3" t="n">
        <v>53184.6</v>
      </c>
      <c r="AB813" t="inlineStr">
        <is>
          <t>Сошлось по ночным тарифам</t>
        </is>
      </c>
      <c r="AC813" s="2" t="inlineStr"/>
      <c r="AD813" t="n">
        <v>415.4</v>
      </c>
      <c r="AE813" t="n">
        <v>0</v>
      </c>
      <c r="AF813" t="inlineStr">
        <is>
          <t>Скидка добавлена к налоговой базе</t>
        </is>
      </c>
      <c r="AG813" t="n">
        <v>53600</v>
      </c>
      <c r="AH813" t="n">
        <v>53184.6</v>
      </c>
      <c r="AI813" t="inlineStr">
        <is>
          <t>Полное проживание в выбранном периоде</t>
        </is>
      </c>
    </row>
    <row r="814">
      <c r="A814" t="inlineStr">
        <is>
          <t>20260913-8186-454223445</t>
        </is>
      </c>
      <c r="B814" t="n">
        <v>1</v>
      </c>
      <c r="C814" s="2" t="inlineStr">
        <is>
          <t>Роман Кучерявый, Елена Калюжная</t>
        </is>
      </c>
      <c r="D814" s="3" t="n">
        <v>68085</v>
      </c>
      <c r="E814" s="4" t="n">
        <v>0</v>
      </c>
      <c r="F814" t="inlineStr">
        <is>
          <t>ООО «ХОМЛИН ЛЭНД» (ПЕГАС) [Чайковский]</t>
        </is>
      </c>
      <c r="G814" s="3">
        <f>ROUND(D814/(100-E814)*100,2)</f>
        <v/>
      </c>
      <c r="H814" s="3" t="n">
        <v>0</v>
      </c>
      <c r="I814" s="3">
        <f>ROUND(IF(ISNUMBER(AG814),AG814,G814)+H814,2)</f>
        <v/>
      </c>
      <c r="J814" s="2" t="inlineStr">
        <is>
          <t>Завтрак "Шведский стол"</t>
        </is>
      </c>
      <c r="K814" s="5" t="n">
        <v>46278.58333333334</v>
      </c>
      <c r="L814" t="n">
        <v>6</v>
      </c>
      <c r="M814" s="3">
        <f>I814/L814</f>
        <v/>
      </c>
      <c r="N814">
        <f>IF(M814&gt;=5100,"ставка","мин.ставка")</f>
        <v/>
      </c>
      <c r="O814" s="3">
        <f>ROUND(IF(N814="мин.ставка",L814*100,I814/102*2),2)</f>
        <v/>
      </c>
      <c r="P814" s="5" t="n">
        <v>46284.5</v>
      </c>
      <c r="Q814" t="inlineStr">
        <is>
          <t>TravelLine PGS</t>
        </is>
      </c>
      <c r="R814" s="2" t="inlineStr">
        <is>
          <t>СТАНДАРТНЫЙ ДВУХМЕСТНЫЙ НОМЕР</t>
        </is>
      </c>
      <c r="S814" t="n">
        <v>26</v>
      </c>
      <c r="T814" t="n">
        <v>1</v>
      </c>
      <c r="U814" t="inlineStr"/>
      <c r="V814" t="inlineStr">
        <is>
          <t>Тариф с завтраком</t>
        </is>
      </c>
      <c r="W814" t="n">
        <v>68085</v>
      </c>
      <c r="X814" s="3" t="n">
        <v>12015</v>
      </c>
      <c r="Y814" t="inlineStr">
        <is>
          <t>15%</t>
        </is>
      </c>
      <c r="Z814" t="inlineStr">
        <is>
          <t>2026-09-13, 2026-09-14, 2026-09-15, 2026-09-16, 2026-09-17, 2026-09-18</t>
        </is>
      </c>
      <c r="AA814" s="3" t="n">
        <v>68085</v>
      </c>
      <c r="AB814" t="inlineStr">
        <is>
          <t>Сошлось по ночным тарифам</t>
        </is>
      </c>
      <c r="AC814" s="2" t="inlineStr"/>
      <c r="AD814" t="n">
        <v>12015</v>
      </c>
      <c r="AE814" t="n">
        <v>0</v>
      </c>
      <c r="AF814" t="inlineStr">
        <is>
          <t>Скидка добавлена к налоговой базе</t>
        </is>
      </c>
      <c r="AG814" t="n">
        <v>80100</v>
      </c>
      <c r="AH814" t="n">
        <v>68085</v>
      </c>
      <c r="AI814" t="inlineStr">
        <is>
          <t>Полное проживание в выбранном периоде</t>
        </is>
      </c>
    </row>
    <row r="815">
      <c r="A815" t="inlineStr">
        <is>
          <t>20260922-8186-467755700</t>
        </is>
      </c>
      <c r="B815" t="n">
        <v>1</v>
      </c>
      <c r="C815" s="2" t="inlineStr">
        <is>
          <t>Роман Маланичев</t>
        </is>
      </c>
      <c r="D815" s="3" t="n">
        <v>40200</v>
      </c>
      <c r="E815" s="4" t="n">
        <v>18</v>
      </c>
      <c r="F815" t="inlineStr">
        <is>
          <t>Яндекс.Путешествия [Чайковский]</t>
        </is>
      </c>
      <c r="G815" s="3">
        <f>ROUND(D815/(100-E815)*100,2)</f>
        <v/>
      </c>
      <c r="H815" s="3" t="n">
        <v>0</v>
      </c>
      <c r="I815" s="3">
        <f>ROUND(IF(ISNUMBER(AG815),AG815,G815)+H815,2)</f>
        <v/>
      </c>
      <c r="J815" s="2" t="inlineStr">
        <is>
          <t>Завтрак "Шведский стол"</t>
        </is>
      </c>
      <c r="K815" s="5" t="n">
        <v>46287.58333333334</v>
      </c>
      <c r="L815" t="n">
        <v>4</v>
      </c>
      <c r="M815" s="3">
        <f>I815/L815</f>
        <v/>
      </c>
      <c r="N815">
        <f>IF(M815&gt;=5100,"ставка","мин.ставка")</f>
        <v/>
      </c>
      <c r="O815" s="3">
        <f>ROUND(IF(N815="мин.ставка",L815*100,I815/102*2),2)</f>
        <v/>
      </c>
      <c r="P815" s="5" t="n">
        <v>46291.5</v>
      </c>
      <c r="Q815" t="inlineStr">
        <is>
          <t>TravelLine YAX</t>
        </is>
      </c>
      <c r="R815" s="2" t="inlineStr">
        <is>
          <t>УЛУЧШЕННЫЙ ДВУХМЕСТНЫЙ НОМЕР</t>
        </is>
      </c>
      <c r="S815" t="n">
        <v>31</v>
      </c>
      <c r="T815" t="n">
        <v>1</v>
      </c>
      <c r="U815" t="inlineStr"/>
      <c r="V815" t="inlineStr">
        <is>
          <t>Тариф с завтраком</t>
        </is>
      </c>
      <c r="W815" t="n">
        <v>40200</v>
      </c>
      <c r="X815" s="3" t="n">
        <v>13400</v>
      </c>
      <c r="Y815" t="inlineStr">
        <is>
          <t>25%</t>
        </is>
      </c>
      <c r="Z815" t="inlineStr">
        <is>
          <t>2026-09-22, 2026-09-23, 2026-09-24, 2026-09-25</t>
        </is>
      </c>
      <c r="AA815" s="3" t="n">
        <v>40200</v>
      </c>
      <c r="AB815" t="inlineStr">
        <is>
          <t>Сошлось по ночным тарифам</t>
        </is>
      </c>
      <c r="AC815" s="2" t="inlineStr"/>
      <c r="AD815" t="n">
        <v>13400</v>
      </c>
      <c r="AE815" t="n">
        <v>0</v>
      </c>
      <c r="AF815" t="inlineStr">
        <is>
          <t>Скидка добавлена к налоговой базе</t>
        </is>
      </c>
      <c r="AG815" t="n">
        <v>53600</v>
      </c>
      <c r="AH815" t="n">
        <v>40200</v>
      </c>
      <c r="AI815" t="inlineStr">
        <is>
          <t>Полное проживание в выбранном периоде</t>
        </is>
      </c>
    </row>
    <row r="816">
      <c r="A816" t="inlineStr">
        <is>
          <t>20260827-8186-461645701</t>
        </is>
      </c>
      <c r="B816" t="n">
        <v>1</v>
      </c>
      <c r="C816" s="2" t="inlineStr">
        <is>
          <t>Роман Новосельский, Анна Новосельская</t>
        </is>
      </c>
      <c r="D816" s="3" t="n">
        <v>26286.15</v>
      </c>
      <c r="E816" s="4" t="n">
        <v>4</v>
      </c>
      <c r="F816" t="inlineStr">
        <is>
          <t>TravelLine Booking Engine [Чайковский]</t>
        </is>
      </c>
      <c r="G816" s="3">
        <f>ROUND(D816/(100-E816)*100,2)</f>
        <v/>
      </c>
      <c r="H816" s="3" t="n">
        <v>0</v>
      </c>
      <c r="I816" s="3">
        <f>ROUND(IF(ISNUMBER(AG816),AG816,G816)+H816,2)</f>
        <v/>
      </c>
      <c r="J816" s="2" t="inlineStr">
        <is>
          <t>Завтрак "Шведский стол"</t>
        </is>
      </c>
      <c r="K816" s="5" t="n">
        <v>46261.58333333334</v>
      </c>
      <c r="L816" t="n">
        <v>2</v>
      </c>
      <c r="M816" s="3">
        <f>I816/L816</f>
        <v/>
      </c>
      <c r="N816">
        <f>IF(M816&gt;=5100,"ставка","мин.ставка")</f>
        <v/>
      </c>
      <c r="O816" s="3">
        <f>ROUND(IF(N816="мин.ставка",L816*100,I816/102*2),2)</f>
        <v/>
      </c>
      <c r="P816" s="5" t="n">
        <v>46263.5</v>
      </c>
      <c r="Q816" t="inlineStr">
        <is>
          <t>TravelLine сайт</t>
        </is>
      </c>
      <c r="R816" s="2" t="inlineStr">
        <is>
          <t>СТАНДАРТНЫЙ ДВУХМЕСТНЫЙ НОМЕР</t>
        </is>
      </c>
      <c r="S816" t="n">
        <v>33</v>
      </c>
      <c r="T816" t="n">
        <v>1</v>
      </c>
      <c r="U816" t="inlineStr"/>
      <c r="V816" t="inlineStr">
        <is>
          <t>Тариф с завтраком</t>
        </is>
      </c>
      <c r="W816" t="n">
        <v>48634.3</v>
      </c>
      <c r="X816" s="3" t="n">
        <v>413.85</v>
      </c>
      <c r="Y816" t="inlineStr">
        <is>
          <t>3.1%</t>
        </is>
      </c>
      <c r="Z816" t="inlineStr">
        <is>
          <t>2026-08-27</t>
        </is>
      </c>
      <c r="AA816" s="3" t="n">
        <v>26286.15</v>
      </c>
      <c r="AB816" t="inlineStr">
        <is>
          <t>Сошлось по ночным тарифам</t>
        </is>
      </c>
      <c r="AC816" s="2" t="inlineStr"/>
      <c r="AD816" t="n">
        <v>413.85</v>
      </c>
      <c r="AE816" t="n">
        <v>0</v>
      </c>
      <c r="AF816" t="inlineStr">
        <is>
          <t>Скидка добавлена к налоговой базе</t>
        </is>
      </c>
      <c r="AG816" t="n">
        <v>26700</v>
      </c>
      <c r="AH816" t="n">
        <v>26286.15</v>
      </c>
      <c r="AI816" t="inlineStr">
        <is>
          <t>Полное проживание в выбранном периоде</t>
        </is>
      </c>
    </row>
    <row r="817">
      <c r="A817" t="inlineStr">
        <is>
          <t>20260701-8186-442331632</t>
        </is>
      </c>
      <c r="B817" t="n">
        <v>1</v>
      </c>
      <c r="C817" s="2" t="inlineStr">
        <is>
          <t>РОМАН СЕМЕНОВ, НАТАЛИЯ СЕМЕНЮК</t>
        </is>
      </c>
      <c r="D817" s="3" t="n">
        <v>13350</v>
      </c>
      <c r="E817" s="4" t="n">
        <v>0</v>
      </c>
      <c r="F817" t="inlineStr">
        <is>
          <t>Прямые бронирования (стойка) [Чайковский]</t>
        </is>
      </c>
      <c r="G817" s="3">
        <f>ROUND(D817/(100-E817)*100,2)</f>
        <v/>
      </c>
      <c r="H817" s="3" t="n">
        <v>0</v>
      </c>
      <c r="I817" s="3">
        <f>ROUND(IF(ISNUMBER(AG817),AG817,G817)+H817,2)</f>
        <v/>
      </c>
      <c r="J817" s="2" t="inlineStr">
        <is>
          <t>Завтрак "Шведский стол"</t>
        </is>
      </c>
      <c r="K817" s="5" t="n">
        <v>46204.58333333334</v>
      </c>
      <c r="L817" t="n">
        <v>1</v>
      </c>
      <c r="M817" s="3">
        <f>I817/L817</f>
        <v/>
      </c>
      <c r="N817">
        <f>IF(M817&gt;=5100,"ставка","мин.ставка")</f>
        <v/>
      </c>
      <c r="O817" s="3">
        <f>ROUND(IF(N817="мин.ставка",L817*100,I817/102*2),2)</f>
        <v/>
      </c>
      <c r="P817" s="5" t="n">
        <v>46205.5</v>
      </c>
      <c r="Q817" t="inlineStr">
        <is>
          <t>TravelLine ресепшен</t>
        </is>
      </c>
      <c r="R817" s="2" t="inlineStr">
        <is>
          <t>СТАНДАРТНЫЙ ДВУХМЕСТНЫЙ НОМЕР</t>
        </is>
      </c>
      <c r="S817" t="n">
        <v>26</v>
      </c>
      <c r="T817" t="n">
        <v>1</v>
      </c>
      <c r="U817" t="inlineStr"/>
      <c r="V817" t="inlineStr">
        <is>
          <t>Тариф с завтраком</t>
        </is>
      </c>
      <c r="W817" t="n">
        <v>13350</v>
      </c>
      <c r="X817" s="3" t="n">
        <v>0</v>
      </c>
      <c r="Y817" t="inlineStr"/>
      <c r="Z817" t="inlineStr"/>
      <c r="AA817" s="3" t="n">
        <v>13350</v>
      </c>
      <c r="AB817" t="inlineStr">
        <is>
          <t>Сошлось по ночным тарифам</t>
        </is>
      </c>
      <c r="AC817" s="2" t="inlineStr"/>
      <c r="AD817" t="n">
        <v>0</v>
      </c>
      <c r="AE817" t="n">
        <v>0</v>
      </c>
      <c r="AF817" t="inlineStr">
        <is>
          <t>Скидки нет</t>
        </is>
      </c>
      <c r="AG817" t="n">
        <v>13350</v>
      </c>
      <c r="AH817" t="n">
        <v>13350</v>
      </c>
      <c r="AI817" t="inlineStr">
        <is>
          <t>Полное проживание в выбранном периоде</t>
        </is>
      </c>
    </row>
    <row r="818">
      <c r="A818" t="inlineStr">
        <is>
          <t>20260910-8186-464069556</t>
        </is>
      </c>
      <c r="B818" t="n">
        <v>1</v>
      </c>
      <c r="C818" s="2" t="inlineStr">
        <is>
          <t>Роман Солодовник, НАТАЛЬЯ Солодовник</t>
        </is>
      </c>
      <c r="D818" s="3" t="n">
        <v>13695</v>
      </c>
      <c r="E818" s="4" t="n">
        <v>17</v>
      </c>
      <c r="F818" t="inlineStr">
        <is>
          <t>ООО «Интернет Трэвел» (OZON) [Чайковский]</t>
        </is>
      </c>
      <c r="G818" s="3">
        <f>ROUND(D818/(100-E818)*100,2)</f>
        <v/>
      </c>
      <c r="H818" s="3" t="n">
        <v>0</v>
      </c>
      <c r="I818" s="3">
        <f>ROUND(IF(ISNUMBER(AG818),AG818,G818)+H818,2)</f>
        <v/>
      </c>
      <c r="J818" s="2" t="inlineStr">
        <is>
          <t>Завтрак "Шведский стол"</t>
        </is>
      </c>
      <c r="K818" s="5" t="n">
        <v>46275.58333333334</v>
      </c>
      <c r="L818" t="n">
        <v>1</v>
      </c>
      <c r="M818" s="3">
        <f>I818/L818</f>
        <v/>
      </c>
      <c r="N818">
        <f>IF(M818&gt;=5100,"ставка","мин.ставка")</f>
        <v/>
      </c>
      <c r="O818" s="3">
        <f>ROUND(IF(N818="мин.ставка",L818*100,I818/102*2),2)</f>
        <v/>
      </c>
      <c r="P818" s="5" t="n">
        <v>46276.5</v>
      </c>
      <c r="Q818" t="inlineStr">
        <is>
          <t>TravelLine OZ2</t>
        </is>
      </c>
      <c r="R818" s="2" t="inlineStr">
        <is>
          <t>ПОЛУЛЮКС</t>
        </is>
      </c>
      <c r="S818" t="n">
        <v>11</v>
      </c>
      <c r="T818" t="n">
        <v>1</v>
      </c>
      <c r="U818" t="inlineStr"/>
      <c r="V818" t="inlineStr">
        <is>
          <t>Тариф с завтраком</t>
        </is>
      </c>
      <c r="W818" t="n">
        <v>13695</v>
      </c>
      <c r="X818" s="3" t="n">
        <v>2805</v>
      </c>
      <c r="Y818" t="inlineStr">
        <is>
          <t>17%</t>
        </is>
      </c>
      <c r="Z818" t="inlineStr">
        <is>
          <t>2026-09-10</t>
        </is>
      </c>
      <c r="AA818" s="3" t="n">
        <v>13695</v>
      </c>
      <c r="AB818" t="inlineStr">
        <is>
          <t>Сошлось по ночным тарифам</t>
        </is>
      </c>
      <c r="AC818" s="2" t="inlineStr"/>
      <c r="AD818" t="n">
        <v>2805</v>
      </c>
      <c r="AE818" t="n">
        <v>0</v>
      </c>
      <c r="AF818" t="inlineStr">
        <is>
          <t>Скидка добавлена к налоговой базе</t>
        </is>
      </c>
      <c r="AG818" t="n">
        <v>16500</v>
      </c>
      <c r="AH818" t="n">
        <v>13695</v>
      </c>
      <c r="AI818" t="inlineStr">
        <is>
          <t>Полное проживание в выбранном периоде</t>
        </is>
      </c>
    </row>
    <row r="819">
      <c r="A819" t="inlineStr">
        <is>
          <t>20260818-8186-443505889</t>
        </is>
      </c>
      <c r="B819" t="n">
        <v>1</v>
      </c>
      <c r="C819" s="2" t="inlineStr">
        <is>
          <t>Роман Федотов</t>
        </is>
      </c>
      <c r="D819" s="3" t="n">
        <v>64080</v>
      </c>
      <c r="E819" s="4" t="n">
        <v>18</v>
      </c>
      <c r="F819" t="inlineStr">
        <is>
          <t>Яндекс.Путешествия [Чайковский]</t>
        </is>
      </c>
      <c r="G819" s="3">
        <f>ROUND(D819/(100-E819)*100,2)</f>
        <v/>
      </c>
      <c r="H819" s="3" t="n">
        <v>0</v>
      </c>
      <c r="I819" s="3">
        <f>ROUND(IF(ISNUMBER(AG819),AG819,G819)+H819,2)</f>
        <v/>
      </c>
      <c r="J819" s="2" t="inlineStr">
        <is>
          <t>Завтрак "Шведский стол"</t>
        </is>
      </c>
      <c r="K819" s="5" t="n">
        <v>46252.58333333334</v>
      </c>
      <c r="L819" t="n">
        <v>6</v>
      </c>
      <c r="M819" s="3">
        <f>I819/L819</f>
        <v/>
      </c>
      <c r="N819">
        <f>IF(M819&gt;=5100,"ставка","мин.ставка")</f>
        <v/>
      </c>
      <c r="O819" s="3">
        <f>ROUND(IF(N819="мин.ставка",L819*100,I819/102*2),2)</f>
        <v/>
      </c>
      <c r="P819" s="5" t="n">
        <v>46258.5</v>
      </c>
      <c r="Q819" t="inlineStr">
        <is>
          <t>TravelLine YAX</t>
        </is>
      </c>
      <c r="R819" s="2" t="inlineStr">
        <is>
          <t>СТАНДАРТНЫЙ ДВУХМЕСТНЫЙ НОМЕР</t>
        </is>
      </c>
      <c r="S819" t="n">
        <v>52</v>
      </c>
      <c r="T819" t="n">
        <v>2</v>
      </c>
      <c r="U819" t="inlineStr"/>
      <c r="V819" t="inlineStr">
        <is>
          <t>Тариф с завтраком</t>
        </is>
      </c>
      <c r="W819" t="n">
        <v>118560</v>
      </c>
      <c r="X819" s="3" t="n">
        <v>16020</v>
      </c>
      <c r="Y819" t="inlineStr">
        <is>
          <t>20%</t>
        </is>
      </c>
      <c r="Z819" t="inlineStr">
        <is>
          <t>2026-08-18, 2026-08-19, 2026-08-20, 2026-08-21, 2026-08-22, 2026-08-23</t>
        </is>
      </c>
      <c r="AA819" s="3" t="n">
        <v>64080</v>
      </c>
      <c r="AB819" t="inlineStr">
        <is>
          <t>Сошлось по ночным тарифам</t>
        </is>
      </c>
      <c r="AC819" s="2" t="inlineStr"/>
      <c r="AD819" t="n">
        <v>16020</v>
      </c>
      <c r="AE819" t="n">
        <v>0</v>
      </c>
      <c r="AF819" t="inlineStr">
        <is>
          <t>Скидка добавлена к налоговой базе</t>
        </is>
      </c>
      <c r="AG819" t="n">
        <v>80100</v>
      </c>
      <c r="AH819" t="n">
        <v>64080</v>
      </c>
      <c r="AI819" t="inlineStr">
        <is>
          <t>Полное проживание в выбранном периоде</t>
        </is>
      </c>
    </row>
    <row r="820">
      <c r="A820" t="inlineStr">
        <is>
          <t>20260712-8186-444317307</t>
        </is>
      </c>
      <c r="B820" t="n">
        <v>1</v>
      </c>
      <c r="C820" s="2" t="inlineStr">
        <is>
          <t>РОМАН ХРОМЦОВ, Анна Курносова</t>
        </is>
      </c>
      <c r="D820" s="3" t="n">
        <v>9080</v>
      </c>
      <c r="E820" s="4" t="n">
        <v>20</v>
      </c>
      <c r="F820" t="inlineStr">
        <is>
          <t>ООО "КОМПАНИЯ БРОНЕВИК" [Чайковский]</t>
        </is>
      </c>
      <c r="G820" s="3">
        <f>ROUND(D820/(100-E820)*100,2)</f>
        <v/>
      </c>
      <c r="H820" s="3" t="n">
        <v>2000</v>
      </c>
      <c r="I820" s="3">
        <f>ROUND(IF(ISNUMBER(AG820),AG820,G820)+H820,2)</f>
        <v/>
      </c>
      <c r="J820" s="2" t="inlineStr">
        <is>
          <t>продление номера — 2 000,00 ₽; Завтрак "Шведский стол"</t>
        </is>
      </c>
      <c r="K820" s="5" t="n">
        <v>46215.58333333334</v>
      </c>
      <c r="L820" t="n">
        <v>1</v>
      </c>
      <c r="M820" s="3">
        <f>I820/L820</f>
        <v/>
      </c>
      <c r="N820">
        <f>IF(M820&gt;=5100,"ставка","мин.ставка")</f>
        <v/>
      </c>
      <c r="O820" s="3">
        <f>ROUND(IF(N820="мин.ставка",L820*100,I820/102*2),2)</f>
        <v/>
      </c>
      <c r="P820" s="5" t="n">
        <v>46216.5</v>
      </c>
      <c r="Q820" t="inlineStr">
        <is>
          <t>TravelLine BR2</t>
        </is>
      </c>
      <c r="R820" s="2" t="inlineStr">
        <is>
          <t>СТАНДАРТНЫЙ ДВУХМЕСТНЫЙ НОМЕР</t>
        </is>
      </c>
      <c r="S820" t="n">
        <v>23</v>
      </c>
      <c r="T820" t="n">
        <v>1</v>
      </c>
      <c r="U820" t="inlineStr"/>
      <c r="V820" t="inlineStr">
        <is>
          <t>Тариф с завтраком</t>
        </is>
      </c>
      <c r="W820" t="n">
        <v>11080</v>
      </c>
      <c r="X820" s="3" t="n">
        <v>0</v>
      </c>
      <c r="Y820" t="inlineStr"/>
      <c r="Z820" t="inlineStr"/>
      <c r="AA820" s="3" t="n">
        <v>9080</v>
      </c>
      <c r="AB820" t="inlineStr">
        <is>
          <t>Сошлось с услугами</t>
        </is>
      </c>
      <c r="AC820" s="2" t="inlineStr"/>
      <c r="AD820" t="n">
        <v>0</v>
      </c>
      <c r="AE820" t="n">
        <v>0</v>
      </c>
      <c r="AF820" t="inlineStr">
        <is>
          <t>Скидки нет</t>
        </is>
      </c>
      <c r="AG820" t="n">
        <v>9080</v>
      </c>
      <c r="AH820" t="n">
        <v>9080</v>
      </c>
      <c r="AI820" t="inlineStr">
        <is>
          <t>Полное проживание в выбранном периоде</t>
        </is>
      </c>
    </row>
    <row r="821">
      <c r="A821" t="inlineStr">
        <is>
          <t>20260717-8186-434712508</t>
        </is>
      </c>
      <c r="B821" t="n">
        <v>1</v>
      </c>
      <c r="C821" s="2" t="inlineStr">
        <is>
          <t>РОМАН ЧЕРНЫЙ, София Швеина</t>
        </is>
      </c>
      <c r="D821" s="3" t="n">
        <v>16500</v>
      </c>
      <c r="E821" s="4" t="n">
        <v>0</v>
      </c>
      <c r="F821" t="inlineStr">
        <is>
          <t>Прямые бронирования (стойка) [Чайковский]</t>
        </is>
      </c>
      <c r="G821" s="3">
        <f>ROUND(D821/(100-E821)*100,2)</f>
        <v/>
      </c>
      <c r="H821" s="3" t="n">
        <v>0</v>
      </c>
      <c r="I821" s="3">
        <f>ROUND(IF(ISNUMBER(AG821),AG821,G821)+H821,2)</f>
        <v/>
      </c>
      <c r="J821" s="2" t="inlineStr">
        <is>
          <t>Завтрак "Шведский стол"</t>
        </is>
      </c>
      <c r="K821" s="5" t="n">
        <v>46220.58333333334</v>
      </c>
      <c r="L821" t="n">
        <v>1</v>
      </c>
      <c r="M821" s="3">
        <f>I821/L821</f>
        <v/>
      </c>
      <c r="N821">
        <f>IF(M821&gt;=5100,"ставка","мин.ставка")</f>
        <v/>
      </c>
      <c r="O821" s="3">
        <f>ROUND(IF(N821="мин.ставка",L821*100,I821/102*2),2)</f>
        <v/>
      </c>
      <c r="P821" s="5" t="n">
        <v>46221.5</v>
      </c>
      <c r="Q821" t="inlineStr">
        <is>
          <t>TravelLine ресепшен</t>
        </is>
      </c>
      <c r="R821" s="2" t="inlineStr">
        <is>
          <t>ПОЛУЛЮКС</t>
        </is>
      </c>
      <c r="S821" t="n">
        <v>11</v>
      </c>
      <c r="T821" t="n">
        <v>1</v>
      </c>
      <c r="U821" t="inlineStr"/>
      <c r="V821" t="inlineStr">
        <is>
          <t>Тариф с завтраком</t>
        </is>
      </c>
      <c r="W821" t="n">
        <v>16500</v>
      </c>
      <c r="X821" s="3" t="n">
        <v>0</v>
      </c>
      <c r="Y821" t="inlineStr"/>
      <c r="Z821" t="inlineStr"/>
      <c r="AA821" s="3" t="n">
        <v>16500</v>
      </c>
      <c r="AB821" t="inlineStr">
        <is>
          <t>Сошлось по ночным тарифам</t>
        </is>
      </c>
      <c r="AC821" s="2" t="inlineStr"/>
      <c r="AD821" t="n">
        <v>0</v>
      </c>
      <c r="AE821" t="n">
        <v>0</v>
      </c>
      <c r="AF821" t="inlineStr">
        <is>
          <t>Скидки нет</t>
        </is>
      </c>
      <c r="AG821" t="n">
        <v>16500</v>
      </c>
      <c r="AH821" t="n">
        <v>16500</v>
      </c>
      <c r="AI821" t="inlineStr">
        <is>
          <t>Полное проживание в выбранном периоде</t>
        </is>
      </c>
    </row>
    <row r="822">
      <c r="A822" t="inlineStr">
        <is>
          <t>20260811-8186-457112074</t>
        </is>
      </c>
      <c r="B822" t="n">
        <v>1</v>
      </c>
      <c r="C822" s="2" t="inlineStr">
        <is>
          <t>Рузания Ильясова</t>
        </is>
      </c>
      <c r="D822" s="3" t="n">
        <v>26228</v>
      </c>
      <c r="E822" s="4" t="n">
        <v>17</v>
      </c>
      <c r="F822" t="inlineStr">
        <is>
          <t>ООО «Интернет Трэвел» (OZON) [Чайковский]</t>
        </is>
      </c>
      <c r="G822" s="3">
        <f>ROUND(D822/(100-E822)*100,2)</f>
        <v/>
      </c>
      <c r="H822" s="3" t="n">
        <v>0</v>
      </c>
      <c r="I822" s="3">
        <f>ROUND(IF(ISNUMBER(AG822),AG822,G822)+H822,2)</f>
        <v/>
      </c>
      <c r="J822" s="2" t="inlineStr">
        <is>
          <t>Завтрак "Шведский стол"</t>
        </is>
      </c>
      <c r="K822" s="5" t="n">
        <v>46245.58333333334</v>
      </c>
      <c r="L822" t="n">
        <v>2</v>
      </c>
      <c r="M822" s="3">
        <f>I822/L822</f>
        <v/>
      </c>
      <c r="N822">
        <f>IF(M822&gt;=5100,"ставка","мин.ставка")</f>
        <v/>
      </c>
      <c r="O822" s="3">
        <f>ROUND(IF(N822="мин.ставка",L822*100,I822/102*2),2)</f>
        <v/>
      </c>
      <c r="P822" s="5" t="n">
        <v>46247.5</v>
      </c>
      <c r="Q822" t="inlineStr">
        <is>
          <t>TravelLine OZ2</t>
        </is>
      </c>
      <c r="R822" s="2" t="inlineStr">
        <is>
          <t>ЛЮКС ВТОРОЙ КОРПУС</t>
        </is>
      </c>
      <c r="S822" t="n">
        <v>53</v>
      </c>
      <c r="T822" t="n">
        <v>2</v>
      </c>
      <c r="U822" t="inlineStr"/>
      <c r="V822" t="inlineStr">
        <is>
          <t>Тариф с завтраком</t>
        </is>
      </c>
      <c r="W822" t="n">
        <v>26228</v>
      </c>
      <c r="X822" s="3" t="n">
        <v>5372</v>
      </c>
      <c r="Y822" t="inlineStr">
        <is>
          <t>17%</t>
        </is>
      </c>
      <c r="Z822" t="inlineStr">
        <is>
          <t>2026-08-11, 2026-08-12</t>
        </is>
      </c>
      <c r="AA822" s="3" t="n">
        <v>26228</v>
      </c>
      <c r="AB822" t="inlineStr">
        <is>
          <t>Сошлось по ночным тарифам</t>
        </is>
      </c>
      <c r="AC822" s="2" t="inlineStr"/>
      <c r="AD822" t="n">
        <v>5372</v>
      </c>
      <c r="AE822" t="n">
        <v>0</v>
      </c>
      <c r="AF822" t="inlineStr">
        <is>
          <t>Скидка добавлена к налоговой базе</t>
        </is>
      </c>
      <c r="AG822" t="n">
        <v>31600</v>
      </c>
      <c r="AH822" t="n">
        <v>26228</v>
      </c>
      <c r="AI822" t="inlineStr">
        <is>
          <t>Полное проживание в выбранном периоде</t>
        </is>
      </c>
    </row>
    <row r="823">
      <c r="A823" t="inlineStr">
        <is>
          <t>20260819-8186-459377986</t>
        </is>
      </c>
      <c r="B823" t="n">
        <v>1</v>
      </c>
      <c r="C823" s="2" t="inlineStr">
        <is>
          <t>Руслан Балабушко, Марина Балабушко</t>
        </is>
      </c>
      <c r="D823" s="3" t="n">
        <v>21976</v>
      </c>
      <c r="E823" s="4" t="n">
        <v>18</v>
      </c>
      <c r="F823" t="inlineStr">
        <is>
          <t>ООО "Эй энд Эй" [Чайковский]</t>
        </is>
      </c>
      <c r="G823" s="3">
        <f>ROUND(D823/(100-E823)*100,2)</f>
        <v/>
      </c>
      <c r="H823" s="3" t="n">
        <v>4000</v>
      </c>
      <c r="I823" s="3">
        <f>ROUND(IF(ISNUMBER(AG823),AG823,G823)+H823,2)</f>
        <v/>
      </c>
      <c r="J823" s="2" t="inlineStr">
        <is>
          <t>продление номера — 4 000,00 ₽; Завтрак "Шведский стол"</t>
        </is>
      </c>
      <c r="K823" s="5" t="n">
        <v>46253.58333333334</v>
      </c>
      <c r="L823" t="n">
        <v>2</v>
      </c>
      <c r="M823" s="3">
        <f>I823/L823</f>
        <v/>
      </c>
      <c r="N823">
        <f>IF(M823&gt;=5100,"ставка","мин.ставка")</f>
        <v/>
      </c>
      <c r="O823" s="3">
        <f>ROUND(IF(N823="мин.ставка",L823*100,I823/102*2),2)</f>
        <v/>
      </c>
      <c r="P823" s="5" t="n">
        <v>46255.5</v>
      </c>
      <c r="Q823" t="inlineStr">
        <is>
          <t>TravelLine ANA</t>
        </is>
      </c>
      <c r="R823" s="2" t="inlineStr">
        <is>
          <t>УЛУЧШЕННЫЙ ДВУХМЕСТНЫЙ НОМЕР</t>
        </is>
      </c>
      <c r="S823" t="n">
        <v>56</v>
      </c>
      <c r="T823" t="n">
        <v>2</v>
      </c>
      <c r="U823" t="inlineStr"/>
      <c r="V823" t="inlineStr">
        <is>
          <t>Тариф с завтраком</t>
        </is>
      </c>
      <c r="W823" t="n">
        <v>25976</v>
      </c>
      <c r="X823" s="3" t="n">
        <v>4824</v>
      </c>
      <c r="Y823" t="inlineStr">
        <is>
          <t>18%</t>
        </is>
      </c>
      <c r="Z823" t="inlineStr">
        <is>
          <t>2026-08-19, 2026-08-20</t>
        </is>
      </c>
      <c r="AA823" s="3" t="n">
        <v>21976</v>
      </c>
      <c r="AB823" t="inlineStr">
        <is>
          <t>Сошлось с услугами</t>
        </is>
      </c>
      <c r="AC823" s="2" t="inlineStr"/>
      <c r="AD823" t="n">
        <v>4824</v>
      </c>
      <c r="AE823" t="n">
        <v>0</v>
      </c>
      <c r="AF823" t="inlineStr">
        <is>
          <t>Скидка добавлена к налоговой базе</t>
        </is>
      </c>
      <c r="AG823" t="n">
        <v>26800</v>
      </c>
      <c r="AH823" t="n">
        <v>21976</v>
      </c>
      <c r="AI823" t="inlineStr">
        <is>
          <t>Полное проживание в выбранном периоде</t>
        </is>
      </c>
    </row>
    <row r="824">
      <c r="A824" t="inlineStr">
        <is>
          <t>20260906-8186-464177351</t>
        </is>
      </c>
      <c r="B824" t="n">
        <v>1</v>
      </c>
      <c r="C824" s="2" t="inlineStr">
        <is>
          <t>Руслан Мустафаев</t>
        </is>
      </c>
      <c r="D824" s="3" t="n">
        <v>15400</v>
      </c>
      <c r="E824" s="4" t="n">
        <v>0</v>
      </c>
      <c r="F824" t="inlineStr">
        <is>
          <t>Прямые бронирования (стойка) [Чайковский]</t>
        </is>
      </c>
      <c r="G824" s="3">
        <f>ROUND(D824/(100-E824)*100,2)</f>
        <v/>
      </c>
      <c r="H824" s="3" t="n">
        <v>0</v>
      </c>
      <c r="I824" s="3">
        <f>ROUND(IF(ISNUMBER(AG824),AG824,G824)+H824,2)</f>
        <v/>
      </c>
      <c r="J824" s="2" t="inlineStr">
        <is>
          <t>Завтрак "Шведский стол"</t>
        </is>
      </c>
      <c r="K824" s="5" t="n">
        <v>46271.58333333334</v>
      </c>
      <c r="L824" t="n">
        <v>1</v>
      </c>
      <c r="M824" s="3">
        <f>I824/L824</f>
        <v/>
      </c>
      <c r="N824">
        <f>IF(M824&gt;=5100,"ставка","мин.ставка")</f>
        <v/>
      </c>
      <c r="O824" s="3">
        <f>ROUND(IF(N824="мин.ставка",L824*100,I824/102*2),2)</f>
        <v/>
      </c>
      <c r="P824" s="5" t="n">
        <v>46272.5</v>
      </c>
      <c r="Q824" t="inlineStr">
        <is>
          <t>TravelLine ресепшен</t>
        </is>
      </c>
      <c r="R824" s="2" t="inlineStr">
        <is>
          <t>УЛУЧШЕННЫЙ ДВУХМЕСТНЫЙ НОМЕР</t>
        </is>
      </c>
      <c r="S824" t="n">
        <v>59</v>
      </c>
      <c r="T824" t="n">
        <v>2</v>
      </c>
      <c r="U824" t="inlineStr"/>
      <c r="V824" t="inlineStr">
        <is>
          <t>Тариф с завтраком</t>
        </is>
      </c>
      <c r="W824" t="n">
        <v>15400</v>
      </c>
      <c r="X824" s="3" t="n">
        <v>0</v>
      </c>
      <c r="Y824" t="inlineStr"/>
      <c r="Z824" t="inlineStr"/>
      <c r="AA824" s="3" t="n">
        <v>15400</v>
      </c>
      <c r="AB824" t="inlineStr">
        <is>
          <t>Сошлось по ночным тарифам</t>
        </is>
      </c>
      <c r="AC824" s="2" t="inlineStr"/>
      <c r="AD824" t="n">
        <v>0</v>
      </c>
      <c r="AE824" t="n">
        <v>0</v>
      </c>
      <c r="AF824" t="inlineStr">
        <is>
          <t>Скидки нет</t>
        </is>
      </c>
      <c r="AG824" t="n">
        <v>15400</v>
      </c>
      <c r="AH824" t="n">
        <v>15400</v>
      </c>
      <c r="AI824" t="inlineStr">
        <is>
          <t>Полное проживание в выбранном периоде</t>
        </is>
      </c>
    </row>
    <row r="825">
      <c r="A825" t="inlineStr">
        <is>
          <t>20260808-8186-453192486</t>
        </is>
      </c>
      <c r="B825" t="n">
        <v>1</v>
      </c>
      <c r="C825" s="2" t="inlineStr">
        <is>
          <t>Руслан Хабибуллин, Марина Хабибуллина</t>
        </is>
      </c>
      <c r="D825" s="3" t="n">
        <v>33660</v>
      </c>
      <c r="E825" s="4" t="n">
        <v>0</v>
      </c>
      <c r="F825" t="inlineStr">
        <is>
          <t>ООО «ХОМЛИН ЛЭНД» (ПЕГАС) [Чайковский]</t>
        </is>
      </c>
      <c r="G825" s="3">
        <f>ROUND(D825/(100-E825)*100,2)</f>
        <v/>
      </c>
      <c r="H825" s="3" t="n">
        <v>0</v>
      </c>
      <c r="I825" s="3">
        <f>ROUND(IF(ISNUMBER(AG825),AG825,G825)+H825,2)</f>
        <v/>
      </c>
      <c r="J825" s="2" t="inlineStr">
        <is>
          <t>Завтрак "Шведский стол"</t>
        </is>
      </c>
      <c r="K825" s="5" t="n">
        <v>46242.58333333334</v>
      </c>
      <c r="L825" t="n">
        <v>4</v>
      </c>
      <c r="M825" s="3">
        <f>I825/L825</f>
        <v/>
      </c>
      <c r="N825">
        <f>IF(M825&gt;=5100,"ставка","мин.ставка")</f>
        <v/>
      </c>
      <c r="O825" s="3">
        <f>ROUND(IF(N825="мин.ставка",L825*100,I825/102*2),2)</f>
        <v/>
      </c>
      <c r="P825" s="5" t="n">
        <v>46246.5</v>
      </c>
      <c r="Q825" t="inlineStr">
        <is>
          <t>TravelLine PGS</t>
        </is>
      </c>
      <c r="R825" s="2" t="inlineStr">
        <is>
          <t>СТАНДАРТНЫЙ ДВУХМЕСТНЫЙ НОМЕР (МАНСАРДА)</t>
        </is>
      </c>
      <c r="S825" t="n">
        <v>41</v>
      </c>
      <c r="T825" t="n">
        <v>1</v>
      </c>
      <c r="U825" t="inlineStr"/>
      <c r="V825" t="inlineStr">
        <is>
          <t>Тариф с завтраком</t>
        </is>
      </c>
      <c r="W825" t="n">
        <v>33660</v>
      </c>
      <c r="X825" s="3" t="n">
        <v>5940</v>
      </c>
      <c r="Y825" t="inlineStr">
        <is>
          <t>15%</t>
        </is>
      </c>
      <c r="Z825" t="inlineStr">
        <is>
          <t>2026-08-08, 2026-08-09, 2026-08-10, 2026-08-11</t>
        </is>
      </c>
      <c r="AA825" s="3" t="n">
        <v>33660</v>
      </c>
      <c r="AB825" t="inlineStr">
        <is>
          <t>Сошлось по ночным тарифам</t>
        </is>
      </c>
      <c r="AC825" s="2" t="inlineStr"/>
      <c r="AD825" t="n">
        <v>5940</v>
      </c>
      <c r="AE825" t="n">
        <v>0</v>
      </c>
      <c r="AF825" t="inlineStr">
        <is>
          <t>Скидка добавлена к налоговой базе</t>
        </is>
      </c>
      <c r="AG825" t="n">
        <v>39600</v>
      </c>
      <c r="AH825" t="n">
        <v>33660</v>
      </c>
      <c r="AI825" t="inlineStr">
        <is>
          <t>Полное проживание в выбранном периоде</t>
        </is>
      </c>
    </row>
    <row r="826">
      <c r="A826" t="inlineStr">
        <is>
          <t>20260810-8186-457351716</t>
        </is>
      </c>
      <c r="B826" t="n">
        <v>1</v>
      </c>
      <c r="C826" s="2" t="inlineStr">
        <is>
          <t>РУФИНА ШАКИРОВА</t>
        </is>
      </c>
      <c r="D826" s="3" t="n">
        <v>8900</v>
      </c>
      <c r="E826" s="4" t="n">
        <v>0</v>
      </c>
      <c r="F826" t="inlineStr">
        <is>
          <t>Прямые бронирования (стойка) [Чайковский]</t>
        </is>
      </c>
      <c r="G826" s="3">
        <f>ROUND(D826/(100-E826)*100,2)</f>
        <v/>
      </c>
      <c r="H826" s="3" t="n">
        <v>0</v>
      </c>
      <c r="I826" s="3">
        <f>ROUND(IF(ISNUMBER(AG826),AG826,G826)+H826,2)</f>
        <v/>
      </c>
      <c r="J826" s="2" t="inlineStr">
        <is>
          <t>Завтрак "Шведский стол"</t>
        </is>
      </c>
      <c r="K826" s="5" t="n">
        <v>46244.58333333334</v>
      </c>
      <c r="L826" t="n">
        <v>1</v>
      </c>
      <c r="M826" s="3">
        <f>I826/L826</f>
        <v/>
      </c>
      <c r="N826">
        <f>IF(M826&gt;=5100,"ставка","мин.ставка")</f>
        <v/>
      </c>
      <c r="O826" s="3">
        <f>ROUND(IF(N826="мин.ставка",L826*100,I826/102*2),2)</f>
        <v/>
      </c>
      <c r="P826" s="5" t="n">
        <v>46245.5</v>
      </c>
      <c r="Q826" t="inlineStr">
        <is>
          <t>TravelLine ресепшен</t>
        </is>
      </c>
      <c r="R826" s="2" t="inlineStr">
        <is>
          <t>СЕМЕЙНЫЙ НОМЕР КАТЕГОРИИ "СТАНДАРТ" ВТОРОЙ КОРПУС</t>
        </is>
      </c>
      <c r="S826" t="n">
        <v>51</v>
      </c>
      <c r="T826" t="n">
        <v>2</v>
      </c>
      <c r="U826" t="inlineStr"/>
      <c r="V826" t="inlineStr">
        <is>
          <t>Тариф с завтраком</t>
        </is>
      </c>
      <c r="W826" t="n">
        <v>8900</v>
      </c>
      <c r="X826" s="3" t="n">
        <v>0</v>
      </c>
      <c r="Y826" t="inlineStr"/>
      <c r="Z826" t="inlineStr"/>
      <c r="AA826" s="3" t="n">
        <v>8900</v>
      </c>
      <c r="AB826" t="inlineStr">
        <is>
          <t>Сошлось по ночным тарифам</t>
        </is>
      </c>
      <c r="AC826" s="2" t="inlineStr"/>
      <c r="AD826" t="n">
        <v>0</v>
      </c>
      <c r="AE826" t="n">
        <v>0</v>
      </c>
      <c r="AF826" t="inlineStr">
        <is>
          <t>Скидки нет</t>
        </is>
      </c>
      <c r="AG826" t="n">
        <v>8900</v>
      </c>
      <c r="AH826" t="n">
        <v>8900</v>
      </c>
      <c r="AI826" t="inlineStr">
        <is>
          <t>Полное проживание в выбранном периоде</t>
        </is>
      </c>
    </row>
    <row r="827">
      <c r="A827" t="inlineStr">
        <is>
          <t>20260710-8186-431599148</t>
        </is>
      </c>
      <c r="B827" t="n">
        <v>1</v>
      </c>
      <c r="C827" s="2" t="inlineStr">
        <is>
          <t>Садик Алимов, Анна Алимова</t>
        </is>
      </c>
      <c r="D827" s="3" t="n">
        <v>11560</v>
      </c>
      <c r="E827" s="4" t="n">
        <v>18</v>
      </c>
      <c r="F827" t="inlineStr">
        <is>
          <t>Яндекс.Путешествия [Чайковский]</t>
        </is>
      </c>
      <c r="G827" s="3">
        <f>ROUND(D827/(100-E827)*100,2)</f>
        <v/>
      </c>
      <c r="H827" s="3" t="n">
        <v>0</v>
      </c>
      <c r="I827" s="3">
        <f>ROUND(IF(ISNUMBER(AG827),AG827,G827)+H827,2)</f>
        <v/>
      </c>
      <c r="J827" s="2" t="inlineStr">
        <is>
          <t>Завтрак "Шведский стол"</t>
        </is>
      </c>
      <c r="K827" s="5" t="n">
        <v>46213.58333333334</v>
      </c>
      <c r="L827" t="n">
        <v>1</v>
      </c>
      <c r="M827" s="3">
        <f>I827/L827</f>
        <v/>
      </c>
      <c r="N827">
        <f>IF(M827&gt;=5100,"ставка","мин.ставка")</f>
        <v/>
      </c>
      <c r="O827" s="3">
        <f>ROUND(IF(N827="мин.ставка",L827*100,I827/102*2),2)</f>
        <v/>
      </c>
      <c r="P827" s="5" t="n">
        <v>46214.5</v>
      </c>
      <c r="Q827" t="inlineStr">
        <is>
          <t>TravelLine YAX</t>
        </is>
      </c>
      <c r="R827" s="2" t="inlineStr">
        <is>
          <t>семейный номер категории "стандарт"</t>
        </is>
      </c>
      <c r="S827" t="n">
        <v>51</v>
      </c>
      <c r="T827" t="n">
        <v>2</v>
      </c>
      <c r="U827" t="inlineStr"/>
      <c r="V827" t="inlineStr">
        <is>
          <t>Тариф с завтраком</t>
        </is>
      </c>
      <c r="W827" t="n">
        <v>11560</v>
      </c>
      <c r="X827" s="3" t="n">
        <v>2890</v>
      </c>
      <c r="Y827" t="inlineStr">
        <is>
          <t>20%</t>
        </is>
      </c>
      <c r="Z827" t="inlineStr">
        <is>
          <t>2026-07-10</t>
        </is>
      </c>
      <c r="AA827" s="3" t="n">
        <v>11560</v>
      </c>
      <c r="AB827" t="inlineStr">
        <is>
          <t>Сошлось по ночным тарифам</t>
        </is>
      </c>
      <c r="AC827" s="2" t="inlineStr"/>
      <c r="AD827" t="n">
        <v>2890</v>
      </c>
      <c r="AE827" t="n">
        <v>0</v>
      </c>
      <c r="AF827" t="inlineStr">
        <is>
          <t>Скидка добавлена к налоговой базе</t>
        </is>
      </c>
      <c r="AG827" t="n">
        <v>14450</v>
      </c>
      <c r="AH827" t="n">
        <v>11560</v>
      </c>
      <c r="AI827" t="inlineStr">
        <is>
          <t>Полное проживание в выбранном периоде</t>
        </is>
      </c>
    </row>
    <row r="828">
      <c r="A828" t="inlineStr">
        <is>
          <t>20260728-8186-454019745</t>
        </is>
      </c>
      <c r="B828" t="n">
        <v>1</v>
      </c>
      <c r="C828" s="2" t="inlineStr">
        <is>
          <t>САМИР НАГИЕВ, ОЛЕСЯ САФРОНОВА</t>
        </is>
      </c>
      <c r="D828" s="3" t="n">
        <v>12325</v>
      </c>
      <c r="E828" s="4" t="n">
        <v>15</v>
      </c>
      <c r="F828" t="inlineStr">
        <is>
          <t>ООО «12Т» (ранее ONE TWO TRIP) [Чайковский]</t>
        </is>
      </c>
      <c r="G828" s="3">
        <f>ROUND(D828/(100-E828)*100,2)</f>
        <v/>
      </c>
      <c r="H828" s="3" t="n">
        <v>0</v>
      </c>
      <c r="I828" s="3">
        <f>ROUND(IF(ISNUMBER(AG828),AG828,G828)+H828,2)</f>
        <v/>
      </c>
      <c r="J828" s="2" t="inlineStr">
        <is>
          <t>Завтрак "Шведский стол"</t>
        </is>
      </c>
      <c r="K828" s="5" t="n">
        <v>46231.58333333334</v>
      </c>
      <c r="L828" t="n">
        <v>1</v>
      </c>
      <c r="M828" s="3">
        <f>I828/L828</f>
        <v/>
      </c>
      <c r="N828">
        <f>IF(M828&gt;=5100,"ставка","мин.ставка")</f>
        <v/>
      </c>
      <c r="O828" s="3">
        <f>ROUND(IF(N828="мин.ставка",L828*100,I828/102*2),2)</f>
        <v/>
      </c>
      <c r="P828" s="5" t="n">
        <v>46232.5</v>
      </c>
      <c r="Q828" t="inlineStr">
        <is>
          <t>TravelLine OTT</t>
        </is>
      </c>
      <c r="R828" s="2" t="inlineStr">
        <is>
          <t>ЛЮКС ВТОРОЙ КОРПУС</t>
        </is>
      </c>
      <c r="S828" t="n">
        <v>53</v>
      </c>
      <c r="T828" t="n">
        <v>2</v>
      </c>
      <c r="U828" t="inlineStr"/>
      <c r="V828" t="inlineStr">
        <is>
          <t>Тариф с завтраком</t>
        </is>
      </c>
      <c r="W828" t="n">
        <v>12325</v>
      </c>
      <c r="X828" s="3" t="n">
        <v>2175</v>
      </c>
      <c r="Y828" t="inlineStr">
        <is>
          <t>15%</t>
        </is>
      </c>
      <c r="Z828" t="inlineStr">
        <is>
          <t>2026-07-28</t>
        </is>
      </c>
      <c r="AA828" s="3" t="n">
        <v>12325</v>
      </c>
      <c r="AB828" t="inlineStr">
        <is>
          <t>Сошлось по ночным тарифам</t>
        </is>
      </c>
      <c r="AC828" s="2" t="inlineStr"/>
      <c r="AD828" t="n">
        <v>2175</v>
      </c>
      <c r="AE828" t="n">
        <v>0</v>
      </c>
      <c r="AF828" t="inlineStr">
        <is>
          <t>Скидка добавлена к налоговой базе</t>
        </is>
      </c>
      <c r="AG828" t="n">
        <v>14500</v>
      </c>
      <c r="AH828" t="n">
        <v>12325</v>
      </c>
      <c r="AI828" t="inlineStr">
        <is>
          <t>Полное проживание в выбранном периоде</t>
        </is>
      </c>
    </row>
    <row r="829">
      <c r="A829" t="inlineStr">
        <is>
          <t>20260805-8186-456086133</t>
        </is>
      </c>
      <c r="B829" t="n">
        <v>1</v>
      </c>
      <c r="C829" s="2" t="inlineStr">
        <is>
          <t>Самир Нагиев, ОЛЕСЯ САФРОНОВА</t>
        </is>
      </c>
      <c r="D829" s="3" t="n">
        <v>11600</v>
      </c>
      <c r="E829" s="4" t="n">
        <v>20</v>
      </c>
      <c r="F829" t="inlineStr">
        <is>
          <t>ООО "КОМПАНИЯ БРОНЕВИК" [Чайковский]</t>
        </is>
      </c>
      <c r="G829" s="3">
        <f>ROUND(D829/(100-E829)*100,2)</f>
        <v/>
      </c>
      <c r="H829" s="3" t="n">
        <v>0</v>
      </c>
      <c r="I829" s="3">
        <f>ROUND(IF(ISNUMBER(AG829),AG829,G829)+H829,2)</f>
        <v/>
      </c>
      <c r="J829" s="2" t="inlineStr"/>
      <c r="K829" s="5" t="n">
        <v>46239.58333333334</v>
      </c>
      <c r="L829" t="n">
        <v>1</v>
      </c>
      <c r="M829" s="3">
        <f>I829/L829</f>
        <v/>
      </c>
      <c r="N829">
        <f>IF(M829&gt;=5100,"ставка","мин.ставка")</f>
        <v/>
      </c>
      <c r="O829" s="3">
        <f>ROUND(IF(N829="мин.ставка",L829*100,I829/102*2),2)</f>
        <v/>
      </c>
      <c r="P829" s="5" t="n">
        <v>46240.5</v>
      </c>
      <c r="Q829" t="inlineStr">
        <is>
          <t>TravelLine BR2</t>
        </is>
      </c>
      <c r="R829" s="2" t="inlineStr">
        <is>
          <t>ЛЮКС ВТОРОЙ КОРПУС</t>
        </is>
      </c>
      <c r="S829" t="n">
        <v>53</v>
      </c>
      <c r="T829" t="n">
        <v>2</v>
      </c>
      <c r="U829" t="inlineStr"/>
      <c r="V829" t="inlineStr">
        <is>
          <t>Основной тариф без завтрака</t>
        </is>
      </c>
      <c r="W829" t="n">
        <v>11600</v>
      </c>
      <c r="X829" s="3" t="n">
        <v>0</v>
      </c>
      <c r="Y829" t="inlineStr"/>
      <c r="Z829" t="inlineStr"/>
      <c r="AA829" s="3" t="n">
        <v>11600</v>
      </c>
      <c r="AB829" t="inlineStr">
        <is>
          <t>Сошлось по ночным тарифам</t>
        </is>
      </c>
      <c r="AC829" s="2" t="inlineStr"/>
      <c r="AD829" t="n">
        <v>0</v>
      </c>
      <c r="AE829" t="n">
        <v>0</v>
      </c>
      <c r="AF829" t="inlineStr">
        <is>
          <t>Скидки нет</t>
        </is>
      </c>
      <c r="AG829" t="n">
        <v>11600</v>
      </c>
      <c r="AH829" t="n">
        <v>11600</v>
      </c>
      <c r="AI829" t="inlineStr">
        <is>
          <t>Полное проживание в выбранном периоде</t>
        </is>
      </c>
    </row>
    <row r="830">
      <c r="A830" t="inlineStr">
        <is>
          <t>20260923-8186-464989668</t>
        </is>
      </c>
      <c r="B830" t="n">
        <v>1</v>
      </c>
      <c r="C830" s="2" t="inlineStr">
        <is>
          <t>СВЕТЛАНА АНДРЕЕВА</t>
        </is>
      </c>
      <c r="D830" s="3" t="n">
        <v>9647.5</v>
      </c>
      <c r="E830" s="4" t="n">
        <v>15</v>
      </c>
      <c r="F830" t="inlineStr">
        <is>
          <t>ООО «12Т» (ранее ONE TWO TRIP) [Чайковский]</t>
        </is>
      </c>
      <c r="G830" s="3">
        <f>ROUND(D830/(100-E830)*100,2)</f>
        <v/>
      </c>
      <c r="H830" s="3" t="n">
        <v>0</v>
      </c>
      <c r="I830" s="3">
        <f>ROUND(IF(ISNUMBER(AG830),AG830,G830)+H830,2)</f>
        <v/>
      </c>
      <c r="J830" s="2" t="inlineStr">
        <is>
          <t>Завтрак "Шведский стол"</t>
        </is>
      </c>
      <c r="K830" s="5" t="n">
        <v>46288.58333333334</v>
      </c>
      <c r="L830" t="n">
        <v>1</v>
      </c>
      <c r="M830" s="3">
        <f>I830/L830</f>
        <v/>
      </c>
      <c r="N830">
        <f>IF(M830&gt;=5100,"ставка","мин.ставка")</f>
        <v/>
      </c>
      <c r="O830" s="3">
        <f>ROUND(IF(N830="мин.ставка",L830*100,I830/102*2),2)</f>
        <v/>
      </c>
      <c r="P830" s="5" t="n">
        <v>46289.5</v>
      </c>
      <c r="Q830" t="inlineStr">
        <is>
          <t>TravelLine OTT</t>
        </is>
      </c>
      <c r="R830" s="2" t="inlineStr">
        <is>
          <t>СТАНДАРТНЫЙ ДВУХМЕСТНЫЙ НОМЕР</t>
        </is>
      </c>
      <c r="S830" t="n">
        <v>32</v>
      </c>
      <c r="T830" t="n">
        <v>1</v>
      </c>
      <c r="U830" t="inlineStr"/>
      <c r="V830" t="inlineStr">
        <is>
          <t>Тариф с завтраком</t>
        </is>
      </c>
      <c r="W830" t="n">
        <v>9647.5</v>
      </c>
      <c r="X830" s="3" t="n">
        <v>1702.5</v>
      </c>
      <c r="Y830" t="inlineStr">
        <is>
          <t>15%</t>
        </is>
      </c>
      <c r="Z830" t="inlineStr">
        <is>
          <t>2026-09-23</t>
        </is>
      </c>
      <c r="AA830" s="3" t="n">
        <v>9647.5</v>
      </c>
      <c r="AB830" t="inlineStr">
        <is>
          <t>Сошлось по ночным тарифам</t>
        </is>
      </c>
      <c r="AC830" s="2" t="inlineStr"/>
      <c r="AD830" t="n">
        <v>1702.5</v>
      </c>
      <c r="AE830" t="n">
        <v>0</v>
      </c>
      <c r="AF830" t="inlineStr">
        <is>
          <t>Скидка добавлена к налоговой базе</t>
        </is>
      </c>
      <c r="AG830" t="n">
        <v>11350</v>
      </c>
      <c r="AH830" t="n">
        <v>9647.5</v>
      </c>
      <c r="AI830" t="inlineStr">
        <is>
          <t>Полное проживание в выбранном периоде</t>
        </is>
      </c>
    </row>
    <row r="831">
      <c r="A831" t="inlineStr">
        <is>
          <t>20260819-8186-412191327</t>
        </is>
      </c>
      <c r="B831" t="n">
        <v>1</v>
      </c>
      <c r="C831" s="2" t="inlineStr">
        <is>
          <t>Светлана Гилёва, Людмила РОГОЖНЕВА</t>
        </is>
      </c>
      <c r="D831" s="3" t="n">
        <v>29700</v>
      </c>
      <c r="E831" s="4" t="n">
        <v>0</v>
      </c>
      <c r="F831" t="inlineStr">
        <is>
          <t>Прямые бронирования (стойка) [Чайковский]</t>
        </is>
      </c>
      <c r="G831" s="3">
        <f>ROUND(D831/(100-E831)*100,2)</f>
        <v/>
      </c>
      <c r="H831" s="3" t="n">
        <v>0</v>
      </c>
      <c r="I831" s="3">
        <f>ROUND(IF(ISNUMBER(AG831),AG831,G831)+H831,2)</f>
        <v/>
      </c>
      <c r="J831" s="2" t="inlineStr">
        <is>
          <t>Завтрак "Шведский стол"</t>
        </is>
      </c>
      <c r="K831" s="5" t="n">
        <v>46249.58333333334</v>
      </c>
      <c r="L831" t="n">
        <v>3</v>
      </c>
      <c r="M831" s="3">
        <f>I831/L831</f>
        <v/>
      </c>
      <c r="N831">
        <f>IF(M831&gt;=5100,"ставка","мин.ставка")</f>
        <v/>
      </c>
      <c r="O831" s="3">
        <f>ROUND(IF(N831="мин.ставка",L831*100,I831/102*2),2)</f>
        <v/>
      </c>
      <c r="P831" s="5" t="n">
        <v>46252.5</v>
      </c>
      <c r="Q831" t="inlineStr">
        <is>
          <t>TravelLine ресепшен</t>
        </is>
      </c>
      <c r="R831" s="2" t="inlineStr">
        <is>
          <t>СТАНДАРТНЫЙ ДВУХМЕСТНЫЙ НОМЕР (МАНСАРДА)</t>
        </is>
      </c>
      <c r="S831" t="n">
        <v>45</v>
      </c>
      <c r="T831" t="n">
        <v>1</v>
      </c>
      <c r="U831" t="inlineStr"/>
      <c r="V831" t="inlineStr">
        <is>
          <t>Тариф с завтраком</t>
        </is>
      </c>
      <c r="W831" t="n">
        <v>29700</v>
      </c>
      <c r="X831" s="3" t="n">
        <v>0</v>
      </c>
      <c r="Y831" t="inlineStr"/>
      <c r="Z831" t="inlineStr"/>
      <c r="AA831" s="3" t="n">
        <v>29700</v>
      </c>
      <c r="AB831" t="inlineStr">
        <is>
          <t>Сошлось по ночным тарифам</t>
        </is>
      </c>
      <c r="AC831" s="2" t="inlineStr"/>
      <c r="AD831" t="n">
        <v>0</v>
      </c>
      <c r="AE831" t="n">
        <v>0</v>
      </c>
      <c r="AF831" t="inlineStr">
        <is>
          <t>Скидки нет</t>
        </is>
      </c>
      <c r="AG831" t="n">
        <v>29700</v>
      </c>
      <c r="AH831" t="n">
        <v>29700</v>
      </c>
      <c r="AI831" t="inlineStr">
        <is>
          <t>Полное проживание в выбранном периоде</t>
        </is>
      </c>
    </row>
    <row r="832">
      <c r="A832" t="inlineStr">
        <is>
          <t>20260831-8186-446583307</t>
        </is>
      </c>
      <c r="B832" t="n">
        <v>1</v>
      </c>
      <c r="C832" s="2" t="inlineStr">
        <is>
          <t>Светлана Говорина</t>
        </is>
      </c>
      <c r="D832" s="3" t="n">
        <v>45400</v>
      </c>
      <c r="E832" s="4" t="n">
        <v>18</v>
      </c>
      <c r="F832" t="inlineStr">
        <is>
          <t>Яндекс.Путешествия [Чайковский]</t>
        </is>
      </c>
      <c r="G832" s="3">
        <f>ROUND(D832/(100-E832)*100,2)</f>
        <v/>
      </c>
      <c r="H832" s="3" t="n">
        <v>0</v>
      </c>
      <c r="I832" s="3">
        <f>ROUND(IF(ISNUMBER(AG832),AG832,G832)+H832,2)</f>
        <v/>
      </c>
      <c r="J832" s="2" t="inlineStr">
        <is>
          <t>Завтрак "Шведский стол"</t>
        </is>
      </c>
      <c r="K832" s="5" t="n">
        <v>46265.58333333334</v>
      </c>
      <c r="L832" t="n">
        <v>5</v>
      </c>
      <c r="M832" s="3">
        <f>I832/L832</f>
        <v/>
      </c>
      <c r="N832">
        <f>IF(M832&gt;=5100,"ставка","мин.ставка")</f>
        <v/>
      </c>
      <c r="O832" s="3">
        <f>ROUND(IF(N832="мин.ставка",L832*100,I832/102*2),2)</f>
        <v/>
      </c>
      <c r="P832" s="5" t="n">
        <v>46270.5</v>
      </c>
      <c r="Q832" t="inlineStr">
        <is>
          <t>TravelLine YAX</t>
        </is>
      </c>
      <c r="R832" s="2" t="inlineStr">
        <is>
          <t>ПОЛУЛЮКС</t>
        </is>
      </c>
      <c r="S832" t="n">
        <v>35</v>
      </c>
      <c r="T832" t="n">
        <v>1</v>
      </c>
      <c r="U832" t="inlineStr"/>
      <c r="V832" t="inlineStr">
        <is>
          <t>Тариф с завтраком</t>
        </is>
      </c>
      <c r="W832" t="n">
        <v>45400</v>
      </c>
      <c r="X832" s="3" t="n">
        <v>11350</v>
      </c>
      <c r="Y832" t="inlineStr">
        <is>
          <t>20%</t>
        </is>
      </c>
      <c r="Z832" t="inlineStr">
        <is>
          <t>2026-08-31, 2026-09-01, 2026-09-02, 2026-09-03, 2026-09-04</t>
        </is>
      </c>
      <c r="AA832" s="3" t="n">
        <v>45400</v>
      </c>
      <c r="AB832" t="inlineStr">
        <is>
          <t>Сошлось по ночным тарифам</t>
        </is>
      </c>
      <c r="AC832" s="2" t="inlineStr"/>
      <c r="AD832" t="n">
        <v>11350</v>
      </c>
      <c r="AE832" t="n">
        <v>0</v>
      </c>
      <c r="AF832" t="inlineStr">
        <is>
          <t>Скидка добавлена к налоговой базе</t>
        </is>
      </c>
      <c r="AG832" t="n">
        <v>56750</v>
      </c>
      <c r="AH832" t="n">
        <v>45400</v>
      </c>
      <c r="AI832" t="inlineStr">
        <is>
          <t>Полное проживание в выбранном периоде</t>
        </is>
      </c>
    </row>
    <row r="833">
      <c r="A833" t="inlineStr">
        <is>
          <t>20260914-8186-463592251</t>
        </is>
      </c>
      <c r="B833" t="n">
        <v>1</v>
      </c>
      <c r="C833" s="2" t="inlineStr">
        <is>
          <t>СВЕТЛАНА КОРСУНСКАЯ</t>
        </is>
      </c>
      <c r="D833" s="3" t="n">
        <v>9647.5</v>
      </c>
      <c r="E833" s="4" t="n">
        <v>15</v>
      </c>
      <c r="F833" t="inlineStr">
        <is>
          <t>ООО "Библио-Глобус Туроператор" [Чайковский]</t>
        </is>
      </c>
      <c r="G833" s="3">
        <f>ROUND(D833/(100-E833)*100,2)</f>
        <v/>
      </c>
      <c r="H833" s="3" t="n">
        <v>0</v>
      </c>
      <c r="I833" s="3">
        <f>ROUND(IF(ISNUMBER(AG833),AG833,G833)+H833,2)</f>
        <v/>
      </c>
      <c r="J833" s="2" t="inlineStr">
        <is>
          <t>Завтрак "Шведский стол"</t>
        </is>
      </c>
      <c r="K833" s="5" t="n">
        <v>46279.58333333334</v>
      </c>
      <c r="L833" t="n">
        <v>1</v>
      </c>
      <c r="M833" s="3">
        <f>I833/L833</f>
        <v/>
      </c>
      <c r="N833">
        <f>IF(M833&gt;=5100,"ставка","мин.ставка")</f>
        <v/>
      </c>
      <c r="O833" s="3">
        <f>ROUND(IF(N833="мин.ставка",L833*100,I833/102*2),2)</f>
        <v/>
      </c>
      <c r="P833" s="5" t="n">
        <v>46280.5</v>
      </c>
      <c r="Q833" t="inlineStr">
        <is>
          <t>TravelLine BGL</t>
        </is>
      </c>
      <c r="R833" s="2" t="inlineStr">
        <is>
          <t>СТАНДАРТНЫЙ ДВУХМЕСТНЫЙ НОМЕР</t>
        </is>
      </c>
      <c r="S833" t="n">
        <v>58</v>
      </c>
      <c r="T833" t="n">
        <v>2</v>
      </c>
      <c r="U833" t="inlineStr"/>
      <c r="V833" t="inlineStr">
        <is>
          <t>Тариф с завтраком</t>
        </is>
      </c>
      <c r="W833" t="n">
        <v>9647.5</v>
      </c>
      <c r="X833" s="3" t="n">
        <v>0</v>
      </c>
      <c r="Y833" t="inlineStr"/>
      <c r="Z833" t="inlineStr"/>
      <c r="AA833" s="3" t="n">
        <v>9647.5</v>
      </c>
      <c r="AB833" t="inlineStr">
        <is>
          <t>Сошлось по ночным тарифам</t>
        </is>
      </c>
      <c r="AC833" s="2" t="inlineStr"/>
      <c r="AD833" t="n">
        <v>0</v>
      </c>
      <c r="AE833" t="n">
        <v>0</v>
      </c>
      <c r="AF833" t="inlineStr">
        <is>
          <t>Скидки нет</t>
        </is>
      </c>
      <c r="AG833" t="n">
        <v>9647.5</v>
      </c>
      <c r="AH833" t="n">
        <v>9647.5</v>
      </c>
      <c r="AI833" t="inlineStr">
        <is>
          <t>Полное проживание в выбранном периоде</t>
        </is>
      </c>
    </row>
    <row r="834">
      <c r="A834" t="inlineStr">
        <is>
          <t>20260812-8186-451725472</t>
        </is>
      </c>
      <c r="B834" t="n">
        <v>1</v>
      </c>
      <c r="C834" s="2" t="inlineStr">
        <is>
          <t>Светлана Кривашапова, Анна Янчалкова</t>
        </is>
      </c>
      <c r="D834" s="3" t="n">
        <v>107322.6</v>
      </c>
      <c r="E834" s="4" t="n">
        <v>4</v>
      </c>
      <c r="F834" t="inlineStr">
        <is>
          <t>TravelLine Booking Engine [Чайковский]</t>
        </is>
      </c>
      <c r="G834" s="3">
        <f>ROUND(D834/(100-E834)*100,2)</f>
        <v/>
      </c>
      <c r="H834" s="3" t="n">
        <v>0</v>
      </c>
      <c r="I834" s="3">
        <f>ROUND(IF(ISNUMBER(AG834),AG834,G834)+H834,2)</f>
        <v/>
      </c>
      <c r="J834" s="2" t="inlineStr">
        <is>
          <t>Завтрак "Шведский стол"</t>
        </is>
      </c>
      <c r="K834" s="5" t="n">
        <v>46246.58333333334</v>
      </c>
      <c r="L834" t="n">
        <v>7</v>
      </c>
      <c r="M834" s="3">
        <f>I834/L834</f>
        <v/>
      </c>
      <c r="N834">
        <f>IF(M834&gt;=5100,"ставка","мин.ставка")</f>
        <v/>
      </c>
      <c r="O834" s="3">
        <f>ROUND(IF(N834="мин.ставка",L834*100,I834/102*2),2)</f>
        <v/>
      </c>
      <c r="P834" s="5" t="n">
        <v>46253.5</v>
      </c>
      <c r="Q834" t="inlineStr">
        <is>
          <t>TravelLine сайт</t>
        </is>
      </c>
      <c r="R834" s="2" t="inlineStr">
        <is>
          <t>УЛУЧШЕННЫЙ ДВУХМЕСТНЫЙ НОМЕР</t>
        </is>
      </c>
      <c r="S834" t="n">
        <v>56</v>
      </c>
      <c r="T834" t="n">
        <v>2</v>
      </c>
      <c r="U834" t="inlineStr"/>
      <c r="V834" t="inlineStr">
        <is>
          <t>Тариф с завтраком</t>
        </is>
      </c>
      <c r="W834" t="n">
        <v>107322.6</v>
      </c>
      <c r="X834" s="3" t="n">
        <v>477.4</v>
      </c>
      <c r="Y834" t="inlineStr">
        <is>
          <t>3.1%</t>
        </is>
      </c>
      <c r="Z834" t="inlineStr">
        <is>
          <t>2026-08-12</t>
        </is>
      </c>
      <c r="AA834" s="3" t="n">
        <v>107322.6</v>
      </c>
      <c r="AB834" t="inlineStr">
        <is>
          <t>Сошлось по ночным тарифам</t>
        </is>
      </c>
      <c r="AC834" s="2" t="inlineStr"/>
      <c r="AD834" t="n">
        <v>477.4</v>
      </c>
      <c r="AE834" t="n">
        <v>0</v>
      </c>
      <c r="AF834" t="inlineStr">
        <is>
          <t>Скидка добавлена к налоговой базе</t>
        </is>
      </c>
      <c r="AG834" t="n">
        <v>107800</v>
      </c>
      <c r="AH834" t="n">
        <v>107322.6</v>
      </c>
      <c r="AI834" t="inlineStr">
        <is>
          <t>Полное проживание в выбранном периоде</t>
        </is>
      </c>
    </row>
    <row r="835">
      <c r="A835" t="inlineStr">
        <is>
          <t>20260812-8186-456358699</t>
        </is>
      </c>
      <c r="B835" t="n">
        <v>1</v>
      </c>
      <c r="C835" s="2" t="inlineStr">
        <is>
          <t>Светлана Михалева, Анастасия Михалева</t>
        </is>
      </c>
      <c r="D835" s="3" t="n">
        <v>21360</v>
      </c>
      <c r="E835" s="4" t="n">
        <v>20</v>
      </c>
      <c r="F835" t="inlineStr">
        <is>
          <t>ООО «Дубль Гис» (OTELLO) [Чайковский]</t>
        </is>
      </c>
      <c r="G835" s="3">
        <f>ROUND(D835/(100-E835)*100,2)</f>
        <v/>
      </c>
      <c r="H835" s="3" t="n">
        <v>0</v>
      </c>
      <c r="I835" s="3">
        <f>ROUND(IF(ISNUMBER(AG835),AG835,G835)+H835,2)</f>
        <v/>
      </c>
      <c r="J835" s="2" t="inlineStr">
        <is>
          <t>Завтрак "Шведский стол"</t>
        </is>
      </c>
      <c r="K835" s="5" t="n">
        <v>46246.58333333334</v>
      </c>
      <c r="L835" t="n">
        <v>2</v>
      </c>
      <c r="M835" s="3">
        <f>I835/L835</f>
        <v/>
      </c>
      <c r="N835">
        <f>IF(M835&gt;=5100,"ставка","мин.ставка")</f>
        <v/>
      </c>
      <c r="O835" s="3">
        <f>ROUND(IF(N835="мин.ставка",L835*100,I835/102*2),2)</f>
        <v/>
      </c>
      <c r="P835" s="5" t="n">
        <v>46248.5</v>
      </c>
      <c r="Q835" t="inlineStr">
        <is>
          <t>TravelLine OL2</t>
        </is>
      </c>
      <c r="R835" s="2" t="inlineStr">
        <is>
          <t>СТАНДАРТНЫЙ ДВУХМЕСТНЫЙ НОМЕР</t>
        </is>
      </c>
      <c r="S835" t="n">
        <v>58</v>
      </c>
      <c r="T835" t="n">
        <v>2</v>
      </c>
      <c r="U835" t="inlineStr"/>
      <c r="V835" t="inlineStr">
        <is>
          <t>Тариф с завтраком</t>
        </is>
      </c>
      <c r="W835" t="n">
        <v>21360</v>
      </c>
      <c r="X835" s="3" t="n">
        <v>5340</v>
      </c>
      <c r="Y835" t="inlineStr">
        <is>
          <t>20%</t>
        </is>
      </c>
      <c r="Z835" t="inlineStr">
        <is>
          <t>2026-08-12, 2026-08-13</t>
        </is>
      </c>
      <c r="AA835" s="3" t="n">
        <v>21360</v>
      </c>
      <c r="AB835" t="inlineStr">
        <is>
          <t>Сошлось по ночным тарифам</t>
        </is>
      </c>
      <c r="AC835" s="2" t="inlineStr"/>
      <c r="AD835" t="n">
        <v>5340</v>
      </c>
      <c r="AE835" t="n">
        <v>0</v>
      </c>
      <c r="AF835" t="inlineStr">
        <is>
          <t>Скидка добавлена к налоговой базе</t>
        </is>
      </c>
      <c r="AG835" t="n">
        <v>26700</v>
      </c>
      <c r="AH835" t="n">
        <v>21360</v>
      </c>
      <c r="AI835" t="inlineStr">
        <is>
          <t>Полное проживание в выбранном периоде</t>
        </is>
      </c>
    </row>
    <row r="836">
      <c r="A836" t="inlineStr">
        <is>
          <t>20260914-8186-465267939</t>
        </is>
      </c>
      <c r="B836" t="n">
        <v>1</v>
      </c>
      <c r="C836" s="2" t="inlineStr">
        <is>
          <t>Светлана Носницына, ВЯЧЕСЛАВ БОЧАРОВ</t>
        </is>
      </c>
      <c r="D836" s="3" t="n">
        <v>26499.75</v>
      </c>
      <c r="E836" s="4" t="n">
        <v>4</v>
      </c>
      <c r="F836" t="inlineStr">
        <is>
          <t>TravelLine Booking Engine [Чайковский]</t>
        </is>
      </c>
      <c r="G836" s="3">
        <f>ROUND(D836/(100-E836)*100,2)</f>
        <v/>
      </c>
      <c r="H836" s="3" t="n">
        <v>0</v>
      </c>
      <c r="I836" s="3">
        <f>ROUND(IF(ISNUMBER(AG836),AG836,G836)+H836,2)</f>
        <v/>
      </c>
      <c r="J836" s="2" t="inlineStr">
        <is>
          <t>Завтрак "Шведский стол"</t>
        </is>
      </c>
      <c r="K836" s="5" t="n">
        <v>46279.58333333334</v>
      </c>
      <c r="L836" t="n">
        <v>2</v>
      </c>
      <c r="M836" s="3">
        <f>I836/L836</f>
        <v/>
      </c>
      <c r="N836">
        <f>IF(M836&gt;=5100,"ставка","мин.ставка")</f>
        <v/>
      </c>
      <c r="O836" s="3">
        <f>ROUND(IF(N836="мин.ставка",L836*100,I836/102*2),2)</f>
        <v/>
      </c>
      <c r="P836" s="5" t="n">
        <v>46281.5</v>
      </c>
      <c r="Q836" t="inlineStr">
        <is>
          <t>TravelLine сайт</t>
        </is>
      </c>
      <c r="R836" s="2" t="inlineStr">
        <is>
          <t>СТАНДАРТНЫЙ ДВУХМЕСТНЫЙ НОМЕР</t>
        </is>
      </c>
      <c r="S836" t="n">
        <v>52</v>
      </c>
      <c r="T836" t="n">
        <v>2</v>
      </c>
      <c r="U836" t="inlineStr"/>
      <c r="V836" t="inlineStr">
        <is>
          <t>Тариф с завтраком</t>
        </is>
      </c>
      <c r="W836" t="n">
        <v>26499.75</v>
      </c>
      <c r="X836" s="3" t="n">
        <v>200.25</v>
      </c>
      <c r="Y836" t="inlineStr">
        <is>
          <t>1.5%</t>
        </is>
      </c>
      <c r="Z836" t="inlineStr">
        <is>
          <t>2026-09-14</t>
        </is>
      </c>
      <c r="AA836" s="3" t="n">
        <v>26499.75</v>
      </c>
      <c r="AB836" t="inlineStr">
        <is>
          <t>Сошлось по ночным тарифам</t>
        </is>
      </c>
      <c r="AC836" s="2" t="inlineStr"/>
      <c r="AD836" t="n">
        <v>200.25</v>
      </c>
      <c r="AE836" t="n">
        <v>0</v>
      </c>
      <c r="AF836" t="inlineStr">
        <is>
          <t>Скидка добавлена к налоговой базе</t>
        </is>
      </c>
      <c r="AG836" t="n">
        <v>26700</v>
      </c>
      <c r="AH836" t="n">
        <v>26499.75</v>
      </c>
      <c r="AI836" t="inlineStr">
        <is>
          <t>Полное проживание в выбранном периоде</t>
        </is>
      </c>
    </row>
    <row r="837">
      <c r="A837" t="inlineStr">
        <is>
          <t>20260817-8186-425895976</t>
        </is>
      </c>
      <c r="B837" t="n">
        <v>1</v>
      </c>
      <c r="C837" s="2" t="inlineStr">
        <is>
          <t>СВЕТЛАНА РУДСКАЯ, СЕРГЕЙ ХАРЧЕНКО</t>
        </is>
      </c>
      <c r="D837" s="3" t="n">
        <v>43350</v>
      </c>
      <c r="E837" s="4" t="n">
        <v>0</v>
      </c>
      <c r="F837" t="inlineStr">
        <is>
          <t>Прямые бронирования (стойка) [Чайковский]</t>
        </is>
      </c>
      <c r="G837" s="3">
        <f>ROUND(D837/(100-E837)*100,2)</f>
        <v/>
      </c>
      <c r="H837" s="3" t="n">
        <v>0</v>
      </c>
      <c r="I837" s="3">
        <f>ROUND(IF(ISNUMBER(AG837),AG837,G837)+H837,2)</f>
        <v/>
      </c>
      <c r="J837" s="2" t="inlineStr">
        <is>
          <t>Завтрак "Шведский стол"</t>
        </is>
      </c>
      <c r="K837" s="5" t="n">
        <v>46255.58333333334</v>
      </c>
      <c r="L837" t="n">
        <v>3</v>
      </c>
      <c r="M837" s="3">
        <f>I837/L837</f>
        <v/>
      </c>
      <c r="N837">
        <f>IF(M837&gt;=5100,"ставка","мин.ставка")</f>
        <v/>
      </c>
      <c r="O837" s="3">
        <f>ROUND(IF(N837="мин.ставка",L837*100,I837/102*2),2)</f>
        <v/>
      </c>
      <c r="P837" s="5" t="n">
        <v>46258.5</v>
      </c>
      <c r="Q837" t="inlineStr">
        <is>
          <t>TravelLine ресепшен</t>
        </is>
      </c>
      <c r="R837" s="2" t="inlineStr">
        <is>
          <t>семейный номер категории "стандарт"</t>
        </is>
      </c>
      <c r="S837" t="n">
        <v>50</v>
      </c>
      <c r="T837" t="n">
        <v>2</v>
      </c>
      <c r="U837" t="inlineStr"/>
      <c r="V837" t="inlineStr">
        <is>
          <t>Тариф с завтраком</t>
        </is>
      </c>
      <c r="W837" t="n">
        <v>43350</v>
      </c>
      <c r="X837" s="3" t="n">
        <v>0</v>
      </c>
      <c r="Y837" t="inlineStr"/>
      <c r="Z837" t="inlineStr"/>
      <c r="AA837" s="3" t="n">
        <v>43350</v>
      </c>
      <c r="AB837" t="inlineStr">
        <is>
          <t>Сошлось по ночным тарифам</t>
        </is>
      </c>
      <c r="AC837" s="2" t="inlineStr"/>
      <c r="AD837" t="n">
        <v>0</v>
      </c>
      <c r="AE837" t="n">
        <v>0</v>
      </c>
      <c r="AF837" t="inlineStr">
        <is>
          <t>Скидки нет</t>
        </is>
      </c>
      <c r="AG837" t="n">
        <v>43350</v>
      </c>
      <c r="AH837" t="n">
        <v>43350</v>
      </c>
      <c r="AI837" t="inlineStr">
        <is>
          <t>Полное проживание в выбранном периоде</t>
        </is>
      </c>
    </row>
    <row r="838">
      <c r="A838" t="inlineStr">
        <is>
          <t>20260830-8186-455487869</t>
        </is>
      </c>
      <c r="B838" t="n">
        <v>1</v>
      </c>
      <c r="C838" s="2" t="inlineStr">
        <is>
          <t>СВЕТЛАНА РУДСКАЯ, СЕРГЕЙ ХАРЧЕНКО</t>
        </is>
      </c>
      <c r="D838" s="3" t="n">
        <v>28900</v>
      </c>
      <c r="E838" s="4" t="n">
        <v>0</v>
      </c>
      <c r="F838" t="inlineStr">
        <is>
          <t>Прямые бронирования (стойка) [Чайковский]</t>
        </is>
      </c>
      <c r="G838" s="3">
        <f>ROUND(D838/(100-E838)*100,2)</f>
        <v/>
      </c>
      <c r="H838" s="3" t="n">
        <v>0</v>
      </c>
      <c r="I838" s="3">
        <f>ROUND(IF(ISNUMBER(AG838),AG838,G838)+H838,2)</f>
        <v/>
      </c>
      <c r="J838" s="2" t="inlineStr">
        <is>
          <t>Завтрак "Шведский стол"</t>
        </is>
      </c>
      <c r="K838" s="5" t="n">
        <v>46265.58333333334</v>
      </c>
      <c r="L838" t="n">
        <v>2</v>
      </c>
      <c r="M838" s="3">
        <f>I838/L838</f>
        <v/>
      </c>
      <c r="N838">
        <f>IF(M838&gt;=5100,"ставка","мин.ставка")</f>
        <v/>
      </c>
      <c r="O838" s="3">
        <f>ROUND(IF(N838="мин.ставка",L838*100,I838/102*2),2)</f>
        <v/>
      </c>
      <c r="P838" s="5" t="n">
        <v>46267.5</v>
      </c>
      <c r="Q838" t="inlineStr">
        <is>
          <t>TravelLine ресепшен</t>
        </is>
      </c>
      <c r="R838" s="2" t="inlineStr">
        <is>
          <t>СЕМЕЙНЫЙ НОМЕР КАТЕГОРИИ "СТАНДАРТ" ВТОРОЙ КОРПУС</t>
        </is>
      </c>
      <c r="S838" t="n">
        <v>50</v>
      </c>
      <c r="T838" t="n">
        <v>2</v>
      </c>
      <c r="U838" t="inlineStr"/>
      <c r="V838" t="inlineStr">
        <is>
          <t>Тариф с завтраком</t>
        </is>
      </c>
      <c r="W838" t="n">
        <v>28900</v>
      </c>
      <c r="X838" s="3" t="n">
        <v>0</v>
      </c>
      <c r="Y838" t="inlineStr"/>
      <c r="Z838" t="inlineStr"/>
      <c r="AA838" s="3" t="n">
        <v>28900</v>
      </c>
      <c r="AB838" t="inlineStr">
        <is>
          <t>Сошлось по ночным тарифам</t>
        </is>
      </c>
      <c r="AC838" s="2" t="inlineStr"/>
      <c r="AD838" t="n">
        <v>0</v>
      </c>
      <c r="AE838" t="n">
        <v>0</v>
      </c>
      <c r="AF838" t="inlineStr">
        <is>
          <t>Скидки нет</t>
        </is>
      </c>
      <c r="AG838" t="n">
        <v>28900</v>
      </c>
      <c r="AH838" t="n">
        <v>28900</v>
      </c>
      <c r="AI838" t="inlineStr">
        <is>
          <t>Полное проживание в выбранном периоде</t>
        </is>
      </c>
    </row>
    <row r="839">
      <c r="A839" t="inlineStr">
        <is>
          <t>20260823-8186-427400890</t>
        </is>
      </c>
      <c r="B839" t="n">
        <v>1</v>
      </c>
      <c r="C839" s="2" t="inlineStr">
        <is>
          <t>Светлана Серебрякова, Майя Серебрякова</t>
        </is>
      </c>
      <c r="D839" s="3" t="n">
        <v>22161</v>
      </c>
      <c r="E839" s="4" t="n">
        <v>18</v>
      </c>
      <c r="F839" t="inlineStr">
        <is>
          <t>Яндекс.Путешествия [Чайковский]</t>
        </is>
      </c>
      <c r="G839" s="3">
        <f>ROUND(D839/(100-E839)*100,2)</f>
        <v/>
      </c>
      <c r="H839" s="3" t="n">
        <v>0</v>
      </c>
      <c r="I839" s="3">
        <f>ROUND(IF(ISNUMBER(AG839),AG839,G839)+H839,2)</f>
        <v/>
      </c>
      <c r="J839" s="2" t="inlineStr">
        <is>
          <t>Завтрак "Шведский стол"</t>
        </is>
      </c>
      <c r="K839" s="5" t="n">
        <v>46257.58333333334</v>
      </c>
      <c r="L839" t="n">
        <v>2</v>
      </c>
      <c r="M839" s="3">
        <f>I839/L839</f>
        <v/>
      </c>
      <c r="N839">
        <f>IF(M839&gt;=5100,"ставка","мин.ставка")</f>
        <v/>
      </c>
      <c r="O839" s="3">
        <f>ROUND(IF(N839="мин.ставка",L839*100,I839/102*2),2)</f>
        <v/>
      </c>
      <c r="P839" s="5" t="n">
        <v>46259.5</v>
      </c>
      <c r="Q839" t="inlineStr">
        <is>
          <t>TravelLine YAX</t>
        </is>
      </c>
      <c r="R839" s="2" t="inlineStr">
        <is>
          <t>СТАНДАРТНЫЙ ДВУХМЕСТНЫЙ НОМЕР</t>
        </is>
      </c>
      <c r="S839" t="n">
        <v>22</v>
      </c>
      <c r="T839" t="n">
        <v>1</v>
      </c>
      <c r="U839" t="inlineStr"/>
      <c r="V839" t="inlineStr">
        <is>
          <t>Тариф с завтраком</t>
        </is>
      </c>
      <c r="W839" t="n">
        <v>22161</v>
      </c>
      <c r="X839" s="3" t="n">
        <v>4539</v>
      </c>
      <c r="Y839" t="inlineStr">
        <is>
          <t>17%</t>
        </is>
      </c>
      <c r="Z839" t="inlineStr">
        <is>
          <t>2026-08-23, 2026-08-24</t>
        </is>
      </c>
      <c r="AA839" s="3" t="n">
        <v>22161</v>
      </c>
      <c r="AB839" t="inlineStr">
        <is>
          <t>Сошлось по ночным тарифам</t>
        </is>
      </c>
      <c r="AC839" s="2" t="inlineStr"/>
      <c r="AD839" t="n">
        <v>4539</v>
      </c>
      <c r="AE839" t="n">
        <v>0</v>
      </c>
      <c r="AF839" t="inlineStr">
        <is>
          <t>Скидка добавлена к налоговой базе</t>
        </is>
      </c>
      <c r="AG839" t="n">
        <v>26700</v>
      </c>
      <c r="AH839" t="n">
        <v>22161</v>
      </c>
      <c r="AI839" t="inlineStr">
        <is>
          <t>Полное проживание в выбранном периоде</t>
        </is>
      </c>
    </row>
    <row r="840">
      <c r="A840" t="inlineStr">
        <is>
          <t>20260823-8186-458898583</t>
        </is>
      </c>
      <c r="B840" t="n">
        <v>1</v>
      </c>
      <c r="C840" s="2" t="inlineStr">
        <is>
          <t>Светлана Слепцова</t>
        </is>
      </c>
      <c r="D840" s="3" t="n">
        <v>6557</v>
      </c>
      <c r="E840" s="4" t="n">
        <v>18</v>
      </c>
      <c r="F840" t="inlineStr">
        <is>
          <t>Яндекс.Путешествия [Чайковский]</t>
        </is>
      </c>
      <c r="G840" s="3">
        <f>ROUND(D840/(100-E840)*100,2)</f>
        <v/>
      </c>
      <c r="H840" s="3" t="n">
        <v>0</v>
      </c>
      <c r="I840" s="3">
        <f>ROUND(IF(ISNUMBER(AG840),AG840,G840)+H840,2)</f>
        <v/>
      </c>
      <c r="J840" s="2" t="inlineStr">
        <is>
          <t>Завтрак "Шведский стол"</t>
        </is>
      </c>
      <c r="K840" s="5" t="n">
        <v>46257.58333333334</v>
      </c>
      <c r="L840" t="n">
        <v>1</v>
      </c>
      <c r="M840" s="3">
        <f>I840/L840</f>
        <v/>
      </c>
      <c r="N840">
        <f>IF(M840&gt;=5100,"ставка","мин.ставка")</f>
        <v/>
      </c>
      <c r="O840" s="3">
        <f>ROUND(IF(N840="мин.ставка",L840*100,I840/102*2),2)</f>
        <v/>
      </c>
      <c r="P840" s="5" t="n">
        <v>46258.5</v>
      </c>
      <c r="Q840" t="inlineStr">
        <is>
          <t>TravelLine YAX</t>
        </is>
      </c>
      <c r="R840" s="2" t="inlineStr">
        <is>
          <t>СТАНДАРТНЫЙ ДВУХМЕСТНЫЙ НОМЕР (МАНСАРДА)</t>
        </is>
      </c>
      <c r="S840" t="n">
        <v>41</v>
      </c>
      <c r="T840" t="n">
        <v>1</v>
      </c>
      <c r="U840" t="inlineStr"/>
      <c r="V840" t="inlineStr">
        <is>
          <t>Тариф с завтраком</t>
        </is>
      </c>
      <c r="W840" t="n">
        <v>6557</v>
      </c>
      <c r="X840" s="3" t="n">
        <v>1343</v>
      </c>
      <c r="Y840" t="inlineStr">
        <is>
          <t>17%</t>
        </is>
      </c>
      <c r="Z840" t="inlineStr">
        <is>
          <t>2026-08-23</t>
        </is>
      </c>
      <c r="AA840" s="3" t="n">
        <v>6557</v>
      </c>
      <c r="AB840" t="inlineStr">
        <is>
          <t>Сошлось по ночным тарифам</t>
        </is>
      </c>
      <c r="AC840" s="2" t="inlineStr"/>
      <c r="AD840" t="n">
        <v>1343</v>
      </c>
      <c r="AE840" t="n">
        <v>0</v>
      </c>
      <c r="AF840" t="inlineStr">
        <is>
          <t>Скидка добавлена к налоговой базе</t>
        </is>
      </c>
      <c r="AG840" t="n">
        <v>7900</v>
      </c>
      <c r="AH840" t="n">
        <v>6557</v>
      </c>
      <c r="AI840" t="inlineStr">
        <is>
          <t>Полное проживание в выбранном периоде</t>
        </is>
      </c>
    </row>
    <row r="841">
      <c r="A841" t="inlineStr">
        <is>
          <t>20260927-8186-461038134</t>
        </is>
      </c>
      <c r="B841" t="n">
        <v>1</v>
      </c>
      <c r="C841" s="2" t="inlineStr">
        <is>
          <t>Светлана Слепцова</t>
        </is>
      </c>
      <c r="D841" s="3" t="n">
        <v>6557</v>
      </c>
      <c r="E841" s="4" t="n">
        <v>18</v>
      </c>
      <c r="F841" t="inlineStr">
        <is>
          <t>Яндекс.Путешествия [Чайковский]</t>
        </is>
      </c>
      <c r="G841" s="3">
        <f>ROUND(D841/(100-E841)*100,2)</f>
        <v/>
      </c>
      <c r="H841" s="3" t="n">
        <v>0</v>
      </c>
      <c r="I841" s="3">
        <f>ROUND(IF(ISNUMBER(AG841),AG841,G841)+H841,2)</f>
        <v/>
      </c>
      <c r="J841" s="2" t="inlineStr">
        <is>
          <t>Завтрак "Шведский стол"</t>
        </is>
      </c>
      <c r="K841" s="5" t="n">
        <v>46292.58333333334</v>
      </c>
      <c r="L841" t="n">
        <v>1</v>
      </c>
      <c r="M841" s="3">
        <f>I841/L841</f>
        <v/>
      </c>
      <c r="N841">
        <f>IF(M841&gt;=5100,"ставка","мин.ставка")</f>
        <v/>
      </c>
      <c r="O841" s="3">
        <f>ROUND(IF(N841="мин.ставка",L841*100,I841/102*2),2)</f>
        <v/>
      </c>
      <c r="P841" s="5" t="n">
        <v>46293.5</v>
      </c>
      <c r="Q841" t="inlineStr">
        <is>
          <t>TravelLine YAX</t>
        </is>
      </c>
      <c r="R841" s="2" t="inlineStr">
        <is>
          <t>СТАНДАРТНЫЙ ДВУХМЕСТНЫЙ НОМЕР (МАНСАРДА)</t>
        </is>
      </c>
      <c r="S841" t="n">
        <v>43</v>
      </c>
      <c r="T841" t="n">
        <v>1</v>
      </c>
      <c r="U841" t="inlineStr"/>
      <c r="V841" t="inlineStr">
        <is>
          <t>Тариф с завтраком</t>
        </is>
      </c>
      <c r="W841" t="n">
        <v>6557</v>
      </c>
      <c r="X841" s="3" t="n">
        <v>1343</v>
      </c>
      <c r="Y841" t="inlineStr">
        <is>
          <t>17%</t>
        </is>
      </c>
      <c r="Z841" t="inlineStr">
        <is>
          <t>2026-09-27</t>
        </is>
      </c>
      <c r="AA841" s="3" t="n">
        <v>6557</v>
      </c>
      <c r="AB841" t="inlineStr">
        <is>
          <t>Сошлось по ночным тарифам</t>
        </is>
      </c>
      <c r="AC841" s="2" t="inlineStr"/>
      <c r="AD841" t="n">
        <v>1343</v>
      </c>
      <c r="AE841" t="n">
        <v>0</v>
      </c>
      <c r="AF841" t="inlineStr">
        <is>
          <t>Скидка добавлена к налоговой базе</t>
        </is>
      </c>
      <c r="AG841" t="n">
        <v>7900</v>
      </c>
      <c r="AH841" t="n">
        <v>6557</v>
      </c>
      <c r="AI841" t="inlineStr">
        <is>
          <t>Полное проживание в выбранном периоде</t>
        </is>
      </c>
    </row>
    <row r="842">
      <c r="A842" t="inlineStr">
        <is>
          <t>20260808-8186-411825729</t>
        </is>
      </c>
      <c r="B842" t="n">
        <v>1</v>
      </c>
      <c r="C842" s="2" t="inlineStr">
        <is>
          <t>Светлана Смирнова, Дмитрий Букатов</t>
        </is>
      </c>
      <c r="D842" s="3" t="n">
        <v>15840</v>
      </c>
      <c r="E842" s="4" t="n">
        <v>18</v>
      </c>
      <c r="F842" t="inlineStr">
        <is>
          <t>Яндекс.Путешествия [Чайковский]</t>
        </is>
      </c>
      <c r="G842" s="3">
        <f>ROUND(D842/(100-E842)*100,2)</f>
        <v/>
      </c>
      <c r="H842" s="3" t="n">
        <v>0</v>
      </c>
      <c r="I842" s="3">
        <f>ROUND(IF(ISNUMBER(AG842),AG842,G842)+H842,2)</f>
        <v/>
      </c>
      <c r="J842" s="2" t="inlineStr">
        <is>
          <t>Завтрак "Шведский стол"</t>
        </is>
      </c>
      <c r="K842" s="5" t="n">
        <v>46242.58333333334</v>
      </c>
      <c r="L842" t="n">
        <v>2</v>
      </c>
      <c r="M842" s="3">
        <f>I842/L842</f>
        <v/>
      </c>
      <c r="N842">
        <f>IF(M842&gt;=5100,"ставка","мин.ставка")</f>
        <v/>
      </c>
      <c r="O842" s="3">
        <f>ROUND(IF(N842="мин.ставка",L842*100,I842/102*2),2)</f>
        <v/>
      </c>
      <c r="P842" s="5" t="n">
        <v>46244.5</v>
      </c>
      <c r="Q842" t="inlineStr">
        <is>
          <t>TravelLine YAX</t>
        </is>
      </c>
      <c r="R842" s="2" t="inlineStr">
        <is>
          <t>СТАНДАРТНЫЙ ДВУХМЕСТНЫЙ НОМЕР (МАНСАРДА)</t>
        </is>
      </c>
      <c r="S842" t="n">
        <v>45</v>
      </c>
      <c r="T842" t="n">
        <v>1</v>
      </c>
      <c r="U842" t="inlineStr"/>
      <c r="V842" t="inlineStr">
        <is>
          <t>Тариф с завтраком</t>
        </is>
      </c>
      <c r="W842" t="n">
        <v>15840</v>
      </c>
      <c r="X842" s="3" t="n">
        <v>3960</v>
      </c>
      <c r="Y842" t="inlineStr">
        <is>
          <t>20%</t>
        </is>
      </c>
      <c r="Z842" t="inlineStr">
        <is>
          <t>2026-08-08, 2026-08-09</t>
        </is>
      </c>
      <c r="AA842" s="3" t="n">
        <v>15840</v>
      </c>
      <c r="AB842" t="inlineStr">
        <is>
          <t>Сошлось по ночным тарифам</t>
        </is>
      </c>
      <c r="AC842" s="2" t="inlineStr"/>
      <c r="AD842" t="n">
        <v>3960</v>
      </c>
      <c r="AE842" t="n">
        <v>0</v>
      </c>
      <c r="AF842" t="inlineStr">
        <is>
          <t>Скидка добавлена к налоговой базе</t>
        </is>
      </c>
      <c r="AG842" t="n">
        <v>19800</v>
      </c>
      <c r="AH842" t="n">
        <v>15840</v>
      </c>
      <c r="AI842" t="inlineStr">
        <is>
          <t>Полное проживание в выбранном периоде</t>
        </is>
      </c>
    </row>
    <row r="843">
      <c r="A843" t="inlineStr">
        <is>
          <t>20260928-8186-464218932</t>
        </is>
      </c>
      <c r="B843" t="n">
        <v>1</v>
      </c>
      <c r="C843" s="2" t="inlineStr">
        <is>
          <t>Светлана Федорова, Лев Родин</t>
        </is>
      </c>
      <c r="D843" s="3" t="n">
        <v>14850</v>
      </c>
      <c r="E843" s="4" t="n">
        <v>18</v>
      </c>
      <c r="F843" t="inlineStr">
        <is>
          <t>Яндекс.Путешествия [Чайковский]</t>
        </is>
      </c>
      <c r="G843" s="3">
        <f>ROUND(D843/(100-E843)*100,2)</f>
        <v/>
      </c>
      <c r="H843" s="3" t="n">
        <v>0</v>
      </c>
      <c r="I843" s="3">
        <f>ROUND(IF(ISNUMBER(AG843),AG843,G843)+H843,2)</f>
        <v/>
      </c>
      <c r="J843" s="2" t="inlineStr">
        <is>
          <t>Завтрак "Шведский стол"</t>
        </is>
      </c>
      <c r="K843" s="5" t="n">
        <v>46293.58333333334</v>
      </c>
      <c r="L843" t="n">
        <v>2</v>
      </c>
      <c r="M843" s="3">
        <f>I843/L843</f>
        <v/>
      </c>
      <c r="N843">
        <f>IF(M843&gt;=5100,"ставка","мин.ставка")</f>
        <v/>
      </c>
      <c r="O843" s="3">
        <f>ROUND(IF(N843="мин.ставка",L843*100,I843/102*2),2)</f>
        <v/>
      </c>
      <c r="P843" s="5" t="n">
        <v>46295.5</v>
      </c>
      <c r="Q843" t="inlineStr">
        <is>
          <t>TravelLine YAX</t>
        </is>
      </c>
      <c r="R843" s="2" t="inlineStr">
        <is>
          <t>СТАНДАРТНЫЙ ДВУХМЕСТНЫЙ НОМЕР (МАНСАРДА)</t>
        </is>
      </c>
      <c r="S843" t="n">
        <v>41</v>
      </c>
      <c r="T843" t="n">
        <v>1</v>
      </c>
      <c r="U843" t="inlineStr"/>
      <c r="V843" t="inlineStr">
        <is>
          <t>Тариф с завтраком</t>
        </is>
      </c>
      <c r="W843" t="n">
        <v>14850</v>
      </c>
      <c r="X843" s="3" t="n">
        <v>4950</v>
      </c>
      <c r="Y843" t="inlineStr">
        <is>
          <t>25%</t>
        </is>
      </c>
      <c r="Z843" t="inlineStr">
        <is>
          <t>2026-09-28, 2026-09-29</t>
        </is>
      </c>
      <c r="AA843" s="3" t="n">
        <v>14850</v>
      </c>
      <c r="AB843" t="inlineStr">
        <is>
          <t>Сошлось по ночным тарифам</t>
        </is>
      </c>
      <c r="AC843" s="2" t="inlineStr"/>
      <c r="AD843" t="n">
        <v>4950</v>
      </c>
      <c r="AE843" t="n">
        <v>0</v>
      </c>
      <c r="AF843" t="inlineStr">
        <is>
          <t>Скидка добавлена к налоговой базе</t>
        </is>
      </c>
      <c r="AG843" t="n">
        <v>19800</v>
      </c>
      <c r="AH843" t="n">
        <v>14850</v>
      </c>
      <c r="AI843" t="inlineStr">
        <is>
          <t>Полное проживание в выбранном периоде</t>
        </is>
      </c>
    </row>
    <row r="844">
      <c r="A844" t="inlineStr">
        <is>
          <t>20260901-8186-461767094</t>
        </is>
      </c>
      <c r="B844" t="n">
        <v>1</v>
      </c>
      <c r="C844" s="2" t="inlineStr">
        <is>
          <t>Светлана Четверткова, Ксения Четверткова</t>
        </is>
      </c>
      <c r="D844" s="3" t="n">
        <v>39600</v>
      </c>
      <c r="E844" s="4" t="n">
        <v>20</v>
      </c>
      <c r="F844" t="inlineStr">
        <is>
          <t>ООО «Дубль Гис» (OTELLO) [Чайковский]</t>
        </is>
      </c>
      <c r="G844" s="3">
        <f>ROUND(D844/(100-E844)*100,2)</f>
        <v/>
      </c>
      <c r="H844" s="3" t="n">
        <v>0</v>
      </c>
      <c r="I844" s="3">
        <f>ROUND(IF(ISNUMBER(AG844),AG844,G844)+H844,2)</f>
        <v/>
      </c>
      <c r="J844" s="2" t="inlineStr">
        <is>
          <t>Завтрак "Шведский стол"</t>
        </is>
      </c>
      <c r="K844" s="5" t="n">
        <v>46266.58333333334</v>
      </c>
      <c r="L844" t="n">
        <v>3</v>
      </c>
      <c r="M844" s="3">
        <f>I844/L844</f>
        <v/>
      </c>
      <c r="N844">
        <f>IF(M844&gt;=5100,"ставка","мин.ставка")</f>
        <v/>
      </c>
      <c r="O844" s="3">
        <f>ROUND(IF(N844="мин.ставка",L844*100,I844/102*2),2)</f>
        <v/>
      </c>
      <c r="P844" s="5" t="n">
        <v>46269.5</v>
      </c>
      <c r="Q844" t="inlineStr">
        <is>
          <t>TravelLine OL2</t>
        </is>
      </c>
      <c r="R844" s="2" t="inlineStr">
        <is>
          <t>ПОЛУЛЮКС</t>
        </is>
      </c>
      <c r="S844" t="n">
        <v>25</v>
      </c>
      <c r="T844" t="n">
        <v>1</v>
      </c>
      <c r="U844" t="inlineStr"/>
      <c r="V844" t="inlineStr">
        <is>
          <t>Тариф с завтраком</t>
        </is>
      </c>
      <c r="W844" t="n">
        <v>39600</v>
      </c>
      <c r="X844" s="3" t="n">
        <v>9900</v>
      </c>
      <c r="Y844" t="inlineStr">
        <is>
          <t>20%</t>
        </is>
      </c>
      <c r="Z844" t="inlineStr">
        <is>
          <t>2026-09-01, 2026-09-02, 2026-09-03</t>
        </is>
      </c>
      <c r="AA844" s="3" t="n">
        <v>39600</v>
      </c>
      <c r="AB844" t="inlineStr">
        <is>
          <t>Сошлось по ночным тарифам</t>
        </is>
      </c>
      <c r="AC844" s="2" t="inlineStr"/>
      <c r="AD844" t="n">
        <v>9900</v>
      </c>
      <c r="AE844" t="n">
        <v>0</v>
      </c>
      <c r="AF844" t="inlineStr">
        <is>
          <t>Скидка добавлена к налоговой базе</t>
        </is>
      </c>
      <c r="AG844" t="n">
        <v>49500</v>
      </c>
      <c r="AH844" t="n">
        <v>39600</v>
      </c>
      <c r="AI844" t="inlineStr">
        <is>
          <t>Полное проживание в выбранном периоде</t>
        </is>
      </c>
    </row>
    <row r="845">
      <c r="A845" t="inlineStr">
        <is>
          <t>20260718-8186-450585289</t>
        </is>
      </c>
      <c r="B845" t="n">
        <v>1</v>
      </c>
      <c r="C845" s="2" t="inlineStr">
        <is>
          <t>Святослав Семенов</t>
        </is>
      </c>
      <c r="D845" s="3" t="n">
        <v>10115</v>
      </c>
      <c r="E845" s="4" t="n">
        <v>15</v>
      </c>
      <c r="F845" t="inlineStr">
        <is>
          <t>ООО Тинькофф Путешествия [Чайковский]</t>
        </is>
      </c>
      <c r="G845" s="3">
        <f>ROUND(D845/(100-E845)*100,2)</f>
        <v/>
      </c>
      <c r="H845" s="3" t="n">
        <v>0</v>
      </c>
      <c r="I845" s="3">
        <f>ROUND(IF(ISNUMBER(AG845),AG845,G845)+H845,2)</f>
        <v/>
      </c>
      <c r="J845" s="2" t="inlineStr"/>
      <c r="K845" s="5" t="n">
        <v>46221.58333333334</v>
      </c>
      <c r="L845" t="n">
        <v>1</v>
      </c>
      <c r="M845" s="3">
        <f>I845/L845</f>
        <v/>
      </c>
      <c r="N845">
        <f>IF(M845&gt;=5100,"ставка","мин.ставка")</f>
        <v/>
      </c>
      <c r="O845" s="3">
        <f>ROUND(IF(N845="мин.ставка",L845*100,I845/102*2),2)</f>
        <v/>
      </c>
      <c r="P845" s="5" t="n">
        <v>46222.5</v>
      </c>
      <c r="Q845" t="inlineStr">
        <is>
          <t>TravelLine TNK</t>
        </is>
      </c>
      <c r="R845" s="2" t="inlineStr">
        <is>
          <t>УЛУЧШЕННЫЙ ДВУХМЕСТНЫЙ НОМЕР</t>
        </is>
      </c>
      <c r="S845" t="n">
        <v>31</v>
      </c>
      <c r="T845" t="n">
        <v>1</v>
      </c>
      <c r="U845" t="inlineStr"/>
      <c r="V845" t="inlineStr">
        <is>
          <t>Основной тариф без завтрака</t>
        </is>
      </c>
      <c r="W845" t="n">
        <v>10115</v>
      </c>
      <c r="X845" s="3" t="n">
        <v>1785</v>
      </c>
      <c r="Y845" t="inlineStr">
        <is>
          <t>15%</t>
        </is>
      </c>
      <c r="Z845" t="inlineStr">
        <is>
          <t>2026-07-18</t>
        </is>
      </c>
      <c r="AA845" s="3" t="n">
        <v>10115</v>
      </c>
      <c r="AB845" t="inlineStr">
        <is>
          <t>Сошлось по ночным тарифам</t>
        </is>
      </c>
      <c r="AC845" s="2" t="inlineStr"/>
      <c r="AD845" t="n">
        <v>1785</v>
      </c>
      <c r="AE845" t="n">
        <v>0</v>
      </c>
      <c r="AF845" t="inlineStr">
        <is>
          <t>Скидка добавлена к налоговой базе</t>
        </is>
      </c>
      <c r="AG845" t="n">
        <v>11900</v>
      </c>
      <c r="AH845" t="n">
        <v>10115</v>
      </c>
      <c r="AI845" t="inlineStr">
        <is>
          <t>Полное проживание в выбранном периоде</t>
        </is>
      </c>
    </row>
    <row r="846">
      <c r="A846" t="inlineStr">
        <is>
          <t>20260720-8186-434464061</t>
        </is>
      </c>
      <c r="B846" t="n">
        <v>1</v>
      </c>
      <c r="C846" s="2" t="inlineStr">
        <is>
          <t>СЕВДА МАМЕДОВА, РОМАН МЕЖОВ</t>
        </is>
      </c>
      <c r="D846" s="3" t="n">
        <v>66000</v>
      </c>
      <c r="E846" s="4" t="n">
        <v>20</v>
      </c>
      <c r="F846" t="inlineStr">
        <is>
          <t>ООО "ХБ-ПРО" [Чайковский]</t>
        </is>
      </c>
      <c r="G846" s="3">
        <f>ROUND(D846/(100-E846)*100,2)</f>
        <v/>
      </c>
      <c r="H846" s="3" t="n">
        <v>8250</v>
      </c>
      <c r="I846" s="3">
        <f>ROUND(IF(ISNUMBER(AG846),AG846,G846)+H846,2)</f>
        <v/>
      </c>
      <c r="J846" s="2" t="inlineStr">
        <is>
          <t>продление номера — 8 250,00 ₽; Завтрак "Шведский стол"</t>
        </is>
      </c>
      <c r="K846" s="5" t="n">
        <v>46223.58333333334</v>
      </c>
      <c r="L846" t="n">
        <v>5</v>
      </c>
      <c r="M846" s="3">
        <f>I846/L846</f>
        <v/>
      </c>
      <c r="N846">
        <f>IF(M846&gt;=5100,"ставка","мин.ставка")</f>
        <v/>
      </c>
      <c r="O846" s="3">
        <f>ROUND(IF(N846="мин.ставка",L846*100,I846/102*2),2)</f>
        <v/>
      </c>
      <c r="P846" s="5" t="n">
        <v>46228.75</v>
      </c>
      <c r="Q846" t="inlineStr">
        <is>
          <t>TravelLine UTS</t>
        </is>
      </c>
      <c r="R846" s="2" t="inlineStr">
        <is>
          <t>ПОЛУЛЮКС</t>
        </is>
      </c>
      <c r="S846" t="n">
        <v>35</v>
      </c>
      <c r="T846" t="n">
        <v>1</v>
      </c>
      <c r="U846" t="inlineStr"/>
      <c r="V846" t="inlineStr">
        <is>
          <t>Тариф с завтраком</t>
        </is>
      </c>
      <c r="W846" t="n">
        <v>74250</v>
      </c>
      <c r="X846" s="3" t="n">
        <v>0</v>
      </c>
      <c r="Y846" t="inlineStr"/>
      <c r="Z846" t="inlineStr"/>
      <c r="AA846" s="3" t="n">
        <v>66000</v>
      </c>
      <c r="AB846" t="inlineStr">
        <is>
          <t>Сошлось с услугами</t>
        </is>
      </c>
      <c r="AC846" s="2" t="inlineStr"/>
      <c r="AD846" t="n">
        <v>0</v>
      </c>
      <c r="AE846" t="n">
        <v>0</v>
      </c>
      <c r="AF846" t="inlineStr">
        <is>
          <t>Скидки нет</t>
        </is>
      </c>
      <c r="AG846" t="n">
        <v>66000</v>
      </c>
      <c r="AH846" t="n">
        <v>66000</v>
      </c>
      <c r="AI846" t="inlineStr">
        <is>
          <t>Полное проживание в выбранном периоде</t>
        </is>
      </c>
    </row>
    <row r="847">
      <c r="A847" t="inlineStr">
        <is>
          <t>20260816-8186-457807232</t>
        </is>
      </c>
      <c r="B847" t="n">
        <v>1</v>
      </c>
      <c r="C847" s="2" t="inlineStr">
        <is>
          <t>Семен Влах, Екатерина Суханова</t>
        </is>
      </c>
      <c r="D847" s="3" t="n">
        <v>32752.5</v>
      </c>
      <c r="E847" s="4" t="n">
        <v>4</v>
      </c>
      <c r="F847" t="inlineStr">
        <is>
          <t>TravelLine Booking Engine [Чайковский]</t>
        </is>
      </c>
      <c r="G847" s="3">
        <f>ROUND(D847/(100-E847)*100,2)</f>
        <v/>
      </c>
      <c r="H847" s="3" t="n">
        <v>300</v>
      </c>
      <c r="I847" s="3">
        <f>ROUND(IF(ISNUMBER(AG847),AG847,G847)+H847,2)</f>
        <v/>
      </c>
      <c r="J847" s="2" t="inlineStr">
        <is>
          <t>продление номера — 300,00 ₽; Завтрак "Шведский стол"</t>
        </is>
      </c>
      <c r="K847" s="5" t="n">
        <v>46250.58333333334</v>
      </c>
      <c r="L847" t="n">
        <v>2</v>
      </c>
      <c r="M847" s="3">
        <f>I847/L847</f>
        <v/>
      </c>
      <c r="N847">
        <f>IF(M847&gt;=5100,"ставка","мин.ставка")</f>
        <v/>
      </c>
      <c r="O847" s="3">
        <f>ROUND(IF(N847="мин.ставка",L847*100,I847/102*2),2)</f>
        <v/>
      </c>
      <c r="P847" s="5" t="n">
        <v>46252.5</v>
      </c>
      <c r="Q847" t="inlineStr">
        <is>
          <t>TravelLine сайт</t>
        </is>
      </c>
      <c r="R847" s="2" t="inlineStr">
        <is>
          <t>ПОЛУЛЮКС</t>
        </is>
      </c>
      <c r="S847" t="n">
        <v>35</v>
      </c>
      <c r="T847" t="n">
        <v>1</v>
      </c>
      <c r="U847" t="inlineStr"/>
      <c r="V847" t="inlineStr">
        <is>
          <t>Тариф с завтраком</t>
        </is>
      </c>
      <c r="W847" t="n">
        <v>33052.5</v>
      </c>
      <c r="X847" s="3" t="n">
        <v>247.5</v>
      </c>
      <c r="Y847" t="inlineStr">
        <is>
          <t>1.5%</t>
        </is>
      </c>
      <c r="Z847" t="inlineStr">
        <is>
          <t>2026-08-16</t>
        </is>
      </c>
      <c r="AA847" s="3" t="n">
        <v>32752.5</v>
      </c>
      <c r="AB847" t="inlineStr">
        <is>
          <t>Сошлось с услугами</t>
        </is>
      </c>
      <c r="AC847" s="2" t="inlineStr"/>
      <c r="AD847" t="n">
        <v>247.5</v>
      </c>
      <c r="AE847" t="n">
        <v>0</v>
      </c>
      <c r="AF847" t="inlineStr">
        <is>
          <t>Скидка добавлена к налоговой базе</t>
        </is>
      </c>
      <c r="AG847" t="n">
        <v>33000</v>
      </c>
      <c r="AH847" t="n">
        <v>32752.5</v>
      </c>
      <c r="AI847" t="inlineStr">
        <is>
          <t>Полное проживание в выбранном периоде</t>
        </is>
      </c>
    </row>
    <row r="848">
      <c r="A848" t="inlineStr">
        <is>
          <t>20260915-8186-434150224</t>
        </is>
      </c>
      <c r="B848" t="n">
        <v>1</v>
      </c>
      <c r="C848" s="2" t="inlineStr">
        <is>
          <t>Семен Гурьев</t>
        </is>
      </c>
      <c r="D848" s="3" t="n">
        <v>19635</v>
      </c>
      <c r="E848" s="4" t="n">
        <v>15</v>
      </c>
      <c r="F848" t="inlineStr">
        <is>
          <t>ООО "АКАДЕМ-ОНЛАЙН" [Чайковский]</t>
        </is>
      </c>
      <c r="G848" s="3">
        <f>ROUND(D848/(100-E848)*100,2)</f>
        <v/>
      </c>
      <c r="H848" s="3" t="n">
        <v>0</v>
      </c>
      <c r="I848" s="3">
        <f>ROUND(IF(ISNUMBER(AG848),AG848,G848)+H848,2)</f>
        <v/>
      </c>
      <c r="J848" s="2" t="inlineStr">
        <is>
          <t>Завтрак "Шведский стол"</t>
        </is>
      </c>
      <c r="K848" s="5" t="n">
        <v>46280.58333333334</v>
      </c>
      <c r="L848" t="n">
        <v>3</v>
      </c>
      <c r="M848" s="3">
        <f>I848/L848</f>
        <v/>
      </c>
      <c r="N848">
        <f>IF(M848&gt;=5100,"ставка","мин.ставка")</f>
        <v/>
      </c>
      <c r="O848" s="3">
        <f>ROUND(IF(N848="мин.ставка",L848*100,I848/102*2),2)</f>
        <v/>
      </c>
      <c r="P848" s="5" t="n">
        <v>46283.5</v>
      </c>
      <c r="Q848" t="inlineStr">
        <is>
          <t>TravelLine ACS</t>
        </is>
      </c>
      <c r="R848" s="2" t="inlineStr">
        <is>
          <t>СТАНДАРТНЫЙ ОДНОМЕСТНЫЙ НОМЕР</t>
        </is>
      </c>
      <c r="S848" t="n">
        <v>24</v>
      </c>
      <c r="T848" t="n">
        <v>1</v>
      </c>
      <c r="U848" t="inlineStr"/>
      <c r="V848" t="inlineStr">
        <is>
          <t>Тариф с завтраком</t>
        </is>
      </c>
      <c r="W848" t="n">
        <v>19635</v>
      </c>
      <c r="X848" s="3" t="n">
        <v>3465</v>
      </c>
      <c r="Y848" t="inlineStr">
        <is>
          <t>15%</t>
        </is>
      </c>
      <c r="Z848" t="inlineStr">
        <is>
          <t>2026-09-15, 2026-09-16, 2026-09-17</t>
        </is>
      </c>
      <c r="AA848" s="3" t="n">
        <v>19635</v>
      </c>
      <c r="AB848" t="inlineStr">
        <is>
          <t>Сошлось по ночным тарифам</t>
        </is>
      </c>
      <c r="AC848" s="2" t="inlineStr"/>
      <c r="AD848" t="n">
        <v>3465</v>
      </c>
      <c r="AE848" t="n">
        <v>0</v>
      </c>
      <c r="AF848" t="inlineStr">
        <is>
          <t>Скидка добавлена к налоговой базе</t>
        </is>
      </c>
      <c r="AG848" t="n">
        <v>23100</v>
      </c>
      <c r="AH848" t="n">
        <v>19635</v>
      </c>
      <c r="AI848" t="inlineStr">
        <is>
          <t>Полное проживание в выбранном периоде</t>
        </is>
      </c>
    </row>
    <row r="849">
      <c r="A849" t="inlineStr">
        <is>
          <t>20260802-8186-429074020</t>
        </is>
      </c>
      <c r="B849" t="n">
        <v>1</v>
      </c>
      <c r="C849" s="2" t="inlineStr">
        <is>
          <t>Семен Клямкин, ЕЛЕНА МЕЩЕРЯКОВА</t>
        </is>
      </c>
      <c r="D849" s="3" t="n">
        <v>56737.5</v>
      </c>
      <c r="E849" s="4" t="n">
        <v>20</v>
      </c>
      <c r="F849" t="inlineStr">
        <is>
          <t>ООО «Дубль Гис» (OTELLO) [Чайковский]</t>
        </is>
      </c>
      <c r="G849" s="3">
        <f>ROUND(D849/(100-E849)*100,2)</f>
        <v/>
      </c>
      <c r="H849" s="3" t="n">
        <v>0</v>
      </c>
      <c r="I849" s="3">
        <f>ROUND(IF(ISNUMBER(AG849),AG849,G849)+H849,2)</f>
        <v/>
      </c>
      <c r="J849" s="2" t="inlineStr">
        <is>
          <t>Завтрак "Шведский стол"</t>
        </is>
      </c>
      <c r="K849" s="5" t="n">
        <v>46236.58333333334</v>
      </c>
      <c r="L849" t="n">
        <v>5</v>
      </c>
      <c r="M849" s="3">
        <f>I849/L849</f>
        <v/>
      </c>
      <c r="N849">
        <f>IF(M849&gt;=5100,"ставка","мин.ставка")</f>
        <v/>
      </c>
      <c r="O849" s="3">
        <f>ROUND(IF(N849="мин.ставка",L849*100,I849/102*2),2)</f>
        <v/>
      </c>
      <c r="P849" s="5" t="n">
        <v>46241.5</v>
      </c>
      <c r="Q849" t="inlineStr">
        <is>
          <t>TravelLine OL2</t>
        </is>
      </c>
      <c r="R849" s="2" t="inlineStr">
        <is>
          <t>СТАНДАРТНЫЙ ДВУХМЕСТНЫЙ НОМЕР</t>
        </is>
      </c>
      <c r="S849" t="n">
        <v>32</v>
      </c>
      <c r="T849" t="n">
        <v>1</v>
      </c>
      <c r="U849" t="inlineStr"/>
      <c r="V849" t="inlineStr">
        <is>
          <t>Тариф с завтраком</t>
        </is>
      </c>
      <c r="W849" t="n">
        <v>113475</v>
      </c>
      <c r="X849" s="3" t="n">
        <v>10012.5</v>
      </c>
      <c r="Y849" t="inlineStr">
        <is>
          <t>15%</t>
        </is>
      </c>
      <c r="Z849" t="inlineStr">
        <is>
          <t>2026-08-02, 2026-08-03, 2026-08-04, 2026-08-05, 2026-08-06</t>
        </is>
      </c>
      <c r="AA849" s="3" t="n">
        <v>56737.5</v>
      </c>
      <c r="AB849" t="inlineStr">
        <is>
          <t>Сошлось по ночным тарифам</t>
        </is>
      </c>
      <c r="AC849" s="2" t="inlineStr"/>
      <c r="AD849" t="n">
        <v>10012.5</v>
      </c>
      <c r="AE849" t="n">
        <v>0</v>
      </c>
      <c r="AF849" t="inlineStr">
        <is>
          <t>Скидка добавлена к налоговой базе</t>
        </is>
      </c>
      <c r="AG849" t="n">
        <v>66750</v>
      </c>
      <c r="AH849" t="n">
        <v>56737.5</v>
      </c>
      <c r="AI849" t="inlineStr">
        <is>
          <t>Полное проживание в выбранном периоде</t>
        </is>
      </c>
    </row>
    <row r="850">
      <c r="A850" t="inlineStr">
        <is>
          <t>20260827-8186-461645701</t>
        </is>
      </c>
      <c r="B850" t="n">
        <v>1</v>
      </c>
      <c r="C850" s="2" t="inlineStr">
        <is>
          <t>Семён Новосельский</t>
        </is>
      </c>
      <c r="D850" s="3" t="n">
        <v>22348.15</v>
      </c>
      <c r="E850" s="4" t="n">
        <v>4</v>
      </c>
      <c r="F850" t="inlineStr">
        <is>
          <t>TravelLine Booking Engine [Чайковский]</t>
        </is>
      </c>
      <c r="G850" s="3">
        <f>ROUND(D850/(100-E850)*100,2)</f>
        <v/>
      </c>
      <c r="H850" s="3" t="n">
        <v>0</v>
      </c>
      <c r="I850" s="3">
        <f>ROUND(IF(ISNUMBER(AG850),AG850,G850)+H850,2)</f>
        <v/>
      </c>
      <c r="J850" s="2" t="inlineStr">
        <is>
          <t>Завтрак "Шведский стол"</t>
        </is>
      </c>
      <c r="K850" s="5" t="n">
        <v>46261.58333333334</v>
      </c>
      <c r="L850" t="n">
        <v>2</v>
      </c>
      <c r="M850" s="3">
        <f>I850/L850</f>
        <v/>
      </c>
      <c r="N850">
        <f>IF(M850&gt;=5100,"ставка","мин.ставка")</f>
        <v/>
      </c>
      <c r="O850" s="3">
        <f>ROUND(IF(N850="мин.ставка",L850*100,I850/102*2),2)</f>
        <v/>
      </c>
      <c r="P850" s="5" t="n">
        <v>46263.5</v>
      </c>
      <c r="Q850" t="inlineStr">
        <is>
          <t>TravelLine сайт</t>
        </is>
      </c>
      <c r="R850" s="2" t="inlineStr">
        <is>
          <t>СТАНДАРТНЫЙ ДВУХМЕСТНЫЙ НОМЕР</t>
        </is>
      </c>
      <c r="S850" t="n">
        <v>55</v>
      </c>
      <c r="T850" t="n">
        <v>2</v>
      </c>
      <c r="U850" t="inlineStr"/>
      <c r="V850" t="inlineStr">
        <is>
          <t>Тариф с завтраком</t>
        </is>
      </c>
      <c r="W850" t="n">
        <v>48634.3</v>
      </c>
      <c r="X850" s="3" t="n">
        <v>351.85</v>
      </c>
      <c r="Y850" t="inlineStr">
        <is>
          <t>3.1%</t>
        </is>
      </c>
      <c r="Z850" t="inlineStr">
        <is>
          <t>2026-08-27</t>
        </is>
      </c>
      <c r="AA850" s="3" t="n">
        <v>22348.15</v>
      </c>
      <c r="AB850" t="inlineStr">
        <is>
          <t>Сошлось по ночным тарифам</t>
        </is>
      </c>
      <c r="AC850" s="2" t="inlineStr"/>
      <c r="AD850" t="n">
        <v>351.85</v>
      </c>
      <c r="AE850" t="n">
        <v>0</v>
      </c>
      <c r="AF850" t="inlineStr">
        <is>
          <t>Скидка добавлена к налоговой базе</t>
        </is>
      </c>
      <c r="AG850" t="n">
        <v>22700</v>
      </c>
      <c r="AH850" t="n">
        <v>22348.15</v>
      </c>
      <c r="AI850" t="inlineStr">
        <is>
          <t>Полное проживание в выбранном периоде</t>
        </is>
      </c>
    </row>
    <row r="851">
      <c r="A851" t="inlineStr">
        <is>
          <t>20260711-8186-430006493</t>
        </is>
      </c>
      <c r="B851" t="n">
        <v>1</v>
      </c>
      <c r="C851" s="2" t="inlineStr">
        <is>
          <t>Сергей Денисов, Юлия Денисова</t>
        </is>
      </c>
      <c r="D851" s="3" t="n">
        <v>56737.5</v>
      </c>
      <c r="E851" s="4" t="n">
        <v>0</v>
      </c>
      <c r="F851" t="inlineStr">
        <is>
          <t>ООО "АЛЕАН ОТДЫХ" [Чайковский]</t>
        </is>
      </c>
      <c r="G851" s="3">
        <f>ROUND(D851/(100-E851)*100,2)</f>
        <v/>
      </c>
      <c r="H851" s="3" t="n">
        <v>9175</v>
      </c>
      <c r="I851" s="3">
        <f>ROUND(IF(ISNUMBER(AG851),AG851,G851)+H851,2)</f>
        <v/>
      </c>
      <c r="J851" s="2" t="inlineStr">
        <is>
          <t>meal_bf_buffet_1; meal_bf_buffet_1; продление номера — 1 800,00 ₽; продление номера — 400,00 ₽; продление номера — 300,00 ₽; продление номера — 6 675,00 ₽; Завтрак "Шведский стол"</t>
        </is>
      </c>
      <c r="K851" s="5" t="n">
        <v>46214.58333333334</v>
      </c>
      <c r="L851" t="n">
        <v>5</v>
      </c>
      <c r="M851" s="3">
        <f>I851/L851</f>
        <v/>
      </c>
      <c r="N851">
        <f>IF(M851&gt;=5100,"ставка","мин.ставка")</f>
        <v/>
      </c>
      <c r="O851" s="3">
        <f>ROUND(IF(N851="мин.ставка",L851*100,I851/102*2),2)</f>
        <v/>
      </c>
      <c r="P851" s="5" t="n">
        <v>46219.58333333334</v>
      </c>
      <c r="Q851" t="inlineStr">
        <is>
          <t>TravelLine ALN</t>
        </is>
      </c>
      <c r="R851" s="2" t="inlineStr">
        <is>
          <t>СТАНДАРТНЫЙ ДВУХМЕСТНЫЙ НОМЕР</t>
        </is>
      </c>
      <c r="S851" t="n">
        <v>55</v>
      </c>
      <c r="T851" t="n">
        <v>2</v>
      </c>
      <c r="U851" t="inlineStr"/>
      <c r="V851" t="inlineStr">
        <is>
          <t>Тариф с завтраком</t>
        </is>
      </c>
      <c r="W851" t="n">
        <v>65912.5</v>
      </c>
      <c r="X851" s="3" t="n">
        <v>10012.5</v>
      </c>
      <c r="Y851" t="inlineStr">
        <is>
          <t>15%</t>
        </is>
      </c>
      <c r="Z851" t="inlineStr">
        <is>
          <t>2026-07-11, 2026-07-12, 2026-07-13, 2026-07-14, 2026-07-15</t>
        </is>
      </c>
      <c r="AA851" s="3" t="n">
        <v>56737.5</v>
      </c>
      <c r="AB851" t="inlineStr">
        <is>
          <t>Сошлось с услугами</t>
        </is>
      </c>
      <c r="AC851" s="2" t="inlineStr"/>
      <c r="AD851" t="n">
        <v>10012.5</v>
      </c>
      <c r="AE851" t="n">
        <v>0</v>
      </c>
      <c r="AF851" t="inlineStr">
        <is>
          <t>Скидка добавлена к налоговой базе</t>
        </is>
      </c>
      <c r="AG851" t="n">
        <v>66750</v>
      </c>
      <c r="AH851" t="n">
        <v>56737.5</v>
      </c>
      <c r="AI851" t="inlineStr">
        <is>
          <t>Полное проживание в выбранном периоде</t>
        </is>
      </c>
    </row>
    <row r="852">
      <c r="A852" t="inlineStr">
        <is>
          <t>20260922-8186-464618227</t>
        </is>
      </c>
      <c r="B852" t="n">
        <v>1</v>
      </c>
      <c r="C852" s="2" t="inlineStr">
        <is>
          <t>Сергей Иванов, Юлия Иванова</t>
        </is>
      </c>
      <c r="D852" s="3" t="n">
        <v>20025</v>
      </c>
      <c r="E852" s="4" t="n">
        <v>18</v>
      </c>
      <c r="F852" t="inlineStr">
        <is>
          <t>Яндекс.Путешествия [Чайковский]</t>
        </is>
      </c>
      <c r="G852" s="3">
        <f>ROUND(D852/(100-E852)*100,2)</f>
        <v/>
      </c>
      <c r="H852" s="3" t="n">
        <v>0</v>
      </c>
      <c r="I852" s="3">
        <f>ROUND(IF(ISNUMBER(AG852),AG852,G852)+H852,2)</f>
        <v/>
      </c>
      <c r="J852" s="2" t="inlineStr">
        <is>
          <t>Завтрак "Шведский стол"</t>
        </is>
      </c>
      <c r="K852" s="5" t="n">
        <v>46287.58333333334</v>
      </c>
      <c r="L852" t="n">
        <v>2</v>
      </c>
      <c r="M852" s="3">
        <f>I852/L852</f>
        <v/>
      </c>
      <c r="N852">
        <f>IF(M852&gt;=5100,"ставка","мин.ставка")</f>
        <v/>
      </c>
      <c r="O852" s="3">
        <f>ROUND(IF(N852="мин.ставка",L852*100,I852/102*2),2)</f>
        <v/>
      </c>
      <c r="P852" s="5" t="n">
        <v>46289.5</v>
      </c>
      <c r="Q852" t="inlineStr">
        <is>
          <t>TravelLine YAX</t>
        </is>
      </c>
      <c r="R852" s="2" t="inlineStr">
        <is>
          <t>СТАНДАРТНЫЙ ДВУХМЕСТНЫЙ НОМЕР</t>
        </is>
      </c>
      <c r="S852" t="n">
        <v>22</v>
      </c>
      <c r="T852" t="n">
        <v>1</v>
      </c>
      <c r="U852" t="inlineStr"/>
      <c r="V852" t="inlineStr">
        <is>
          <t>Тариф с завтраком</t>
        </is>
      </c>
      <c r="W852" t="n">
        <v>20025</v>
      </c>
      <c r="X852" s="3" t="n">
        <v>6675</v>
      </c>
      <c r="Y852" t="inlineStr">
        <is>
          <t>25%</t>
        </is>
      </c>
      <c r="Z852" t="inlineStr">
        <is>
          <t>2026-09-22, 2026-09-23</t>
        </is>
      </c>
      <c r="AA852" s="3" t="n">
        <v>20025</v>
      </c>
      <c r="AB852" t="inlineStr">
        <is>
          <t>Сошлось по ночным тарифам</t>
        </is>
      </c>
      <c r="AC852" s="2" t="inlineStr"/>
      <c r="AD852" t="n">
        <v>6675</v>
      </c>
      <c r="AE852" t="n">
        <v>0</v>
      </c>
      <c r="AF852" t="inlineStr">
        <is>
          <t>Скидка добавлена к налоговой базе</t>
        </is>
      </c>
      <c r="AG852" t="n">
        <v>26700</v>
      </c>
      <c r="AH852" t="n">
        <v>20025</v>
      </c>
      <c r="AI852" t="inlineStr">
        <is>
          <t>Полное проживание в выбранном периоде</t>
        </is>
      </c>
    </row>
    <row r="853">
      <c r="A853" t="inlineStr">
        <is>
          <t>20260720-8186-450544842</t>
        </is>
      </c>
      <c r="B853" t="n">
        <v>1</v>
      </c>
      <c r="C853" s="2" t="inlineStr">
        <is>
          <t>СЕРГЕЙ КИРИЛИХИН</t>
        </is>
      </c>
      <c r="D853" s="3" t="n">
        <v>11390</v>
      </c>
      <c r="E853" s="4" t="n">
        <v>15</v>
      </c>
      <c r="F853" t="inlineStr">
        <is>
          <t>ООО "БРОНИРОВАНИЕ ГОСТИНИЦ" (OSTROVOK) [Чайковский]</t>
        </is>
      </c>
      <c r="G853" s="3">
        <f>ROUND(D853/(100-E853)*100,2)</f>
        <v/>
      </c>
      <c r="H853" s="3" t="n">
        <v>0</v>
      </c>
      <c r="I853" s="3">
        <f>ROUND(IF(ISNUMBER(AG853),AG853,G853)+H853,2)</f>
        <v/>
      </c>
      <c r="J853" s="2" t="inlineStr">
        <is>
          <t>Завтрак "Шведский стол"</t>
        </is>
      </c>
      <c r="K853" s="5" t="n">
        <v>46223.58333333334</v>
      </c>
      <c r="L853" t="n">
        <v>1</v>
      </c>
      <c r="M853" s="3">
        <f>I853/L853</f>
        <v/>
      </c>
      <c r="N853">
        <f>IF(M853&gt;=5100,"ставка","мин.ставка")</f>
        <v/>
      </c>
      <c r="O853" s="3">
        <f>ROUND(IF(N853="мин.ставка",L853*100,I853/102*2),2)</f>
        <v/>
      </c>
      <c r="P853" s="5" t="n">
        <v>46224.5</v>
      </c>
      <c r="Q853" t="inlineStr">
        <is>
          <t>TravelLine OTK</t>
        </is>
      </c>
      <c r="R853" s="2" t="inlineStr">
        <is>
          <t>УЛУЧШЕННЫЙ ДВУХМЕСТНЫЙ НОМЕР</t>
        </is>
      </c>
      <c r="S853" t="n">
        <v>21</v>
      </c>
      <c r="T853" t="n">
        <v>1</v>
      </c>
      <c r="U853" t="inlineStr"/>
      <c r="V853" t="inlineStr">
        <is>
          <t>Тариф с завтраком</t>
        </is>
      </c>
      <c r="W853" t="n">
        <v>11390</v>
      </c>
      <c r="X853" s="3" t="n">
        <v>2010</v>
      </c>
      <c r="Y853" t="inlineStr">
        <is>
          <t>15%</t>
        </is>
      </c>
      <c r="Z853" t="inlineStr">
        <is>
          <t>2026-07-20</t>
        </is>
      </c>
      <c r="AA853" s="3" t="n">
        <v>11390</v>
      </c>
      <c r="AB853" t="inlineStr">
        <is>
          <t>Сошлось по ночным тарифам</t>
        </is>
      </c>
      <c r="AC853" s="2" t="inlineStr"/>
      <c r="AD853" t="n">
        <v>2010</v>
      </c>
      <c r="AE853" t="n">
        <v>0</v>
      </c>
      <c r="AF853" t="inlineStr">
        <is>
          <t>Скидка добавлена к налоговой базе</t>
        </is>
      </c>
      <c r="AG853" t="n">
        <v>13400</v>
      </c>
      <c r="AH853" t="n">
        <v>11390</v>
      </c>
      <c r="AI853" t="inlineStr">
        <is>
          <t>Полное проживание в выбранном периоде</t>
        </is>
      </c>
    </row>
    <row r="854">
      <c r="A854" t="inlineStr">
        <is>
          <t>20260801-8186-454949220</t>
        </is>
      </c>
      <c r="B854" t="n">
        <v>1</v>
      </c>
      <c r="C854" s="2" t="inlineStr">
        <is>
          <t>СЕРГЕЙ КОРЧИН</t>
        </is>
      </c>
      <c r="D854" s="3" t="n">
        <v>26180</v>
      </c>
      <c r="E854" s="4" t="n">
        <v>16</v>
      </c>
      <c r="F854" t="inlineStr">
        <is>
          <t>ООО "БРОНИРОВАНИЕ ГОСТИНИЦ" (OSTROVOK) [Чайковский]</t>
        </is>
      </c>
      <c r="G854" s="3">
        <f>ROUND(D854/(100-E854)*100,2)</f>
        <v/>
      </c>
      <c r="H854" s="3" t="n">
        <v>0</v>
      </c>
      <c r="I854" s="3">
        <f>ROUND(IF(ISNUMBER(AG854),AG854,G854)+H854,2)</f>
        <v/>
      </c>
      <c r="J854" s="2" t="inlineStr">
        <is>
          <t>Завтрак "Шведский стол"</t>
        </is>
      </c>
      <c r="K854" s="5" t="n">
        <v>46235.58333333334</v>
      </c>
      <c r="L854" t="n">
        <v>4</v>
      </c>
      <c r="M854" s="3">
        <f>I854/L854</f>
        <v/>
      </c>
      <c r="N854">
        <f>IF(M854&gt;=5100,"ставка","мин.ставка")</f>
        <v/>
      </c>
      <c r="O854" s="3">
        <f>ROUND(IF(N854="мин.ставка",L854*100,I854/102*2),2)</f>
        <v/>
      </c>
      <c r="P854" s="5" t="n">
        <v>46239.5</v>
      </c>
      <c r="Q854" t="inlineStr">
        <is>
          <t>TravelLine OTK</t>
        </is>
      </c>
      <c r="R854" s="2" t="inlineStr">
        <is>
          <t>СТАНДАРТНЫЙ ОДНОМЕСТНЫЙ НОМЕР</t>
        </is>
      </c>
      <c r="S854" t="n">
        <v>34</v>
      </c>
      <c r="T854" t="n">
        <v>1</v>
      </c>
      <c r="U854" t="inlineStr"/>
      <c r="V854" t="inlineStr">
        <is>
          <t>Тариф с завтраком</t>
        </is>
      </c>
      <c r="W854" t="n">
        <v>26180</v>
      </c>
      <c r="X854" s="3" t="n">
        <v>4620</v>
      </c>
      <c r="Y854" t="inlineStr">
        <is>
          <t>15%</t>
        </is>
      </c>
      <c r="Z854" t="inlineStr">
        <is>
          <t>2026-08-01, 2026-08-02, 2026-08-03, 2026-08-04</t>
        </is>
      </c>
      <c r="AA854" s="3" t="n">
        <v>26180</v>
      </c>
      <c r="AB854" t="inlineStr">
        <is>
          <t>Сошлось по ночным тарифам</t>
        </is>
      </c>
      <c r="AC854" s="2" t="inlineStr"/>
      <c r="AD854" t="n">
        <v>4620</v>
      </c>
      <c r="AE854" t="n">
        <v>0</v>
      </c>
      <c r="AF854" t="inlineStr">
        <is>
          <t>Скидка добавлена к налоговой базе</t>
        </is>
      </c>
      <c r="AG854" t="n">
        <v>30800</v>
      </c>
      <c r="AH854" t="n">
        <v>26180</v>
      </c>
      <c r="AI854" t="inlineStr">
        <is>
          <t>Полное проживание в выбранном периоде</t>
        </is>
      </c>
    </row>
    <row r="855">
      <c r="A855" t="inlineStr">
        <is>
          <t>20260807-8186-456681097</t>
        </is>
      </c>
      <c r="B855" t="n">
        <v>1</v>
      </c>
      <c r="C855" s="2" t="inlineStr">
        <is>
          <t>СЕРГЕЙ КОРЧИН</t>
        </is>
      </c>
      <c r="D855" s="3" t="n">
        <v>20916</v>
      </c>
      <c r="E855" s="4" t="n">
        <v>16</v>
      </c>
      <c r="F855" t="inlineStr">
        <is>
          <t>ООО "БРОНИРОВАНИЕ ГОСТИНИЦ" (OSTROVOK) [Чайковский]</t>
        </is>
      </c>
      <c r="G855" s="3">
        <f>ROUND(D855/(100-E855)*100,2)</f>
        <v/>
      </c>
      <c r="H855" s="3" t="n">
        <v>200</v>
      </c>
      <c r="I855" s="3">
        <f>ROUND(IF(ISNUMBER(AG855),AG855,G855)+H855,2)</f>
        <v/>
      </c>
      <c r="J855" s="2" t="inlineStr">
        <is>
          <t>продление номера — 200,00 ₽; Завтрак "Шведский стол"</t>
        </is>
      </c>
      <c r="K855" s="5" t="n">
        <v>46241.58333333334</v>
      </c>
      <c r="L855" t="n">
        <v>2</v>
      </c>
      <c r="M855" s="3">
        <f>I855/L855</f>
        <v/>
      </c>
      <c r="N855">
        <f>IF(M855&gt;=5100,"ставка","мин.ставка")</f>
        <v/>
      </c>
      <c r="O855" s="3">
        <f>ROUND(IF(N855="мин.ставка",L855*100,I855/102*2),2)</f>
        <v/>
      </c>
      <c r="P855" s="5" t="n">
        <v>46243.5</v>
      </c>
      <c r="Q855" t="inlineStr">
        <is>
          <t>TravelLine OTK</t>
        </is>
      </c>
      <c r="R855" s="2" t="inlineStr">
        <is>
          <t>СЕМЕЙНЫЙ НОМЕР КАТЕГОРИИ "СТАНДАРТ" ВТОРОЙ КОРПУС</t>
        </is>
      </c>
      <c r="S855" t="n">
        <v>50</v>
      </c>
      <c r="T855" t="n">
        <v>2</v>
      </c>
      <c r="U855" t="inlineStr"/>
      <c r="V855" t="inlineStr">
        <is>
          <t>Тариф с завтраком</t>
        </is>
      </c>
      <c r="W855" t="n">
        <v>21116</v>
      </c>
      <c r="X855" s="3" t="n">
        <v>3984</v>
      </c>
      <c r="Y855" t="inlineStr">
        <is>
          <t>16%</t>
        </is>
      </c>
      <c r="Z855" t="inlineStr">
        <is>
          <t>2026-08-07, 2026-08-08</t>
        </is>
      </c>
      <c r="AA855" s="3" t="n">
        <v>20916</v>
      </c>
      <c r="AB855" t="inlineStr">
        <is>
          <t>Сошлось с услугами</t>
        </is>
      </c>
      <c r="AC855" s="2" t="inlineStr"/>
      <c r="AD855" t="n">
        <v>3984</v>
      </c>
      <c r="AE855" t="n">
        <v>0</v>
      </c>
      <c r="AF855" t="inlineStr">
        <is>
          <t>Скидка добавлена к налоговой базе</t>
        </is>
      </c>
      <c r="AG855" t="n">
        <v>24900</v>
      </c>
      <c r="AH855" t="n">
        <v>20916</v>
      </c>
      <c r="AI855" t="inlineStr">
        <is>
          <t>Полное проживание в выбранном периоде</t>
        </is>
      </c>
    </row>
    <row r="856">
      <c r="A856" t="inlineStr">
        <is>
          <t>20260809-8186-457090858</t>
        </is>
      </c>
      <c r="B856" t="n">
        <v>1</v>
      </c>
      <c r="C856" s="2" t="inlineStr">
        <is>
          <t>СЕРГЕЙ КОРЧИН</t>
        </is>
      </c>
      <c r="D856" s="3" t="n">
        <v>12450</v>
      </c>
      <c r="E856" s="4" t="n">
        <v>0</v>
      </c>
      <c r="F856" t="inlineStr">
        <is>
          <t>Прямые бронирования (стойка) [Чайковский]</t>
        </is>
      </c>
      <c r="G856" s="3">
        <f>ROUND(D856/(100-E856)*100,2)</f>
        <v/>
      </c>
      <c r="H856" s="3" t="n">
        <v>0</v>
      </c>
      <c r="I856" s="3">
        <f>ROUND(IF(ISNUMBER(AG856),AG856,G856)+H856,2)</f>
        <v/>
      </c>
      <c r="J856" s="2" t="inlineStr">
        <is>
          <t>Завтрак "Шведский стол"</t>
        </is>
      </c>
      <c r="K856" s="5" t="n">
        <v>46243.58333333334</v>
      </c>
      <c r="L856" t="n">
        <v>1</v>
      </c>
      <c r="M856" s="3">
        <f>I856/L856</f>
        <v/>
      </c>
      <c r="N856">
        <f>IF(M856&gt;=5100,"ставка","мин.ставка")</f>
        <v/>
      </c>
      <c r="O856" s="3">
        <f>ROUND(IF(N856="мин.ставка",L856*100,I856/102*2),2)</f>
        <v/>
      </c>
      <c r="P856" s="5" t="n">
        <v>46244.5</v>
      </c>
      <c r="Q856" t="inlineStr">
        <is>
          <t>TravelLine ресепшен</t>
        </is>
      </c>
      <c r="R856" s="2" t="inlineStr">
        <is>
          <t>СЕМЕЙНЫЙ НОМЕР КАТЕГОРИИ "СТАНДАРТ" ВТОРОЙ КОРПУС</t>
        </is>
      </c>
      <c r="S856" t="n">
        <v>50</v>
      </c>
      <c r="T856" t="n">
        <v>2</v>
      </c>
      <c r="U856" t="inlineStr"/>
      <c r="V856" t="inlineStr">
        <is>
          <t>Тариф с завтраком</t>
        </is>
      </c>
      <c r="W856" t="n">
        <v>12450</v>
      </c>
      <c r="X856" s="3" t="n">
        <v>0</v>
      </c>
      <c r="Y856" t="inlineStr"/>
      <c r="Z856" t="inlineStr"/>
      <c r="AA856" s="3" t="n">
        <v>12450</v>
      </c>
      <c r="AB856" t="inlineStr">
        <is>
          <t>Сошлось по ночным тарифам</t>
        </is>
      </c>
      <c r="AC856" s="2" t="inlineStr"/>
      <c r="AD856" t="n">
        <v>0</v>
      </c>
      <c r="AE856" t="n">
        <v>0</v>
      </c>
      <c r="AF856" t="inlineStr">
        <is>
          <t>Скидки нет</t>
        </is>
      </c>
      <c r="AG856" t="n">
        <v>12450</v>
      </c>
      <c r="AH856" t="n">
        <v>12450</v>
      </c>
      <c r="AI856" t="inlineStr">
        <is>
          <t>Полное проживание в выбранном периоде</t>
        </is>
      </c>
    </row>
    <row r="857">
      <c r="A857" t="inlineStr">
        <is>
          <t>20260810-8186-457337413</t>
        </is>
      </c>
      <c r="B857" t="n">
        <v>1</v>
      </c>
      <c r="C857" s="2" t="inlineStr">
        <is>
          <t>СЕРГЕЙ КОРЧИН</t>
        </is>
      </c>
      <c r="D857" s="3" t="n">
        <v>6930</v>
      </c>
      <c r="E857" s="4" t="n">
        <v>0</v>
      </c>
      <c r="F857" t="inlineStr">
        <is>
          <t>Прямые бронирования (стойка) [Чайковский]</t>
        </is>
      </c>
      <c r="G857" s="3">
        <f>ROUND(D857/(100-E857)*100,2)</f>
        <v/>
      </c>
      <c r="H857" s="3" t="n">
        <v>0</v>
      </c>
      <c r="I857" s="3">
        <f>ROUND(IF(ISNUMBER(AG857),AG857,G857)+H857,2)</f>
        <v/>
      </c>
      <c r="J857" s="2" t="inlineStr">
        <is>
          <t>Завтрак "Шведский стол"</t>
        </is>
      </c>
      <c r="K857" s="5" t="n">
        <v>46244.58333333334</v>
      </c>
      <c r="L857" t="n">
        <v>1</v>
      </c>
      <c r="M857" s="3">
        <f>I857/L857</f>
        <v/>
      </c>
      <c r="N857">
        <f>IF(M857&gt;=5100,"ставка","мин.ставка")</f>
        <v/>
      </c>
      <c r="O857" s="3">
        <f>ROUND(IF(N857="мин.ставка",L857*100,I857/102*2),2)</f>
        <v/>
      </c>
      <c r="P857" s="5" t="n">
        <v>46245.5</v>
      </c>
      <c r="Q857" t="inlineStr">
        <is>
          <t>TravelLine ресепшен</t>
        </is>
      </c>
      <c r="R857" s="2" t="inlineStr">
        <is>
          <t>СТАНДАРТНЫЙ ОДНОМЕСТНЫЙ НОМЕР</t>
        </is>
      </c>
      <c r="S857" t="n">
        <v>34</v>
      </c>
      <c r="T857" t="n">
        <v>1</v>
      </c>
      <c r="U857" t="inlineStr"/>
      <c r="V857" t="inlineStr">
        <is>
          <t>Тариф с завтраком</t>
        </is>
      </c>
      <c r="W857" t="n">
        <v>6930</v>
      </c>
      <c r="X857" s="3" t="n">
        <v>770</v>
      </c>
      <c r="Y857" t="inlineStr">
        <is>
          <t>10%</t>
        </is>
      </c>
      <c r="Z857" t="inlineStr">
        <is>
          <t>2026-08-10</t>
        </is>
      </c>
      <c r="AA857" s="3" t="n">
        <v>6930</v>
      </c>
      <c r="AB857" t="inlineStr">
        <is>
          <t>Сошлось по ночным тарифам</t>
        </is>
      </c>
      <c r="AC857" s="2" t="inlineStr"/>
      <c r="AD857" t="n">
        <v>770</v>
      </c>
      <c r="AE857" t="n">
        <v>0</v>
      </c>
      <c r="AF857" t="inlineStr">
        <is>
          <t>Скидка добавлена к налоговой базе</t>
        </is>
      </c>
      <c r="AG857" t="n">
        <v>7700</v>
      </c>
      <c r="AH857" t="n">
        <v>6930</v>
      </c>
      <c r="AI857" t="inlineStr">
        <is>
          <t>Полное проживание в выбранном периоде</t>
        </is>
      </c>
    </row>
    <row r="858">
      <c r="A858" t="inlineStr">
        <is>
          <t>20260914-8186-463962780</t>
        </is>
      </c>
      <c r="B858" t="n">
        <v>1</v>
      </c>
      <c r="C858" s="2" t="inlineStr">
        <is>
          <t>Сергей Котов, Елена Котова</t>
        </is>
      </c>
      <c r="D858" s="3" t="n">
        <v>28050</v>
      </c>
      <c r="E858" s="4" t="n">
        <v>15</v>
      </c>
      <c r="F858" t="inlineStr">
        <is>
          <t>ООО Тинькофф Путешествия [Чайковский]</t>
        </is>
      </c>
      <c r="G858" s="3">
        <f>ROUND(D858/(100-E858)*100,2)</f>
        <v/>
      </c>
      <c r="H858" s="3" t="n">
        <v>0</v>
      </c>
      <c r="I858" s="3">
        <f>ROUND(IF(ISNUMBER(AG858),AG858,G858)+H858,2)</f>
        <v/>
      </c>
      <c r="J858" s="2" t="inlineStr">
        <is>
          <t>Завтрак "Шведский стол"</t>
        </is>
      </c>
      <c r="K858" s="5" t="n">
        <v>46279.58333333334</v>
      </c>
      <c r="L858" t="n">
        <v>2</v>
      </c>
      <c r="M858" s="3">
        <f>I858/L858</f>
        <v/>
      </c>
      <c r="N858">
        <f>IF(M858&gt;=5100,"ставка","мин.ставка")</f>
        <v/>
      </c>
      <c r="O858" s="3">
        <f>ROUND(IF(N858="мин.ставка",L858*100,I858/102*2),2)</f>
        <v/>
      </c>
      <c r="P858" s="5" t="n">
        <v>46281.5</v>
      </c>
      <c r="Q858" t="inlineStr">
        <is>
          <t>TravelLine TNK</t>
        </is>
      </c>
      <c r="R858" s="2" t="inlineStr">
        <is>
          <t>ПОЛУЛЮКС</t>
        </is>
      </c>
      <c r="S858" t="n">
        <v>35</v>
      </c>
      <c r="T858" t="n">
        <v>1</v>
      </c>
      <c r="U858" t="inlineStr"/>
      <c r="V858" t="inlineStr">
        <is>
          <t>Тариф с завтраком</t>
        </is>
      </c>
      <c r="W858" t="n">
        <v>28050</v>
      </c>
      <c r="X858" s="3" t="n">
        <v>4950</v>
      </c>
      <c r="Y858" t="inlineStr">
        <is>
          <t>15%</t>
        </is>
      </c>
      <c r="Z858" t="inlineStr">
        <is>
          <t>2026-09-14, 2026-09-15</t>
        </is>
      </c>
      <c r="AA858" s="3" t="n">
        <v>28050</v>
      </c>
      <c r="AB858" t="inlineStr">
        <is>
          <t>Сошлось по ночным тарифам</t>
        </is>
      </c>
      <c r="AC858" s="2" t="inlineStr"/>
      <c r="AD858" t="n">
        <v>4950</v>
      </c>
      <c r="AE858" t="n">
        <v>0</v>
      </c>
      <c r="AF858" t="inlineStr">
        <is>
          <t>Скидка добавлена к налоговой базе</t>
        </is>
      </c>
      <c r="AG858" t="n">
        <v>33000</v>
      </c>
      <c r="AH858" t="n">
        <v>28050</v>
      </c>
      <c r="AI858" t="inlineStr">
        <is>
          <t>Полное проживание в выбранном периоде</t>
        </is>
      </c>
    </row>
    <row r="859">
      <c r="A859" t="inlineStr">
        <is>
          <t>20260912-8186-465616787</t>
        </is>
      </c>
      <c r="B859" t="n">
        <v>1</v>
      </c>
      <c r="C859" s="2" t="inlineStr">
        <is>
          <t>Сергей Краузе, Елена Мариевская</t>
        </is>
      </c>
      <c r="D859" s="3" t="n">
        <v>11214</v>
      </c>
      <c r="E859" s="4" t="n">
        <v>16</v>
      </c>
      <c r="F859" t="inlineStr">
        <is>
          <t>ООО "БРОНИРОВАНИЕ ГОСТИНИЦ" (OSTROVOK) [Чайковский]</t>
        </is>
      </c>
      <c r="G859" s="3">
        <f>ROUND(D859/(100-E859)*100,2)</f>
        <v/>
      </c>
      <c r="H859" s="3" t="n">
        <v>0</v>
      </c>
      <c r="I859" s="3">
        <f>ROUND(IF(ISNUMBER(AG859),AG859,G859)+H859,2)</f>
        <v/>
      </c>
      <c r="J859" s="2" t="inlineStr">
        <is>
          <t>Завтрак "Шведский стол"</t>
        </is>
      </c>
      <c r="K859" s="5" t="n">
        <v>46277.58333333334</v>
      </c>
      <c r="L859" t="n">
        <v>1</v>
      </c>
      <c r="M859" s="3">
        <f>I859/L859</f>
        <v/>
      </c>
      <c r="N859">
        <f>IF(M859&gt;=5100,"ставка","мин.ставка")</f>
        <v/>
      </c>
      <c r="O859" s="3">
        <f>ROUND(IF(N859="мин.ставка",L859*100,I859/102*2),2)</f>
        <v/>
      </c>
      <c r="P859" s="5" t="n">
        <v>46278.5</v>
      </c>
      <c r="Q859" t="inlineStr">
        <is>
          <t>TravelLine OTK</t>
        </is>
      </c>
      <c r="R859" s="2" t="inlineStr">
        <is>
          <t>СТАНДАРТНЫЙ ДВУХМЕСТНЫЙ НОМЕР</t>
        </is>
      </c>
      <c r="S859" t="n">
        <v>44</v>
      </c>
      <c r="T859" t="n">
        <v>1</v>
      </c>
      <c r="U859" t="inlineStr"/>
      <c r="V859" t="inlineStr">
        <is>
          <t>Тариф с завтраком</t>
        </is>
      </c>
      <c r="W859" t="n">
        <v>11214</v>
      </c>
      <c r="X859" s="3" t="n">
        <v>2136</v>
      </c>
      <c r="Y859" t="inlineStr">
        <is>
          <t>16%</t>
        </is>
      </c>
      <c r="Z859" t="inlineStr">
        <is>
          <t>2026-09-12</t>
        </is>
      </c>
      <c r="AA859" s="3" t="n">
        <v>11214</v>
      </c>
      <c r="AB859" t="inlineStr">
        <is>
          <t>Сошлось по ночным тарифам</t>
        </is>
      </c>
      <c r="AC859" s="2" t="inlineStr"/>
      <c r="AD859" t="n">
        <v>2136</v>
      </c>
      <c r="AE859" t="n">
        <v>0</v>
      </c>
      <c r="AF859" t="inlineStr">
        <is>
          <t>Скидка добавлена к налоговой базе</t>
        </is>
      </c>
      <c r="AG859" t="n">
        <v>13350</v>
      </c>
      <c r="AH859" t="n">
        <v>11214</v>
      </c>
      <c r="AI859" t="inlineStr">
        <is>
          <t>Полное проживание в выбранном периоде</t>
        </is>
      </c>
    </row>
    <row r="860">
      <c r="A860" t="inlineStr">
        <is>
          <t>20260702-8186-447117619</t>
        </is>
      </c>
      <c r="B860" t="n">
        <v>1</v>
      </c>
      <c r="C860" s="2" t="inlineStr">
        <is>
          <t>сергей кривченко</t>
        </is>
      </c>
      <c r="D860" s="3" t="n">
        <v>12350</v>
      </c>
      <c r="E860" s="4" t="n">
        <v>0</v>
      </c>
      <c r="F860" t="inlineStr">
        <is>
          <t>Прямые бронирования (стойка) [Чайковский]</t>
        </is>
      </c>
      <c r="G860" s="3">
        <f>ROUND(D860/(100-E860)*100,2)</f>
        <v/>
      </c>
      <c r="H860" s="3" t="n">
        <v>0</v>
      </c>
      <c r="I860" s="3">
        <f>ROUND(IF(ISNUMBER(AG860),AG860,G860)+H860,2)</f>
        <v/>
      </c>
      <c r="J860" s="2" t="inlineStr">
        <is>
          <t>Завтрак "Шведский стол"</t>
        </is>
      </c>
      <c r="K860" s="5" t="n">
        <v>46205.58333333334</v>
      </c>
      <c r="L860" t="n">
        <v>1</v>
      </c>
      <c r="M860" s="3">
        <f>I860/L860</f>
        <v/>
      </c>
      <c r="N860">
        <f>IF(M860&gt;=5100,"ставка","мин.ставка")</f>
        <v/>
      </c>
      <c r="O860" s="3">
        <f>ROUND(IF(N860="мин.ставка",L860*100,I860/102*2),2)</f>
        <v/>
      </c>
      <c r="P860" s="5" t="n">
        <v>46206.5</v>
      </c>
      <c r="Q860" t="inlineStr">
        <is>
          <t>TravelLine ресепшен</t>
        </is>
      </c>
      <c r="R860" s="2" t="inlineStr">
        <is>
          <t>СЕМЕЙНЫЙ НОМЕР КАТЕГОРИИ "СТАНДАРТ" ВТОРОЙ КОРПУС</t>
        </is>
      </c>
      <c r="S860" t="n">
        <v>51</v>
      </c>
      <c r="T860" t="n">
        <v>2</v>
      </c>
      <c r="U860" t="inlineStr"/>
      <c r="V860" t="inlineStr">
        <is>
          <t>Тариф с завтраком</t>
        </is>
      </c>
      <c r="W860" t="n">
        <v>12350</v>
      </c>
      <c r="X860" s="3" t="n">
        <v>0</v>
      </c>
      <c r="Y860" t="inlineStr"/>
      <c r="Z860" t="inlineStr"/>
      <c r="AA860" s="3" t="n">
        <v>12350</v>
      </c>
      <c r="AB860" t="inlineStr">
        <is>
          <t>Сошлось по ночным тарифам</t>
        </is>
      </c>
      <c r="AC860" s="2" t="inlineStr"/>
      <c r="AD860" t="n">
        <v>0</v>
      </c>
      <c r="AE860" t="n">
        <v>0</v>
      </c>
      <c r="AF860" t="inlineStr">
        <is>
          <t>Скидки нет</t>
        </is>
      </c>
      <c r="AG860" t="n">
        <v>12350</v>
      </c>
      <c r="AH860" t="n">
        <v>12350</v>
      </c>
      <c r="AI860" t="inlineStr">
        <is>
          <t>Полное проживание в выбранном периоде</t>
        </is>
      </c>
    </row>
    <row r="861">
      <c r="A861" t="inlineStr">
        <is>
          <t>20260708-8186-448685660</t>
        </is>
      </c>
      <c r="B861" t="n">
        <v>1</v>
      </c>
      <c r="C861" s="2" t="inlineStr">
        <is>
          <t>сергей кривченко</t>
        </is>
      </c>
      <c r="D861" s="3" t="n">
        <v>17800</v>
      </c>
      <c r="E861" s="4" t="n">
        <v>0</v>
      </c>
      <c r="F861" t="inlineStr">
        <is>
          <t>Прямые бронирования (стойка) [Чайковский]</t>
        </is>
      </c>
      <c r="G861" s="3">
        <f>ROUND(D861/(100-E861)*100,2)</f>
        <v/>
      </c>
      <c r="H861" s="3" t="n">
        <v>0</v>
      </c>
      <c r="I861" s="3">
        <f>ROUND(IF(ISNUMBER(AG861),AG861,G861)+H861,2)</f>
        <v/>
      </c>
      <c r="J861" s="2" t="inlineStr">
        <is>
          <t>Завтрак "Шведский стол"</t>
        </is>
      </c>
      <c r="K861" s="5" t="n">
        <v>46211.58333333334</v>
      </c>
      <c r="L861" t="n">
        <v>1</v>
      </c>
      <c r="M861" s="3">
        <f>I861/L861</f>
        <v/>
      </c>
      <c r="N861">
        <f>IF(M861&gt;=5100,"ставка","мин.ставка")</f>
        <v/>
      </c>
      <c r="O861" s="3">
        <f>ROUND(IF(N861="мин.ставка",L861*100,I861/102*2),2)</f>
        <v/>
      </c>
      <c r="P861" s="5" t="n">
        <v>46212.5</v>
      </c>
      <c r="Q861" t="inlineStr">
        <is>
          <t>TravelLine ресепшен</t>
        </is>
      </c>
      <c r="R861" s="2" t="inlineStr">
        <is>
          <t>ЛЮКС ВТОРОЙ КОРПУС</t>
        </is>
      </c>
      <c r="S861" t="n">
        <v>53</v>
      </c>
      <c r="T861" t="n">
        <v>2</v>
      </c>
      <c r="U861" t="inlineStr"/>
      <c r="V861" t="inlineStr">
        <is>
          <t>Тариф с завтраком</t>
        </is>
      </c>
      <c r="W861" t="n">
        <v>17800</v>
      </c>
      <c r="X861" s="3" t="n">
        <v>0</v>
      </c>
      <c r="Y861" t="inlineStr"/>
      <c r="Z861" t="inlineStr"/>
      <c r="AA861" s="3" t="n">
        <v>17800</v>
      </c>
      <c r="AB861" t="inlineStr">
        <is>
          <t>Сошлось по ночным тарифам</t>
        </is>
      </c>
      <c r="AC861" s="2" t="inlineStr"/>
      <c r="AD861" t="n">
        <v>0</v>
      </c>
      <c r="AE861" t="n">
        <v>0</v>
      </c>
      <c r="AF861" t="inlineStr">
        <is>
          <t>Скидки нет</t>
        </is>
      </c>
      <c r="AG861" t="n">
        <v>17800</v>
      </c>
      <c r="AH861" t="n">
        <v>17800</v>
      </c>
      <c r="AI861" t="inlineStr">
        <is>
          <t>Полное проживание в выбранном периоде</t>
        </is>
      </c>
    </row>
    <row r="862">
      <c r="A862" t="inlineStr">
        <is>
          <t>20260710-8186-449225976</t>
        </is>
      </c>
      <c r="B862" t="n">
        <v>1</v>
      </c>
      <c r="C862" s="2" t="inlineStr">
        <is>
          <t>сергей кривченко</t>
        </is>
      </c>
      <c r="D862" s="3" t="n">
        <v>9315</v>
      </c>
      <c r="E862" s="4" t="n">
        <v>0</v>
      </c>
      <c r="F862" t="inlineStr">
        <is>
          <t>Прямые бронирования (стойка) [Чайковский]</t>
        </is>
      </c>
      <c r="G862" s="3">
        <f>ROUND(D862/(100-E862)*100,2)</f>
        <v/>
      </c>
      <c r="H862" s="3" t="n">
        <v>0</v>
      </c>
      <c r="I862" s="3">
        <f>ROUND(IF(ISNUMBER(AG862),AG862,G862)+H862,2)</f>
        <v/>
      </c>
      <c r="J862" s="2" t="inlineStr">
        <is>
          <t>Завтрак "Шведский стол"</t>
        </is>
      </c>
      <c r="K862" s="5" t="n">
        <v>46213.58333333334</v>
      </c>
      <c r="L862" t="n">
        <v>1</v>
      </c>
      <c r="M862" s="3">
        <f>I862/L862</f>
        <v/>
      </c>
      <c r="N862">
        <f>IF(M862&gt;=5100,"ставка","мин.ставка")</f>
        <v/>
      </c>
      <c r="O862" s="3">
        <f>ROUND(IF(N862="мин.ставка",L862*100,I862/102*2),2)</f>
        <v/>
      </c>
      <c r="P862" s="5" t="n">
        <v>46214.5</v>
      </c>
      <c r="Q862" t="inlineStr">
        <is>
          <t>TravelLine ресепшен</t>
        </is>
      </c>
      <c r="R862" s="2" t="inlineStr">
        <is>
          <t>СТАНДАРТНЫЙ ДВУХМЕСТНЫЙ НОМЕР</t>
        </is>
      </c>
      <c r="S862" t="n">
        <v>58</v>
      </c>
      <c r="T862" t="n">
        <v>2</v>
      </c>
      <c r="U862" t="inlineStr"/>
      <c r="V862" t="inlineStr">
        <is>
          <t>Тариф с завтраком</t>
        </is>
      </c>
      <c r="W862" t="n">
        <v>9315</v>
      </c>
      <c r="X862" s="3" t="n">
        <v>1035</v>
      </c>
      <c r="Y862" t="inlineStr">
        <is>
          <t>10%</t>
        </is>
      </c>
      <c r="Z862" t="inlineStr">
        <is>
          <t>2026-07-10</t>
        </is>
      </c>
      <c r="AA862" s="3" t="n">
        <v>9315</v>
      </c>
      <c r="AB862" t="inlineStr">
        <is>
          <t>Сошлось по ночным тарифам</t>
        </is>
      </c>
      <c r="AC862" s="2" t="inlineStr"/>
      <c r="AD862" t="n">
        <v>1035</v>
      </c>
      <c r="AE862" t="n">
        <v>0</v>
      </c>
      <c r="AF862" t="inlineStr">
        <is>
          <t>Скидка добавлена к налоговой базе</t>
        </is>
      </c>
      <c r="AG862" t="n">
        <v>10350</v>
      </c>
      <c r="AH862" t="n">
        <v>9315</v>
      </c>
      <c r="AI862" t="inlineStr">
        <is>
          <t>Полное проживание в выбранном периоде</t>
        </is>
      </c>
    </row>
    <row r="863">
      <c r="A863" t="inlineStr">
        <is>
          <t>20260730-8186-454570903</t>
        </is>
      </c>
      <c r="B863" t="n">
        <v>1</v>
      </c>
      <c r="C863" s="2" t="inlineStr">
        <is>
          <t>сергей кривченко</t>
        </is>
      </c>
      <c r="D863" s="3" t="n">
        <v>12015</v>
      </c>
      <c r="E863" s="4" t="n">
        <v>0</v>
      </c>
      <c r="F863" t="inlineStr">
        <is>
          <t>Прямые бронирования (стойка) [Чайковский]</t>
        </is>
      </c>
      <c r="G863" s="3">
        <f>ROUND(D863/(100-E863)*100,2)</f>
        <v/>
      </c>
      <c r="H863" s="3" t="n">
        <v>0</v>
      </c>
      <c r="I863" s="3">
        <f>ROUND(IF(ISNUMBER(AG863),AG863,G863)+H863,2)</f>
        <v/>
      </c>
      <c r="J863" s="2" t="inlineStr">
        <is>
          <t>Завтрак "Шведский стол"</t>
        </is>
      </c>
      <c r="K863" s="5" t="n">
        <v>46233.58333333334</v>
      </c>
      <c r="L863" t="n">
        <v>1</v>
      </c>
      <c r="M863" s="3">
        <f>I863/L863</f>
        <v/>
      </c>
      <c r="N863">
        <f>IF(M863&gt;=5100,"ставка","мин.ставка")</f>
        <v/>
      </c>
      <c r="O863" s="3">
        <f>ROUND(IF(N863="мин.ставка",L863*100,I863/102*2),2)</f>
        <v/>
      </c>
      <c r="P863" s="5" t="n">
        <v>46234.5</v>
      </c>
      <c r="Q863" t="inlineStr">
        <is>
          <t>TravelLine ресепшен</t>
        </is>
      </c>
      <c r="R863" s="2" t="inlineStr">
        <is>
          <t>СТАНДАРТНЫЙ ДВУХМЕСТНЫЙ НОМЕР</t>
        </is>
      </c>
      <c r="S863" t="n">
        <v>52</v>
      </c>
      <c r="T863" t="n">
        <v>2</v>
      </c>
      <c r="U863" t="inlineStr"/>
      <c r="V863" t="inlineStr">
        <is>
          <t>Тариф с завтраком</t>
        </is>
      </c>
      <c r="W863" t="n">
        <v>12015</v>
      </c>
      <c r="X863" s="3" t="n">
        <v>1335</v>
      </c>
      <c r="Y863" t="inlineStr">
        <is>
          <t>10%</t>
        </is>
      </c>
      <c r="Z863" t="inlineStr">
        <is>
          <t>2026-07-30</t>
        </is>
      </c>
      <c r="AA863" s="3" t="n">
        <v>12015</v>
      </c>
      <c r="AB863" t="inlineStr">
        <is>
          <t>Сошлось по ночным тарифам</t>
        </is>
      </c>
      <c r="AC863" s="2" t="inlineStr"/>
      <c r="AD863" t="n">
        <v>1335</v>
      </c>
      <c r="AE863" t="n">
        <v>0</v>
      </c>
      <c r="AF863" t="inlineStr">
        <is>
          <t>Скидка добавлена к налоговой базе</t>
        </is>
      </c>
      <c r="AG863" t="n">
        <v>13350</v>
      </c>
      <c r="AH863" t="n">
        <v>12015</v>
      </c>
      <c r="AI863" t="inlineStr">
        <is>
          <t>Полное проживание в выбранном периоде</t>
        </is>
      </c>
    </row>
    <row r="864">
      <c r="A864" t="inlineStr">
        <is>
          <t>20260801-8186-455105013</t>
        </is>
      </c>
      <c r="B864" t="n">
        <v>1</v>
      </c>
      <c r="C864" s="2" t="inlineStr">
        <is>
          <t>сергей кривченко</t>
        </is>
      </c>
      <c r="D864" s="3" t="n">
        <v>12015</v>
      </c>
      <c r="E864" s="4" t="n">
        <v>0</v>
      </c>
      <c r="F864" t="inlineStr">
        <is>
          <t>Прямые бронирования (стойка) [Чайковский]</t>
        </is>
      </c>
      <c r="G864" s="3">
        <f>ROUND(D864/(100-E864)*100,2)</f>
        <v/>
      </c>
      <c r="H864" s="3" t="n">
        <v>0</v>
      </c>
      <c r="I864" s="3">
        <f>ROUND(IF(ISNUMBER(AG864),AG864,G864)+H864,2)</f>
        <v/>
      </c>
      <c r="J864" s="2" t="inlineStr">
        <is>
          <t>Завтрак "Шведский стол"</t>
        </is>
      </c>
      <c r="K864" s="5" t="n">
        <v>46235.58333333334</v>
      </c>
      <c r="L864" t="n">
        <v>1</v>
      </c>
      <c r="M864" s="3">
        <f>I864/L864</f>
        <v/>
      </c>
      <c r="N864">
        <f>IF(M864&gt;=5100,"ставка","мин.ставка")</f>
        <v/>
      </c>
      <c r="O864" s="3">
        <f>ROUND(IF(N864="мин.ставка",L864*100,I864/102*2),2)</f>
        <v/>
      </c>
      <c r="P864" s="5" t="n">
        <v>46236.5</v>
      </c>
      <c r="Q864" t="inlineStr">
        <is>
          <t>TravelLine ресепшен</t>
        </is>
      </c>
      <c r="R864" s="2" t="inlineStr">
        <is>
          <t>СТАНДАРТНЫЙ ДВУХМЕСТНЫЙ НОМЕР</t>
        </is>
      </c>
      <c r="S864" t="n">
        <v>52</v>
      </c>
      <c r="T864" t="n">
        <v>2</v>
      </c>
      <c r="U864" t="inlineStr"/>
      <c r="V864" t="inlineStr">
        <is>
          <t>Тариф с завтраком</t>
        </is>
      </c>
      <c r="W864" t="n">
        <v>12015</v>
      </c>
      <c r="X864" s="3" t="n">
        <v>1335</v>
      </c>
      <c r="Y864" t="inlineStr">
        <is>
          <t>10%</t>
        </is>
      </c>
      <c r="Z864" t="inlineStr">
        <is>
          <t>2026-08-01</t>
        </is>
      </c>
      <c r="AA864" s="3" t="n">
        <v>12015</v>
      </c>
      <c r="AB864" t="inlineStr">
        <is>
          <t>Сошлось по ночным тарифам</t>
        </is>
      </c>
      <c r="AC864" s="2" t="inlineStr"/>
      <c r="AD864" t="n">
        <v>1335</v>
      </c>
      <c r="AE864" t="n">
        <v>0</v>
      </c>
      <c r="AF864" t="inlineStr">
        <is>
          <t>Скидка добавлена к налоговой базе</t>
        </is>
      </c>
      <c r="AG864" t="n">
        <v>13350</v>
      </c>
      <c r="AH864" t="n">
        <v>12015</v>
      </c>
      <c r="AI864" t="inlineStr">
        <is>
          <t>Полное проживание в выбранном периоде</t>
        </is>
      </c>
    </row>
    <row r="865">
      <c r="A865" t="inlineStr">
        <is>
          <t>20260806-8186-456464200</t>
        </is>
      </c>
      <c r="B865" t="n">
        <v>1</v>
      </c>
      <c r="C865" s="2" t="inlineStr">
        <is>
          <t>сергей кривченко</t>
        </is>
      </c>
      <c r="D865" s="3" t="n">
        <v>16020</v>
      </c>
      <c r="E865" s="4" t="n">
        <v>0</v>
      </c>
      <c r="F865" t="inlineStr">
        <is>
          <t>Прямые бронирования (стойка) [Чайковский]</t>
        </is>
      </c>
      <c r="G865" s="3">
        <f>ROUND(D865/(100-E865)*100,2)</f>
        <v/>
      </c>
      <c r="H865" s="3" t="n">
        <v>0</v>
      </c>
      <c r="I865" s="3">
        <f>ROUND(IF(ISNUMBER(AG865),AG865,G865)+H865,2)</f>
        <v/>
      </c>
      <c r="J865" s="2" t="inlineStr">
        <is>
          <t>Завтрак "Шведский стол"</t>
        </is>
      </c>
      <c r="K865" s="5" t="n">
        <v>46240.58333333334</v>
      </c>
      <c r="L865" t="n">
        <v>1</v>
      </c>
      <c r="M865" s="3">
        <f>I865/L865</f>
        <v/>
      </c>
      <c r="N865">
        <f>IF(M865&gt;=5100,"ставка","мин.ставка")</f>
        <v/>
      </c>
      <c r="O865" s="3">
        <f>ROUND(IF(N865="мин.ставка",L865*100,I865/102*2),2)</f>
        <v/>
      </c>
      <c r="P865" s="5" t="n">
        <v>46241.5</v>
      </c>
      <c r="Q865" t="inlineStr">
        <is>
          <t>TravelLine ресепшен</t>
        </is>
      </c>
      <c r="R865" s="2" t="inlineStr">
        <is>
          <t>ЛЮКС ВТОРОЙ КОРПУС</t>
        </is>
      </c>
      <c r="S865" t="n">
        <v>54</v>
      </c>
      <c r="T865" t="n">
        <v>2</v>
      </c>
      <c r="U865" t="inlineStr"/>
      <c r="V865" t="inlineStr">
        <is>
          <t>Тариф с завтраком</t>
        </is>
      </c>
      <c r="W865" t="n">
        <v>16020</v>
      </c>
      <c r="X865" s="3" t="n">
        <v>1780</v>
      </c>
      <c r="Y865" t="inlineStr">
        <is>
          <t>10%</t>
        </is>
      </c>
      <c r="Z865" t="inlineStr">
        <is>
          <t>2026-08-06</t>
        </is>
      </c>
      <c r="AA865" s="3" t="n">
        <v>16020</v>
      </c>
      <c r="AB865" t="inlineStr">
        <is>
          <t>Сошлось по ночным тарифам</t>
        </is>
      </c>
      <c r="AC865" s="2" t="inlineStr"/>
      <c r="AD865" t="n">
        <v>1780</v>
      </c>
      <c r="AE865" t="n">
        <v>0</v>
      </c>
      <c r="AF865" t="inlineStr">
        <is>
          <t>Скидка добавлена к налоговой базе</t>
        </is>
      </c>
      <c r="AG865" t="n">
        <v>17800</v>
      </c>
      <c r="AH865" t="n">
        <v>16020</v>
      </c>
      <c r="AI865" t="inlineStr">
        <is>
          <t>Полное проживание в выбранном периоде</t>
        </is>
      </c>
    </row>
    <row r="866">
      <c r="A866" t="inlineStr">
        <is>
          <t>20260808-8186-457018634</t>
        </is>
      </c>
      <c r="B866" t="n">
        <v>1</v>
      </c>
      <c r="C866" s="2" t="inlineStr">
        <is>
          <t>сергей кривченко</t>
        </is>
      </c>
      <c r="D866" s="3" t="n">
        <v>14850</v>
      </c>
      <c r="E866" s="4" t="n">
        <v>0</v>
      </c>
      <c r="F866" t="inlineStr">
        <is>
          <t>Прямые бронирования (стойка) [Чайковский]</t>
        </is>
      </c>
      <c r="G866" s="3">
        <f>ROUND(D866/(100-E866)*100,2)</f>
        <v/>
      </c>
      <c r="H866" s="3" t="n">
        <v>0</v>
      </c>
      <c r="I866" s="3">
        <f>ROUND(IF(ISNUMBER(AG866),AG866,G866)+H866,2)</f>
        <v/>
      </c>
      <c r="J866" s="2" t="inlineStr">
        <is>
          <t>Завтрак "Шведский стол"</t>
        </is>
      </c>
      <c r="K866" s="5" t="n">
        <v>46242.58333333334</v>
      </c>
      <c r="L866" t="n">
        <v>1</v>
      </c>
      <c r="M866" s="3">
        <f>I866/L866</f>
        <v/>
      </c>
      <c r="N866">
        <f>IF(M866&gt;=5100,"ставка","мин.ставка")</f>
        <v/>
      </c>
      <c r="O866" s="3">
        <f>ROUND(IF(N866="мин.ставка",L866*100,I866/102*2),2)</f>
        <v/>
      </c>
      <c r="P866" s="5" t="n">
        <v>46243.5</v>
      </c>
      <c r="Q866" t="inlineStr">
        <is>
          <t>TravelLine ресепшен</t>
        </is>
      </c>
      <c r="R866" s="2" t="inlineStr">
        <is>
          <t>ПОЛУЛЮКС</t>
        </is>
      </c>
      <c r="S866" t="n">
        <v>35</v>
      </c>
      <c r="T866" t="n">
        <v>1</v>
      </c>
      <c r="U866" t="inlineStr"/>
      <c r="V866" t="inlineStr">
        <is>
          <t>Тариф с завтраком</t>
        </is>
      </c>
      <c r="W866" t="n">
        <v>14850</v>
      </c>
      <c r="X866" s="3" t="n">
        <v>1650</v>
      </c>
      <c r="Y866" t="inlineStr">
        <is>
          <t>10%</t>
        </is>
      </c>
      <c r="Z866" t="inlineStr">
        <is>
          <t>2026-08-08</t>
        </is>
      </c>
      <c r="AA866" s="3" t="n">
        <v>14850</v>
      </c>
      <c r="AB866" t="inlineStr">
        <is>
          <t>Сошлось по ночным тарифам</t>
        </is>
      </c>
      <c r="AC866" s="2" t="inlineStr"/>
      <c r="AD866" t="n">
        <v>1650</v>
      </c>
      <c r="AE866" t="n">
        <v>0</v>
      </c>
      <c r="AF866" t="inlineStr">
        <is>
          <t>Скидка добавлена к налоговой базе</t>
        </is>
      </c>
      <c r="AG866" t="n">
        <v>16500</v>
      </c>
      <c r="AH866" t="n">
        <v>14850</v>
      </c>
      <c r="AI866" t="inlineStr">
        <is>
          <t>Полное проживание в выбранном периоде</t>
        </is>
      </c>
    </row>
    <row r="867">
      <c r="A867" t="inlineStr">
        <is>
          <t>20260814-8186-458697730</t>
        </is>
      </c>
      <c r="B867" t="n">
        <v>1</v>
      </c>
      <c r="C867" s="2" t="inlineStr">
        <is>
          <t>сергей кривченко</t>
        </is>
      </c>
      <c r="D867" s="3" t="n">
        <v>12015</v>
      </c>
      <c r="E867" s="4" t="n">
        <v>0</v>
      </c>
      <c r="F867" t="inlineStr">
        <is>
          <t>Прямые бронирования (стойка) [Чайковский]</t>
        </is>
      </c>
      <c r="G867" s="3">
        <f>ROUND(D867/(100-E867)*100,2)</f>
        <v/>
      </c>
      <c r="H867" s="3" t="n">
        <v>0</v>
      </c>
      <c r="I867" s="3">
        <f>ROUND(IF(ISNUMBER(AG867),AG867,G867)+H867,2)</f>
        <v/>
      </c>
      <c r="J867" s="2" t="inlineStr">
        <is>
          <t>Завтрак "Шведский стол"</t>
        </is>
      </c>
      <c r="K867" s="5" t="n">
        <v>46248.58333333334</v>
      </c>
      <c r="L867" t="n">
        <v>1</v>
      </c>
      <c r="M867" s="3">
        <f>I867/L867</f>
        <v/>
      </c>
      <c r="N867">
        <f>IF(M867&gt;=5100,"ставка","мин.ставка")</f>
        <v/>
      </c>
      <c r="O867" s="3">
        <f>ROUND(IF(N867="мин.ставка",L867*100,I867/102*2),2)</f>
        <v/>
      </c>
      <c r="P867" s="5" t="n">
        <v>46249.5</v>
      </c>
      <c r="Q867" t="inlineStr">
        <is>
          <t>TravelLine ресепшен</t>
        </is>
      </c>
      <c r="R867" s="2" t="inlineStr">
        <is>
          <t>СТАНДАРТНЫЙ ДВУХМЕСТНЫЙ НОМЕР</t>
        </is>
      </c>
      <c r="S867" t="n">
        <v>32</v>
      </c>
      <c r="T867" t="n">
        <v>1</v>
      </c>
      <c r="U867" t="inlineStr"/>
      <c r="V867" t="inlineStr">
        <is>
          <t>Тариф с завтраком</t>
        </is>
      </c>
      <c r="W867" t="n">
        <v>12015</v>
      </c>
      <c r="X867" s="3" t="n">
        <v>1335</v>
      </c>
      <c r="Y867" t="inlineStr">
        <is>
          <t>10%</t>
        </is>
      </c>
      <c r="Z867" t="inlineStr">
        <is>
          <t>2026-08-14</t>
        </is>
      </c>
      <c r="AA867" s="3" t="n">
        <v>12015</v>
      </c>
      <c r="AB867" t="inlineStr">
        <is>
          <t>Сошлось по ночным тарифам</t>
        </is>
      </c>
      <c r="AC867" s="2" t="inlineStr"/>
      <c r="AD867" t="n">
        <v>1335</v>
      </c>
      <c r="AE867" t="n">
        <v>0</v>
      </c>
      <c r="AF867" t="inlineStr">
        <is>
          <t>Скидка добавлена к налоговой базе</t>
        </is>
      </c>
      <c r="AG867" t="n">
        <v>13350</v>
      </c>
      <c r="AH867" t="n">
        <v>12015</v>
      </c>
      <c r="AI867" t="inlineStr">
        <is>
          <t>Полное проживание в выбранном периоде</t>
        </is>
      </c>
    </row>
    <row r="868">
      <c r="A868" t="inlineStr">
        <is>
          <t>20260810-8186-457508617</t>
        </is>
      </c>
      <c r="B868" t="n">
        <v>1</v>
      </c>
      <c r="C868" s="2" t="inlineStr">
        <is>
          <t>СЕРГЕЙ КУЛИКОВ</t>
        </is>
      </c>
      <c r="D868" s="3" t="n">
        <v>9996</v>
      </c>
      <c r="E868" s="4" t="n">
        <v>16</v>
      </c>
      <c r="F868" t="inlineStr">
        <is>
          <t>ООО "БРОНИРОВАНИЕ ГОСТИНИЦ" (OSTROVOK) [Чайковский]</t>
        </is>
      </c>
      <c r="G868" s="3">
        <f>ROUND(D868/(100-E868)*100,2)</f>
        <v/>
      </c>
      <c r="H868" s="3" t="n">
        <v>0</v>
      </c>
      <c r="I868" s="3">
        <f>ROUND(IF(ISNUMBER(AG868),AG868,G868)+H868,2)</f>
        <v/>
      </c>
      <c r="J868" s="2" t="inlineStr"/>
      <c r="K868" s="5" t="n">
        <v>46244.58333333334</v>
      </c>
      <c r="L868" t="n">
        <v>1</v>
      </c>
      <c r="M868" s="3">
        <f>I868/L868</f>
        <v/>
      </c>
      <c r="N868">
        <f>IF(M868&gt;=5100,"ставка","мин.ставка")</f>
        <v/>
      </c>
      <c r="O868" s="3">
        <f>ROUND(IF(N868="мин.ставка",L868*100,I868/102*2),2)</f>
        <v/>
      </c>
      <c r="P868" s="5" t="n">
        <v>46245.5</v>
      </c>
      <c r="Q868" t="inlineStr">
        <is>
          <t>TravelLine OTK</t>
        </is>
      </c>
      <c r="R868" s="2" t="inlineStr">
        <is>
          <t>УЛУЧШЕННЫЙ ДВУХМЕСТНЫЙ НОМЕР</t>
        </is>
      </c>
      <c r="S868" t="n">
        <v>59</v>
      </c>
      <c r="T868" t="n">
        <v>2</v>
      </c>
      <c r="U868" t="inlineStr"/>
      <c r="V868" t="inlineStr">
        <is>
          <t>Основной тариф без завтрака</t>
        </is>
      </c>
      <c r="W868" t="n">
        <v>9996</v>
      </c>
      <c r="X868" s="3" t="n">
        <v>1904</v>
      </c>
      <c r="Y868" t="inlineStr">
        <is>
          <t>16%</t>
        </is>
      </c>
      <c r="Z868" t="inlineStr">
        <is>
          <t>2026-08-10</t>
        </is>
      </c>
      <c r="AA868" s="3" t="n">
        <v>9996</v>
      </c>
      <c r="AB868" t="inlineStr">
        <is>
          <t>Сошлось по ночным тарифам</t>
        </is>
      </c>
      <c r="AC868" s="2" t="inlineStr"/>
      <c r="AD868" t="n">
        <v>1904</v>
      </c>
      <c r="AE868" t="n">
        <v>0</v>
      </c>
      <c r="AF868" t="inlineStr">
        <is>
          <t>Скидка добавлена к налоговой базе</t>
        </is>
      </c>
      <c r="AG868" t="n">
        <v>11900</v>
      </c>
      <c r="AH868" t="n">
        <v>9996</v>
      </c>
      <c r="AI868" t="inlineStr">
        <is>
          <t>Полное проживание в выбранном периоде</t>
        </is>
      </c>
    </row>
    <row r="869">
      <c r="A869" t="inlineStr">
        <is>
          <t>20260901-8186-421882419</t>
        </is>
      </c>
      <c r="B869" t="n">
        <v>1</v>
      </c>
      <c r="C869" s="2" t="inlineStr">
        <is>
          <t>СЕРГЕЙ ЛОГИНОВ, АЛИСА ЛОГИНОВА</t>
        </is>
      </c>
      <c r="D869" s="3" t="n">
        <v>45390</v>
      </c>
      <c r="E869" s="4" t="n">
        <v>0</v>
      </c>
      <c r="F869" t="inlineStr">
        <is>
          <t>ООО "АЛЕАН ОТДЫХ" [Чайковский]</t>
        </is>
      </c>
      <c r="G869" s="3">
        <f>ROUND(D869/(100-E869)*100,2)</f>
        <v/>
      </c>
      <c r="H869" s="3" t="n">
        <v>0</v>
      </c>
      <c r="I869" s="3">
        <f>ROUND(IF(ISNUMBER(AG869),AG869,G869)+H869,2)</f>
        <v/>
      </c>
      <c r="J869" s="2" t="inlineStr">
        <is>
          <t>meal_bf_buffet_1; meal_bf_buffet_1; Завтрак "Шведский стол"</t>
        </is>
      </c>
      <c r="K869" s="5" t="n">
        <v>46266.58333333334</v>
      </c>
      <c r="L869" t="n">
        <v>4</v>
      </c>
      <c r="M869" s="3">
        <f>I869/L869</f>
        <v/>
      </c>
      <c r="N869">
        <f>IF(M869&gt;=5100,"ставка","мин.ставка")</f>
        <v/>
      </c>
      <c r="O869" s="3">
        <f>ROUND(IF(N869="мин.ставка",L869*100,I869/102*2),2)</f>
        <v/>
      </c>
      <c r="P869" s="5" t="n">
        <v>46270.5</v>
      </c>
      <c r="Q869" t="inlineStr">
        <is>
          <t>TravelLine ALN</t>
        </is>
      </c>
      <c r="R869" s="2" t="inlineStr">
        <is>
          <t>СТАНДАРТНЫЙ ДВУХМЕСТНЫЙ НОМЕР</t>
        </is>
      </c>
      <c r="S869" t="n">
        <v>26</v>
      </c>
      <c r="T869" t="n">
        <v>1</v>
      </c>
      <c r="U869" t="inlineStr"/>
      <c r="V869" t="inlineStr">
        <is>
          <t>Тариф с завтраком</t>
        </is>
      </c>
      <c r="W869" t="n">
        <v>45390</v>
      </c>
      <c r="X869" s="3" t="n">
        <v>8010</v>
      </c>
      <c r="Y869" t="inlineStr">
        <is>
          <t>15%</t>
        </is>
      </c>
      <c r="Z869" t="inlineStr">
        <is>
          <t>2026-09-01, 2026-09-02, 2026-09-03, 2026-09-04</t>
        </is>
      </c>
      <c r="AA869" s="3" t="n">
        <v>45390</v>
      </c>
      <c r="AB869" t="inlineStr">
        <is>
          <t>Сошлось по ночным тарифам</t>
        </is>
      </c>
      <c r="AC869" s="2" t="inlineStr"/>
      <c r="AD869" t="n">
        <v>8010</v>
      </c>
      <c r="AE869" t="n">
        <v>0</v>
      </c>
      <c r="AF869" t="inlineStr">
        <is>
          <t>Скидка добавлена к налоговой базе</t>
        </is>
      </c>
      <c r="AG869" t="n">
        <v>53400</v>
      </c>
      <c r="AH869" t="n">
        <v>45390</v>
      </c>
      <c r="AI869" t="inlineStr">
        <is>
          <t>Полное проживание в выбранном периоде</t>
        </is>
      </c>
    </row>
    <row r="870">
      <c r="A870" t="inlineStr">
        <is>
          <t>20260830-8186-456795871</t>
        </is>
      </c>
      <c r="B870" t="n">
        <v>1</v>
      </c>
      <c r="C870" s="2" t="inlineStr">
        <is>
          <t>СЕРГЕЙ МАКАРОВ, Юлина Макарова</t>
        </is>
      </c>
      <c r="D870" s="3" t="n">
        <v>12015</v>
      </c>
      <c r="E870" s="4" t="n">
        <v>0</v>
      </c>
      <c r="F870" t="inlineStr">
        <is>
          <t>Прямые бронирования (стойка) [Чайковский]</t>
        </is>
      </c>
      <c r="G870" s="3">
        <f>ROUND(D870/(100-E870)*100,2)</f>
        <v/>
      </c>
      <c r="H870" s="3" t="n">
        <v>0</v>
      </c>
      <c r="I870" s="3">
        <f>ROUND(IF(ISNUMBER(AG870),AG870,G870)+H870,2)</f>
        <v/>
      </c>
      <c r="J870" s="2" t="inlineStr">
        <is>
          <t>Завтрак "Шведский стол"</t>
        </is>
      </c>
      <c r="K870" s="5" t="n">
        <v>46264.58333333334</v>
      </c>
      <c r="L870" t="n">
        <v>1</v>
      </c>
      <c r="M870" s="3">
        <f>I870/L870</f>
        <v/>
      </c>
      <c r="N870">
        <f>IF(M870&gt;=5100,"ставка","мин.ставка")</f>
        <v/>
      </c>
      <c r="O870" s="3">
        <f>ROUND(IF(N870="мин.ставка",L870*100,I870/102*2),2)</f>
        <v/>
      </c>
      <c r="P870" s="5" t="n">
        <v>46265.5</v>
      </c>
      <c r="Q870" t="inlineStr">
        <is>
          <t>TravelLine ресепшен</t>
        </is>
      </c>
      <c r="R870" s="2" t="inlineStr">
        <is>
          <t>СТАНДАРТНЫЙ ДВУХМЕСТНЫЙ НОМЕР</t>
        </is>
      </c>
      <c r="S870" t="n">
        <v>26</v>
      </c>
      <c r="T870" t="n">
        <v>1</v>
      </c>
      <c r="U870" t="inlineStr"/>
      <c r="V870" t="inlineStr">
        <is>
          <t>Тариф с завтраком</t>
        </is>
      </c>
      <c r="W870" t="n">
        <v>12015</v>
      </c>
      <c r="X870" s="3" t="n">
        <v>1335</v>
      </c>
      <c r="Y870" t="inlineStr">
        <is>
          <t>10%</t>
        </is>
      </c>
      <c r="Z870" t="inlineStr">
        <is>
          <t>2026-08-30</t>
        </is>
      </c>
      <c r="AA870" s="3" t="n">
        <v>12015</v>
      </c>
      <c r="AB870" t="inlineStr">
        <is>
          <t>Сошлось по ночным тарифам</t>
        </is>
      </c>
      <c r="AC870" s="2" t="inlineStr"/>
      <c r="AD870" t="n">
        <v>1335</v>
      </c>
      <c r="AE870" t="n">
        <v>0</v>
      </c>
      <c r="AF870" t="inlineStr">
        <is>
          <t>Скидка добавлена к налоговой базе</t>
        </is>
      </c>
      <c r="AG870" t="n">
        <v>13350</v>
      </c>
      <c r="AH870" t="n">
        <v>12015</v>
      </c>
      <c r="AI870" t="inlineStr">
        <is>
          <t>Полное проживание в выбранном периоде</t>
        </is>
      </c>
    </row>
    <row r="871">
      <c r="A871" t="inlineStr">
        <is>
          <t>20260727-8186-449971712</t>
        </is>
      </c>
      <c r="B871" t="n">
        <v>1</v>
      </c>
      <c r="C871" s="2" t="inlineStr">
        <is>
          <t>Сергей Маловичко, Елена Зорина</t>
        </is>
      </c>
      <c r="D871" s="3" t="n">
        <v>40560</v>
      </c>
      <c r="E871" s="4" t="n">
        <v>18</v>
      </c>
      <c r="F871" t="inlineStr">
        <is>
          <t>Яндекс.Путешествия [Чайковский]</t>
        </is>
      </c>
      <c r="G871" s="3">
        <f>ROUND(D871/(100-E871)*100,2)</f>
        <v/>
      </c>
      <c r="H871" s="3" t="n">
        <v>0</v>
      </c>
      <c r="I871" s="3">
        <f>ROUND(IF(ISNUMBER(AG871),AG871,G871)+H871,2)</f>
        <v/>
      </c>
      <c r="J871" s="2" t="inlineStr">
        <is>
          <t>Завтрак "Шведский стол"</t>
        </is>
      </c>
      <c r="K871" s="5" t="n">
        <v>46230.58333333334</v>
      </c>
      <c r="L871" t="n">
        <v>4</v>
      </c>
      <c r="M871" s="3">
        <f>I871/L871</f>
        <v/>
      </c>
      <c r="N871">
        <f>IF(M871&gt;=5100,"ставка","мин.ставка")</f>
        <v/>
      </c>
      <c r="O871" s="3">
        <f>ROUND(IF(N871="мин.ставка",L871*100,I871/102*2),2)</f>
        <v/>
      </c>
      <c r="P871" s="5" t="n">
        <v>46234.5</v>
      </c>
      <c r="Q871" t="inlineStr">
        <is>
          <t>TravelLine YAX</t>
        </is>
      </c>
      <c r="R871" s="2" t="inlineStr">
        <is>
          <t>СЕМЕЙНЫЙ НОМЕР КАТЕГОРИИ "СТАНДАРТ" ВТОРОЙ КОРПУС</t>
        </is>
      </c>
      <c r="S871" t="n">
        <v>50</v>
      </c>
      <c r="T871" t="n">
        <v>2</v>
      </c>
      <c r="U871" t="inlineStr"/>
      <c r="V871" t="inlineStr">
        <is>
          <t>Тариф с завтраком</t>
        </is>
      </c>
      <c r="W871" t="n">
        <v>40560</v>
      </c>
      <c r="X871" s="3" t="n">
        <v>10140</v>
      </c>
      <c r="Y871" t="inlineStr">
        <is>
          <t>20%</t>
        </is>
      </c>
      <c r="Z871" t="inlineStr">
        <is>
          <t>Не распределена по датам</t>
        </is>
      </c>
      <c r="AA871" s="3" t="n">
        <v>40560</v>
      </c>
      <c r="AB871" t="inlineStr">
        <is>
          <t>Сошлось по ночным тарифам</t>
        </is>
      </c>
      <c r="AC871" s="2" t="inlineStr"/>
      <c r="AD871" t="n">
        <v>10140</v>
      </c>
      <c r="AE871" t="n">
        <v>0</v>
      </c>
      <c r="AF871" t="inlineStr">
        <is>
          <t>Скидка добавлена к налоговой базе</t>
        </is>
      </c>
      <c r="AG871" t="n">
        <v>50700</v>
      </c>
      <c r="AH871" t="n">
        <v>40560</v>
      </c>
      <c r="AI871" t="inlineStr">
        <is>
          <t>Полное проживание в выбранном периоде</t>
        </is>
      </c>
    </row>
    <row r="872">
      <c r="A872" t="inlineStr">
        <is>
          <t>20260721-8186-426049066</t>
        </is>
      </c>
      <c r="B872" t="n">
        <v>1</v>
      </c>
      <c r="C872" s="2" t="inlineStr">
        <is>
          <t>Сергей Манченков, Анастасия Лещева</t>
        </is>
      </c>
      <c r="D872" s="3" t="n">
        <v>35112</v>
      </c>
      <c r="E872" s="4" t="n">
        <v>18</v>
      </c>
      <c r="F872" t="inlineStr">
        <is>
          <t>Яндекс.Путешествия [Чайковский]</t>
        </is>
      </c>
      <c r="G872" s="3">
        <f>ROUND(D872/(100-E872)*100,2)</f>
        <v/>
      </c>
      <c r="H872" s="3" t="n">
        <v>0</v>
      </c>
      <c r="I872" s="3">
        <f>ROUND(IF(ISNUMBER(AG872),AG872,G872)+H872,2)</f>
        <v/>
      </c>
      <c r="J872" s="2" t="inlineStr">
        <is>
          <t>Завтрак "Шведский стол"</t>
        </is>
      </c>
      <c r="K872" s="5" t="n">
        <v>46224.58333333334</v>
      </c>
      <c r="L872" t="n">
        <v>3</v>
      </c>
      <c r="M872" s="3">
        <f>I872/L872</f>
        <v/>
      </c>
      <c r="N872">
        <f>IF(M872&gt;=5100,"ставка","мин.ставка")</f>
        <v/>
      </c>
      <c r="O872" s="3">
        <f>ROUND(IF(N872="мин.ставка",L872*100,I872/102*2),2)</f>
        <v/>
      </c>
      <c r="P872" s="5" t="n">
        <v>46227.5</v>
      </c>
      <c r="Q872" t="inlineStr">
        <is>
          <t>TravelLine YAX</t>
        </is>
      </c>
      <c r="R872" s="2" t="inlineStr">
        <is>
          <t>УЛУЧШЕННЫЙ ДВУХМЕСТНЫЙ НОМЕР</t>
        </is>
      </c>
      <c r="S872" t="n">
        <v>31</v>
      </c>
      <c r="T872" t="n">
        <v>1</v>
      </c>
      <c r="U872" t="inlineStr"/>
      <c r="V872" t="inlineStr">
        <is>
          <t>Тариф с завтраком</t>
        </is>
      </c>
      <c r="W872" t="n">
        <v>65664</v>
      </c>
      <c r="X872" s="3" t="n">
        <v>1848</v>
      </c>
      <c r="Y872" t="inlineStr">
        <is>
          <t>5%</t>
        </is>
      </c>
      <c r="Z872" t="inlineStr">
        <is>
          <t>2026-07-21, 2026-07-22, 2026-07-23</t>
        </is>
      </c>
      <c r="AA872" s="3" t="n">
        <v>35112</v>
      </c>
      <c r="AB872" t="inlineStr">
        <is>
          <t>Сошлось по ночным тарифам</t>
        </is>
      </c>
      <c r="AC872" s="2" t="inlineStr"/>
      <c r="AD872" t="n">
        <v>1848</v>
      </c>
      <c r="AE872" t="n">
        <v>0</v>
      </c>
      <c r="AF872" t="inlineStr">
        <is>
          <t>Скидка добавлена к налоговой базе</t>
        </is>
      </c>
      <c r="AG872" t="n">
        <v>36960</v>
      </c>
      <c r="AH872" t="n">
        <v>35112</v>
      </c>
      <c r="AI872" t="inlineStr">
        <is>
          <t>Полное проживание в выбранном периоде</t>
        </is>
      </c>
    </row>
    <row r="873">
      <c r="A873" t="inlineStr">
        <is>
          <t>20260710-8186-448702042</t>
        </is>
      </c>
      <c r="B873" t="n">
        <v>1</v>
      </c>
      <c r="C873" s="2" t="inlineStr">
        <is>
          <t>Сергей Митяев, ANASTASIYA TOROSYAN</t>
        </is>
      </c>
      <c r="D873" s="3" t="n">
        <v>17360</v>
      </c>
      <c r="E873" s="4" t="n">
        <v>20</v>
      </c>
      <c r="F873" t="inlineStr">
        <is>
          <t>ООО "ХБ-ПРО" [Чайковский]</t>
        </is>
      </c>
      <c r="G873" s="3">
        <f>ROUND(D873/(100-E873)*100,2)</f>
        <v/>
      </c>
      <c r="H873" s="3" t="n">
        <v>4000</v>
      </c>
      <c r="I873" s="3">
        <f>ROUND(IF(ISNUMBER(AG873),AG873,G873)+H873,2)</f>
        <v/>
      </c>
      <c r="J873" s="2" t="inlineStr">
        <is>
          <t>продление номера — 4 000,00 ₽; Завтрак "Шведский стол"</t>
        </is>
      </c>
      <c r="K873" s="5" t="n">
        <v>46213.58333333334</v>
      </c>
      <c r="L873" t="n">
        <v>2</v>
      </c>
      <c r="M873" s="3">
        <f>I873/L873</f>
        <v/>
      </c>
      <c r="N873">
        <f>IF(M873&gt;=5100,"ставка","мин.ставка")</f>
        <v/>
      </c>
      <c r="O873" s="3">
        <f>ROUND(IF(N873="мин.ставка",L873*100,I873/102*2),2)</f>
        <v/>
      </c>
      <c r="P873" s="5" t="n">
        <v>46215.5</v>
      </c>
      <c r="Q873" t="inlineStr">
        <is>
          <t>TravelLine UTS</t>
        </is>
      </c>
      <c r="R873" s="2" t="inlineStr">
        <is>
          <t>СТАНДАРТНЫЙ ДВУХМЕСТНЫЙ НОМЕР</t>
        </is>
      </c>
      <c r="S873" t="n">
        <v>32</v>
      </c>
      <c r="T873" t="n">
        <v>1</v>
      </c>
      <c r="U873" t="inlineStr"/>
      <c r="V873" t="inlineStr">
        <is>
          <t>Тариф с завтраком</t>
        </is>
      </c>
      <c r="W873" t="n">
        <v>21360</v>
      </c>
      <c r="X873" s="3" t="n">
        <v>0</v>
      </c>
      <c r="Y873" t="inlineStr"/>
      <c r="Z873" t="inlineStr"/>
      <c r="AA873" s="3" t="n">
        <v>17360</v>
      </c>
      <c r="AB873" t="inlineStr">
        <is>
          <t>Сошлось с услугами</t>
        </is>
      </c>
      <c r="AC873" s="2" t="inlineStr"/>
      <c r="AD873" t="n">
        <v>0</v>
      </c>
      <c r="AE873" t="n">
        <v>0</v>
      </c>
      <c r="AF873" t="inlineStr">
        <is>
          <t>Скидки нет</t>
        </is>
      </c>
      <c r="AG873" t="n">
        <v>17360</v>
      </c>
      <c r="AH873" t="n">
        <v>17360</v>
      </c>
      <c r="AI873" t="inlineStr">
        <is>
          <t>Полное проживание в выбранном периоде</t>
        </is>
      </c>
    </row>
    <row r="874">
      <c r="A874" t="inlineStr">
        <is>
          <t>20260806-8186-456267629</t>
        </is>
      </c>
      <c r="B874" t="n">
        <v>1</v>
      </c>
      <c r="C874" s="2" t="inlineStr">
        <is>
          <t>СЕРГЕЙ МИХЕЕВ, АМЕЛИЯ МИХЕЕВА</t>
        </is>
      </c>
      <c r="D874" s="3" t="n">
        <v>11214</v>
      </c>
      <c r="E874" s="4" t="n">
        <v>16</v>
      </c>
      <c r="F874" t="inlineStr">
        <is>
          <t>ООО "БРОНИРОВАНИЕ ГОСТИНИЦ" (OSTROVOK) [Чайковский]</t>
        </is>
      </c>
      <c r="G874" s="3">
        <f>ROUND(D874/(100-E874)*100,2)</f>
        <v/>
      </c>
      <c r="H874" s="3" t="n">
        <v>0</v>
      </c>
      <c r="I874" s="3">
        <f>ROUND(IF(ISNUMBER(AG874),AG874,G874)+H874,2)</f>
        <v/>
      </c>
      <c r="J874" s="2" t="inlineStr">
        <is>
          <t>Завтрак "Шведский стол"</t>
        </is>
      </c>
      <c r="K874" s="5" t="n">
        <v>46240.58333333334</v>
      </c>
      <c r="L874" t="n">
        <v>1</v>
      </c>
      <c r="M874" s="3">
        <f>I874/L874</f>
        <v/>
      </c>
      <c r="N874">
        <f>IF(M874&gt;=5100,"ставка","мин.ставка")</f>
        <v/>
      </c>
      <c r="O874" s="3">
        <f>ROUND(IF(N874="мин.ставка",L874*100,I874/102*2),2)</f>
        <v/>
      </c>
      <c r="P874" s="5" t="n">
        <v>46241.5</v>
      </c>
      <c r="Q874" t="inlineStr">
        <is>
          <t>TravelLine OTK</t>
        </is>
      </c>
      <c r="R874" s="2" t="inlineStr">
        <is>
          <t>СТАНДАРТНЫЙ ДВУХМЕСТНЫЙ НОМЕР</t>
        </is>
      </c>
      <c r="S874" t="n">
        <v>52</v>
      </c>
      <c r="T874" t="n">
        <v>2</v>
      </c>
      <c r="U874" t="inlineStr"/>
      <c r="V874" t="inlineStr">
        <is>
          <t>Тариф с завтраком</t>
        </is>
      </c>
      <c r="W874" t="n">
        <v>11214</v>
      </c>
      <c r="X874" s="3" t="n">
        <v>2136</v>
      </c>
      <c r="Y874" t="inlineStr">
        <is>
          <t>16%</t>
        </is>
      </c>
      <c r="Z874" t="inlineStr">
        <is>
          <t>2026-08-06</t>
        </is>
      </c>
      <c r="AA874" s="3" t="n">
        <v>11214</v>
      </c>
      <c r="AB874" t="inlineStr">
        <is>
          <t>Сошлось по ночным тарифам</t>
        </is>
      </c>
      <c r="AC874" s="2" t="inlineStr"/>
      <c r="AD874" t="n">
        <v>2136</v>
      </c>
      <c r="AE874" t="n">
        <v>0</v>
      </c>
      <c r="AF874" t="inlineStr">
        <is>
          <t>Скидка добавлена к налоговой базе</t>
        </is>
      </c>
      <c r="AG874" t="n">
        <v>13350</v>
      </c>
      <c r="AH874" t="n">
        <v>11214</v>
      </c>
      <c r="AI874" t="inlineStr">
        <is>
          <t>Полное проживание в выбранном периоде</t>
        </is>
      </c>
    </row>
    <row r="875">
      <c r="A875" t="inlineStr">
        <is>
          <t>20260924-8186-465190017</t>
        </is>
      </c>
      <c r="B875" t="n">
        <v>1</v>
      </c>
      <c r="C875" s="2" t="inlineStr">
        <is>
          <t>СЕРГЕЙ МОКРИНСКИЙ, ИРИНА МОКРИНСКАЯ</t>
        </is>
      </c>
      <c r="D875" s="3" t="n">
        <v>13530</v>
      </c>
      <c r="E875" s="4" t="n">
        <v>0</v>
      </c>
      <c r="F875" t="inlineStr">
        <is>
          <t>Прямые бронирования (стойка) [Чайковский]</t>
        </is>
      </c>
      <c r="G875" s="3">
        <f>ROUND(D875/(100-E875)*100,2)</f>
        <v/>
      </c>
      <c r="H875" s="3" t="n">
        <v>0</v>
      </c>
      <c r="I875" s="3">
        <f>ROUND(IF(ISNUMBER(AG875),AG875,G875)+H875,2)</f>
        <v/>
      </c>
      <c r="J875" s="2" t="inlineStr">
        <is>
          <t>Завтрак "Шведский стол"</t>
        </is>
      </c>
      <c r="K875" s="5" t="n">
        <v>46289.58333333334</v>
      </c>
      <c r="L875" t="n">
        <v>1</v>
      </c>
      <c r="M875" s="3">
        <f>I875/L875</f>
        <v/>
      </c>
      <c r="N875">
        <f>IF(M875&gt;=5100,"ставка","мин.ставка")</f>
        <v/>
      </c>
      <c r="O875" s="3">
        <f>ROUND(IF(N875="мин.ставка",L875*100,I875/102*2),2)</f>
        <v/>
      </c>
      <c r="P875" s="5" t="n">
        <v>46290.5</v>
      </c>
      <c r="Q875" t="inlineStr">
        <is>
          <t>TravelLine CMB</t>
        </is>
      </c>
      <c r="R875" s="2" t="inlineStr">
        <is>
          <t>ПОЛУЛЮКС</t>
        </is>
      </c>
      <c r="S875" t="n">
        <v>35</v>
      </c>
      <c r="T875" t="n">
        <v>1</v>
      </c>
      <c r="U875" t="inlineStr"/>
      <c r="V875" t="inlineStr">
        <is>
          <t>Тариф с завтраком</t>
        </is>
      </c>
      <c r="W875" t="n">
        <v>13530</v>
      </c>
      <c r="X875" s="3" t="n">
        <v>2970</v>
      </c>
      <c r="Y875" t="inlineStr">
        <is>
          <t>18%</t>
        </is>
      </c>
      <c r="Z875" t="inlineStr">
        <is>
          <t>2026-09-24</t>
        </is>
      </c>
      <c r="AA875" s="3" t="n">
        <v>13530</v>
      </c>
      <c r="AB875" t="inlineStr">
        <is>
          <t>Сошлось по ночным тарифам</t>
        </is>
      </c>
      <c r="AC875" s="2" t="inlineStr"/>
      <c r="AD875" t="n">
        <v>2970</v>
      </c>
      <c r="AE875" t="n">
        <v>0</v>
      </c>
      <c r="AF875" t="inlineStr">
        <is>
          <t>Скидка добавлена к налоговой базе</t>
        </is>
      </c>
      <c r="AG875" t="n">
        <v>16500</v>
      </c>
      <c r="AH875" t="n">
        <v>13530</v>
      </c>
      <c r="AI875" t="inlineStr">
        <is>
          <t>Полное проживание в выбранном периоде</t>
        </is>
      </c>
    </row>
    <row r="876">
      <c r="A876" t="inlineStr">
        <is>
          <t>20260707-8186-444464400</t>
        </is>
      </c>
      <c r="B876" t="n">
        <v>1</v>
      </c>
      <c r="C876" s="2" t="inlineStr">
        <is>
          <t>Сергей Морозов, Виктория Морозова</t>
        </is>
      </c>
      <c r="D876" s="3" t="n">
        <v>78540</v>
      </c>
      <c r="E876" s="4" t="n">
        <v>0</v>
      </c>
      <c r="F876" t="inlineStr">
        <is>
          <t>ООО «ХОМЛИН ЛЭНД» (ПЕГАС) [Чайковский]</t>
        </is>
      </c>
      <c r="G876" s="3">
        <f>ROUND(D876/(100-E876)*100,2)</f>
        <v/>
      </c>
      <c r="H876" s="3" t="n">
        <v>0</v>
      </c>
      <c r="I876" s="3">
        <f>ROUND(IF(ISNUMBER(AG876),AG876,G876)+H876,2)</f>
        <v/>
      </c>
      <c r="J876" s="2" t="inlineStr">
        <is>
          <t>Завтрак "Шведский стол"</t>
        </is>
      </c>
      <c r="K876" s="5" t="n">
        <v>46210.58333333334</v>
      </c>
      <c r="L876" t="n">
        <v>6</v>
      </c>
      <c r="M876" s="3">
        <f>I876/L876</f>
        <v/>
      </c>
      <c r="N876">
        <f>IF(M876&gt;=5100,"ставка","мин.ставка")</f>
        <v/>
      </c>
      <c r="O876" s="3">
        <f>ROUND(IF(N876="мин.ставка",L876*100,I876/102*2),2)</f>
        <v/>
      </c>
      <c r="P876" s="5" t="n">
        <v>46216.5</v>
      </c>
      <c r="Q876" t="inlineStr">
        <is>
          <t>TravelLine PGS</t>
        </is>
      </c>
      <c r="R876" s="2" t="inlineStr">
        <is>
          <t>УЛУЧШЕННЫЙ ДВУХМЕСТНЫЙ НОМЕР</t>
        </is>
      </c>
      <c r="S876" t="n">
        <v>56</v>
      </c>
      <c r="T876" t="n">
        <v>2</v>
      </c>
      <c r="U876" t="inlineStr"/>
      <c r="V876" t="inlineStr">
        <is>
          <t>Тариф с завтраком</t>
        </is>
      </c>
      <c r="W876" t="n">
        <v>78540</v>
      </c>
      <c r="X876" s="3" t="n">
        <v>13860</v>
      </c>
      <c r="Y876" t="inlineStr">
        <is>
          <t>15%</t>
        </is>
      </c>
      <c r="Z876" t="inlineStr">
        <is>
          <t>2026-07-07, 2026-07-08, 2026-07-09, 2026-07-10, 2026-07-11, 2026-07-12</t>
        </is>
      </c>
      <c r="AA876" s="3" t="n">
        <v>78540</v>
      </c>
      <c r="AB876" t="inlineStr">
        <is>
          <t>Сошлось по ночным тарифам</t>
        </is>
      </c>
      <c r="AC876" s="2" t="inlineStr"/>
      <c r="AD876" t="n">
        <v>13860</v>
      </c>
      <c r="AE876" t="n">
        <v>0</v>
      </c>
      <c r="AF876" t="inlineStr">
        <is>
          <t>Скидка добавлена к налоговой базе</t>
        </is>
      </c>
      <c r="AG876" t="n">
        <v>92400</v>
      </c>
      <c r="AH876" t="n">
        <v>78540</v>
      </c>
      <c r="AI876" t="inlineStr">
        <is>
          <t>Полное проживание в выбранном периоде</t>
        </is>
      </c>
    </row>
    <row r="877">
      <c r="A877" t="inlineStr">
        <is>
          <t>20260716-8186-437389528</t>
        </is>
      </c>
      <c r="B877" t="n">
        <v>1</v>
      </c>
      <c r="C877" s="2" t="inlineStr">
        <is>
          <t>СЕРГЕЙ ОСИПОВ, Эвелина Смыслина</t>
        </is>
      </c>
      <c r="D877" s="3" t="n">
        <v>26400</v>
      </c>
      <c r="E877" s="4" t="n">
        <v>20</v>
      </c>
      <c r="F877" t="inlineStr">
        <is>
          <t>ООО "КОМПАНИЯ БРОНЕВИК" [Чайковский]</t>
        </is>
      </c>
      <c r="G877" s="3">
        <f>ROUND(D877/(100-E877)*100,2)</f>
        <v/>
      </c>
      <c r="H877" s="3" t="n">
        <v>0</v>
      </c>
      <c r="I877" s="3">
        <f>ROUND(IF(ISNUMBER(AG877),AG877,G877)+H877,2)</f>
        <v/>
      </c>
      <c r="J877" s="2" t="inlineStr">
        <is>
          <t>Завтрак "Шведский стол"</t>
        </is>
      </c>
      <c r="K877" s="5" t="n">
        <v>46219.58333333334</v>
      </c>
      <c r="L877" t="n">
        <v>2</v>
      </c>
      <c r="M877" s="3">
        <f>I877/L877</f>
        <v/>
      </c>
      <c r="N877">
        <f>IF(M877&gt;=5100,"ставка","мин.ставка")</f>
        <v/>
      </c>
      <c r="O877" s="3">
        <f>ROUND(IF(N877="мин.ставка",L877*100,I877/102*2),2)</f>
        <v/>
      </c>
      <c r="P877" s="5" t="n">
        <v>46221.5</v>
      </c>
      <c r="Q877" t="inlineStr">
        <is>
          <t>TravelLine BR2</t>
        </is>
      </c>
      <c r="R877" s="2" t="inlineStr">
        <is>
          <t>ПОЛУЛЮКС</t>
        </is>
      </c>
      <c r="S877" t="n">
        <v>35</v>
      </c>
      <c r="T877" t="n">
        <v>1</v>
      </c>
      <c r="U877" t="inlineStr"/>
      <c r="V877" t="inlineStr">
        <is>
          <t>Тариф с завтраком</t>
        </is>
      </c>
      <c r="W877" t="n">
        <v>26400</v>
      </c>
      <c r="X877" s="3" t="n">
        <v>0</v>
      </c>
      <c r="Y877" t="inlineStr"/>
      <c r="Z877" t="inlineStr"/>
      <c r="AA877" s="3" t="n">
        <v>26400</v>
      </c>
      <c r="AB877" t="inlineStr">
        <is>
          <t>Сошлось по ночным тарифам</t>
        </is>
      </c>
      <c r="AC877" s="2" t="inlineStr"/>
      <c r="AD877" t="n">
        <v>0</v>
      </c>
      <c r="AE877" t="n">
        <v>0</v>
      </c>
      <c r="AF877" t="inlineStr">
        <is>
          <t>Скидки нет</t>
        </is>
      </c>
      <c r="AG877" t="n">
        <v>26400</v>
      </c>
      <c r="AH877" t="n">
        <v>26400</v>
      </c>
      <c r="AI877" t="inlineStr">
        <is>
          <t>Полное проживание в выбранном периоде</t>
        </is>
      </c>
    </row>
    <row r="878">
      <c r="A878" t="inlineStr">
        <is>
          <t>20260909-8186-464462558</t>
        </is>
      </c>
      <c r="B878" t="n">
        <v>1</v>
      </c>
      <c r="C878" s="2" t="inlineStr">
        <is>
          <t>Сергей Полянский</t>
        </is>
      </c>
      <c r="D878" s="3" t="n">
        <v>20100</v>
      </c>
      <c r="E878" s="4" t="n">
        <v>18</v>
      </c>
      <c r="F878" t="inlineStr">
        <is>
          <t>Яндекс.Путешествия [Чайковский]</t>
        </is>
      </c>
      <c r="G878" s="3">
        <f>ROUND(D878/(100-E878)*100,2)</f>
        <v/>
      </c>
      <c r="H878" s="3" t="n">
        <v>0</v>
      </c>
      <c r="I878" s="3">
        <f>ROUND(IF(ISNUMBER(AG878),AG878,G878)+H878,2)</f>
        <v/>
      </c>
      <c r="J878" s="2" t="inlineStr">
        <is>
          <t>Завтрак "Шведский стол"</t>
        </is>
      </c>
      <c r="K878" s="5" t="n">
        <v>46274.58333333334</v>
      </c>
      <c r="L878" t="n">
        <v>2</v>
      </c>
      <c r="M878" s="3">
        <f>I878/L878</f>
        <v/>
      </c>
      <c r="N878">
        <f>IF(M878&gt;=5100,"ставка","мин.ставка")</f>
        <v/>
      </c>
      <c r="O878" s="3">
        <f>ROUND(IF(N878="мин.ставка",L878*100,I878/102*2),2)</f>
        <v/>
      </c>
      <c r="P878" s="5" t="n">
        <v>46276.5</v>
      </c>
      <c r="Q878" t="inlineStr">
        <is>
          <t>TravelLine YAX</t>
        </is>
      </c>
      <c r="R878" s="2" t="inlineStr">
        <is>
          <t>УЛУЧШЕННЫЙ ДВУХМЕСТНЫЙ НОМЕР</t>
        </is>
      </c>
      <c r="S878" t="n">
        <v>31</v>
      </c>
      <c r="T878" t="n">
        <v>1</v>
      </c>
      <c r="U878" t="inlineStr"/>
      <c r="V878" t="inlineStr">
        <is>
          <t>Тариф с завтраком</t>
        </is>
      </c>
      <c r="W878" t="n">
        <v>20100</v>
      </c>
      <c r="X878" s="3" t="n">
        <v>6700</v>
      </c>
      <c r="Y878" t="inlineStr">
        <is>
          <t>25%</t>
        </is>
      </c>
      <c r="Z878" t="inlineStr">
        <is>
          <t>2026-09-09, 2026-09-10</t>
        </is>
      </c>
      <c r="AA878" s="3" t="n">
        <v>20100</v>
      </c>
      <c r="AB878" t="inlineStr">
        <is>
          <t>Сошлось по ночным тарифам</t>
        </is>
      </c>
      <c r="AC878" s="2" t="inlineStr"/>
      <c r="AD878" t="n">
        <v>6700</v>
      </c>
      <c r="AE878" t="n">
        <v>0</v>
      </c>
      <c r="AF878" t="inlineStr">
        <is>
          <t>Скидка добавлена к налоговой базе</t>
        </is>
      </c>
      <c r="AG878" t="n">
        <v>26800</v>
      </c>
      <c r="AH878" t="n">
        <v>20100</v>
      </c>
      <c r="AI878" t="inlineStr">
        <is>
          <t>Полное проживание в выбранном периоде</t>
        </is>
      </c>
    </row>
    <row r="879">
      <c r="A879" t="inlineStr">
        <is>
          <t>20260710-8186-449007541</t>
        </is>
      </c>
      <c r="B879" t="n">
        <v>1</v>
      </c>
      <c r="C879" s="2" t="inlineStr">
        <is>
          <t>Сергей Реутов</t>
        </is>
      </c>
      <c r="D879" s="3" t="n">
        <v>10350</v>
      </c>
      <c r="E879" s="4" t="n">
        <v>0</v>
      </c>
      <c r="F879" t="inlineStr">
        <is>
          <t>Прямые бронирования (стойка) [Чайковский]</t>
        </is>
      </c>
      <c r="G879" s="3">
        <f>ROUND(D879/(100-E879)*100,2)</f>
        <v/>
      </c>
      <c r="H879" s="3" t="n">
        <v>0</v>
      </c>
      <c r="I879" s="3">
        <f>ROUND(IF(ISNUMBER(AG879),AG879,G879)+H879,2)</f>
        <v/>
      </c>
      <c r="J879" s="2" t="inlineStr">
        <is>
          <t>Завтрак "Шведский стол"</t>
        </is>
      </c>
      <c r="K879" s="5" t="n">
        <v>46213.58333333334</v>
      </c>
      <c r="L879" t="n">
        <v>1</v>
      </c>
      <c r="M879" s="3">
        <f>I879/L879</f>
        <v/>
      </c>
      <c r="N879">
        <f>IF(M879&gt;=5100,"ставка","мин.ставка")</f>
        <v/>
      </c>
      <c r="O879" s="3">
        <f>ROUND(IF(N879="мин.ставка",L879*100,I879/102*2),2)</f>
        <v/>
      </c>
      <c r="P879" s="5" t="n">
        <v>46214.5</v>
      </c>
      <c r="Q879" t="inlineStr">
        <is>
          <t>TravelLine ресепшен</t>
        </is>
      </c>
      <c r="R879" s="2" t="inlineStr">
        <is>
          <t>СТАНДАРТНЫЙ ДВУХМЕСТНЫЙ НОМЕР</t>
        </is>
      </c>
      <c r="S879" t="n">
        <v>33</v>
      </c>
      <c r="T879" t="n">
        <v>1</v>
      </c>
      <c r="U879" t="inlineStr"/>
      <c r="V879" t="inlineStr">
        <is>
          <t>Тариф с завтраком</t>
        </is>
      </c>
      <c r="W879" t="n">
        <v>10350</v>
      </c>
      <c r="X879" s="3" t="n">
        <v>0</v>
      </c>
      <c r="Y879" t="inlineStr"/>
      <c r="Z879" t="inlineStr"/>
      <c r="AA879" s="3" t="n">
        <v>10350</v>
      </c>
      <c r="AB879" t="inlineStr">
        <is>
          <t>Сошлось по ночным тарифам</t>
        </is>
      </c>
      <c r="AC879" s="2" t="inlineStr"/>
      <c r="AD879" t="n">
        <v>0</v>
      </c>
      <c r="AE879" t="n">
        <v>0</v>
      </c>
      <c r="AF879" t="inlineStr">
        <is>
          <t>Скидки нет</t>
        </is>
      </c>
      <c r="AG879" t="n">
        <v>10350</v>
      </c>
      <c r="AH879" t="n">
        <v>10350</v>
      </c>
      <c r="AI879" t="inlineStr">
        <is>
          <t>Полное проживание в выбранном периоде</t>
        </is>
      </c>
    </row>
    <row r="880">
      <c r="A880" t="inlineStr">
        <is>
          <t>20260713-8186-449580597</t>
        </is>
      </c>
      <c r="B880" t="n">
        <v>1</v>
      </c>
      <c r="C880" s="2" t="inlineStr">
        <is>
          <t>СЕРГЕЙ САЛТЫКОВ</t>
        </is>
      </c>
      <c r="D880" s="3" t="n">
        <v>9647.5</v>
      </c>
      <c r="E880" s="4" t="n">
        <v>15</v>
      </c>
      <c r="F880" t="inlineStr">
        <is>
          <t>ООО "БРОНИРОВАНИЕ ГОСТИНИЦ" (OSTROVOK) [Чайковский]</t>
        </is>
      </c>
      <c r="G880" s="3">
        <f>ROUND(D880/(100-E880)*100,2)</f>
        <v/>
      </c>
      <c r="H880" s="3" t="n">
        <v>0</v>
      </c>
      <c r="I880" s="3">
        <f>ROUND(IF(ISNUMBER(AG880),AG880,G880)+H880,2)</f>
        <v/>
      </c>
      <c r="J880" s="2" t="inlineStr">
        <is>
          <t>Завтрак "Шведский стол"</t>
        </is>
      </c>
      <c r="K880" s="5" t="n">
        <v>46216.58333333334</v>
      </c>
      <c r="L880" t="n">
        <v>1</v>
      </c>
      <c r="M880" s="3">
        <f>I880/L880</f>
        <v/>
      </c>
      <c r="N880">
        <f>IF(M880&gt;=5100,"ставка","мин.ставка")</f>
        <v/>
      </c>
      <c r="O880" s="3">
        <f>ROUND(IF(N880="мин.ставка",L880*100,I880/102*2),2)</f>
        <v/>
      </c>
      <c r="P880" s="5" t="n">
        <v>46217.5</v>
      </c>
      <c r="Q880" t="inlineStr">
        <is>
          <t>TravelLine OTK</t>
        </is>
      </c>
      <c r="R880" s="2" t="inlineStr">
        <is>
          <t>СТАНДАРТНЫЙ ДВУХМЕСТНЫЙ НОМЕР</t>
        </is>
      </c>
      <c r="S880" t="n">
        <v>33</v>
      </c>
      <c r="T880" t="n">
        <v>1</v>
      </c>
      <c r="U880" t="inlineStr"/>
      <c r="V880" t="inlineStr">
        <is>
          <t>Тариф с завтраком</t>
        </is>
      </c>
      <c r="W880" t="n">
        <v>9647.5</v>
      </c>
      <c r="X880" s="3" t="n">
        <v>1702.5</v>
      </c>
      <c r="Y880" t="inlineStr">
        <is>
          <t>15%</t>
        </is>
      </c>
      <c r="Z880" t="inlineStr">
        <is>
          <t>2026-07-13</t>
        </is>
      </c>
      <c r="AA880" s="3" t="n">
        <v>9647.5</v>
      </c>
      <c r="AB880" t="inlineStr">
        <is>
          <t>Сошлось по ночным тарифам</t>
        </is>
      </c>
      <c r="AC880" s="2" t="inlineStr"/>
      <c r="AD880" t="n">
        <v>1702.5</v>
      </c>
      <c r="AE880" t="n">
        <v>0</v>
      </c>
      <c r="AF880" t="inlineStr">
        <is>
          <t>Скидка добавлена к налоговой базе</t>
        </is>
      </c>
      <c r="AG880" t="n">
        <v>11350</v>
      </c>
      <c r="AH880" t="n">
        <v>9647.5</v>
      </c>
      <c r="AI880" t="inlineStr">
        <is>
          <t>Полное проживание в выбранном периоде</t>
        </is>
      </c>
    </row>
    <row r="881">
      <c r="A881" t="inlineStr">
        <is>
          <t>20260714-8186-450064455</t>
        </is>
      </c>
      <c r="B881" t="n">
        <v>1</v>
      </c>
      <c r="C881" s="2" t="inlineStr">
        <is>
          <t>СЕРГЕЙ САЛТЫКОВ</t>
        </is>
      </c>
      <c r="D881" s="3" t="n">
        <v>11600</v>
      </c>
      <c r="E881" s="4" t="n">
        <v>20</v>
      </c>
      <c r="F881" t="inlineStr">
        <is>
          <t>ООО "ХБ-ПРО" [Чайковский]</t>
        </is>
      </c>
      <c r="G881" s="3">
        <f>ROUND(D881/(100-E881)*100,2)</f>
        <v/>
      </c>
      <c r="H881" s="3" t="n">
        <v>0</v>
      </c>
      <c r="I881" s="3">
        <f>ROUND(IF(ISNUMBER(AG881),AG881,G881)+H881,2)</f>
        <v/>
      </c>
      <c r="J881" s="2" t="inlineStr">
        <is>
          <t>Завтрак "Шведский стол"</t>
        </is>
      </c>
      <c r="K881" s="5" t="n">
        <v>46217.58333333334</v>
      </c>
      <c r="L881" t="n">
        <v>1</v>
      </c>
      <c r="M881" s="3">
        <f>I881/L881</f>
        <v/>
      </c>
      <c r="N881">
        <f>IF(M881&gt;=5100,"ставка","мин.ставка")</f>
        <v/>
      </c>
      <c r="O881" s="3">
        <f>ROUND(IF(N881="мин.ставка",L881*100,I881/102*2),2)</f>
        <v/>
      </c>
      <c r="P881" s="5" t="n">
        <v>46218.5</v>
      </c>
      <c r="Q881" t="inlineStr">
        <is>
          <t>TravelLine UTS</t>
        </is>
      </c>
      <c r="R881" s="2" t="inlineStr">
        <is>
          <t>ПОЛУЛЮКС</t>
        </is>
      </c>
      <c r="S881" t="n">
        <v>35</v>
      </c>
      <c r="T881" t="n">
        <v>1</v>
      </c>
      <c r="U881" t="inlineStr"/>
      <c r="V881" t="inlineStr">
        <is>
          <t>Тариф с завтраком</t>
        </is>
      </c>
      <c r="W881" t="n">
        <v>11600</v>
      </c>
      <c r="X881" s="3" t="n">
        <v>0</v>
      </c>
      <c r="Y881" t="inlineStr"/>
      <c r="Z881" t="inlineStr"/>
      <c r="AA881" s="3" t="n">
        <v>11600</v>
      </c>
      <c r="AB881" t="inlineStr">
        <is>
          <t>Сошлось по ночным тарифам</t>
        </is>
      </c>
      <c r="AC881" s="2" t="inlineStr"/>
      <c r="AD881" t="n">
        <v>0</v>
      </c>
      <c r="AE881" t="n">
        <v>0</v>
      </c>
      <c r="AF881" t="inlineStr">
        <is>
          <t>Скидки нет</t>
        </is>
      </c>
      <c r="AG881" t="n">
        <v>11600</v>
      </c>
      <c r="AH881" t="n">
        <v>11600</v>
      </c>
      <c r="AI881" t="inlineStr">
        <is>
          <t>Полное проживание в выбранном периоде</t>
        </is>
      </c>
    </row>
    <row r="882">
      <c r="A882" t="inlineStr">
        <is>
          <t>20260715-8186-450213608</t>
        </is>
      </c>
      <c r="B882" t="n">
        <v>1</v>
      </c>
      <c r="C882" s="2" t="inlineStr">
        <is>
          <t>СЕРГЕЙ САЛТЫКОВ</t>
        </is>
      </c>
      <c r="D882" s="3" t="n">
        <v>11600</v>
      </c>
      <c r="E882" s="4" t="n">
        <v>20</v>
      </c>
      <c r="F882" t="inlineStr">
        <is>
          <t>ООО "ХБ-ПРО" [Чайковский]</t>
        </is>
      </c>
      <c r="G882" s="3">
        <f>ROUND(D882/(100-E882)*100,2)</f>
        <v/>
      </c>
      <c r="H882" s="3" t="n">
        <v>0</v>
      </c>
      <c r="I882" s="3">
        <f>ROUND(IF(ISNUMBER(AG882),AG882,G882)+H882,2)</f>
        <v/>
      </c>
      <c r="J882" s="2" t="inlineStr">
        <is>
          <t>Завтрак "Шведский стол"</t>
        </is>
      </c>
      <c r="K882" s="5" t="n">
        <v>46218.58333333334</v>
      </c>
      <c r="L882" t="n">
        <v>1</v>
      </c>
      <c r="M882" s="3">
        <f>I882/L882</f>
        <v/>
      </c>
      <c r="N882">
        <f>IF(M882&gt;=5100,"ставка","мин.ставка")</f>
        <v/>
      </c>
      <c r="O882" s="3">
        <f>ROUND(IF(N882="мин.ставка",L882*100,I882/102*2),2)</f>
        <v/>
      </c>
      <c r="P882" s="5" t="n">
        <v>46219.5</v>
      </c>
      <c r="Q882" t="inlineStr">
        <is>
          <t>TravelLine UTS</t>
        </is>
      </c>
      <c r="R882" s="2" t="inlineStr">
        <is>
          <t>ПОЛУЛЮКС</t>
        </is>
      </c>
      <c r="S882" t="n">
        <v>35</v>
      </c>
      <c r="T882" t="n">
        <v>1</v>
      </c>
      <c r="U882" t="inlineStr"/>
      <c r="V882" t="inlineStr">
        <is>
          <t>Тариф с завтраком</t>
        </is>
      </c>
      <c r="W882" t="n">
        <v>11600</v>
      </c>
      <c r="X882" s="3" t="n">
        <v>0</v>
      </c>
      <c r="Y882" t="inlineStr"/>
      <c r="Z882" t="inlineStr"/>
      <c r="AA882" s="3" t="n">
        <v>11600</v>
      </c>
      <c r="AB882" t="inlineStr">
        <is>
          <t>Сошлось по ночным тарифам</t>
        </is>
      </c>
      <c r="AC882" s="2" t="inlineStr"/>
      <c r="AD882" t="n">
        <v>0</v>
      </c>
      <c r="AE882" t="n">
        <v>0</v>
      </c>
      <c r="AF882" t="inlineStr">
        <is>
          <t>Скидки нет</t>
        </is>
      </c>
      <c r="AG882" t="n">
        <v>11600</v>
      </c>
      <c r="AH882" t="n">
        <v>11600</v>
      </c>
      <c r="AI882" t="inlineStr">
        <is>
          <t>Полное проживание в выбранном периоде</t>
        </is>
      </c>
    </row>
    <row r="883">
      <c r="A883" t="inlineStr">
        <is>
          <t>20260724-8186-452868322</t>
        </is>
      </c>
      <c r="B883" t="n">
        <v>1</v>
      </c>
      <c r="C883" s="2" t="inlineStr">
        <is>
          <t>СЕРГЕЙ САЛТЫКОВ</t>
        </is>
      </c>
      <c r="D883" s="3" t="n">
        <v>9647.5</v>
      </c>
      <c r="E883" s="4" t="n">
        <v>15</v>
      </c>
      <c r="F883" t="inlineStr">
        <is>
          <t>ООО "БРОНИРОВАНИЕ ГОСТИНИЦ" (OSTROVOK) [Чайковский]</t>
        </is>
      </c>
      <c r="G883" s="3">
        <f>ROUND(D883/(100-E883)*100,2)</f>
        <v/>
      </c>
      <c r="H883" s="3" t="n">
        <v>0</v>
      </c>
      <c r="I883" s="3">
        <f>ROUND(IF(ISNUMBER(AG883),AG883,G883)+H883,2)</f>
        <v/>
      </c>
      <c r="J883" s="2" t="inlineStr">
        <is>
          <t>Завтрак "Шведский стол"</t>
        </is>
      </c>
      <c r="K883" s="5" t="n">
        <v>46227.58333333334</v>
      </c>
      <c r="L883" t="n">
        <v>1</v>
      </c>
      <c r="M883" s="3">
        <f>I883/L883</f>
        <v/>
      </c>
      <c r="N883">
        <f>IF(M883&gt;=5100,"ставка","мин.ставка")</f>
        <v/>
      </c>
      <c r="O883" s="3">
        <f>ROUND(IF(N883="мин.ставка",L883*100,I883/102*2),2)</f>
        <v/>
      </c>
      <c r="P883" s="5" t="n">
        <v>46228.5</v>
      </c>
      <c r="Q883" t="inlineStr">
        <is>
          <t>TravelLine OTK</t>
        </is>
      </c>
      <c r="R883" s="2" t="inlineStr">
        <is>
          <t>СТАНДАРТНЫЙ ДВУХМЕСТНЫЙ НОМЕР</t>
        </is>
      </c>
      <c r="S883" t="n">
        <v>52</v>
      </c>
      <c r="T883" t="n">
        <v>2</v>
      </c>
      <c r="U883" t="inlineStr"/>
      <c r="V883" t="inlineStr">
        <is>
          <t>Тариф с завтраком</t>
        </is>
      </c>
      <c r="W883" t="n">
        <v>9647.5</v>
      </c>
      <c r="X883" s="3" t="n">
        <v>1702.5</v>
      </c>
      <c r="Y883" t="inlineStr">
        <is>
          <t>15%</t>
        </is>
      </c>
      <c r="Z883" t="inlineStr">
        <is>
          <t>2026-07-24</t>
        </is>
      </c>
      <c r="AA883" s="3" t="n">
        <v>9647.5</v>
      </c>
      <c r="AB883" t="inlineStr">
        <is>
          <t>Сошлось по ночным тарифам</t>
        </is>
      </c>
      <c r="AC883" s="2" t="inlineStr"/>
      <c r="AD883" t="n">
        <v>1702.5</v>
      </c>
      <c r="AE883" t="n">
        <v>0</v>
      </c>
      <c r="AF883" t="inlineStr">
        <is>
          <t>Скидка добавлена к налоговой базе</t>
        </is>
      </c>
      <c r="AG883" t="n">
        <v>11350</v>
      </c>
      <c r="AH883" t="n">
        <v>9647.5</v>
      </c>
      <c r="AI883" t="inlineStr">
        <is>
          <t>Полное проживание в выбранном периоде</t>
        </is>
      </c>
    </row>
    <row r="884">
      <c r="A884" t="inlineStr">
        <is>
          <t>20260713-8186-448319484</t>
        </is>
      </c>
      <c r="B884" t="n">
        <v>1</v>
      </c>
      <c r="C884" s="2" t="inlineStr">
        <is>
          <t>Сергей Сварник</t>
        </is>
      </c>
      <c r="D884" s="3" t="n">
        <v>14596</v>
      </c>
      <c r="E884" s="4" t="n">
        <v>18</v>
      </c>
      <c r="F884" t="inlineStr">
        <is>
          <t>ООО "Эй энд Эй" [Чайковский]</t>
        </is>
      </c>
      <c r="G884" s="3">
        <f>ROUND(D884/(100-E884)*100,2)</f>
        <v/>
      </c>
      <c r="H884" s="3" t="n">
        <v>2000</v>
      </c>
      <c r="I884" s="3">
        <f>ROUND(IF(ISNUMBER(AG884),AG884,G884)+H884,2)</f>
        <v/>
      </c>
      <c r="J884" s="2" t="inlineStr">
        <is>
          <t>продление номера — 2 000,00 ₽; Завтрак "Шведский стол"</t>
        </is>
      </c>
      <c r="K884" s="5" t="n">
        <v>46216.58333333334</v>
      </c>
      <c r="L884" t="n">
        <v>2</v>
      </c>
      <c r="M884" s="3">
        <f>I884/L884</f>
        <v/>
      </c>
      <c r="N884">
        <f>IF(M884&gt;=5100,"ставка","мин.ставка")</f>
        <v/>
      </c>
      <c r="O884" s="3">
        <f>ROUND(IF(N884="мин.ставка",L884*100,I884/102*2),2)</f>
        <v/>
      </c>
      <c r="P884" s="5" t="n">
        <v>46218.5</v>
      </c>
      <c r="Q884" t="inlineStr">
        <is>
          <t>TravelLine ANA</t>
        </is>
      </c>
      <c r="R884" s="2" t="inlineStr">
        <is>
          <t>СЕМЕЙНЫЙ НОМЕР КАТЕГОРИИ "СТАНДАРТ" ВТОРОЙ КОРПУС</t>
        </is>
      </c>
      <c r="S884" t="n">
        <v>51</v>
      </c>
      <c r="T884" t="n">
        <v>2</v>
      </c>
      <c r="U884" t="inlineStr"/>
      <c r="V884" t="inlineStr">
        <is>
          <t>Тариф с завтраком</t>
        </is>
      </c>
      <c r="W884" t="n">
        <v>16596</v>
      </c>
      <c r="X884" s="3" t="n">
        <v>3204</v>
      </c>
      <c r="Y884" t="inlineStr">
        <is>
          <t>18%</t>
        </is>
      </c>
      <c r="Z884" t="inlineStr">
        <is>
          <t>2026-07-13, 2026-07-14</t>
        </is>
      </c>
      <c r="AA884" s="3" t="n">
        <v>14596</v>
      </c>
      <c r="AB884" t="inlineStr">
        <is>
          <t>Сошлось с услугами</t>
        </is>
      </c>
      <c r="AC884" s="2" t="inlineStr"/>
      <c r="AD884" t="n">
        <v>3204</v>
      </c>
      <c r="AE884" t="n">
        <v>0</v>
      </c>
      <c r="AF884" t="inlineStr">
        <is>
          <t>Скидка добавлена к налоговой базе</t>
        </is>
      </c>
      <c r="AG884" t="n">
        <v>17800</v>
      </c>
      <c r="AH884" t="n">
        <v>14596</v>
      </c>
      <c r="AI884" t="inlineStr">
        <is>
          <t>Полное проживание в выбранном периоде</t>
        </is>
      </c>
    </row>
    <row r="885">
      <c r="A885" t="inlineStr">
        <is>
          <t>20260723-8186-449693468</t>
        </is>
      </c>
      <c r="B885" t="n">
        <v>1</v>
      </c>
      <c r="C885" s="2" t="inlineStr">
        <is>
          <t>Сергей Семенишин, Евгения Ермишкина</t>
        </is>
      </c>
      <c r="D885" s="3" t="n">
        <v>34042.5</v>
      </c>
      <c r="E885" s="4" t="n">
        <v>15</v>
      </c>
      <c r="F885" t="inlineStr">
        <is>
          <t>ООО "БРОНИРОВАНИЕ ГОСТИНИЦ" (OSTROVOK) [Чайковский]</t>
        </is>
      </c>
      <c r="G885" s="3">
        <f>ROUND(D885/(100-E885)*100,2)</f>
        <v/>
      </c>
      <c r="H885" s="3" t="n">
        <v>0</v>
      </c>
      <c r="I885" s="3">
        <f>ROUND(IF(ISNUMBER(AG885),AG885,G885)+H885,2)</f>
        <v/>
      </c>
      <c r="J885" s="2" t="inlineStr">
        <is>
          <t>Завтрак "Шведский стол"</t>
        </is>
      </c>
      <c r="K885" s="5" t="n">
        <v>46226.58333333334</v>
      </c>
      <c r="L885" t="n">
        <v>3</v>
      </c>
      <c r="M885" s="3">
        <f>I885/L885</f>
        <v/>
      </c>
      <c r="N885">
        <f>IF(M885&gt;=5100,"ставка","мин.ставка")</f>
        <v/>
      </c>
      <c r="O885" s="3">
        <f>ROUND(IF(N885="мин.ставка",L885*100,I885/102*2),2)</f>
        <v/>
      </c>
      <c r="P885" s="5" t="n">
        <v>46229.5</v>
      </c>
      <c r="Q885" t="inlineStr">
        <is>
          <t>TravelLine OTK</t>
        </is>
      </c>
      <c r="R885" s="2" t="inlineStr">
        <is>
          <t>СТАНДАРТНЫЙ ДВУХМЕСТНЫЙ НОМЕР</t>
        </is>
      </c>
      <c r="S885" t="n">
        <v>44</v>
      </c>
      <c r="T885" t="n">
        <v>1</v>
      </c>
      <c r="U885" t="inlineStr"/>
      <c r="V885" t="inlineStr">
        <is>
          <t>Тариф с завтраком</t>
        </is>
      </c>
      <c r="W885" t="n">
        <v>34042.5</v>
      </c>
      <c r="X885" s="3" t="n">
        <v>6007.5</v>
      </c>
      <c r="Y885" t="inlineStr">
        <is>
          <t>15%</t>
        </is>
      </c>
      <c r="Z885" t="inlineStr">
        <is>
          <t>2026-07-23, 2026-07-24, 2026-07-25</t>
        </is>
      </c>
      <c r="AA885" s="3" t="n">
        <v>34042.5</v>
      </c>
      <c r="AB885" t="inlineStr">
        <is>
          <t>Сошлось по ночным тарифам</t>
        </is>
      </c>
      <c r="AC885" s="2" t="inlineStr"/>
      <c r="AD885" t="n">
        <v>6007.5</v>
      </c>
      <c r="AE885" t="n">
        <v>0</v>
      </c>
      <c r="AF885" t="inlineStr">
        <is>
          <t>Скидка добавлена к налоговой базе</t>
        </is>
      </c>
      <c r="AG885" t="n">
        <v>40050</v>
      </c>
      <c r="AH885" t="n">
        <v>34042.5</v>
      </c>
      <c r="AI885" t="inlineStr">
        <is>
          <t>Полное проживание в выбранном периоде</t>
        </is>
      </c>
    </row>
    <row r="886">
      <c r="A886" t="inlineStr">
        <is>
          <t>20260828-8186-462177609</t>
        </is>
      </c>
      <c r="B886" t="n">
        <v>1</v>
      </c>
      <c r="C886" s="2" t="inlineStr">
        <is>
          <t>СЕРГЕЙ СЕРЕГИН</t>
        </is>
      </c>
      <c r="D886" s="3" t="n">
        <v>9960</v>
      </c>
      <c r="E886" s="4" t="n">
        <v>0</v>
      </c>
      <c r="F886" t="inlineStr">
        <is>
          <t>Прямые бронирования (стойка) [Чайковский]</t>
        </is>
      </c>
      <c r="G886" s="3">
        <f>ROUND(D886/(100-E886)*100,2)</f>
        <v/>
      </c>
      <c r="H886" s="3" t="n">
        <v>0</v>
      </c>
      <c r="I886" s="3">
        <f>ROUND(IF(ISNUMBER(AG886),AG886,G886)+H886,2)</f>
        <v/>
      </c>
      <c r="J886" s="2" t="inlineStr">
        <is>
          <t>Завтрак "Шведский стол"</t>
        </is>
      </c>
      <c r="K886" s="5" t="n">
        <v>46262.58333333334</v>
      </c>
      <c r="L886" t="n">
        <v>1</v>
      </c>
      <c r="M886" s="3">
        <f>I886/L886</f>
        <v/>
      </c>
      <c r="N886">
        <f>IF(M886&gt;=5100,"ставка","мин.ставка")</f>
        <v/>
      </c>
      <c r="O886" s="3">
        <f>ROUND(IF(N886="мин.ставка",L886*100,I886/102*2),2)</f>
        <v/>
      </c>
      <c r="P886" s="5" t="n">
        <v>46263.5</v>
      </c>
      <c r="Q886" t="inlineStr">
        <is>
          <t>TravelLine ресепшен</t>
        </is>
      </c>
      <c r="R886" s="2" t="inlineStr">
        <is>
          <t>СЕМЕЙНЫЙ НОМЕР КАТЕГОРИИ "СТАНДАРТ" ВТОРОЙ КОРПУС</t>
        </is>
      </c>
      <c r="S886" t="n">
        <v>50</v>
      </c>
      <c r="T886" t="n">
        <v>2</v>
      </c>
      <c r="U886" t="inlineStr"/>
      <c r="V886" t="inlineStr">
        <is>
          <t>Тариф с завтраком</t>
        </is>
      </c>
      <c r="W886" t="n">
        <v>9960</v>
      </c>
      <c r="X886" s="3" t="n">
        <v>2490</v>
      </c>
      <c r="Y886" t="inlineStr">
        <is>
          <t>20%</t>
        </is>
      </c>
      <c r="Z886" t="inlineStr">
        <is>
          <t>2026-08-28</t>
        </is>
      </c>
      <c r="AA886" s="3" t="n">
        <v>9960</v>
      </c>
      <c r="AB886" t="inlineStr">
        <is>
          <t>Сошлось по ночным тарифам</t>
        </is>
      </c>
      <c r="AC886" s="2" t="inlineStr"/>
      <c r="AD886" t="n">
        <v>2490</v>
      </c>
      <c r="AE886" t="n">
        <v>0</v>
      </c>
      <c r="AF886" t="inlineStr">
        <is>
          <t>Скидка добавлена к налоговой базе</t>
        </is>
      </c>
      <c r="AG886" t="n">
        <v>12450</v>
      </c>
      <c r="AH886" t="n">
        <v>9960</v>
      </c>
      <c r="AI886" t="inlineStr">
        <is>
          <t>Полное проживание в выбранном периоде</t>
        </is>
      </c>
    </row>
    <row r="887">
      <c r="A887" t="inlineStr">
        <is>
          <t>20260911-8186-465366665</t>
        </is>
      </c>
      <c r="B887" t="n">
        <v>1</v>
      </c>
      <c r="C887" s="2" t="inlineStr">
        <is>
          <t>СЕРГЕЙ СЕРЕГИН</t>
        </is>
      </c>
      <c r="D887" s="3" t="n">
        <v>9000</v>
      </c>
      <c r="E887" s="4" t="n">
        <v>0</v>
      </c>
      <c r="F887" t="inlineStr">
        <is>
          <t>Прямые бронирования (стойка) [Чайковский]</t>
        </is>
      </c>
      <c r="G887" s="3">
        <f>ROUND(D887/(100-E887)*100,2)</f>
        <v/>
      </c>
      <c r="H887" s="3" t="n">
        <v>0</v>
      </c>
      <c r="I887" s="3">
        <f>ROUND(IF(ISNUMBER(AG887),AG887,G887)+H887,2)</f>
        <v/>
      </c>
      <c r="J887" s="2" t="inlineStr">
        <is>
          <t>Завтрак "Шведский стол"</t>
        </is>
      </c>
      <c r="K887" s="5" t="n">
        <v>46276.58333333334</v>
      </c>
      <c r="L887" t="n">
        <v>1</v>
      </c>
      <c r="M887" s="3">
        <f>I887/L887</f>
        <v/>
      </c>
      <c r="N887">
        <f>IF(M887&gt;=5100,"ставка","мин.ставка")</f>
        <v/>
      </c>
      <c r="O887" s="3">
        <f>ROUND(IF(N887="мин.ставка",L887*100,I887/102*2),2)</f>
        <v/>
      </c>
      <c r="P887" s="5" t="n">
        <v>46277.5</v>
      </c>
      <c r="Q887" t="inlineStr">
        <is>
          <t>TravelLine ресепшен</t>
        </is>
      </c>
      <c r="R887" s="2" t="inlineStr">
        <is>
          <t>СЕМЕЙНЫЙ НОМЕР КАТЕГОРИИ "СТАНДАРТ" ВТОРОЙ КОРПУС</t>
        </is>
      </c>
      <c r="S887" t="n">
        <v>50</v>
      </c>
      <c r="T887" t="n">
        <v>2</v>
      </c>
      <c r="U887" t="inlineStr"/>
      <c r="V887" t="inlineStr">
        <is>
          <t>Тариф с завтраком</t>
        </is>
      </c>
      <c r="W887" t="n">
        <v>9000</v>
      </c>
      <c r="X887" s="3" t="n">
        <v>0</v>
      </c>
      <c r="Y887" t="inlineStr"/>
      <c r="Z887" t="inlineStr"/>
      <c r="AA887" s="3" t="n">
        <v>9000</v>
      </c>
      <c r="AB887" t="inlineStr">
        <is>
          <t>Сошлось по ночным тарифам</t>
        </is>
      </c>
      <c r="AC887" s="2" t="inlineStr"/>
      <c r="AD887" t="n">
        <v>0</v>
      </c>
      <c r="AE887" t="n">
        <v>0</v>
      </c>
      <c r="AF887" t="inlineStr">
        <is>
          <t>Скидки нет</t>
        </is>
      </c>
      <c r="AG887" t="n">
        <v>9000</v>
      </c>
      <c r="AH887" t="n">
        <v>9000</v>
      </c>
      <c r="AI887" t="inlineStr">
        <is>
          <t>Полное проживание в выбранном периоде</t>
        </is>
      </c>
    </row>
    <row r="888">
      <c r="A888" t="inlineStr">
        <is>
          <t>20260801-8186-455110906</t>
        </is>
      </c>
      <c r="B888" t="n">
        <v>1</v>
      </c>
      <c r="C888" s="2" t="inlineStr">
        <is>
          <t>СЕРГЕЙ СИВЕРИН</t>
        </is>
      </c>
      <c r="D888" s="3" t="n">
        <v>9534</v>
      </c>
      <c r="E888" s="4" t="n">
        <v>16</v>
      </c>
      <c r="F888" t="inlineStr">
        <is>
          <t>ООО "БРОНИРОВАНИЕ ГОСТИНИЦ" (OSTROVOK) [Чайковский]</t>
        </is>
      </c>
      <c r="G888" s="3">
        <f>ROUND(D888/(100-E888)*100,2)</f>
        <v/>
      </c>
      <c r="H888" s="3" t="n">
        <v>0</v>
      </c>
      <c r="I888" s="3">
        <f>ROUND(IF(ISNUMBER(AG888),AG888,G888)+H888,2)</f>
        <v/>
      </c>
      <c r="J888" s="2" t="inlineStr">
        <is>
          <t>Завтрак "Шведский стол"</t>
        </is>
      </c>
      <c r="K888" s="5" t="n">
        <v>46235.58333333334</v>
      </c>
      <c r="L888" t="n">
        <v>1</v>
      </c>
      <c r="M888" s="3">
        <f>I888/L888</f>
        <v/>
      </c>
      <c r="N888">
        <f>IF(M888&gt;=5100,"ставка","мин.ставка")</f>
        <v/>
      </c>
      <c r="O888" s="3">
        <f>ROUND(IF(N888="мин.ставка",L888*100,I888/102*2),2)</f>
        <v/>
      </c>
      <c r="P888" s="5" t="n">
        <v>46236.5</v>
      </c>
      <c r="Q888" t="inlineStr">
        <is>
          <t>TravelLine OTK</t>
        </is>
      </c>
      <c r="R888" s="2" t="inlineStr">
        <is>
          <t>СТАНДАРТНЫЙ ДВУХМЕСТНЫЙ НОМЕР</t>
        </is>
      </c>
      <c r="S888" t="n">
        <v>36</v>
      </c>
      <c r="T888" t="n">
        <v>1</v>
      </c>
      <c r="U888" t="inlineStr"/>
      <c r="V888" t="inlineStr">
        <is>
          <t>Тариф с завтраком</t>
        </is>
      </c>
      <c r="W888" t="n">
        <v>9534</v>
      </c>
      <c r="X888" s="3" t="n">
        <v>1816</v>
      </c>
      <c r="Y888" t="inlineStr">
        <is>
          <t>16%</t>
        </is>
      </c>
      <c r="Z888" t="inlineStr">
        <is>
          <t>2026-08-01</t>
        </is>
      </c>
      <c r="AA888" s="3" t="n">
        <v>9534</v>
      </c>
      <c r="AB888" t="inlineStr">
        <is>
          <t>Сошлось по ночным тарифам</t>
        </is>
      </c>
      <c r="AC888" s="2" t="inlineStr"/>
      <c r="AD888" t="n">
        <v>1816</v>
      </c>
      <c r="AE888" t="n">
        <v>0</v>
      </c>
      <c r="AF888" t="inlineStr">
        <is>
          <t>Скидка добавлена к налоговой базе</t>
        </is>
      </c>
      <c r="AG888" t="n">
        <v>11350</v>
      </c>
      <c r="AH888" t="n">
        <v>9534</v>
      </c>
      <c r="AI888" t="inlineStr">
        <is>
          <t>Полное проживание в выбранном периоде</t>
        </is>
      </c>
    </row>
    <row r="889">
      <c r="A889" t="inlineStr">
        <is>
          <t>20260717-8186-450533105</t>
        </is>
      </c>
      <c r="B889" t="n">
        <v>1</v>
      </c>
      <c r="C889" s="2" t="inlineStr">
        <is>
          <t>СЕРГЕЙ Тимошенко</t>
        </is>
      </c>
      <c r="D889" s="3" t="n">
        <v>11350</v>
      </c>
      <c r="E889" s="4" t="n">
        <v>0</v>
      </c>
      <c r="F889" t="inlineStr">
        <is>
          <t>Прямые бронирования (стойка) [Чайковский]</t>
        </is>
      </c>
      <c r="G889" s="3">
        <f>ROUND(D889/(100-E889)*100,2)</f>
        <v/>
      </c>
      <c r="H889" s="3" t="n">
        <v>0</v>
      </c>
      <c r="I889" s="3">
        <f>ROUND(IF(ISNUMBER(AG889),AG889,G889)+H889,2)</f>
        <v/>
      </c>
      <c r="J889" s="2" t="inlineStr">
        <is>
          <t>Завтрак "Шведский стол"</t>
        </is>
      </c>
      <c r="K889" s="5" t="n">
        <v>46220.58333333334</v>
      </c>
      <c r="L889" t="n">
        <v>1</v>
      </c>
      <c r="M889" s="3">
        <f>I889/L889</f>
        <v/>
      </c>
      <c r="N889">
        <f>IF(M889&gt;=5100,"ставка","мин.ставка")</f>
        <v/>
      </c>
      <c r="O889" s="3">
        <f>ROUND(IF(N889="мин.ставка",L889*100,I889/102*2),2)</f>
        <v/>
      </c>
      <c r="P889" s="5" t="n">
        <v>46221.5</v>
      </c>
      <c r="Q889" t="inlineStr">
        <is>
          <t>TravelLine ресепшен</t>
        </is>
      </c>
      <c r="R889" s="2" t="inlineStr">
        <is>
          <t>СТАНДАРТНЫЙ ДВУХМЕСТНЫЙ НОМЕР</t>
        </is>
      </c>
      <c r="S889" t="n">
        <v>46</v>
      </c>
      <c r="T889" t="n">
        <v>1</v>
      </c>
      <c r="U889" t="inlineStr"/>
      <c r="V889" t="inlineStr">
        <is>
          <t>Тариф с завтраком</t>
        </is>
      </c>
      <c r="W889" t="n">
        <v>11350</v>
      </c>
      <c r="X889" s="3" t="n">
        <v>0</v>
      </c>
      <c r="Y889" t="inlineStr"/>
      <c r="Z889" t="inlineStr"/>
      <c r="AA889" s="3" t="n">
        <v>11350</v>
      </c>
      <c r="AB889" t="inlineStr">
        <is>
          <t>Сошлось по ночным тарифам</t>
        </is>
      </c>
      <c r="AC889" s="2" t="inlineStr"/>
      <c r="AD889" t="n">
        <v>0</v>
      </c>
      <c r="AE889" t="n">
        <v>0</v>
      </c>
      <c r="AF889" t="inlineStr">
        <is>
          <t>Скидки нет</t>
        </is>
      </c>
      <c r="AG889" t="n">
        <v>11350</v>
      </c>
      <c r="AH889" t="n">
        <v>11350</v>
      </c>
      <c r="AI889" t="inlineStr">
        <is>
          <t>Полное проживание в выбранном периоде</t>
        </is>
      </c>
    </row>
    <row r="890">
      <c r="A890" t="inlineStr">
        <is>
          <t>20260828-8186-430964258</t>
        </is>
      </c>
      <c r="B890" t="n">
        <v>1</v>
      </c>
      <c r="C890" s="2" t="inlineStr">
        <is>
          <t>Сергей Филяс, Виктория Хренова</t>
        </is>
      </c>
      <c r="D890" s="3" t="n">
        <v>32752.5</v>
      </c>
      <c r="E890" s="4" t="n">
        <v>4</v>
      </c>
      <c r="F890" t="inlineStr">
        <is>
          <t>TravelLine Booking Engine [Чайковский]</t>
        </is>
      </c>
      <c r="G890" s="3">
        <f>ROUND(D890/(100-E890)*100,2)</f>
        <v/>
      </c>
      <c r="H890" s="3" t="n">
        <v>0</v>
      </c>
      <c r="I890" s="3">
        <f>ROUND(IF(ISNUMBER(AG890),AG890,G890)+H890,2)</f>
        <v/>
      </c>
      <c r="J890" s="2" t="inlineStr">
        <is>
          <t>Завтрак "Шведский стол"</t>
        </is>
      </c>
      <c r="K890" s="5" t="n">
        <v>46262.625</v>
      </c>
      <c r="L890" t="n">
        <v>2</v>
      </c>
      <c r="M890" s="3">
        <f>I890/L890</f>
        <v/>
      </c>
      <c r="N890">
        <f>IF(M890&gt;=5100,"ставка","мин.ставка")</f>
        <v/>
      </c>
      <c r="O890" s="3">
        <f>ROUND(IF(N890="мин.ставка",L890*100,I890/102*2),2)</f>
        <v/>
      </c>
      <c r="P890" s="5" t="n">
        <v>46264.5</v>
      </c>
      <c r="Q890" t="inlineStr">
        <is>
          <t>TravelLine сайт</t>
        </is>
      </c>
      <c r="R890" s="2" t="inlineStr">
        <is>
          <t>ПОЛУЛЮКС</t>
        </is>
      </c>
      <c r="S890" t="n">
        <v>25</v>
      </c>
      <c r="T890" t="n">
        <v>1</v>
      </c>
      <c r="U890" t="inlineStr"/>
      <c r="V890" t="inlineStr">
        <is>
          <t>Тариф с завтраком</t>
        </is>
      </c>
      <c r="W890" t="n">
        <v>32752.5</v>
      </c>
      <c r="X890" s="3" t="n">
        <v>247.5</v>
      </c>
      <c r="Y890" t="inlineStr">
        <is>
          <t>1.5%</t>
        </is>
      </c>
      <c r="Z890" t="inlineStr">
        <is>
          <t>2026-08-28</t>
        </is>
      </c>
      <c r="AA890" s="3" t="n">
        <v>32752.5</v>
      </c>
      <c r="AB890" t="inlineStr">
        <is>
          <t>Сошлось по ночным тарифам</t>
        </is>
      </c>
      <c r="AC890" s="2" t="inlineStr"/>
      <c r="AD890" t="n">
        <v>247.5</v>
      </c>
      <c r="AE890" t="n">
        <v>0</v>
      </c>
      <c r="AF890" t="inlineStr">
        <is>
          <t>Скидка добавлена к налоговой базе</t>
        </is>
      </c>
      <c r="AG890" t="n">
        <v>33000</v>
      </c>
      <c r="AH890" t="n">
        <v>32752.5</v>
      </c>
      <c r="AI890" t="inlineStr">
        <is>
          <t>Полное проживание в выбранном периоде</t>
        </is>
      </c>
    </row>
    <row r="891">
      <c r="A891" t="inlineStr">
        <is>
          <t>20260803-8186-421031747</t>
        </is>
      </c>
      <c r="B891" t="n">
        <v>1</v>
      </c>
      <c r="C891" s="2" t="inlineStr">
        <is>
          <t>Сергей Хрусталев</t>
        </is>
      </c>
      <c r="D891" s="3" t="n">
        <v>33879.75</v>
      </c>
      <c r="E891" s="4" t="n">
        <v>4</v>
      </c>
      <c r="F891" t="inlineStr">
        <is>
          <t>TravelLine Booking Engine [Чайковский]</t>
        </is>
      </c>
      <c r="G891" s="3">
        <f>ROUND(D891/(100-E891)*100,2)</f>
        <v/>
      </c>
      <c r="H891" s="3" t="n">
        <v>0</v>
      </c>
      <c r="I891" s="3">
        <f>ROUND(IF(ISNUMBER(AG891),AG891,G891)+H891,2)</f>
        <v/>
      </c>
      <c r="J891" s="2" t="inlineStr">
        <is>
          <t>Завтрак "Шведский стол"</t>
        </is>
      </c>
      <c r="K891" s="5" t="n">
        <v>46237.58333333334</v>
      </c>
      <c r="L891" t="n">
        <v>3</v>
      </c>
      <c r="M891" s="3">
        <f>I891/L891</f>
        <v/>
      </c>
      <c r="N891">
        <f>IF(M891&gt;=5100,"ставка","мин.ставка")</f>
        <v/>
      </c>
      <c r="O891" s="3">
        <f>ROUND(IF(N891="мин.ставка",L891*100,I891/102*2),2)</f>
        <v/>
      </c>
      <c r="P891" s="5" t="n">
        <v>46240.5</v>
      </c>
      <c r="Q891" t="inlineStr">
        <is>
          <t>TravelLine сайт</t>
        </is>
      </c>
      <c r="R891" s="2" t="inlineStr">
        <is>
          <t>СТАНДАРТНЫЙ ДВУХМЕСТНЫЙ НОМЕР</t>
        </is>
      </c>
      <c r="S891" t="n">
        <v>22</v>
      </c>
      <c r="T891" t="n">
        <v>1</v>
      </c>
      <c r="U891" t="inlineStr"/>
      <c r="V891" t="inlineStr">
        <is>
          <t>Тариф с завтраком</t>
        </is>
      </c>
      <c r="W891" t="n">
        <v>73729.5</v>
      </c>
      <c r="X891" s="3" t="n">
        <v>170.25</v>
      </c>
      <c r="Y891" t="inlineStr">
        <is>
          <t>1.5%</t>
        </is>
      </c>
      <c r="Z891" t="inlineStr">
        <is>
          <t>2026-08-03</t>
        </is>
      </c>
      <c r="AA891" s="3" t="n">
        <v>33879.75</v>
      </c>
      <c r="AB891" t="inlineStr">
        <is>
          <t>Сошлось по ночным тарифам</t>
        </is>
      </c>
      <c r="AC891" s="2" t="inlineStr"/>
      <c r="AD891" t="n">
        <v>170.25</v>
      </c>
      <c r="AE891" t="n">
        <v>0</v>
      </c>
      <c r="AF891" t="inlineStr">
        <is>
          <t>Скидка добавлена к налоговой базе</t>
        </is>
      </c>
      <c r="AG891" t="n">
        <v>34050</v>
      </c>
      <c r="AH891" t="n">
        <v>33879.75</v>
      </c>
      <c r="AI891" t="inlineStr">
        <is>
          <t>Полное проживание в выбранном периоде</t>
        </is>
      </c>
    </row>
    <row r="892">
      <c r="A892" t="inlineStr">
        <is>
          <t>20260909-8186-464779928</t>
        </is>
      </c>
      <c r="B892" t="n">
        <v>1</v>
      </c>
      <c r="C892" s="2" t="inlineStr">
        <is>
          <t>Сергей Чеканов</t>
        </is>
      </c>
      <c r="D892" s="3" t="n">
        <v>11600</v>
      </c>
      <c r="E892" s="4" t="n">
        <v>20</v>
      </c>
      <c r="F892" t="inlineStr">
        <is>
          <t>ООО "КОМПАНИЯ БРОНЕВИК" [Чайковский]</t>
        </is>
      </c>
      <c r="G892" s="3">
        <f>ROUND(D892/(100-E892)*100,2)</f>
        <v/>
      </c>
      <c r="H892" s="3" t="n">
        <v>0</v>
      </c>
      <c r="I892" s="3">
        <f>ROUND(IF(ISNUMBER(AG892),AG892,G892)+H892,2)</f>
        <v/>
      </c>
      <c r="J892" s="2" t="inlineStr">
        <is>
          <t>Завтрак "Шведский стол"</t>
        </is>
      </c>
      <c r="K892" s="5" t="n">
        <v>46274.58333333334</v>
      </c>
      <c r="L892" t="n">
        <v>1</v>
      </c>
      <c r="M892" s="3">
        <f>I892/L892</f>
        <v/>
      </c>
      <c r="N892">
        <f>IF(M892&gt;=5100,"ставка","мин.ставка")</f>
        <v/>
      </c>
      <c r="O892" s="3">
        <f>ROUND(IF(N892="мин.ставка",L892*100,I892/102*2),2)</f>
        <v/>
      </c>
      <c r="P892" s="5" t="n">
        <v>46275.5</v>
      </c>
      <c r="Q892" t="inlineStr">
        <is>
          <t>TravelLine BR2</t>
        </is>
      </c>
      <c r="R892" s="2" t="inlineStr">
        <is>
          <t>ПОЛУЛЮКС</t>
        </is>
      </c>
      <c r="S892" t="n">
        <v>35</v>
      </c>
      <c r="T892" t="n">
        <v>1</v>
      </c>
      <c r="U892" t="inlineStr"/>
      <c r="V892" t="inlineStr">
        <is>
          <t>Тариф с завтраком</t>
        </is>
      </c>
      <c r="W892" t="n">
        <v>11600</v>
      </c>
      <c r="X892" s="3" t="n">
        <v>0</v>
      </c>
      <c r="Y892" t="inlineStr"/>
      <c r="Z892" t="inlineStr"/>
      <c r="AA892" s="3" t="n">
        <v>11600</v>
      </c>
      <c r="AB892" t="inlineStr">
        <is>
          <t>Сошлось по ночным тарифам</t>
        </is>
      </c>
      <c r="AC892" s="2" t="inlineStr"/>
      <c r="AD892" t="n">
        <v>0</v>
      </c>
      <c r="AE892" t="n">
        <v>0</v>
      </c>
      <c r="AF892" t="inlineStr">
        <is>
          <t>Скидки нет</t>
        </is>
      </c>
      <c r="AG892" t="n">
        <v>11600</v>
      </c>
      <c r="AH892" t="n">
        <v>11600</v>
      </c>
      <c r="AI892" t="inlineStr">
        <is>
          <t>Полное проживание в выбранном периоде</t>
        </is>
      </c>
    </row>
    <row r="893">
      <c r="A893" t="inlineStr">
        <is>
          <t>20260919-8186-466902324</t>
        </is>
      </c>
      <c r="B893" t="n">
        <v>1</v>
      </c>
      <c r="C893" s="2" t="inlineStr">
        <is>
          <t>Сергей Шаролапов</t>
        </is>
      </c>
      <c r="D893" s="3" t="n">
        <v>15800</v>
      </c>
      <c r="E893" s="4" t="n">
        <v>0</v>
      </c>
      <c r="F893" t="inlineStr">
        <is>
          <t>Прямые бронирования (стойка) [Чайковский]</t>
        </is>
      </c>
      <c r="G893" s="3">
        <f>ROUND(D893/(100-E893)*100,2)</f>
        <v/>
      </c>
      <c r="H893" s="3" t="n">
        <v>0</v>
      </c>
      <c r="I893" s="3">
        <f>ROUND(IF(ISNUMBER(AG893),AG893,G893)+H893,2)</f>
        <v/>
      </c>
      <c r="J893" s="2" t="inlineStr">
        <is>
          <t>Завтрак "Шведский стол"</t>
        </is>
      </c>
      <c r="K893" s="5" t="n">
        <v>46284.58333333334</v>
      </c>
      <c r="L893" t="n">
        <v>1</v>
      </c>
      <c r="M893" s="3">
        <f>I893/L893</f>
        <v/>
      </c>
      <c r="N893">
        <f>IF(M893&gt;=5100,"ставка","мин.ставка")</f>
        <v/>
      </c>
      <c r="O893" s="3">
        <f>ROUND(IF(N893="мин.ставка",L893*100,I893/102*2),2)</f>
        <v/>
      </c>
      <c r="P893" s="5" t="n">
        <v>46285.5</v>
      </c>
      <c r="Q893" t="inlineStr">
        <is>
          <t>TravelLine ресепшен</t>
        </is>
      </c>
      <c r="R893" s="2" t="inlineStr">
        <is>
          <t>ЛЮКС ВТОРОЙ КОРПУС</t>
        </is>
      </c>
      <c r="S893" t="n">
        <v>53</v>
      </c>
      <c r="T893" t="n">
        <v>2</v>
      </c>
      <c r="U893" t="inlineStr"/>
      <c r="V893" t="inlineStr">
        <is>
          <t>Тариф с завтраком</t>
        </is>
      </c>
      <c r="W893" t="n">
        <v>15800</v>
      </c>
      <c r="X893" s="3" t="n">
        <v>0</v>
      </c>
      <c r="Y893" t="inlineStr"/>
      <c r="Z893" t="inlineStr"/>
      <c r="AA893" s="3" t="n">
        <v>15800</v>
      </c>
      <c r="AB893" t="inlineStr">
        <is>
          <t>Сошлось по ночным тарифам</t>
        </is>
      </c>
      <c r="AC893" s="2" t="inlineStr"/>
      <c r="AD893" t="n">
        <v>0</v>
      </c>
      <c r="AE893" t="n">
        <v>0</v>
      </c>
      <c r="AF893" t="inlineStr">
        <is>
          <t>Скидки нет</t>
        </is>
      </c>
      <c r="AG893" t="n">
        <v>15800</v>
      </c>
      <c r="AH893" t="n">
        <v>15800</v>
      </c>
      <c r="AI893" t="inlineStr">
        <is>
          <t>Полное проживание в выбранном периоде</t>
        </is>
      </c>
    </row>
    <row r="894">
      <c r="A894" t="inlineStr">
        <is>
          <t>20260704-8186-447496041</t>
        </is>
      </c>
      <c r="B894" t="n">
        <v>1</v>
      </c>
      <c r="C894" s="2" t="inlineStr">
        <is>
          <t>Сергей Шпаков, ВАЛЕРИЯ ШПАКОВА</t>
        </is>
      </c>
      <c r="D894" s="3" t="n">
        <v>49252.5</v>
      </c>
      <c r="E894" s="4" t="n">
        <v>4</v>
      </c>
      <c r="F894" t="inlineStr">
        <is>
          <t>TravelLine Booking Engine [Чайковский]</t>
        </is>
      </c>
      <c r="G894" s="3">
        <f>ROUND(D894/(100-E894)*100,2)</f>
        <v/>
      </c>
      <c r="H894" s="3" t="n">
        <v>3440</v>
      </c>
      <c r="I894" s="3">
        <f>ROUND(IF(ISNUMBER(AG894),AG894,G894)+H894,2)</f>
        <v/>
      </c>
      <c r="J894" s="2" t="inlineStr">
        <is>
          <t>продление номера — 2 752,00 ₽; продление номера — 688,00 ₽; Завтрак "Шведский стол"</t>
        </is>
      </c>
      <c r="K894" s="5" t="n">
        <v>46207.70833333334</v>
      </c>
      <c r="L894" t="n">
        <v>3</v>
      </c>
      <c r="M894" s="3">
        <f>I894/L894</f>
        <v/>
      </c>
      <c r="N894">
        <f>IF(M894&gt;=5100,"ставка","мин.ставка")</f>
        <v/>
      </c>
      <c r="O894" s="3">
        <f>ROUND(IF(N894="мин.ставка",L894*100,I894/102*2),2)</f>
        <v/>
      </c>
      <c r="P894" s="5" t="n">
        <v>46210.66666666666</v>
      </c>
      <c r="Q894" t="inlineStr">
        <is>
          <t>TravelLine сайт</t>
        </is>
      </c>
      <c r="R894" s="2" t="inlineStr">
        <is>
          <t>ЛЮКС ВТОРОЙ КОРПУС</t>
        </is>
      </c>
      <c r="S894" t="n">
        <v>54</v>
      </c>
      <c r="T894" t="n">
        <v>2</v>
      </c>
      <c r="U894" t="inlineStr"/>
      <c r="V894" t="inlineStr">
        <is>
          <t>Тариф с завтраком</t>
        </is>
      </c>
      <c r="W894" t="n">
        <v>52692.5</v>
      </c>
      <c r="X894" s="3" t="n">
        <v>247.5</v>
      </c>
      <c r="Y894" t="inlineStr">
        <is>
          <t>1.5%</t>
        </is>
      </c>
      <c r="Z894" t="inlineStr">
        <is>
          <t>2026-07-04</t>
        </is>
      </c>
      <c r="AA894" s="3" t="n">
        <v>49252.5</v>
      </c>
      <c r="AB894" t="inlineStr">
        <is>
          <t>Сошлось с услугами</t>
        </is>
      </c>
      <c r="AC894" s="2" t="inlineStr"/>
      <c r="AD894" t="n">
        <v>247.5</v>
      </c>
      <c r="AE894" t="n">
        <v>0</v>
      </c>
      <c r="AF894" t="inlineStr">
        <is>
          <t>Скидка добавлена к налоговой базе</t>
        </is>
      </c>
      <c r="AG894" t="n">
        <v>49500</v>
      </c>
      <c r="AH894" t="n">
        <v>49252.5</v>
      </c>
      <c r="AI894" t="inlineStr">
        <is>
          <t>Полное проживание в выбранном периоде</t>
        </is>
      </c>
    </row>
    <row r="895">
      <c r="A895" t="inlineStr">
        <is>
          <t>20260819-8186-457340079</t>
        </is>
      </c>
      <c r="B895" t="n">
        <v>1</v>
      </c>
      <c r="C895" s="2" t="inlineStr">
        <is>
          <t>София Гапаева, Юлия Тыртычева</t>
        </is>
      </c>
      <c r="D895" s="3" t="n">
        <v>29904</v>
      </c>
      <c r="E895" s="4" t="n">
        <v>16</v>
      </c>
      <c r="F895" t="inlineStr">
        <is>
          <t>ООО "БРОНИРОВАНИЕ ГОСТИНИЦ" (OSTROVOK) [Чайковский]</t>
        </is>
      </c>
      <c r="G895" s="3">
        <f>ROUND(D895/(100-E895)*100,2)</f>
        <v/>
      </c>
      <c r="H895" s="3" t="n">
        <v>0</v>
      </c>
      <c r="I895" s="3">
        <f>ROUND(IF(ISNUMBER(AG895),AG895,G895)+H895,2)</f>
        <v/>
      </c>
      <c r="J895" s="2" t="inlineStr">
        <is>
          <t>Завтрак "Шведский стол"</t>
        </is>
      </c>
      <c r="K895" s="5" t="n">
        <v>46253.58333333334</v>
      </c>
      <c r="L895" t="n">
        <v>2</v>
      </c>
      <c r="M895" s="3">
        <f>I895/L895</f>
        <v/>
      </c>
      <c r="N895">
        <f>IF(M895&gt;=5100,"ставка","мин.ставка")</f>
        <v/>
      </c>
      <c r="O895" s="3">
        <f>ROUND(IF(N895="мин.ставка",L895*100,I895/102*2),2)</f>
        <v/>
      </c>
      <c r="P895" s="5" t="n">
        <v>46255.5</v>
      </c>
      <c r="Q895" t="inlineStr">
        <is>
          <t>TravelLine OTK</t>
        </is>
      </c>
      <c r="R895" s="2" t="inlineStr">
        <is>
          <t>ЛЮКС ВТОРОЙ КОРПУС</t>
        </is>
      </c>
      <c r="S895" t="n">
        <v>54</v>
      </c>
      <c r="T895" t="n">
        <v>2</v>
      </c>
      <c r="U895" t="inlineStr"/>
      <c r="V895" t="inlineStr">
        <is>
          <t>Тариф с завтраком</t>
        </is>
      </c>
      <c r="W895" t="n">
        <v>29904</v>
      </c>
      <c r="X895" s="3" t="n">
        <v>5696</v>
      </c>
      <c r="Y895" t="inlineStr">
        <is>
          <t>16%</t>
        </is>
      </c>
      <c r="Z895" t="inlineStr">
        <is>
          <t>2026-08-19, 2026-08-20</t>
        </is>
      </c>
      <c r="AA895" s="3" t="n">
        <v>29904</v>
      </c>
      <c r="AB895" t="inlineStr">
        <is>
          <t>Сошлось по ночным тарифам</t>
        </is>
      </c>
      <c r="AC895" s="2" t="inlineStr"/>
      <c r="AD895" t="n">
        <v>5696</v>
      </c>
      <c r="AE895" t="n">
        <v>0</v>
      </c>
      <c r="AF895" t="inlineStr">
        <is>
          <t>Скидка добавлена к налоговой базе</t>
        </is>
      </c>
      <c r="AG895" t="n">
        <v>35600</v>
      </c>
      <c r="AH895" t="n">
        <v>29904</v>
      </c>
      <c r="AI895" t="inlineStr">
        <is>
          <t>Полное проживание в выбранном периоде</t>
        </is>
      </c>
    </row>
    <row r="896">
      <c r="A896" t="inlineStr">
        <is>
          <t>20260810-8186-434605762</t>
        </is>
      </c>
      <c r="B896" t="n">
        <v>1</v>
      </c>
      <c r="C896" s="2" t="inlineStr">
        <is>
          <t>СОФЬЯ МАКАРОВА, МАКСИМ САЛТЫКОВ</t>
        </is>
      </c>
      <c r="D896" s="3" t="n">
        <v>58905</v>
      </c>
      <c r="E896" s="4" t="n">
        <v>0</v>
      </c>
      <c r="F896" t="inlineStr">
        <is>
          <t>ООО "АЛЕАН ОТДЫХ" [Чайковский]</t>
        </is>
      </c>
      <c r="G896" s="3">
        <f>ROUND(D896/(100-E896)*100,2)</f>
        <v/>
      </c>
      <c r="H896" s="3" t="n">
        <v>0</v>
      </c>
      <c r="I896" s="3">
        <f>ROUND(IF(ISNUMBER(AG896),AG896,G896)+H896,2)</f>
        <v/>
      </c>
      <c r="J896" s="2" t="inlineStr">
        <is>
          <t>meal_bf_buffet_1; meal_bf_buffet_1; Завтрак "Шведский стол"</t>
        </is>
      </c>
      <c r="K896" s="5" t="n">
        <v>46244.58333333334</v>
      </c>
      <c r="L896" t="n">
        <v>7</v>
      </c>
      <c r="M896" s="3">
        <f>I896/L896</f>
        <v/>
      </c>
      <c r="N896">
        <f>IF(M896&gt;=5100,"ставка","мин.ставка")</f>
        <v/>
      </c>
      <c r="O896" s="3">
        <f>ROUND(IF(N896="мин.ставка",L896*100,I896/102*2),2)</f>
        <v/>
      </c>
      <c r="P896" s="5" t="n">
        <v>46251.5</v>
      </c>
      <c r="Q896" t="inlineStr">
        <is>
          <t>TravelLine ALN</t>
        </is>
      </c>
      <c r="R896" s="2" t="inlineStr">
        <is>
          <t>СТАНДАРТНЫЙ ДВУХМЕСТНЫЙ НОМЕР (МАНСАРДА)</t>
        </is>
      </c>
      <c r="S896" t="n">
        <v>43</v>
      </c>
      <c r="T896" t="n">
        <v>1</v>
      </c>
      <c r="U896" t="inlineStr"/>
      <c r="V896" t="inlineStr">
        <is>
          <t>Тариф с завтраком</t>
        </is>
      </c>
      <c r="W896" t="n">
        <v>58905</v>
      </c>
      <c r="X896" s="3" t="n">
        <v>10395</v>
      </c>
      <c r="Y896" t="inlineStr">
        <is>
          <t>15%</t>
        </is>
      </c>
      <c r="Z896" t="inlineStr">
        <is>
          <t>2026-08-10, 2026-08-11, 2026-08-12, 2026-08-13, 2026-08-14, 2026-08-15, 2026-08-16</t>
        </is>
      </c>
      <c r="AA896" s="3" t="n">
        <v>58905</v>
      </c>
      <c r="AB896" t="inlineStr">
        <is>
          <t>Сошлось по ночным тарифам</t>
        </is>
      </c>
      <c r="AC896" s="2" t="inlineStr"/>
      <c r="AD896" t="n">
        <v>10395</v>
      </c>
      <c r="AE896" t="n">
        <v>0</v>
      </c>
      <c r="AF896" t="inlineStr">
        <is>
          <t>Скидка добавлена к налоговой базе</t>
        </is>
      </c>
      <c r="AG896" t="n">
        <v>69300</v>
      </c>
      <c r="AH896" t="n">
        <v>58905</v>
      </c>
      <c r="AI896" t="inlineStr">
        <is>
          <t>Полное проживание в выбранном периоде</t>
        </is>
      </c>
    </row>
    <row r="897">
      <c r="A897" t="inlineStr">
        <is>
          <t>20260806-8186-421013488</t>
        </is>
      </c>
      <c r="B897" t="n">
        <v>1</v>
      </c>
      <c r="C897" s="2" t="inlineStr">
        <is>
          <t>Станислав Драпеза, Елена Жданович</t>
        </is>
      </c>
      <c r="D897" s="3" t="n">
        <v>89782</v>
      </c>
      <c r="E897" s="4" t="n">
        <v>17</v>
      </c>
      <c r="F897" t="inlineStr">
        <is>
          <t>ООО "ОНЛАЙН ИННОВАЦИИ" (101 Отель) [Чайковский]</t>
        </is>
      </c>
      <c r="G897" s="3">
        <f>ROUND(D897/(100-E897)*100,2)</f>
        <v/>
      </c>
      <c r="H897" s="3" t="n">
        <v>0</v>
      </c>
      <c r="I897" s="3">
        <f>ROUND(IF(ISNUMBER(AG897),AG897,G897)+H897,2)</f>
        <v/>
      </c>
      <c r="J897" s="2" t="inlineStr">
        <is>
          <t>Завтрак "Шведский стол"</t>
        </is>
      </c>
      <c r="K897" s="5" t="n">
        <v>46240.58333333334</v>
      </c>
      <c r="L897" t="n">
        <v>6</v>
      </c>
      <c r="M897" s="3">
        <f>I897/L897</f>
        <v/>
      </c>
      <c r="N897">
        <f>IF(M897&gt;=5100,"ставка","мин.ставка")</f>
        <v/>
      </c>
      <c r="O897" s="3">
        <f>ROUND(IF(N897="мин.ставка",L897*100,I897/102*2),2)</f>
        <v/>
      </c>
      <c r="P897" s="5" t="n">
        <v>46246.5</v>
      </c>
      <c r="Q897" t="inlineStr">
        <is>
          <t>TravelLine H1C</t>
        </is>
      </c>
      <c r="R897" s="2" t="inlineStr">
        <is>
          <t>УЛУЧШЕННЫЙ ДВУХМЕСТНЫЙ НОМЕР</t>
        </is>
      </c>
      <c r="S897" t="n">
        <v>21</v>
      </c>
      <c r="T897" t="n">
        <v>1</v>
      </c>
      <c r="U897" t="inlineStr"/>
      <c r="V897" t="inlineStr">
        <is>
          <t>Тариф с завтраком</t>
        </is>
      </c>
      <c r="W897" t="n">
        <v>89782</v>
      </c>
      <c r="X897" s="3" t="n">
        <v>2618</v>
      </c>
      <c r="Y897" t="inlineStr">
        <is>
          <t>17%</t>
        </is>
      </c>
      <c r="Z897" t="inlineStr">
        <is>
          <t>2026-08-06</t>
        </is>
      </c>
      <c r="AA897" s="3" t="n">
        <v>89782</v>
      </c>
      <c r="AB897" t="inlineStr">
        <is>
          <t>Сошлось по ночным тарифам</t>
        </is>
      </c>
      <c r="AC897" s="2" t="inlineStr"/>
      <c r="AD897" t="n">
        <v>2618</v>
      </c>
      <c r="AE897" t="n">
        <v>0</v>
      </c>
      <c r="AF897" t="inlineStr">
        <is>
          <t>Скидка добавлена к налоговой базе</t>
        </is>
      </c>
      <c r="AG897" t="n">
        <v>92400</v>
      </c>
      <c r="AH897" t="n">
        <v>89782</v>
      </c>
      <c r="AI897" t="inlineStr">
        <is>
          <t>Полное проживание в выбранном периоде</t>
        </is>
      </c>
    </row>
    <row r="898">
      <c r="A898" t="inlineStr">
        <is>
          <t>20260725-8186-451545829</t>
        </is>
      </c>
      <c r="B898" t="n">
        <v>1</v>
      </c>
      <c r="C898" s="2" t="inlineStr">
        <is>
          <t>Станислав Ершов, Мария Мельникова</t>
        </is>
      </c>
      <c r="D898" s="3" t="n">
        <v>14240</v>
      </c>
      <c r="E898" s="4" t="n">
        <v>18</v>
      </c>
      <c r="F898" t="inlineStr">
        <is>
          <t>Яндекс.Путешествия [Чайковский]</t>
        </is>
      </c>
      <c r="G898" s="3">
        <f>ROUND(D898/(100-E898)*100,2)</f>
        <v/>
      </c>
      <c r="H898" s="3" t="n">
        <v>8900</v>
      </c>
      <c r="I898" s="3">
        <f>ROUND(IF(ISNUMBER(AG898),AG898,G898)+H898,2)</f>
        <v/>
      </c>
      <c r="J898" s="2" t="inlineStr">
        <is>
          <t>продление номера — 8 900,00 ₽; Завтрак "Шведский стол"</t>
        </is>
      </c>
      <c r="K898" s="5" t="n">
        <v>46234.58333333334</v>
      </c>
      <c r="L898" t="n">
        <v>1</v>
      </c>
      <c r="M898" s="3">
        <f>I898/L898</f>
        <v/>
      </c>
      <c r="N898">
        <f>IF(M898&gt;=5100,"ставка","мин.ставка")</f>
        <v/>
      </c>
      <c r="O898" s="3">
        <f>ROUND(IF(N898="мин.ставка",L898*100,I898/102*2),2)</f>
        <v/>
      </c>
      <c r="P898" s="5" t="n">
        <v>46235.79166666666</v>
      </c>
      <c r="Q898" t="inlineStr">
        <is>
          <t>TravelLine YAX</t>
        </is>
      </c>
      <c r="R898" s="2" t="inlineStr">
        <is>
          <t>ЛЮКС ВТОРОЙ КОРПУС</t>
        </is>
      </c>
      <c r="S898" t="n">
        <v>54</v>
      </c>
      <c r="T898" t="n">
        <v>2</v>
      </c>
      <c r="U898" t="inlineStr"/>
      <c r="V898" t="inlineStr">
        <is>
          <t>Тариф с завтраком</t>
        </is>
      </c>
      <c r="W898" t="n">
        <v>23140</v>
      </c>
      <c r="X898" s="3" t="n">
        <v>3560</v>
      </c>
      <c r="Y898" t="inlineStr">
        <is>
          <t>20%</t>
        </is>
      </c>
      <c r="Z898" t="inlineStr">
        <is>
          <t>2026-07-31</t>
        </is>
      </c>
      <c r="AA898" s="3" t="n">
        <v>14240</v>
      </c>
      <c r="AB898" t="inlineStr">
        <is>
          <t>Сошлось с услугами</t>
        </is>
      </c>
      <c r="AC898" s="2" t="inlineStr"/>
      <c r="AD898" t="n">
        <v>3560</v>
      </c>
      <c r="AE898" t="n">
        <v>0</v>
      </c>
      <c r="AF898" t="inlineStr">
        <is>
          <t>Скидка добавлена к налоговой базе</t>
        </is>
      </c>
      <c r="AG898" t="n">
        <v>17800</v>
      </c>
      <c r="AH898" t="n">
        <v>14240</v>
      </c>
      <c r="AI898" t="inlineStr">
        <is>
          <t>Полное проживание в выбранном периоде</t>
        </is>
      </c>
    </row>
    <row r="899">
      <c r="A899" t="inlineStr">
        <is>
          <t>20260923-8186-467728893</t>
        </is>
      </c>
      <c r="B899" t="n">
        <v>1</v>
      </c>
      <c r="C899" s="2" t="inlineStr">
        <is>
          <t>Станислав Николаев</t>
        </is>
      </c>
      <c r="D899" s="3" t="n">
        <v>11205</v>
      </c>
      <c r="E899" s="4" t="n">
        <v>0</v>
      </c>
      <c r="F899" t="inlineStr">
        <is>
          <t>Прямые бронирования (стойка) [Чайковский]</t>
        </is>
      </c>
      <c r="G899" s="3">
        <f>ROUND(D899/(100-E899)*100,2)</f>
        <v/>
      </c>
      <c r="H899" s="3" t="n">
        <v>0</v>
      </c>
      <c r="I899" s="3">
        <f>ROUND(IF(ISNUMBER(AG899),AG899,G899)+H899,2)</f>
        <v/>
      </c>
      <c r="J899" s="2" t="inlineStr">
        <is>
          <t>Завтрак "Шведский стол"</t>
        </is>
      </c>
      <c r="K899" s="5" t="n">
        <v>46288.58333333334</v>
      </c>
      <c r="L899" t="n">
        <v>1</v>
      </c>
      <c r="M899" s="3">
        <f>I899/L899</f>
        <v/>
      </c>
      <c r="N899">
        <f>IF(M899&gt;=5100,"ставка","мин.ставка")</f>
        <v/>
      </c>
      <c r="O899" s="3">
        <f>ROUND(IF(N899="мин.ставка",L899*100,I899/102*2),2)</f>
        <v/>
      </c>
      <c r="P899" s="5" t="n">
        <v>46289.5</v>
      </c>
      <c r="Q899" t="inlineStr">
        <is>
          <t>TravelLine ресепшен</t>
        </is>
      </c>
      <c r="R899" s="2" t="inlineStr">
        <is>
          <t>СЕМЕЙНЫЙ НОМЕР КАТЕГОРИИ "СТАНДАРТ" ВТОРОЙ КОРПУС</t>
        </is>
      </c>
      <c r="S899" t="n">
        <v>50</v>
      </c>
      <c r="T899" t="n">
        <v>2</v>
      </c>
      <c r="U899" t="inlineStr"/>
      <c r="V899" t="inlineStr">
        <is>
          <t>Тариф с завтраком</t>
        </is>
      </c>
      <c r="W899" t="n">
        <v>11205</v>
      </c>
      <c r="X899" s="3" t="n">
        <v>1245</v>
      </c>
      <c r="Y899" t="inlineStr">
        <is>
          <t>10%</t>
        </is>
      </c>
      <c r="Z899" t="inlineStr">
        <is>
          <t>2026-09-23</t>
        </is>
      </c>
      <c r="AA899" s="3" t="n">
        <v>11205</v>
      </c>
      <c r="AB899" t="inlineStr">
        <is>
          <t>Сошлось по ночным тарифам</t>
        </is>
      </c>
      <c r="AC899" s="2" t="inlineStr"/>
      <c r="AD899" t="n">
        <v>1245</v>
      </c>
      <c r="AE899" t="n">
        <v>0</v>
      </c>
      <c r="AF899" t="inlineStr">
        <is>
          <t>Скидка добавлена к налоговой базе</t>
        </is>
      </c>
      <c r="AG899" t="n">
        <v>12450</v>
      </c>
      <c r="AH899" t="n">
        <v>11205</v>
      </c>
      <c r="AI899" t="inlineStr">
        <is>
          <t>Полное проживание в выбранном периоде</t>
        </is>
      </c>
    </row>
    <row r="900">
      <c r="A900" t="inlineStr">
        <is>
          <t>20260916-8186-461387202</t>
        </is>
      </c>
      <c r="B900" t="n">
        <v>1</v>
      </c>
      <c r="C900" s="2" t="inlineStr">
        <is>
          <t>Станислав Шапырин</t>
        </is>
      </c>
      <c r="D900" s="3" t="n">
        <v>11600</v>
      </c>
      <c r="E900" s="4" t="n">
        <v>20</v>
      </c>
      <c r="F900" t="inlineStr">
        <is>
          <t>ООО «Дубль Гис» (OTELLO) [Чайковский]</t>
        </is>
      </c>
      <c r="G900" s="3">
        <f>ROUND(D900/(100-E900)*100,2)</f>
        <v/>
      </c>
      <c r="H900" s="3" t="n">
        <v>0</v>
      </c>
      <c r="I900" s="3">
        <f>ROUND(IF(ISNUMBER(AG900),AG900,G900)+H900,2)</f>
        <v/>
      </c>
      <c r="J900" s="2" t="inlineStr">
        <is>
          <t>Завтрак "Шведский стол"</t>
        </is>
      </c>
      <c r="K900" s="5" t="n">
        <v>46281.58333333334</v>
      </c>
      <c r="L900" t="n">
        <v>1</v>
      </c>
      <c r="M900" s="3">
        <f>I900/L900</f>
        <v/>
      </c>
      <c r="N900">
        <f>IF(M900&gt;=5100,"ставка","мин.ставка")</f>
        <v/>
      </c>
      <c r="O900" s="3">
        <f>ROUND(IF(N900="мин.ставка",L900*100,I900/102*2),2)</f>
        <v/>
      </c>
      <c r="P900" s="5" t="n">
        <v>46282.5</v>
      </c>
      <c r="Q900" t="inlineStr">
        <is>
          <t>TravelLine OL2</t>
        </is>
      </c>
      <c r="R900" s="2" t="inlineStr">
        <is>
          <t>ПОЛУЛЮКС</t>
        </is>
      </c>
      <c r="S900" t="n">
        <v>35</v>
      </c>
      <c r="T900" t="n">
        <v>1</v>
      </c>
      <c r="U900" t="inlineStr"/>
      <c r="V900" t="inlineStr">
        <is>
          <t>Тариф с завтраком</t>
        </is>
      </c>
      <c r="W900" t="n">
        <v>11600</v>
      </c>
      <c r="X900" s="3" t="n">
        <v>2900</v>
      </c>
      <c r="Y900" t="inlineStr">
        <is>
          <t>20%</t>
        </is>
      </c>
      <c r="Z900" t="inlineStr">
        <is>
          <t>2026-09-16</t>
        </is>
      </c>
      <c r="AA900" s="3" t="n">
        <v>11600</v>
      </c>
      <c r="AB900" t="inlineStr">
        <is>
          <t>Сошлось по ночным тарифам</t>
        </is>
      </c>
      <c r="AC900" s="2" t="inlineStr"/>
      <c r="AD900" t="n">
        <v>2900</v>
      </c>
      <c r="AE900" t="n">
        <v>0</v>
      </c>
      <c r="AF900" t="inlineStr">
        <is>
          <t>Скидка добавлена к налоговой базе</t>
        </is>
      </c>
      <c r="AG900" t="n">
        <v>14500</v>
      </c>
      <c r="AH900" t="n">
        <v>11600</v>
      </c>
      <c r="AI900" t="inlineStr">
        <is>
          <t>Полное проживание в выбранном периоде</t>
        </is>
      </c>
    </row>
    <row r="901">
      <c r="A901" t="inlineStr">
        <is>
          <t>20260812-8186-457353835</t>
        </is>
      </c>
      <c r="B901" t="n">
        <v>1</v>
      </c>
      <c r="C901" s="2" t="inlineStr">
        <is>
          <t>Сурен Мусаелян</t>
        </is>
      </c>
      <c r="D901" s="3" t="n">
        <v>9647.5</v>
      </c>
      <c r="E901" s="4" t="n">
        <v>15</v>
      </c>
      <c r="F901" t="inlineStr">
        <is>
          <t>ООО «12Т» (ранее ONE TWO TRIP) [Чайковский]</t>
        </is>
      </c>
      <c r="G901" s="3">
        <f>ROUND(D901/(100-E901)*100,2)</f>
        <v/>
      </c>
      <c r="H901" s="3" t="n">
        <v>0</v>
      </c>
      <c r="I901" s="3">
        <f>ROUND(IF(ISNUMBER(AG901),AG901,G901)+H901,2)</f>
        <v/>
      </c>
      <c r="J901" s="2" t="inlineStr">
        <is>
          <t>Завтрак "Шведский стол"</t>
        </is>
      </c>
      <c r="K901" s="5" t="n">
        <v>46246.58333333334</v>
      </c>
      <c r="L901" t="n">
        <v>1</v>
      </c>
      <c r="M901" s="3">
        <f>I901/L901</f>
        <v/>
      </c>
      <c r="N901">
        <f>IF(M901&gt;=5100,"ставка","мин.ставка")</f>
        <v/>
      </c>
      <c r="O901" s="3">
        <f>ROUND(IF(N901="мин.ставка",L901*100,I901/102*2),2)</f>
        <v/>
      </c>
      <c r="P901" s="5" t="n">
        <v>46247.5</v>
      </c>
      <c r="Q901" t="inlineStr">
        <is>
          <t>TravelLine OTT</t>
        </is>
      </c>
      <c r="R901" s="2" t="inlineStr">
        <is>
          <t>СТАНДАРТНЫЙ ДВУХМЕСТНЫЙ НОМЕР</t>
        </is>
      </c>
      <c r="S901" t="n">
        <v>52</v>
      </c>
      <c r="T901" t="n">
        <v>2</v>
      </c>
      <c r="U901" t="inlineStr"/>
      <c r="V901" t="inlineStr">
        <is>
          <t>Тариф с завтраком</t>
        </is>
      </c>
      <c r="W901" t="n">
        <v>9647.5</v>
      </c>
      <c r="X901" s="3" t="n">
        <v>1702.5</v>
      </c>
      <c r="Y901" t="inlineStr">
        <is>
          <t>15%</t>
        </is>
      </c>
      <c r="Z901" t="inlineStr">
        <is>
          <t>2026-08-12</t>
        </is>
      </c>
      <c r="AA901" s="3" t="n">
        <v>9647.5</v>
      </c>
      <c r="AB901" t="inlineStr">
        <is>
          <t>Сошлось по ночным тарифам</t>
        </is>
      </c>
      <c r="AC901" s="2" t="inlineStr"/>
      <c r="AD901" t="n">
        <v>1702.5</v>
      </c>
      <c r="AE901" t="n">
        <v>0</v>
      </c>
      <c r="AF901" t="inlineStr">
        <is>
          <t>Скидка добавлена к налоговой базе</t>
        </is>
      </c>
      <c r="AG901" t="n">
        <v>11350</v>
      </c>
      <c r="AH901" t="n">
        <v>9647.5</v>
      </c>
      <c r="AI901" t="inlineStr">
        <is>
          <t>Полное проживание в выбранном периоде</t>
        </is>
      </c>
    </row>
    <row r="902">
      <c r="A902" t="inlineStr">
        <is>
          <t>20260725-8186-451752132</t>
        </is>
      </c>
      <c r="B902" t="n">
        <v>1</v>
      </c>
      <c r="C902" s="2" t="inlineStr">
        <is>
          <t>Татьяна Августова, ПОЛИНА БУЛЛЕР</t>
        </is>
      </c>
      <c r="D902" s="3" t="n">
        <v>24805</v>
      </c>
      <c r="E902" s="4" t="n">
        <v>18</v>
      </c>
      <c r="F902" t="inlineStr">
        <is>
          <t>ООО "Эй энд Эй" [Чайковский]</t>
        </is>
      </c>
      <c r="G902" s="3">
        <f>ROUND(D902/(100-E902)*100,2)</f>
        <v/>
      </c>
      <c r="H902" s="3" t="n">
        <v>6000</v>
      </c>
      <c r="I902" s="3">
        <f>ROUND(IF(ISNUMBER(AG902),AG902,G902)+H902,2)</f>
        <v/>
      </c>
      <c r="J902" s="2" t="inlineStr">
        <is>
          <t>продление номера — 6 000,00 ₽; Завтрак "Шведский стол"</t>
        </is>
      </c>
      <c r="K902" s="5" t="n">
        <v>46228.58333333334</v>
      </c>
      <c r="L902" t="n">
        <v>3</v>
      </c>
      <c r="M902" s="3">
        <f>I902/L902</f>
        <v/>
      </c>
      <c r="N902">
        <f>IF(M902&gt;=5100,"ставка","мин.ставка")</f>
        <v/>
      </c>
      <c r="O902" s="3">
        <f>ROUND(IF(N902="мин.ставка",L902*100,I902/102*2),2)</f>
        <v/>
      </c>
      <c r="P902" s="5" t="n">
        <v>46231.5</v>
      </c>
      <c r="Q902" t="inlineStr">
        <is>
          <t>TravelLine ANA</t>
        </is>
      </c>
      <c r="R902" s="2" t="inlineStr">
        <is>
          <t>СЕМЕЙНЫЙ НОМЕР КАТЕГОРИИ "СТАНДАРТ" ВТОРОЙ КОРПУС</t>
        </is>
      </c>
      <c r="S902" t="n">
        <v>51</v>
      </c>
      <c r="T902" t="n">
        <v>2</v>
      </c>
      <c r="U902" t="inlineStr"/>
      <c r="V902" t="inlineStr">
        <is>
          <t>Тариф с завтраком</t>
        </is>
      </c>
      <c r="W902" t="n">
        <v>30805</v>
      </c>
      <c r="X902" s="3" t="n">
        <v>5445</v>
      </c>
      <c r="Y902" t="inlineStr">
        <is>
          <t>18%</t>
        </is>
      </c>
      <c r="Z902" t="inlineStr">
        <is>
          <t>Не распределена по датам</t>
        </is>
      </c>
      <c r="AA902" s="3" t="n">
        <v>24805</v>
      </c>
      <c r="AB902" t="inlineStr">
        <is>
          <t>Сошлось с услугами</t>
        </is>
      </c>
      <c r="AC902" s="2" t="inlineStr"/>
      <c r="AD902" t="n">
        <v>5445</v>
      </c>
      <c r="AE902" t="n">
        <v>0</v>
      </c>
      <c r="AF902" t="inlineStr">
        <is>
          <t>Скидка добавлена к налоговой базе</t>
        </is>
      </c>
      <c r="AG902" t="n">
        <v>30250</v>
      </c>
      <c r="AH902" t="n">
        <v>24805</v>
      </c>
      <c r="AI902" t="inlineStr">
        <is>
          <t>Полное проживание в выбранном периоде</t>
        </is>
      </c>
    </row>
    <row r="903">
      <c r="A903" t="inlineStr">
        <is>
          <t>20260907-8186-462321664</t>
        </is>
      </c>
      <c r="B903" t="n">
        <v>1</v>
      </c>
      <c r="C903" s="2" t="inlineStr">
        <is>
          <t>Татьяна Аксиненко</t>
        </is>
      </c>
      <c r="D903" s="3" t="n">
        <v>23200</v>
      </c>
      <c r="E903" s="4" t="n">
        <v>20</v>
      </c>
      <c r="F903" t="inlineStr">
        <is>
          <t>ООО "КОМПАНИЯ БРОНЕВИК" [Чайковский]</t>
        </is>
      </c>
      <c r="G903" s="3">
        <f>ROUND(D903/(100-E903)*100,2)</f>
        <v/>
      </c>
      <c r="H903" s="3" t="n">
        <v>0</v>
      </c>
      <c r="I903" s="3">
        <f>ROUND(IF(ISNUMBER(AG903),AG903,G903)+H903,2)</f>
        <v/>
      </c>
      <c r="J903" s="2" t="inlineStr">
        <is>
          <t>Завтрак "Шведский стол"</t>
        </is>
      </c>
      <c r="K903" s="5" t="n">
        <v>46272.58333333334</v>
      </c>
      <c r="L903" t="n">
        <v>2</v>
      </c>
      <c r="M903" s="3">
        <f>I903/L903</f>
        <v/>
      </c>
      <c r="N903">
        <f>IF(M903&gt;=5100,"ставка","мин.ставка")</f>
        <v/>
      </c>
      <c r="O903" s="3">
        <f>ROUND(IF(N903="мин.ставка",L903*100,I903/102*2),2)</f>
        <v/>
      </c>
      <c r="P903" s="5" t="n">
        <v>46274.5</v>
      </c>
      <c r="Q903" t="inlineStr">
        <is>
          <t>TravelLine BR2</t>
        </is>
      </c>
      <c r="R903" s="2" t="inlineStr">
        <is>
          <t>ПОЛУЛЮКС</t>
        </is>
      </c>
      <c r="S903" t="n">
        <v>35</v>
      </c>
      <c r="T903" t="n">
        <v>1</v>
      </c>
      <c r="U903" t="inlineStr"/>
      <c r="V903" t="inlineStr">
        <is>
          <t>Тариф с завтраком</t>
        </is>
      </c>
      <c r="W903" t="n">
        <v>23200</v>
      </c>
      <c r="X903" s="3" t="n">
        <v>0</v>
      </c>
      <c r="Y903" t="inlineStr"/>
      <c r="Z903" t="inlineStr"/>
      <c r="AA903" s="3" t="n">
        <v>23200</v>
      </c>
      <c r="AB903" t="inlineStr">
        <is>
          <t>Сошлось по ночным тарифам</t>
        </is>
      </c>
      <c r="AC903" s="2" t="inlineStr"/>
      <c r="AD903" t="n">
        <v>0</v>
      </c>
      <c r="AE903" t="n">
        <v>0</v>
      </c>
      <c r="AF903" t="inlineStr">
        <is>
          <t>Скидки нет</t>
        </is>
      </c>
      <c r="AG903" t="n">
        <v>23200</v>
      </c>
      <c r="AH903" t="n">
        <v>23200</v>
      </c>
      <c r="AI903" t="inlineStr">
        <is>
          <t>Полное проживание в выбранном периоде</t>
        </is>
      </c>
    </row>
    <row r="904">
      <c r="A904" t="inlineStr">
        <is>
          <t>20260920-8186-464686169</t>
        </is>
      </c>
      <c r="B904" t="n">
        <v>1</v>
      </c>
      <c r="C904" s="2" t="inlineStr">
        <is>
          <t>Татьяна Аксиненко</t>
        </is>
      </c>
      <c r="D904" s="3" t="n">
        <v>12180</v>
      </c>
      <c r="E904" s="4" t="n">
        <v>16</v>
      </c>
      <c r="F904" t="inlineStr">
        <is>
          <t>ООО "БРОНИРОВАНИЕ ГОСТИНИЦ" (OSTROVOK) [Чайковский]</t>
        </is>
      </c>
      <c r="G904" s="3">
        <f>ROUND(D904/(100-E904)*100,2)</f>
        <v/>
      </c>
      <c r="H904" s="3" t="n">
        <v>0</v>
      </c>
      <c r="I904" s="3">
        <f>ROUND(IF(ISNUMBER(AG904),AG904,G904)+H904,2)</f>
        <v/>
      </c>
      <c r="J904" s="2" t="inlineStr">
        <is>
          <t>Завтрак "Шведский стол"</t>
        </is>
      </c>
      <c r="K904" s="5" t="n">
        <v>46292.58333333334</v>
      </c>
      <c r="L904" t="n">
        <v>1</v>
      </c>
      <c r="M904" s="3">
        <f>I904/L904</f>
        <v/>
      </c>
      <c r="N904">
        <f>IF(M904&gt;=5100,"ставка","мин.ставка")</f>
        <v/>
      </c>
      <c r="O904" s="3">
        <f>ROUND(IF(N904="мин.ставка",L904*100,I904/102*2),2)</f>
        <v/>
      </c>
      <c r="P904" s="5" t="n">
        <v>46293.5</v>
      </c>
      <c r="Q904" t="inlineStr">
        <is>
          <t>TravelLine OTK</t>
        </is>
      </c>
      <c r="R904" s="2" t="inlineStr">
        <is>
          <t>ПОЛУЛЮКС</t>
        </is>
      </c>
      <c r="S904" t="n">
        <v>25</v>
      </c>
      <c r="T904" t="n">
        <v>1</v>
      </c>
      <c r="U904" t="inlineStr"/>
      <c r="V904" t="inlineStr">
        <is>
          <t>Тариф с завтраком</t>
        </is>
      </c>
      <c r="W904" t="n">
        <v>12180</v>
      </c>
      <c r="X904" s="3" t="n">
        <v>2320</v>
      </c>
      <c r="Y904" t="inlineStr">
        <is>
          <t>16%</t>
        </is>
      </c>
      <c r="Z904" t="inlineStr">
        <is>
          <t>2026-09-27</t>
        </is>
      </c>
      <c r="AA904" s="3" t="n">
        <v>12180</v>
      </c>
      <c r="AB904" t="inlineStr">
        <is>
          <t>Сошлось по ночным тарифам</t>
        </is>
      </c>
      <c r="AC904" s="2" t="inlineStr"/>
      <c r="AD904" t="n">
        <v>2320</v>
      </c>
      <c r="AE904" t="n">
        <v>0</v>
      </c>
      <c r="AF904" t="inlineStr">
        <is>
          <t>Скидка добавлена к налоговой базе</t>
        </is>
      </c>
      <c r="AG904" t="n">
        <v>14500</v>
      </c>
      <c r="AH904" t="n">
        <v>12180</v>
      </c>
      <c r="AI904" t="inlineStr">
        <is>
          <t>Полное проживание в выбранном периоде</t>
        </is>
      </c>
    </row>
    <row r="905">
      <c r="A905" t="inlineStr">
        <is>
          <t>20260729-8186-454077989</t>
        </is>
      </c>
      <c r="B905" t="n">
        <v>1</v>
      </c>
      <c r="C905" s="2" t="inlineStr">
        <is>
          <t>Татьяна Бельтюкова</t>
        </is>
      </c>
      <c r="D905" s="3" t="n">
        <v>13856.7</v>
      </c>
      <c r="E905" s="4" t="n">
        <v>4</v>
      </c>
      <c r="F905" t="inlineStr">
        <is>
          <t>TravelLine Booking Engine [Чайковский]</t>
        </is>
      </c>
      <c r="G905" s="3">
        <f>ROUND(D905/(100-E905)*100,2)</f>
        <v/>
      </c>
      <c r="H905" s="3" t="n">
        <v>0</v>
      </c>
      <c r="I905" s="3">
        <f>ROUND(IF(ISNUMBER(AG905),AG905,G905)+H905,2)</f>
        <v/>
      </c>
      <c r="J905" s="2" t="inlineStr"/>
      <c r="K905" s="5" t="n">
        <v>46232.58333333334</v>
      </c>
      <c r="L905" t="n">
        <v>1</v>
      </c>
      <c r="M905" s="3">
        <f>I905/L905</f>
        <v/>
      </c>
      <c r="N905">
        <f>IF(M905&gt;=5100,"ставка","мин.ставка")</f>
        <v/>
      </c>
      <c r="O905" s="3">
        <f>ROUND(IF(N905="мин.ставка",L905*100,I905/102*2),2)</f>
        <v/>
      </c>
      <c r="P905" s="5" t="n">
        <v>46233.5</v>
      </c>
      <c r="Q905" t="inlineStr">
        <is>
          <t>TravelLine сайт</t>
        </is>
      </c>
      <c r="R905" s="2" t="inlineStr">
        <is>
          <t>ЛЮКС ВТОРОЙ КОРПУС</t>
        </is>
      </c>
      <c r="S905" t="n">
        <v>57</v>
      </c>
      <c r="T905" t="n">
        <v>2</v>
      </c>
      <c r="U905" t="inlineStr"/>
      <c r="V905" t="inlineStr">
        <is>
          <t>Основной тариф без завтрака</t>
        </is>
      </c>
      <c r="W905" t="n">
        <v>13856.7</v>
      </c>
      <c r="X905" s="3" t="n">
        <v>443.3</v>
      </c>
      <c r="Y905" t="inlineStr">
        <is>
          <t>3.1%</t>
        </is>
      </c>
      <c r="Z905" t="inlineStr">
        <is>
          <t>2026-07-29</t>
        </is>
      </c>
      <c r="AA905" s="3" t="n">
        <v>13856.7</v>
      </c>
      <c r="AB905" t="inlineStr">
        <is>
          <t>Сошлось по ночным тарифам</t>
        </is>
      </c>
      <c r="AC905" s="2" t="inlineStr"/>
      <c r="AD905" t="n">
        <v>443.3</v>
      </c>
      <c r="AE905" t="n">
        <v>0</v>
      </c>
      <c r="AF905" t="inlineStr">
        <is>
          <t>Скидка добавлена к налоговой базе</t>
        </is>
      </c>
      <c r="AG905" t="n">
        <v>14300</v>
      </c>
      <c r="AH905" t="n">
        <v>13856.7</v>
      </c>
      <c r="AI905" t="inlineStr">
        <is>
          <t>Полное проживание в выбранном периоде</t>
        </is>
      </c>
    </row>
    <row r="906">
      <c r="A906" t="inlineStr">
        <is>
          <t>20260828-8186-461231604</t>
        </is>
      </c>
      <c r="B906" t="n">
        <v>1</v>
      </c>
      <c r="C906" s="2" t="inlineStr">
        <is>
          <t>Татьяна Губанова, Андрей Губанов</t>
        </is>
      </c>
      <c r="D906" s="3" t="n">
        <v>28550.5</v>
      </c>
      <c r="E906" s="4" t="n">
        <v>4</v>
      </c>
      <c r="F906" t="inlineStr">
        <is>
          <t>TravelLine Booking Engine [Чайковский]</t>
        </is>
      </c>
      <c r="G906" s="3">
        <f>ROUND(D906/(100-E906)*100,2)</f>
        <v/>
      </c>
      <c r="H906" s="3" t="n">
        <v>0</v>
      </c>
      <c r="I906" s="3">
        <f>ROUND(IF(ISNUMBER(AG906),AG906,G906)+H906,2)</f>
        <v/>
      </c>
      <c r="J906" s="2" t="inlineStr"/>
      <c r="K906" s="5" t="n">
        <v>46262.58333333334</v>
      </c>
      <c r="L906" t="n">
        <v>2</v>
      </c>
      <c r="M906" s="3">
        <f>I906/L906</f>
        <v/>
      </c>
      <c r="N906">
        <f>IF(M906&gt;=5100,"ставка","мин.ставка")</f>
        <v/>
      </c>
      <c r="O906" s="3">
        <f>ROUND(IF(N906="мин.ставка",L906*100,I906/102*2),2)</f>
        <v/>
      </c>
      <c r="P906" s="5" t="n">
        <v>46264.5</v>
      </c>
      <c r="Q906" t="inlineStr">
        <is>
          <t>TravelLine сайт</t>
        </is>
      </c>
      <c r="R906" s="2" t="inlineStr">
        <is>
          <t>ЛЮКС ВТОРОЙ КОРПУС</t>
        </is>
      </c>
      <c r="S906" t="n">
        <v>53</v>
      </c>
      <c r="T906" t="n">
        <v>2</v>
      </c>
      <c r="U906" t="inlineStr"/>
      <c r="V906" t="inlineStr">
        <is>
          <t>Основной тариф без завтрака</t>
        </is>
      </c>
      <c r="W906" t="n">
        <v>28550.5</v>
      </c>
      <c r="X906" s="3" t="n">
        <v>449.5</v>
      </c>
      <c r="Y906" t="inlineStr">
        <is>
          <t>3.1%</t>
        </is>
      </c>
      <c r="Z906" t="inlineStr">
        <is>
          <t>2026-08-28</t>
        </is>
      </c>
      <c r="AA906" s="3" t="n">
        <v>28550.5</v>
      </c>
      <c r="AB906" t="inlineStr">
        <is>
          <t>Сошлось по ночным тарифам</t>
        </is>
      </c>
      <c r="AC906" s="2" t="inlineStr"/>
      <c r="AD906" t="n">
        <v>449.5</v>
      </c>
      <c r="AE906" t="n">
        <v>0</v>
      </c>
      <c r="AF906" t="inlineStr">
        <is>
          <t>Скидка добавлена к налоговой базе</t>
        </is>
      </c>
      <c r="AG906" t="n">
        <v>29000</v>
      </c>
      <c r="AH906" t="n">
        <v>28550.5</v>
      </c>
      <c r="AI906" t="inlineStr">
        <is>
          <t>Полное проживание в выбранном периоде</t>
        </is>
      </c>
    </row>
    <row r="907">
      <c r="A907" t="inlineStr">
        <is>
          <t>20260917-8186-465196900</t>
        </is>
      </c>
      <c r="B907" t="n">
        <v>1</v>
      </c>
      <c r="C907" s="2" t="inlineStr">
        <is>
          <t>Татьяна Еремеева</t>
        </is>
      </c>
      <c r="D907" s="3" t="n">
        <v>43050.5</v>
      </c>
      <c r="E907" s="4" t="n">
        <v>4</v>
      </c>
      <c r="F907" t="inlineStr">
        <is>
          <t>TravelLine Booking Engine [Чайковский]</t>
        </is>
      </c>
      <c r="G907" s="3">
        <f>ROUND(D907/(100-E907)*100,2)</f>
        <v/>
      </c>
      <c r="H907" s="3" t="n">
        <v>0</v>
      </c>
      <c r="I907" s="3">
        <f>ROUND(IF(ISNUMBER(AG907),AG907,G907)+H907,2)</f>
        <v/>
      </c>
      <c r="J907" s="2" t="inlineStr">
        <is>
          <t>Завтрак "Шведский стол"</t>
        </is>
      </c>
      <c r="K907" s="5" t="n">
        <v>46282.58333333334</v>
      </c>
      <c r="L907" t="n">
        <v>3</v>
      </c>
      <c r="M907" s="3">
        <f>I907/L907</f>
        <v/>
      </c>
      <c r="N907">
        <f>IF(M907&gt;=5100,"ставка","мин.ставка")</f>
        <v/>
      </c>
      <c r="O907" s="3">
        <f>ROUND(IF(N907="мин.ставка",L907*100,I907/102*2),2)</f>
        <v/>
      </c>
      <c r="P907" s="5" t="n">
        <v>46285.5</v>
      </c>
      <c r="Q907" t="inlineStr">
        <is>
          <t>TravelLine сайт</t>
        </is>
      </c>
      <c r="R907" s="2" t="inlineStr">
        <is>
          <t>ПОЛУЛЮКС</t>
        </is>
      </c>
      <c r="S907" t="n">
        <v>11</v>
      </c>
      <c r="T907" t="n">
        <v>1</v>
      </c>
      <c r="U907" t="inlineStr"/>
      <c r="V907" t="inlineStr">
        <is>
          <t>Тариф с завтраком</t>
        </is>
      </c>
      <c r="W907" t="n">
        <v>43050.5</v>
      </c>
      <c r="X907" s="3" t="n">
        <v>449.5</v>
      </c>
      <c r="Y907" t="inlineStr">
        <is>
          <t>3.1%</t>
        </is>
      </c>
      <c r="Z907" t="inlineStr">
        <is>
          <t>2026-09-17</t>
        </is>
      </c>
      <c r="AA907" s="3" t="n">
        <v>43050.5</v>
      </c>
      <c r="AB907" t="inlineStr">
        <is>
          <t>Сошлось по ночным тарифам</t>
        </is>
      </c>
      <c r="AC907" s="2" t="inlineStr"/>
      <c r="AD907" t="n">
        <v>449.5</v>
      </c>
      <c r="AE907" t="n">
        <v>0</v>
      </c>
      <c r="AF907" t="inlineStr">
        <is>
          <t>Скидка добавлена к налоговой базе</t>
        </is>
      </c>
      <c r="AG907" t="n">
        <v>43500</v>
      </c>
      <c r="AH907" t="n">
        <v>43050.5</v>
      </c>
      <c r="AI907" t="inlineStr">
        <is>
          <t>Полное проживание в выбранном периоде</t>
        </is>
      </c>
    </row>
    <row r="908">
      <c r="A908" t="inlineStr">
        <is>
          <t>20260715-8186-440318690</t>
        </is>
      </c>
      <c r="B908" t="n">
        <v>1</v>
      </c>
      <c r="C908" s="2" t="inlineStr">
        <is>
          <t>Татьяна Кагановская, Александра Кагановская</t>
        </is>
      </c>
      <c r="D908" s="3" t="n">
        <v>30322.6</v>
      </c>
      <c r="E908" s="4" t="n">
        <v>4</v>
      </c>
      <c r="F908" t="inlineStr">
        <is>
          <t>TravelLine Booking Engine [Чайковский]</t>
        </is>
      </c>
      <c r="G908" s="3">
        <f>ROUND(D908/(100-E908)*100,2)</f>
        <v/>
      </c>
      <c r="H908" s="3" t="n">
        <v>0</v>
      </c>
      <c r="I908" s="3">
        <f>ROUND(IF(ISNUMBER(AG908),AG908,G908)+H908,2)</f>
        <v/>
      </c>
      <c r="J908" s="2" t="inlineStr">
        <is>
          <t>Завтрак "Шведский стол"</t>
        </is>
      </c>
      <c r="K908" s="5" t="n">
        <v>46218.58333333334</v>
      </c>
      <c r="L908" t="n">
        <v>2</v>
      </c>
      <c r="M908" s="3">
        <f>I908/L908</f>
        <v/>
      </c>
      <c r="N908">
        <f>IF(M908&gt;=5100,"ставка","мин.ставка")</f>
        <v/>
      </c>
      <c r="O908" s="3">
        <f>ROUND(IF(N908="мин.ставка",L908*100,I908/102*2),2)</f>
        <v/>
      </c>
      <c r="P908" s="5" t="n">
        <v>46220.5</v>
      </c>
      <c r="Q908" t="inlineStr">
        <is>
          <t>TravelLine сайт</t>
        </is>
      </c>
      <c r="R908" s="2" t="inlineStr">
        <is>
          <t>УЛУЧШЕННЫЙ ДВУХМЕСТНЫЙ НОМЕР</t>
        </is>
      </c>
      <c r="S908" t="n">
        <v>59</v>
      </c>
      <c r="T908" t="n">
        <v>2</v>
      </c>
      <c r="U908" t="inlineStr"/>
      <c r="V908" t="inlineStr">
        <is>
          <t>Тариф с завтраком</t>
        </is>
      </c>
      <c r="W908" t="n">
        <v>30322.6</v>
      </c>
      <c r="X908" s="3" t="n">
        <v>477.4</v>
      </c>
      <c r="Y908" t="inlineStr">
        <is>
          <t>3.1%</t>
        </is>
      </c>
      <c r="Z908" t="inlineStr">
        <is>
          <t>2026-07-15</t>
        </is>
      </c>
      <c r="AA908" s="3" t="n">
        <v>30322.6</v>
      </c>
      <c r="AB908" t="inlineStr">
        <is>
          <t>Сошлось по ночным тарифам</t>
        </is>
      </c>
      <c r="AC908" s="2" t="inlineStr"/>
      <c r="AD908" t="n">
        <v>477.4</v>
      </c>
      <c r="AE908" t="n">
        <v>0</v>
      </c>
      <c r="AF908" t="inlineStr">
        <is>
          <t>Скидка добавлена к налоговой базе</t>
        </is>
      </c>
      <c r="AG908" t="n">
        <v>30800</v>
      </c>
      <c r="AH908" t="n">
        <v>30322.6</v>
      </c>
      <c r="AI908" t="inlineStr">
        <is>
          <t>Полное проживание в выбранном периоде</t>
        </is>
      </c>
    </row>
    <row r="909">
      <c r="A909" t="inlineStr">
        <is>
          <t>20260907-8186-462098127</t>
        </is>
      </c>
      <c r="B909" t="n">
        <v>1</v>
      </c>
      <c r="C909" s="2" t="inlineStr">
        <is>
          <t>Татьяна Казакова</t>
        </is>
      </c>
      <c r="D909" s="3" t="n">
        <v>18160</v>
      </c>
      <c r="E909" s="4" t="n">
        <v>20</v>
      </c>
      <c r="F909" t="inlineStr">
        <is>
          <t>ООО "КОМПАНИЯ БРОНЕВИК" [Чайковский]</t>
        </is>
      </c>
      <c r="G909" s="3">
        <f>ROUND(D909/(100-E909)*100,2)</f>
        <v/>
      </c>
      <c r="H909" s="3" t="n">
        <v>9080</v>
      </c>
      <c r="I909" s="3">
        <f>ROUND(IF(ISNUMBER(AG909),AG909,G909)+H909,2)</f>
        <v/>
      </c>
      <c r="J909" s="2" t="inlineStr">
        <is>
          <t>Завтрак "Шведский стол"; Ранний заезд — 9 080,00 ₽</t>
        </is>
      </c>
      <c r="K909" s="5" t="n">
        <v>46272.33333333334</v>
      </c>
      <c r="L909" t="n">
        <v>2</v>
      </c>
      <c r="M909" s="3">
        <f>I909/L909</f>
        <v/>
      </c>
      <c r="N909">
        <f>IF(M909&gt;=5100,"ставка","мин.ставка")</f>
        <v/>
      </c>
      <c r="O909" s="3">
        <f>ROUND(IF(N909="мин.ставка",L909*100,I909/102*2),2)</f>
        <v/>
      </c>
      <c r="P909" s="5" t="n">
        <v>46274.5</v>
      </c>
      <c r="Q909" t="inlineStr">
        <is>
          <t>TravelLine BR2</t>
        </is>
      </c>
      <c r="R909" s="2" t="inlineStr">
        <is>
          <t>СТАНДАРТНЫЙ ДВУХМЕСТНЫЙ НОМЕР</t>
        </is>
      </c>
      <c r="S909" t="n">
        <v>36</v>
      </c>
      <c r="T909" t="n">
        <v>1</v>
      </c>
      <c r="U909" t="inlineStr"/>
      <c r="V909" t="inlineStr">
        <is>
          <t>Тариф с завтраком</t>
        </is>
      </c>
      <c r="W909" t="n">
        <v>27240</v>
      </c>
      <c r="X909" s="3" t="n">
        <v>0</v>
      </c>
      <c r="Y909" t="inlineStr"/>
      <c r="Z909" t="inlineStr"/>
      <c r="AA909" s="3" t="n">
        <v>18160</v>
      </c>
      <c r="AB909" t="inlineStr">
        <is>
          <t>Расхождение -9080.00 ₽</t>
        </is>
      </c>
      <c r="AC909" s="2" t="inlineStr"/>
      <c r="AD909" t="n">
        <v>0</v>
      </c>
      <c r="AE909" t="n">
        <v>0</v>
      </c>
      <c r="AF909" t="inlineStr">
        <is>
          <t>Скидки нет</t>
        </is>
      </c>
      <c r="AG909" t="n">
        <v>18160</v>
      </c>
      <c r="AH909" t="n">
        <v>18160</v>
      </c>
      <c r="AI909" t="inlineStr">
        <is>
          <t>Полное проживание в выбранном периоде</t>
        </is>
      </c>
    </row>
    <row r="910">
      <c r="A910" t="inlineStr">
        <is>
          <t>20260803-8186-453518058</t>
        </is>
      </c>
      <c r="B910" t="n">
        <v>1</v>
      </c>
      <c r="C910" s="2" t="inlineStr">
        <is>
          <t>Татьяна Коржаева</t>
        </is>
      </c>
      <c r="D910" s="3" t="n">
        <v>20145</v>
      </c>
      <c r="E910" s="4" t="n">
        <v>15</v>
      </c>
      <c r="F910" t="inlineStr">
        <is>
          <t>ООО «12Т» (ранее ONE TWO TRIP) [Чайковский]</t>
        </is>
      </c>
      <c r="G910" s="3">
        <f>ROUND(D910/(100-E910)*100,2)</f>
        <v/>
      </c>
      <c r="H910" s="3" t="n">
        <v>0</v>
      </c>
      <c r="I910" s="3">
        <f>ROUND(IF(ISNUMBER(AG910),AG910,G910)+H910,2)</f>
        <v/>
      </c>
      <c r="J910" s="2" t="inlineStr">
        <is>
          <t>Завтрак "Шведский стол"</t>
        </is>
      </c>
      <c r="K910" s="5" t="n">
        <v>46237.58333333334</v>
      </c>
      <c r="L910" t="n">
        <v>3</v>
      </c>
      <c r="M910" s="3">
        <f>I910/L910</f>
        <v/>
      </c>
      <c r="N910">
        <f>IF(M910&gt;=5100,"ставка","мин.ставка")</f>
        <v/>
      </c>
      <c r="O910" s="3">
        <f>ROUND(IF(N910="мин.ставка",L910*100,I910/102*2),2)</f>
        <v/>
      </c>
      <c r="P910" s="5" t="n">
        <v>46240.5</v>
      </c>
      <c r="Q910" t="inlineStr">
        <is>
          <t>TravelLine OTT</t>
        </is>
      </c>
      <c r="R910" s="2" t="inlineStr">
        <is>
          <t>СТАНДАРТНЫЙ ДВУХМЕСТНЫЙ НОМЕР (МАНСАРДА)</t>
        </is>
      </c>
      <c r="S910" t="n">
        <v>41</v>
      </c>
      <c r="T910" t="n">
        <v>1</v>
      </c>
      <c r="U910" t="inlineStr"/>
      <c r="V910" t="inlineStr">
        <is>
          <t>Тариф с завтраком</t>
        </is>
      </c>
      <c r="W910" t="n">
        <v>20145</v>
      </c>
      <c r="X910" s="3" t="n">
        <v>3555</v>
      </c>
      <c r="Y910" t="inlineStr">
        <is>
          <t>15%</t>
        </is>
      </c>
      <c r="Z910" t="inlineStr">
        <is>
          <t>2026-08-03, 2026-08-04, 2026-08-05</t>
        </is>
      </c>
      <c r="AA910" s="3" t="n">
        <v>20145</v>
      </c>
      <c r="AB910" t="inlineStr">
        <is>
          <t>Сошлось по ночным тарифам</t>
        </is>
      </c>
      <c r="AC910" s="2" t="inlineStr"/>
      <c r="AD910" t="n">
        <v>3555</v>
      </c>
      <c r="AE910" t="n">
        <v>0</v>
      </c>
      <c r="AF910" t="inlineStr">
        <is>
          <t>Скидка добавлена к налоговой базе</t>
        </is>
      </c>
      <c r="AG910" t="n">
        <v>23700</v>
      </c>
      <c r="AH910" t="n">
        <v>20145</v>
      </c>
      <c r="AI910" t="inlineStr">
        <is>
          <t>Полное проживание в выбранном периоде</t>
        </is>
      </c>
    </row>
    <row r="911">
      <c r="A911" t="inlineStr">
        <is>
          <t>20260901-8186-461813683</t>
        </is>
      </c>
      <c r="B911" t="n">
        <v>1</v>
      </c>
      <c r="C911" s="2" t="inlineStr">
        <is>
          <t>Татьяна Коржаева</t>
        </is>
      </c>
      <c r="D911" s="3" t="n">
        <v>19295</v>
      </c>
      <c r="E911" s="4" t="n">
        <v>15</v>
      </c>
      <c r="F911" t="inlineStr">
        <is>
          <t>ООО «12Т» (ранее ONE TWO TRIP) [Чайковский]</t>
        </is>
      </c>
      <c r="G911" s="3">
        <f>ROUND(D911/(100-E911)*100,2)</f>
        <v/>
      </c>
      <c r="H911" s="3" t="n">
        <v>0</v>
      </c>
      <c r="I911" s="3">
        <f>ROUND(IF(ISNUMBER(AG911),AG911,G911)+H911,2)</f>
        <v/>
      </c>
      <c r="J911" s="2" t="inlineStr">
        <is>
          <t>Завтрак "Шведский стол"</t>
        </is>
      </c>
      <c r="K911" s="5" t="n">
        <v>46266.58333333334</v>
      </c>
      <c r="L911" t="n">
        <v>2</v>
      </c>
      <c r="M911" s="3">
        <f>I911/L911</f>
        <v/>
      </c>
      <c r="N911">
        <f>IF(M911&gt;=5100,"ставка","мин.ставка")</f>
        <v/>
      </c>
      <c r="O911" s="3">
        <f>ROUND(IF(N911="мин.ставка",L911*100,I911/102*2),2)</f>
        <v/>
      </c>
      <c r="P911" s="5" t="n">
        <v>46268.5</v>
      </c>
      <c r="Q911" t="inlineStr">
        <is>
          <t>TravelLine OTT</t>
        </is>
      </c>
      <c r="R911" s="2" t="inlineStr">
        <is>
          <t>УЛУЧШЕННЫЙ ДВУХМЕСТНЫЙ НОМЕР</t>
        </is>
      </c>
      <c r="S911" t="n">
        <v>31</v>
      </c>
      <c r="T911" t="n">
        <v>1</v>
      </c>
      <c r="U911" t="inlineStr"/>
      <c r="V911" t="inlineStr">
        <is>
          <t>Тариф с завтраком</t>
        </is>
      </c>
      <c r="W911" t="n">
        <v>19295</v>
      </c>
      <c r="X911" s="3" t="n">
        <v>3405</v>
      </c>
      <c r="Y911" t="inlineStr">
        <is>
          <t>15%</t>
        </is>
      </c>
      <c r="Z911" t="inlineStr">
        <is>
          <t>2026-09-01, 2026-09-02</t>
        </is>
      </c>
      <c r="AA911" s="3" t="n">
        <v>19295</v>
      </c>
      <c r="AB911" t="inlineStr">
        <is>
          <t>Сошлось по ночным тарифам</t>
        </is>
      </c>
      <c r="AC911" s="2" t="inlineStr"/>
      <c r="AD911" t="n">
        <v>3405</v>
      </c>
      <c r="AE911" t="n">
        <v>0</v>
      </c>
      <c r="AF911" t="inlineStr">
        <is>
          <t>Скидка добавлена к налоговой базе</t>
        </is>
      </c>
      <c r="AG911" t="n">
        <v>22700</v>
      </c>
      <c r="AH911" t="n">
        <v>19295</v>
      </c>
      <c r="AI911" t="inlineStr">
        <is>
          <t>Полное проживание в выбранном периоде</t>
        </is>
      </c>
    </row>
    <row r="912">
      <c r="A912" t="inlineStr">
        <is>
          <t>20260910-8186-461133023</t>
        </is>
      </c>
      <c r="B912" t="n">
        <v>1</v>
      </c>
      <c r="C912" s="2" t="inlineStr">
        <is>
          <t>ТАТЬЯНА МЕРКУЛОВА</t>
        </is>
      </c>
      <c r="D912" s="3" t="n">
        <v>31500</v>
      </c>
      <c r="E912" s="4" t="n">
        <v>16</v>
      </c>
      <c r="F912" t="inlineStr">
        <is>
          <t>ООО "БРОНИРОВАНИЕ ГОСТИНИЦ" (OSTROVOK) [Чайковский]</t>
        </is>
      </c>
      <c r="G912" s="3">
        <f>ROUND(D912/(100-E912)*100,2)</f>
        <v/>
      </c>
      <c r="H912" s="3" t="n">
        <v>0</v>
      </c>
      <c r="I912" s="3">
        <f>ROUND(IF(ISNUMBER(AG912),AG912,G912)+H912,2)</f>
        <v/>
      </c>
      <c r="J912" s="2" t="inlineStr"/>
      <c r="K912" s="5" t="n">
        <v>46275.58333333334</v>
      </c>
      <c r="L912" t="n">
        <v>3</v>
      </c>
      <c r="M912" s="3">
        <f>I912/L912</f>
        <v/>
      </c>
      <c r="N912">
        <f>IF(M912&gt;=5100,"ставка","мин.ставка")</f>
        <v/>
      </c>
      <c r="O912" s="3">
        <f>ROUND(IF(N912="мин.ставка",L912*100,I912/102*2),2)</f>
        <v/>
      </c>
      <c r="P912" s="5" t="n">
        <v>46278.5</v>
      </c>
      <c r="Q912" t="inlineStr">
        <is>
          <t>TravelLine OTK</t>
        </is>
      </c>
      <c r="R912" s="2" t="inlineStr">
        <is>
          <t>ЛЮКС ВТОРОЙ КОРПУС</t>
        </is>
      </c>
      <c r="S912" t="n">
        <v>54</v>
      </c>
      <c r="T912" t="n">
        <v>2</v>
      </c>
      <c r="U912" t="inlineStr"/>
      <c r="V912" t="inlineStr">
        <is>
          <t>Основной тариф без завтрака</t>
        </is>
      </c>
      <c r="W912" t="n">
        <v>31500</v>
      </c>
      <c r="X912" s="3" t="n">
        <v>6000</v>
      </c>
      <c r="Y912" t="inlineStr">
        <is>
          <t>16%</t>
        </is>
      </c>
      <c r="Z912" t="inlineStr">
        <is>
          <t>2026-09-10, 2026-09-11, 2026-09-12</t>
        </is>
      </c>
      <c r="AA912" s="3" t="n">
        <v>31500</v>
      </c>
      <c r="AB912" t="inlineStr">
        <is>
          <t>Сошлось по ночным тарифам</t>
        </is>
      </c>
      <c r="AC912" s="2" t="inlineStr"/>
      <c r="AD912" t="n">
        <v>6000</v>
      </c>
      <c r="AE912" t="n">
        <v>0</v>
      </c>
      <c r="AF912" t="inlineStr">
        <is>
          <t>Скидка добавлена к налоговой базе</t>
        </is>
      </c>
      <c r="AG912" t="n">
        <v>37500</v>
      </c>
      <c r="AH912" t="n">
        <v>31500</v>
      </c>
      <c r="AI912" t="inlineStr">
        <is>
          <t>Полное проживание в выбранном периоде</t>
        </is>
      </c>
    </row>
    <row r="913">
      <c r="A913" t="inlineStr">
        <is>
          <t>20260817-8186-450392040</t>
        </is>
      </c>
      <c r="B913" t="n">
        <v>1</v>
      </c>
      <c r="C913" s="2" t="inlineStr">
        <is>
          <t>Татьяна Мешкова</t>
        </is>
      </c>
      <c r="D913" s="3" t="n">
        <v>56523</v>
      </c>
      <c r="E913" s="4" t="n">
        <v>20</v>
      </c>
      <c r="F913" t="inlineStr">
        <is>
          <t>ООО «Дубль Гис» (OTELLO) [Чайковский]</t>
        </is>
      </c>
      <c r="G913" s="3">
        <f>ROUND(D913/(100-E913)*100,2)</f>
        <v/>
      </c>
      <c r="H913" s="3" t="n">
        <v>0</v>
      </c>
      <c r="I913" s="3">
        <f>ROUND(IF(ISNUMBER(AG913),AG913,G913)+H913,2)</f>
        <v/>
      </c>
      <c r="J913" s="2" t="inlineStr">
        <is>
          <t>Завтрак "Шведский стол"</t>
        </is>
      </c>
      <c r="K913" s="5" t="n">
        <v>46251.58333333334</v>
      </c>
      <c r="L913" t="n">
        <v>6</v>
      </c>
      <c r="M913" s="3">
        <f>I913/L913</f>
        <v/>
      </c>
      <c r="N913">
        <f>IF(M913&gt;=5100,"ставка","мин.ставка")</f>
        <v/>
      </c>
      <c r="O913" s="3">
        <f>ROUND(IF(N913="мин.ставка",L913*100,I913/102*2),2)</f>
        <v/>
      </c>
      <c r="P913" s="5" t="n">
        <v>46257.5</v>
      </c>
      <c r="Q913" t="inlineStr">
        <is>
          <t>TravelLine OL2</t>
        </is>
      </c>
      <c r="R913" s="2" t="inlineStr">
        <is>
          <t>СТАНДАРТНЫЙ ДВУХМЕСТНЫЙ НОМЕР</t>
        </is>
      </c>
      <c r="S913" t="n">
        <v>44</v>
      </c>
      <c r="T913" t="n">
        <v>1</v>
      </c>
      <c r="U913" t="inlineStr"/>
      <c r="V913" t="inlineStr">
        <is>
          <t>Тариф с завтраком</t>
        </is>
      </c>
      <c r="W913" t="n">
        <v>56523</v>
      </c>
      <c r="X913" s="3" t="n">
        <v>11577</v>
      </c>
      <c r="Y913" t="inlineStr">
        <is>
          <t>17%</t>
        </is>
      </c>
      <c r="Z913" t="inlineStr">
        <is>
          <t>2026-08-17, 2026-08-18, 2026-08-19, 2026-08-20, 2026-08-21, 2026-08-22</t>
        </is>
      </c>
      <c r="AA913" s="3" t="n">
        <v>56523</v>
      </c>
      <c r="AB913" t="inlineStr">
        <is>
          <t>Сошлось по ночным тарифам</t>
        </is>
      </c>
      <c r="AC913" s="2" t="inlineStr"/>
      <c r="AD913" t="n">
        <v>11577</v>
      </c>
      <c r="AE913" t="n">
        <v>0</v>
      </c>
      <c r="AF913" t="inlineStr">
        <is>
          <t>Скидка добавлена к налоговой базе</t>
        </is>
      </c>
      <c r="AG913" t="n">
        <v>68100</v>
      </c>
      <c r="AH913" t="n">
        <v>56523</v>
      </c>
      <c r="AI913" t="inlineStr">
        <is>
          <t>Полное проживание в выбранном периоде</t>
        </is>
      </c>
    </row>
    <row r="914">
      <c r="A914" t="inlineStr">
        <is>
          <t>20260823-8186-460513240</t>
        </is>
      </c>
      <c r="B914" t="n">
        <v>1</v>
      </c>
      <c r="C914" s="2" t="inlineStr">
        <is>
          <t>Татьяна Мешкова</t>
        </is>
      </c>
      <c r="D914" s="3" t="n">
        <v>6930</v>
      </c>
      <c r="E914" s="4" t="n">
        <v>0</v>
      </c>
      <c r="F914" t="inlineStr">
        <is>
          <t>Прямые бронирования (стойка) [Чайковский]</t>
        </is>
      </c>
      <c r="G914" s="3">
        <f>ROUND(D914/(100-E914)*100,2)</f>
        <v/>
      </c>
      <c r="H914" s="3" t="n">
        <v>0</v>
      </c>
      <c r="I914" s="3">
        <f>ROUND(IF(ISNUMBER(AG914),AG914,G914)+H914,2)</f>
        <v/>
      </c>
      <c r="J914" s="2" t="inlineStr">
        <is>
          <t>Завтрак "Шведский стол"</t>
        </is>
      </c>
      <c r="K914" s="5" t="n">
        <v>46257.58333333334</v>
      </c>
      <c r="L914" t="n">
        <v>1</v>
      </c>
      <c r="M914" s="3">
        <f>I914/L914</f>
        <v/>
      </c>
      <c r="N914">
        <f>IF(M914&gt;=5100,"ставка","мин.ставка")</f>
        <v/>
      </c>
      <c r="O914" s="3">
        <f>ROUND(IF(N914="мин.ставка",L914*100,I914/102*2),2)</f>
        <v/>
      </c>
      <c r="P914" s="5" t="n">
        <v>46258.5</v>
      </c>
      <c r="Q914" t="inlineStr">
        <is>
          <t>TravelLine ресепшен</t>
        </is>
      </c>
      <c r="R914" s="2" t="inlineStr">
        <is>
          <t>СТАНДАРТНЫЙ ОДНОМЕСТНЫЙ НОМЕР</t>
        </is>
      </c>
      <c r="S914" t="n">
        <v>34</v>
      </c>
      <c r="T914" t="n">
        <v>1</v>
      </c>
      <c r="U914" t="inlineStr"/>
      <c r="V914" t="inlineStr">
        <is>
          <t>Тариф с завтраком</t>
        </is>
      </c>
      <c r="W914" t="n">
        <v>6930</v>
      </c>
      <c r="X914" s="3" t="n">
        <v>770</v>
      </c>
      <c r="Y914" t="inlineStr">
        <is>
          <t>10%</t>
        </is>
      </c>
      <c r="Z914" t="inlineStr">
        <is>
          <t>2026-08-23</t>
        </is>
      </c>
      <c r="AA914" s="3" t="n">
        <v>6930</v>
      </c>
      <c r="AB914" t="inlineStr">
        <is>
          <t>Сошлось по ночным тарифам</t>
        </is>
      </c>
      <c r="AC914" s="2" t="inlineStr"/>
      <c r="AD914" t="n">
        <v>770</v>
      </c>
      <c r="AE914" t="n">
        <v>0</v>
      </c>
      <c r="AF914" t="inlineStr">
        <is>
          <t>Скидка добавлена к налоговой базе</t>
        </is>
      </c>
      <c r="AG914" t="n">
        <v>7700</v>
      </c>
      <c r="AH914" t="n">
        <v>6930</v>
      </c>
      <c r="AI914" t="inlineStr">
        <is>
          <t>Полное проживание в выбранном периоде</t>
        </is>
      </c>
    </row>
    <row r="915">
      <c r="A915" t="inlineStr">
        <is>
          <t>20260817-8186-450380196</t>
        </is>
      </c>
      <c r="B915" t="n">
        <v>1</v>
      </c>
      <c r="C915" s="2" t="inlineStr">
        <is>
          <t>Татьяна Мулинова</t>
        </is>
      </c>
      <c r="D915" s="3" t="n">
        <v>18614</v>
      </c>
      <c r="E915" s="4" t="n">
        <v>18</v>
      </c>
      <c r="F915" t="inlineStr">
        <is>
          <t>ООО "Эй энд Эй" [Чайковский]</t>
        </is>
      </c>
      <c r="G915" s="3">
        <f>ROUND(D915/(100-E915)*100,2)</f>
        <v/>
      </c>
      <c r="H915" s="3" t="n">
        <v>0</v>
      </c>
      <c r="I915" s="3">
        <f>ROUND(IF(ISNUMBER(AG915),AG915,G915)+H915,2)</f>
        <v/>
      </c>
      <c r="J915" s="2" t="inlineStr">
        <is>
          <t>Завтрак "Шведский стол"</t>
        </is>
      </c>
      <c r="K915" s="5" t="n">
        <v>46251.58333333334</v>
      </c>
      <c r="L915" t="n">
        <v>2</v>
      </c>
      <c r="M915" s="3">
        <f>I915/L915</f>
        <v/>
      </c>
      <c r="N915">
        <f>IF(M915&gt;=5100,"ставка","мин.ставка")</f>
        <v/>
      </c>
      <c r="O915" s="3">
        <f>ROUND(IF(N915="мин.ставка",L915*100,I915/102*2),2)</f>
        <v/>
      </c>
      <c r="P915" s="5" t="n">
        <v>46253.5</v>
      </c>
      <c r="Q915" t="inlineStr">
        <is>
          <t>TravelLine ANA</t>
        </is>
      </c>
      <c r="R915" s="2" t="inlineStr">
        <is>
          <t>СТАНДАРТНЫЙ ДВУХМЕСТНЫЙ НОМЕР</t>
        </is>
      </c>
      <c r="S915" t="n">
        <v>46</v>
      </c>
      <c r="T915" t="n">
        <v>1</v>
      </c>
      <c r="U915" t="inlineStr"/>
      <c r="V915" t="inlineStr">
        <is>
          <t>Тариф с завтраком</t>
        </is>
      </c>
      <c r="W915" t="n">
        <v>18614</v>
      </c>
      <c r="X915" s="3" t="n">
        <v>4086</v>
      </c>
      <c r="Y915" t="inlineStr">
        <is>
          <t>18%</t>
        </is>
      </c>
      <c r="Z915" t="inlineStr">
        <is>
          <t>2026-08-17, 2026-08-18</t>
        </is>
      </c>
      <c r="AA915" s="3" t="n">
        <v>18614</v>
      </c>
      <c r="AB915" t="inlineStr">
        <is>
          <t>Сошлось по ночным тарифам</t>
        </is>
      </c>
      <c r="AC915" s="2" t="inlineStr"/>
      <c r="AD915" t="n">
        <v>4086</v>
      </c>
      <c r="AE915" t="n">
        <v>0</v>
      </c>
      <c r="AF915" t="inlineStr">
        <is>
          <t>Скидка добавлена к налоговой базе</t>
        </is>
      </c>
      <c r="AG915" t="n">
        <v>22700</v>
      </c>
      <c r="AH915" t="n">
        <v>18614</v>
      </c>
      <c r="AI915" t="inlineStr">
        <is>
          <t>Полное проживание в выбранном периоде</t>
        </is>
      </c>
    </row>
    <row r="916">
      <c r="A916" t="inlineStr">
        <is>
          <t>20260721-8186-445148990</t>
        </is>
      </c>
      <c r="B916" t="n">
        <v>1</v>
      </c>
      <c r="C916" s="2" t="inlineStr">
        <is>
          <t>Татьяна Парунова, Виталий Терехов</t>
        </is>
      </c>
      <c r="D916" s="3" t="n">
        <v>32040</v>
      </c>
      <c r="E916" s="4" t="n">
        <v>18</v>
      </c>
      <c r="F916" t="inlineStr">
        <is>
          <t>Яндекс.Путешествия [Чайковский]</t>
        </is>
      </c>
      <c r="G916" s="3">
        <f>ROUND(D916/(100-E916)*100,2)</f>
        <v/>
      </c>
      <c r="H916" s="3" t="n">
        <v>0</v>
      </c>
      <c r="I916" s="3">
        <f>ROUND(IF(ISNUMBER(AG916),AG916,G916)+H916,2)</f>
        <v/>
      </c>
      <c r="J916" s="2" t="inlineStr">
        <is>
          <t>Завтрак "Шведский стол"</t>
        </is>
      </c>
      <c r="K916" s="5" t="n">
        <v>46224.58333333334</v>
      </c>
      <c r="L916" t="n">
        <v>3</v>
      </c>
      <c r="M916" s="3">
        <f>I916/L916</f>
        <v/>
      </c>
      <c r="N916">
        <f>IF(M916&gt;=5100,"ставка","мин.ставка")</f>
        <v/>
      </c>
      <c r="O916" s="3">
        <f>ROUND(IF(N916="мин.ставка",L916*100,I916/102*2),2)</f>
        <v/>
      </c>
      <c r="P916" s="5" t="n">
        <v>46227.5</v>
      </c>
      <c r="Q916" t="inlineStr">
        <is>
          <t>TravelLine YAX</t>
        </is>
      </c>
      <c r="R916" s="2" t="inlineStr">
        <is>
          <t>СТАНДАРТНЫЙ ДВУХМЕСТНЫЙ НОМЕР</t>
        </is>
      </c>
      <c r="S916" t="n">
        <v>36</v>
      </c>
      <c r="T916" t="n">
        <v>1</v>
      </c>
      <c r="U916" t="inlineStr"/>
      <c r="V916" t="inlineStr">
        <is>
          <t>Тариф с завтраком</t>
        </is>
      </c>
      <c r="W916" t="n">
        <v>32040</v>
      </c>
      <c r="X916" s="3" t="n">
        <v>8010</v>
      </c>
      <c r="Y916" t="inlineStr">
        <is>
          <t>20%</t>
        </is>
      </c>
      <c r="Z916" t="inlineStr">
        <is>
          <t>2026-07-21, 2026-07-22, 2026-07-23</t>
        </is>
      </c>
      <c r="AA916" s="3" t="n">
        <v>32040</v>
      </c>
      <c r="AB916" t="inlineStr">
        <is>
          <t>Сошлось по ночным тарифам</t>
        </is>
      </c>
      <c r="AC916" s="2" t="inlineStr"/>
      <c r="AD916" t="n">
        <v>8010</v>
      </c>
      <c r="AE916" t="n">
        <v>0</v>
      </c>
      <c r="AF916" t="inlineStr">
        <is>
          <t>Скидка добавлена к налоговой базе</t>
        </is>
      </c>
      <c r="AG916" t="n">
        <v>40050</v>
      </c>
      <c r="AH916" t="n">
        <v>32040</v>
      </c>
      <c r="AI916" t="inlineStr">
        <is>
          <t>Полное проживание в выбранном периоде</t>
        </is>
      </c>
    </row>
    <row r="917">
      <c r="A917" t="inlineStr">
        <is>
          <t>20260807-8186-451684061</t>
        </is>
      </c>
      <c r="B917" t="n">
        <v>1</v>
      </c>
      <c r="C917" s="2" t="inlineStr">
        <is>
          <t>ТАТЬЯНА ПЕТРОВА, ЕЛЕНА ВАЛЬТЕР</t>
        </is>
      </c>
      <c r="D917" s="3" t="n">
        <v>22695</v>
      </c>
      <c r="E917" s="4" t="n">
        <v>15</v>
      </c>
      <c r="F917" t="inlineStr">
        <is>
          <t>ООО "Библио-Глобус Туроператор" [Чайковский]</t>
        </is>
      </c>
      <c r="G917" s="3">
        <f>ROUND(D917/(100-E917)*100,2)</f>
        <v/>
      </c>
      <c r="H917" s="3" t="n">
        <v>0</v>
      </c>
      <c r="I917" s="3">
        <f>ROUND(IF(ISNUMBER(AG917),AG917,G917)+H917,2)</f>
        <v/>
      </c>
      <c r="J917" s="2" t="inlineStr">
        <is>
          <t>Завтрак "Шведский стол"</t>
        </is>
      </c>
      <c r="K917" s="5" t="n">
        <v>46241.58333333334</v>
      </c>
      <c r="L917" t="n">
        <v>2</v>
      </c>
      <c r="M917" s="3">
        <f>I917/L917</f>
        <v/>
      </c>
      <c r="N917">
        <f>IF(M917&gt;=5100,"ставка","мин.ставка")</f>
        <v/>
      </c>
      <c r="O917" s="3">
        <f>ROUND(IF(N917="мин.ставка",L917*100,I917/102*2),2)</f>
        <v/>
      </c>
      <c r="P917" s="5" t="n">
        <v>46243.5</v>
      </c>
      <c r="Q917" t="inlineStr">
        <is>
          <t>TravelLine BGL</t>
        </is>
      </c>
      <c r="R917" s="2" t="inlineStr">
        <is>
          <t>СТАНДАРТНЫЙ ДВУХМЕСТНЫЙ НОМЕР</t>
        </is>
      </c>
      <c r="S917" t="n">
        <v>33</v>
      </c>
      <c r="T917" t="n">
        <v>1</v>
      </c>
      <c r="U917" t="inlineStr"/>
      <c r="V917" t="inlineStr">
        <is>
          <t>Тариф с завтраком</t>
        </is>
      </c>
      <c r="W917" t="n">
        <v>22695</v>
      </c>
      <c r="X917" s="3" t="n">
        <v>4005</v>
      </c>
      <c r="Y917" t="inlineStr">
        <is>
          <t>15%</t>
        </is>
      </c>
      <c r="Z917" t="inlineStr">
        <is>
          <t>2026-08-07, 2026-08-08</t>
        </is>
      </c>
      <c r="AA917" s="3" t="n">
        <v>22695</v>
      </c>
      <c r="AB917" t="inlineStr">
        <is>
          <t>Сошлось по ночным тарифам</t>
        </is>
      </c>
      <c r="AC917" s="2" t="inlineStr"/>
      <c r="AD917" t="n">
        <v>4005</v>
      </c>
      <c r="AE917" t="n">
        <v>0</v>
      </c>
      <c r="AF917" t="inlineStr">
        <is>
          <t>Скидка добавлена к налоговой базе</t>
        </is>
      </c>
      <c r="AG917" t="n">
        <v>26700</v>
      </c>
      <c r="AH917" t="n">
        <v>22695</v>
      </c>
      <c r="AI917" t="inlineStr">
        <is>
          <t>Полное проживание в выбранном периоде</t>
        </is>
      </c>
    </row>
    <row r="918">
      <c r="A918" t="inlineStr">
        <is>
          <t>20260829-8186-451483327</t>
        </is>
      </c>
      <c r="B918" t="n">
        <v>1</v>
      </c>
      <c r="C918" s="2" t="inlineStr">
        <is>
          <t>Татьяна Познякова, Павел Синявский</t>
        </is>
      </c>
      <c r="D918" s="3" t="n">
        <v>24651</v>
      </c>
      <c r="E918" s="4" t="n">
        <v>17</v>
      </c>
      <c r="F918" t="inlineStr">
        <is>
          <t>ООО «Интернет Трэвел» (OZON) [Чайковский]</t>
        </is>
      </c>
      <c r="G918" s="3">
        <f>ROUND(D918/(100-E918)*100,2)</f>
        <v/>
      </c>
      <c r="H918" s="3" t="n">
        <v>0</v>
      </c>
      <c r="I918" s="3">
        <f>ROUND(IF(ISNUMBER(AG918),AG918,G918)+H918,2)</f>
        <v/>
      </c>
      <c r="J918" s="2" t="inlineStr">
        <is>
          <t>Завтрак "Шведский стол"</t>
        </is>
      </c>
      <c r="K918" s="5" t="n">
        <v>46263.58333333334</v>
      </c>
      <c r="L918" t="n">
        <v>3</v>
      </c>
      <c r="M918" s="3">
        <f>I918/L918</f>
        <v/>
      </c>
      <c r="N918">
        <f>IF(M918&gt;=5100,"ставка","мин.ставка")</f>
        <v/>
      </c>
      <c r="O918" s="3">
        <f>ROUND(IF(N918="мин.ставка",L918*100,I918/102*2),2)</f>
        <v/>
      </c>
      <c r="P918" s="5" t="n">
        <v>46266.5</v>
      </c>
      <c r="Q918" t="inlineStr">
        <is>
          <t>TravelLine OZ2</t>
        </is>
      </c>
      <c r="R918" s="2" t="inlineStr">
        <is>
          <t>СТАНДАРТНЫЙ ДВУХМЕСТНЫЙ НОМЕР (МАНСАРДА)</t>
        </is>
      </c>
      <c r="S918" t="n">
        <v>41</v>
      </c>
      <c r="T918" t="n">
        <v>1</v>
      </c>
      <c r="U918" t="inlineStr"/>
      <c r="V918" t="inlineStr">
        <is>
          <t>Тариф с завтраком</t>
        </is>
      </c>
      <c r="W918" t="n">
        <v>24651</v>
      </c>
      <c r="X918" s="3" t="n">
        <v>5049</v>
      </c>
      <c r="Y918" t="inlineStr">
        <is>
          <t>17%</t>
        </is>
      </c>
      <c r="Z918" t="inlineStr">
        <is>
          <t>2026-08-29, 2026-08-30, 2026-08-31</t>
        </is>
      </c>
      <c r="AA918" s="3" t="n">
        <v>24651</v>
      </c>
      <c r="AB918" t="inlineStr">
        <is>
          <t>Сошлось по ночным тарифам</t>
        </is>
      </c>
      <c r="AC918" s="2" t="inlineStr"/>
      <c r="AD918" t="n">
        <v>5049</v>
      </c>
      <c r="AE918" t="n">
        <v>0</v>
      </c>
      <c r="AF918" t="inlineStr">
        <is>
          <t>Скидка добавлена к налоговой базе</t>
        </is>
      </c>
      <c r="AG918" t="n">
        <v>29700</v>
      </c>
      <c r="AH918" t="n">
        <v>24651</v>
      </c>
      <c r="AI918" t="inlineStr">
        <is>
          <t>Полное проживание в выбранном периоде</t>
        </is>
      </c>
    </row>
    <row r="919">
      <c r="A919" t="inlineStr">
        <is>
          <t>20260911-8186-457261694</t>
        </is>
      </c>
      <c r="B919" t="n">
        <v>1</v>
      </c>
      <c r="C919" s="2" t="inlineStr">
        <is>
          <t>ТАТЬЯНА ПРУССАКОВА</t>
        </is>
      </c>
      <c r="D919" s="3" t="n">
        <v>19635</v>
      </c>
      <c r="E919" s="4" t="n">
        <v>15</v>
      </c>
      <c r="F919" t="inlineStr">
        <is>
          <t>Trip.com Group [Чайковский]</t>
        </is>
      </c>
      <c r="G919" s="3">
        <f>ROUND(D919/(100-E919)*100,2)</f>
        <v/>
      </c>
      <c r="H919" s="3" t="n">
        <v>0</v>
      </c>
      <c r="I919" s="3">
        <f>ROUND(IF(ISNUMBER(AG919),AG919,G919)+H919,2)</f>
        <v/>
      </c>
      <c r="J919" s="2" t="inlineStr">
        <is>
          <t>Завтрак "Шведский стол"</t>
        </is>
      </c>
      <c r="K919" s="5" t="n">
        <v>46276.58333333334</v>
      </c>
      <c r="L919" t="n">
        <v>3</v>
      </c>
      <c r="M919" s="3">
        <f>I919/L919</f>
        <v/>
      </c>
      <c r="N919">
        <f>IF(M919&gt;=5100,"ставка","мин.ставка")</f>
        <v/>
      </c>
      <c r="O919" s="3">
        <f>ROUND(IF(N919="мин.ставка",L919*100,I919/102*2),2)</f>
        <v/>
      </c>
      <c r="P919" s="5" t="n">
        <v>46279.5</v>
      </c>
      <c r="Q919" t="inlineStr">
        <is>
          <t>TravelLine CTP</t>
        </is>
      </c>
      <c r="R919" s="2" t="inlineStr">
        <is>
          <t>СТАНДАРТНЫЙ ОДНОМЕСТНЫЙ НОМЕР</t>
        </is>
      </c>
      <c r="S919" t="n">
        <v>34</v>
      </c>
      <c r="T919" t="n">
        <v>1</v>
      </c>
      <c r="U919" t="inlineStr"/>
      <c r="V919" t="inlineStr">
        <is>
          <t>Тариф с завтраком</t>
        </is>
      </c>
      <c r="W919" t="n">
        <v>19635</v>
      </c>
      <c r="X919" s="3" t="n">
        <v>0</v>
      </c>
      <c r="Y919" t="inlineStr"/>
      <c r="Z919" t="inlineStr"/>
      <c r="AA919" s="3" t="n">
        <v>19635</v>
      </c>
      <c r="AB919" t="inlineStr">
        <is>
          <t>Сошлось по ночным тарифам</t>
        </is>
      </c>
      <c r="AC919" s="2" t="inlineStr"/>
      <c r="AD919" t="n">
        <v>0</v>
      </c>
      <c r="AE919" t="n">
        <v>0</v>
      </c>
      <c r="AF919" t="inlineStr">
        <is>
          <t>Скидки нет</t>
        </is>
      </c>
      <c r="AG919" t="n">
        <v>19635</v>
      </c>
      <c r="AH919" t="n">
        <v>19635</v>
      </c>
      <c r="AI919" t="inlineStr">
        <is>
          <t>Полное проживание в выбранном периоде</t>
        </is>
      </c>
    </row>
    <row r="920">
      <c r="A920" t="inlineStr">
        <is>
          <t>20260919-8186-459559612</t>
        </is>
      </c>
      <c r="B920" t="n">
        <v>1</v>
      </c>
      <c r="C920" s="2" t="inlineStr">
        <is>
          <t>ТАТЬЯНА РИКАЛЕНКО</t>
        </is>
      </c>
      <c r="D920" s="3" t="n">
        <v>28602</v>
      </c>
      <c r="E920" s="4" t="n">
        <v>16</v>
      </c>
      <c r="F920" t="inlineStr">
        <is>
          <t>ООО "БРОНИРОВАНИЕ ГОСТИНИЦ" (OSTROVOK) [Чайковский]</t>
        </is>
      </c>
      <c r="G920" s="3">
        <f>ROUND(D920/(100-E920)*100,2)</f>
        <v/>
      </c>
      <c r="H920" s="3" t="n">
        <v>0</v>
      </c>
      <c r="I920" s="3">
        <f>ROUND(IF(ISNUMBER(AG920),AG920,G920)+H920,2)</f>
        <v/>
      </c>
      <c r="J920" s="2" t="inlineStr">
        <is>
          <t>Завтрак "Шведский стол"</t>
        </is>
      </c>
      <c r="K920" s="5" t="n">
        <v>46284.58333333334</v>
      </c>
      <c r="L920" t="n">
        <v>3</v>
      </c>
      <c r="M920" s="3">
        <f>I920/L920</f>
        <v/>
      </c>
      <c r="N920">
        <f>IF(M920&gt;=5100,"ставка","мин.ставка")</f>
        <v/>
      </c>
      <c r="O920" s="3">
        <f>ROUND(IF(N920="мин.ставка",L920*100,I920/102*2),2)</f>
        <v/>
      </c>
      <c r="P920" s="5" t="n">
        <v>46287.5</v>
      </c>
      <c r="Q920" t="inlineStr">
        <is>
          <t>TravelLine OTK</t>
        </is>
      </c>
      <c r="R920" s="2" t="inlineStr">
        <is>
          <t>СТАНДАРТНЫЙ ДВУХМЕСТНЫЙ НОМЕР</t>
        </is>
      </c>
      <c r="S920" t="n">
        <v>32</v>
      </c>
      <c r="T920" t="n">
        <v>1</v>
      </c>
      <c r="U920" t="inlineStr"/>
      <c r="V920" t="inlineStr">
        <is>
          <t>Тариф с завтраком</t>
        </is>
      </c>
      <c r="W920" t="n">
        <v>28602</v>
      </c>
      <c r="X920" s="3" t="n">
        <v>5448</v>
      </c>
      <c r="Y920" t="inlineStr">
        <is>
          <t>16%</t>
        </is>
      </c>
      <c r="Z920" t="inlineStr">
        <is>
          <t>2026-09-19, 2026-09-20, 2026-09-21</t>
        </is>
      </c>
      <c r="AA920" s="3" t="n">
        <v>28602</v>
      </c>
      <c r="AB920" t="inlineStr">
        <is>
          <t>Сошлось по ночным тарифам</t>
        </is>
      </c>
      <c r="AC920" s="2" t="inlineStr"/>
      <c r="AD920" t="n">
        <v>5448</v>
      </c>
      <c r="AE920" t="n">
        <v>0</v>
      </c>
      <c r="AF920" t="inlineStr">
        <is>
          <t>Скидка добавлена к налоговой базе</t>
        </is>
      </c>
      <c r="AG920" t="n">
        <v>34050</v>
      </c>
      <c r="AH920" t="n">
        <v>28602</v>
      </c>
      <c r="AI920" t="inlineStr">
        <is>
          <t>Полное проживание в выбранном периоде</t>
        </is>
      </c>
    </row>
    <row r="921">
      <c r="A921" t="inlineStr">
        <is>
          <t>20260804-8186-452574889</t>
        </is>
      </c>
      <c r="B921" t="n">
        <v>1</v>
      </c>
      <c r="C921" s="2" t="inlineStr">
        <is>
          <t>Татьяна Слезко, Анна Максимова</t>
        </is>
      </c>
      <c r="D921" s="3" t="n">
        <v>26286.15</v>
      </c>
      <c r="E921" s="4" t="n">
        <v>4</v>
      </c>
      <c r="F921" t="inlineStr">
        <is>
          <t>TravelLine Booking Engine [Чайковский]</t>
        </is>
      </c>
      <c r="G921" s="3">
        <f>ROUND(D921/(100-E921)*100,2)</f>
        <v/>
      </c>
      <c r="H921" s="3" t="n">
        <v>90</v>
      </c>
      <c r="I921" s="3">
        <f>ROUND(IF(ISNUMBER(AG921),AG921,G921)+H921,2)</f>
        <v/>
      </c>
      <c r="J921" s="2" t="inlineStr">
        <is>
          <t>продление номера — 90,00 ₽; Завтрак "Шведский стол"</t>
        </is>
      </c>
      <c r="K921" s="5" t="n">
        <v>46238.58333333334</v>
      </c>
      <c r="L921" t="n">
        <v>2</v>
      </c>
      <c r="M921" s="3">
        <f>I921/L921</f>
        <v/>
      </c>
      <c r="N921">
        <f>IF(M921&gt;=5100,"ставка","мин.ставка")</f>
        <v/>
      </c>
      <c r="O921" s="3">
        <f>ROUND(IF(N921="мин.ставка",L921*100,I921/102*2),2)</f>
        <v/>
      </c>
      <c r="P921" s="5" t="n">
        <v>46240.5</v>
      </c>
      <c r="Q921" t="inlineStr">
        <is>
          <t>TravelLine сайт</t>
        </is>
      </c>
      <c r="R921" s="2" t="inlineStr">
        <is>
          <t>СТАНДАРТНЫЙ ДВУХМЕСТНЫЙ НОМЕР</t>
        </is>
      </c>
      <c r="S921" t="n">
        <v>52</v>
      </c>
      <c r="T921" t="n">
        <v>2</v>
      </c>
      <c r="U921" t="inlineStr"/>
      <c r="V921" t="inlineStr">
        <is>
          <t>Тариф с завтраком</t>
        </is>
      </c>
      <c r="W921" t="n">
        <v>26376.15</v>
      </c>
      <c r="X921" s="3" t="n">
        <v>413.85</v>
      </c>
      <c r="Y921" t="inlineStr">
        <is>
          <t>3.1%</t>
        </is>
      </c>
      <c r="Z921" t="inlineStr">
        <is>
          <t>2026-08-04</t>
        </is>
      </c>
      <c r="AA921" s="3" t="n">
        <v>26286.15</v>
      </c>
      <c r="AB921" t="inlineStr">
        <is>
          <t>Сошлось с услугами</t>
        </is>
      </c>
      <c r="AC921" s="2" t="inlineStr"/>
      <c r="AD921" t="n">
        <v>413.85</v>
      </c>
      <c r="AE921" t="n">
        <v>0</v>
      </c>
      <c r="AF921" t="inlineStr">
        <is>
          <t>Скидка добавлена к налоговой базе</t>
        </is>
      </c>
      <c r="AG921" t="n">
        <v>26700</v>
      </c>
      <c r="AH921" t="n">
        <v>26286.15</v>
      </c>
      <c r="AI921" t="inlineStr">
        <is>
          <t>Полное проживание в выбранном периоде</t>
        </is>
      </c>
    </row>
    <row r="922">
      <c r="A922" t="inlineStr">
        <is>
          <t>20260724-8186-448711908</t>
        </is>
      </c>
      <c r="B922" t="n">
        <v>1</v>
      </c>
      <c r="C922" s="2" t="inlineStr">
        <is>
          <t>ТАТЬЯНА СЛИВНИЦЫНА, МАЙЯ СЛИВНИЦЫНА</t>
        </is>
      </c>
      <c r="D922" s="3" t="n">
        <v>22695</v>
      </c>
      <c r="E922" s="4" t="n">
        <v>15</v>
      </c>
      <c r="F922" t="inlineStr">
        <is>
          <t>ООО "БРОНИРОВАНИЕ ГОСТИНИЦ" (OSTROVOK) [Чайковский]</t>
        </is>
      </c>
      <c r="G922" s="3">
        <f>ROUND(D922/(100-E922)*100,2)</f>
        <v/>
      </c>
      <c r="H922" s="3" t="n">
        <v>1300</v>
      </c>
      <c r="I922" s="3">
        <f>ROUND(IF(ISNUMBER(AG922),AG922,G922)+H922,2)</f>
        <v/>
      </c>
      <c r="J922" s="2" t="inlineStr">
        <is>
          <t>продление номера — 1 300,00 ₽; Завтрак "Шведский стол"</t>
        </is>
      </c>
      <c r="K922" s="5" t="n">
        <v>46227.58333333334</v>
      </c>
      <c r="L922" t="n">
        <v>2</v>
      </c>
      <c r="M922" s="3">
        <f>I922/L922</f>
        <v/>
      </c>
      <c r="N922">
        <f>IF(M922&gt;=5100,"ставка","мин.ставка")</f>
        <v/>
      </c>
      <c r="O922" s="3">
        <f>ROUND(IF(N922="мин.ставка",L922*100,I922/102*2),2)</f>
        <v/>
      </c>
      <c r="P922" s="5" t="n">
        <v>46229.5</v>
      </c>
      <c r="Q922" t="inlineStr">
        <is>
          <t>TravelLine OTK</t>
        </is>
      </c>
      <c r="R922" s="2" t="inlineStr">
        <is>
          <t>СТАНДАРТНЫЙ ДВУХМЕСТНЫЙ НОМЕР</t>
        </is>
      </c>
      <c r="S922" t="n">
        <v>36</v>
      </c>
      <c r="T922" t="n">
        <v>1</v>
      </c>
      <c r="U922" t="inlineStr"/>
      <c r="V922" t="inlineStr">
        <is>
          <t>Тариф с завтраком</t>
        </is>
      </c>
      <c r="W922" t="n">
        <v>23995</v>
      </c>
      <c r="X922" s="3" t="n">
        <v>4005</v>
      </c>
      <c r="Y922" t="inlineStr">
        <is>
          <t>15%</t>
        </is>
      </c>
      <c r="Z922" t="inlineStr">
        <is>
          <t>2026-07-24, 2026-07-25</t>
        </is>
      </c>
      <c r="AA922" s="3" t="n">
        <v>22695</v>
      </c>
      <c r="AB922" t="inlineStr">
        <is>
          <t>Сошлось с услугами</t>
        </is>
      </c>
      <c r="AC922" s="2" t="inlineStr"/>
      <c r="AD922" t="n">
        <v>4005</v>
      </c>
      <c r="AE922" t="n">
        <v>0</v>
      </c>
      <c r="AF922" t="inlineStr">
        <is>
          <t>Скидка добавлена к налоговой базе</t>
        </is>
      </c>
      <c r="AG922" t="n">
        <v>26700</v>
      </c>
      <c r="AH922" t="n">
        <v>22695</v>
      </c>
      <c r="AI922" t="inlineStr">
        <is>
          <t>Полное проживание в выбранном периоде</t>
        </is>
      </c>
    </row>
    <row r="923">
      <c r="A923" t="inlineStr">
        <is>
          <t>20260721-8186-429851742</t>
        </is>
      </c>
      <c r="B923" t="n">
        <v>1</v>
      </c>
      <c r="C923" s="2" t="inlineStr">
        <is>
          <t>Татьяна СМирнова, НИКИТА БОРМОТКИН</t>
        </is>
      </c>
      <c r="D923" s="3" t="n">
        <v>9593.1</v>
      </c>
      <c r="E923" s="4" t="n">
        <v>4</v>
      </c>
      <c r="F923" t="inlineStr">
        <is>
          <t>TravelLine Booking Engine [Чайковский]</t>
        </is>
      </c>
      <c r="G923" s="3">
        <f>ROUND(D923/(100-E923)*100,2)</f>
        <v/>
      </c>
      <c r="H923" s="3" t="n">
        <v>0</v>
      </c>
      <c r="I923" s="3">
        <f>ROUND(IF(ISNUMBER(AG923),AG923,G923)+H923,2)</f>
        <v/>
      </c>
      <c r="J923" s="2" t="inlineStr">
        <is>
          <t>Завтрак "Шведский стол"</t>
        </is>
      </c>
      <c r="K923" s="5" t="n">
        <v>46224.58333333334</v>
      </c>
      <c r="L923" t="n">
        <v>1</v>
      </c>
      <c r="M923" s="3">
        <f>I923/L923</f>
        <v/>
      </c>
      <c r="N923">
        <f>IF(M923&gt;=5100,"ставка","мин.ставка")</f>
        <v/>
      </c>
      <c r="O923" s="3">
        <f>ROUND(IF(N923="мин.ставка",L923*100,I923/102*2),2)</f>
        <v/>
      </c>
      <c r="P923" s="5" t="n">
        <v>46225.5</v>
      </c>
      <c r="Q923" t="inlineStr">
        <is>
          <t>TravelLine сайт</t>
        </is>
      </c>
      <c r="R923" s="2" t="inlineStr">
        <is>
          <t>СТАНДАРТНЫЙ ДВУХМЕСТНЫЙ НОМЕР (МАНСАРДА)</t>
        </is>
      </c>
      <c r="S923" t="n">
        <v>41</v>
      </c>
      <c r="T923" t="n">
        <v>1</v>
      </c>
      <c r="U923" t="inlineStr"/>
      <c r="V923" t="inlineStr">
        <is>
          <t>Тариф с завтраком</t>
        </is>
      </c>
      <c r="W923" t="n">
        <v>9593.1</v>
      </c>
      <c r="X923" s="3" t="n">
        <v>306.9</v>
      </c>
      <c r="Y923" t="inlineStr">
        <is>
          <t>3.1%</t>
        </is>
      </c>
      <c r="Z923" t="inlineStr">
        <is>
          <t>2026-07-21</t>
        </is>
      </c>
      <c r="AA923" s="3" t="n">
        <v>9593.1</v>
      </c>
      <c r="AB923" t="inlineStr">
        <is>
          <t>Сошлось по ночным тарифам</t>
        </is>
      </c>
      <c r="AC923" s="2" t="inlineStr"/>
      <c r="AD923" t="n">
        <v>306.9</v>
      </c>
      <c r="AE923" t="n">
        <v>0</v>
      </c>
      <c r="AF923" t="inlineStr">
        <is>
          <t>Скидка добавлена к налоговой базе</t>
        </is>
      </c>
      <c r="AG923" t="n">
        <v>9900</v>
      </c>
      <c r="AH923" t="n">
        <v>9593.1</v>
      </c>
      <c r="AI923" t="inlineStr">
        <is>
          <t>Полное проживание в выбранном периоде</t>
        </is>
      </c>
    </row>
    <row r="924">
      <c r="A924" t="inlineStr">
        <is>
          <t>20260822-8186-438680558</t>
        </is>
      </c>
      <c r="B924" t="n">
        <v>1</v>
      </c>
      <c r="C924" s="2" t="inlineStr">
        <is>
          <t>ТАТЬЯНА ТИМАКИНА, ЮЛИЯ ТИМАКИНА</t>
        </is>
      </c>
      <c r="D924" s="3" t="n">
        <v>45390</v>
      </c>
      <c r="E924" s="4" t="n">
        <v>16</v>
      </c>
      <c r="F924" t="inlineStr">
        <is>
          <t>ООО "БРОНИРОВАНИЕ ГОСТИНИЦ" (OSTROVOK) [Чайковский]</t>
        </is>
      </c>
      <c r="G924" s="3">
        <f>ROUND(D924/(100-E924)*100,2)</f>
        <v/>
      </c>
      <c r="H924" s="3" t="n">
        <v>0</v>
      </c>
      <c r="I924" s="3">
        <f>ROUND(IF(ISNUMBER(AG924),AG924,G924)+H924,2)</f>
        <v/>
      </c>
      <c r="J924" s="2" t="inlineStr">
        <is>
          <t>Завтрак "Шведский стол"</t>
        </is>
      </c>
      <c r="K924" s="5" t="n">
        <v>46256.58333333334</v>
      </c>
      <c r="L924" t="n">
        <v>4</v>
      </c>
      <c r="M924" s="3">
        <f>I924/L924</f>
        <v/>
      </c>
      <c r="N924">
        <f>IF(M924&gt;=5100,"ставка","мин.ставка")</f>
        <v/>
      </c>
      <c r="O924" s="3">
        <f>ROUND(IF(N924="мин.ставка",L924*100,I924/102*2),2)</f>
        <v/>
      </c>
      <c r="P924" s="5" t="n">
        <v>46260.5</v>
      </c>
      <c r="Q924" t="inlineStr">
        <is>
          <t>TravelLine OTK</t>
        </is>
      </c>
      <c r="R924" s="2" t="inlineStr">
        <is>
          <t>СТАНДАРТНЫЙ ДВУХМЕСТНЫЙ НОМЕР</t>
        </is>
      </c>
      <c r="S924" t="n">
        <v>42</v>
      </c>
      <c r="T924" t="n">
        <v>1</v>
      </c>
      <c r="U924" t="inlineStr"/>
      <c r="V924" t="inlineStr">
        <is>
          <t>Тариф с завтраком</t>
        </is>
      </c>
      <c r="W924" t="n">
        <v>45390</v>
      </c>
      <c r="X924" s="3" t="n">
        <v>8010</v>
      </c>
      <c r="Y924" t="inlineStr">
        <is>
          <t>15%</t>
        </is>
      </c>
      <c r="Z924" t="inlineStr">
        <is>
          <t>2026-08-22, 2026-08-23, 2026-08-24, 2026-08-25</t>
        </is>
      </c>
      <c r="AA924" s="3" t="n">
        <v>45390</v>
      </c>
      <c r="AB924" t="inlineStr">
        <is>
          <t>Сошлось по ночным тарифам</t>
        </is>
      </c>
      <c r="AC924" s="2" t="inlineStr"/>
      <c r="AD924" t="n">
        <v>8010</v>
      </c>
      <c r="AE924" t="n">
        <v>0</v>
      </c>
      <c r="AF924" t="inlineStr">
        <is>
          <t>Скидка добавлена к налоговой базе</t>
        </is>
      </c>
      <c r="AG924" t="n">
        <v>53400</v>
      </c>
      <c r="AH924" t="n">
        <v>45390</v>
      </c>
      <c r="AI924" t="inlineStr">
        <is>
          <t>Полное проживание в выбранном периоде</t>
        </is>
      </c>
    </row>
    <row r="925">
      <c r="A925" t="inlineStr">
        <is>
          <t>20260712-8186-449535687</t>
        </is>
      </c>
      <c r="B925" t="n">
        <v>1</v>
      </c>
      <c r="C925" s="2" t="inlineStr">
        <is>
          <t>теймур алиев</t>
        </is>
      </c>
      <c r="D925" s="3" t="n">
        <v>7900</v>
      </c>
      <c r="E925" s="4" t="n">
        <v>0</v>
      </c>
      <c r="F925" t="inlineStr">
        <is>
          <t>Прямые бронирования (стойка) [Чайковский]</t>
        </is>
      </c>
      <c r="G925" s="3">
        <f>ROUND(D925/(100-E925)*100,2)</f>
        <v/>
      </c>
      <c r="H925" s="3" t="n">
        <v>0</v>
      </c>
      <c r="I925" s="3">
        <f>ROUND(IF(ISNUMBER(AG925),AG925,G925)+H925,2)</f>
        <v/>
      </c>
      <c r="J925" s="2" t="inlineStr">
        <is>
          <t>Завтрак "Шведский стол"</t>
        </is>
      </c>
      <c r="K925" s="5" t="n">
        <v>46215.58333333334</v>
      </c>
      <c r="L925" t="n">
        <v>1</v>
      </c>
      <c r="M925" s="3">
        <f>I925/L925</f>
        <v/>
      </c>
      <c r="N925">
        <f>IF(M925&gt;=5100,"ставка","мин.ставка")</f>
        <v/>
      </c>
      <c r="O925" s="3">
        <f>ROUND(IF(N925="мин.ставка",L925*100,I925/102*2),2)</f>
        <v/>
      </c>
      <c r="P925" s="5" t="n">
        <v>46216.5</v>
      </c>
      <c r="Q925" t="inlineStr">
        <is>
          <t>TravelLine ресепшен</t>
        </is>
      </c>
      <c r="R925" s="2" t="inlineStr">
        <is>
          <t>СТАНДАРТНЫЙ ДВУХМЕСТНЫЙ НОМЕР (МАНСАРДА)</t>
        </is>
      </c>
      <c r="S925" t="n">
        <v>47</v>
      </c>
      <c r="T925" t="n">
        <v>1</v>
      </c>
      <c r="U925" t="inlineStr"/>
      <c r="V925" t="inlineStr">
        <is>
          <t>Тариф с завтраком</t>
        </is>
      </c>
      <c r="W925" t="n">
        <v>7900</v>
      </c>
      <c r="X925" s="3" t="n">
        <v>0</v>
      </c>
      <c r="Y925" t="inlineStr"/>
      <c r="Z925" t="inlineStr"/>
      <c r="AA925" s="3" t="n">
        <v>7900</v>
      </c>
      <c r="AB925" t="inlineStr">
        <is>
          <t>Сошлось по ночным тарифам</t>
        </is>
      </c>
      <c r="AC925" s="2" t="inlineStr"/>
      <c r="AD925" t="n">
        <v>0</v>
      </c>
      <c r="AE925" t="n">
        <v>0</v>
      </c>
      <c r="AF925" t="inlineStr">
        <is>
          <t>Скидки нет</t>
        </is>
      </c>
      <c r="AG925" t="n">
        <v>7900</v>
      </c>
      <c r="AH925" t="n">
        <v>7900</v>
      </c>
      <c r="AI925" t="inlineStr">
        <is>
          <t>Полное проживание в выбранном периоде</t>
        </is>
      </c>
    </row>
    <row r="926">
      <c r="A926" t="inlineStr">
        <is>
          <t>20260713-8186-448358432</t>
        </is>
      </c>
      <c r="B926" t="n">
        <v>1</v>
      </c>
      <c r="C926" s="2" t="inlineStr">
        <is>
          <t>Тимофей Гладков</t>
        </is>
      </c>
      <c r="D926" s="3" t="n">
        <v>37228</v>
      </c>
      <c r="E926" s="4" t="n">
        <v>18</v>
      </c>
      <c r="F926" t="inlineStr">
        <is>
          <t>ООО "Эй энд Эй" [Чайковский]</t>
        </is>
      </c>
      <c r="G926" s="3">
        <f>ROUND(D926/(100-E926)*100,2)</f>
        <v/>
      </c>
      <c r="H926" s="3" t="n">
        <v>0</v>
      </c>
      <c r="I926" s="3">
        <f>ROUND(IF(ISNUMBER(AG926),AG926,G926)+H926,2)</f>
        <v/>
      </c>
      <c r="J926" s="2" t="inlineStr">
        <is>
          <t>Завтрак "Шведский стол"</t>
        </is>
      </c>
      <c r="K926" s="5" t="n">
        <v>46216.58333333334</v>
      </c>
      <c r="L926" t="n">
        <v>4</v>
      </c>
      <c r="M926" s="3">
        <f>I926/L926</f>
        <v/>
      </c>
      <c r="N926">
        <f>IF(M926&gt;=5100,"ставка","мин.ставка")</f>
        <v/>
      </c>
      <c r="O926" s="3">
        <f>ROUND(IF(N926="мин.ставка",L926*100,I926/102*2),2)</f>
        <v/>
      </c>
      <c r="P926" s="5" t="n">
        <v>46220.5</v>
      </c>
      <c r="Q926" t="inlineStr">
        <is>
          <t>TravelLine ANA</t>
        </is>
      </c>
      <c r="R926" s="2" t="inlineStr">
        <is>
          <t>СТАНДАРТНЫЙ ДВУХМЕСТНЫЙ НОМЕР</t>
        </is>
      </c>
      <c r="S926" t="n">
        <v>23</v>
      </c>
      <c r="T926" t="n">
        <v>1</v>
      </c>
      <c r="U926" t="inlineStr"/>
      <c r="V926" t="inlineStr">
        <is>
          <t>Тариф с завтраком</t>
        </is>
      </c>
      <c r="W926" t="n">
        <v>37228</v>
      </c>
      <c r="X926" s="3" t="n">
        <v>8172</v>
      </c>
      <c r="Y926" t="inlineStr">
        <is>
          <t>18%</t>
        </is>
      </c>
      <c r="Z926" t="inlineStr">
        <is>
          <t>2026-07-13, 2026-07-14, 2026-07-15, 2026-07-16</t>
        </is>
      </c>
      <c r="AA926" s="3" t="n">
        <v>37228</v>
      </c>
      <c r="AB926" t="inlineStr">
        <is>
          <t>Сошлось по ночным тарифам</t>
        </is>
      </c>
      <c r="AC926" s="2" t="inlineStr"/>
      <c r="AD926" t="n">
        <v>8172</v>
      </c>
      <c r="AE926" t="n">
        <v>0</v>
      </c>
      <c r="AF926" t="inlineStr">
        <is>
          <t>Скидка добавлена к налоговой базе</t>
        </is>
      </c>
      <c r="AG926" t="n">
        <v>45400</v>
      </c>
      <c r="AH926" t="n">
        <v>37228</v>
      </c>
      <c r="AI926" t="inlineStr">
        <is>
          <t>Полное проживание в выбранном периоде</t>
        </is>
      </c>
    </row>
    <row r="927">
      <c r="A927" t="inlineStr">
        <is>
          <t>20260720-8186-410208436</t>
        </is>
      </c>
      <c r="B927" t="n">
        <v>1</v>
      </c>
      <c r="C927" s="2" t="inlineStr">
        <is>
          <t>Тимофей Чистяков, Ольга Чистякова</t>
        </is>
      </c>
      <c r="D927" s="3" t="n">
        <v>56826</v>
      </c>
      <c r="E927" s="4" t="n">
        <v>18</v>
      </c>
      <c r="F927" t="inlineStr">
        <is>
          <t>Яндекс.Путешествия [Чайковский]</t>
        </is>
      </c>
      <c r="G927" s="3">
        <f>ROUND(D927/(100-E927)*100,2)</f>
        <v/>
      </c>
      <c r="H927" s="3" t="n">
        <v>0</v>
      </c>
      <c r="I927" s="3">
        <f>ROUND(IF(ISNUMBER(AG927),AG927,G927)+H927,2)</f>
        <v/>
      </c>
      <c r="J927" s="2" t="inlineStr">
        <is>
          <t>Завтрак "Шведский стол"</t>
        </is>
      </c>
      <c r="K927" s="5" t="n">
        <v>46223.58333333334</v>
      </c>
      <c r="L927" t="n">
        <v>7</v>
      </c>
      <c r="M927" s="3">
        <f>I927/L927</f>
        <v/>
      </c>
      <c r="N927">
        <f>IF(M927&gt;=5100,"ставка","мин.ставка")</f>
        <v/>
      </c>
      <c r="O927" s="3">
        <f>ROUND(IF(N927="мин.ставка",L927*100,I927/102*2),2)</f>
        <v/>
      </c>
      <c r="P927" s="5" t="n">
        <v>46230.5</v>
      </c>
      <c r="Q927" t="inlineStr">
        <is>
          <t>TravelLine YAX</t>
        </is>
      </c>
      <c r="R927" s="2" t="inlineStr">
        <is>
          <t>СТАНДАРТНЫЙ ДВУХМЕСТНЫЙ НОМЕР (МАНСАРДА)</t>
        </is>
      </c>
      <c r="S927" t="n">
        <v>43</v>
      </c>
      <c r="T927" t="n">
        <v>1</v>
      </c>
      <c r="U927" t="inlineStr"/>
      <c r="V927" t="inlineStr">
        <is>
          <t>Тариф с завтраком</t>
        </is>
      </c>
      <c r="W927" t="n">
        <v>113652</v>
      </c>
      <c r="X927" s="3" t="n">
        <v>12474</v>
      </c>
      <c r="Y927" t="inlineStr">
        <is>
          <t>18%</t>
        </is>
      </c>
      <c r="Z927" t="inlineStr">
        <is>
          <t>2026-07-20, 2026-07-21, 2026-07-22, 2026-07-23, 2026-07-24, 2026-07-25, 2026-07-26</t>
        </is>
      </c>
      <c r="AA927" s="3" t="n">
        <v>56826</v>
      </c>
      <c r="AB927" t="inlineStr">
        <is>
          <t>Сошлось по ночным тарифам</t>
        </is>
      </c>
      <c r="AC927" s="2" t="inlineStr"/>
      <c r="AD927" t="n">
        <v>12474</v>
      </c>
      <c r="AE927" t="n">
        <v>0</v>
      </c>
      <c r="AF927" t="inlineStr">
        <is>
          <t>Скидка добавлена к налоговой базе</t>
        </is>
      </c>
      <c r="AG927" t="n">
        <v>69300</v>
      </c>
      <c r="AH927" t="n">
        <v>56826</v>
      </c>
      <c r="AI927" t="inlineStr">
        <is>
          <t>Полное проживание в выбранном периоде</t>
        </is>
      </c>
    </row>
    <row r="928">
      <c r="A928" t="inlineStr">
        <is>
          <t>20260926-8186-468560155</t>
        </is>
      </c>
      <c r="B928" t="n">
        <v>1</v>
      </c>
      <c r="C928" s="2" t="inlineStr">
        <is>
          <t>Тимур Кукусов, Алина Алейникова</t>
        </is>
      </c>
      <c r="D928" s="3" t="n">
        <v>7425</v>
      </c>
      <c r="E928" s="4" t="n">
        <v>18</v>
      </c>
      <c r="F928" t="inlineStr">
        <is>
          <t>Яндекс.Путешествия [Чайковский]</t>
        </is>
      </c>
      <c r="G928" s="3">
        <f>ROUND(D928/(100-E928)*100,2)</f>
        <v/>
      </c>
      <c r="H928" s="3" t="n">
        <v>0</v>
      </c>
      <c r="I928" s="3">
        <f>ROUND(IF(ISNUMBER(AG928),AG928,G928)+H928,2)</f>
        <v/>
      </c>
      <c r="J928" s="2" t="inlineStr">
        <is>
          <t>Завтрак "Шведский стол"</t>
        </is>
      </c>
      <c r="K928" s="5" t="n">
        <v>46291.58333333334</v>
      </c>
      <c r="L928" t="n">
        <v>1</v>
      </c>
      <c r="M928" s="3">
        <f>I928/L928</f>
        <v/>
      </c>
      <c r="N928">
        <f>IF(M928&gt;=5100,"ставка","мин.ставка")</f>
        <v/>
      </c>
      <c r="O928" s="3">
        <f>ROUND(IF(N928="мин.ставка",L928*100,I928/102*2),2)</f>
        <v/>
      </c>
      <c r="P928" s="5" t="n">
        <v>46292.5</v>
      </c>
      <c r="Q928" t="inlineStr">
        <is>
          <t>TravelLine YAX</t>
        </is>
      </c>
      <c r="R928" s="2" t="inlineStr">
        <is>
          <t>СТАНДАРТНЫЙ ДВУХМЕСТНЫЙ НОМЕР (МАНСАРДА)</t>
        </is>
      </c>
      <c r="S928" t="n">
        <v>41</v>
      </c>
      <c r="T928" t="n">
        <v>1</v>
      </c>
      <c r="U928" t="inlineStr"/>
      <c r="V928" t="inlineStr">
        <is>
          <t>Тариф с завтраком</t>
        </is>
      </c>
      <c r="W928" t="n">
        <v>7425</v>
      </c>
      <c r="X928" s="3" t="n">
        <v>2475</v>
      </c>
      <c r="Y928" t="inlineStr">
        <is>
          <t>25%</t>
        </is>
      </c>
      <c r="Z928" t="inlineStr">
        <is>
          <t>2026-09-26</t>
        </is>
      </c>
      <c r="AA928" s="3" t="n">
        <v>7425</v>
      </c>
      <c r="AB928" t="inlineStr">
        <is>
          <t>Сошлось по ночным тарифам</t>
        </is>
      </c>
      <c r="AC928" s="2" t="inlineStr"/>
      <c r="AD928" t="n">
        <v>2475</v>
      </c>
      <c r="AE928" t="n">
        <v>0</v>
      </c>
      <c r="AF928" t="inlineStr">
        <is>
          <t>Скидка добавлена к налоговой базе</t>
        </is>
      </c>
      <c r="AG928" t="n">
        <v>9900</v>
      </c>
      <c r="AH928" t="n">
        <v>7425</v>
      </c>
      <c r="AI928" t="inlineStr">
        <is>
          <t>Полное проживание в выбранном периоде</t>
        </is>
      </c>
    </row>
    <row r="929">
      <c r="A929" t="inlineStr">
        <is>
          <t>20260807-8186-440649751</t>
        </is>
      </c>
      <c r="B929" t="n">
        <v>1</v>
      </c>
      <c r="C929" s="2" t="inlineStr">
        <is>
          <t>Ульяна Вердельман, Никита Запольский</t>
        </is>
      </c>
      <c r="D929" s="3" t="n">
        <v>16252.5</v>
      </c>
      <c r="E929" s="4" t="n">
        <v>4</v>
      </c>
      <c r="F929" t="inlineStr">
        <is>
          <t>TravelLine Booking Engine [Чайковский]</t>
        </is>
      </c>
      <c r="G929" s="3">
        <f>ROUND(D929/(100-E929)*100,2)</f>
        <v/>
      </c>
      <c r="H929" s="3" t="n">
        <v>0</v>
      </c>
      <c r="I929" s="3">
        <f>ROUND(IF(ISNUMBER(AG929),AG929,G929)+H929,2)</f>
        <v/>
      </c>
      <c r="J929" s="2" t="inlineStr">
        <is>
          <t>Завтрак "Шведский стол"</t>
        </is>
      </c>
      <c r="K929" s="5" t="n">
        <v>46241.58333333334</v>
      </c>
      <c r="L929" t="n">
        <v>1</v>
      </c>
      <c r="M929" s="3">
        <f>I929/L929</f>
        <v/>
      </c>
      <c r="N929">
        <f>IF(M929&gt;=5100,"ставка","мин.ставка")</f>
        <v/>
      </c>
      <c r="O929" s="3">
        <f>ROUND(IF(N929="мин.ставка",L929*100,I929/102*2),2)</f>
        <v/>
      </c>
      <c r="P929" s="5" t="n">
        <v>46242.5</v>
      </c>
      <c r="Q929" t="inlineStr">
        <is>
          <t>TravelLine сайт</t>
        </is>
      </c>
      <c r="R929" s="2" t="inlineStr">
        <is>
          <t>ПОЛУЛЮКС</t>
        </is>
      </c>
      <c r="S929" t="n">
        <v>25</v>
      </c>
      <c r="T929" t="n">
        <v>1</v>
      </c>
      <c r="U929" t="inlineStr"/>
      <c r="V929" t="inlineStr">
        <is>
          <t>Тариф с завтраком</t>
        </is>
      </c>
      <c r="W929" t="n">
        <v>16252.5</v>
      </c>
      <c r="X929" s="3" t="n">
        <v>247.5</v>
      </c>
      <c r="Y929" t="inlineStr">
        <is>
          <t>1.5%</t>
        </is>
      </c>
      <c r="Z929" t="inlineStr">
        <is>
          <t>2026-08-07</t>
        </is>
      </c>
      <c r="AA929" s="3" t="n">
        <v>16252.5</v>
      </c>
      <c r="AB929" t="inlineStr">
        <is>
          <t>Сошлось по ночным тарифам</t>
        </is>
      </c>
      <c r="AC929" s="2" t="inlineStr"/>
      <c r="AD929" t="n">
        <v>247.5</v>
      </c>
      <c r="AE929" t="n">
        <v>0</v>
      </c>
      <c r="AF929" t="inlineStr">
        <is>
          <t>Скидка добавлена к налоговой базе</t>
        </is>
      </c>
      <c r="AG929" t="n">
        <v>16500</v>
      </c>
      <c r="AH929" t="n">
        <v>16252.5</v>
      </c>
      <c r="AI929" t="inlineStr">
        <is>
          <t>Полное проживание в выбранном периоде</t>
        </is>
      </c>
    </row>
    <row r="930">
      <c r="A930" t="inlineStr">
        <is>
          <t>20260819-8186-418481838</t>
        </is>
      </c>
      <c r="B930" t="n">
        <v>1</v>
      </c>
      <c r="C930" s="2" t="inlineStr">
        <is>
          <t>Ульяна Главная, Никита Копылов</t>
        </is>
      </c>
      <c r="D930" s="3" t="n">
        <v>66549.75</v>
      </c>
      <c r="E930" s="4" t="n">
        <v>4</v>
      </c>
      <c r="F930" t="inlineStr">
        <is>
          <t>TravelLine Booking Engine [Чайковский]</t>
        </is>
      </c>
      <c r="G930" s="3">
        <f>ROUND(D930/(100-E930)*100,2)</f>
        <v/>
      </c>
      <c r="H930" s="3" t="n">
        <v>0</v>
      </c>
      <c r="I930" s="3">
        <f>ROUND(IF(ISNUMBER(AG930),AG930,G930)+H930,2)</f>
        <v/>
      </c>
      <c r="J930" s="2" t="inlineStr">
        <is>
          <t>Завтрак "Шведский стол"</t>
        </is>
      </c>
      <c r="K930" s="5" t="n">
        <v>46253.625</v>
      </c>
      <c r="L930" t="n">
        <v>5</v>
      </c>
      <c r="M930" s="3">
        <f>I930/L930</f>
        <v/>
      </c>
      <c r="N930">
        <f>IF(M930&gt;=5100,"ставка","мин.ставка")</f>
        <v/>
      </c>
      <c r="O930" s="3">
        <f>ROUND(IF(N930="мин.ставка",L930*100,I930/102*2),2)</f>
        <v/>
      </c>
      <c r="P930" s="5" t="n">
        <v>46258.5</v>
      </c>
      <c r="Q930" t="inlineStr">
        <is>
          <t>TravelLine сайт</t>
        </is>
      </c>
      <c r="R930" s="2" t="inlineStr">
        <is>
          <t>СТАНДАРТНЫЙ ДВУХМЕСТНЫЙ НОМЕР</t>
        </is>
      </c>
      <c r="S930" t="n">
        <v>46</v>
      </c>
      <c r="T930" t="n">
        <v>1</v>
      </c>
      <c r="U930" t="inlineStr"/>
      <c r="V930" t="inlineStr">
        <is>
          <t>Тариф с завтраком</t>
        </is>
      </c>
      <c r="W930" t="n">
        <v>66549.75</v>
      </c>
      <c r="X930" s="3" t="n">
        <v>200.25</v>
      </c>
      <c r="Y930" t="inlineStr">
        <is>
          <t>1.5%</t>
        </is>
      </c>
      <c r="Z930" t="inlineStr">
        <is>
          <t>2026-08-19</t>
        </is>
      </c>
      <c r="AA930" s="3" t="n">
        <v>66549.75</v>
      </c>
      <c r="AB930" t="inlineStr">
        <is>
          <t>Сошлось по ночным тарифам</t>
        </is>
      </c>
      <c r="AC930" s="2" t="inlineStr"/>
      <c r="AD930" t="n">
        <v>200.25</v>
      </c>
      <c r="AE930" t="n">
        <v>0</v>
      </c>
      <c r="AF930" t="inlineStr">
        <is>
          <t>Скидка добавлена к налоговой базе</t>
        </is>
      </c>
      <c r="AG930" t="n">
        <v>66750</v>
      </c>
      <c r="AH930" t="n">
        <v>66549.75</v>
      </c>
      <c r="AI930" t="inlineStr">
        <is>
          <t>Полное проживание в выбранном периоде</t>
        </is>
      </c>
    </row>
    <row r="931">
      <c r="A931" t="inlineStr">
        <is>
          <t>20260915-8186-456118917</t>
        </is>
      </c>
      <c r="B931" t="n">
        <v>1</v>
      </c>
      <c r="C931" s="2" t="inlineStr">
        <is>
          <t>УЛЬЯНА ЦОЙ</t>
        </is>
      </c>
      <c r="D931" s="3" t="n">
        <v>9080</v>
      </c>
      <c r="E931" s="4" t="n">
        <v>20</v>
      </c>
      <c r="F931" t="inlineStr">
        <is>
          <t>ООО "ХБ-ПРО" [Чайковский]</t>
        </is>
      </c>
      <c r="G931" s="3">
        <f>ROUND(D931/(100-E931)*100,2)</f>
        <v/>
      </c>
      <c r="H931" s="3" t="n">
        <v>0</v>
      </c>
      <c r="I931" s="3">
        <f>ROUND(IF(ISNUMBER(AG931),AG931,G931)+H931,2)</f>
        <v/>
      </c>
      <c r="J931" s="2" t="inlineStr">
        <is>
          <t>Завтрак "Шведский стол"</t>
        </is>
      </c>
      <c r="K931" s="5" t="n">
        <v>46280.58333333334</v>
      </c>
      <c r="L931" t="n">
        <v>1</v>
      </c>
      <c r="M931" s="3">
        <f>I931/L931</f>
        <v/>
      </c>
      <c r="N931">
        <f>IF(M931&gt;=5100,"ставка","мин.ставка")</f>
        <v/>
      </c>
      <c r="O931" s="3">
        <f>ROUND(IF(N931="мин.ставка",L931*100,I931/102*2),2)</f>
        <v/>
      </c>
      <c r="P931" s="5" t="n">
        <v>46281.5</v>
      </c>
      <c r="Q931" t="inlineStr">
        <is>
          <t>TravelLine UTS</t>
        </is>
      </c>
      <c r="R931" s="2" t="inlineStr">
        <is>
          <t>СТАНДАРТНЫЙ ДВУХМЕСТНЫЙ НОМЕР</t>
        </is>
      </c>
      <c r="S931" t="n">
        <v>22</v>
      </c>
      <c r="T931" t="n">
        <v>1</v>
      </c>
      <c r="U931" t="inlineStr"/>
      <c r="V931" t="inlineStr">
        <is>
          <t>Тариф с завтраком</t>
        </is>
      </c>
      <c r="W931" t="n">
        <v>9080</v>
      </c>
      <c r="X931" s="3" t="n">
        <v>0</v>
      </c>
      <c r="Y931" t="inlineStr"/>
      <c r="Z931" t="inlineStr"/>
      <c r="AA931" s="3" t="n">
        <v>9080</v>
      </c>
      <c r="AB931" t="inlineStr">
        <is>
          <t>Сошлось по ночным тарифам</t>
        </is>
      </c>
      <c r="AC931" s="2" t="inlineStr"/>
      <c r="AD931" t="n">
        <v>0</v>
      </c>
      <c r="AE931" t="n">
        <v>0</v>
      </c>
      <c r="AF931" t="inlineStr">
        <is>
          <t>Скидки нет</t>
        </is>
      </c>
      <c r="AG931" t="n">
        <v>9080</v>
      </c>
      <c r="AH931" t="n">
        <v>9080</v>
      </c>
      <c r="AI931" t="inlineStr">
        <is>
          <t>Полное проживание в выбранном периоде</t>
        </is>
      </c>
    </row>
    <row r="932">
      <c r="A932" t="inlineStr">
        <is>
          <t>20260630-8186-444852393</t>
        </is>
      </c>
      <c r="B932" t="n">
        <v>1</v>
      </c>
      <c r="C932" s="2" t="inlineStr">
        <is>
          <t>УМАХАН САДЫКОВ</t>
        </is>
      </c>
      <c r="D932" s="3" t="n">
        <v>19295</v>
      </c>
      <c r="E932" s="4" t="n">
        <v>15</v>
      </c>
      <c r="F932" t="inlineStr">
        <is>
          <t>ООО "АКАДЕМ-ОНЛАЙН" [Чайковский]</t>
        </is>
      </c>
      <c r="G932" s="3">
        <f>ROUND(D932/(100-E932)*100,2)</f>
        <v/>
      </c>
      <c r="H932" s="3" t="n">
        <v>0</v>
      </c>
      <c r="I932" s="3">
        <f>ROUND(IF(ISNUMBER(AG932),AG932,G932)+H932,2)</f>
        <v/>
      </c>
      <c r="J932" s="2" t="inlineStr"/>
      <c r="K932" s="5" t="n">
        <v>46203.58333333334</v>
      </c>
      <c r="L932" t="n">
        <v>1</v>
      </c>
      <c r="M932" s="3">
        <f>I932/L932</f>
        <v/>
      </c>
      <c r="N932">
        <f>IF(M932&gt;=5100,"ставка","мин.ставка")</f>
        <v/>
      </c>
      <c r="O932" s="3">
        <f>ROUND(IF(N932="мин.ставка",L932*100,I932/102*2),2)</f>
        <v/>
      </c>
      <c r="P932" s="5" t="n">
        <v>46205.5</v>
      </c>
      <c r="Q932" t="inlineStr">
        <is>
          <t>TravelLine ACS</t>
        </is>
      </c>
      <c r="R932" s="2" t="inlineStr">
        <is>
          <t>СТАНДАРТНЫЙ ДВУХМЕСТНЫЙ НОМЕР</t>
        </is>
      </c>
      <c r="S932" t="n">
        <v>22</v>
      </c>
      <c r="T932" t="n">
        <v>1</v>
      </c>
      <c r="U932" t="inlineStr"/>
      <c r="V932" t="inlineStr">
        <is>
          <t>Тариф с завтраком</t>
        </is>
      </c>
      <c r="W932" t="n">
        <v>19295</v>
      </c>
      <c r="X932" s="3" t="n">
        <v>3405</v>
      </c>
      <c r="Y932" t="inlineStr">
        <is>
          <t>15%</t>
        </is>
      </c>
      <c r="Z932" t="inlineStr">
        <is>
          <t>2026-06-30, 2026-07-01</t>
        </is>
      </c>
      <c r="AA932" s="3" t="n">
        <v>19295</v>
      </c>
      <c r="AB932" t="inlineStr">
        <is>
          <t>Сошлось по ночным тарифам</t>
        </is>
      </c>
      <c r="AC932" s="2" t="inlineStr"/>
      <c r="AD932" t="n">
        <v>1702.5</v>
      </c>
      <c r="AE932" t="n">
        <v>0</v>
      </c>
      <c r="AF932" t="inlineStr">
        <is>
          <t>Ночи скидки определены по dailyRates; в базу добавлена только часть выбранного периода</t>
        </is>
      </c>
      <c r="AG932" t="n">
        <v>11350</v>
      </c>
      <c r="AH932" t="n">
        <v>9647.5</v>
      </c>
      <c r="AI932" t="inlineStr">
        <is>
          <t>Частичное проживание распределено по dailyRates</t>
        </is>
      </c>
    </row>
    <row r="933">
      <c r="A933" t="inlineStr">
        <is>
          <t>20260911-8186-464105054</t>
        </is>
      </c>
      <c r="B933" t="n">
        <v>1</v>
      </c>
      <c r="C933" s="2" t="inlineStr">
        <is>
          <t>Уфук Кырмызыгедик, Полина Кырмызыгедик</t>
        </is>
      </c>
      <c r="D933" s="3" t="n">
        <v>11550</v>
      </c>
      <c r="E933" s="4" t="n">
        <v>18</v>
      </c>
      <c r="F933" t="inlineStr">
        <is>
          <t>Яндекс.Путешествия [Чайковский]</t>
        </is>
      </c>
      <c r="G933" s="3">
        <f>ROUND(D933/(100-E933)*100,2)</f>
        <v/>
      </c>
      <c r="H933" s="3" t="n">
        <v>0</v>
      </c>
      <c r="I933" s="3">
        <f>ROUND(IF(ISNUMBER(AG933),AG933,G933)+H933,2)</f>
        <v/>
      </c>
      <c r="J933" s="2" t="inlineStr">
        <is>
          <t>Завтрак "Шведский стол"</t>
        </is>
      </c>
      <c r="K933" s="5" t="n">
        <v>46276.58333333334</v>
      </c>
      <c r="L933" t="n">
        <v>1</v>
      </c>
      <c r="M933" s="3">
        <f>I933/L933</f>
        <v/>
      </c>
      <c r="N933">
        <f>IF(M933&gt;=5100,"ставка","мин.ставка")</f>
        <v/>
      </c>
      <c r="O933" s="3">
        <f>ROUND(IF(N933="мин.ставка",L933*100,I933/102*2),2)</f>
        <v/>
      </c>
      <c r="P933" s="5" t="n">
        <v>46277.5</v>
      </c>
      <c r="Q933" t="inlineStr">
        <is>
          <t>TravelLine YAX</t>
        </is>
      </c>
      <c r="R933" s="2" t="inlineStr">
        <is>
          <t>УЛУЧШЕННЫЙ ДВУХМЕСТНЫЙ НОМЕР</t>
        </is>
      </c>
      <c r="S933" t="n">
        <v>56</v>
      </c>
      <c r="T933" t="n">
        <v>2</v>
      </c>
      <c r="U933" t="inlineStr"/>
      <c r="V933" t="inlineStr">
        <is>
          <t>Тариф с завтраком</t>
        </is>
      </c>
      <c r="W933" t="n">
        <v>11550</v>
      </c>
      <c r="X933" s="3" t="n">
        <v>0</v>
      </c>
      <c r="Y933" t="inlineStr"/>
      <c r="Z933" t="inlineStr"/>
      <c r="AA933" s="3" t="n">
        <v>11550</v>
      </c>
      <c r="AB933" t="inlineStr">
        <is>
          <t>Сошлось по ночным тарифам</t>
        </is>
      </c>
      <c r="AC933" s="2" t="inlineStr"/>
      <c r="AD933" t="n">
        <v>0</v>
      </c>
      <c r="AE933" t="n">
        <v>0</v>
      </c>
      <c r="AF933" t="inlineStr">
        <is>
          <t>Скидки нет</t>
        </is>
      </c>
      <c r="AG933" t="n">
        <v>11550</v>
      </c>
      <c r="AH933" t="n">
        <v>11550</v>
      </c>
      <c r="AI933" t="inlineStr">
        <is>
          <t>Полное проживание в выбранном периоде</t>
        </is>
      </c>
    </row>
    <row r="934">
      <c r="A934" t="inlineStr">
        <is>
          <t>20260714-8186-443685155</t>
        </is>
      </c>
      <c r="B934" t="n">
        <v>1</v>
      </c>
      <c r="C934" s="2" t="inlineStr">
        <is>
          <t>Фарида Баширова, Гульнар Мингалиева</t>
        </is>
      </c>
      <c r="D934" s="3" t="n">
        <v>11347.5</v>
      </c>
      <c r="E934" s="4" t="n">
        <v>0</v>
      </c>
      <c r="F934" t="inlineStr">
        <is>
          <t>ООО «ХОМЛИН ЛЭНД» (ПЕГАС) [Чайковский]</t>
        </is>
      </c>
      <c r="G934" s="3">
        <f>ROUND(D934/(100-E934)*100,2)</f>
        <v/>
      </c>
      <c r="H934" s="3" t="n">
        <v>0</v>
      </c>
      <c r="I934" s="3">
        <f>ROUND(IF(ISNUMBER(AG934),AG934,G934)+H934,2)</f>
        <v/>
      </c>
      <c r="J934" s="2" t="inlineStr">
        <is>
          <t>Завтрак "Шведский стол"</t>
        </is>
      </c>
      <c r="K934" s="5" t="n">
        <v>46217.58333333334</v>
      </c>
      <c r="L934" t="n">
        <v>1</v>
      </c>
      <c r="M934" s="3">
        <f>I934/L934</f>
        <v/>
      </c>
      <c r="N934">
        <f>IF(M934&gt;=5100,"ставка","мин.ставка")</f>
        <v/>
      </c>
      <c r="O934" s="3">
        <f>ROUND(IF(N934="мин.ставка",L934*100,I934/102*2),2)</f>
        <v/>
      </c>
      <c r="P934" s="5" t="n">
        <v>46218.5</v>
      </c>
      <c r="Q934" t="inlineStr">
        <is>
          <t>TravelLine PGS</t>
        </is>
      </c>
      <c r="R934" s="2" t="inlineStr">
        <is>
          <t>СТАНДАРТНЫЙ ДВУХМЕСТНЫЙ НОМЕР</t>
        </is>
      </c>
      <c r="S934" t="n">
        <v>22</v>
      </c>
      <c r="T934" t="n">
        <v>1</v>
      </c>
      <c r="U934" t="inlineStr"/>
      <c r="V934" t="inlineStr">
        <is>
          <t>Тариф с завтраком</t>
        </is>
      </c>
      <c r="W934" t="n">
        <v>11347.5</v>
      </c>
      <c r="X934" s="3" t="n">
        <v>2002.5</v>
      </c>
      <c r="Y934" t="inlineStr">
        <is>
          <t>15%</t>
        </is>
      </c>
      <c r="Z934" t="inlineStr">
        <is>
          <t>2026-07-14</t>
        </is>
      </c>
      <c r="AA934" s="3" t="n">
        <v>11347.5</v>
      </c>
      <c r="AB934" t="inlineStr">
        <is>
          <t>Сошлось по ночным тарифам</t>
        </is>
      </c>
      <c r="AC934" s="2" t="inlineStr"/>
      <c r="AD934" t="n">
        <v>2002.5</v>
      </c>
      <c r="AE934" t="n">
        <v>0</v>
      </c>
      <c r="AF934" t="inlineStr">
        <is>
          <t>Скидка добавлена к налоговой базе</t>
        </is>
      </c>
      <c r="AG934" t="n">
        <v>13350</v>
      </c>
      <c r="AH934" t="n">
        <v>11347.5</v>
      </c>
      <c r="AI934" t="inlineStr">
        <is>
          <t>Полное проживание в выбранном периоде</t>
        </is>
      </c>
    </row>
    <row r="935">
      <c r="A935" t="inlineStr">
        <is>
          <t>20260715-8186-408690775</t>
        </is>
      </c>
      <c r="B935" t="n">
        <v>1</v>
      </c>
      <c r="C935" s="2" t="inlineStr">
        <is>
          <t>Фарида Баширова, Гульнар Мингалиева</t>
        </is>
      </c>
      <c r="D935" s="3" t="n">
        <v>33660</v>
      </c>
      <c r="E935" s="4" t="n">
        <v>0</v>
      </c>
      <c r="F935" t="inlineStr">
        <is>
          <t>ООО «ХОМЛИН ЛЭНД» (ПЕГАС) [Чайковский]</t>
        </is>
      </c>
      <c r="G935" s="3">
        <f>ROUND(D935/(100-E935)*100,2)</f>
        <v/>
      </c>
      <c r="H935" s="3" t="n">
        <v>0</v>
      </c>
      <c r="I935" s="3">
        <f>ROUND(IF(ISNUMBER(AG935),AG935,G935)+H935,2)</f>
        <v/>
      </c>
      <c r="J935" s="2" t="inlineStr">
        <is>
          <t>Завтрак "Шведский стол"</t>
        </is>
      </c>
      <c r="K935" s="5" t="n">
        <v>46218.58333333334</v>
      </c>
      <c r="L935" t="n">
        <v>4</v>
      </c>
      <c r="M935" s="3">
        <f>I935/L935</f>
        <v/>
      </c>
      <c r="N935">
        <f>IF(M935&gt;=5100,"ставка","мин.ставка")</f>
        <v/>
      </c>
      <c r="O935" s="3">
        <f>ROUND(IF(N935="мин.ставка",L935*100,I935/102*2),2)</f>
        <v/>
      </c>
      <c r="P935" s="5" t="n">
        <v>46222.5</v>
      </c>
      <c r="Q935" t="inlineStr">
        <is>
          <t>TravelLine PGS</t>
        </is>
      </c>
      <c r="R935" s="2" t="inlineStr">
        <is>
          <t>СТАНДАРТНЫЙ ДВУХМЕСТНЫЙ НОМЕР (МАНСАРДА)</t>
        </is>
      </c>
      <c r="S935" t="n">
        <v>45</v>
      </c>
      <c r="T935" t="n">
        <v>1</v>
      </c>
      <c r="U935" t="inlineStr"/>
      <c r="V935" t="inlineStr">
        <is>
          <t>Тариф с завтраком</t>
        </is>
      </c>
      <c r="W935" t="n">
        <v>33660</v>
      </c>
      <c r="X935" s="3" t="n">
        <v>5940</v>
      </c>
      <c r="Y935" t="inlineStr">
        <is>
          <t>15%</t>
        </is>
      </c>
      <c r="Z935" t="inlineStr">
        <is>
          <t>2026-07-15, 2026-07-16, 2026-07-17, 2026-07-18</t>
        </is>
      </c>
      <c r="AA935" s="3" t="n">
        <v>33660</v>
      </c>
      <c r="AB935" t="inlineStr">
        <is>
          <t>Сошлось по ночным тарифам</t>
        </is>
      </c>
      <c r="AC935" s="2" t="inlineStr"/>
      <c r="AD935" t="n">
        <v>5940</v>
      </c>
      <c r="AE935" t="n">
        <v>0</v>
      </c>
      <c r="AF935" t="inlineStr">
        <is>
          <t>Скидка добавлена к налоговой базе</t>
        </is>
      </c>
      <c r="AG935" t="n">
        <v>39600</v>
      </c>
      <c r="AH935" t="n">
        <v>33660</v>
      </c>
      <c r="AI935" t="inlineStr">
        <is>
          <t>Полное проживание в выбранном периоде</t>
        </is>
      </c>
    </row>
    <row r="936">
      <c r="A936" t="inlineStr">
        <is>
          <t>20260718-8186-440294808</t>
        </is>
      </c>
      <c r="B936" t="n">
        <v>1</v>
      </c>
      <c r="C936" s="2" t="inlineStr">
        <is>
          <t>Фарида Торубарова, Лилия Минкина</t>
        </is>
      </c>
      <c r="D936" s="3" t="n">
        <v>45390</v>
      </c>
      <c r="E936" s="4" t="n">
        <v>0</v>
      </c>
      <c r="F936" t="inlineStr">
        <is>
          <t>ООО «ХОМЛИН ЛЭНД» (ПЕГАС) [Чайковский]</t>
        </is>
      </c>
      <c r="G936" s="3">
        <f>ROUND(D936/(100-E936)*100,2)</f>
        <v/>
      </c>
      <c r="H936" s="3" t="n">
        <v>0</v>
      </c>
      <c r="I936" s="3">
        <f>ROUND(IF(ISNUMBER(AG936),AG936,G936)+H936,2)</f>
        <v/>
      </c>
      <c r="J936" s="2" t="inlineStr">
        <is>
          <t>Завтрак "Шведский стол"</t>
        </is>
      </c>
      <c r="K936" s="5" t="n">
        <v>46221.58333333334</v>
      </c>
      <c r="L936" t="n">
        <v>4</v>
      </c>
      <c r="M936" s="3">
        <f>I936/L936</f>
        <v/>
      </c>
      <c r="N936">
        <f>IF(M936&gt;=5100,"ставка","мин.ставка")</f>
        <v/>
      </c>
      <c r="O936" s="3">
        <f>ROUND(IF(N936="мин.ставка",L936*100,I936/102*2),2)</f>
        <v/>
      </c>
      <c r="P936" s="5" t="n">
        <v>46225.5</v>
      </c>
      <c r="Q936" t="inlineStr">
        <is>
          <t>TravelLine PGS</t>
        </is>
      </c>
      <c r="R936" s="2" t="inlineStr">
        <is>
          <t>СТАНДАРТНЫЙ ДВУХМЕСТНЫЙ НОМЕР</t>
        </is>
      </c>
      <c r="S936" t="n">
        <v>42</v>
      </c>
      <c r="T936" t="n">
        <v>1</v>
      </c>
      <c r="U936" t="inlineStr"/>
      <c r="V936" t="inlineStr">
        <is>
          <t>Тариф с завтраком</t>
        </is>
      </c>
      <c r="W936" t="n">
        <v>45390</v>
      </c>
      <c r="X936" s="3" t="n">
        <v>8010</v>
      </c>
      <c r="Y936" t="inlineStr">
        <is>
          <t>15%</t>
        </is>
      </c>
      <c r="Z936" t="inlineStr">
        <is>
          <t>2026-07-18, 2026-07-19, 2026-07-20, 2026-07-21</t>
        </is>
      </c>
      <c r="AA936" s="3" t="n">
        <v>45390</v>
      </c>
      <c r="AB936" t="inlineStr">
        <is>
          <t>Сошлось по ночным тарифам</t>
        </is>
      </c>
      <c r="AC936" s="2" t="inlineStr"/>
      <c r="AD936" t="n">
        <v>8010</v>
      </c>
      <c r="AE936" t="n">
        <v>0</v>
      </c>
      <c r="AF936" t="inlineStr">
        <is>
          <t>Скидка добавлена к налоговой базе</t>
        </is>
      </c>
      <c r="AG936" t="n">
        <v>53400</v>
      </c>
      <c r="AH936" t="n">
        <v>45390</v>
      </c>
      <c r="AI936" t="inlineStr">
        <is>
          <t>Полное проживание в выбранном периоде</t>
        </is>
      </c>
    </row>
    <row r="937">
      <c r="A937" t="inlineStr">
        <is>
          <t>20260814-8186-455467392</t>
        </is>
      </c>
      <c r="B937" t="n">
        <v>1</v>
      </c>
      <c r="C937" s="2" t="inlineStr">
        <is>
          <t>Федор Кузичкин, Роман Рафаилов</t>
        </is>
      </c>
      <c r="D937" s="3" t="n">
        <v>22161</v>
      </c>
      <c r="E937" s="4" t="n">
        <v>18</v>
      </c>
      <c r="F937" t="inlineStr">
        <is>
          <t>Яндекс.Путешествия [Чайковский]</t>
        </is>
      </c>
      <c r="G937" s="3">
        <f>ROUND(D937/(100-E937)*100,2)</f>
        <v/>
      </c>
      <c r="H937" s="3" t="n">
        <v>0</v>
      </c>
      <c r="I937" s="3">
        <f>ROUND(IF(ISNUMBER(AG937),AG937,G937)+H937,2)</f>
        <v/>
      </c>
      <c r="J937" s="2" t="inlineStr">
        <is>
          <t>Завтрак "Шведский стол"</t>
        </is>
      </c>
      <c r="K937" s="5" t="n">
        <v>46248.58333333334</v>
      </c>
      <c r="L937" t="n">
        <v>2</v>
      </c>
      <c r="M937" s="3">
        <f>I937/L937</f>
        <v/>
      </c>
      <c r="N937">
        <f>IF(M937&gt;=5100,"ставка","мин.ставка")</f>
        <v/>
      </c>
      <c r="O937" s="3">
        <f>ROUND(IF(N937="мин.ставка",L937*100,I937/102*2),2)</f>
        <v/>
      </c>
      <c r="P937" s="5" t="n">
        <v>46250.5</v>
      </c>
      <c r="Q937" t="inlineStr">
        <is>
          <t>TravelLine YAX</t>
        </is>
      </c>
      <c r="R937" s="2" t="inlineStr">
        <is>
          <t>СТАНДАРТНЫЙ ДВУХМЕСТНЫЙ НОМЕР</t>
        </is>
      </c>
      <c r="S937" t="n">
        <v>46</v>
      </c>
      <c r="T937" t="n">
        <v>1</v>
      </c>
      <c r="U937" t="inlineStr"/>
      <c r="V937" t="inlineStr">
        <is>
          <t>Тариф с завтраком</t>
        </is>
      </c>
      <c r="W937" t="n">
        <v>44322</v>
      </c>
      <c r="X937" s="3" t="n">
        <v>4539</v>
      </c>
      <c r="Y937" t="inlineStr">
        <is>
          <t>17%</t>
        </is>
      </c>
      <c r="Z937" t="inlineStr">
        <is>
          <t>2026-08-14, 2026-08-15</t>
        </is>
      </c>
      <c r="AA937" s="3" t="n">
        <v>22161</v>
      </c>
      <c r="AB937" t="inlineStr">
        <is>
          <t>Сошлось по ночным тарифам</t>
        </is>
      </c>
      <c r="AC937" s="2" t="inlineStr"/>
      <c r="AD937" t="n">
        <v>4539</v>
      </c>
      <c r="AE937" t="n">
        <v>0</v>
      </c>
      <c r="AF937" t="inlineStr">
        <is>
          <t>Скидка добавлена к налоговой базе</t>
        </is>
      </c>
      <c r="AG937" t="n">
        <v>26700</v>
      </c>
      <c r="AH937" t="n">
        <v>22161</v>
      </c>
      <c r="AI937" t="inlineStr">
        <is>
          <t>Полное проживание в выбранном периоде</t>
        </is>
      </c>
    </row>
    <row r="938">
      <c r="A938" t="inlineStr">
        <is>
          <t>20260725-8186-453252891</t>
        </is>
      </c>
      <c r="B938" t="n">
        <v>1</v>
      </c>
      <c r="C938" s="2" t="inlineStr">
        <is>
          <t>ФЛОРИАН ГИНТЕР, ДАРЬЯ БОЙКО</t>
        </is>
      </c>
      <c r="D938" s="3" t="n">
        <v>10900</v>
      </c>
      <c r="E938" s="4" t="n">
        <v>0</v>
      </c>
      <c r="F938" t="inlineStr">
        <is>
          <t>Прямые бронирования (стойка) [Чайковский]</t>
        </is>
      </c>
      <c r="G938" s="3">
        <f>ROUND(D938/(100-E938)*100,2)</f>
        <v/>
      </c>
      <c r="H938" s="3" t="n">
        <v>0</v>
      </c>
      <c r="I938" s="3">
        <f>ROUND(IF(ISNUMBER(AG938),AG938,G938)+H938,2)</f>
        <v/>
      </c>
      <c r="J938" s="2" t="inlineStr">
        <is>
          <t>Завтрак "Шведский стол"</t>
        </is>
      </c>
      <c r="K938" s="5" t="n">
        <v>46228.58333333334</v>
      </c>
      <c r="L938" t="n">
        <v>1</v>
      </c>
      <c r="M938" s="3">
        <f>I938/L938</f>
        <v/>
      </c>
      <c r="N938">
        <f>IF(M938&gt;=5100,"ставка","мин.ставка")</f>
        <v/>
      </c>
      <c r="O938" s="3">
        <f>ROUND(IF(N938="мин.ставка",L938*100,I938/102*2),2)</f>
        <v/>
      </c>
      <c r="P938" s="5" t="n">
        <v>46229.5</v>
      </c>
      <c r="Q938" t="inlineStr">
        <is>
          <t>TravelLine ресепшен</t>
        </is>
      </c>
      <c r="R938" s="2" t="inlineStr">
        <is>
          <t>СТАНДАРТНЫЙ ДВУХМЕСТНЫЙ НОМЕР</t>
        </is>
      </c>
      <c r="S938" t="n">
        <v>32</v>
      </c>
      <c r="T938" t="n">
        <v>1</v>
      </c>
      <c r="U938" t="inlineStr"/>
      <c r="V938" t="inlineStr">
        <is>
          <t>Тариф с завтраком</t>
        </is>
      </c>
      <c r="W938" t="n">
        <v>10900</v>
      </c>
      <c r="X938" s="3" t="n">
        <v>0</v>
      </c>
      <c r="Y938" t="inlineStr"/>
      <c r="Z938" t="inlineStr"/>
      <c r="AA938" s="3" t="n">
        <v>10900</v>
      </c>
      <c r="AB938" t="inlineStr">
        <is>
          <t>Сошлось по ночным тарифам</t>
        </is>
      </c>
      <c r="AC938" s="2" t="inlineStr"/>
      <c r="AD938" t="n">
        <v>0</v>
      </c>
      <c r="AE938" t="n">
        <v>0</v>
      </c>
      <c r="AF938" t="inlineStr">
        <is>
          <t>Скидки нет</t>
        </is>
      </c>
      <c r="AG938" t="n">
        <v>10900</v>
      </c>
      <c r="AH938" t="n">
        <v>10900</v>
      </c>
      <c r="AI938" t="inlineStr">
        <is>
          <t>Полное проживание в выбранном периоде</t>
        </is>
      </c>
    </row>
    <row r="939">
      <c r="A939" t="inlineStr">
        <is>
          <t>20260930-8186-469709667</t>
        </is>
      </c>
      <c r="B939" t="n">
        <v>1</v>
      </c>
      <c r="C939" s="2" t="inlineStr">
        <is>
          <t>ШАШИН ШАШИН</t>
        </is>
      </c>
      <c r="D939" s="3" t="n">
        <v>13400</v>
      </c>
      <c r="E939" s="4" t="n">
        <v>0</v>
      </c>
      <c r="F939" t="inlineStr">
        <is>
          <t>Прямые бронирования (стойка) [Чайковский]</t>
        </is>
      </c>
      <c r="G939" s="3">
        <f>ROUND(D939/(100-E939)*100,2)</f>
        <v/>
      </c>
      <c r="H939" s="3" t="n">
        <v>0</v>
      </c>
      <c r="I939" s="3">
        <f>ROUND(IF(ISNUMBER(AG939),AG939,G939)+H939,2)</f>
        <v/>
      </c>
      <c r="J939" s="2" t="inlineStr">
        <is>
          <t>Завтрак "Шведский стол"</t>
        </is>
      </c>
      <c r="K939" s="5" t="n">
        <v>46295.58333333334</v>
      </c>
      <c r="L939" t="n">
        <v>1</v>
      </c>
      <c r="M939" s="3">
        <f>I939/L939</f>
        <v/>
      </c>
      <c r="N939">
        <f>IF(M939&gt;=5100,"ставка","мин.ставка")</f>
        <v/>
      </c>
      <c r="O939" s="3">
        <f>ROUND(IF(N939="мин.ставка",L939*100,I939/102*2),2)</f>
        <v/>
      </c>
      <c r="P939" s="5" t="n">
        <v>46296.5</v>
      </c>
      <c r="Q939" t="inlineStr">
        <is>
          <t>TravelLine ресепшен</t>
        </is>
      </c>
      <c r="R939" s="2" t="inlineStr">
        <is>
          <t>УЛУЧШЕННЫЙ ДВУХМЕСТНЫЙ НОМЕР</t>
        </is>
      </c>
      <c r="S939" t="n">
        <v>59</v>
      </c>
      <c r="T939" t="n">
        <v>2</v>
      </c>
      <c r="U939" t="inlineStr"/>
      <c r="V939" t="inlineStr">
        <is>
          <t>Тариф с завтраком</t>
        </is>
      </c>
      <c r="W939" t="n">
        <v>13400</v>
      </c>
      <c r="X939" s="3" t="n">
        <v>0</v>
      </c>
      <c r="Y939" t="inlineStr"/>
      <c r="Z939" t="inlineStr"/>
      <c r="AA939" s="3" t="n">
        <v>13400</v>
      </c>
      <c r="AB939" t="inlineStr">
        <is>
          <t>Сошлось по ночным тарифам</t>
        </is>
      </c>
      <c r="AC939" s="2" t="inlineStr"/>
      <c r="AD939" t="n">
        <v>0</v>
      </c>
      <c r="AE939" t="n">
        <v>0</v>
      </c>
      <c r="AF939" t="inlineStr">
        <is>
          <t>Скидки нет</t>
        </is>
      </c>
      <c r="AG939" t="n">
        <v>13400</v>
      </c>
      <c r="AH939" t="n">
        <v>13400</v>
      </c>
      <c r="AI939" t="inlineStr">
        <is>
          <t>Полное проживание в выбранном периоде</t>
        </is>
      </c>
    </row>
    <row r="940">
      <c r="A940" t="inlineStr">
        <is>
          <t>20260718-8186-430280842</t>
        </is>
      </c>
      <c r="B940" t="n">
        <v>1</v>
      </c>
      <c r="C940" s="2" t="inlineStr">
        <is>
          <t>Эдуард Дорожкин, Марина Дорожкина</t>
        </is>
      </c>
      <c r="D940" s="3" t="n">
        <v>9751.5</v>
      </c>
      <c r="E940" s="4" t="n">
        <v>4</v>
      </c>
      <c r="F940" t="inlineStr">
        <is>
          <t>TravelLine Booking Engine [Чайковский]</t>
        </is>
      </c>
      <c r="G940" s="3">
        <f>ROUND(D940/(100-E940)*100,2)</f>
        <v/>
      </c>
      <c r="H940" s="3" t="n">
        <v>0</v>
      </c>
      <c r="I940" s="3">
        <f>ROUND(IF(ISNUMBER(AG940),AG940,G940)+H940,2)</f>
        <v/>
      </c>
      <c r="J940" s="2" t="inlineStr">
        <is>
          <t>Завтрак "Шведский стол"</t>
        </is>
      </c>
      <c r="K940" s="5" t="n">
        <v>46221.58333333334</v>
      </c>
      <c r="L940" t="n">
        <v>1</v>
      </c>
      <c r="M940" s="3">
        <f>I940/L940</f>
        <v/>
      </c>
      <c r="N940">
        <f>IF(M940&gt;=5100,"ставка","мин.ставка")</f>
        <v/>
      </c>
      <c r="O940" s="3">
        <f>ROUND(IF(N940="мин.ставка",L940*100,I940/102*2),2)</f>
        <v/>
      </c>
      <c r="P940" s="5" t="n">
        <v>46222.5</v>
      </c>
      <c r="Q940" t="inlineStr">
        <is>
          <t>TravelLine сайт</t>
        </is>
      </c>
      <c r="R940" s="2" t="inlineStr">
        <is>
          <t>СТАНДАРТНЫЙ ДВУХМЕСТНЫЙ НОМЕР (МАНСАРДА)</t>
        </is>
      </c>
      <c r="S940" t="n">
        <v>43</v>
      </c>
      <c r="T940" t="n">
        <v>1</v>
      </c>
      <c r="U940" t="inlineStr"/>
      <c r="V940" t="inlineStr">
        <is>
          <t>Тариф с завтраком</t>
        </is>
      </c>
      <c r="W940" t="n">
        <v>9751.5</v>
      </c>
      <c r="X940" s="3" t="n">
        <v>148.5</v>
      </c>
      <c r="Y940" t="inlineStr">
        <is>
          <t>1.5%</t>
        </is>
      </c>
      <c r="Z940" t="inlineStr">
        <is>
          <t>2026-07-18</t>
        </is>
      </c>
      <c r="AA940" s="3" t="n">
        <v>9751.5</v>
      </c>
      <c r="AB940" t="inlineStr">
        <is>
          <t>Сошлось по ночным тарифам</t>
        </is>
      </c>
      <c r="AC940" s="2" t="inlineStr"/>
      <c r="AD940" t="n">
        <v>148.5</v>
      </c>
      <c r="AE940" t="n">
        <v>0</v>
      </c>
      <c r="AF940" t="inlineStr">
        <is>
          <t>Скидка добавлена к налоговой базе</t>
        </is>
      </c>
      <c r="AG940" t="n">
        <v>9900</v>
      </c>
      <c r="AH940" t="n">
        <v>9751.5</v>
      </c>
      <c r="AI940" t="inlineStr">
        <is>
          <t>Полное проживание в выбранном периоде</t>
        </is>
      </c>
    </row>
    <row r="941">
      <c r="A941" t="inlineStr">
        <is>
          <t>20260824-8186-458333110</t>
        </is>
      </c>
      <c r="B941" t="n">
        <v>1</v>
      </c>
      <c r="C941" s="2" t="inlineStr">
        <is>
          <t>Эдуард Исаков</t>
        </is>
      </c>
      <c r="D941" s="3" t="n">
        <v>27921</v>
      </c>
      <c r="E941" s="4" t="n">
        <v>18</v>
      </c>
      <c r="F941" t="inlineStr">
        <is>
          <t>ООО "Эй энд Эй" [Чайковский]</t>
        </is>
      </c>
      <c r="G941" s="3">
        <f>ROUND(D941/(100-E941)*100,2)</f>
        <v/>
      </c>
      <c r="H941" s="3" t="n">
        <v>0</v>
      </c>
      <c r="I941" s="3">
        <f>ROUND(IF(ISNUMBER(AG941),AG941,G941)+H941,2)</f>
        <v/>
      </c>
      <c r="J941" s="2" t="inlineStr">
        <is>
          <t>Завтрак "Шведский стол"</t>
        </is>
      </c>
      <c r="K941" s="5" t="n">
        <v>46258.58333333334</v>
      </c>
      <c r="L941" t="n">
        <v>3</v>
      </c>
      <c r="M941" s="3">
        <f>I941/L941</f>
        <v/>
      </c>
      <c r="N941">
        <f>IF(M941&gt;=5100,"ставка","мин.ставка")</f>
        <v/>
      </c>
      <c r="O941" s="3">
        <f>ROUND(IF(N941="мин.ставка",L941*100,I941/102*2),2)</f>
        <v/>
      </c>
      <c r="P941" s="5" t="n">
        <v>46261.5</v>
      </c>
      <c r="Q941" t="inlineStr">
        <is>
          <t>TravelLine ANA</t>
        </is>
      </c>
      <c r="R941" s="2" t="inlineStr">
        <is>
          <t>УЛУЧШЕННЫЙ ДВУХМЕСТНЫЙ НОМЕР</t>
        </is>
      </c>
      <c r="S941" t="n">
        <v>56</v>
      </c>
      <c r="T941" t="n">
        <v>2</v>
      </c>
      <c r="U941" t="inlineStr"/>
      <c r="V941" t="inlineStr">
        <is>
          <t>Тариф с завтраком</t>
        </is>
      </c>
      <c r="W941" t="n">
        <v>27921</v>
      </c>
      <c r="X941" s="3" t="n">
        <v>6129</v>
      </c>
      <c r="Y941" t="inlineStr">
        <is>
          <t>18%</t>
        </is>
      </c>
      <c r="Z941" t="inlineStr">
        <is>
          <t>2026-08-24, 2026-08-25, 2026-08-26</t>
        </is>
      </c>
      <c r="AA941" s="3" t="n">
        <v>27921</v>
      </c>
      <c r="AB941" t="inlineStr">
        <is>
          <t>Сошлось по ночным тарифам</t>
        </is>
      </c>
      <c r="AC941" s="2" t="inlineStr"/>
      <c r="AD941" t="n">
        <v>6129</v>
      </c>
      <c r="AE941" t="n">
        <v>0</v>
      </c>
      <c r="AF941" t="inlineStr">
        <is>
          <t>Скидка добавлена к налоговой базе</t>
        </is>
      </c>
      <c r="AG941" t="n">
        <v>34050</v>
      </c>
      <c r="AH941" t="n">
        <v>27921</v>
      </c>
      <c r="AI941" t="inlineStr">
        <is>
          <t>Полное проживание в выбранном периоде</t>
        </is>
      </c>
    </row>
    <row r="942">
      <c r="A942" t="inlineStr">
        <is>
          <t>20260926-8186-468485866</t>
        </is>
      </c>
      <c r="B942" t="n">
        <v>1</v>
      </c>
      <c r="C942" s="2" t="inlineStr">
        <is>
          <t>Эка Шанава, Дарья Григорян</t>
        </is>
      </c>
      <c r="D942" s="3" t="n">
        <v>30037.5</v>
      </c>
      <c r="E942" s="4" t="n">
        <v>18</v>
      </c>
      <c r="F942" t="inlineStr">
        <is>
          <t>Яндекс.Путешествия [Чайковский]</t>
        </is>
      </c>
      <c r="G942" s="3">
        <f>ROUND(D942/(100-E942)*100,2)</f>
        <v/>
      </c>
      <c r="H942" s="3" t="n">
        <v>0</v>
      </c>
      <c r="I942" s="3">
        <f>ROUND(IF(ISNUMBER(AG942),AG942,G942)+H942,2)</f>
        <v/>
      </c>
      <c r="J942" s="2" t="inlineStr">
        <is>
          <t>Завтрак "Шведский стол"</t>
        </is>
      </c>
      <c r="K942" s="5" t="n">
        <v>46291.58333333334</v>
      </c>
      <c r="L942" t="n">
        <v>3</v>
      </c>
      <c r="M942" s="3">
        <f>I942/L942</f>
        <v/>
      </c>
      <c r="N942">
        <f>IF(M942&gt;=5100,"ставка","мин.ставка")</f>
        <v/>
      </c>
      <c r="O942" s="3">
        <f>ROUND(IF(N942="мин.ставка",L942*100,I942/102*2),2)</f>
        <v/>
      </c>
      <c r="P942" s="5" t="n">
        <v>46294.5</v>
      </c>
      <c r="Q942" t="inlineStr">
        <is>
          <t>TravelLine YAX</t>
        </is>
      </c>
      <c r="R942" s="2" t="inlineStr">
        <is>
          <t>СТАНДАРТНЫЙ ДВУХМЕСТНЫЙ НОМЕР</t>
        </is>
      </c>
      <c r="S942" t="n">
        <v>22</v>
      </c>
      <c r="T942" t="n">
        <v>1</v>
      </c>
      <c r="U942" t="inlineStr"/>
      <c r="V942" t="inlineStr">
        <is>
          <t>Тариф с завтраком</t>
        </is>
      </c>
      <c r="W942" t="n">
        <v>30037.5</v>
      </c>
      <c r="X942" s="3" t="n">
        <v>10012.5</v>
      </c>
      <c r="Y942" t="inlineStr">
        <is>
          <t>25%</t>
        </is>
      </c>
      <c r="Z942" t="inlineStr">
        <is>
          <t>2026-09-26, 2026-09-27, 2026-09-28</t>
        </is>
      </c>
      <c r="AA942" s="3" t="n">
        <v>30037.5</v>
      </c>
      <c r="AB942" t="inlineStr">
        <is>
          <t>Сошлось по ночным тарифам</t>
        </is>
      </c>
      <c r="AC942" s="2" t="inlineStr"/>
      <c r="AD942" t="n">
        <v>10012.5</v>
      </c>
      <c r="AE942" t="n">
        <v>0</v>
      </c>
      <c r="AF942" t="inlineStr">
        <is>
          <t>Скидка добавлена к налоговой базе</t>
        </is>
      </c>
      <c r="AG942" t="n">
        <v>40050</v>
      </c>
      <c r="AH942" t="n">
        <v>30037.5</v>
      </c>
      <c r="AI942" t="inlineStr">
        <is>
          <t>Полное проживание в выбранном периоде</t>
        </is>
      </c>
    </row>
    <row r="943">
      <c r="A943" t="inlineStr">
        <is>
          <t>20260917-8186-461649705</t>
        </is>
      </c>
      <c r="B943" t="n">
        <v>1</v>
      </c>
      <c r="C943" s="2" t="inlineStr">
        <is>
          <t>Экатеринэ Лобжанидзе</t>
        </is>
      </c>
      <c r="D943" s="3" t="n">
        <v>6320</v>
      </c>
      <c r="E943" s="4" t="n">
        <v>20</v>
      </c>
      <c r="F943" t="inlineStr">
        <is>
          <t>ООО "ХБ-ПРО" [Чайковский]</t>
        </is>
      </c>
      <c r="G943" s="3">
        <f>ROUND(D943/(100-E943)*100,2)</f>
        <v/>
      </c>
      <c r="H943" s="3" t="n">
        <v>0</v>
      </c>
      <c r="I943" s="3">
        <f>ROUND(IF(ISNUMBER(AG943),AG943,G943)+H943,2)</f>
        <v/>
      </c>
      <c r="J943" s="2" t="inlineStr">
        <is>
          <t>Завтрак "Шведский стол"</t>
        </is>
      </c>
      <c r="K943" s="5" t="n">
        <v>46282.58333333334</v>
      </c>
      <c r="L943" t="n">
        <v>1</v>
      </c>
      <c r="M943" s="3">
        <f>I943/L943</f>
        <v/>
      </c>
      <c r="N943">
        <f>IF(M943&gt;=5100,"ставка","мин.ставка")</f>
        <v/>
      </c>
      <c r="O943" s="3">
        <f>ROUND(IF(N943="мин.ставка",L943*100,I943/102*2),2)</f>
        <v/>
      </c>
      <c r="P943" s="5" t="n">
        <v>46283.5</v>
      </c>
      <c r="Q943" t="inlineStr">
        <is>
          <t>TravelLine UTS</t>
        </is>
      </c>
      <c r="R943" s="2" t="inlineStr">
        <is>
          <t>СТАНДАРТНЫЙ ДВУХМЕСТНЫЙ НОМЕР (МАНСАРДА)</t>
        </is>
      </c>
      <c r="S943" t="n">
        <v>41</v>
      </c>
      <c r="T943" t="n">
        <v>1</v>
      </c>
      <c r="U943" t="inlineStr"/>
      <c r="V943" t="inlineStr">
        <is>
          <t>Тариф с завтраком</t>
        </is>
      </c>
      <c r="W943" t="n">
        <v>6320</v>
      </c>
      <c r="X943" s="3" t="n">
        <v>0</v>
      </c>
      <c r="Y943" t="inlineStr"/>
      <c r="Z943" t="inlineStr"/>
      <c r="AA943" s="3" t="n">
        <v>6320</v>
      </c>
      <c r="AB943" t="inlineStr">
        <is>
          <t>Сошлось по ночным тарифам</t>
        </is>
      </c>
      <c r="AC943" s="2" t="inlineStr"/>
      <c r="AD943" t="n">
        <v>0</v>
      </c>
      <c r="AE943" t="n">
        <v>0</v>
      </c>
      <c r="AF943" t="inlineStr">
        <is>
          <t>Скидки нет</t>
        </is>
      </c>
      <c r="AG943" t="n">
        <v>6320</v>
      </c>
      <c r="AH943" t="n">
        <v>6320</v>
      </c>
      <c r="AI943" t="inlineStr">
        <is>
          <t>Полное проживание в выбранном периоде</t>
        </is>
      </c>
    </row>
    <row r="944">
      <c r="A944" t="inlineStr">
        <is>
          <t>20260713-8186-447978413</t>
        </is>
      </c>
      <c r="B944" t="n">
        <v>1</v>
      </c>
      <c r="C944" s="2" t="inlineStr">
        <is>
          <t>ЭЛЕН АКОПОВА</t>
        </is>
      </c>
      <c r="D944" s="3" t="n">
        <v>27240</v>
      </c>
      <c r="E944" s="4" t="n">
        <v>18</v>
      </c>
      <c r="F944" t="inlineStr">
        <is>
          <t>Яндекс.Путешествия [Чайковский]</t>
        </is>
      </c>
      <c r="G944" s="3">
        <f>ROUND(D944/(100-E944)*100,2)</f>
        <v/>
      </c>
      <c r="H944" s="3" t="n">
        <v>0</v>
      </c>
      <c r="I944" s="3">
        <f>ROUND(IF(ISNUMBER(AG944),AG944,G944)+H944,2)</f>
        <v/>
      </c>
      <c r="J944" s="2" t="inlineStr">
        <is>
          <t>Завтрак "Шведский стол"</t>
        </is>
      </c>
      <c r="K944" s="5" t="n">
        <v>46216.58333333334</v>
      </c>
      <c r="L944" t="n">
        <v>3</v>
      </c>
      <c r="M944" s="3">
        <f>I944/L944</f>
        <v/>
      </c>
      <c r="N944">
        <f>IF(M944&gt;=5100,"ставка","мин.ставка")</f>
        <v/>
      </c>
      <c r="O944" s="3">
        <f>ROUND(IF(N944="мин.ставка",L944*100,I944/102*2),2)</f>
        <v/>
      </c>
      <c r="P944" s="5" t="n">
        <v>46219.5</v>
      </c>
      <c r="Q944" t="inlineStr">
        <is>
          <t>TravelLine YAX</t>
        </is>
      </c>
      <c r="R944" s="2" t="inlineStr">
        <is>
          <t>СТАНДАРТНЫЙ ДВУХМЕСТНЫЙ НОМЕР</t>
        </is>
      </c>
      <c r="S944" t="n">
        <v>36</v>
      </c>
      <c r="T944" t="n">
        <v>1</v>
      </c>
      <c r="U944" t="inlineStr"/>
      <c r="V944" t="inlineStr">
        <is>
          <t>Тариф с завтраком</t>
        </is>
      </c>
      <c r="W944" t="n">
        <v>27240</v>
      </c>
      <c r="X944" s="3" t="n">
        <v>6810</v>
      </c>
      <c r="Y944" t="inlineStr">
        <is>
          <t>20%</t>
        </is>
      </c>
      <c r="Z944" t="inlineStr">
        <is>
          <t>2026-07-13, 2026-07-14, 2026-07-15</t>
        </is>
      </c>
      <c r="AA944" s="3" t="n">
        <v>27240</v>
      </c>
      <c r="AB944" t="inlineStr">
        <is>
          <t>Сошлось по ночным тарифам</t>
        </is>
      </c>
      <c r="AC944" s="2" t="inlineStr"/>
      <c r="AD944" t="n">
        <v>6810</v>
      </c>
      <c r="AE944" t="n">
        <v>0</v>
      </c>
      <c r="AF944" t="inlineStr">
        <is>
          <t>Скидка добавлена к налоговой базе</t>
        </is>
      </c>
      <c r="AG944" t="n">
        <v>34050</v>
      </c>
      <c r="AH944" t="n">
        <v>27240</v>
      </c>
      <c r="AI944" t="inlineStr">
        <is>
          <t>Полное проживание в выбранном периоде</t>
        </is>
      </c>
    </row>
    <row r="945">
      <c r="A945" t="inlineStr">
        <is>
          <t>20260713-8186-434449741</t>
        </is>
      </c>
      <c r="B945" t="n">
        <v>1</v>
      </c>
      <c r="C945" s="2" t="inlineStr">
        <is>
          <t>ЭЛЬЗА ХАМЗИНА, НАФИСА КУЛУЕВА</t>
        </is>
      </c>
      <c r="D945" s="3" t="n">
        <v>56737.5</v>
      </c>
      <c r="E945" s="4" t="n">
        <v>0</v>
      </c>
      <c r="F945" t="inlineStr">
        <is>
          <t>ООО "АЛЕАН ОТДЫХ" [Чайковский]</t>
        </is>
      </c>
      <c r="G945" s="3">
        <f>ROUND(D945/(100-E945)*100,2)</f>
        <v/>
      </c>
      <c r="H945" s="3" t="n">
        <v>0</v>
      </c>
      <c r="I945" s="3">
        <f>ROUND(IF(ISNUMBER(AG945),AG945,G945)+H945,2)</f>
        <v/>
      </c>
      <c r="J945" s="2" t="inlineStr">
        <is>
          <t>meal_bf_buffet_1; meal_bf_buffet_1; Завтрак "Шведский стол"</t>
        </is>
      </c>
      <c r="K945" s="5" t="n">
        <v>46216.58333333334</v>
      </c>
      <c r="L945" t="n">
        <v>5</v>
      </c>
      <c r="M945" s="3">
        <f>I945/L945</f>
        <v/>
      </c>
      <c r="N945">
        <f>IF(M945&gt;=5100,"ставка","мин.ставка")</f>
        <v/>
      </c>
      <c r="O945" s="3">
        <f>ROUND(IF(N945="мин.ставка",L945*100,I945/102*2),2)</f>
        <v/>
      </c>
      <c r="P945" s="5" t="n">
        <v>46221.5</v>
      </c>
      <c r="Q945" t="inlineStr">
        <is>
          <t>TravelLine ALN</t>
        </is>
      </c>
      <c r="R945" s="2" t="inlineStr">
        <is>
          <t>СТАНДАРТНЫЙ ДВУХМЕСТНЫЙ НОМЕР</t>
        </is>
      </c>
      <c r="S945" t="n">
        <v>26</v>
      </c>
      <c r="T945" t="n">
        <v>1</v>
      </c>
      <c r="U945" t="inlineStr"/>
      <c r="V945" t="inlineStr">
        <is>
          <t>Тариф с завтраком</t>
        </is>
      </c>
      <c r="W945" t="n">
        <v>56737.5</v>
      </c>
      <c r="X945" s="3" t="n">
        <v>10012.5</v>
      </c>
      <c r="Y945" t="inlineStr">
        <is>
          <t>15%</t>
        </is>
      </c>
      <c r="Z945" t="inlineStr">
        <is>
          <t>2026-07-13, 2026-07-14, 2026-07-15, 2026-07-16, 2026-07-17</t>
        </is>
      </c>
      <c r="AA945" s="3" t="n">
        <v>56737.5</v>
      </c>
      <c r="AB945" t="inlineStr">
        <is>
          <t>Сошлось по ночным тарифам</t>
        </is>
      </c>
      <c r="AC945" s="2" t="inlineStr"/>
      <c r="AD945" t="n">
        <v>10012.5</v>
      </c>
      <c r="AE945" t="n">
        <v>0</v>
      </c>
      <c r="AF945" t="inlineStr">
        <is>
          <t>Скидка добавлена к налоговой базе</t>
        </is>
      </c>
      <c r="AG945" t="n">
        <v>66750</v>
      </c>
      <c r="AH945" t="n">
        <v>56737.5</v>
      </c>
      <c r="AI945" t="inlineStr">
        <is>
          <t>Полное проживание в выбранном периоде</t>
        </is>
      </c>
    </row>
    <row r="946">
      <c r="A946" t="inlineStr">
        <is>
          <t>20260708-8186-448529248</t>
        </is>
      </c>
      <c r="B946" t="n">
        <v>1</v>
      </c>
      <c r="C946" s="2" t="inlineStr">
        <is>
          <t>ЮЛИЯ БАКШЕЕВА, МАТВЕЙ ЗИМАЙЛО</t>
        </is>
      </c>
      <c r="D946" s="3" t="n">
        <v>27700</v>
      </c>
      <c r="E946" s="4" t="n">
        <v>0</v>
      </c>
      <c r="F946" t="inlineStr">
        <is>
          <t>Прямые бронирования (стойка) [Чайковский]</t>
        </is>
      </c>
      <c r="G946" s="3">
        <f>ROUND(D946/(100-E946)*100,2)</f>
        <v/>
      </c>
      <c r="H946" s="3" t="n">
        <v>3445</v>
      </c>
      <c r="I946" s="3">
        <f>ROUND(IF(ISNUMBER(AG946),AG946,G946)+H946,2)</f>
        <v/>
      </c>
      <c r="J946" s="2" t="inlineStr">
        <is>
          <t>Завтрак "Шведский стол"; Поздний выезд — 3 445,00 ₽</t>
        </is>
      </c>
      <c r="K946" s="5" t="n">
        <v>46211.58333333334</v>
      </c>
      <c r="L946" t="n">
        <v>2</v>
      </c>
      <c r="M946" s="3">
        <f>I946/L946</f>
        <v/>
      </c>
      <c r="N946">
        <f>IF(M946&gt;=5100,"ставка","мин.ставка")</f>
        <v/>
      </c>
      <c r="O946" s="3">
        <f>ROUND(IF(N946="мин.ставка",L946*100,I946/102*2),2)</f>
        <v/>
      </c>
      <c r="P946" s="5" t="n">
        <v>46213.70833333334</v>
      </c>
      <c r="Q946" t="inlineStr">
        <is>
          <t>TravelLine ресепшен</t>
        </is>
      </c>
      <c r="R946" s="2" t="inlineStr">
        <is>
          <t>ПОЛУЛЮКС</t>
        </is>
      </c>
      <c r="S946" t="n">
        <v>11</v>
      </c>
      <c r="T946" t="n">
        <v>1</v>
      </c>
      <c r="U946" t="inlineStr"/>
      <c r="V946" t="inlineStr">
        <is>
          <t>Тариф с завтраком</t>
        </is>
      </c>
      <c r="W946" t="n">
        <v>31145</v>
      </c>
      <c r="X946" s="3" t="n">
        <v>0</v>
      </c>
      <c r="Y946" t="inlineStr"/>
      <c r="Z946" t="inlineStr"/>
      <c r="AA946" s="3" t="n">
        <v>27700</v>
      </c>
      <c r="AB946" t="inlineStr">
        <is>
          <t>Расхождение -3445.00 ₽</t>
        </is>
      </c>
      <c r="AC946" s="2" t="inlineStr"/>
      <c r="AD946" t="n">
        <v>0</v>
      </c>
      <c r="AE946" t="n">
        <v>0</v>
      </c>
      <c r="AF946" t="inlineStr">
        <is>
          <t>Скидки нет</t>
        </is>
      </c>
      <c r="AG946" t="n">
        <v>27700</v>
      </c>
      <c r="AH946" t="n">
        <v>27700</v>
      </c>
      <c r="AI946" t="inlineStr">
        <is>
          <t>Полное проживание в выбранном периоде</t>
        </is>
      </c>
    </row>
    <row r="947">
      <c r="A947" t="inlineStr">
        <is>
          <t>20260815-8186-458412797</t>
        </is>
      </c>
      <c r="B947" t="n">
        <v>1</v>
      </c>
      <c r="C947" s="2" t="inlineStr">
        <is>
          <t>Юлия Болгова</t>
        </is>
      </c>
      <c r="D947" s="3" t="n">
        <v>9960</v>
      </c>
      <c r="E947" s="4" t="n">
        <v>20</v>
      </c>
      <c r="F947" t="inlineStr">
        <is>
          <t>ООО «Дубль Гис» (OTELLO) [Чайковский]</t>
        </is>
      </c>
      <c r="G947" s="3">
        <f>ROUND(D947/(100-E947)*100,2)</f>
        <v/>
      </c>
      <c r="H947" s="3" t="n">
        <v>0</v>
      </c>
      <c r="I947" s="3">
        <f>ROUND(IF(ISNUMBER(AG947),AG947,G947)+H947,2)</f>
        <v/>
      </c>
      <c r="J947" s="2" t="inlineStr">
        <is>
          <t>Завтрак "Шведский стол"</t>
        </is>
      </c>
      <c r="K947" s="5" t="n">
        <v>46249.58333333334</v>
      </c>
      <c r="L947" t="n">
        <v>1</v>
      </c>
      <c r="M947" s="3">
        <f>I947/L947</f>
        <v/>
      </c>
      <c r="N947">
        <f>IF(M947&gt;=5100,"ставка","мин.ставка")</f>
        <v/>
      </c>
      <c r="O947" s="3">
        <f>ROUND(IF(N947="мин.ставка",L947*100,I947/102*2),2)</f>
        <v/>
      </c>
      <c r="P947" s="5" t="n">
        <v>46250.58333333334</v>
      </c>
      <c r="Q947" t="inlineStr">
        <is>
          <t>TravelLine OL2</t>
        </is>
      </c>
      <c r="R947" s="2" t="inlineStr">
        <is>
          <t>СЕМЕЙНЫЙ НОМЕР КАТЕГОРИИ "СТАНДАРТ" ВТОРОЙ КОРПУС</t>
        </is>
      </c>
      <c r="S947" t="n">
        <v>51</v>
      </c>
      <c r="T947" t="n">
        <v>2</v>
      </c>
      <c r="U947" t="inlineStr"/>
      <c r="V947" t="inlineStr">
        <is>
          <t>Тариф с завтраком</t>
        </is>
      </c>
      <c r="W947" t="n">
        <v>29880</v>
      </c>
      <c r="X947" s="3" t="n">
        <v>2490</v>
      </c>
      <c r="Y947" t="inlineStr">
        <is>
          <t>20%</t>
        </is>
      </c>
      <c r="Z947" t="inlineStr">
        <is>
          <t>2026-08-15</t>
        </is>
      </c>
      <c r="AA947" s="3" t="n">
        <v>9960</v>
      </c>
      <c r="AB947" t="inlineStr">
        <is>
          <t>Сошлось по ночным тарифам</t>
        </is>
      </c>
      <c r="AC947" s="2" t="inlineStr"/>
      <c r="AD947" t="n">
        <v>2490</v>
      </c>
      <c r="AE947" t="n">
        <v>0</v>
      </c>
      <c r="AF947" t="inlineStr">
        <is>
          <t>Скидка добавлена к налоговой базе</t>
        </is>
      </c>
      <c r="AG947" t="n">
        <v>12450</v>
      </c>
      <c r="AH947" t="n">
        <v>9960</v>
      </c>
      <c r="AI947" t="inlineStr">
        <is>
          <t>Полное проживание в выбранном периоде</t>
        </is>
      </c>
    </row>
    <row r="948">
      <c r="A948" t="inlineStr">
        <is>
          <t>20260815-8186-458412797</t>
        </is>
      </c>
      <c r="B948" t="n">
        <v>1</v>
      </c>
      <c r="C948" s="2" t="inlineStr">
        <is>
          <t>Юлия Болгова</t>
        </is>
      </c>
      <c r="D948" s="3" t="n">
        <v>19920</v>
      </c>
      <c r="E948" s="4" t="n">
        <v>20</v>
      </c>
      <c r="F948" t="inlineStr">
        <is>
          <t>ООО «Дубль Гис» (OTELLO) [Чайковский]</t>
        </is>
      </c>
      <c r="G948" s="3">
        <f>ROUND(D948/(100-E948)*100,2)</f>
        <v/>
      </c>
      <c r="H948" s="3" t="n">
        <v>0</v>
      </c>
      <c r="I948" s="3">
        <f>ROUND(IF(ISNUMBER(AG948),AG948,G948)+H948,2)</f>
        <v/>
      </c>
      <c r="J948" s="2" t="inlineStr">
        <is>
          <t>Завтрак "Шведский стол"</t>
        </is>
      </c>
      <c r="K948" s="5" t="n">
        <v>46250.58333333334</v>
      </c>
      <c r="L948" t="n">
        <v>2</v>
      </c>
      <c r="M948" s="3">
        <f>I948/L948</f>
        <v/>
      </c>
      <c r="N948">
        <f>IF(M948&gt;=5100,"ставка","мин.ставка")</f>
        <v/>
      </c>
      <c r="O948" s="3">
        <f>ROUND(IF(N948="мин.ставка",L948*100,I948/102*2),2)</f>
        <v/>
      </c>
      <c r="P948" s="5" t="n">
        <v>46252.5</v>
      </c>
      <c r="Q948" t="inlineStr">
        <is>
          <t>TravelLine OL2</t>
        </is>
      </c>
      <c r="R948" s="2" t="inlineStr">
        <is>
          <t>СЕМЕЙНЫЙ НОМЕР КАТЕГОРИИ "СТАНДАРТ" ВТОРОЙ КОРПУС</t>
        </is>
      </c>
      <c r="S948" t="n">
        <v>50</v>
      </c>
      <c r="T948" t="n">
        <v>2</v>
      </c>
      <c r="U948" t="inlineStr"/>
      <c r="V948" t="inlineStr">
        <is>
          <t>Тариф с завтраком</t>
        </is>
      </c>
      <c r="W948" t="n">
        <v>29880</v>
      </c>
      <c r="X948" s="3" t="n">
        <v>4980</v>
      </c>
      <c r="Y948" t="inlineStr">
        <is>
          <t>20%</t>
        </is>
      </c>
      <c r="Z948" t="inlineStr">
        <is>
          <t>2026-08-16, 2026-08-17</t>
        </is>
      </c>
      <c r="AA948" s="3" t="n">
        <v>19920</v>
      </c>
      <c r="AB948" t="inlineStr">
        <is>
          <t>Сошлось по ночным тарифам</t>
        </is>
      </c>
      <c r="AC948" s="2" t="inlineStr"/>
      <c r="AD948" t="n">
        <v>4980</v>
      </c>
      <c r="AE948" t="n">
        <v>0</v>
      </c>
      <c r="AF948" t="inlineStr">
        <is>
          <t>Скидка добавлена к налоговой базе</t>
        </is>
      </c>
      <c r="AG948" t="n">
        <v>24900</v>
      </c>
      <c r="AH948" t="n">
        <v>19920</v>
      </c>
      <c r="AI948" t="inlineStr">
        <is>
          <t>Полное проживание в выбранном периоде</t>
        </is>
      </c>
    </row>
    <row r="949">
      <c r="A949" t="inlineStr">
        <is>
          <t>20260818-8186-459679856</t>
        </is>
      </c>
      <c r="B949" t="n">
        <v>1</v>
      </c>
      <c r="C949" s="2" t="inlineStr">
        <is>
          <t>Юлия Болгова</t>
        </is>
      </c>
      <c r="D949" s="3" t="n">
        <v>10215</v>
      </c>
      <c r="E949" s="4" t="n">
        <v>0</v>
      </c>
      <c r="F949" t="inlineStr">
        <is>
          <t>Прямые бронирования (стойка) [Чайковский]</t>
        </is>
      </c>
      <c r="G949" s="3">
        <f>ROUND(D949/(100-E949)*100,2)</f>
        <v/>
      </c>
      <c r="H949" s="3" t="n">
        <v>0</v>
      </c>
      <c r="I949" s="3">
        <f>ROUND(IF(ISNUMBER(AG949),AG949,G949)+H949,2)</f>
        <v/>
      </c>
      <c r="J949" s="2" t="inlineStr">
        <is>
          <t>Завтрак "Шведский стол"</t>
        </is>
      </c>
      <c r="K949" s="5" t="n">
        <v>46252.58333333334</v>
      </c>
      <c r="L949" t="n">
        <v>1</v>
      </c>
      <c r="M949" s="3">
        <f>I949/L949</f>
        <v/>
      </c>
      <c r="N949">
        <f>IF(M949&gt;=5100,"ставка","мин.ставка")</f>
        <v/>
      </c>
      <c r="O949" s="3">
        <f>ROUND(IF(N949="мин.ставка",L949*100,I949/102*2),2)</f>
        <v/>
      </c>
      <c r="P949" s="5" t="n">
        <v>46253.5</v>
      </c>
      <c r="Q949" t="inlineStr">
        <is>
          <t>TravelLine ресепшен</t>
        </is>
      </c>
      <c r="R949" s="2" t="inlineStr">
        <is>
          <t>СТАНДАРТНЫЙ ДВУХМЕСТНЫЙ НОМЕР</t>
        </is>
      </c>
      <c r="S949" t="n">
        <v>23</v>
      </c>
      <c r="T949" t="n">
        <v>1</v>
      </c>
      <c r="U949" t="inlineStr"/>
      <c r="V949" t="inlineStr">
        <is>
          <t>Тариф с завтраком</t>
        </is>
      </c>
      <c r="W949" t="n">
        <v>10215</v>
      </c>
      <c r="X949" s="3" t="n">
        <v>1135</v>
      </c>
      <c r="Y949" t="inlineStr">
        <is>
          <t>10%</t>
        </is>
      </c>
      <c r="Z949" t="inlineStr">
        <is>
          <t>2026-08-18</t>
        </is>
      </c>
      <c r="AA949" s="3" t="n">
        <v>10215</v>
      </c>
      <c r="AB949" t="inlineStr">
        <is>
          <t>Сошлось по ночным тарифам</t>
        </is>
      </c>
      <c r="AC949" s="2" t="inlineStr"/>
      <c r="AD949" t="n">
        <v>1135</v>
      </c>
      <c r="AE949" t="n">
        <v>0</v>
      </c>
      <c r="AF949" t="inlineStr">
        <is>
          <t>Скидка добавлена к налоговой базе</t>
        </is>
      </c>
      <c r="AG949" t="n">
        <v>11350</v>
      </c>
      <c r="AH949" t="n">
        <v>10215</v>
      </c>
      <c r="AI949" t="inlineStr">
        <is>
          <t>Полное проживание в выбранном периоде</t>
        </is>
      </c>
    </row>
    <row r="950">
      <c r="A950" t="inlineStr">
        <is>
          <t>20260716-8186-438301820</t>
        </is>
      </c>
      <c r="B950" t="n">
        <v>1</v>
      </c>
      <c r="C950" s="2" t="inlineStr">
        <is>
          <t>Юлия Вирц, СОФИЯ ЗАМИРАЛОВА</t>
        </is>
      </c>
      <c r="D950" s="3" t="n">
        <v>36045</v>
      </c>
      <c r="E950" s="4" t="n">
        <v>0</v>
      </c>
      <c r="F950" t="inlineStr">
        <is>
          <t>Прямые бронирования (стойка) [Чайковский]</t>
        </is>
      </c>
      <c r="G950" s="3">
        <f>ROUND(D950/(100-E950)*100,2)</f>
        <v/>
      </c>
      <c r="H950" s="3" t="n">
        <v>0</v>
      </c>
      <c r="I950" s="3">
        <f>ROUND(IF(ISNUMBER(AG950),AG950,G950)+H950,2)</f>
        <v/>
      </c>
      <c r="J950" s="2" t="inlineStr">
        <is>
          <t>Завтрак "Шведский стол"</t>
        </is>
      </c>
      <c r="K950" s="5" t="n">
        <v>46219.58333333334</v>
      </c>
      <c r="L950" t="n">
        <v>3</v>
      </c>
      <c r="M950" s="3">
        <f>I950/L950</f>
        <v/>
      </c>
      <c r="N950">
        <f>IF(M950&gt;=5100,"ставка","мин.ставка")</f>
        <v/>
      </c>
      <c r="O950" s="3">
        <f>ROUND(IF(N950="мин.ставка",L950*100,I950/102*2),2)</f>
        <v/>
      </c>
      <c r="P950" s="5" t="n">
        <v>46222.5</v>
      </c>
      <c r="Q950" t="inlineStr">
        <is>
          <t>TravelLine ресепшен</t>
        </is>
      </c>
      <c r="R950" s="2" t="inlineStr">
        <is>
          <t>СТАНДАРТНЫЙ ДВУХМЕСТНЫЙ НОМЕР</t>
        </is>
      </c>
      <c r="S950" t="n">
        <v>33</v>
      </c>
      <c r="T950" t="n">
        <v>1</v>
      </c>
      <c r="U950" t="inlineStr"/>
      <c r="V950" t="inlineStr">
        <is>
          <t>Тариф с завтраком</t>
        </is>
      </c>
      <c r="W950" t="n">
        <v>36045</v>
      </c>
      <c r="X950" s="3" t="n">
        <v>4005</v>
      </c>
      <c r="Y950" t="inlineStr">
        <is>
          <t>10%</t>
        </is>
      </c>
      <c r="Z950" t="inlineStr">
        <is>
          <t>2026-07-16, 2026-07-17, 2026-07-18</t>
        </is>
      </c>
      <c r="AA950" s="3" t="n">
        <v>36045</v>
      </c>
      <c r="AB950" t="inlineStr">
        <is>
          <t>Сошлось по ночным тарифам</t>
        </is>
      </c>
      <c r="AC950" s="2" t="inlineStr"/>
      <c r="AD950" t="n">
        <v>4005</v>
      </c>
      <c r="AE950" t="n">
        <v>0</v>
      </c>
      <c r="AF950" t="inlineStr">
        <is>
          <t>Скидка добавлена к налоговой базе</t>
        </is>
      </c>
      <c r="AG950" t="n">
        <v>40050</v>
      </c>
      <c r="AH950" t="n">
        <v>36045</v>
      </c>
      <c r="AI950" t="inlineStr">
        <is>
          <t>Полное проживание в выбранном периоде</t>
        </is>
      </c>
    </row>
    <row r="951">
      <c r="A951" t="inlineStr">
        <is>
          <t>20260929-8186-467455141</t>
        </is>
      </c>
      <c r="B951" t="n">
        <v>1</v>
      </c>
      <c r="C951" s="2" t="inlineStr">
        <is>
          <t>Юлия Захарова</t>
        </is>
      </c>
      <c r="D951" s="3" t="n">
        <v>25720</v>
      </c>
      <c r="E951" s="4" t="n">
        <v>20</v>
      </c>
      <c r="F951" t="inlineStr">
        <is>
          <t>ООО "КОМПАНИЯ БРОНЕВИК" [Чайковский]</t>
        </is>
      </c>
      <c r="G951" s="3">
        <f>ROUND(D951/(100-E951)*100,2)</f>
        <v/>
      </c>
      <c r="H951" s="3" t="n">
        <v>0</v>
      </c>
      <c r="I951" s="3">
        <f>ROUND(IF(ISNUMBER(AG951),AG951,G951)+H951,2)</f>
        <v/>
      </c>
      <c r="J951" s="2" t="inlineStr"/>
      <c r="K951" s="5" t="n">
        <v>46294.58333333334</v>
      </c>
      <c r="L951" t="n">
        <v>2</v>
      </c>
      <c r="M951" s="3">
        <f>I951/L951</f>
        <v/>
      </c>
      <c r="N951">
        <f>IF(M951&gt;=5100,"ставка","мин.ставка")</f>
        <v/>
      </c>
      <c r="O951" s="3">
        <f>ROUND(IF(N951="мин.ставка",L951*100,I951/102*2),2)</f>
        <v/>
      </c>
      <c r="P951" s="5" t="n">
        <v>46297.5</v>
      </c>
      <c r="Q951" t="inlineStr">
        <is>
          <t>TravelLine BR2</t>
        </is>
      </c>
      <c r="R951" s="2" t="inlineStr">
        <is>
          <t>СТАНДАРТНЫЙ ДВУХМЕСТНЫЙ НОМЕР</t>
        </is>
      </c>
      <c r="S951" t="n">
        <v>36</v>
      </c>
      <c r="T951" t="n">
        <v>1</v>
      </c>
      <c r="U951" t="inlineStr"/>
      <c r="V951" t="inlineStr">
        <is>
          <t>Тариф с завтраком</t>
        </is>
      </c>
      <c r="W951" t="n">
        <v>25720</v>
      </c>
      <c r="X951" s="3" t="n">
        <v>0</v>
      </c>
      <c r="Y951" t="inlineStr"/>
      <c r="Z951" t="inlineStr"/>
      <c r="AA951" s="3" t="n">
        <v>25720</v>
      </c>
      <c r="AB951" t="inlineStr">
        <is>
          <t>Сошлось по ночным тарифам</t>
        </is>
      </c>
      <c r="AC951" s="2" t="inlineStr"/>
      <c r="AD951" t="n">
        <v>0</v>
      </c>
      <c r="AE951" t="n">
        <v>0</v>
      </c>
      <c r="AF951" t="inlineStr">
        <is>
          <t>Скидки нет</t>
        </is>
      </c>
      <c r="AG951" t="n">
        <v>18160</v>
      </c>
      <c r="AH951" t="n">
        <v>18160</v>
      </c>
      <c r="AI951" t="inlineStr">
        <is>
          <t>Частичное проживание распределено по dailyRates</t>
        </is>
      </c>
    </row>
    <row r="952">
      <c r="A952" t="inlineStr">
        <is>
          <t>20260706-8186-446293807</t>
        </is>
      </c>
      <c r="B952" t="n">
        <v>1</v>
      </c>
      <c r="C952" s="2" t="inlineStr">
        <is>
          <t>Юлия Ковалева</t>
        </is>
      </c>
      <c r="D952" s="3" t="n">
        <v>30000</v>
      </c>
      <c r="E952" s="4" t="n">
        <v>0</v>
      </c>
      <c r="F952" t="inlineStr">
        <is>
          <t>Прямые бронирования (стойка) [Чайковский]</t>
        </is>
      </c>
      <c r="G952" s="3">
        <f>ROUND(D952/(100-E952)*100,2)</f>
        <v/>
      </c>
      <c r="H952" s="3" t="n">
        <v>0</v>
      </c>
      <c r="I952" s="3">
        <f>ROUND(IF(ISNUMBER(AG952),AG952,G952)+H952,2)</f>
        <v/>
      </c>
      <c r="J952" s="2" t="inlineStr">
        <is>
          <t>Завтрак "Шведский стол"</t>
        </is>
      </c>
      <c r="K952" s="5" t="n">
        <v>46209.58333333334</v>
      </c>
      <c r="L952" t="n">
        <v>2</v>
      </c>
      <c r="M952" s="3">
        <f>I952/L952</f>
        <v/>
      </c>
      <c r="N952">
        <f>IF(M952&gt;=5100,"ставка","мин.ставка")</f>
        <v/>
      </c>
      <c r="O952" s="3">
        <f>ROUND(IF(N952="мин.ставка",L952*100,I952/102*2),2)</f>
        <v/>
      </c>
      <c r="P952" s="5" t="n">
        <v>46211.5</v>
      </c>
      <c r="Q952" t="inlineStr">
        <is>
          <t>TravelLine ресепшен</t>
        </is>
      </c>
      <c r="R952" s="2" t="inlineStr">
        <is>
          <t>СТАНДАРТНЫЙ ДВУХМЕСТНЫЙ НОМЕР</t>
        </is>
      </c>
      <c r="S952" t="n">
        <v>58</v>
      </c>
      <c r="T952" t="n">
        <v>2</v>
      </c>
      <c r="U952" t="inlineStr"/>
      <c r="V952" t="inlineStr">
        <is>
          <t>Тариф с завтраком</t>
        </is>
      </c>
      <c r="W952" t="n">
        <v>30000</v>
      </c>
      <c r="X952" s="3" t="n">
        <v>0</v>
      </c>
      <c r="Y952" t="inlineStr"/>
      <c r="Z952" t="inlineStr"/>
      <c r="AA952" s="3" t="n">
        <v>30000</v>
      </c>
      <c r="AB952" t="inlineStr">
        <is>
          <t>Сошлось по ночным тарифам</t>
        </is>
      </c>
      <c r="AC952" s="2" t="inlineStr"/>
      <c r="AD952" t="n">
        <v>0</v>
      </c>
      <c r="AE952" t="n">
        <v>0</v>
      </c>
      <c r="AF952" t="inlineStr">
        <is>
          <t>Скидки нет</t>
        </is>
      </c>
      <c r="AG952" t="n">
        <v>30000</v>
      </c>
      <c r="AH952" t="n">
        <v>30000</v>
      </c>
      <c r="AI952" t="inlineStr">
        <is>
          <t>Полное проживание в выбранном периоде</t>
        </is>
      </c>
    </row>
    <row r="953">
      <c r="A953" t="inlineStr">
        <is>
          <t>20260708-8186-447095529</t>
        </is>
      </c>
      <c r="B953" t="n">
        <v>1</v>
      </c>
      <c r="C953" s="2" t="inlineStr">
        <is>
          <t>Юлия Корастелева</t>
        </is>
      </c>
      <c r="D953" s="3" t="n">
        <v>18160</v>
      </c>
      <c r="E953" s="4" t="n">
        <v>20</v>
      </c>
      <c r="F953" t="inlineStr">
        <is>
          <t>ООО "КОМПАНИЯ БРОНЕВИК" [Чайковский]</t>
        </is>
      </c>
      <c r="G953" s="3">
        <f>ROUND(D953/(100-E953)*100,2)</f>
        <v/>
      </c>
      <c r="H953" s="3" t="n">
        <v>0</v>
      </c>
      <c r="I953" s="3">
        <f>ROUND(IF(ISNUMBER(AG953),AG953,G953)+H953,2)</f>
        <v/>
      </c>
      <c r="J953" s="2" t="inlineStr">
        <is>
          <t>Завтрак "Шведский стол"</t>
        </is>
      </c>
      <c r="K953" s="5" t="n">
        <v>46211.58333333334</v>
      </c>
      <c r="L953" t="n">
        <v>2</v>
      </c>
      <c r="M953" s="3">
        <f>I953/L953</f>
        <v/>
      </c>
      <c r="N953">
        <f>IF(M953&gt;=5100,"ставка","мин.ставка")</f>
        <v/>
      </c>
      <c r="O953" s="3">
        <f>ROUND(IF(N953="мин.ставка",L953*100,I953/102*2),2)</f>
        <v/>
      </c>
      <c r="P953" s="5" t="n">
        <v>46213.5</v>
      </c>
      <c r="Q953" t="inlineStr">
        <is>
          <t>TravelLine BR2</t>
        </is>
      </c>
      <c r="R953" s="2" t="inlineStr">
        <is>
          <t>СТАНДАРТНЫЙ ДВУХМЕСТНЫЙ НОМЕР</t>
        </is>
      </c>
      <c r="S953" t="n">
        <v>46</v>
      </c>
      <c r="T953" t="n">
        <v>1</v>
      </c>
      <c r="U953" t="inlineStr"/>
      <c r="V953" t="inlineStr">
        <is>
          <t>Тариф с завтраком</t>
        </is>
      </c>
      <c r="W953" t="n">
        <v>18160</v>
      </c>
      <c r="X953" s="3" t="n">
        <v>0</v>
      </c>
      <c r="Y953" t="inlineStr"/>
      <c r="Z953" t="inlineStr"/>
      <c r="AA953" s="3" t="n">
        <v>18160</v>
      </c>
      <c r="AB953" t="inlineStr">
        <is>
          <t>Сошлось по ночным тарифам</t>
        </is>
      </c>
      <c r="AC953" s="2" t="inlineStr"/>
      <c r="AD953" t="n">
        <v>0</v>
      </c>
      <c r="AE953" t="n">
        <v>0</v>
      </c>
      <c r="AF953" t="inlineStr">
        <is>
          <t>Скидки нет</t>
        </is>
      </c>
      <c r="AG953" t="n">
        <v>18160</v>
      </c>
      <c r="AH953" t="n">
        <v>18160</v>
      </c>
      <c r="AI953" t="inlineStr">
        <is>
          <t>Полное проживание в выбранном периоде</t>
        </is>
      </c>
    </row>
    <row r="954">
      <c r="A954" t="inlineStr">
        <is>
          <t>20260729-8186-451924244</t>
        </is>
      </c>
      <c r="B954" t="n">
        <v>1</v>
      </c>
      <c r="C954" s="2" t="inlineStr">
        <is>
          <t>ЮЛИЯ КУЗИЧЕВА, Александр Кузичев</t>
        </is>
      </c>
      <c r="D954" s="3" t="n">
        <v>61122.6</v>
      </c>
      <c r="E954" s="4" t="n">
        <v>4</v>
      </c>
      <c r="F954" t="inlineStr">
        <is>
          <t>TravelLine Booking Engine [Чайковский]</t>
        </is>
      </c>
      <c r="G954" s="3">
        <f>ROUND(D954/(100-E954)*100,2)</f>
        <v/>
      </c>
      <c r="H954" s="3" t="n">
        <v>0</v>
      </c>
      <c r="I954" s="3">
        <f>ROUND(IF(ISNUMBER(AG954),AG954,G954)+H954,2)</f>
        <v/>
      </c>
      <c r="J954" s="2" t="inlineStr">
        <is>
          <t>Завтрак "Шведский стол"</t>
        </is>
      </c>
      <c r="K954" s="5" t="n">
        <v>46232.85416666666</v>
      </c>
      <c r="L954" t="n">
        <v>4</v>
      </c>
      <c r="M954" s="3">
        <f>I954/L954</f>
        <v/>
      </c>
      <c r="N954">
        <f>IF(M954&gt;=5100,"ставка","мин.ставка")</f>
        <v/>
      </c>
      <c r="O954" s="3">
        <f>ROUND(IF(N954="мин.ставка",L954*100,I954/102*2),2)</f>
        <v/>
      </c>
      <c r="P954" s="5" t="n">
        <v>46236.5</v>
      </c>
      <c r="Q954" t="inlineStr">
        <is>
          <t>TravelLine сайт</t>
        </is>
      </c>
      <c r="R954" s="2" t="inlineStr">
        <is>
          <t>УЛУЧШЕННЫЙ ДВУХМЕСТНЫЙ НОМЕР</t>
        </is>
      </c>
      <c r="S954" t="n">
        <v>56</v>
      </c>
      <c r="T954" t="n">
        <v>2</v>
      </c>
      <c r="U954" t="inlineStr"/>
      <c r="V954" t="inlineStr">
        <is>
          <t>Тариф с завтраком</t>
        </is>
      </c>
      <c r="W954" t="n">
        <v>61122.6</v>
      </c>
      <c r="X954" s="3" t="n">
        <v>477.4</v>
      </c>
      <c r="Y954" t="inlineStr">
        <is>
          <t>3.1%</t>
        </is>
      </c>
      <c r="Z954" t="inlineStr">
        <is>
          <t>2026-07-29</t>
        </is>
      </c>
      <c r="AA954" s="3" t="n">
        <v>61122.6</v>
      </c>
      <c r="AB954" t="inlineStr">
        <is>
          <t>Сошлось по ночным тарифам</t>
        </is>
      </c>
      <c r="AC954" s="2" t="inlineStr"/>
      <c r="AD954" t="n">
        <v>477.4</v>
      </c>
      <c r="AE954" t="n">
        <v>0</v>
      </c>
      <c r="AF954" t="inlineStr">
        <is>
          <t>Скидка добавлена к налоговой базе</t>
        </is>
      </c>
      <c r="AG954" t="n">
        <v>61600</v>
      </c>
      <c r="AH954" t="n">
        <v>61122.6</v>
      </c>
      <c r="AI954" t="inlineStr">
        <is>
          <t>Полное проживание в выбранном периоде</t>
        </is>
      </c>
    </row>
    <row r="955">
      <c r="A955" t="inlineStr">
        <is>
          <t>20260916-8186-460139139</t>
        </is>
      </c>
      <c r="B955" t="n">
        <v>1</v>
      </c>
      <c r="C955" s="2" t="inlineStr">
        <is>
          <t>ЮЛИЯ КУЗНЕЦОВА</t>
        </is>
      </c>
      <c r="D955" s="3" t="n">
        <v>9080</v>
      </c>
      <c r="E955" s="4" t="n">
        <v>20</v>
      </c>
      <c r="F955" t="inlineStr">
        <is>
          <t>ООО "ХБ-ПРО" [Чайковский]</t>
        </is>
      </c>
      <c r="G955" s="3">
        <f>ROUND(D955/(100-E955)*100,2)</f>
        <v/>
      </c>
      <c r="H955" s="3" t="n">
        <v>0</v>
      </c>
      <c r="I955" s="3">
        <f>ROUND(IF(ISNUMBER(AG955),AG955,G955)+H955,2)</f>
        <v/>
      </c>
      <c r="J955" s="2" t="inlineStr">
        <is>
          <t>Завтрак "Шведский стол"</t>
        </is>
      </c>
      <c r="K955" s="5" t="n">
        <v>46281.58333333334</v>
      </c>
      <c r="L955" t="n">
        <v>1</v>
      </c>
      <c r="M955" s="3">
        <f>I955/L955</f>
        <v/>
      </c>
      <c r="N955">
        <f>IF(M955&gt;=5100,"ставка","мин.ставка")</f>
        <v/>
      </c>
      <c r="O955" s="3">
        <f>ROUND(IF(N955="мин.ставка",L955*100,I955/102*2),2)</f>
        <v/>
      </c>
      <c r="P955" s="5" t="n">
        <v>46282.5</v>
      </c>
      <c r="Q955" t="inlineStr">
        <is>
          <t>TravelLine UTS</t>
        </is>
      </c>
      <c r="R955" s="2" t="inlineStr">
        <is>
          <t>СТАНДАРТНЫЙ ДВУХМЕСТНЫЙ НОМЕР</t>
        </is>
      </c>
      <c r="S955" t="n">
        <v>22</v>
      </c>
      <c r="T955" t="n">
        <v>1</v>
      </c>
      <c r="U955" t="inlineStr"/>
      <c r="V955" t="inlineStr">
        <is>
          <t>Тариф с завтраком</t>
        </is>
      </c>
      <c r="W955" t="n">
        <v>9080</v>
      </c>
      <c r="X955" s="3" t="n">
        <v>0</v>
      </c>
      <c r="Y955" t="inlineStr"/>
      <c r="Z955" t="inlineStr"/>
      <c r="AA955" s="3" t="n">
        <v>9080</v>
      </c>
      <c r="AB955" t="inlineStr">
        <is>
          <t>Сошлось по ночным тарифам</t>
        </is>
      </c>
      <c r="AC955" s="2" t="inlineStr"/>
      <c r="AD955" t="n">
        <v>0</v>
      </c>
      <c r="AE955" t="n">
        <v>0</v>
      </c>
      <c r="AF955" t="inlineStr">
        <is>
          <t>Скидки нет</t>
        </is>
      </c>
      <c r="AG955" t="n">
        <v>9080</v>
      </c>
      <c r="AH955" t="n">
        <v>9080</v>
      </c>
      <c r="AI955" t="inlineStr">
        <is>
          <t>Полное проживание в выбранном периоде</t>
        </is>
      </c>
    </row>
    <row r="956">
      <c r="A956" t="inlineStr">
        <is>
          <t>20260717-8186-442283023</t>
        </is>
      </c>
      <c r="B956" t="n">
        <v>1</v>
      </c>
      <c r="C956" s="2" t="inlineStr">
        <is>
          <t>Юлия Кускова, Павел Трегуб</t>
        </is>
      </c>
      <c r="D956" s="3" t="n">
        <v>32040</v>
      </c>
      <c r="E956" s="4" t="n">
        <v>18</v>
      </c>
      <c r="F956" t="inlineStr">
        <is>
          <t>Яндекс.Путешествия [Чайковский]</t>
        </is>
      </c>
      <c r="G956" s="3">
        <f>ROUND(D956/(100-E956)*100,2)</f>
        <v/>
      </c>
      <c r="H956" s="3" t="n">
        <v>0</v>
      </c>
      <c r="I956" s="3">
        <f>ROUND(IF(ISNUMBER(AG956),AG956,G956)+H956,2)</f>
        <v/>
      </c>
      <c r="J956" s="2" t="inlineStr">
        <is>
          <t>Завтрак "Шведский стол"</t>
        </is>
      </c>
      <c r="K956" s="5" t="n">
        <v>46220.58333333334</v>
      </c>
      <c r="L956" t="n">
        <v>3</v>
      </c>
      <c r="M956" s="3">
        <f>I956/L956</f>
        <v/>
      </c>
      <c r="N956">
        <f>IF(M956&gt;=5100,"ставка","мин.ставка")</f>
        <v/>
      </c>
      <c r="O956" s="3">
        <f>ROUND(IF(N956="мин.ставка",L956*100,I956/102*2),2)</f>
        <v/>
      </c>
      <c r="P956" s="5" t="n">
        <v>46223.5</v>
      </c>
      <c r="Q956" t="inlineStr">
        <is>
          <t>TravelLine YAX</t>
        </is>
      </c>
      <c r="R956" s="2" t="inlineStr">
        <is>
          <t>СТАНДАРТНЫЙ ДВУХМЕСТНЫЙ НОМЕР</t>
        </is>
      </c>
      <c r="S956" t="n">
        <v>52</v>
      </c>
      <c r="T956" t="n">
        <v>2</v>
      </c>
      <c r="U956" t="inlineStr"/>
      <c r="V956" t="inlineStr">
        <is>
          <t>Тариф с завтраком</t>
        </is>
      </c>
      <c r="W956" t="n">
        <v>32040</v>
      </c>
      <c r="X956" s="3" t="n">
        <v>8010</v>
      </c>
      <c r="Y956" t="inlineStr">
        <is>
          <t>20%</t>
        </is>
      </c>
      <c r="Z956" t="inlineStr">
        <is>
          <t>2026-07-17, 2026-07-18, 2026-07-19</t>
        </is>
      </c>
      <c r="AA956" s="3" t="n">
        <v>32040</v>
      </c>
      <c r="AB956" t="inlineStr">
        <is>
          <t>Сошлось по ночным тарифам</t>
        </is>
      </c>
      <c r="AC956" s="2" t="inlineStr"/>
      <c r="AD956" t="n">
        <v>8010</v>
      </c>
      <c r="AE956" t="n">
        <v>0</v>
      </c>
      <c r="AF956" t="inlineStr">
        <is>
          <t>Скидка добавлена к налоговой базе</t>
        </is>
      </c>
      <c r="AG956" t="n">
        <v>40050</v>
      </c>
      <c r="AH956" t="n">
        <v>32040</v>
      </c>
      <c r="AI956" t="inlineStr">
        <is>
          <t>Полное проживание в выбранном периоде</t>
        </is>
      </c>
    </row>
    <row r="957">
      <c r="A957" t="inlineStr">
        <is>
          <t>20260919-8186-466759616</t>
        </is>
      </c>
      <c r="B957" t="n">
        <v>1</v>
      </c>
      <c r="C957" s="2" t="inlineStr">
        <is>
          <t>ЮЛИЯ ЛЕУТИНА, НИКИТА ЛЕУТИН</t>
        </is>
      </c>
      <c r="D957" s="3" t="n">
        <v>11214</v>
      </c>
      <c r="E957" s="4" t="n">
        <v>16</v>
      </c>
      <c r="F957" t="inlineStr">
        <is>
          <t>ООО "БРОНИРОВАНИЕ ГОСТИНИЦ" (OSTROVOK) [Чайковский]</t>
        </is>
      </c>
      <c r="G957" s="3">
        <f>ROUND(D957/(100-E957)*100,2)</f>
        <v/>
      </c>
      <c r="H957" s="3" t="n">
        <v>0</v>
      </c>
      <c r="I957" s="3">
        <f>ROUND(IF(ISNUMBER(AG957),AG957,G957)+H957,2)</f>
        <v/>
      </c>
      <c r="J957" s="2" t="inlineStr">
        <is>
          <t>Завтрак "Шведский стол"</t>
        </is>
      </c>
      <c r="K957" s="5" t="n">
        <v>46284.58333333334</v>
      </c>
      <c r="L957" t="n">
        <v>1</v>
      </c>
      <c r="M957" s="3">
        <f>I957/L957</f>
        <v/>
      </c>
      <c r="N957">
        <f>IF(M957&gt;=5100,"ставка","мин.ставка")</f>
        <v/>
      </c>
      <c r="O957" s="3">
        <f>ROUND(IF(N957="мин.ставка",L957*100,I957/102*2),2)</f>
        <v/>
      </c>
      <c r="P957" s="5" t="n">
        <v>46285.5</v>
      </c>
      <c r="Q957" t="inlineStr">
        <is>
          <t>TravelLine OTK</t>
        </is>
      </c>
      <c r="R957" s="2" t="inlineStr">
        <is>
          <t>СТАНДАРТНЫЙ ДВУХМЕСТНЫЙ НОМЕР</t>
        </is>
      </c>
      <c r="S957" t="n">
        <v>58</v>
      </c>
      <c r="T957" t="n">
        <v>2</v>
      </c>
      <c r="U957" t="inlineStr"/>
      <c r="V957" t="inlineStr">
        <is>
          <t>Тариф с завтраком</t>
        </is>
      </c>
      <c r="W957" t="n">
        <v>31962</v>
      </c>
      <c r="X957" s="3" t="n">
        <v>2136</v>
      </c>
      <c r="Y957" t="inlineStr">
        <is>
          <t>16%</t>
        </is>
      </c>
      <c r="Z957" t="inlineStr">
        <is>
          <t>2026-09-19</t>
        </is>
      </c>
      <c r="AA957" s="3" t="n">
        <v>11214</v>
      </c>
      <c r="AB957" t="inlineStr">
        <is>
          <t>Сошлось по ночным тарифам</t>
        </is>
      </c>
      <c r="AC957" s="2" t="inlineStr"/>
      <c r="AD957" t="n">
        <v>2136</v>
      </c>
      <c r="AE957" t="n">
        <v>0</v>
      </c>
      <c r="AF957" t="inlineStr">
        <is>
          <t>Скидка добавлена к налоговой базе</t>
        </is>
      </c>
      <c r="AG957" t="n">
        <v>13350</v>
      </c>
      <c r="AH957" t="n">
        <v>11214</v>
      </c>
      <c r="AI957" t="inlineStr">
        <is>
          <t>Полное проживание в выбранном периоде</t>
        </is>
      </c>
    </row>
    <row r="958">
      <c r="A958" t="inlineStr">
        <is>
          <t>20260725-8186-451524573</t>
        </is>
      </c>
      <c r="B958" t="n">
        <v>1</v>
      </c>
      <c r="C958" s="2" t="inlineStr">
        <is>
          <t>Юлия Ликаренко</t>
        </is>
      </c>
      <c r="D958" s="3" t="n">
        <v>19754</v>
      </c>
      <c r="E958" s="4" t="n">
        <v>17</v>
      </c>
      <c r="F958" t="inlineStr">
        <is>
          <t>ООО «Интернет Трэвел» (OZON) [Чайковский]</t>
        </is>
      </c>
      <c r="G958" s="3">
        <f>ROUND(D958/(100-E958)*100,2)</f>
        <v/>
      </c>
      <c r="H958" s="3" t="n">
        <v>2480</v>
      </c>
      <c r="I958" s="3">
        <f>ROUND(IF(ISNUMBER(AG958),AG958,G958)+H958,2)</f>
        <v/>
      </c>
      <c r="J958" s="2" t="inlineStr">
        <is>
          <t>продление номера — 2 480,00 ₽</t>
        </is>
      </c>
      <c r="K958" s="5" t="n">
        <v>46228.58333333334</v>
      </c>
      <c r="L958" t="n">
        <v>2</v>
      </c>
      <c r="M958" s="3">
        <f>I958/L958</f>
        <v/>
      </c>
      <c r="N958">
        <f>IF(M958&gt;=5100,"ставка","мин.ставка")</f>
        <v/>
      </c>
      <c r="O958" s="3">
        <f>ROUND(IF(N958="мин.ставка",L958*100,I958/102*2),2)</f>
        <v/>
      </c>
      <c r="P958" s="5" t="n">
        <v>46230.70833333334</v>
      </c>
      <c r="Q958" t="inlineStr">
        <is>
          <t>TravelLine OZ2</t>
        </is>
      </c>
      <c r="R958" s="2" t="inlineStr">
        <is>
          <t>УЛУЧШЕННЫЙ ДВУХМЕСТНЫЙ НОМЕР</t>
        </is>
      </c>
      <c r="S958" t="n">
        <v>31</v>
      </c>
      <c r="T958" t="n">
        <v>1</v>
      </c>
      <c r="U958" t="inlineStr"/>
      <c r="V958" t="inlineStr">
        <is>
          <t>Основной тариф без завтрака</t>
        </is>
      </c>
      <c r="W958" t="n">
        <v>22234</v>
      </c>
      <c r="X958" s="3" t="n">
        <v>4046</v>
      </c>
      <c r="Y958" t="inlineStr">
        <is>
          <t>17%</t>
        </is>
      </c>
      <c r="Z958" t="inlineStr">
        <is>
          <t>2026-07-25, 2026-07-26</t>
        </is>
      </c>
      <c r="AA958" s="3" t="n">
        <v>19754</v>
      </c>
      <c r="AB958" t="inlineStr">
        <is>
          <t>Сошлось с услугами</t>
        </is>
      </c>
      <c r="AC958" s="2" t="inlineStr"/>
      <c r="AD958" t="n">
        <v>4046</v>
      </c>
      <c r="AE958" t="n">
        <v>0</v>
      </c>
      <c r="AF958" t="inlineStr">
        <is>
          <t>Скидка добавлена к налоговой базе</t>
        </is>
      </c>
      <c r="AG958" t="n">
        <v>23800</v>
      </c>
      <c r="AH958" t="n">
        <v>19754</v>
      </c>
      <c r="AI958" t="inlineStr">
        <is>
          <t>Полное проживание в выбранном периоде</t>
        </is>
      </c>
    </row>
    <row r="959">
      <c r="A959" t="inlineStr">
        <is>
          <t>20260820-8186-454554202</t>
        </is>
      </c>
      <c r="B959" t="n">
        <v>1</v>
      </c>
      <c r="C959" s="2" t="inlineStr">
        <is>
          <t>Юлия Любомирова</t>
        </is>
      </c>
      <c r="D959" s="3" t="n">
        <v>14850</v>
      </c>
      <c r="E959" s="4" t="n">
        <v>0</v>
      </c>
      <c r="F959" t="inlineStr">
        <is>
          <t>Прямые бронирования (стойка) [Чайковский]</t>
        </is>
      </c>
      <c r="G959" s="3">
        <f>ROUND(D959/(100-E959)*100,2)</f>
        <v/>
      </c>
      <c r="H959" s="3" t="n">
        <v>0</v>
      </c>
      <c r="I959" s="3">
        <f>ROUND(IF(ISNUMBER(AG959),AG959,G959)+H959,2)</f>
        <v/>
      </c>
      <c r="J959" s="2" t="inlineStr">
        <is>
          <t>Завтрак "Шведский стол"</t>
        </is>
      </c>
      <c r="K959" s="5" t="n">
        <v>46254.58333333334</v>
      </c>
      <c r="L959" t="n">
        <v>1</v>
      </c>
      <c r="M959" s="3">
        <f>I959/L959</f>
        <v/>
      </c>
      <c r="N959">
        <f>IF(M959&gt;=5100,"ставка","мин.ставка")</f>
        <v/>
      </c>
      <c r="O959" s="3">
        <f>ROUND(IF(N959="мин.ставка",L959*100,I959/102*2),2)</f>
        <v/>
      </c>
      <c r="P959" s="5" t="n">
        <v>46255.5</v>
      </c>
      <c r="Q959" t="inlineStr">
        <is>
          <t>TravelLine ресепшен</t>
        </is>
      </c>
      <c r="R959" s="2" t="inlineStr">
        <is>
          <t>ПОЛУЛЮКС</t>
        </is>
      </c>
      <c r="S959" t="n">
        <v>35</v>
      </c>
      <c r="T959" t="n">
        <v>1</v>
      </c>
      <c r="U959" t="inlineStr"/>
      <c r="V959" t="inlineStr">
        <is>
          <t>Тариф с завтраком</t>
        </is>
      </c>
      <c r="W959" t="n">
        <v>14850</v>
      </c>
      <c r="X959" s="3" t="n">
        <v>1650</v>
      </c>
      <c r="Y959" t="inlineStr">
        <is>
          <t>10%</t>
        </is>
      </c>
      <c r="Z959" t="inlineStr">
        <is>
          <t>2026-08-20</t>
        </is>
      </c>
      <c r="AA959" s="3" t="n">
        <v>14850</v>
      </c>
      <c r="AB959" t="inlineStr">
        <is>
          <t>Сошлось по ночным тарифам</t>
        </is>
      </c>
      <c r="AC959" s="2" t="inlineStr"/>
      <c r="AD959" t="n">
        <v>1650</v>
      </c>
      <c r="AE959" t="n">
        <v>0</v>
      </c>
      <c r="AF959" t="inlineStr">
        <is>
          <t>Скидка добавлена к налоговой базе</t>
        </is>
      </c>
      <c r="AG959" t="n">
        <v>16500</v>
      </c>
      <c r="AH959" t="n">
        <v>14850</v>
      </c>
      <c r="AI959" t="inlineStr">
        <is>
          <t>Полное проживание в выбранном периоде</t>
        </is>
      </c>
    </row>
    <row r="960">
      <c r="A960" t="inlineStr">
        <is>
          <t>20260705-8186-447705881</t>
        </is>
      </c>
      <c r="B960" t="n">
        <v>1</v>
      </c>
      <c r="C960" s="2" t="inlineStr">
        <is>
          <t>ЮЛИЯ МЕДВЕДЕВА, МАРИЯ МЕДВЕДЕВА</t>
        </is>
      </c>
      <c r="D960" s="3" t="n">
        <v>6247.5</v>
      </c>
      <c r="E960" s="4" t="n">
        <v>15</v>
      </c>
      <c r="F960" t="inlineStr">
        <is>
          <t>ООО "БРОНИРОВАНИЕ ГОСТИНИЦ" (OSTROVOK) [Чайковский]</t>
        </is>
      </c>
      <c r="G960" s="3">
        <f>ROUND(D960/(100-E960)*100,2)</f>
        <v/>
      </c>
      <c r="H960" s="3" t="n">
        <v>0</v>
      </c>
      <c r="I960" s="3">
        <f>ROUND(IF(ISNUMBER(AG960),AG960,G960)+H960,2)</f>
        <v/>
      </c>
      <c r="J960" s="2" t="inlineStr"/>
      <c r="K960" s="5" t="n">
        <v>46208.58333333334</v>
      </c>
      <c r="L960" t="n">
        <v>1</v>
      </c>
      <c r="M960" s="3">
        <f>I960/L960</f>
        <v/>
      </c>
      <c r="N960">
        <f>IF(M960&gt;=5100,"ставка","мин.ставка")</f>
        <v/>
      </c>
      <c r="O960" s="3">
        <f>ROUND(IF(N960="мин.ставка",L960*100,I960/102*2),2)</f>
        <v/>
      </c>
      <c r="P960" s="5" t="n">
        <v>46209.5</v>
      </c>
      <c r="Q960" t="inlineStr">
        <is>
          <t>TravelLine OTK</t>
        </is>
      </c>
      <c r="R960" s="2" t="inlineStr">
        <is>
          <t>СЕМЕЙНЫЙ НОМЕР КАТЕГОРИИ "СТАНДАРТ" ВТОРОЙ КОРПУС</t>
        </is>
      </c>
      <c r="S960" t="n">
        <v>50</v>
      </c>
      <c r="T960" t="n">
        <v>2</v>
      </c>
      <c r="U960" t="inlineStr"/>
      <c r="V960" t="inlineStr">
        <is>
          <t>Основной тариф без завтрака</t>
        </is>
      </c>
      <c r="W960" t="n">
        <v>6247.5</v>
      </c>
      <c r="X960" s="3" t="n">
        <v>1102.5</v>
      </c>
      <c r="Y960" t="inlineStr">
        <is>
          <t>15%</t>
        </is>
      </c>
      <c r="Z960" t="inlineStr">
        <is>
          <t>2026-07-05</t>
        </is>
      </c>
      <c r="AA960" s="3" t="n">
        <v>6247.5</v>
      </c>
      <c r="AB960" t="inlineStr">
        <is>
          <t>Сошлось по ночным тарифам</t>
        </is>
      </c>
      <c r="AC960" s="2" t="inlineStr"/>
      <c r="AD960" t="n">
        <v>1102.5</v>
      </c>
      <c r="AE960" t="n">
        <v>0</v>
      </c>
      <c r="AF960" t="inlineStr">
        <is>
          <t>Скидка добавлена к налоговой базе</t>
        </is>
      </c>
      <c r="AG960" t="n">
        <v>7350</v>
      </c>
      <c r="AH960" t="n">
        <v>6247.5</v>
      </c>
      <c r="AI960" t="inlineStr">
        <is>
          <t>Полное проживание в выбранном периоде</t>
        </is>
      </c>
    </row>
    <row r="961">
      <c r="A961" t="inlineStr">
        <is>
          <t>20260930-8186-468765445</t>
        </is>
      </c>
      <c r="B961" t="n">
        <v>1</v>
      </c>
      <c r="C961" s="2" t="inlineStr">
        <is>
          <t>Юлия Митина, Сергей Митин</t>
        </is>
      </c>
      <c r="D961" s="3" t="n">
        <v>69600</v>
      </c>
      <c r="E961" s="4" t="n">
        <v>20</v>
      </c>
      <c r="F961" t="inlineStr">
        <is>
          <t>ООО «Дубль Гис» (OTELLO) [Чайковский]</t>
        </is>
      </c>
      <c r="G961" s="3">
        <f>ROUND(D961/(100-E961)*100,2)</f>
        <v/>
      </c>
      <c r="H961" s="3" t="n">
        <v>0</v>
      </c>
      <c r="I961" s="3">
        <f>ROUND(IF(ISNUMBER(AG961),AG961,G961)+H961,2)</f>
        <v/>
      </c>
      <c r="J961" s="2" t="inlineStr"/>
      <c r="K961" s="5" t="n">
        <v>46295.58333333334</v>
      </c>
      <c r="L961" t="n">
        <v>1</v>
      </c>
      <c r="M961" s="3">
        <f>I961/L961</f>
        <v/>
      </c>
      <c r="N961">
        <f>IF(M961&gt;=5100,"ставка","мин.ставка")</f>
        <v/>
      </c>
      <c r="O961" s="3">
        <f>ROUND(IF(N961="мин.ставка",L961*100,I961/102*2),2)</f>
        <v/>
      </c>
      <c r="P961" s="5" t="n">
        <v>46301.5</v>
      </c>
      <c r="Q961" t="inlineStr">
        <is>
          <t>TravelLine OL2</t>
        </is>
      </c>
      <c r="R961" s="2" t="inlineStr">
        <is>
          <t>ПОЛУЛЮКС</t>
        </is>
      </c>
      <c r="S961" t="n">
        <v>35</v>
      </c>
      <c r="T961" t="n">
        <v>1</v>
      </c>
      <c r="U961" t="inlineStr"/>
      <c r="V961" t="inlineStr">
        <is>
          <t>Тариф с завтраком</t>
        </is>
      </c>
      <c r="W961" t="n">
        <v>139200</v>
      </c>
      <c r="X961" s="3" t="n">
        <v>17400</v>
      </c>
      <c r="Y961" t="inlineStr">
        <is>
          <t>20%</t>
        </is>
      </c>
      <c r="Z961" t="inlineStr">
        <is>
          <t>Не распределена по датам</t>
        </is>
      </c>
      <c r="AA961" s="3" t="n">
        <v>69600</v>
      </c>
      <c r="AB961" t="inlineStr">
        <is>
          <t>Сошлось по ночным тарифам</t>
        </is>
      </c>
      <c r="AC961" s="2" t="inlineStr"/>
      <c r="AD961" t="n">
        <v>0</v>
      </c>
      <c r="AE961" t="n">
        <v>0</v>
      </c>
      <c r="AF961" t="inlineStr">
        <is>
          <t>Частичный период: дата агрегированной скидки не определена; скидка не добавлена к базе</t>
        </is>
      </c>
      <c r="AG961" t="n">
        <v>13200</v>
      </c>
      <c r="AH961" t="n">
        <v>13200</v>
      </c>
      <c r="AI961" t="inlineStr">
        <is>
          <t>Частичное проживание распределено по dailyRates; скидка без даты не восстановлена</t>
        </is>
      </c>
    </row>
    <row r="962">
      <c r="A962" t="inlineStr">
        <is>
          <t>20260814-8186-456123804</t>
        </is>
      </c>
      <c r="B962" t="n">
        <v>1</v>
      </c>
      <c r="C962" s="2" t="inlineStr">
        <is>
          <t>ЮЛИЯ ПАЛИЙ, ВАЛЕРИЯ ПАЛИЙ</t>
        </is>
      </c>
      <c r="D962" s="3" t="n">
        <v>21360</v>
      </c>
      <c r="E962" s="4" t="n">
        <v>0</v>
      </c>
      <c r="F962" t="inlineStr">
        <is>
          <t>Прямые бронирования (стойка) [Чайковский]</t>
        </is>
      </c>
      <c r="G962" s="3">
        <f>ROUND(D962/(100-E962)*100,2)</f>
        <v/>
      </c>
      <c r="H962" s="3" t="n">
        <v>0</v>
      </c>
      <c r="I962" s="3">
        <f>ROUND(IF(ISNUMBER(AG962),AG962,G962)+H962,2)</f>
        <v/>
      </c>
      <c r="J962" s="2" t="inlineStr">
        <is>
          <t>Завтрак "Шведский стол"</t>
        </is>
      </c>
      <c r="K962" s="5" t="n">
        <v>46248.58333333334</v>
      </c>
      <c r="L962" t="n">
        <v>2</v>
      </c>
      <c r="M962" s="3">
        <f>I962/L962</f>
        <v/>
      </c>
      <c r="N962">
        <f>IF(M962&gt;=5100,"ставка","мин.ставка")</f>
        <v/>
      </c>
      <c r="O962" s="3">
        <f>ROUND(IF(N962="мин.ставка",L962*100,I962/102*2),2)</f>
        <v/>
      </c>
      <c r="P962" s="5" t="n">
        <v>46250.5</v>
      </c>
      <c r="Q962" t="inlineStr">
        <is>
          <t>TravelLine ресепшен</t>
        </is>
      </c>
      <c r="R962" s="2" t="inlineStr">
        <is>
          <t>СТАНДАРТНЫЙ ДВУХМЕСТНЫЙ НОМЕР</t>
        </is>
      </c>
      <c r="S962" t="n">
        <v>23</v>
      </c>
      <c r="T962" t="n">
        <v>1</v>
      </c>
      <c r="U962" t="inlineStr"/>
      <c r="V962" t="inlineStr">
        <is>
          <t>Тариф с завтраком</t>
        </is>
      </c>
      <c r="W962" t="n">
        <v>21360</v>
      </c>
      <c r="X962" s="3" t="n">
        <v>5340</v>
      </c>
      <c r="Y962" t="inlineStr">
        <is>
          <t>20%</t>
        </is>
      </c>
      <c r="Z962" t="inlineStr">
        <is>
          <t>2026-08-14, 2026-08-15</t>
        </is>
      </c>
      <c r="AA962" s="3" t="n">
        <v>21360</v>
      </c>
      <c r="AB962" t="inlineStr">
        <is>
          <t>Сошлось по ночным тарифам</t>
        </is>
      </c>
      <c r="AC962" s="2" t="inlineStr"/>
      <c r="AD962" t="n">
        <v>5340</v>
      </c>
      <c r="AE962" t="n">
        <v>0</v>
      </c>
      <c r="AF962" t="inlineStr">
        <is>
          <t>Скидка добавлена к налоговой базе</t>
        </is>
      </c>
      <c r="AG962" t="n">
        <v>26700</v>
      </c>
      <c r="AH962" t="n">
        <v>21360</v>
      </c>
      <c r="AI962" t="inlineStr">
        <is>
          <t>Полное проживание в выбранном периоде</t>
        </is>
      </c>
    </row>
    <row r="963">
      <c r="A963" t="inlineStr">
        <is>
          <t>20260906-8186-461883708</t>
        </is>
      </c>
      <c r="B963" t="n">
        <v>1</v>
      </c>
      <c r="C963" s="2" t="inlineStr">
        <is>
          <t>ЮЛИЯ САЛАТА</t>
        </is>
      </c>
      <c r="D963" s="3" t="n">
        <v>6468</v>
      </c>
      <c r="E963" s="4" t="n">
        <v>16</v>
      </c>
      <c r="F963" t="inlineStr">
        <is>
          <t>ООО "БРОНИРОВАНИЕ ГОСТИНИЦ" (OSTROVOK) [Чайковский]</t>
        </is>
      </c>
      <c r="G963" s="3">
        <f>ROUND(D963/(100-E963)*100,2)</f>
        <v/>
      </c>
      <c r="H963" s="3" t="n">
        <v>0</v>
      </c>
      <c r="I963" s="3">
        <f>ROUND(IF(ISNUMBER(AG963),AG963,G963)+H963,2)</f>
        <v/>
      </c>
      <c r="J963" s="2" t="inlineStr">
        <is>
          <t>Завтрак "Шведский стол"</t>
        </is>
      </c>
      <c r="K963" s="5" t="n">
        <v>46271.58333333334</v>
      </c>
      <c r="L963" t="n">
        <v>1</v>
      </c>
      <c r="M963" s="3">
        <f>I963/L963</f>
        <v/>
      </c>
      <c r="N963">
        <f>IF(M963&gt;=5100,"ставка","мин.ставка")</f>
        <v/>
      </c>
      <c r="O963" s="3">
        <f>ROUND(IF(N963="мин.ставка",L963*100,I963/102*2),2)</f>
        <v/>
      </c>
      <c r="P963" s="5" t="n">
        <v>46272.5</v>
      </c>
      <c r="Q963" t="inlineStr">
        <is>
          <t>TravelLine OTK</t>
        </is>
      </c>
      <c r="R963" s="2" t="inlineStr">
        <is>
          <t>СТАНДАРТНЫЙ ОДНОМЕСТНЫЙ НОМЕР</t>
        </is>
      </c>
      <c r="S963" t="n">
        <v>34</v>
      </c>
      <c r="T963" t="n">
        <v>1</v>
      </c>
      <c r="U963" t="inlineStr"/>
      <c r="V963" t="inlineStr">
        <is>
          <t>Тариф с завтраком</t>
        </is>
      </c>
      <c r="W963" t="n">
        <v>6468</v>
      </c>
      <c r="X963" s="3" t="n">
        <v>1232</v>
      </c>
      <c r="Y963" t="inlineStr">
        <is>
          <t>16%</t>
        </is>
      </c>
      <c r="Z963" t="inlineStr">
        <is>
          <t>2026-09-06</t>
        </is>
      </c>
      <c r="AA963" s="3" t="n">
        <v>6468</v>
      </c>
      <c r="AB963" t="inlineStr">
        <is>
          <t>Сошлось по ночным тарифам</t>
        </is>
      </c>
      <c r="AC963" s="2" t="inlineStr"/>
      <c r="AD963" t="n">
        <v>1232</v>
      </c>
      <c r="AE963" t="n">
        <v>0</v>
      </c>
      <c r="AF963" t="inlineStr">
        <is>
          <t>Скидка добавлена к налоговой базе</t>
        </is>
      </c>
      <c r="AG963" t="n">
        <v>7700</v>
      </c>
      <c r="AH963" t="n">
        <v>6468</v>
      </c>
      <c r="AI963" t="inlineStr">
        <is>
          <t>Полное проживание в выбранном периоде</t>
        </is>
      </c>
    </row>
    <row r="964">
      <c r="A964" t="inlineStr">
        <is>
          <t>20260904-8186-461445761</t>
        </is>
      </c>
      <c r="B964" t="n">
        <v>1</v>
      </c>
      <c r="C964" s="2" t="inlineStr">
        <is>
          <t>Юлия Чемакина, Андрей Мамаев</t>
        </is>
      </c>
      <c r="D964" s="3" t="n">
        <v>11214</v>
      </c>
      <c r="E964" s="4" t="n">
        <v>16</v>
      </c>
      <c r="F964" t="inlineStr">
        <is>
          <t>ООО "БРОНИРОВАНИЕ ГОСТИНИЦ" (OSTROVOK) [Чайковский]</t>
        </is>
      </c>
      <c r="G964" s="3">
        <f>ROUND(D964/(100-E964)*100,2)</f>
        <v/>
      </c>
      <c r="H964" s="3" t="n">
        <v>0</v>
      </c>
      <c r="I964" s="3">
        <f>ROUND(IF(ISNUMBER(AG964),AG964,G964)+H964,2)</f>
        <v/>
      </c>
      <c r="J964" s="2" t="inlineStr">
        <is>
          <t>Завтрак "Шведский стол"</t>
        </is>
      </c>
      <c r="K964" s="5" t="n">
        <v>46269.58333333334</v>
      </c>
      <c r="L964" t="n">
        <v>1</v>
      </c>
      <c r="M964" s="3">
        <f>I964/L964</f>
        <v/>
      </c>
      <c r="N964">
        <f>IF(M964&gt;=5100,"ставка","мин.ставка")</f>
        <v/>
      </c>
      <c r="O964" s="3">
        <f>ROUND(IF(N964="мин.ставка",L964*100,I964/102*2),2)</f>
        <v/>
      </c>
      <c r="P964" s="5" t="n">
        <v>46270.5</v>
      </c>
      <c r="Q964" t="inlineStr">
        <is>
          <t>TravelLine OTK</t>
        </is>
      </c>
      <c r="R964" s="2" t="inlineStr">
        <is>
          <t>СТАНДАРТНЫЙ ДВУХМЕСТНЫЙ НОМЕР</t>
        </is>
      </c>
      <c r="S964" t="n">
        <v>46</v>
      </c>
      <c r="T964" t="n">
        <v>1</v>
      </c>
      <c r="U964" t="inlineStr"/>
      <c r="V964" t="inlineStr">
        <is>
          <t>Тариф с завтраком</t>
        </is>
      </c>
      <c r="W964" t="n">
        <v>11214</v>
      </c>
      <c r="X964" s="3" t="n">
        <v>2136</v>
      </c>
      <c r="Y964" t="inlineStr">
        <is>
          <t>16%</t>
        </is>
      </c>
      <c r="Z964" t="inlineStr">
        <is>
          <t>2026-09-04</t>
        </is>
      </c>
      <c r="AA964" s="3" t="n">
        <v>11214</v>
      </c>
      <c r="AB964" t="inlineStr">
        <is>
          <t>Сошлось по ночным тарифам</t>
        </is>
      </c>
      <c r="AC964" s="2" t="inlineStr"/>
      <c r="AD964" t="n">
        <v>2136</v>
      </c>
      <c r="AE964" t="n">
        <v>0</v>
      </c>
      <c r="AF964" t="inlineStr">
        <is>
          <t>Скидка добавлена к налоговой базе</t>
        </is>
      </c>
      <c r="AG964" t="n">
        <v>13350</v>
      </c>
      <c r="AH964" t="n">
        <v>11214</v>
      </c>
      <c r="AI964" t="inlineStr">
        <is>
          <t>Полное проживание в выбранном периоде</t>
        </is>
      </c>
    </row>
    <row r="965">
      <c r="A965" t="inlineStr">
        <is>
          <t>20260918-8186-459511897</t>
        </is>
      </c>
      <c r="B965" t="n">
        <v>1</v>
      </c>
      <c r="C965" s="2" t="inlineStr">
        <is>
          <t>Юлия Эмануэль</t>
        </is>
      </c>
      <c r="D965" s="3" t="n">
        <v>9080</v>
      </c>
      <c r="E965" s="4" t="n">
        <v>20</v>
      </c>
      <c r="F965" t="inlineStr">
        <is>
          <t>ООО "ХБ-ПРО" [Чайковский]</t>
        </is>
      </c>
      <c r="G965" s="3">
        <f>ROUND(D965/(100-E965)*100,2)</f>
        <v/>
      </c>
      <c r="H965" s="3" t="n">
        <v>0</v>
      </c>
      <c r="I965" s="3">
        <f>ROUND(IF(ISNUMBER(AG965),AG965,G965)+H965,2)</f>
        <v/>
      </c>
      <c r="J965" s="2" t="inlineStr">
        <is>
          <t>Завтрак "Шведский стол"</t>
        </is>
      </c>
      <c r="K965" s="5" t="n">
        <v>46283.58333333334</v>
      </c>
      <c r="L965" t="n">
        <v>1</v>
      </c>
      <c r="M965" s="3">
        <f>I965/L965</f>
        <v/>
      </c>
      <c r="N965">
        <f>IF(M965&gt;=5100,"ставка","мин.ставка")</f>
        <v/>
      </c>
      <c r="O965" s="3">
        <f>ROUND(IF(N965="мин.ставка",L965*100,I965/102*2),2)</f>
        <v/>
      </c>
      <c r="P965" s="5" t="n">
        <v>46284.5</v>
      </c>
      <c r="Q965" t="inlineStr">
        <is>
          <t>TravelLine UTS</t>
        </is>
      </c>
      <c r="R965" s="2" t="inlineStr">
        <is>
          <t>СТАНДАРТНЫЙ ДВУХМЕСТНЫЙ НОМЕР</t>
        </is>
      </c>
      <c r="S965" t="n">
        <v>23</v>
      </c>
      <c r="T965" t="n">
        <v>1</v>
      </c>
      <c r="U965" t="inlineStr"/>
      <c r="V965" t="inlineStr">
        <is>
          <t>Тариф с завтраком</t>
        </is>
      </c>
      <c r="W965" t="n">
        <v>9080</v>
      </c>
      <c r="X965" s="3" t="n">
        <v>0</v>
      </c>
      <c r="Y965" t="inlineStr"/>
      <c r="Z965" t="inlineStr"/>
      <c r="AA965" s="3" t="n">
        <v>9080</v>
      </c>
      <c r="AB965" t="inlineStr">
        <is>
          <t>Сошлось по ночным тарифам</t>
        </is>
      </c>
      <c r="AC965" s="2" t="inlineStr"/>
      <c r="AD965" t="n">
        <v>0</v>
      </c>
      <c r="AE965" t="n">
        <v>0</v>
      </c>
      <c r="AF965" t="inlineStr">
        <is>
          <t>Скидки нет</t>
        </is>
      </c>
      <c r="AG965" t="n">
        <v>9080</v>
      </c>
      <c r="AH965" t="n">
        <v>9080</v>
      </c>
      <c r="AI965" t="inlineStr">
        <is>
          <t>Полное проживание в выбранном периоде</t>
        </is>
      </c>
    </row>
    <row r="966">
      <c r="A966" t="inlineStr">
        <is>
          <t>20260925-8186-465181123</t>
        </is>
      </c>
      <c r="B966" t="n">
        <v>1</v>
      </c>
      <c r="C966" s="2" t="inlineStr">
        <is>
          <t>Юния Сафронова</t>
        </is>
      </c>
      <c r="D966" s="3" t="n">
        <v>9080</v>
      </c>
      <c r="E966" s="4" t="n">
        <v>20</v>
      </c>
      <c r="F966" t="inlineStr">
        <is>
          <t>ООО "КОМПАНИЯ БРОНЕВИК" [Чайковский]</t>
        </is>
      </c>
      <c r="G966" s="3">
        <f>ROUND(D966/(100-E966)*100,2)</f>
        <v/>
      </c>
      <c r="H966" s="3" t="n">
        <v>0</v>
      </c>
      <c r="I966" s="3">
        <f>ROUND(IF(ISNUMBER(AG966),AG966,G966)+H966,2)</f>
        <v/>
      </c>
      <c r="J966" s="2" t="inlineStr">
        <is>
          <t>Завтрак "Шведский стол"</t>
        </is>
      </c>
      <c r="K966" s="5" t="n">
        <v>46290.58333333334</v>
      </c>
      <c r="L966" t="n">
        <v>1</v>
      </c>
      <c r="M966" s="3">
        <f>I966/L966</f>
        <v/>
      </c>
      <c r="N966">
        <f>IF(M966&gt;=5100,"ставка","мин.ставка")</f>
        <v/>
      </c>
      <c r="O966" s="3">
        <f>ROUND(IF(N966="мин.ставка",L966*100,I966/102*2),2)</f>
        <v/>
      </c>
      <c r="P966" s="5" t="n">
        <v>46291.5</v>
      </c>
      <c r="Q966" t="inlineStr">
        <is>
          <t>TravelLine BR2</t>
        </is>
      </c>
      <c r="R966" s="2" t="inlineStr">
        <is>
          <t>СТАНДАРТНЫЙ ДВУХМЕСТНЫЙ НОМЕР</t>
        </is>
      </c>
      <c r="S966" t="n">
        <v>23</v>
      </c>
      <c r="T966" t="n">
        <v>1</v>
      </c>
      <c r="U966" t="inlineStr"/>
      <c r="V966" t="inlineStr">
        <is>
          <t>Тариф с завтраком</t>
        </is>
      </c>
      <c r="W966" t="n">
        <v>9080</v>
      </c>
      <c r="X966" s="3" t="n">
        <v>0</v>
      </c>
      <c r="Y966" t="inlineStr"/>
      <c r="Z966" t="inlineStr"/>
      <c r="AA966" s="3" t="n">
        <v>9080</v>
      </c>
      <c r="AB966" t="inlineStr">
        <is>
          <t>Сошлось по ночным тарифам</t>
        </is>
      </c>
      <c r="AC966" s="2" t="inlineStr"/>
      <c r="AD966" t="n">
        <v>0</v>
      </c>
      <c r="AE966" t="n">
        <v>0</v>
      </c>
      <c r="AF966" t="inlineStr">
        <is>
          <t>Скидки нет</t>
        </is>
      </c>
      <c r="AG966" t="n">
        <v>9080</v>
      </c>
      <c r="AH966" t="n">
        <v>9080</v>
      </c>
      <c r="AI966" t="inlineStr">
        <is>
          <t>Полное проживание в выбранном периоде</t>
        </is>
      </c>
    </row>
    <row r="967">
      <c r="A967" t="inlineStr">
        <is>
          <t>20260903-8186-463521602</t>
        </is>
      </c>
      <c r="B967" t="n">
        <v>1</v>
      </c>
      <c r="C967" s="2" t="inlineStr">
        <is>
          <t>ЮРИЙ БОРИСЕНКО, НАТАЛИЯ БУРЦЕВА</t>
        </is>
      </c>
      <c r="D967" s="3" t="n">
        <v>12138</v>
      </c>
      <c r="E967" s="4" t="n">
        <v>16</v>
      </c>
      <c r="F967" t="inlineStr">
        <is>
          <t>ООО "БРОНИРОВАНИЕ ГОСТИНИЦ" (OSTROVOK) [Чайковский]</t>
        </is>
      </c>
      <c r="G967" s="3">
        <f>ROUND(D967/(100-E967)*100,2)</f>
        <v/>
      </c>
      <c r="H967" s="3" t="n">
        <v>0</v>
      </c>
      <c r="I967" s="3">
        <f>ROUND(IF(ISNUMBER(AG967),AG967,G967)+H967,2)</f>
        <v/>
      </c>
      <c r="J967" s="2" t="inlineStr">
        <is>
          <t>Завтрак "Шведский стол"</t>
        </is>
      </c>
      <c r="K967" s="5" t="n">
        <v>46268.58333333334</v>
      </c>
      <c r="L967" t="n">
        <v>1</v>
      </c>
      <c r="M967" s="3">
        <f>I967/L967</f>
        <v/>
      </c>
      <c r="N967">
        <f>IF(M967&gt;=5100,"ставка","мин.ставка")</f>
        <v/>
      </c>
      <c r="O967" s="3">
        <f>ROUND(IF(N967="мин.ставка",L967*100,I967/102*2),2)</f>
        <v/>
      </c>
      <c r="P967" s="5" t="n">
        <v>46269.5</v>
      </c>
      <c r="Q967" t="inlineStr">
        <is>
          <t>TravelLine OTK</t>
        </is>
      </c>
      <c r="R967" s="2" t="inlineStr">
        <is>
          <t>СЕМЕЙНЫЙ НОМЕР КАТЕГОРИИ "СТАНДАРТ" ВТОРОЙ КОРПУС</t>
        </is>
      </c>
      <c r="S967" t="n">
        <v>51</v>
      </c>
      <c r="T967" t="n">
        <v>2</v>
      </c>
      <c r="U967" t="inlineStr"/>
      <c r="V967" t="inlineStr">
        <is>
          <t>Тариф с завтраком</t>
        </is>
      </c>
      <c r="W967" t="n">
        <v>12138</v>
      </c>
      <c r="X967" s="3" t="n">
        <v>2312</v>
      </c>
      <c r="Y967" t="inlineStr">
        <is>
          <t>16%</t>
        </is>
      </c>
      <c r="Z967" t="inlineStr">
        <is>
          <t>2026-09-03</t>
        </is>
      </c>
      <c r="AA967" s="3" t="n">
        <v>12138</v>
      </c>
      <c r="AB967" t="inlineStr">
        <is>
          <t>Сошлось по ночным тарифам</t>
        </is>
      </c>
      <c r="AC967" s="2" t="inlineStr"/>
      <c r="AD967" t="n">
        <v>2312</v>
      </c>
      <c r="AE967" t="n">
        <v>0</v>
      </c>
      <c r="AF967" t="inlineStr">
        <is>
          <t>Скидка добавлена к налоговой базе</t>
        </is>
      </c>
      <c r="AG967" t="n">
        <v>14450</v>
      </c>
      <c r="AH967" t="n">
        <v>12138</v>
      </c>
      <c r="AI967" t="inlineStr">
        <is>
          <t>Полное проживание в выбранном периоде</t>
        </is>
      </c>
    </row>
    <row r="968">
      <c r="A968" t="inlineStr">
        <is>
          <t>20260904-8186-455342242</t>
        </is>
      </c>
      <c r="B968" t="n">
        <v>1</v>
      </c>
      <c r="C968" s="2" t="inlineStr">
        <is>
          <t>Юрий Борисенко, Наталия Бурцева</t>
        </is>
      </c>
      <c r="D968" s="3" t="n">
        <v>22428</v>
      </c>
      <c r="E968" s="4" t="n">
        <v>16</v>
      </c>
      <c r="F968" t="inlineStr">
        <is>
          <t>ООО "БРОНИРОВАНИЕ ГОСТИНИЦ" (OSTROVOK) [Чайковский]</t>
        </is>
      </c>
      <c r="G968" s="3">
        <f>ROUND(D968/(100-E968)*100,2)</f>
        <v/>
      </c>
      <c r="H968" s="3" t="n">
        <v>0</v>
      </c>
      <c r="I968" s="3">
        <f>ROUND(IF(ISNUMBER(AG968),AG968,G968)+H968,2)</f>
        <v/>
      </c>
      <c r="J968" s="2" t="inlineStr">
        <is>
          <t>Завтрак "Шведский стол"</t>
        </is>
      </c>
      <c r="K968" s="5" t="n">
        <v>46269.58333333334</v>
      </c>
      <c r="L968" t="n">
        <v>2</v>
      </c>
      <c r="M968" s="3">
        <f>I968/L968</f>
        <v/>
      </c>
      <c r="N968">
        <f>IF(M968&gt;=5100,"ставка","мин.ставка")</f>
        <v/>
      </c>
      <c r="O968" s="3">
        <f>ROUND(IF(N968="мин.ставка",L968*100,I968/102*2),2)</f>
        <v/>
      </c>
      <c r="P968" s="5" t="n">
        <v>46271.5</v>
      </c>
      <c r="Q968" t="inlineStr">
        <is>
          <t>TravelLine OTK</t>
        </is>
      </c>
      <c r="R968" s="2" t="inlineStr">
        <is>
          <t>СТАНДАРТНЫЙ ДВУХМЕСТНЫЙ НОМЕР</t>
        </is>
      </c>
      <c r="S968" t="n">
        <v>32</v>
      </c>
      <c r="T968" t="n">
        <v>1</v>
      </c>
      <c r="U968" t="inlineStr"/>
      <c r="V968" t="inlineStr">
        <is>
          <t>Тариф с завтраком</t>
        </is>
      </c>
      <c r="W968" t="n">
        <v>22428</v>
      </c>
      <c r="X968" s="3" t="n">
        <v>4272</v>
      </c>
      <c r="Y968" t="inlineStr">
        <is>
          <t>16%</t>
        </is>
      </c>
      <c r="Z968" t="inlineStr">
        <is>
          <t>2026-09-04, 2026-09-05</t>
        </is>
      </c>
      <c r="AA968" s="3" t="n">
        <v>22428</v>
      </c>
      <c r="AB968" t="inlineStr">
        <is>
          <t>Сошлось по ночным тарифам</t>
        </is>
      </c>
      <c r="AC968" s="2" t="inlineStr"/>
      <c r="AD968" t="n">
        <v>4272</v>
      </c>
      <c r="AE968" t="n">
        <v>0</v>
      </c>
      <c r="AF968" t="inlineStr">
        <is>
          <t>Скидка добавлена к налоговой базе</t>
        </is>
      </c>
      <c r="AG968" t="n">
        <v>26700</v>
      </c>
      <c r="AH968" t="n">
        <v>22428</v>
      </c>
      <c r="AI968" t="inlineStr">
        <is>
          <t>Полное проживание в выбранном периоде</t>
        </is>
      </c>
    </row>
    <row r="969">
      <c r="A969" t="inlineStr">
        <is>
          <t>20260811-8186-417991409</t>
        </is>
      </c>
      <c r="B969" t="n">
        <v>1</v>
      </c>
      <c r="C969" s="2" t="inlineStr">
        <is>
          <t>Юрий Губарев, СВЕТЛАНА ГУБАРЕВА</t>
        </is>
      </c>
      <c r="D969" s="3" t="n">
        <v>170880</v>
      </c>
      <c r="E969" s="4" t="n">
        <v>0</v>
      </c>
      <c r="F969" t="inlineStr">
        <is>
          <t>Прямые бронирования (стойка) [Чайковский]</t>
        </is>
      </c>
      <c r="G969" s="3">
        <f>ROUND(D969/(100-E969)*100,2)</f>
        <v/>
      </c>
      <c r="H969" s="3" t="n">
        <v>0</v>
      </c>
      <c r="I969" s="3">
        <f>ROUND(IF(ISNUMBER(AG969),AG969,G969)+H969,2)</f>
        <v/>
      </c>
      <c r="J969" s="2" t="inlineStr">
        <is>
          <t>Завтрак "Шведский стол"</t>
        </is>
      </c>
      <c r="K969" s="5" t="n">
        <v>46245.58333333334</v>
      </c>
      <c r="L969" t="n">
        <v>12</v>
      </c>
      <c r="M969" s="3">
        <f>I969/L969</f>
        <v/>
      </c>
      <c r="N969">
        <f>IF(M969&gt;=5100,"ставка","мин.ставка")</f>
        <v/>
      </c>
      <c r="O969" s="3">
        <f>ROUND(IF(N969="мин.ставка",L969*100,I969/102*2),2)</f>
        <v/>
      </c>
      <c r="P969" s="5" t="n">
        <v>46257.5</v>
      </c>
      <c r="Q969" t="inlineStr">
        <is>
          <t>TravelLine ресепшен</t>
        </is>
      </c>
      <c r="R969" s="2" t="inlineStr">
        <is>
          <t>ЛЮКС</t>
        </is>
      </c>
      <c r="S969" t="n">
        <v>57</v>
      </c>
      <c r="T969" t="n">
        <v>2</v>
      </c>
      <c r="U969" t="inlineStr"/>
      <c r="V969" t="inlineStr">
        <is>
          <t>Тариф с завтраком</t>
        </is>
      </c>
      <c r="W969" t="n">
        <v>170880</v>
      </c>
      <c r="X969" s="3" t="n">
        <v>42720</v>
      </c>
      <c r="Y969" t="inlineStr">
        <is>
          <t>20%</t>
        </is>
      </c>
      <c r="Z969" t="inlineStr">
        <is>
          <t>2026-08-11, 2026-08-12, 2026-08-13, 2026-08-14, 2026-08-15, 2026-08-16, 2026-08-17, 2026-08-18, 2026-08-19, 2026-08-20, 2026-08-21, 2026-08-22</t>
        </is>
      </c>
      <c r="AA969" s="3" t="n">
        <v>170880</v>
      </c>
      <c r="AB969" t="inlineStr">
        <is>
          <t>Сошлось по ночным тарифам</t>
        </is>
      </c>
      <c r="AC969" s="2" t="inlineStr"/>
      <c r="AD969" t="n">
        <v>42720</v>
      </c>
      <c r="AE969" t="n">
        <v>0</v>
      </c>
      <c r="AF969" t="inlineStr">
        <is>
          <t>Скидка добавлена к налоговой базе</t>
        </is>
      </c>
      <c r="AG969" t="n">
        <v>213600</v>
      </c>
      <c r="AH969" t="n">
        <v>170880</v>
      </c>
      <c r="AI969" t="inlineStr">
        <is>
          <t>Полное проживание в выбранном периоде</t>
        </is>
      </c>
    </row>
    <row r="970">
      <c r="A970" t="inlineStr">
        <is>
          <t>20260818-8186-454003492</t>
        </is>
      </c>
      <c r="B970" t="n">
        <v>1</v>
      </c>
      <c r="C970" s="2" t="inlineStr">
        <is>
          <t>Юрий Митюков, Анна Мекина</t>
        </is>
      </c>
      <c r="D970" s="3" t="n">
        <v>61600</v>
      </c>
      <c r="E970" s="4" t="n">
        <v>20</v>
      </c>
      <c r="F970" t="inlineStr">
        <is>
          <t>ООО "КОМПАНИЯ БРОНЕВИК" [Чайковский]</t>
        </is>
      </c>
      <c r="G970" s="3">
        <f>ROUND(D970/(100-E970)*100,2)</f>
        <v/>
      </c>
      <c r="H970" s="3" t="n">
        <v>0</v>
      </c>
      <c r="I970" s="3">
        <f>ROUND(IF(ISNUMBER(AG970),AG970,G970)+H970,2)</f>
        <v/>
      </c>
      <c r="J970" s="2" t="inlineStr">
        <is>
          <t>Завтрак "Шведский стол"</t>
        </is>
      </c>
      <c r="K970" s="5" t="n">
        <v>46252.58333333334</v>
      </c>
      <c r="L970" t="n">
        <v>5</v>
      </c>
      <c r="M970" s="3">
        <f>I970/L970</f>
        <v/>
      </c>
      <c r="N970">
        <f>IF(M970&gt;=5100,"ставка","мин.ставка")</f>
        <v/>
      </c>
      <c r="O970" s="3">
        <f>ROUND(IF(N970="мин.ставка",L970*100,I970/102*2),2)</f>
        <v/>
      </c>
      <c r="P970" s="5" t="n">
        <v>46257.5</v>
      </c>
      <c r="Q970" t="inlineStr">
        <is>
          <t>TravelLine BR2</t>
        </is>
      </c>
      <c r="R970" s="2" t="inlineStr">
        <is>
          <t>УЛУЧШЕННЫЙ ДВУХМЕСТНЫЙ НОМЕР</t>
        </is>
      </c>
      <c r="S970" t="n">
        <v>59</v>
      </c>
      <c r="T970" t="n">
        <v>2</v>
      </c>
      <c r="U970" t="inlineStr"/>
      <c r="V970" t="inlineStr">
        <is>
          <t>Тариф с завтраком</t>
        </is>
      </c>
      <c r="W970" t="n">
        <v>61600</v>
      </c>
      <c r="X970" s="3" t="n">
        <v>0</v>
      </c>
      <c r="Y970" t="inlineStr"/>
      <c r="Z970" t="inlineStr"/>
      <c r="AA970" s="3" t="n">
        <v>61600</v>
      </c>
      <c r="AB970" t="inlineStr">
        <is>
          <t>Сошлось по ночным тарифам</t>
        </is>
      </c>
      <c r="AC970" s="2" t="inlineStr"/>
      <c r="AD970" t="n">
        <v>0</v>
      </c>
      <c r="AE970" t="n">
        <v>0</v>
      </c>
      <c r="AF970" t="inlineStr">
        <is>
          <t>Скидки нет</t>
        </is>
      </c>
      <c r="AG970" t="n">
        <v>61600</v>
      </c>
      <c r="AH970" t="n">
        <v>61600</v>
      </c>
      <c r="AI970" t="inlineStr">
        <is>
          <t>Полное проживание в выбранном периоде</t>
        </is>
      </c>
    </row>
    <row r="971">
      <c r="A971" t="inlineStr">
        <is>
          <t>20260802-8186-450372690</t>
        </is>
      </c>
      <c r="B971" t="n">
        <v>1</v>
      </c>
      <c r="C971" s="2" t="inlineStr">
        <is>
          <t>Юрий Эпоев, Юстина Гусейнова</t>
        </is>
      </c>
      <c r="D971" s="3" t="n">
        <v>40584</v>
      </c>
      <c r="E971" s="4" t="n">
        <v>18</v>
      </c>
      <c r="F971" t="inlineStr">
        <is>
          <t>Яндекс.Путешествия [Чайковский]</t>
        </is>
      </c>
      <c r="G971" s="3">
        <f>ROUND(D971/(100-E971)*100,2)</f>
        <v/>
      </c>
      <c r="H971" s="3" t="n">
        <v>0</v>
      </c>
      <c r="I971" s="3">
        <f>ROUND(IF(ISNUMBER(AG971),AG971,G971)+H971,2)</f>
        <v/>
      </c>
      <c r="J971" s="2" t="inlineStr">
        <is>
          <t>Завтрак "Шведский стол"</t>
        </is>
      </c>
      <c r="K971" s="5" t="n">
        <v>46236.58333333334</v>
      </c>
      <c r="L971" t="n">
        <v>4</v>
      </c>
      <c r="M971" s="3">
        <f>I971/L971</f>
        <v/>
      </c>
      <c r="N971">
        <f>IF(M971&gt;=5100,"ставка","мин.ставка")</f>
        <v/>
      </c>
      <c r="O971" s="3">
        <f>ROUND(IF(N971="мин.ставка",L971*100,I971/102*2),2)</f>
        <v/>
      </c>
      <c r="P971" s="5" t="n">
        <v>46240.5</v>
      </c>
      <c r="Q971" t="inlineStr">
        <is>
          <t>TravelLine YAX</t>
        </is>
      </c>
      <c r="R971" s="2" t="inlineStr">
        <is>
          <t>СТАНДАРТНЫЙ ДВУХМЕСТНЫЙ НОМЕР</t>
        </is>
      </c>
      <c r="S971" t="n">
        <v>23</v>
      </c>
      <c r="T971" t="n">
        <v>1</v>
      </c>
      <c r="U971" t="inlineStr"/>
      <c r="V971" t="inlineStr">
        <is>
          <t>Тариф с завтраком</t>
        </is>
      </c>
      <c r="W971" t="n">
        <v>40584</v>
      </c>
      <c r="X971" s="3" t="n">
        <v>10146</v>
      </c>
      <c r="Y971" t="inlineStr">
        <is>
          <t>20%</t>
        </is>
      </c>
      <c r="Z971" t="inlineStr">
        <is>
          <t>2026-08-02, 2026-08-03, 2026-08-04, 2026-08-05</t>
        </is>
      </c>
      <c r="AA971" s="3" t="n">
        <v>40584</v>
      </c>
      <c r="AB971" t="inlineStr">
        <is>
          <t>Сошлось по ночным тарифам</t>
        </is>
      </c>
      <c r="AC971" s="2" t="inlineStr"/>
      <c r="AD971" t="n">
        <v>10146</v>
      </c>
      <c r="AE971" t="n">
        <v>0</v>
      </c>
      <c r="AF971" t="inlineStr">
        <is>
          <t>Скидка добавлена к налоговой базе</t>
        </is>
      </c>
      <c r="AG971" t="n">
        <v>50730</v>
      </c>
      <c r="AH971" t="n">
        <v>40584</v>
      </c>
      <c r="AI971" t="inlineStr">
        <is>
          <t>Полное проживание в выбранном периоде</t>
        </is>
      </c>
    </row>
    <row r="972">
      <c r="A972" t="inlineStr">
        <is>
          <t>20260727-8186-441733245</t>
        </is>
      </c>
      <c r="B972" t="n">
        <v>1</v>
      </c>
      <c r="C972" s="2" t="inlineStr">
        <is>
          <t>Юрия Соколов, Валентина Соловьева</t>
        </is>
      </c>
      <c r="D972" s="3" t="n">
        <v>45390</v>
      </c>
      <c r="E972" s="4" t="n">
        <v>15</v>
      </c>
      <c r="F972" t="inlineStr">
        <is>
          <t>Trip.com Group [Чайковский]</t>
        </is>
      </c>
      <c r="G972" s="3">
        <f>ROUND(D972/(100-E972)*100,2)</f>
        <v/>
      </c>
      <c r="H972" s="3" t="n">
        <v>0</v>
      </c>
      <c r="I972" s="3">
        <f>ROUND(IF(ISNUMBER(AG972),AG972,G972)+H972,2)</f>
        <v/>
      </c>
      <c r="J972" s="2" t="inlineStr">
        <is>
          <t>Завтрак "Шведский стол"</t>
        </is>
      </c>
      <c r="K972" s="5" t="n">
        <v>46230.58333333334</v>
      </c>
      <c r="L972" t="n">
        <v>4</v>
      </c>
      <c r="M972" s="3">
        <f>I972/L972</f>
        <v/>
      </c>
      <c r="N972">
        <f>IF(M972&gt;=5100,"ставка","мин.ставка")</f>
        <v/>
      </c>
      <c r="O972" s="3">
        <f>ROUND(IF(N972="мин.ставка",L972*100,I972/102*2),2)</f>
        <v/>
      </c>
      <c r="P972" s="5" t="n">
        <v>46234.5</v>
      </c>
      <c r="Q972" t="inlineStr">
        <is>
          <t>TravelLine CTP</t>
        </is>
      </c>
      <c r="R972" s="2" t="inlineStr">
        <is>
          <t>СТАНДАРТНЫЙ ДВУХМЕСТНЫЙ НОМЕР</t>
        </is>
      </c>
      <c r="S972" t="n">
        <v>26</v>
      </c>
      <c r="T972" t="n">
        <v>1</v>
      </c>
      <c r="U972" t="inlineStr"/>
      <c r="V972" t="inlineStr">
        <is>
          <t>Тариф с завтраком</t>
        </is>
      </c>
      <c r="W972" t="n">
        <v>45390</v>
      </c>
      <c r="X972" s="3" t="n">
        <v>0</v>
      </c>
      <c r="Y972" t="inlineStr"/>
      <c r="Z972" t="inlineStr"/>
      <c r="AA972" s="3" t="n">
        <v>45390</v>
      </c>
      <c r="AB972" t="inlineStr">
        <is>
          <t>Сошлось по ночным тарифам</t>
        </is>
      </c>
      <c r="AC972" s="2" t="inlineStr"/>
      <c r="AD972" t="n">
        <v>0</v>
      </c>
      <c r="AE972" t="n">
        <v>0</v>
      </c>
      <c r="AF972" t="inlineStr">
        <is>
          <t>Скидки нет</t>
        </is>
      </c>
      <c r="AG972" t="n">
        <v>45390</v>
      </c>
      <c r="AH972" t="n">
        <v>45390</v>
      </c>
      <c r="AI972" t="inlineStr">
        <is>
          <t>Полное проживание в выбранном периоде</t>
        </is>
      </c>
    </row>
    <row r="973">
      <c r="A973" t="inlineStr">
        <is>
          <t>20260825-8186-452662018</t>
        </is>
      </c>
      <c r="B973" t="n">
        <v>1</v>
      </c>
      <c r="C973" s="2" t="inlineStr">
        <is>
          <t>Ядвига Кирсанова</t>
        </is>
      </c>
      <c r="D973" s="3" t="n">
        <v>12320</v>
      </c>
      <c r="E973" s="4" t="n">
        <v>20</v>
      </c>
      <c r="F973" t="inlineStr">
        <is>
          <t>ООО "КОМПАНИЯ БРОНЕВИК" [Чайковский]</t>
        </is>
      </c>
      <c r="G973" s="3">
        <f>ROUND(D973/(100-E973)*100,2)</f>
        <v/>
      </c>
      <c r="H973" s="3" t="n">
        <v>0</v>
      </c>
      <c r="I973" s="3">
        <f>ROUND(IF(ISNUMBER(AG973),AG973,G973)+H973,2)</f>
        <v/>
      </c>
      <c r="J973" s="2" t="inlineStr">
        <is>
          <t>Завтрак "Шведский стол"</t>
        </is>
      </c>
      <c r="K973" s="5" t="n">
        <v>46259.58333333334</v>
      </c>
      <c r="L973" t="n">
        <v>2</v>
      </c>
      <c r="M973" s="3">
        <f>I973/L973</f>
        <v/>
      </c>
      <c r="N973">
        <f>IF(M973&gt;=5100,"ставка","мин.ставка")</f>
        <v/>
      </c>
      <c r="O973" s="3">
        <f>ROUND(IF(N973="мин.ставка",L973*100,I973/102*2),2)</f>
        <v/>
      </c>
      <c r="P973" s="5" t="n">
        <v>46261.5</v>
      </c>
      <c r="Q973" t="inlineStr">
        <is>
          <t>TravelLine BR2</t>
        </is>
      </c>
      <c r="R973" s="2" t="inlineStr">
        <is>
          <t>СТАНДАРТНЫЙ ОДНОМЕСТНЫЙ НОМЕР</t>
        </is>
      </c>
      <c r="S973" t="n">
        <v>24</v>
      </c>
      <c r="T973" t="n">
        <v>1</v>
      </c>
      <c r="U973" t="inlineStr"/>
      <c r="V973" t="inlineStr">
        <is>
          <t>Тариф с завтраком</t>
        </is>
      </c>
      <c r="W973" t="n">
        <v>12320</v>
      </c>
      <c r="X973" s="3" t="n">
        <v>0</v>
      </c>
      <c r="Y973" t="inlineStr"/>
      <c r="Z973" t="inlineStr"/>
      <c r="AA973" s="3" t="n">
        <v>12320</v>
      </c>
      <c r="AB973" t="inlineStr">
        <is>
          <t>Сошлось по ночным тарифам</t>
        </is>
      </c>
      <c r="AC973" s="2" t="inlineStr"/>
      <c r="AD973" t="n">
        <v>0</v>
      </c>
      <c r="AE973" t="n">
        <v>0</v>
      </c>
      <c r="AF973" t="inlineStr">
        <is>
          <t>Скидки нет</t>
        </is>
      </c>
      <c r="AG973" t="n">
        <v>12320</v>
      </c>
      <c r="AH973" t="n">
        <v>12320</v>
      </c>
      <c r="AI973" t="inlineStr">
        <is>
          <t>Полное проживание в выбранном периоде</t>
        </is>
      </c>
    </row>
    <row r="974">
      <c r="A974" t="inlineStr">
        <is>
          <t>20260707-8186-448033269</t>
        </is>
      </c>
      <c r="B974" t="n">
        <v>1</v>
      </c>
      <c r="C974" s="2" t="inlineStr">
        <is>
          <t>Яков Никонов</t>
        </is>
      </c>
      <c r="D974" s="3" t="n">
        <v>9240</v>
      </c>
      <c r="E974" s="4" t="n">
        <v>20</v>
      </c>
      <c r="F974" t="inlineStr">
        <is>
          <t>ООО "ХБ-ПРО" [Чайковский]</t>
        </is>
      </c>
      <c r="G974" s="3">
        <f>ROUND(D974/(100-E974)*100,2)</f>
        <v/>
      </c>
      <c r="H974" s="3" t="n">
        <v>1812</v>
      </c>
      <c r="I974" s="3">
        <f>ROUND(IF(ISNUMBER(AG974),AG974,G974)+H974,2)</f>
        <v/>
      </c>
      <c r="J974" s="2" t="inlineStr">
        <is>
          <t>продление номера — 1 812,00 ₽; Завтрак "Шведский стол"</t>
        </is>
      </c>
      <c r="K974" s="5" t="n">
        <v>46210.58333333334</v>
      </c>
      <c r="L974" t="n">
        <v>1</v>
      </c>
      <c r="M974" s="3">
        <f>I974/L974</f>
        <v/>
      </c>
      <c r="N974">
        <f>IF(M974&gt;=5100,"ставка","мин.ставка")</f>
        <v/>
      </c>
      <c r="O974" s="3">
        <f>ROUND(IF(N974="мин.ставка",L974*100,I974/102*2),2)</f>
        <v/>
      </c>
      <c r="P974" s="5" t="n">
        <v>46211.5</v>
      </c>
      <c r="Q974" t="inlineStr">
        <is>
          <t>TravelLine UTS</t>
        </is>
      </c>
      <c r="R974" s="2" t="inlineStr">
        <is>
          <t>ПОЛУЛЮКС</t>
        </is>
      </c>
      <c r="S974" t="n">
        <v>35</v>
      </c>
      <c r="T974" t="n">
        <v>1</v>
      </c>
      <c r="U974" t="inlineStr"/>
      <c r="V974" t="inlineStr">
        <is>
          <t>Тариф с завтраком</t>
        </is>
      </c>
      <c r="W974" t="n">
        <v>11052</v>
      </c>
      <c r="X974" s="3" t="n">
        <v>0</v>
      </c>
      <c r="Y974" t="inlineStr"/>
      <c r="Z974" t="inlineStr"/>
      <c r="AA974" s="3" t="n">
        <v>9240</v>
      </c>
      <c r="AB974" t="inlineStr">
        <is>
          <t>Сошлось с услугами</t>
        </is>
      </c>
      <c r="AC974" s="2" t="inlineStr"/>
      <c r="AD974" t="n">
        <v>0</v>
      </c>
      <c r="AE974" t="n">
        <v>0</v>
      </c>
      <c r="AF974" t="inlineStr">
        <is>
          <t>Скидки нет</t>
        </is>
      </c>
      <c r="AG974" t="n">
        <v>9240</v>
      </c>
      <c r="AH974" t="n">
        <v>9240</v>
      </c>
      <c r="AI974" t="inlineStr">
        <is>
          <t>Полное проживание в выбранном периоде</t>
        </is>
      </c>
    </row>
    <row r="975">
      <c r="A975" t="inlineStr">
        <is>
          <t>20260724-8186-451950013</t>
        </is>
      </c>
      <c r="B975" t="n">
        <v>1</v>
      </c>
      <c r="C975" s="2" t="inlineStr">
        <is>
          <t>ЯКОВ НИКОНОВ</t>
        </is>
      </c>
      <c r="D975" s="3" t="n">
        <v>17800</v>
      </c>
      <c r="E975" s="4" t="n">
        <v>0</v>
      </c>
      <c r="F975" t="inlineStr">
        <is>
          <t>Прямые бронирования (стойка) [Чайковский]</t>
        </is>
      </c>
      <c r="G975" s="3">
        <f>ROUND(D975/(100-E975)*100,2)</f>
        <v/>
      </c>
      <c r="H975" s="3" t="n">
        <v>0</v>
      </c>
      <c r="I975" s="3">
        <f>ROUND(IF(ISNUMBER(AG975),AG975,G975)+H975,2)</f>
        <v/>
      </c>
      <c r="J975" s="2" t="inlineStr">
        <is>
          <t>Завтрак "Шведский стол"</t>
        </is>
      </c>
      <c r="K975" s="5" t="n">
        <v>46227.58333333334</v>
      </c>
      <c r="L975" t="n">
        <v>1</v>
      </c>
      <c r="M975" s="3">
        <f>I975/L975</f>
        <v/>
      </c>
      <c r="N975">
        <f>IF(M975&gt;=5100,"ставка","мин.ставка")</f>
        <v/>
      </c>
      <c r="O975" s="3">
        <f>ROUND(IF(N975="мин.ставка",L975*100,I975/102*2),2)</f>
        <v/>
      </c>
      <c r="P975" s="5" t="n">
        <v>46228.5</v>
      </c>
      <c r="Q975" t="inlineStr">
        <is>
          <t>TravelLine ресепшен</t>
        </is>
      </c>
      <c r="R975" s="2" t="inlineStr">
        <is>
          <t>ЛЮКС ВТОРОЙ КОРПУС</t>
        </is>
      </c>
      <c r="S975" t="n">
        <v>57</v>
      </c>
      <c r="T975" t="n">
        <v>2</v>
      </c>
      <c r="U975" t="inlineStr"/>
      <c r="V975" t="inlineStr">
        <is>
          <t>Тариф с завтраком</t>
        </is>
      </c>
      <c r="W975" t="n">
        <v>17800</v>
      </c>
      <c r="X975" s="3" t="n">
        <v>0</v>
      </c>
      <c r="Y975" t="inlineStr"/>
      <c r="Z975" t="inlineStr"/>
      <c r="AA975" s="3" t="n">
        <v>17800</v>
      </c>
      <c r="AB975" t="inlineStr">
        <is>
          <t>Сошлось по ночным тарифам</t>
        </is>
      </c>
      <c r="AC975" s="2" t="inlineStr"/>
      <c r="AD975" t="n">
        <v>0</v>
      </c>
      <c r="AE975" t="n">
        <v>0</v>
      </c>
      <c r="AF975" t="inlineStr">
        <is>
          <t>Скидки нет</t>
        </is>
      </c>
      <c r="AG975" t="n">
        <v>17800</v>
      </c>
      <c r="AH975" t="n">
        <v>17800</v>
      </c>
      <c r="AI975" t="inlineStr">
        <is>
          <t>Полное проживание в выбранном периоде</t>
        </is>
      </c>
    </row>
    <row r="976">
      <c r="A976" t="inlineStr">
        <is>
          <t>20260813-8186-457325306</t>
        </is>
      </c>
      <c r="B976" t="n">
        <v>1</v>
      </c>
      <c r="C976" s="2" t="inlineStr">
        <is>
          <t>Ян Метринский</t>
        </is>
      </c>
      <c r="D976" s="3" t="n">
        <v>27240</v>
      </c>
      <c r="E976" s="4" t="n">
        <v>20</v>
      </c>
      <c r="F976" t="inlineStr">
        <is>
          <t>ООО "КОМПАНИЯ БРОНЕВИК" [Чайковский]</t>
        </is>
      </c>
      <c r="G976" s="3">
        <f>ROUND(D976/(100-E976)*100,2)</f>
        <v/>
      </c>
      <c r="H976" s="3" t="n">
        <v>0</v>
      </c>
      <c r="I976" s="3">
        <f>ROUND(IF(ISNUMBER(AG976),AG976,G976)+H976,2)</f>
        <v/>
      </c>
      <c r="J976" s="2" t="inlineStr">
        <is>
          <t>Завтрак "Шведский стол"</t>
        </is>
      </c>
      <c r="K976" s="5" t="n">
        <v>46247.58333333334</v>
      </c>
      <c r="L976" t="n">
        <v>3</v>
      </c>
      <c r="M976" s="3">
        <f>I976/L976</f>
        <v/>
      </c>
      <c r="N976">
        <f>IF(M976&gt;=5100,"ставка","мин.ставка")</f>
        <v/>
      </c>
      <c r="O976" s="3">
        <f>ROUND(IF(N976="мин.ставка",L976*100,I976/102*2),2)</f>
        <v/>
      </c>
      <c r="P976" s="5" t="n">
        <v>46250.5</v>
      </c>
      <c r="Q976" t="inlineStr">
        <is>
          <t>TravelLine BR2</t>
        </is>
      </c>
      <c r="R976" s="2" t="inlineStr">
        <is>
          <t>СТАНДАРТНЫЙ ДВУХМЕСТНЫЙ НОМЕР</t>
        </is>
      </c>
      <c r="S976" t="n">
        <v>52</v>
      </c>
      <c r="T976" t="n">
        <v>2</v>
      </c>
      <c r="U976" t="inlineStr"/>
      <c r="V976" t="inlineStr">
        <is>
          <t>Тариф с завтраком</t>
        </is>
      </c>
      <c r="W976" t="n">
        <v>27240</v>
      </c>
      <c r="X976" s="3" t="n">
        <v>0</v>
      </c>
      <c r="Y976" t="inlineStr"/>
      <c r="Z976" t="inlineStr"/>
      <c r="AA976" s="3" t="n">
        <v>27240</v>
      </c>
      <c r="AB976" t="inlineStr">
        <is>
          <t>Сошлось по ночным тарифам</t>
        </is>
      </c>
      <c r="AC976" s="2" t="inlineStr"/>
      <c r="AD976" t="n">
        <v>0</v>
      </c>
      <c r="AE976" t="n">
        <v>0</v>
      </c>
      <c r="AF976" t="inlineStr">
        <is>
          <t>Скидки нет</t>
        </is>
      </c>
      <c r="AG976" t="n">
        <v>27240</v>
      </c>
      <c r="AH976" t="n">
        <v>27240</v>
      </c>
      <c r="AI976" t="inlineStr">
        <is>
          <t>Полное проживание в выбранном периоде</t>
        </is>
      </c>
    </row>
    <row r="977">
      <c r="A977" t="inlineStr">
        <is>
          <t>20260911-8186-429106837</t>
        </is>
      </c>
      <c r="B977" t="n">
        <v>1</v>
      </c>
      <c r="C977" s="2" t="inlineStr">
        <is>
          <t>Ян Элксниньш, Лилия Элксниньш</t>
        </is>
      </c>
      <c r="D977" s="3" t="n">
        <v>47520</v>
      </c>
      <c r="E977" s="4" t="n">
        <v>18</v>
      </c>
      <c r="F977" t="inlineStr">
        <is>
          <t>Яндекс.Путешествия [Чайковский]</t>
        </is>
      </c>
      <c r="G977" s="3">
        <f>ROUND(D977/(100-E977)*100,2)</f>
        <v/>
      </c>
      <c r="H977" s="3" t="n">
        <v>0</v>
      </c>
      <c r="I977" s="3">
        <f>ROUND(IF(ISNUMBER(AG977),AG977,G977)+H977,2)</f>
        <v/>
      </c>
      <c r="J977" s="2" t="inlineStr">
        <is>
          <t>Завтрак "Шведский стол"</t>
        </is>
      </c>
      <c r="K977" s="5" t="n">
        <v>46276.58333333334</v>
      </c>
      <c r="L977" t="n">
        <v>6</v>
      </c>
      <c r="M977" s="3">
        <f>I977/L977</f>
        <v/>
      </c>
      <c r="N977">
        <f>IF(M977&gt;=5100,"ставка","мин.ставка")</f>
        <v/>
      </c>
      <c r="O977" s="3">
        <f>ROUND(IF(N977="мин.ставка",L977*100,I977/102*2),2)</f>
        <v/>
      </c>
      <c r="P977" s="5" t="n">
        <v>46282.5</v>
      </c>
      <c r="Q977" t="inlineStr">
        <is>
          <t>TravelLine YAX</t>
        </is>
      </c>
      <c r="R977" s="2" t="inlineStr">
        <is>
          <t>СТАНДАРТНЫЙ ДВУХМЕСТНЫЙ НОМЕР (МАНСАРДА)</t>
        </is>
      </c>
      <c r="S977" t="n">
        <v>45</v>
      </c>
      <c r="T977" t="n">
        <v>1</v>
      </c>
      <c r="U977" t="inlineStr"/>
      <c r="V977" t="inlineStr">
        <is>
          <t>Тариф с завтраком</t>
        </is>
      </c>
      <c r="W977" t="n">
        <v>47520</v>
      </c>
      <c r="X977" s="3" t="n">
        <v>11880</v>
      </c>
      <c r="Y977" t="inlineStr">
        <is>
          <t>20%</t>
        </is>
      </c>
      <c r="Z977" t="inlineStr">
        <is>
          <t>2026-09-11, 2026-09-12, 2026-09-13, 2026-09-14, 2026-09-15, 2026-09-16</t>
        </is>
      </c>
      <c r="AA977" s="3" t="n">
        <v>47520</v>
      </c>
      <c r="AB977" t="inlineStr">
        <is>
          <t>Сошлось по ночным тарифам</t>
        </is>
      </c>
      <c r="AC977" s="2" t="inlineStr"/>
      <c r="AD977" t="n">
        <v>11880</v>
      </c>
      <c r="AE977" t="n">
        <v>0</v>
      </c>
      <c r="AF977" t="inlineStr">
        <is>
          <t>Скидка добавлена к налоговой базе</t>
        </is>
      </c>
      <c r="AG977" t="n">
        <v>59400</v>
      </c>
      <c r="AH977" t="n">
        <v>47520</v>
      </c>
      <c r="AI977" t="inlineStr">
        <is>
          <t>Полное проживание в выбранном периоде</t>
        </is>
      </c>
    </row>
    <row r="978">
      <c r="A978" t="inlineStr">
        <is>
          <t>20260629-8186-440728066</t>
        </is>
      </c>
      <c r="B978" t="n">
        <v>1</v>
      </c>
      <c r="C978" s="2" t="inlineStr">
        <is>
          <t>Яна ЛИБЕРМАН</t>
        </is>
      </c>
      <c r="D978" s="3" t="n">
        <v>27921</v>
      </c>
      <c r="E978" s="4" t="n">
        <v>18</v>
      </c>
      <c r="F978" t="inlineStr">
        <is>
          <t>ООО "Эй энд Эй" [Чайковский]</t>
        </is>
      </c>
      <c r="G978" s="3">
        <f>ROUND(D978/(100-E978)*100,2)</f>
        <v/>
      </c>
      <c r="H978" s="3" t="n">
        <v>0</v>
      </c>
      <c r="I978" s="3">
        <f>ROUND(IF(ISNUMBER(AG978),AG978,G978)+H978,2)</f>
        <v/>
      </c>
      <c r="J978" s="2" t="inlineStr"/>
      <c r="K978" s="5" t="n">
        <v>46202.58333333334</v>
      </c>
      <c r="L978" t="n">
        <v>1</v>
      </c>
      <c r="M978" s="3">
        <f>I978/L978</f>
        <v/>
      </c>
      <c r="N978">
        <f>IF(M978&gt;=5100,"ставка","мин.ставка")</f>
        <v/>
      </c>
      <c r="O978" s="3">
        <f>ROUND(IF(N978="мин.ставка",L978*100,I978/102*2),2)</f>
        <v/>
      </c>
      <c r="P978" s="5" t="n">
        <v>46205.5</v>
      </c>
      <c r="Q978" t="inlineStr">
        <is>
          <t>TravelLine ANA</t>
        </is>
      </c>
      <c r="R978" s="2" t="inlineStr">
        <is>
          <t>СТАНДАРТНЫЙ ДВУХМЕСТНЫЙ НОМЕР</t>
        </is>
      </c>
      <c r="S978" t="n">
        <v>32</v>
      </c>
      <c r="T978" t="n">
        <v>1</v>
      </c>
      <c r="U978" t="inlineStr"/>
      <c r="V978" t="inlineStr">
        <is>
          <t>Тариф с завтраком</t>
        </is>
      </c>
      <c r="W978" t="n">
        <v>27921</v>
      </c>
      <c r="X978" s="3" t="n">
        <v>6129</v>
      </c>
      <c r="Y978" t="inlineStr">
        <is>
          <t>18%</t>
        </is>
      </c>
      <c r="Z978" t="inlineStr">
        <is>
          <t>2026-06-29, 2026-06-30, 2026-07-01</t>
        </is>
      </c>
      <c r="AA978" s="3" t="n">
        <v>27921</v>
      </c>
      <c r="AB978" t="inlineStr">
        <is>
          <t>Сошлось по ночным тарифам</t>
        </is>
      </c>
      <c r="AC978" s="2" t="inlineStr"/>
      <c r="AD978" t="n">
        <v>2043</v>
      </c>
      <c r="AE978" t="n">
        <v>0</v>
      </c>
      <c r="AF978" t="inlineStr">
        <is>
          <t>Ночи скидки определены по dailyRates; в базу добавлена только часть выбранного периода</t>
        </is>
      </c>
      <c r="AG978" t="n">
        <v>11350</v>
      </c>
      <c r="AH978" t="n">
        <v>9307</v>
      </c>
      <c r="AI978" t="inlineStr">
        <is>
          <t>Частичное проживание распределено по dailyRates</t>
        </is>
      </c>
    </row>
    <row r="979">
      <c r="A979" t="inlineStr">
        <is>
          <t>20260809-8186-419208245</t>
        </is>
      </c>
      <c r="B979" t="n">
        <v>1</v>
      </c>
      <c r="C979" s="2" t="inlineStr">
        <is>
          <t>ЯНА МАКАРОВА, АЛЕКСАНДР МИХАЛЕВА</t>
        </is>
      </c>
      <c r="D979" s="3" t="n">
        <v>68085</v>
      </c>
      <c r="E979" s="4" t="n">
        <v>16</v>
      </c>
      <c r="F979" t="inlineStr">
        <is>
          <t>ООО "БРОНИРОВАНИЕ ГОСТИНИЦ" (OSTROVOK) [Чайковский]</t>
        </is>
      </c>
      <c r="G979" s="3">
        <f>ROUND(D979/(100-E979)*100,2)</f>
        <v/>
      </c>
      <c r="H979" s="3" t="n">
        <v>0</v>
      </c>
      <c r="I979" s="3">
        <f>ROUND(IF(ISNUMBER(AG979),AG979,G979)+H979,2)</f>
        <v/>
      </c>
      <c r="J979" s="2" t="inlineStr">
        <is>
          <t>Завтрак "Шведский стол"</t>
        </is>
      </c>
      <c r="K979" s="5" t="n">
        <v>46243.58333333334</v>
      </c>
      <c r="L979" t="n">
        <v>6</v>
      </c>
      <c r="M979" s="3">
        <f>I979/L979</f>
        <v/>
      </c>
      <c r="N979">
        <f>IF(M979&gt;=5100,"ставка","мин.ставка")</f>
        <v/>
      </c>
      <c r="O979" s="3">
        <f>ROUND(IF(N979="мин.ставка",L979*100,I979/102*2),2)</f>
        <v/>
      </c>
      <c r="P979" s="5" t="n">
        <v>46249.5</v>
      </c>
      <c r="Q979" t="inlineStr">
        <is>
          <t>TravelLine OTK</t>
        </is>
      </c>
      <c r="R979" s="2" t="inlineStr">
        <is>
          <t>СТАНДАРТНЫЙ ДВУХМЕСТНЫЙ НОМЕР</t>
        </is>
      </c>
      <c r="S979" t="n">
        <v>44</v>
      </c>
      <c r="T979" t="n">
        <v>1</v>
      </c>
      <c r="U979" t="inlineStr"/>
      <c r="V979" t="inlineStr">
        <is>
          <t>Тариф с завтраком</t>
        </is>
      </c>
      <c r="W979" t="n">
        <v>136170</v>
      </c>
      <c r="X979" s="3" t="n">
        <v>12015</v>
      </c>
      <c r="Y979" t="inlineStr">
        <is>
          <t>15%</t>
        </is>
      </c>
      <c r="Z979" t="inlineStr">
        <is>
          <t>2026-08-09, 2026-08-10, 2026-08-11, 2026-08-12, 2026-08-13, 2026-08-14</t>
        </is>
      </c>
      <c r="AA979" s="3" t="n">
        <v>68085</v>
      </c>
      <c r="AB979" t="inlineStr">
        <is>
          <t>Сошлось по ночным тарифам</t>
        </is>
      </c>
      <c r="AC979" s="2" t="inlineStr"/>
      <c r="AD979" t="n">
        <v>12015</v>
      </c>
      <c r="AE979" t="n">
        <v>0</v>
      </c>
      <c r="AF979" t="inlineStr">
        <is>
          <t>Скидка добавлена к налоговой базе</t>
        </is>
      </c>
      <c r="AG979" t="n">
        <v>80100</v>
      </c>
      <c r="AH979" t="n">
        <v>68085</v>
      </c>
      <c r="AI979" t="inlineStr">
        <is>
          <t>Полное проживание в выбранном периоде</t>
        </is>
      </c>
    </row>
    <row r="980">
      <c r="A980" t="inlineStr">
        <is>
          <t>20260813-8186-456022228</t>
        </is>
      </c>
      <c r="B980" t="n">
        <v>1</v>
      </c>
      <c r="C980" s="2" t="inlineStr">
        <is>
          <t>ЯНИНА АНУЩЕНКОВА</t>
        </is>
      </c>
      <c r="D980" s="3" t="n">
        <v>39816</v>
      </c>
      <c r="E980" s="4" t="n">
        <v>16</v>
      </c>
      <c r="F980" t="inlineStr">
        <is>
          <t>ООО "БРОНИРОВАНИЕ ГОСТИНИЦ" (OSTROVOK) [Чайковский]</t>
        </is>
      </c>
      <c r="G980" s="3">
        <f>ROUND(D980/(100-E980)*100,2)</f>
        <v/>
      </c>
      <c r="H980" s="3" t="n">
        <v>3300</v>
      </c>
      <c r="I980" s="3">
        <f>ROUND(IF(ISNUMBER(AG980),AG980,G980)+H980,2)</f>
        <v/>
      </c>
      <c r="J980" s="2" t="inlineStr">
        <is>
          <t>продление номера — 3 300,00 ₽; Завтрак "Шведский стол"</t>
        </is>
      </c>
      <c r="K980" s="5" t="n">
        <v>46247.58333333334</v>
      </c>
      <c r="L980" t="n">
        <v>3</v>
      </c>
      <c r="M980" s="3">
        <f>I980/L980</f>
        <v/>
      </c>
      <c r="N980">
        <f>IF(M980&gt;=5100,"ставка","мин.ставка")</f>
        <v/>
      </c>
      <c r="O980" s="3">
        <f>ROUND(IF(N980="мин.ставка",L980*100,I980/102*2),2)</f>
        <v/>
      </c>
      <c r="P980" s="5" t="n">
        <v>46250.70833333334</v>
      </c>
      <c r="Q980" t="inlineStr">
        <is>
          <t>TravelLine OTK</t>
        </is>
      </c>
      <c r="R980" s="2" t="inlineStr">
        <is>
          <t>ЛЮКС ВТОРОЙ КОРПУС</t>
        </is>
      </c>
      <c r="S980" t="n">
        <v>53</v>
      </c>
      <c r="T980" t="n">
        <v>2</v>
      </c>
      <c r="U980" t="inlineStr"/>
      <c r="V980" t="inlineStr">
        <is>
          <t>Тариф с завтраком</t>
        </is>
      </c>
      <c r="W980" t="n">
        <v>43116</v>
      </c>
      <c r="X980" s="3" t="n">
        <v>7584</v>
      </c>
      <c r="Y980" t="inlineStr">
        <is>
          <t>16%</t>
        </is>
      </c>
      <c r="Z980" t="inlineStr">
        <is>
          <t>2026-08-13, 2026-08-14, 2026-08-15</t>
        </is>
      </c>
      <c r="AA980" s="3" t="n">
        <v>39816</v>
      </c>
      <c r="AB980" t="inlineStr">
        <is>
          <t>Сошлось с услугами</t>
        </is>
      </c>
      <c r="AC980" s="2" t="inlineStr"/>
      <c r="AD980" t="n">
        <v>7584</v>
      </c>
      <c r="AE980" t="n">
        <v>0</v>
      </c>
      <c r="AF980" t="inlineStr">
        <is>
          <t>Скидка добавлена к налоговой базе</t>
        </is>
      </c>
      <c r="AG980" t="n">
        <v>47400</v>
      </c>
      <c r="AH980" t="n">
        <v>39816</v>
      </c>
      <c r="AI980" t="inlineStr">
        <is>
          <t>Полное проживание в выбранном периоде</t>
        </is>
      </c>
    </row>
    <row r="981">
      <c r="A981" t="inlineStr">
        <is>
          <t>20260705-8186-444990056</t>
        </is>
      </c>
      <c r="B981" t="n">
        <v>1</v>
      </c>
      <c r="C981" s="2" t="inlineStr">
        <is>
          <t>ЯРОСЛАВ МОРОЗОВ, ЕВГЕНИЯ ШУБИНА</t>
        </is>
      </c>
      <c r="D981" s="3" t="n">
        <v>34042.5</v>
      </c>
      <c r="E981" s="4" t="n">
        <v>0</v>
      </c>
      <c r="F981" t="inlineStr">
        <is>
          <t>ООО «ХОМЛИН ЛЭНД» (ПЕГАС) [Чайковский]</t>
        </is>
      </c>
      <c r="G981" s="3">
        <f>ROUND(D981/(100-E981)*100,2)</f>
        <v/>
      </c>
      <c r="H981" s="3" t="n">
        <v>0</v>
      </c>
      <c r="I981" s="3">
        <f>ROUND(IF(ISNUMBER(AG981),AG981,G981)+H981,2)</f>
        <v/>
      </c>
      <c r="J981" s="2" t="inlineStr">
        <is>
          <t>Завтрак "Шведский стол"</t>
        </is>
      </c>
      <c r="K981" s="5" t="n">
        <v>46208.58333333334</v>
      </c>
      <c r="L981" t="n">
        <v>3</v>
      </c>
      <c r="M981" s="3">
        <f>I981/L981</f>
        <v/>
      </c>
      <c r="N981">
        <f>IF(M981&gt;=5100,"ставка","мин.ставка")</f>
        <v/>
      </c>
      <c r="O981" s="3">
        <f>ROUND(IF(N981="мин.ставка",L981*100,I981/102*2),2)</f>
        <v/>
      </c>
      <c r="P981" s="5" t="n">
        <v>46211.5</v>
      </c>
      <c r="Q981" t="inlineStr">
        <is>
          <t>TravelLine PGS</t>
        </is>
      </c>
      <c r="R981" s="2" t="inlineStr">
        <is>
          <t>СТАНДАРТНЫЙ ДВУХМЕСТНЫЙ НОМЕР</t>
        </is>
      </c>
      <c r="S981" t="n">
        <v>42</v>
      </c>
      <c r="T981" t="n">
        <v>1</v>
      </c>
      <c r="U981" t="inlineStr"/>
      <c r="V981" t="inlineStr">
        <is>
          <t>Тариф с завтраком</t>
        </is>
      </c>
      <c r="W981" t="n">
        <v>34042.5</v>
      </c>
      <c r="X981" s="3" t="n">
        <v>6007.5</v>
      </c>
      <c r="Y981" t="inlineStr">
        <is>
          <t>15%</t>
        </is>
      </c>
      <c r="Z981" t="inlineStr">
        <is>
          <t>2026-07-05, 2026-07-06, 2026-07-07</t>
        </is>
      </c>
      <c r="AA981" s="3" t="n">
        <v>34042.5</v>
      </c>
      <c r="AB981" t="inlineStr">
        <is>
          <t>Сошлось по ночным тарифам</t>
        </is>
      </c>
      <c r="AC981" s="2" t="inlineStr"/>
      <c r="AD981" t="n">
        <v>6007.5</v>
      </c>
      <c r="AE981" t="n">
        <v>0</v>
      </c>
      <c r="AF981" t="inlineStr">
        <is>
          <t>Скидка добавлена к налоговой базе</t>
        </is>
      </c>
      <c r="AG981" t="n">
        <v>40050</v>
      </c>
      <c r="AH981" t="n">
        <v>34042.5</v>
      </c>
      <c r="AI981" t="inlineStr">
        <is>
          <t>Полное проживание в выбранном периоде</t>
        </is>
      </c>
    </row>
    <row r="982">
      <c r="A982" t="inlineStr">
        <is>
          <t>20260701-8186-442331708</t>
        </is>
      </c>
      <c r="B982" t="n">
        <v>1</v>
      </c>
      <c r="C982" s="2" t="inlineStr">
        <is>
          <t>ЯРОСЛАВ СЕМЕНОВ</t>
        </is>
      </c>
      <c r="D982" s="3" t="n">
        <v>7900</v>
      </c>
      <c r="E982" s="4" t="n">
        <v>0</v>
      </c>
      <c r="F982" t="inlineStr">
        <is>
          <t>Прямые бронирования (стойка) [Чайковский]</t>
        </is>
      </c>
      <c r="G982" s="3">
        <f>ROUND(D982/(100-E982)*100,2)</f>
        <v/>
      </c>
      <c r="H982" s="3" t="n">
        <v>0</v>
      </c>
      <c r="I982" s="3">
        <f>ROUND(IF(ISNUMBER(AG982),AG982,G982)+H982,2)</f>
        <v/>
      </c>
      <c r="J982" s="2" t="inlineStr">
        <is>
          <t>Завтрак "Шведский стол"</t>
        </is>
      </c>
      <c r="K982" s="5" t="n">
        <v>46204.58333333334</v>
      </c>
      <c r="L982" t="n">
        <v>1</v>
      </c>
      <c r="M982" s="3">
        <f>I982/L982</f>
        <v/>
      </c>
      <c r="N982">
        <f>IF(M982&gt;=5100,"ставка","мин.ставка")</f>
        <v/>
      </c>
      <c r="O982" s="3">
        <f>ROUND(IF(N982="мин.ставка",L982*100,I982/102*2),2)</f>
        <v/>
      </c>
      <c r="P982" s="5" t="n">
        <v>46205.5</v>
      </c>
      <c r="Q982" t="inlineStr">
        <is>
          <t>TravelLine ресепшен</t>
        </is>
      </c>
      <c r="R982" s="2" t="inlineStr">
        <is>
          <t>СТАНДАРТНЫЙ ДВУХМЕСТНЫЙ НОМЕР (МАНСАРДА)</t>
        </is>
      </c>
      <c r="S982" t="n">
        <v>43</v>
      </c>
      <c r="T982" t="n">
        <v>1</v>
      </c>
      <c r="U982" t="inlineStr"/>
      <c r="V982" t="inlineStr">
        <is>
          <t>Тариф с завтраком</t>
        </is>
      </c>
      <c r="W982" t="n">
        <v>7900</v>
      </c>
      <c r="X982" s="3" t="n">
        <v>0</v>
      </c>
      <c r="Y982" t="inlineStr"/>
      <c r="Z982" t="inlineStr"/>
      <c r="AA982" s="3" t="n">
        <v>7900</v>
      </c>
      <c r="AB982" t="inlineStr">
        <is>
          <t>Сошлось по ночным тарифам</t>
        </is>
      </c>
      <c r="AC982" s="2" t="inlineStr"/>
      <c r="AD982" t="n">
        <v>0</v>
      </c>
      <c r="AE982" t="n">
        <v>0</v>
      </c>
      <c r="AF982" t="inlineStr">
        <is>
          <t>Скидки нет</t>
        </is>
      </c>
      <c r="AG982" t="n">
        <v>7900</v>
      </c>
      <c r="AH982" t="n">
        <v>7900</v>
      </c>
      <c r="AI982" t="inlineStr">
        <is>
          <t>Полное проживание в выбранном периоде</t>
        </is>
      </c>
    </row>
    <row r="983">
      <c r="A983" s="6" t="n"/>
      <c r="B983" s="6">
        <f>SUM(B2:B982)</f>
        <v/>
      </c>
      <c r="C983" s="6" t="inlineStr">
        <is>
          <t>ИТОГО:</t>
        </is>
      </c>
      <c r="D983" s="6">
        <f>SUM(D2:D982)</f>
        <v/>
      </c>
      <c r="E983" s="6" t="n"/>
      <c r="F983" s="6" t="n"/>
      <c r="G983" s="6">
        <f>SUM(G2:G982)</f>
        <v/>
      </c>
      <c r="H983" s="6">
        <f>SUM(H2:H982)</f>
        <v/>
      </c>
      <c r="I983" s="6">
        <f>SUM(I2:I982)</f>
        <v/>
      </c>
      <c r="J983" s="6" t="n"/>
      <c r="K983" s="6" t="n"/>
      <c r="L983" s="6">
        <f>SUM(L2:L982)</f>
        <v/>
      </c>
      <c r="M983" s="6" t="n"/>
      <c r="N983" s="6" t="n"/>
      <c r="O983" s="6">
        <f>SUM(O2:O982)</f>
        <v/>
      </c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8" customWidth="1" min="4" max="4"/>
    <col width="10" customWidth="1" min="5" max="5"/>
    <col width="32" customWidth="1" min="6" max="6"/>
    <col width="20" customWidth="1" min="7" max="7"/>
    <col width="16" customWidth="1" min="8" max="8"/>
    <col width="24" customWidth="1" min="9" max="9"/>
    <col width="48" customWidth="1" min="10" max="10"/>
    <col width="12" customWidth="1" min="11" max="11"/>
    <col width="10" customWidth="1" min="12" max="12"/>
    <col width="16" customWidth="1" min="13" max="13"/>
    <col width="12" customWidth="1" min="14" max="14"/>
    <col width="12" customWidth="1" min="15" max="15"/>
    <col width="12" customWidth="1" min="16" max="16"/>
    <col width="25" customWidth="1" min="17" max="17"/>
    <col width="30" customWidth="1" min="18" max="18"/>
    <col width="10" customWidth="1" min="19" max="19"/>
    <col width="8" customWidth="1" min="20" max="20"/>
    <col width="45" customWidth="1" min="21" max="21"/>
    <col width="20" customWidth="1" min="22" max="22"/>
    <col width="20" customWidth="1" min="23" max="23"/>
    <col width="16" customWidth="1" min="24" max="24"/>
    <col width="20" customWidth="1" min="25" max="25"/>
    <col width="20" customWidth="1" min="26" max="26"/>
    <col width="16" customWidth="1" min="27" max="27"/>
    <col width="20" customWidth="1" min="28" max="28"/>
    <col width="48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Допуслуги</t>
        </is>
      </c>
      <c r="I1" s="1" t="inlineStr">
        <is>
          <t>Стоимость для налога</t>
        </is>
      </c>
      <c r="J1" s="1" t="inlineStr">
        <is>
          <t>Наименование допуслуг</t>
        </is>
      </c>
      <c r="K1" s="1" t="inlineStr">
        <is>
          <t>Заезд</t>
        </is>
      </c>
      <c r="L1" s="1" t="inlineStr">
        <is>
          <t>Ночей</t>
        </is>
      </c>
      <c r="M1" s="1" t="inlineStr">
        <is>
          <t>Сут.ставка</t>
        </is>
      </c>
      <c r="N1" s="1" t="inlineStr">
        <is>
          <t>Метод</t>
        </is>
      </c>
      <c r="O1" s="1" t="inlineStr">
        <is>
          <t>Налог</t>
        </is>
      </c>
      <c r="P1" s="1" t="inlineStr">
        <is>
          <t>Выезд</t>
        </is>
      </c>
      <c r="Q1" s="1" t="inlineStr">
        <is>
          <t>Источник</t>
        </is>
      </c>
      <c r="R1" s="1" t="inlineStr">
        <is>
          <t>Категория номера</t>
        </is>
      </c>
      <c r="S1" s="1" t="inlineStr">
        <is>
          <t>№ комнаты</t>
        </is>
      </c>
      <c r="T1" s="1" t="inlineStr">
        <is>
          <t>корпус</t>
        </is>
      </c>
      <c r="U1" s="1" t="inlineStr">
        <is>
          <t>Примечание</t>
        </is>
      </c>
      <c r="V1" s="1" t="inlineStr">
        <is>
          <t>Тариф</t>
        </is>
      </c>
      <c r="W1" s="1" t="inlineStr">
        <is>
          <t>Итог брони</t>
        </is>
      </c>
      <c r="X1" s="1" t="inlineStr">
        <is>
          <t>Скидка TravelLine, ₽</t>
        </is>
      </c>
      <c r="Y1" s="1" t="inlineStr">
        <is>
          <t>Процент скидки TravelLine</t>
        </is>
      </c>
      <c r="Z1" s="1" t="inlineStr">
        <is>
          <t>Предполагаемые ночи со скидкой TravelLine</t>
        </is>
      </c>
      <c r="AA1" s="1" t="inlineStr">
        <is>
          <t>Сумма dailyRates</t>
        </is>
      </c>
      <c r="AB1" s="1" t="inlineStr">
        <is>
          <t>Сверка dailyRates</t>
        </is>
      </c>
      <c r="AC1" s="1" t="inlineStr">
        <is>
          <t>Название скидки/кампании TravelLine</t>
        </is>
      </c>
      <c r="AD1" s="1" t="inlineStr">
        <is>
          <t>Скидка добавлена к налоговой базе, ₽</t>
        </is>
      </c>
      <c r="AE1" s="1" t="inlineStr">
        <is>
          <t>Скидка сохранена в базе, ₽</t>
        </is>
      </c>
      <c r="AF1" s="1" t="inlineStr">
        <is>
          <t>Правило скидки TravelLine</t>
        </is>
      </c>
      <c r="AG1" s="1" t="inlineStr">
        <is>
          <t>Налоговая база TravelLine, ₽</t>
        </is>
      </c>
      <c r="AH1" s="1" t="inlineStr">
        <is>
          <t>Стоимость проживания за выбранный период TravelLine, ₽</t>
        </is>
      </c>
      <c r="AI1" s="1" t="inlineStr">
        <is>
          <t>Распределение по периоду TravelLine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7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8" customWidth="1" min="4" max="4"/>
    <col width="10" customWidth="1" min="5" max="5"/>
    <col width="32" customWidth="1" min="6" max="6"/>
    <col width="20" customWidth="1" min="7" max="7"/>
    <col width="16" customWidth="1" min="8" max="8"/>
    <col width="24" customWidth="1" min="9" max="9"/>
    <col width="48" customWidth="1" min="10" max="10"/>
    <col width="12" customWidth="1" min="11" max="11"/>
    <col width="10" customWidth="1" min="12" max="12"/>
    <col width="16" customWidth="1" min="13" max="13"/>
    <col width="12" customWidth="1" min="14" max="14"/>
    <col width="12" customWidth="1" min="15" max="15"/>
    <col width="12" customWidth="1" min="16" max="16"/>
    <col width="25" customWidth="1" min="17" max="17"/>
    <col width="30" customWidth="1" min="18" max="18"/>
    <col width="10" customWidth="1" min="19" max="19"/>
    <col width="8" customWidth="1" min="20" max="20"/>
    <col width="45" customWidth="1" min="21" max="21"/>
    <col width="20" customWidth="1" min="22" max="22"/>
    <col width="20" customWidth="1" min="23" max="23"/>
    <col width="16" customWidth="1" min="24" max="24"/>
    <col width="20" customWidth="1" min="25" max="25"/>
    <col width="20" customWidth="1" min="26" max="26"/>
    <col width="16" customWidth="1" min="27" max="27"/>
    <col width="20" customWidth="1" min="28" max="28"/>
    <col width="48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Допуслуги</t>
        </is>
      </c>
      <c r="I1" s="1" t="inlineStr">
        <is>
          <t>Стоимость для налога</t>
        </is>
      </c>
      <c r="J1" s="1" t="inlineStr">
        <is>
          <t>Наименование допуслуг</t>
        </is>
      </c>
      <c r="K1" s="1" t="inlineStr">
        <is>
          <t>Заезд</t>
        </is>
      </c>
      <c r="L1" s="1" t="inlineStr">
        <is>
          <t>Ночей</t>
        </is>
      </c>
      <c r="M1" s="1" t="inlineStr">
        <is>
          <t>Сут.ставка</t>
        </is>
      </c>
      <c r="N1" s="1" t="inlineStr">
        <is>
          <t>Метод</t>
        </is>
      </c>
      <c r="O1" s="1" t="inlineStr">
        <is>
          <t>Налог</t>
        </is>
      </c>
      <c r="P1" s="1" t="inlineStr">
        <is>
          <t>Выезд</t>
        </is>
      </c>
      <c r="Q1" s="1" t="inlineStr">
        <is>
          <t>Источник</t>
        </is>
      </c>
      <c r="R1" s="1" t="inlineStr">
        <is>
          <t>Категория номера</t>
        </is>
      </c>
      <c r="S1" s="1" t="inlineStr">
        <is>
          <t>№ комнаты</t>
        </is>
      </c>
      <c r="T1" s="1" t="inlineStr">
        <is>
          <t>корпус</t>
        </is>
      </c>
      <c r="U1" s="1" t="inlineStr">
        <is>
          <t>Примечание</t>
        </is>
      </c>
      <c r="V1" s="1" t="inlineStr">
        <is>
          <t>Тариф</t>
        </is>
      </c>
      <c r="W1" s="1" t="inlineStr">
        <is>
          <t>Итог брони</t>
        </is>
      </c>
      <c r="X1" s="1" t="inlineStr">
        <is>
          <t>Скидка TravelLine, ₽</t>
        </is>
      </c>
      <c r="Y1" s="1" t="inlineStr">
        <is>
          <t>Процент скидки TravelLine</t>
        </is>
      </c>
      <c r="Z1" s="1" t="inlineStr">
        <is>
          <t>Предполагаемые ночи со скидкой TravelLine</t>
        </is>
      </c>
      <c r="AA1" s="1" t="inlineStr">
        <is>
          <t>Сумма dailyRates</t>
        </is>
      </c>
      <c r="AB1" s="1" t="inlineStr">
        <is>
          <t>Сверка dailyRates</t>
        </is>
      </c>
      <c r="AC1" s="1" t="inlineStr">
        <is>
          <t>Название скидки/кампании TravelLine</t>
        </is>
      </c>
      <c r="AD1" s="1" t="inlineStr">
        <is>
          <t>Скидка добавлена к налоговой базе, ₽</t>
        </is>
      </c>
      <c r="AE1" s="1" t="inlineStr">
        <is>
          <t>Скидка сохранена в базе, ₽</t>
        </is>
      </c>
      <c r="AF1" s="1" t="inlineStr">
        <is>
          <t>Правило скидки TravelLine</t>
        </is>
      </c>
      <c r="AG1" s="1" t="inlineStr">
        <is>
          <t>Налоговая база TravelLine, ₽</t>
        </is>
      </c>
      <c r="AH1" s="1" t="inlineStr">
        <is>
          <t>Стоимость проживания за выбранный период TravelLine, ₽</t>
        </is>
      </c>
      <c r="AI1" s="1" t="inlineStr">
        <is>
          <t>Распределение по периоду TravelLine</t>
        </is>
      </c>
    </row>
    <row r="2">
      <c r="A2" t="inlineStr">
        <is>
          <t>20260825-8186-461137645</t>
        </is>
      </c>
      <c r="B2" t="n">
        <v>1</v>
      </c>
      <c r="C2" s="2" t="inlineStr">
        <is>
          <t>ALEKSEJS VAZENINS</t>
        </is>
      </c>
      <c r="D2" s="3" t="n">
        <v>13860</v>
      </c>
      <c r="E2" s="4" t="n">
        <v>0</v>
      </c>
      <c r="F2" t="inlineStr">
        <is>
          <t>Прямые бронирования (стойка) [Чайковский]</t>
        </is>
      </c>
      <c r="G2" s="3">
        <f>ROUND(D2/(100-E2)*100,2)</f>
        <v/>
      </c>
      <c r="H2" s="3" t="n">
        <v>0</v>
      </c>
      <c r="I2" s="3">
        <f>ROUND(IF(ISNUMBER(AG2),AG2,G2)+H2,2)</f>
        <v/>
      </c>
      <c r="J2" s="2" t="inlineStr">
        <is>
          <t>Завтрак "Шведский стол"</t>
        </is>
      </c>
      <c r="K2" s="5" t="n">
        <v>46259.58333333334</v>
      </c>
      <c r="L2" t="n">
        <v>1</v>
      </c>
      <c r="M2" s="3">
        <f>I2/L2</f>
        <v/>
      </c>
      <c r="N2">
        <f>IF(M2&gt;=5100,"ставка","мин.ставка")</f>
        <v/>
      </c>
      <c r="O2" s="3">
        <f>ROUND(IF(N2="мин.ставка",L2*100,I2/102*2),2)</f>
        <v/>
      </c>
      <c r="P2" s="5" t="n">
        <v>46260.5</v>
      </c>
      <c r="Q2" t="inlineStr">
        <is>
          <t>TravelLine ресепшен</t>
        </is>
      </c>
      <c r="R2" s="2" t="inlineStr">
        <is>
          <t>УЛУЧШЕННЫЙ ДВУХМЕСТНЫЙ НОМЕР</t>
        </is>
      </c>
      <c r="S2" t="n">
        <v>21</v>
      </c>
      <c r="T2" t="n">
        <v>1</v>
      </c>
      <c r="U2" t="inlineStr"/>
      <c r="V2" t="inlineStr">
        <is>
          <t>Тариф с завтраком</t>
        </is>
      </c>
      <c r="W2" t="n">
        <v>13860</v>
      </c>
      <c r="X2" s="3" t="n">
        <v>1540</v>
      </c>
      <c r="Y2" t="inlineStr">
        <is>
          <t>10%</t>
        </is>
      </c>
      <c r="Z2" t="inlineStr">
        <is>
          <t>2026-08-25</t>
        </is>
      </c>
      <c r="AA2" s="3" t="n">
        <v>13860</v>
      </c>
      <c r="AB2" t="inlineStr">
        <is>
          <t>Сошлось по ночным тарифам</t>
        </is>
      </c>
      <c r="AC2" s="2" t="inlineStr"/>
      <c r="AD2" t="n">
        <v>1540</v>
      </c>
      <c r="AE2" t="n">
        <v>0</v>
      </c>
      <c r="AF2" t="inlineStr">
        <is>
          <t>Скидка добавлена к налоговой базе</t>
        </is>
      </c>
      <c r="AG2" t="n">
        <v>15400</v>
      </c>
      <c r="AH2" t="n">
        <v>13860</v>
      </c>
      <c r="AI2" t="inlineStr">
        <is>
          <t>Полное проживание в выбранном периоде</t>
        </is>
      </c>
    </row>
    <row r="3">
      <c r="A3" t="inlineStr">
        <is>
          <t>20260807-8186-433561161</t>
        </is>
      </c>
      <c r="B3" t="n">
        <v>1</v>
      </c>
      <c r="C3" s="2" t="inlineStr">
        <is>
          <t>ALEXANDER SCHNEIDER, Кристина Винтер</t>
        </is>
      </c>
      <c r="D3" s="3" t="n">
        <v>7920</v>
      </c>
      <c r="E3" s="4" t="n">
        <v>18</v>
      </c>
      <c r="F3" t="inlineStr">
        <is>
          <t>Яндекс.Путешествия [Чайковский]</t>
        </is>
      </c>
      <c r="G3" s="3">
        <f>ROUND(D3/(100-E3)*100,2)</f>
        <v/>
      </c>
      <c r="H3" s="3" t="n">
        <v>0</v>
      </c>
      <c r="I3" s="3">
        <f>ROUND(IF(ISNUMBER(AG3),AG3,G3)+H3,2)</f>
        <v/>
      </c>
      <c r="J3" s="2" t="inlineStr">
        <is>
          <t>Завтрак "Шведский стол"</t>
        </is>
      </c>
      <c r="K3" s="5" t="n">
        <v>46241.58333333334</v>
      </c>
      <c r="L3" t="n">
        <v>1</v>
      </c>
      <c r="M3" s="3">
        <f>I3/L3</f>
        <v/>
      </c>
      <c r="N3">
        <f>IF(M3&gt;=5100,"ставка","мин.ставка")</f>
        <v/>
      </c>
      <c r="O3" s="3">
        <f>ROUND(IF(N3="мин.ставка",L3*100,I3/102*2),2)</f>
        <v/>
      </c>
      <c r="P3" s="5" t="n">
        <v>46242.5</v>
      </c>
      <c r="Q3" t="inlineStr">
        <is>
          <t>TravelLine YAX</t>
        </is>
      </c>
      <c r="R3" s="2" t="inlineStr">
        <is>
          <t>СТАНДАРТНЫЙ ДВУХМЕСТНЫЙ НОМЕР (МАНСАРДА)</t>
        </is>
      </c>
      <c r="S3" t="n">
        <v>47</v>
      </c>
      <c r="T3" t="n">
        <v>1</v>
      </c>
      <c r="U3" t="inlineStr"/>
      <c r="V3" t="inlineStr">
        <is>
          <t>Тариф с завтраком</t>
        </is>
      </c>
      <c r="W3" t="n">
        <v>7920</v>
      </c>
      <c r="X3" s="3" t="n">
        <v>1980</v>
      </c>
      <c r="Y3" t="inlineStr">
        <is>
          <t>20%</t>
        </is>
      </c>
      <c r="Z3" t="inlineStr">
        <is>
          <t>2026-08-07</t>
        </is>
      </c>
      <c r="AA3" s="3" t="n">
        <v>7920</v>
      </c>
      <c r="AB3" t="inlineStr">
        <is>
          <t>Сошлось по ночным тарифам</t>
        </is>
      </c>
      <c r="AC3" s="2" t="inlineStr"/>
      <c r="AD3" t="n">
        <v>1980</v>
      </c>
      <c r="AE3" t="n">
        <v>0</v>
      </c>
      <c r="AF3" t="inlineStr">
        <is>
          <t>Скидка добавлена к налоговой базе</t>
        </is>
      </c>
      <c r="AG3" t="n">
        <v>9900</v>
      </c>
      <c r="AH3" t="n">
        <v>7920</v>
      </c>
      <c r="AI3" t="inlineStr">
        <is>
          <t>Полное проживание в выбранном периоде</t>
        </is>
      </c>
    </row>
    <row r="4">
      <c r="A4" t="inlineStr">
        <is>
          <t>20260712-8186-449535323</t>
        </is>
      </c>
      <c r="B4" t="n">
        <v>1</v>
      </c>
      <c r="C4" s="2" t="inlineStr">
        <is>
          <t>ANDREAS POPP</t>
        </is>
      </c>
      <c r="D4" s="3" t="n">
        <v>6557</v>
      </c>
      <c r="E4" s="4" t="n">
        <v>0</v>
      </c>
      <c r="F4" t="inlineStr">
        <is>
          <t>Прямые бронирования (стойка) [Чайковский]</t>
        </is>
      </c>
      <c r="G4" s="3">
        <f>ROUND(D4/(100-E4)*100,2)</f>
        <v/>
      </c>
      <c r="H4" s="3" t="n">
        <v>0</v>
      </c>
      <c r="I4" s="3">
        <f>ROUND(IF(ISNUMBER(AG4),AG4,G4)+H4,2)</f>
        <v/>
      </c>
      <c r="J4" s="2" t="inlineStr">
        <is>
          <t>Завтрак "Шведский стол"</t>
        </is>
      </c>
      <c r="K4" s="5" t="n">
        <v>46215.58333333334</v>
      </c>
      <c r="L4" t="n">
        <v>1</v>
      </c>
      <c r="M4" s="3">
        <f>I4/L4</f>
        <v/>
      </c>
      <c r="N4">
        <f>IF(M4&gt;=5100,"ставка","мин.ставка")</f>
        <v/>
      </c>
      <c r="O4" s="3">
        <f>ROUND(IF(N4="мин.ставка",L4*100,I4/102*2),2)</f>
        <v/>
      </c>
      <c r="P4" s="5" t="n">
        <v>46216.5</v>
      </c>
      <c r="Q4" t="inlineStr">
        <is>
          <t>TravelLine CMB</t>
        </is>
      </c>
      <c r="R4" s="2" t="inlineStr">
        <is>
          <t>СТАНДАРТНЫЙ ДВУХМЕСТНЫЙ НОМЕР (МАНСАРДА)</t>
        </is>
      </c>
      <c r="S4" t="n">
        <v>45</v>
      </c>
      <c r="T4" t="n">
        <v>1</v>
      </c>
      <c r="U4" t="inlineStr"/>
      <c r="V4" t="inlineStr">
        <is>
          <t>Тариф с завтраком</t>
        </is>
      </c>
      <c r="W4" t="n">
        <v>6557</v>
      </c>
      <c r="X4" s="3" t="n">
        <v>1343</v>
      </c>
      <c r="Y4" t="inlineStr">
        <is>
          <t>17%</t>
        </is>
      </c>
      <c r="Z4" t="inlineStr">
        <is>
          <t>2026-07-12</t>
        </is>
      </c>
      <c r="AA4" s="3" t="n">
        <v>6557</v>
      </c>
      <c r="AB4" t="inlineStr">
        <is>
          <t>Сошлось по ночным тарифам</t>
        </is>
      </c>
      <c r="AC4" s="2" t="inlineStr"/>
      <c r="AD4" t="n">
        <v>1343</v>
      </c>
      <c r="AE4" t="n">
        <v>0</v>
      </c>
      <c r="AF4" t="inlineStr">
        <is>
          <t>Скидка добавлена к налоговой базе</t>
        </is>
      </c>
      <c r="AG4" t="n">
        <v>7900</v>
      </c>
      <c r="AH4" t="n">
        <v>6557</v>
      </c>
      <c r="AI4" t="inlineStr">
        <is>
          <t>Полное проживание в выбранном периоде</t>
        </is>
      </c>
    </row>
    <row r="5">
      <c r="A5" t="inlineStr">
        <is>
          <t>20260823-8186-458773575</t>
        </is>
      </c>
      <c r="B5" t="n">
        <v>1</v>
      </c>
      <c r="C5" s="2" t="inlineStr">
        <is>
          <t>ANDREJS ANOSKO, LUCIJA ANOSKO</t>
        </is>
      </c>
      <c r="D5" s="3" t="n">
        <v>39600</v>
      </c>
      <c r="E5" s="4" t="n">
        <v>20</v>
      </c>
      <c r="F5" t="inlineStr">
        <is>
          <t>ООО "КОМПАНИЯ БРОНЕВИК" [Чайковский]</t>
        </is>
      </c>
      <c r="G5" s="3">
        <f>ROUND(D5/(100-E5)*100,2)</f>
        <v/>
      </c>
      <c r="H5" s="3" t="n">
        <v>0</v>
      </c>
      <c r="I5" s="3">
        <f>ROUND(IF(ISNUMBER(AG5),AG5,G5)+H5,2)</f>
        <v/>
      </c>
      <c r="J5" s="2" t="inlineStr">
        <is>
          <t>Завтрак "Шведский стол"</t>
        </is>
      </c>
      <c r="K5" s="5" t="n">
        <v>46257.58333333334</v>
      </c>
      <c r="L5" t="n">
        <v>3</v>
      </c>
      <c r="M5" s="3">
        <f>I5/L5</f>
        <v/>
      </c>
      <c r="N5">
        <f>IF(M5&gt;=5100,"ставка","мин.ставка")</f>
        <v/>
      </c>
      <c r="O5" s="3">
        <f>ROUND(IF(N5="мин.ставка",L5*100,I5/102*2),2)</f>
        <v/>
      </c>
      <c r="P5" s="5" t="n">
        <v>46260.5</v>
      </c>
      <c r="Q5" t="inlineStr">
        <is>
          <t>TravelLine BR2</t>
        </is>
      </c>
      <c r="R5" s="2" t="inlineStr">
        <is>
          <t>ПОЛУЛЮКС</t>
        </is>
      </c>
      <c r="S5" t="n">
        <v>35</v>
      </c>
      <c r="T5" t="n">
        <v>1</v>
      </c>
      <c r="U5" t="inlineStr"/>
      <c r="V5" t="inlineStr">
        <is>
          <t>Тариф с завтраком</t>
        </is>
      </c>
      <c r="W5" t="n">
        <v>39600</v>
      </c>
      <c r="X5" s="3" t="n">
        <v>0</v>
      </c>
      <c r="Y5" t="inlineStr"/>
      <c r="Z5" t="inlineStr"/>
      <c r="AA5" s="3" t="n">
        <v>39600</v>
      </c>
      <c r="AB5" t="inlineStr">
        <is>
          <t>Сошлось по ночным тарифам</t>
        </is>
      </c>
      <c r="AC5" s="2" t="inlineStr"/>
      <c r="AD5" t="n">
        <v>0</v>
      </c>
      <c r="AE5" t="n">
        <v>0</v>
      </c>
      <c r="AF5" t="inlineStr">
        <is>
          <t>Скидки нет</t>
        </is>
      </c>
      <c r="AG5" t="n">
        <v>39600</v>
      </c>
      <c r="AH5" t="n">
        <v>39600</v>
      </c>
      <c r="AI5" t="inlineStr">
        <is>
          <t>Полное проживание в выбранном периоде</t>
        </is>
      </c>
    </row>
    <row r="6">
      <c r="A6" t="inlineStr">
        <is>
          <t>20260702-8186-441737998</t>
        </is>
      </c>
      <c r="B6" t="n">
        <v>1</v>
      </c>
      <c r="C6" s="2" t="inlineStr">
        <is>
          <t>ANDREJS VOLKOVS, Мария Волкова</t>
        </is>
      </c>
      <c r="D6" s="3" t="n">
        <v>22695</v>
      </c>
      <c r="E6" s="4" t="n">
        <v>15</v>
      </c>
      <c r="F6" t="inlineStr">
        <is>
          <t>ООО Тинькофф Путешествия [Чайковский]</t>
        </is>
      </c>
      <c r="G6" s="3">
        <f>ROUND(D6/(100-E6)*100,2)</f>
        <v/>
      </c>
      <c r="H6" s="3" t="n">
        <v>0</v>
      </c>
      <c r="I6" s="3">
        <f>ROUND(IF(ISNUMBER(AG6),AG6,G6)+H6,2)</f>
        <v/>
      </c>
      <c r="J6" s="2" t="inlineStr">
        <is>
          <t>Завтрак "Шведский стол"</t>
        </is>
      </c>
      <c r="K6" s="5" t="n">
        <v>46205.58333333334</v>
      </c>
      <c r="L6" t="n">
        <v>2</v>
      </c>
      <c r="M6" s="3">
        <f>I6/L6</f>
        <v/>
      </c>
      <c r="N6">
        <f>IF(M6&gt;=5100,"ставка","мин.ставка")</f>
        <v/>
      </c>
      <c r="O6" s="3">
        <f>ROUND(IF(N6="мин.ставка",L6*100,I6/102*2),2)</f>
        <v/>
      </c>
      <c r="P6" s="5" t="n">
        <v>46207.5</v>
      </c>
      <c r="Q6" t="inlineStr">
        <is>
          <t>TravelLine TNK</t>
        </is>
      </c>
      <c r="R6" s="2" t="inlineStr">
        <is>
          <t>СТАНДАРТНЫЙ ДВУХМЕСТНЫЙ НОМЕР</t>
        </is>
      </c>
      <c r="S6" t="n">
        <v>26</v>
      </c>
      <c r="T6" t="n">
        <v>1</v>
      </c>
      <c r="U6" t="inlineStr"/>
      <c r="V6" t="inlineStr">
        <is>
          <t>Тариф с завтраком</t>
        </is>
      </c>
      <c r="W6" t="n">
        <v>22695</v>
      </c>
      <c r="X6" s="3" t="n">
        <v>4005</v>
      </c>
      <c r="Y6" t="inlineStr">
        <is>
          <t>15%</t>
        </is>
      </c>
      <c r="Z6" t="inlineStr">
        <is>
          <t>2026-07-02, 2026-07-03</t>
        </is>
      </c>
      <c r="AA6" s="3" t="n">
        <v>22695</v>
      </c>
      <c r="AB6" t="inlineStr">
        <is>
          <t>Сошлось по ночным тарифам</t>
        </is>
      </c>
      <c r="AC6" s="2" t="inlineStr"/>
      <c r="AD6" t="n">
        <v>4005</v>
      </c>
      <c r="AE6" t="n">
        <v>0</v>
      </c>
      <c r="AF6" t="inlineStr">
        <is>
          <t>Скидка добавлена к налоговой базе</t>
        </is>
      </c>
      <c r="AG6" t="n">
        <v>26700</v>
      </c>
      <c r="AH6" t="n">
        <v>22695</v>
      </c>
      <c r="AI6" t="inlineStr">
        <is>
          <t>Полное проживание в выбранном периоде</t>
        </is>
      </c>
    </row>
    <row r="7">
      <c r="A7" t="inlineStr">
        <is>
          <t>20260727-8186-452690380</t>
        </is>
      </c>
      <c r="B7" t="n">
        <v>1</v>
      </c>
      <c r="C7" s="2" t="inlineStr">
        <is>
          <t>ARKADIUSZ PLEWA</t>
        </is>
      </c>
      <c r="D7" s="3" t="n">
        <v>7700</v>
      </c>
      <c r="E7" s="4" t="n">
        <v>0</v>
      </c>
      <c r="F7" t="inlineStr">
        <is>
          <t>Прямые бронирования (стойка) [Чайковский]</t>
        </is>
      </c>
      <c r="G7" s="3">
        <f>ROUND(D7/(100-E7)*100,2)</f>
        <v/>
      </c>
      <c r="H7" s="3" t="n">
        <v>0</v>
      </c>
      <c r="I7" s="3">
        <f>ROUND(IF(ISNUMBER(AG7),AG7,G7)+H7,2)</f>
        <v/>
      </c>
      <c r="J7" s="2" t="inlineStr">
        <is>
          <t>Завтрак "Шведский стол"</t>
        </is>
      </c>
      <c r="K7" s="5" t="n">
        <v>46230.58333333334</v>
      </c>
      <c r="L7" t="n">
        <v>1</v>
      </c>
      <c r="M7" s="3">
        <f>I7/L7</f>
        <v/>
      </c>
      <c r="N7">
        <f>IF(M7&gt;=5100,"ставка","мин.ставка")</f>
        <v/>
      </c>
      <c r="O7" s="3">
        <f>ROUND(IF(N7="мин.ставка",L7*100,I7/102*2),2)</f>
        <v/>
      </c>
      <c r="P7" s="5" t="n">
        <v>46231.5</v>
      </c>
      <c r="Q7" t="inlineStr">
        <is>
          <t>TravelLine ресепшен</t>
        </is>
      </c>
      <c r="R7" s="2" t="inlineStr">
        <is>
          <t>СТАНДАРТНЫЙ ОДНОМЕСТНЫЙ НОМЕР</t>
        </is>
      </c>
      <c r="S7" t="n">
        <v>34</v>
      </c>
      <c r="T7" t="n">
        <v>1</v>
      </c>
      <c r="U7" t="inlineStr"/>
      <c r="V7" t="inlineStr">
        <is>
          <t>Тариф с завтраком</t>
        </is>
      </c>
      <c r="W7" t="n">
        <v>7700</v>
      </c>
      <c r="X7" s="3" t="n">
        <v>0</v>
      </c>
      <c r="Y7" t="inlineStr"/>
      <c r="Z7" t="inlineStr"/>
      <c r="AA7" s="3" t="n">
        <v>7700</v>
      </c>
      <c r="AB7" t="inlineStr">
        <is>
          <t>Сошлось по ночным тарифам</t>
        </is>
      </c>
      <c r="AC7" s="2" t="inlineStr"/>
      <c r="AD7" t="n">
        <v>0</v>
      </c>
      <c r="AE7" t="n">
        <v>0</v>
      </c>
      <c r="AF7" t="inlineStr">
        <is>
          <t>Скидки нет</t>
        </is>
      </c>
      <c r="AG7" t="n">
        <v>7700</v>
      </c>
      <c r="AH7" t="n">
        <v>7700</v>
      </c>
      <c r="AI7" t="inlineStr">
        <is>
          <t>Полное проживание в выбранном периоде</t>
        </is>
      </c>
    </row>
    <row r="8">
      <c r="A8" t="inlineStr">
        <is>
          <t>20260720-8186-451844710</t>
        </is>
      </c>
      <c r="B8" t="n">
        <v>1</v>
      </c>
      <c r="C8" s="2" t="inlineStr">
        <is>
          <t>ARTUR SWIESZEK</t>
        </is>
      </c>
      <c r="D8" s="3" t="n">
        <v>7900</v>
      </c>
      <c r="E8" s="4" t="n">
        <v>0</v>
      </c>
      <c r="F8" t="inlineStr">
        <is>
          <t>Прямые бронирования (стойка) [Чайковский]</t>
        </is>
      </c>
      <c r="G8" s="3">
        <f>ROUND(D8/(100-E8)*100,2)</f>
        <v/>
      </c>
      <c r="H8" s="3" t="n">
        <v>0</v>
      </c>
      <c r="I8" s="3">
        <f>ROUND(IF(ISNUMBER(AG8),AG8,G8)+H8,2)</f>
        <v/>
      </c>
      <c r="J8" s="2" t="inlineStr">
        <is>
          <t>Завтрак "Шведский стол"</t>
        </is>
      </c>
      <c r="K8" s="5" t="n">
        <v>46223.58333333334</v>
      </c>
      <c r="L8" t="n">
        <v>1</v>
      </c>
      <c r="M8" s="3">
        <f>I8/L8</f>
        <v/>
      </c>
      <c r="N8">
        <f>IF(M8&gt;=5100,"ставка","мин.ставка")</f>
        <v/>
      </c>
      <c r="O8" s="3">
        <f>ROUND(IF(N8="мин.ставка",L8*100,I8/102*2),2)</f>
        <v/>
      </c>
      <c r="P8" s="5" t="n">
        <v>46224.5</v>
      </c>
      <c r="Q8" t="inlineStr">
        <is>
          <t>TravelLine ресепшен</t>
        </is>
      </c>
      <c r="R8" s="2" t="inlineStr">
        <is>
          <t>СТАНДАРТНЫЙ ДВУХМЕСТНЫЙ НОМЕР</t>
        </is>
      </c>
      <c r="S8" t="n">
        <v>36</v>
      </c>
      <c r="T8" t="n">
        <v>1</v>
      </c>
      <c r="U8" t="inlineStr"/>
      <c r="V8" t="inlineStr">
        <is>
          <t>Тариф с завтраком</t>
        </is>
      </c>
      <c r="W8" t="n">
        <v>7900</v>
      </c>
      <c r="X8" s="3" t="n">
        <v>0</v>
      </c>
      <c r="Y8" t="inlineStr"/>
      <c r="Z8" t="inlineStr"/>
      <c r="AA8" s="3" t="n">
        <v>7900</v>
      </c>
      <c r="AB8" t="inlineStr">
        <is>
          <t>Сошлось по ночным тарифам</t>
        </is>
      </c>
      <c r="AC8" s="2" t="inlineStr"/>
      <c r="AD8" t="n">
        <v>0</v>
      </c>
      <c r="AE8" t="n">
        <v>0</v>
      </c>
      <c r="AF8" t="inlineStr">
        <is>
          <t>Скидки нет</t>
        </is>
      </c>
      <c r="AG8" t="n">
        <v>7900</v>
      </c>
      <c r="AH8" t="n">
        <v>7900</v>
      </c>
      <c r="AI8" t="inlineStr">
        <is>
          <t>Полное проживание в выбранном периоде</t>
        </is>
      </c>
    </row>
    <row r="9">
      <c r="A9" t="inlineStr">
        <is>
          <t>20260715-8186-450135316</t>
        </is>
      </c>
      <c r="B9" t="n">
        <v>1</v>
      </c>
      <c r="C9" s="2" t="inlineStr">
        <is>
          <t>BARIS OTYAKMAZ</t>
        </is>
      </c>
      <c r="D9" s="3" t="n">
        <v>29000</v>
      </c>
      <c r="E9" s="4" t="n">
        <v>0</v>
      </c>
      <c r="F9" t="inlineStr">
        <is>
          <t>Прямые бронирования (стойка) [Чайковский]</t>
        </is>
      </c>
      <c r="G9" s="3">
        <f>ROUND(D9/(100-E9)*100,2)</f>
        <v/>
      </c>
      <c r="H9" s="3" t="n">
        <v>0</v>
      </c>
      <c r="I9" s="3">
        <f>ROUND(IF(ISNUMBER(AG9),AG9,G9)+H9,2)</f>
        <v/>
      </c>
      <c r="J9" s="2" t="inlineStr">
        <is>
          <t>Завтрак "Шведский стол"</t>
        </is>
      </c>
      <c r="K9" s="5" t="n">
        <v>46218.58333333334</v>
      </c>
      <c r="L9" t="n">
        <v>2</v>
      </c>
      <c r="M9" s="3">
        <f>I9/L9</f>
        <v/>
      </c>
      <c r="N9">
        <f>IF(M9&gt;=5100,"ставка","мин.ставка")</f>
        <v/>
      </c>
      <c r="O9" s="3">
        <f>ROUND(IF(N9="мин.ставка",L9*100,I9/102*2),2)</f>
        <v/>
      </c>
      <c r="P9" s="5" t="n">
        <v>46220.5</v>
      </c>
      <c r="Q9" t="inlineStr">
        <is>
          <t>TravelLine ресепшен</t>
        </is>
      </c>
      <c r="R9" s="2" t="inlineStr">
        <is>
          <t>ПОЛУЛЮКС</t>
        </is>
      </c>
      <c r="S9" t="n">
        <v>11</v>
      </c>
      <c r="T9" t="n">
        <v>1</v>
      </c>
      <c r="U9" t="inlineStr"/>
      <c r="V9" t="inlineStr">
        <is>
          <t>Тариф с завтраком</t>
        </is>
      </c>
      <c r="W9" t="n">
        <v>29000</v>
      </c>
      <c r="X9" s="3" t="n">
        <v>0</v>
      </c>
      <c r="Y9" t="inlineStr"/>
      <c r="Z9" t="inlineStr"/>
      <c r="AA9" s="3" t="n">
        <v>29000</v>
      </c>
      <c r="AB9" t="inlineStr">
        <is>
          <t>Сошлось по ночным тарифам</t>
        </is>
      </c>
      <c r="AC9" s="2" t="inlineStr"/>
      <c r="AD9" t="n">
        <v>0</v>
      </c>
      <c r="AE9" t="n">
        <v>0</v>
      </c>
      <c r="AF9" t="inlineStr">
        <is>
          <t>Скидки нет</t>
        </is>
      </c>
      <c r="AG9" t="n">
        <v>29000</v>
      </c>
      <c r="AH9" t="n">
        <v>29000</v>
      </c>
      <c r="AI9" t="inlineStr">
        <is>
          <t>Полное проживание в выбранном периоде</t>
        </is>
      </c>
    </row>
    <row r="10">
      <c r="A10" t="inlineStr">
        <is>
          <t>20260813-8186-458193673</t>
        </is>
      </c>
      <c r="B10" t="n">
        <v>1</v>
      </c>
      <c r="C10" s="2" t="inlineStr">
        <is>
          <t>Dmitrij Serov</t>
        </is>
      </c>
      <c r="D10" s="3" t="n">
        <v>9534</v>
      </c>
      <c r="E10" s="4" t="n">
        <v>16</v>
      </c>
      <c r="F10" t="inlineStr">
        <is>
          <t>ООО "БРОНИРОВАНИЕ ГОСТИНИЦ" (OSTROVOK) [Чайковский]</t>
        </is>
      </c>
      <c r="G10" s="3">
        <f>ROUND(D10/(100-E10)*100,2)</f>
        <v/>
      </c>
      <c r="H10" s="3" t="n">
        <v>0</v>
      </c>
      <c r="I10" s="3">
        <f>ROUND(IF(ISNUMBER(AG10),AG10,G10)+H10,2)</f>
        <v/>
      </c>
      <c r="J10" s="2" t="inlineStr">
        <is>
          <t>Завтрак "Шведский стол"</t>
        </is>
      </c>
      <c r="K10" s="5" t="n">
        <v>46247.58333333334</v>
      </c>
      <c r="L10" t="n">
        <v>1</v>
      </c>
      <c r="M10" s="3">
        <f>I10/L10</f>
        <v/>
      </c>
      <c r="N10">
        <f>IF(M10&gt;=5100,"ставка","мин.ставка")</f>
        <v/>
      </c>
      <c r="O10" s="3">
        <f>ROUND(IF(N10="мин.ставка",L10*100,I10/102*2),2)</f>
        <v/>
      </c>
      <c r="P10" s="5" t="n">
        <v>46248.5</v>
      </c>
      <c r="Q10" t="inlineStr">
        <is>
          <t>TravelLine OTK</t>
        </is>
      </c>
      <c r="R10" s="2" t="inlineStr">
        <is>
          <t>СТАНДАРТНЫЙ ДВУХМЕСТНЫЙ НОМЕР</t>
        </is>
      </c>
      <c r="S10" t="n">
        <v>36</v>
      </c>
      <c r="T10" t="n">
        <v>1</v>
      </c>
      <c r="U10" t="inlineStr"/>
      <c r="V10" t="inlineStr">
        <is>
          <t>Тариф с завтраком</t>
        </is>
      </c>
      <c r="W10" t="n">
        <v>9534</v>
      </c>
      <c r="X10" s="3" t="n">
        <v>1816</v>
      </c>
      <c r="Y10" t="inlineStr">
        <is>
          <t>16%</t>
        </is>
      </c>
      <c r="Z10" t="inlineStr">
        <is>
          <t>2026-08-13</t>
        </is>
      </c>
      <c r="AA10" s="3" t="n">
        <v>9534</v>
      </c>
      <c r="AB10" t="inlineStr">
        <is>
          <t>Сошлось по ночным тарифам</t>
        </is>
      </c>
      <c r="AC10" s="2" t="inlineStr"/>
      <c r="AD10" t="n">
        <v>1816</v>
      </c>
      <c r="AE10" t="n">
        <v>0</v>
      </c>
      <c r="AF10" t="inlineStr">
        <is>
          <t>Скидка добавлена к налоговой базе</t>
        </is>
      </c>
      <c r="AG10" t="n">
        <v>11350</v>
      </c>
      <c r="AH10" t="n">
        <v>9534</v>
      </c>
      <c r="AI10" t="inlineStr">
        <is>
          <t>Полное проживание в выбранном периоде</t>
        </is>
      </c>
    </row>
    <row r="11">
      <c r="A11" t="inlineStr">
        <is>
          <t>20260929-8186-467430618</t>
        </is>
      </c>
      <c r="B11" t="n">
        <v>1</v>
      </c>
      <c r="C11" s="2" t="inlineStr">
        <is>
          <t>Giovanni Peressoni</t>
        </is>
      </c>
      <c r="D11" s="3" t="n">
        <v>8086.87</v>
      </c>
      <c r="E11" s="4" t="n">
        <v>18</v>
      </c>
      <c r="F11" t="inlineStr">
        <is>
          <t>Яндекс.Путешествия [Чайковский]</t>
        </is>
      </c>
      <c r="G11" s="3">
        <f>ROUND(D11/(100-E11)*100,2)</f>
        <v/>
      </c>
      <c r="H11" s="3" t="n">
        <v>0</v>
      </c>
      <c r="I11" s="3">
        <f>ROUND(IF(ISNUMBER(AG11),AG11,G11)+H11,2)</f>
        <v/>
      </c>
      <c r="J11" s="2" t="inlineStr">
        <is>
          <t>Завтрак "Шведский стол"</t>
        </is>
      </c>
      <c r="K11" s="5" t="n">
        <v>46294.58333333334</v>
      </c>
      <c r="L11" t="n">
        <v>1</v>
      </c>
      <c r="M11" s="3">
        <f>I11/L11</f>
        <v/>
      </c>
      <c r="N11">
        <f>IF(M11&gt;=5100,"ставка","мин.ставка")</f>
        <v/>
      </c>
      <c r="O11" s="3">
        <f>ROUND(IF(N11="мин.ставка",L11*100,I11/102*2),2)</f>
        <v/>
      </c>
      <c r="P11" s="5" t="n">
        <v>46295.5</v>
      </c>
      <c r="Q11" t="inlineStr">
        <is>
          <t>TravelLine YAX</t>
        </is>
      </c>
      <c r="R11" s="2" t="inlineStr">
        <is>
          <t>СТАНДАРТНЫЙ ДВУХМЕСТНЫЙ НОМЕР</t>
        </is>
      </c>
      <c r="S11" t="n">
        <v>22</v>
      </c>
      <c r="T11" t="n">
        <v>1</v>
      </c>
      <c r="U11" t="inlineStr"/>
      <c r="V11" t="inlineStr">
        <is>
          <t>Тариф с завтраком</t>
        </is>
      </c>
      <c r="W11" t="n">
        <v>8086.87</v>
      </c>
      <c r="X11" s="3" t="n">
        <v>0</v>
      </c>
      <c r="Y11" t="inlineStr"/>
      <c r="Z11" t="inlineStr"/>
      <c r="AA11" s="3" t="n">
        <v>8086.87</v>
      </c>
      <c r="AB11" t="inlineStr">
        <is>
          <t>Сошлось по ночным тарифам</t>
        </is>
      </c>
      <c r="AC11" s="2" t="inlineStr"/>
      <c r="AD11" t="n">
        <v>0</v>
      </c>
      <c r="AE11" t="n">
        <v>0</v>
      </c>
      <c r="AF11" t="inlineStr">
        <is>
          <t>Скидки нет</t>
        </is>
      </c>
      <c r="AG11" t="n">
        <v>8086.87</v>
      </c>
      <c r="AH11" t="n">
        <v>8086.87</v>
      </c>
      <c r="AI11" t="inlineStr">
        <is>
          <t>Полное проживание в выбранном периоде</t>
        </is>
      </c>
    </row>
    <row r="12">
      <c r="A12" t="inlineStr">
        <is>
          <t>20260706-8186-447611282</t>
        </is>
      </c>
      <c r="B12" t="n">
        <v>1</v>
      </c>
      <c r="C12" s="2" t="inlineStr">
        <is>
          <t>GREGOIRE PIERRE ALAIN FOREST</t>
        </is>
      </c>
      <c r="D12" s="3" t="n">
        <v>23035</v>
      </c>
      <c r="E12" s="4" t="n">
        <v>15</v>
      </c>
      <c r="F12" t="inlineStr">
        <is>
          <t>ООО "БРОНИРОВАНИЕ ГОСТИНИЦ" (OSTROVOK) [Чайковский]</t>
        </is>
      </c>
      <c r="G12" s="3">
        <f>ROUND(D12/(100-E12)*100,2)</f>
        <v/>
      </c>
      <c r="H12" s="3" t="n">
        <v>0</v>
      </c>
      <c r="I12" s="3">
        <f>ROUND(IF(ISNUMBER(AG12),AG12,G12)+H12,2)</f>
        <v/>
      </c>
      <c r="J12" s="2" t="inlineStr">
        <is>
          <t>Завтрак "Шведский стол"</t>
        </is>
      </c>
      <c r="K12" s="5" t="n">
        <v>46209.58333333334</v>
      </c>
      <c r="L12" t="n">
        <v>2</v>
      </c>
      <c r="M12" s="3">
        <f>I12/L12</f>
        <v/>
      </c>
      <c r="N12">
        <f>IF(M12&gt;=5100,"ставка","мин.ставка")</f>
        <v/>
      </c>
      <c r="O12" s="3">
        <f>ROUND(IF(N12="мин.ставка",L12*100,I12/102*2),2)</f>
        <v/>
      </c>
      <c r="P12" s="5" t="n">
        <v>46211.5</v>
      </c>
      <c r="Q12" t="inlineStr">
        <is>
          <t>TravelLine OTK</t>
        </is>
      </c>
      <c r="R12" s="2" t="inlineStr">
        <is>
          <t>ПОЛУЛЮКС</t>
        </is>
      </c>
      <c r="S12" t="n">
        <v>25</v>
      </c>
      <c r="T12" t="n">
        <v>1</v>
      </c>
      <c r="U12" t="inlineStr"/>
      <c r="V12" t="inlineStr">
        <is>
          <t>Тариф с завтраком</t>
        </is>
      </c>
      <c r="W12" t="n">
        <v>23035</v>
      </c>
      <c r="X12" s="3" t="n">
        <v>4065</v>
      </c>
      <c r="Y12" t="inlineStr">
        <is>
          <t>15%</t>
        </is>
      </c>
      <c r="Z12" t="inlineStr">
        <is>
          <t>2026-07-06, 2026-07-07</t>
        </is>
      </c>
      <c r="AA12" s="3" t="n">
        <v>23035</v>
      </c>
      <c r="AB12" t="inlineStr">
        <is>
          <t>Сошлось по ночным тарифам</t>
        </is>
      </c>
      <c r="AC12" s="2" t="inlineStr"/>
      <c r="AD12" t="n">
        <v>4065</v>
      </c>
      <c r="AE12" t="n">
        <v>0</v>
      </c>
      <c r="AF12" t="inlineStr">
        <is>
          <t>Скидка добавлена к налоговой базе</t>
        </is>
      </c>
      <c r="AG12" t="n">
        <v>27100</v>
      </c>
      <c r="AH12" t="n">
        <v>23035</v>
      </c>
      <c r="AI12" t="inlineStr">
        <is>
          <t>Полное проживание в выбранном периоде</t>
        </is>
      </c>
    </row>
    <row r="13">
      <c r="A13" t="inlineStr">
        <is>
          <t>20260906-8186-464012359</t>
        </is>
      </c>
      <c r="B13" t="n">
        <v>1</v>
      </c>
      <c r="C13" s="2" t="inlineStr">
        <is>
          <t>Hao Wang</t>
        </is>
      </c>
      <c r="D13" s="3" t="n">
        <v>6545</v>
      </c>
      <c r="E13" s="4" t="n">
        <v>15</v>
      </c>
      <c r="F13" t="inlineStr">
        <is>
          <t>Trip.com Group [Чайковский]</t>
        </is>
      </c>
      <c r="G13" s="3">
        <f>ROUND(D13/(100-E13)*100,2)</f>
        <v/>
      </c>
      <c r="H13" s="3" t="n">
        <v>0</v>
      </c>
      <c r="I13" s="3">
        <f>ROUND(IF(ISNUMBER(AG13),AG13,G13)+H13,2)</f>
        <v/>
      </c>
      <c r="J13" s="2" t="inlineStr">
        <is>
          <t>Завтрак "Шведский стол"</t>
        </is>
      </c>
      <c r="K13" s="5" t="n">
        <v>46271.58333333334</v>
      </c>
      <c r="L13" t="n">
        <v>1</v>
      </c>
      <c r="M13" s="3">
        <f>I13/L13</f>
        <v/>
      </c>
      <c r="N13">
        <f>IF(M13&gt;=5100,"ставка","мин.ставка")</f>
        <v/>
      </c>
      <c r="O13" s="3">
        <f>ROUND(IF(N13="мин.ставка",L13*100,I13/102*2),2)</f>
        <v/>
      </c>
      <c r="P13" s="5" t="n">
        <v>46272.5</v>
      </c>
      <c r="Q13" t="inlineStr">
        <is>
          <t>TravelLine CTP</t>
        </is>
      </c>
      <c r="R13" s="2" t="inlineStr">
        <is>
          <t>СТАНДАРТНЫЙ ОДНОМЕСТНЫЙ НОМЕР</t>
        </is>
      </c>
      <c r="S13" t="n">
        <v>24</v>
      </c>
      <c r="T13" t="n">
        <v>1</v>
      </c>
      <c r="U13" t="inlineStr"/>
      <c r="V13" t="inlineStr">
        <is>
          <t>Тариф с завтраком</t>
        </is>
      </c>
      <c r="W13" t="n">
        <v>6545</v>
      </c>
      <c r="X13" s="3" t="n">
        <v>0</v>
      </c>
      <c r="Y13" t="inlineStr"/>
      <c r="Z13" t="inlineStr"/>
      <c r="AA13" s="3" t="n">
        <v>6545</v>
      </c>
      <c r="AB13" t="inlineStr">
        <is>
          <t>Сошлось по ночным тарифам</t>
        </is>
      </c>
      <c r="AC13" s="2" t="inlineStr"/>
      <c r="AD13" t="n">
        <v>0</v>
      </c>
      <c r="AE13" t="n">
        <v>0</v>
      </c>
      <c r="AF13" t="inlineStr">
        <is>
          <t>Скидки нет</t>
        </is>
      </c>
      <c r="AG13" t="n">
        <v>6545</v>
      </c>
      <c r="AH13" t="n">
        <v>6545</v>
      </c>
      <c r="AI13" t="inlineStr">
        <is>
          <t>Полное проживание в выбранном периоде</t>
        </is>
      </c>
    </row>
    <row r="14">
      <c r="A14" t="inlineStr">
        <is>
          <t>20260922-8186-467631558</t>
        </is>
      </c>
      <c r="B14" t="n">
        <v>1</v>
      </c>
      <c r="C14" s="2" t="inlineStr">
        <is>
          <t>IRYNA KOZLOVA</t>
        </is>
      </c>
      <c r="D14" s="3" t="n">
        <v>10215</v>
      </c>
      <c r="E14" s="4" t="n">
        <v>0</v>
      </c>
      <c r="F14" t="inlineStr">
        <is>
          <t>Прямые бронирования (стойка) [Чайковский]</t>
        </is>
      </c>
      <c r="G14" s="3">
        <f>ROUND(D14/(100-E14)*100,2)</f>
        <v/>
      </c>
      <c r="H14" s="3" t="n">
        <v>0</v>
      </c>
      <c r="I14" s="3">
        <f>ROUND(IF(ISNUMBER(AG14),AG14,G14)+H14,2)</f>
        <v/>
      </c>
      <c r="J14" s="2" t="inlineStr">
        <is>
          <t>Завтрак "Шведский стол"</t>
        </is>
      </c>
      <c r="K14" s="5" t="n">
        <v>46287.58333333334</v>
      </c>
      <c r="L14" t="n">
        <v>1</v>
      </c>
      <c r="M14" s="3">
        <f>I14/L14</f>
        <v/>
      </c>
      <c r="N14">
        <f>IF(M14&gt;=5100,"ставка","мин.ставка")</f>
        <v/>
      </c>
      <c r="O14" s="3">
        <f>ROUND(IF(N14="мин.ставка",L14*100,I14/102*2),2)</f>
        <v/>
      </c>
      <c r="P14" s="5" t="n">
        <v>46288.5</v>
      </c>
      <c r="Q14" t="inlineStr">
        <is>
          <t>TravelLine ресепшен</t>
        </is>
      </c>
      <c r="R14" s="2" t="inlineStr">
        <is>
          <t>СТАНДАРТНЫЙ ДВУХМЕСТНЫЙ НОМЕР</t>
        </is>
      </c>
      <c r="S14" t="n">
        <v>36</v>
      </c>
      <c r="T14" t="n">
        <v>1</v>
      </c>
      <c r="U14" t="inlineStr"/>
      <c r="V14" t="inlineStr">
        <is>
          <t>Тариф с завтраком</t>
        </is>
      </c>
      <c r="W14" t="n">
        <v>10215</v>
      </c>
      <c r="X14" s="3" t="n">
        <v>1135</v>
      </c>
      <c r="Y14" t="inlineStr">
        <is>
          <t>10%</t>
        </is>
      </c>
      <c r="Z14" t="inlineStr">
        <is>
          <t>2026-09-22</t>
        </is>
      </c>
      <c r="AA14" s="3" t="n">
        <v>10215</v>
      </c>
      <c r="AB14" t="inlineStr">
        <is>
          <t>Сошлось по ночным тарифам</t>
        </is>
      </c>
      <c r="AC14" s="2" t="inlineStr"/>
      <c r="AD14" t="n">
        <v>1135</v>
      </c>
      <c r="AE14" t="n">
        <v>0</v>
      </c>
      <c r="AF14" t="inlineStr">
        <is>
          <t>Скидка добавлена к налоговой базе</t>
        </is>
      </c>
      <c r="AG14" t="n">
        <v>11350</v>
      </c>
      <c r="AH14" t="n">
        <v>10215</v>
      </c>
      <c r="AI14" t="inlineStr">
        <is>
          <t>Полное проживание в выбранном периоде</t>
        </is>
      </c>
    </row>
    <row r="15">
      <c r="A15" t="inlineStr">
        <is>
          <t>20260917-8186-463133098</t>
        </is>
      </c>
      <c r="B15" t="n">
        <v>1</v>
      </c>
      <c r="C15" s="2" t="inlineStr">
        <is>
          <t>IRYNA KOZLOVA, MARYIA PECHKUROVA</t>
        </is>
      </c>
      <c r="D15" s="3" t="n">
        <v>47670</v>
      </c>
      <c r="E15" s="4" t="n">
        <v>16</v>
      </c>
      <c r="F15" t="inlineStr">
        <is>
          <t>ООО "БРОНИРОВАНИЕ ГОСТИНИЦ" (OSTROVOK) [Чайковский]</t>
        </is>
      </c>
      <c r="G15" s="3">
        <f>ROUND(D15/(100-E15)*100,2)</f>
        <v/>
      </c>
      <c r="H15" s="3" t="n">
        <v>8000</v>
      </c>
      <c r="I15" s="3">
        <f>ROUND(IF(ISNUMBER(AG15),AG15,G15)+H15,2)</f>
        <v/>
      </c>
      <c r="J15" s="2" t="inlineStr">
        <is>
          <t>продление номера — 8 000,00 ₽; Завтрак "Шведский стол"</t>
        </is>
      </c>
      <c r="K15" s="5" t="n">
        <v>46282.58333333334</v>
      </c>
      <c r="L15" t="n">
        <v>5</v>
      </c>
      <c r="M15" s="3">
        <f>I15/L15</f>
        <v/>
      </c>
      <c r="N15">
        <f>IF(M15&gt;=5100,"ставка","мин.ставка")</f>
        <v/>
      </c>
      <c r="O15" s="3">
        <f>ROUND(IF(N15="мин.ставка",L15*100,I15/102*2),2)</f>
        <v/>
      </c>
      <c r="P15" s="5" t="n">
        <v>46287.5</v>
      </c>
      <c r="Q15" t="inlineStr">
        <is>
          <t>TravelLine OTK</t>
        </is>
      </c>
      <c r="R15" s="2" t="inlineStr">
        <is>
          <t>СТАНДАРТНЫЙ ДВУХМЕСТНЫЙ НОМЕР</t>
        </is>
      </c>
      <c r="S15" t="n">
        <v>42</v>
      </c>
      <c r="T15" t="n">
        <v>1</v>
      </c>
      <c r="U15" t="inlineStr"/>
      <c r="V15" t="inlineStr">
        <is>
          <t>Тариф с завтраком</t>
        </is>
      </c>
      <c r="W15" t="n">
        <v>55670</v>
      </c>
      <c r="X15" s="3" t="n">
        <v>9080</v>
      </c>
      <c r="Y15" t="inlineStr">
        <is>
          <t>16%</t>
        </is>
      </c>
      <c r="Z15" t="inlineStr">
        <is>
          <t>2026-09-17, 2026-09-18, 2026-09-19, 2026-09-20, 2026-09-21</t>
        </is>
      </c>
      <c r="AA15" s="3" t="n">
        <v>47670</v>
      </c>
      <c r="AB15" t="inlineStr">
        <is>
          <t>Сошлось с услугами</t>
        </is>
      </c>
      <c r="AC15" s="2" t="inlineStr"/>
      <c r="AD15" t="n">
        <v>9080</v>
      </c>
      <c r="AE15" t="n">
        <v>0</v>
      </c>
      <c r="AF15" t="inlineStr">
        <is>
          <t>Скидка добавлена к налоговой базе</t>
        </is>
      </c>
      <c r="AG15" t="n">
        <v>56750</v>
      </c>
      <c r="AH15" t="n">
        <v>47670</v>
      </c>
      <c r="AI15" t="inlineStr">
        <is>
          <t>Полное проживание в выбранном периоде</t>
        </is>
      </c>
    </row>
    <row r="16">
      <c r="A16" t="inlineStr">
        <is>
          <t>20260706-8186-438572019</t>
        </is>
      </c>
      <c r="B16" t="n">
        <v>1</v>
      </c>
      <c r="C16" s="2" t="inlineStr">
        <is>
          <t>KANTEERA CHAINUAL, Евгений Ханнанов</t>
        </is>
      </c>
      <c r="D16" s="3" t="n">
        <v>30322.6</v>
      </c>
      <c r="E16" s="4" t="n">
        <v>4</v>
      </c>
      <c r="F16" t="inlineStr">
        <is>
          <t>TravelLine Booking Engine [Чайковский]</t>
        </is>
      </c>
      <c r="G16" s="3">
        <f>ROUND(D16/(100-E16)*100,2)</f>
        <v/>
      </c>
      <c r="H16" s="3" t="n">
        <v>0</v>
      </c>
      <c r="I16" s="3">
        <f>ROUND(IF(ISNUMBER(AG16),AG16,G16)+H16,2)</f>
        <v/>
      </c>
      <c r="J16" s="2" t="inlineStr">
        <is>
          <t>Завтрак "Шведский стол"</t>
        </is>
      </c>
      <c r="K16" s="5" t="n">
        <v>46209.58333333334</v>
      </c>
      <c r="L16" t="n">
        <v>2</v>
      </c>
      <c r="M16" s="3">
        <f>I16/L16</f>
        <v/>
      </c>
      <c r="N16">
        <f>IF(M16&gt;=5100,"ставка","мин.ставка")</f>
        <v/>
      </c>
      <c r="O16" s="3">
        <f>ROUND(IF(N16="мин.ставка",L16*100,I16/102*2),2)</f>
        <v/>
      </c>
      <c r="P16" s="5" t="n">
        <v>46211.5</v>
      </c>
      <c r="Q16" t="inlineStr">
        <is>
          <t>TravelLine сайт</t>
        </is>
      </c>
      <c r="R16" s="2" t="inlineStr">
        <is>
          <t>УЛУЧШЕННЫЙ ДВУХМЕСТНЫЙ НОМЕР</t>
        </is>
      </c>
      <c r="S16" t="n">
        <v>21</v>
      </c>
      <c r="T16" t="n">
        <v>1</v>
      </c>
      <c r="U16" t="inlineStr"/>
      <c r="V16" t="inlineStr">
        <is>
          <t>Тариф с завтраком</t>
        </is>
      </c>
      <c r="W16" t="n">
        <v>30322.6</v>
      </c>
      <c r="X16" s="3" t="n">
        <v>477.4</v>
      </c>
      <c r="Y16" t="inlineStr">
        <is>
          <t>3.1%</t>
        </is>
      </c>
      <c r="Z16" t="inlineStr">
        <is>
          <t>2026-07-06</t>
        </is>
      </c>
      <c r="AA16" s="3" t="n">
        <v>30322.6</v>
      </c>
      <c r="AB16" t="inlineStr">
        <is>
          <t>Сошлось по ночным тарифам</t>
        </is>
      </c>
      <c r="AC16" s="2" t="inlineStr"/>
      <c r="AD16" t="n">
        <v>477.4</v>
      </c>
      <c r="AE16" t="n">
        <v>0</v>
      </c>
      <c r="AF16" t="inlineStr">
        <is>
          <t>Скидка добавлена к налоговой базе</t>
        </is>
      </c>
      <c r="AG16" t="n">
        <v>30800</v>
      </c>
      <c r="AH16" t="n">
        <v>30322.6</v>
      </c>
      <c r="AI16" t="inlineStr">
        <is>
          <t>Полное проживание в выбранном периоде</t>
        </is>
      </c>
    </row>
    <row r="17">
      <c r="A17" t="inlineStr">
        <is>
          <t>20260708-8186-448570692</t>
        </is>
      </c>
      <c r="B17" t="n">
        <v>1</v>
      </c>
      <c r="C17" s="2" t="inlineStr">
        <is>
          <t>Lian Li</t>
        </is>
      </c>
      <c r="D17" s="3" t="n">
        <v>28560</v>
      </c>
      <c r="E17" s="4" t="n">
        <v>18</v>
      </c>
      <c r="F17" t="inlineStr">
        <is>
          <t>Яндекс.Путешествия [Чайковский]</t>
        </is>
      </c>
      <c r="G17" s="3">
        <f>ROUND(D17/(100-E17)*100,2)</f>
        <v/>
      </c>
      <c r="H17" s="3" t="n">
        <v>0</v>
      </c>
      <c r="I17" s="3">
        <f>ROUND(IF(ISNUMBER(AG17),AG17,G17)+H17,2)</f>
        <v/>
      </c>
      <c r="J17" s="2" t="inlineStr"/>
      <c r="K17" s="5" t="n">
        <v>46211.58333333334</v>
      </c>
      <c r="L17" t="n">
        <v>3</v>
      </c>
      <c r="M17" s="3">
        <f>I17/L17</f>
        <v/>
      </c>
      <c r="N17">
        <f>IF(M17&gt;=5100,"ставка","мин.ставка")</f>
        <v/>
      </c>
      <c r="O17" s="3">
        <f>ROUND(IF(N17="мин.ставка",L17*100,I17/102*2),2)</f>
        <v/>
      </c>
      <c r="P17" s="5" t="n">
        <v>46214.5</v>
      </c>
      <c r="Q17" t="inlineStr">
        <is>
          <t>TravelLine YAX</t>
        </is>
      </c>
      <c r="R17" s="2" t="inlineStr">
        <is>
          <t>УЛУЧШЕННЫЙ ДВУХМЕСТНЫЙ НОМЕР</t>
        </is>
      </c>
      <c r="S17" t="n">
        <v>31</v>
      </c>
      <c r="T17" t="n">
        <v>1</v>
      </c>
      <c r="U17" t="inlineStr"/>
      <c r="V17" t="inlineStr">
        <is>
          <t>Основной тариф без завтрака</t>
        </is>
      </c>
      <c r="W17" t="n">
        <v>28560</v>
      </c>
      <c r="X17" s="3" t="n">
        <v>7140</v>
      </c>
      <c r="Y17" t="inlineStr">
        <is>
          <t>20%</t>
        </is>
      </c>
      <c r="Z17" t="inlineStr">
        <is>
          <t>2026-07-08, 2026-07-09, 2026-07-10</t>
        </is>
      </c>
      <c r="AA17" s="3" t="n">
        <v>28560</v>
      </c>
      <c r="AB17" t="inlineStr">
        <is>
          <t>Сошлось по ночным тарифам</t>
        </is>
      </c>
      <c r="AC17" s="2" t="inlineStr"/>
      <c r="AD17" t="n">
        <v>7140</v>
      </c>
      <c r="AE17" t="n">
        <v>0</v>
      </c>
      <c r="AF17" t="inlineStr">
        <is>
          <t>Скидка добавлена к налоговой базе</t>
        </is>
      </c>
      <c r="AG17" t="n">
        <v>35700</v>
      </c>
      <c r="AH17" t="n">
        <v>28560</v>
      </c>
      <c r="AI17" t="inlineStr">
        <is>
          <t>Полное проживание в выбранном периоде</t>
        </is>
      </c>
    </row>
    <row r="18">
      <c r="A18" t="inlineStr">
        <is>
          <t>20260726-8186-453460339</t>
        </is>
      </c>
      <c r="B18" t="n">
        <v>1</v>
      </c>
      <c r="C18" s="2" t="inlineStr">
        <is>
          <t>LIYA VINOGRADOVA</t>
        </is>
      </c>
      <c r="D18" s="3" t="n">
        <v>8900</v>
      </c>
      <c r="E18" s="4" t="n">
        <v>0</v>
      </c>
      <c r="F18" t="inlineStr">
        <is>
          <t>Прямые бронирования (стойка) [Чайковский]</t>
        </is>
      </c>
      <c r="G18" s="3">
        <f>ROUND(D18/(100-E18)*100,2)</f>
        <v/>
      </c>
      <c r="H18" s="3" t="n">
        <v>0</v>
      </c>
      <c r="I18" s="3">
        <f>ROUND(IF(ISNUMBER(AG18),AG18,G18)+H18,2)</f>
        <v/>
      </c>
      <c r="J18" s="2" t="inlineStr">
        <is>
          <t>Завтрак "Шведский стол"</t>
        </is>
      </c>
      <c r="K18" s="5" t="n">
        <v>46229.58333333334</v>
      </c>
      <c r="L18" t="n">
        <v>1</v>
      </c>
      <c r="M18" s="3">
        <f>I18/L18</f>
        <v/>
      </c>
      <c r="N18">
        <f>IF(M18&gt;=5100,"ставка","мин.ставка")</f>
        <v/>
      </c>
      <c r="O18" s="3">
        <f>ROUND(IF(N18="мин.ставка",L18*100,I18/102*2),2)</f>
        <v/>
      </c>
      <c r="P18" s="5" t="n">
        <v>46230.5</v>
      </c>
      <c r="Q18" t="inlineStr">
        <is>
          <t>TravelLine ресепшен</t>
        </is>
      </c>
      <c r="R18" s="2" t="inlineStr">
        <is>
          <t>СТАНДАРТНЫЙ ДВУХМЕСТНЫЙ НОМЕР</t>
        </is>
      </c>
      <c r="S18" t="n">
        <v>23</v>
      </c>
      <c r="T18" t="n">
        <v>1</v>
      </c>
      <c r="U18" t="inlineStr"/>
      <c r="V18" t="inlineStr">
        <is>
          <t>Тариф с завтраком</t>
        </is>
      </c>
      <c r="W18" t="n">
        <v>8900</v>
      </c>
      <c r="X18" s="3" t="n">
        <v>0</v>
      </c>
      <c r="Y18" t="inlineStr"/>
      <c r="Z18" t="inlineStr"/>
      <c r="AA18" s="3" t="n">
        <v>8900</v>
      </c>
      <c r="AB18" t="inlineStr">
        <is>
          <t>Сошлось по ночным тарифам</t>
        </is>
      </c>
      <c r="AC18" s="2" t="inlineStr"/>
      <c r="AD18" t="n">
        <v>0</v>
      </c>
      <c r="AE18" t="n">
        <v>0</v>
      </c>
      <c r="AF18" t="inlineStr">
        <is>
          <t>Скидки нет</t>
        </is>
      </c>
      <c r="AG18" t="n">
        <v>8900</v>
      </c>
      <c r="AH18" t="n">
        <v>8900</v>
      </c>
      <c r="AI18" t="inlineStr">
        <is>
          <t>Полное проживание в выбранном периоде</t>
        </is>
      </c>
    </row>
    <row r="19">
      <c r="A19" t="inlineStr">
        <is>
          <t>20260715-8186-415978195</t>
        </is>
      </c>
      <c r="B19" t="n">
        <v>1</v>
      </c>
      <c r="C19" s="2" t="inlineStr">
        <is>
          <t>Manfred Kemmer, Алла Мальгина</t>
        </is>
      </c>
      <c r="D19" s="3" t="n">
        <v>45390</v>
      </c>
      <c r="E19" s="4" t="n">
        <v>15</v>
      </c>
      <c r="F19" t="inlineStr">
        <is>
          <t>ООО "БРОНИРОВАНИЕ ГОСТИНИЦ" (OSTROVOK) [Чайковский]</t>
        </is>
      </c>
      <c r="G19" s="3">
        <f>ROUND(D19/(100-E19)*100,2)</f>
        <v/>
      </c>
      <c r="H19" s="3" t="n">
        <v>0</v>
      </c>
      <c r="I19" s="3">
        <f>ROUND(IF(ISNUMBER(AG19),AG19,G19)+H19,2)</f>
        <v/>
      </c>
      <c r="J19" s="2" t="inlineStr">
        <is>
          <t>Завтрак "Шведский стол"</t>
        </is>
      </c>
      <c r="K19" s="5" t="n">
        <v>46218.58333333334</v>
      </c>
      <c r="L19" t="n">
        <v>4</v>
      </c>
      <c r="M19" s="3">
        <f>I19/L19</f>
        <v/>
      </c>
      <c r="N19">
        <f>IF(M19&gt;=5100,"ставка","мин.ставка")</f>
        <v/>
      </c>
      <c r="O19" s="3">
        <f>ROUND(IF(N19="мин.ставка",L19*100,I19/102*2),2)</f>
        <v/>
      </c>
      <c r="P19" s="5" t="n">
        <v>46222.5</v>
      </c>
      <c r="Q19" t="inlineStr">
        <is>
          <t>TravelLine OTK</t>
        </is>
      </c>
      <c r="R19" s="2" t="inlineStr">
        <is>
          <t>СТАНДАРТНЫЙ ДВУХМЕСТНЫЙ НОМЕР</t>
        </is>
      </c>
      <c r="S19" t="n">
        <v>22</v>
      </c>
      <c r="T19" t="n">
        <v>1</v>
      </c>
      <c r="U19" t="inlineStr"/>
      <c r="V19" t="inlineStr">
        <is>
          <t>Тариф с завтраком</t>
        </is>
      </c>
      <c r="W19" t="n">
        <v>45390</v>
      </c>
      <c r="X19" s="3" t="n">
        <v>8010</v>
      </c>
      <c r="Y19" t="inlineStr">
        <is>
          <t>15%</t>
        </is>
      </c>
      <c r="Z19" t="inlineStr">
        <is>
          <t>2026-07-15, 2026-07-16, 2026-07-17, 2026-07-18</t>
        </is>
      </c>
      <c r="AA19" s="3" t="n">
        <v>45390</v>
      </c>
      <c r="AB19" t="inlineStr">
        <is>
          <t>Сошлось по ночным тарифам</t>
        </is>
      </c>
      <c r="AC19" s="2" t="inlineStr"/>
      <c r="AD19" t="n">
        <v>8010</v>
      </c>
      <c r="AE19" t="n">
        <v>0</v>
      </c>
      <c r="AF19" t="inlineStr">
        <is>
          <t>Скидка добавлена к налоговой базе</t>
        </is>
      </c>
      <c r="AG19" t="n">
        <v>53400</v>
      </c>
      <c r="AH19" t="n">
        <v>45390</v>
      </c>
      <c r="AI19" t="inlineStr">
        <is>
          <t>Полное проживание в выбранном периоде</t>
        </is>
      </c>
    </row>
    <row r="20">
      <c r="A20" t="inlineStr">
        <is>
          <t>20260908-8186-463674253</t>
        </is>
      </c>
      <c r="B20" t="n">
        <v>1</v>
      </c>
      <c r="C20" s="2" t="inlineStr">
        <is>
          <t>Piotr ANATOL Wilk</t>
        </is>
      </c>
      <c r="D20" s="3" t="n">
        <v>15800</v>
      </c>
      <c r="E20" s="4" t="n">
        <v>0</v>
      </c>
      <c r="F20" t="inlineStr">
        <is>
          <t>Прямые бронирования (стойка) [Чайковский]</t>
        </is>
      </c>
      <c r="G20" s="3">
        <f>ROUND(D20/(100-E20)*100,2)</f>
        <v/>
      </c>
      <c r="H20" s="3" t="n">
        <v>0</v>
      </c>
      <c r="I20" s="3">
        <f>ROUND(IF(ISNUMBER(AG20),AG20,G20)+H20,2)</f>
        <v/>
      </c>
      <c r="J20" s="2" t="inlineStr">
        <is>
          <t>Завтрак "Шведский стол"</t>
        </is>
      </c>
      <c r="K20" s="5" t="n">
        <v>46273.58333333334</v>
      </c>
      <c r="L20" t="n">
        <v>2</v>
      </c>
      <c r="M20" s="3">
        <f>I20/L20</f>
        <v/>
      </c>
      <c r="N20">
        <f>IF(M20&gt;=5100,"ставка","мин.ставка")</f>
        <v/>
      </c>
      <c r="O20" s="3">
        <f>ROUND(IF(N20="мин.ставка",L20*100,I20/102*2),2)</f>
        <v/>
      </c>
      <c r="P20" s="5" t="n">
        <v>46275.5</v>
      </c>
      <c r="Q20" t="inlineStr">
        <is>
          <t>TravelLine ресепшен</t>
        </is>
      </c>
      <c r="R20" s="2" t="inlineStr">
        <is>
          <t>СТАНДАРТНЫЙ ДВУХМЕСТНЫЙ НОМЕР (МАНСАРДА)</t>
        </is>
      </c>
      <c r="S20" t="n">
        <v>47</v>
      </c>
      <c r="T20" t="n">
        <v>1</v>
      </c>
      <c r="U20" t="inlineStr"/>
      <c r="V20" t="inlineStr">
        <is>
          <t>Тариф с завтраком</t>
        </is>
      </c>
      <c r="W20" t="n">
        <v>15800</v>
      </c>
      <c r="X20" s="3" t="n">
        <v>0</v>
      </c>
      <c r="Y20" t="inlineStr"/>
      <c r="Z20" t="inlineStr"/>
      <c r="AA20" s="3" t="n">
        <v>15800</v>
      </c>
      <c r="AB20" t="inlineStr">
        <is>
          <t>Сошлось по ночным тарифам</t>
        </is>
      </c>
      <c r="AC20" s="2" t="inlineStr"/>
      <c r="AD20" t="n">
        <v>0</v>
      </c>
      <c r="AE20" t="n">
        <v>0</v>
      </c>
      <c r="AF20" t="inlineStr">
        <is>
          <t>Скидки нет</t>
        </is>
      </c>
      <c r="AG20" t="n">
        <v>15800</v>
      </c>
      <c r="AH20" t="n">
        <v>15800</v>
      </c>
      <c r="AI20" t="inlineStr">
        <is>
          <t>Полное проживание в выбранном периоде</t>
        </is>
      </c>
    </row>
    <row r="21">
      <c r="A21" t="inlineStr">
        <is>
          <t>20260716-8186-450486693</t>
        </is>
      </c>
      <c r="B21" t="n">
        <v>1</v>
      </c>
      <c r="C21" s="2" t="inlineStr">
        <is>
          <t>SERGEI SALTYKOV</t>
        </is>
      </c>
      <c r="D21" s="3" t="n">
        <v>9080</v>
      </c>
      <c r="E21" s="4" t="n">
        <v>20</v>
      </c>
      <c r="F21" t="inlineStr">
        <is>
          <t>ООО "ХБ-ПРО" [Чайковский]</t>
        </is>
      </c>
      <c r="G21" s="3">
        <f>ROUND(D21/(100-E21)*100,2)</f>
        <v/>
      </c>
      <c r="H21" s="3" t="n">
        <v>0</v>
      </c>
      <c r="I21" s="3">
        <f>ROUND(IF(ISNUMBER(AG21),AG21,G21)+H21,2)</f>
        <v/>
      </c>
      <c r="J21" s="2" t="inlineStr">
        <is>
          <t>Завтрак "Шведский стол"</t>
        </is>
      </c>
      <c r="K21" s="5" t="n">
        <v>46219.58333333334</v>
      </c>
      <c r="L21" t="n">
        <v>1</v>
      </c>
      <c r="M21" s="3">
        <f>I21/L21</f>
        <v/>
      </c>
      <c r="N21">
        <f>IF(M21&gt;=5100,"ставка","мин.ставка")</f>
        <v/>
      </c>
      <c r="O21" s="3">
        <f>ROUND(IF(N21="мин.ставка",L21*100,I21/102*2),2)</f>
        <v/>
      </c>
      <c r="P21" s="5" t="n">
        <v>46220.5</v>
      </c>
      <c r="Q21" t="inlineStr">
        <is>
          <t>TravelLine UTS</t>
        </is>
      </c>
      <c r="R21" s="2" t="inlineStr">
        <is>
          <t>СТАНДАРТНЫЙ ДВУХМЕСТНЫЙ НОМЕР</t>
        </is>
      </c>
      <c r="S21" t="n">
        <v>46</v>
      </c>
      <c r="T21" t="n">
        <v>1</v>
      </c>
      <c r="U21" t="inlineStr"/>
      <c r="V21" t="inlineStr">
        <is>
          <t>Тариф с завтраком</t>
        </is>
      </c>
      <c r="W21" t="n">
        <v>9080</v>
      </c>
      <c r="X21" s="3" t="n">
        <v>0</v>
      </c>
      <c r="Y21" t="inlineStr"/>
      <c r="Z21" t="inlineStr"/>
      <c r="AA21" s="3" t="n">
        <v>9080</v>
      </c>
      <c r="AB21" t="inlineStr">
        <is>
          <t>Сошлось по ночным тарифам</t>
        </is>
      </c>
      <c r="AC21" s="2" t="inlineStr"/>
      <c r="AD21" t="n">
        <v>0</v>
      </c>
      <c r="AE21" t="n">
        <v>0</v>
      </c>
      <c r="AF21" t="inlineStr">
        <is>
          <t>Скидки нет</t>
        </is>
      </c>
      <c r="AG21" t="n">
        <v>9080</v>
      </c>
      <c r="AH21" t="n">
        <v>9080</v>
      </c>
      <c r="AI21" t="inlineStr">
        <is>
          <t>Полное проживание в выбранном периоде</t>
        </is>
      </c>
    </row>
    <row r="22">
      <c r="A22" t="inlineStr">
        <is>
          <t>20260823-8186-408908207</t>
        </is>
      </c>
      <c r="B22" t="n">
        <v>1</v>
      </c>
      <c r="C22" s="2" t="inlineStr">
        <is>
          <t>SIARHEI HRECHKA</t>
        </is>
      </c>
      <c r="D22" s="3" t="n">
        <v>7110</v>
      </c>
      <c r="E22" s="4" t="n">
        <v>0</v>
      </c>
      <c r="F22" t="inlineStr">
        <is>
          <t>Прямые бронирования (стойка) [Чайковский]</t>
        </is>
      </c>
      <c r="G22" s="3">
        <f>ROUND(D22/(100-E22)*100,2)</f>
        <v/>
      </c>
      <c r="H22" s="3" t="n">
        <v>0</v>
      </c>
      <c r="I22" s="3">
        <f>ROUND(IF(ISNUMBER(AG22),AG22,G22)+H22,2)</f>
        <v/>
      </c>
      <c r="J22" s="2" t="inlineStr">
        <is>
          <t>Завтрак "Шведский стол"</t>
        </is>
      </c>
      <c r="K22" s="5" t="n">
        <v>46257.58333333334</v>
      </c>
      <c r="L22" t="n">
        <v>1</v>
      </c>
      <c r="M22" s="3">
        <f>I22/L22</f>
        <v/>
      </c>
      <c r="N22">
        <f>IF(M22&gt;=5100,"ставка","мин.ставка")</f>
        <v/>
      </c>
      <c r="O22" s="3">
        <f>ROUND(IF(N22="мин.ставка",L22*100,I22/102*2),2)</f>
        <v/>
      </c>
      <c r="P22" s="5" t="n">
        <v>46258.58333333334</v>
      </c>
      <c r="Q22" t="inlineStr">
        <is>
          <t>TravelLine ресепшен</t>
        </is>
      </c>
      <c r="R22" s="2" t="inlineStr">
        <is>
          <t>СТАНДАРТНЫЙ ДВУХМЕСТНЫЙ НОМЕР (МАНСАРДА)</t>
        </is>
      </c>
      <c r="S22" t="n">
        <v>45</v>
      </c>
      <c r="T22" t="n">
        <v>1</v>
      </c>
      <c r="U22" t="inlineStr"/>
      <c r="V22" t="inlineStr">
        <is>
          <t>Тариф с завтраком</t>
        </is>
      </c>
      <c r="W22" t="n">
        <v>28440</v>
      </c>
      <c r="X22" s="3" t="n">
        <v>790</v>
      </c>
      <c r="Y22" t="inlineStr">
        <is>
          <t>10%</t>
        </is>
      </c>
      <c r="Z22" t="inlineStr">
        <is>
          <t>2026-08-23</t>
        </is>
      </c>
      <c r="AA22" s="3" t="n">
        <v>7110</v>
      </c>
      <c r="AB22" t="inlineStr">
        <is>
          <t>Сошлось по ночным тарифам</t>
        </is>
      </c>
      <c r="AC22" s="2" t="inlineStr"/>
      <c r="AD22" t="n">
        <v>790</v>
      </c>
      <c r="AE22" t="n">
        <v>0</v>
      </c>
      <c r="AF22" t="inlineStr">
        <is>
          <t>Скидка добавлена к налоговой базе</t>
        </is>
      </c>
      <c r="AG22" t="n">
        <v>7900</v>
      </c>
      <c r="AH22" t="n">
        <v>7110</v>
      </c>
      <c r="AI22" t="inlineStr">
        <is>
          <t>Полное проживание в выбранном периоде</t>
        </is>
      </c>
    </row>
    <row r="23">
      <c r="A23" t="inlineStr">
        <is>
          <t>20260823-8186-408908207</t>
        </is>
      </c>
      <c r="B23" t="n">
        <v>1</v>
      </c>
      <c r="C23" s="2" t="inlineStr">
        <is>
          <t>SIARHEI HRECHKA</t>
        </is>
      </c>
      <c r="D23" s="3" t="n">
        <v>21330</v>
      </c>
      <c r="E23" s="4" t="n">
        <v>0</v>
      </c>
      <c r="F23" t="inlineStr">
        <is>
          <t>Прямые бронирования (стойка) [Чайковский]</t>
        </is>
      </c>
      <c r="G23" s="3">
        <f>ROUND(D23/(100-E23)*100,2)</f>
        <v/>
      </c>
      <c r="H23" s="3" t="n">
        <v>0</v>
      </c>
      <c r="I23" s="3">
        <f>ROUND(IF(ISNUMBER(AG23),AG23,G23)+H23,2)</f>
        <v/>
      </c>
      <c r="J23" s="2" t="inlineStr">
        <is>
          <t>Завтрак "Шведский стол"</t>
        </is>
      </c>
      <c r="K23" s="5" t="n">
        <v>46258.58333333334</v>
      </c>
      <c r="L23" t="n">
        <v>3</v>
      </c>
      <c r="M23" s="3">
        <f>I23/L23</f>
        <v/>
      </c>
      <c r="N23">
        <f>IF(M23&gt;=5100,"ставка","мин.ставка")</f>
        <v/>
      </c>
      <c r="O23" s="3">
        <f>ROUND(IF(N23="мин.ставка",L23*100,I23/102*2),2)</f>
        <v/>
      </c>
      <c r="P23" s="5" t="n">
        <v>46261.5</v>
      </c>
      <c r="Q23" t="inlineStr">
        <is>
          <t>TravelLine ресепшен</t>
        </is>
      </c>
      <c r="R23" s="2" t="inlineStr">
        <is>
          <t>УЛУЧШЕННЫЙ ДВУХМЕСТНЫЙ НОМЕР</t>
        </is>
      </c>
      <c r="S23" t="n">
        <v>31</v>
      </c>
      <c r="T23" t="n">
        <v>1</v>
      </c>
      <c r="U23" t="inlineStr"/>
      <c r="V23" t="inlineStr">
        <is>
          <t>Тариф с завтраком</t>
        </is>
      </c>
      <c r="W23" t="n">
        <v>28440</v>
      </c>
      <c r="X23" s="3" t="n">
        <v>2370</v>
      </c>
      <c r="Y23" t="inlineStr">
        <is>
          <t>10%</t>
        </is>
      </c>
      <c r="Z23" t="inlineStr">
        <is>
          <t>2026-08-24, 2026-08-25, 2026-08-26</t>
        </is>
      </c>
      <c r="AA23" s="3" t="n">
        <v>21330</v>
      </c>
      <c r="AB23" t="inlineStr">
        <is>
          <t>Сошлось по ночным тарифам</t>
        </is>
      </c>
      <c r="AC23" s="2" t="inlineStr"/>
      <c r="AD23" t="n">
        <v>2370</v>
      </c>
      <c r="AE23" t="n">
        <v>0</v>
      </c>
      <c r="AF23" t="inlineStr">
        <is>
          <t>Скидка добавлена к налоговой базе</t>
        </is>
      </c>
      <c r="AG23" t="n">
        <v>23700</v>
      </c>
      <c r="AH23" t="n">
        <v>21330</v>
      </c>
      <c r="AI23" t="inlineStr">
        <is>
          <t>Полное проживание в выбранном периоде</t>
        </is>
      </c>
    </row>
    <row r="24">
      <c r="A24" t="inlineStr">
        <is>
          <t>20260920-8186-464587353</t>
        </is>
      </c>
      <c r="B24" t="n">
        <v>1</v>
      </c>
      <c r="C24" s="2" t="inlineStr">
        <is>
          <t>TOMASZ MIKOS</t>
        </is>
      </c>
      <c r="D24" s="3" t="n">
        <v>12325</v>
      </c>
      <c r="E24" s="4" t="n">
        <v>15</v>
      </c>
      <c r="F24" t="inlineStr">
        <is>
          <t>ООО «СБО» (Ростелеком) [Чайковский]</t>
        </is>
      </c>
      <c r="G24" s="3">
        <f>ROUND(D24/(100-E24)*100,2)</f>
        <v/>
      </c>
      <c r="H24" s="3" t="n">
        <v>0</v>
      </c>
      <c r="I24" s="3">
        <f>ROUND(IF(ISNUMBER(AG24),AG24,G24)+H24,2)</f>
        <v/>
      </c>
      <c r="J24" s="2" t="inlineStr">
        <is>
          <t>Завтрак "Шведский стол"</t>
        </is>
      </c>
      <c r="K24" s="5" t="n">
        <v>46285.58333333334</v>
      </c>
      <c r="L24" t="n">
        <v>1</v>
      </c>
      <c r="M24" s="3">
        <f>I24/L24</f>
        <v/>
      </c>
      <c r="N24">
        <f>IF(M24&gt;=5100,"ставка","мин.ставка")</f>
        <v/>
      </c>
      <c r="O24" s="3">
        <f>ROUND(IF(N24="мин.ставка",L24*100,I24/102*2),2)</f>
        <v/>
      </c>
      <c r="P24" s="5" t="n">
        <v>46286.5</v>
      </c>
      <c r="Q24" t="inlineStr">
        <is>
          <t>TravelLine RTT</t>
        </is>
      </c>
      <c r="R24" s="2" t="inlineStr">
        <is>
          <t>ПОЛУЛЮКС</t>
        </is>
      </c>
      <c r="S24" t="n">
        <v>25</v>
      </c>
      <c r="T24" t="n">
        <v>1</v>
      </c>
      <c r="U24" t="inlineStr"/>
      <c r="V24" t="inlineStr">
        <is>
          <t>Тариф с завтраком</t>
        </is>
      </c>
      <c r="W24" t="n">
        <v>12325</v>
      </c>
      <c r="X24" s="3" t="n">
        <v>2175</v>
      </c>
      <c r="Y24" t="inlineStr">
        <is>
          <t>15%</t>
        </is>
      </c>
      <c r="Z24" t="inlineStr">
        <is>
          <t>2026-09-20</t>
        </is>
      </c>
      <c r="AA24" s="3" t="n">
        <v>12325</v>
      </c>
      <c r="AB24" t="inlineStr">
        <is>
          <t>Сошлось по ночным тарифам</t>
        </is>
      </c>
      <c r="AC24" s="2" t="inlineStr"/>
      <c r="AD24" t="n">
        <v>2175</v>
      </c>
      <c r="AE24" t="n">
        <v>0</v>
      </c>
      <c r="AF24" t="inlineStr">
        <is>
          <t>Скидка добавлена к налоговой базе</t>
        </is>
      </c>
      <c r="AG24" t="n">
        <v>14500</v>
      </c>
      <c r="AH24" t="n">
        <v>12325</v>
      </c>
      <c r="AI24" t="inlineStr">
        <is>
          <t>Полное проживание в выбранном периоде</t>
        </is>
      </c>
    </row>
    <row r="25">
      <c r="A25" t="inlineStr">
        <is>
          <t>20260806-8186-448675183</t>
        </is>
      </c>
      <c r="B25" t="n">
        <v>1</v>
      </c>
      <c r="C25" s="2" t="inlineStr">
        <is>
          <t>TOMASZ PIOTR TROJAK</t>
        </is>
      </c>
      <c r="D25" s="3" t="n">
        <v>6160</v>
      </c>
      <c r="E25" s="4" t="n">
        <v>20</v>
      </c>
      <c r="F25" t="inlineStr">
        <is>
          <t>ООО "ХБ-ПРО" [Чайковский]</t>
        </is>
      </c>
      <c r="G25" s="3">
        <f>ROUND(D25/(100-E25)*100,2)</f>
        <v/>
      </c>
      <c r="H25" s="3" t="n">
        <v>0</v>
      </c>
      <c r="I25" s="3">
        <f>ROUND(IF(ISNUMBER(AG25),AG25,G25)+H25,2)</f>
        <v/>
      </c>
      <c r="J25" s="2" t="inlineStr">
        <is>
          <t>Завтрак "Шведский стол"</t>
        </is>
      </c>
      <c r="K25" s="5" t="n">
        <v>46240.58333333334</v>
      </c>
      <c r="L25" t="n">
        <v>1</v>
      </c>
      <c r="M25" s="3">
        <f>I25/L25</f>
        <v/>
      </c>
      <c r="N25">
        <f>IF(M25&gt;=5100,"ставка","мин.ставка")</f>
        <v/>
      </c>
      <c r="O25" s="3">
        <f>ROUND(IF(N25="мин.ставка",L25*100,I25/102*2),2)</f>
        <v/>
      </c>
      <c r="P25" s="5" t="n">
        <v>46241.5</v>
      </c>
      <c r="Q25" t="inlineStr">
        <is>
          <t>TravelLine UTS</t>
        </is>
      </c>
      <c r="R25" s="2" t="inlineStr">
        <is>
          <t>СТАНДАРТНЫЙ ОДНОМЕСТНЫЙ НОМЕР</t>
        </is>
      </c>
      <c r="S25" t="n">
        <v>24</v>
      </c>
      <c r="T25" t="n">
        <v>1</v>
      </c>
      <c r="U25" t="inlineStr"/>
      <c r="V25" t="inlineStr">
        <is>
          <t>Тариф с завтраком</t>
        </is>
      </c>
      <c r="W25" t="n">
        <v>6160</v>
      </c>
      <c r="X25" s="3" t="n">
        <v>0</v>
      </c>
      <c r="Y25" t="inlineStr"/>
      <c r="Z25" t="inlineStr"/>
      <c r="AA25" s="3" t="n">
        <v>6160</v>
      </c>
      <c r="AB25" t="inlineStr">
        <is>
          <t>Сошлось по ночным тарифам</t>
        </is>
      </c>
      <c r="AC25" s="2" t="inlineStr"/>
      <c r="AD25" t="n">
        <v>0</v>
      </c>
      <c r="AE25" t="n">
        <v>0</v>
      </c>
      <c r="AF25" t="inlineStr">
        <is>
          <t>Скидки нет</t>
        </is>
      </c>
      <c r="AG25" t="n">
        <v>6160</v>
      </c>
      <c r="AH25" t="n">
        <v>6160</v>
      </c>
      <c r="AI25" t="inlineStr">
        <is>
          <t>Полное проживание в выбранном периоде</t>
        </is>
      </c>
    </row>
    <row r="26">
      <c r="A26" t="inlineStr">
        <is>
          <t>20260906-8186-449903524</t>
        </is>
      </c>
      <c r="B26" t="n">
        <v>1</v>
      </c>
      <c r="C26" s="2" t="inlineStr">
        <is>
          <t>YUrij Borisenko, Nataliya Burtseva</t>
        </is>
      </c>
      <c r="D26" s="3" t="n">
        <v>22695</v>
      </c>
      <c r="E26" s="4" t="n">
        <v>16</v>
      </c>
      <c r="F26" t="inlineStr">
        <is>
          <t>ООО "БРОНИРОВАНИЕ ГОСТИНИЦ" (OSTROVOK) [Чайковский]</t>
        </is>
      </c>
      <c r="G26" s="3">
        <f>ROUND(D26/(100-E26)*100,2)</f>
        <v/>
      </c>
      <c r="H26" s="3" t="n">
        <v>0</v>
      </c>
      <c r="I26" s="3">
        <f>ROUND(IF(ISNUMBER(AG26),AG26,G26)+H26,2)</f>
        <v/>
      </c>
      <c r="J26" s="2" t="inlineStr">
        <is>
          <t>Завтрак "Шведский стол"</t>
        </is>
      </c>
      <c r="K26" s="5" t="n">
        <v>46271.58333333334</v>
      </c>
      <c r="L26" t="n">
        <v>2</v>
      </c>
      <c r="M26" s="3">
        <f>I26/L26</f>
        <v/>
      </c>
      <c r="N26">
        <f>IF(M26&gt;=5100,"ставка","мин.ставка")</f>
        <v/>
      </c>
      <c r="O26" s="3">
        <f>ROUND(IF(N26="мин.ставка",L26*100,I26/102*2),2)</f>
        <v/>
      </c>
      <c r="P26" s="5" t="n">
        <v>46273.5</v>
      </c>
      <c r="Q26" t="inlineStr">
        <is>
          <t>TravelLine OTK</t>
        </is>
      </c>
      <c r="R26" s="2" t="inlineStr">
        <is>
          <t>СТАНДАРТНЫЙ ДВУХМЕСТНЫЙ НОМЕР</t>
        </is>
      </c>
      <c r="S26" t="n">
        <v>32</v>
      </c>
      <c r="T26" t="n">
        <v>1</v>
      </c>
      <c r="U26" t="inlineStr"/>
      <c r="V26" t="inlineStr">
        <is>
          <t>Тариф с завтраком</t>
        </is>
      </c>
      <c r="W26" t="n">
        <v>22695</v>
      </c>
      <c r="X26" s="3" t="n">
        <v>4005</v>
      </c>
      <c r="Y26" t="inlineStr">
        <is>
          <t>15%</t>
        </is>
      </c>
      <c r="Z26" t="inlineStr">
        <is>
          <t>2026-09-06, 2026-09-07</t>
        </is>
      </c>
      <c r="AA26" s="3" t="n">
        <v>22695</v>
      </c>
      <c r="AB26" t="inlineStr">
        <is>
          <t>Сошлось по ночным тарифам</t>
        </is>
      </c>
      <c r="AC26" s="2" t="inlineStr"/>
      <c r="AD26" t="n">
        <v>4005</v>
      </c>
      <c r="AE26" t="n">
        <v>0</v>
      </c>
      <c r="AF26" t="inlineStr">
        <is>
          <t>Скидка добавлена к налоговой базе</t>
        </is>
      </c>
      <c r="AG26" t="n">
        <v>26700</v>
      </c>
      <c r="AH26" t="n">
        <v>22695</v>
      </c>
      <c r="AI26" t="inlineStr">
        <is>
          <t>Полное проживание в выбранном периоде</t>
        </is>
      </c>
    </row>
    <row r="27">
      <c r="A27" t="inlineStr">
        <is>
          <t>20260919-8186-463926515</t>
        </is>
      </c>
      <c r="B27" t="n">
        <v>1</v>
      </c>
      <c r="C27" s="2" t="inlineStr">
        <is>
          <t>Аида Щетинина, Валерия Сурич</t>
        </is>
      </c>
      <c r="D27" s="3" t="n">
        <v>39849.75</v>
      </c>
      <c r="E27" s="4" t="n">
        <v>4</v>
      </c>
      <c r="F27" t="inlineStr">
        <is>
          <t>TravelLine Booking Engine [Чайковский]</t>
        </is>
      </c>
      <c r="G27" s="3">
        <f>ROUND(D27/(100-E27)*100,2)</f>
        <v/>
      </c>
      <c r="H27" s="3" t="n">
        <v>0</v>
      </c>
      <c r="I27" s="3">
        <f>ROUND(IF(ISNUMBER(AG27),AG27,G27)+H27,2)</f>
        <v/>
      </c>
      <c r="J27" s="2" t="inlineStr">
        <is>
          <t>Завтрак "Шведский стол"</t>
        </is>
      </c>
      <c r="K27" s="5" t="n">
        <v>46284.58333333334</v>
      </c>
      <c r="L27" t="n">
        <v>3</v>
      </c>
      <c r="M27" s="3">
        <f>I27/L27</f>
        <v/>
      </c>
      <c r="N27">
        <f>IF(M27&gt;=5100,"ставка","мин.ставка")</f>
        <v/>
      </c>
      <c r="O27" s="3">
        <f>ROUND(IF(N27="мин.ставка",L27*100,I27/102*2),2)</f>
        <v/>
      </c>
      <c r="P27" s="5" t="n">
        <v>46287.5</v>
      </c>
      <c r="Q27" t="inlineStr">
        <is>
          <t>TravelLine сайт</t>
        </is>
      </c>
      <c r="R27" s="2" t="inlineStr">
        <is>
          <t>СТАНДАРТНЫЙ ДВУХМЕСТНЫЙ НОМЕР</t>
        </is>
      </c>
      <c r="S27" t="n">
        <v>36</v>
      </c>
      <c r="T27" t="n">
        <v>1</v>
      </c>
      <c r="U27" t="inlineStr"/>
      <c r="V27" t="inlineStr">
        <is>
          <t>Тариф с завтраком</t>
        </is>
      </c>
      <c r="W27" t="n">
        <v>39849.75</v>
      </c>
      <c r="X27" s="3" t="n">
        <v>200.25</v>
      </c>
      <c r="Y27" t="inlineStr">
        <is>
          <t>1.5%</t>
        </is>
      </c>
      <c r="Z27" t="inlineStr">
        <is>
          <t>2026-09-19</t>
        </is>
      </c>
      <c r="AA27" s="3" t="n">
        <v>39849.75</v>
      </c>
      <c r="AB27" t="inlineStr">
        <is>
          <t>Сошлось по ночным тарифам</t>
        </is>
      </c>
      <c r="AC27" s="2" t="inlineStr"/>
      <c r="AD27" t="n">
        <v>200.25</v>
      </c>
      <c r="AE27" t="n">
        <v>0</v>
      </c>
      <c r="AF27" t="inlineStr">
        <is>
          <t>Скидка добавлена к налоговой базе</t>
        </is>
      </c>
      <c r="AG27" t="n">
        <v>40050</v>
      </c>
      <c r="AH27" t="n">
        <v>39849.75</v>
      </c>
      <c r="AI27" t="inlineStr">
        <is>
          <t>Полное проживание в выбранном периоде</t>
        </is>
      </c>
    </row>
    <row r="28">
      <c r="A28" t="inlineStr">
        <is>
          <t>20260709-8186-430393656</t>
        </is>
      </c>
      <c r="B28" t="n">
        <v>1</v>
      </c>
      <c r="C28" s="2" t="inlineStr">
        <is>
          <t>Александр Бугарев, Татьяна Бугарева</t>
        </is>
      </c>
      <c r="D28" s="3" t="n">
        <v>63910</v>
      </c>
      <c r="E28" s="4" t="n">
        <v>17</v>
      </c>
      <c r="F28" t="inlineStr">
        <is>
          <t>ООО «Интернет Трэвел» (OZON) [Чайковский]</t>
        </is>
      </c>
      <c r="G28" s="3">
        <f>ROUND(D28/(100-E28)*100,2)</f>
        <v/>
      </c>
      <c r="H28" s="3" t="n">
        <v>0</v>
      </c>
      <c r="I28" s="3">
        <f>ROUND(IF(ISNUMBER(AG28),AG28,G28)+H28,2)</f>
        <v/>
      </c>
      <c r="J28" s="2" t="inlineStr">
        <is>
          <t>Завтрак "Шведский стол"</t>
        </is>
      </c>
      <c r="K28" s="5" t="n">
        <v>46212.58333333334</v>
      </c>
      <c r="L28" t="n">
        <v>5</v>
      </c>
      <c r="M28" s="3">
        <f>I28/L28</f>
        <v/>
      </c>
      <c r="N28">
        <f>IF(M28&gt;=5100,"ставка","мин.ставка")</f>
        <v/>
      </c>
      <c r="O28" s="3">
        <f>ROUND(IF(N28="мин.ставка",L28*100,I28/102*2),2)</f>
        <v/>
      </c>
      <c r="P28" s="5" t="n">
        <v>46217.5</v>
      </c>
      <c r="Q28" t="inlineStr">
        <is>
          <t>TravelLine OZ2</t>
        </is>
      </c>
      <c r="R28" s="2" t="inlineStr">
        <is>
          <t>УЛУЧШЕННЫЙ ДВУХМЕСТНЫЙ НОМЕР</t>
        </is>
      </c>
      <c r="S28" t="n">
        <v>21</v>
      </c>
      <c r="T28" t="n">
        <v>1</v>
      </c>
      <c r="U28" t="inlineStr"/>
      <c r="V28" t="inlineStr">
        <is>
          <t>Тариф с завтраком</t>
        </is>
      </c>
      <c r="W28" t="n">
        <v>63910</v>
      </c>
      <c r="X28" s="3" t="n">
        <v>13090</v>
      </c>
      <c r="Y28" t="inlineStr">
        <is>
          <t>17%</t>
        </is>
      </c>
      <c r="Z28" t="inlineStr">
        <is>
          <t>2026-07-09, 2026-07-10, 2026-07-11, 2026-07-12, 2026-07-13</t>
        </is>
      </c>
      <c r="AA28" s="3" t="n">
        <v>63910</v>
      </c>
      <c r="AB28" t="inlineStr">
        <is>
          <t>Сошлось по ночным тарифам</t>
        </is>
      </c>
      <c r="AC28" s="2" t="inlineStr"/>
      <c r="AD28" t="n">
        <v>13090</v>
      </c>
      <c r="AE28" t="n">
        <v>0</v>
      </c>
      <c r="AF28" t="inlineStr">
        <is>
          <t>Скидка добавлена к налоговой базе</t>
        </is>
      </c>
      <c r="AG28" t="n">
        <v>77000</v>
      </c>
      <c r="AH28" t="n">
        <v>63910</v>
      </c>
      <c r="AI28" t="inlineStr">
        <is>
          <t>Полное проживание в выбранном периоде</t>
        </is>
      </c>
    </row>
    <row r="29">
      <c r="A29" t="inlineStr">
        <is>
          <t>20260703-8186-447191732</t>
        </is>
      </c>
      <c r="B29" t="n">
        <v>1</v>
      </c>
      <c r="C29" s="2" t="inlineStr">
        <is>
          <t>Александр Вилинчук, Татьяна Вилинчук</t>
        </is>
      </c>
      <c r="D29" s="3" t="n">
        <v>26286.15</v>
      </c>
      <c r="E29" s="4" t="n">
        <v>4</v>
      </c>
      <c r="F29" t="inlineStr">
        <is>
          <t>TravelLine Booking Engine [Чайковский]</t>
        </is>
      </c>
      <c r="G29" s="3">
        <f>ROUND(D29/(100-E29)*100,2)</f>
        <v/>
      </c>
      <c r="H29" s="3" t="n">
        <v>0</v>
      </c>
      <c r="I29" s="3">
        <f>ROUND(IF(ISNUMBER(AG29),AG29,G29)+H29,2)</f>
        <v/>
      </c>
      <c r="J29" s="2" t="inlineStr">
        <is>
          <t>Завтрак "Шведский стол"</t>
        </is>
      </c>
      <c r="K29" s="5" t="n">
        <v>46206.58333333334</v>
      </c>
      <c r="L29" t="n">
        <v>2</v>
      </c>
      <c r="M29" s="3">
        <f>I29/L29</f>
        <v/>
      </c>
      <c r="N29">
        <f>IF(M29&gt;=5100,"ставка","мин.ставка")</f>
        <v/>
      </c>
      <c r="O29" s="3">
        <f>ROUND(IF(N29="мин.ставка",L29*100,I29/102*2),2)</f>
        <v/>
      </c>
      <c r="P29" s="5" t="n">
        <v>46208.5</v>
      </c>
      <c r="Q29" t="inlineStr">
        <is>
          <t>TravelLine сайт</t>
        </is>
      </c>
      <c r="R29" s="2" t="inlineStr">
        <is>
          <t>СТАНДАРТНЫЙ ДВУХМЕСТНЫЙ НОМЕР</t>
        </is>
      </c>
      <c r="S29" t="n">
        <v>42</v>
      </c>
      <c r="T29" t="n">
        <v>1</v>
      </c>
      <c r="U29" t="inlineStr"/>
      <c r="V29" t="inlineStr">
        <is>
          <t>Тариф с завтраком</t>
        </is>
      </c>
      <c r="W29" t="n">
        <v>26286.15</v>
      </c>
      <c r="X29" s="3" t="n">
        <v>413.85</v>
      </c>
      <c r="Y29" t="inlineStr">
        <is>
          <t>3.1%</t>
        </is>
      </c>
      <c r="Z29" t="inlineStr">
        <is>
          <t>2026-07-03</t>
        </is>
      </c>
      <c r="AA29" s="3" t="n">
        <v>26286.15</v>
      </c>
      <c r="AB29" t="inlineStr">
        <is>
          <t>Сошлось по ночным тарифам</t>
        </is>
      </c>
      <c r="AC29" s="2" t="inlineStr"/>
      <c r="AD29" t="n">
        <v>413.85</v>
      </c>
      <c r="AE29" t="n">
        <v>0</v>
      </c>
      <c r="AF29" t="inlineStr">
        <is>
          <t>Скидка добавлена к налоговой базе</t>
        </is>
      </c>
      <c r="AG29" t="n">
        <v>26700</v>
      </c>
      <c r="AH29" t="n">
        <v>26286.15</v>
      </c>
      <c r="AI29" t="inlineStr">
        <is>
          <t>Полное проживание в выбранном периоде</t>
        </is>
      </c>
    </row>
    <row r="30">
      <c r="A30" t="inlineStr">
        <is>
          <t>20260714-8186-450056814</t>
        </is>
      </c>
      <c r="B30" t="n">
        <v>1</v>
      </c>
      <c r="C30" s="2" t="inlineStr">
        <is>
          <t>Александр Ганин, Ольга Ганина</t>
        </is>
      </c>
      <c r="D30" s="3" t="n">
        <v>11347.5</v>
      </c>
      <c r="E30" s="4" t="n">
        <v>15</v>
      </c>
      <c r="F30" t="inlineStr">
        <is>
          <t>ООО "БРОНИРОВАНИЕ ГОСТИНИЦ" (OSTROVOK) [Чайковский]</t>
        </is>
      </c>
      <c r="G30" s="3">
        <f>ROUND(D30/(100-E30)*100,2)</f>
        <v/>
      </c>
      <c r="H30" s="3" t="n">
        <v>0</v>
      </c>
      <c r="I30" s="3">
        <f>ROUND(IF(ISNUMBER(AG30),AG30,G30)+H30,2)</f>
        <v/>
      </c>
      <c r="J30" s="2" t="inlineStr">
        <is>
          <t>Завтрак "Шведский стол"</t>
        </is>
      </c>
      <c r="K30" s="5" t="n">
        <v>46217.58333333334</v>
      </c>
      <c r="L30" t="n">
        <v>1</v>
      </c>
      <c r="M30" s="3">
        <f>I30/L30</f>
        <v/>
      </c>
      <c r="N30">
        <f>IF(M30&gt;=5100,"ставка","мин.ставка")</f>
        <v/>
      </c>
      <c r="O30" s="3">
        <f>ROUND(IF(N30="мин.ставка",L30*100,I30/102*2),2)</f>
        <v/>
      </c>
      <c r="P30" s="5" t="n">
        <v>46218.5</v>
      </c>
      <c r="Q30" t="inlineStr">
        <is>
          <t>TravelLine OTK</t>
        </is>
      </c>
      <c r="R30" s="2" t="inlineStr">
        <is>
          <t>СТАНДАРТНЫЙ ДВУХМЕСТНЫЙ НОМЕР</t>
        </is>
      </c>
      <c r="S30" t="n">
        <v>42</v>
      </c>
      <c r="T30" t="n">
        <v>1</v>
      </c>
      <c r="U30" t="inlineStr"/>
      <c r="V30" t="inlineStr">
        <is>
          <t>Тариф с завтраком</t>
        </is>
      </c>
      <c r="W30" t="n">
        <v>11347.5</v>
      </c>
      <c r="X30" s="3" t="n">
        <v>2002.5</v>
      </c>
      <c r="Y30" t="inlineStr">
        <is>
          <t>15%</t>
        </is>
      </c>
      <c r="Z30" t="inlineStr">
        <is>
          <t>2026-07-14</t>
        </is>
      </c>
      <c r="AA30" s="3" t="n">
        <v>11347.5</v>
      </c>
      <c r="AB30" t="inlineStr">
        <is>
          <t>Сошлось по ночным тарифам</t>
        </is>
      </c>
      <c r="AC30" s="2" t="inlineStr"/>
      <c r="AD30" t="n">
        <v>2002.5</v>
      </c>
      <c r="AE30" t="n">
        <v>0</v>
      </c>
      <c r="AF30" t="inlineStr">
        <is>
          <t>Скидка добавлена к налоговой базе</t>
        </is>
      </c>
      <c r="AG30" t="n">
        <v>13350</v>
      </c>
      <c r="AH30" t="n">
        <v>11347.5</v>
      </c>
      <c r="AI30" t="inlineStr">
        <is>
          <t>Полное проживание в выбранном периоде</t>
        </is>
      </c>
    </row>
    <row r="31">
      <c r="A31" t="inlineStr">
        <is>
          <t>20260714-8186-448626753</t>
        </is>
      </c>
      <c r="B31" t="n">
        <v>1</v>
      </c>
      <c r="C31" s="2" t="inlineStr">
        <is>
          <t>Александр Долганов</t>
        </is>
      </c>
      <c r="D31" s="3" t="n">
        <v>6320</v>
      </c>
      <c r="E31" s="4" t="n">
        <v>18</v>
      </c>
      <c r="F31" t="inlineStr">
        <is>
          <t>Яндекс.Путешествия [Чайковский]</t>
        </is>
      </c>
      <c r="G31" s="3">
        <f>ROUND(D31/(100-E31)*100,2)</f>
        <v/>
      </c>
      <c r="H31" s="3" t="n">
        <v>0</v>
      </c>
      <c r="I31" s="3">
        <f>ROUND(IF(ISNUMBER(AG31),AG31,G31)+H31,2)</f>
        <v/>
      </c>
      <c r="J31" s="2" t="inlineStr">
        <is>
          <t>Завтрак "Шведский стол"</t>
        </is>
      </c>
      <c r="K31" s="5" t="n">
        <v>46217.58333333334</v>
      </c>
      <c r="L31" t="n">
        <v>1</v>
      </c>
      <c r="M31" s="3">
        <f>I31/L31</f>
        <v/>
      </c>
      <c r="N31">
        <f>IF(M31&gt;=5100,"ставка","мин.ставка")</f>
        <v/>
      </c>
      <c r="O31" s="3">
        <f>ROUND(IF(N31="мин.ставка",L31*100,I31/102*2),2)</f>
        <v/>
      </c>
      <c r="P31" s="5" t="n">
        <v>46218.5</v>
      </c>
      <c r="Q31" t="inlineStr">
        <is>
          <t>TravelLine YAX</t>
        </is>
      </c>
      <c r="R31" s="2" t="inlineStr">
        <is>
          <t>СТАНДАРТНЫЙ ДВУХМЕСТНЫЙ НОМЕР (МАНСАРДА)</t>
        </is>
      </c>
      <c r="S31" t="n">
        <v>43</v>
      </c>
      <c r="T31" t="n">
        <v>1</v>
      </c>
      <c r="U31" t="inlineStr"/>
      <c r="V31" t="inlineStr">
        <is>
          <t>Тариф с завтраком</t>
        </is>
      </c>
      <c r="W31" t="n">
        <v>6320</v>
      </c>
      <c r="X31" s="3" t="n">
        <v>1580</v>
      </c>
      <c r="Y31" t="inlineStr">
        <is>
          <t>20%</t>
        </is>
      </c>
      <c r="Z31" t="inlineStr">
        <is>
          <t>2026-07-14</t>
        </is>
      </c>
      <c r="AA31" s="3" t="n">
        <v>6320</v>
      </c>
      <c r="AB31" t="inlineStr">
        <is>
          <t>Сошлось по ночным тарифам</t>
        </is>
      </c>
      <c r="AC31" s="2" t="inlineStr"/>
      <c r="AD31" t="n">
        <v>1580</v>
      </c>
      <c r="AE31" t="n">
        <v>0</v>
      </c>
      <c r="AF31" t="inlineStr">
        <is>
          <t>Скидка добавлена к налоговой базе</t>
        </is>
      </c>
      <c r="AG31" t="n">
        <v>7900</v>
      </c>
      <c r="AH31" t="n">
        <v>6320</v>
      </c>
      <c r="AI31" t="inlineStr">
        <is>
          <t>Полное проживание в выбранном периоде</t>
        </is>
      </c>
    </row>
    <row r="32">
      <c r="A32" t="inlineStr">
        <is>
          <t>20260729-8186-454154680</t>
        </is>
      </c>
      <c r="B32" t="n">
        <v>1</v>
      </c>
      <c r="C32" s="2" t="inlineStr">
        <is>
          <t>АЛЕКСАНДР ДОЛГОВ</t>
        </is>
      </c>
      <c r="D32" s="3" t="n">
        <v>23760</v>
      </c>
      <c r="E32" s="4" t="n">
        <v>18</v>
      </c>
      <c r="F32" t="inlineStr">
        <is>
          <t>Яндекс.Путешествия [Чайковский]</t>
        </is>
      </c>
      <c r="G32" s="3">
        <f>ROUND(D32/(100-E32)*100,2)</f>
        <v/>
      </c>
      <c r="H32" s="3" t="n">
        <v>0</v>
      </c>
      <c r="I32" s="3">
        <f>ROUND(IF(ISNUMBER(AG32),AG32,G32)+H32,2)</f>
        <v/>
      </c>
      <c r="J32" s="2" t="inlineStr">
        <is>
          <t>Завтрак "Шведский стол"</t>
        </is>
      </c>
      <c r="K32" s="5" t="n">
        <v>46232.58333333334</v>
      </c>
      <c r="L32" t="n">
        <v>3</v>
      </c>
      <c r="M32" s="3">
        <f>I32/L32</f>
        <v/>
      </c>
      <c r="N32">
        <f>IF(M32&gt;=5100,"ставка","мин.ставка")</f>
        <v/>
      </c>
      <c r="O32" s="3">
        <f>ROUND(IF(N32="мин.ставка",L32*100,I32/102*2),2)</f>
        <v/>
      </c>
      <c r="P32" s="5" t="n">
        <v>46235.5</v>
      </c>
      <c r="Q32" t="inlineStr">
        <is>
          <t>TravelLine YAX</t>
        </is>
      </c>
      <c r="R32" s="2" t="inlineStr">
        <is>
          <t>СТАНДАРТНЫЙ ДВУХМЕСТНЫЙ НОМЕР (МАНСАРДА)</t>
        </is>
      </c>
      <c r="S32" t="n">
        <v>45</v>
      </c>
      <c r="T32" t="n">
        <v>1</v>
      </c>
      <c r="U32" t="inlineStr"/>
      <c r="V32" t="inlineStr">
        <is>
          <t>Тариф с завтраком</t>
        </is>
      </c>
      <c r="W32" t="n">
        <v>23760</v>
      </c>
      <c r="X32" s="3" t="n">
        <v>5940</v>
      </c>
      <c r="Y32" t="inlineStr">
        <is>
          <t>20%</t>
        </is>
      </c>
      <c r="Z32" t="inlineStr">
        <is>
          <t>2026-07-29, 2026-07-30, 2026-07-31</t>
        </is>
      </c>
      <c r="AA32" s="3" t="n">
        <v>23760</v>
      </c>
      <c r="AB32" t="inlineStr">
        <is>
          <t>Сошлось по ночным тарифам</t>
        </is>
      </c>
      <c r="AC32" s="2" t="inlineStr"/>
      <c r="AD32" t="n">
        <v>5940</v>
      </c>
      <c r="AE32" t="n">
        <v>0</v>
      </c>
      <c r="AF32" t="inlineStr">
        <is>
          <t>Скидка добавлена к налоговой базе</t>
        </is>
      </c>
      <c r="AG32" t="n">
        <v>29700</v>
      </c>
      <c r="AH32" t="n">
        <v>23760</v>
      </c>
      <c r="AI32" t="inlineStr">
        <is>
          <t>Полное проживание в выбранном периоде</t>
        </is>
      </c>
    </row>
    <row r="33">
      <c r="A33" t="inlineStr">
        <is>
          <t>20260924-8186-454705739</t>
        </is>
      </c>
      <c r="B33" t="n">
        <v>1</v>
      </c>
      <c r="C33" s="2" t="inlineStr">
        <is>
          <t>Александр Казанников, Ирина Петроченко</t>
        </is>
      </c>
      <c r="D33" s="3" t="n">
        <v>24640</v>
      </c>
      <c r="E33" s="4" t="n">
        <v>18</v>
      </c>
      <c r="F33" t="inlineStr">
        <is>
          <t>Яндекс.Путешествия [Чайковский]</t>
        </is>
      </c>
      <c r="G33" s="3">
        <f>ROUND(D33/(100-E33)*100,2)</f>
        <v/>
      </c>
      <c r="H33" s="3" t="n">
        <v>0</v>
      </c>
      <c r="I33" s="3">
        <f>ROUND(IF(ISNUMBER(AG33),AG33,G33)+H33,2)</f>
        <v/>
      </c>
      <c r="J33" s="2" t="inlineStr">
        <is>
          <t>Завтрак "Шведский стол"</t>
        </is>
      </c>
      <c r="K33" s="5" t="n">
        <v>46289.58333333334</v>
      </c>
      <c r="L33" t="n">
        <v>2</v>
      </c>
      <c r="M33" s="3">
        <f>I33/L33</f>
        <v/>
      </c>
      <c r="N33">
        <f>IF(M33&gt;=5100,"ставка","мин.ставка")</f>
        <v/>
      </c>
      <c r="O33" s="3">
        <f>ROUND(IF(N33="мин.ставка",L33*100,I33/102*2),2)</f>
        <v/>
      </c>
      <c r="P33" s="5" t="n">
        <v>46291.5</v>
      </c>
      <c r="Q33" t="inlineStr">
        <is>
          <t>TravelLine YAX</t>
        </is>
      </c>
      <c r="R33" s="2" t="inlineStr">
        <is>
          <t>УЛУЧШЕННЫЙ ДВУХМЕСТНЫЙ НОМЕР</t>
        </is>
      </c>
      <c r="S33" t="n">
        <v>21</v>
      </c>
      <c r="T33" t="n">
        <v>1</v>
      </c>
      <c r="U33" t="inlineStr"/>
      <c r="V33" t="inlineStr">
        <is>
          <t>Тариф с завтраком</t>
        </is>
      </c>
      <c r="W33" t="n">
        <v>24640</v>
      </c>
      <c r="X33" s="3" t="n">
        <v>6160</v>
      </c>
      <c r="Y33" t="inlineStr">
        <is>
          <t>20%</t>
        </is>
      </c>
      <c r="Z33" t="inlineStr">
        <is>
          <t>2026-09-24, 2026-09-25</t>
        </is>
      </c>
      <c r="AA33" s="3" t="n">
        <v>24640</v>
      </c>
      <c r="AB33" t="inlineStr">
        <is>
          <t>Сошлось по ночным тарифам</t>
        </is>
      </c>
      <c r="AC33" s="2" t="inlineStr"/>
      <c r="AD33" t="n">
        <v>6160</v>
      </c>
      <c r="AE33" t="n">
        <v>0</v>
      </c>
      <c r="AF33" t="inlineStr">
        <is>
          <t>Скидка добавлена к налоговой базе</t>
        </is>
      </c>
      <c r="AG33" t="n">
        <v>30800</v>
      </c>
      <c r="AH33" t="n">
        <v>24640</v>
      </c>
      <c r="AI33" t="inlineStr">
        <is>
          <t>Полное проживание в выбранном периоде</t>
        </is>
      </c>
    </row>
    <row r="34">
      <c r="A34" t="inlineStr">
        <is>
          <t>20260716-8186-421435887</t>
        </is>
      </c>
      <c r="B34" t="n">
        <v>1</v>
      </c>
      <c r="C34" s="2" t="inlineStr">
        <is>
          <t>Александр Клименков, ОЛЬГА ГАВРИЛЕНКО</t>
        </is>
      </c>
      <c r="D34" s="3" t="n">
        <v>49193.1</v>
      </c>
      <c r="E34" s="4" t="n">
        <v>4</v>
      </c>
      <c r="F34" t="inlineStr">
        <is>
          <t>TravelLine Booking Engine [Чайковский]</t>
        </is>
      </c>
      <c r="G34" s="3">
        <f>ROUND(D34/(100-E34)*100,2)</f>
        <v/>
      </c>
      <c r="H34" s="3" t="n">
        <v>0</v>
      </c>
      <c r="I34" s="3">
        <f>ROUND(IF(ISNUMBER(AG34),AG34,G34)+H34,2)</f>
        <v/>
      </c>
      <c r="J34" s="2" t="inlineStr">
        <is>
          <t>Завтрак "Шведский стол"</t>
        </is>
      </c>
      <c r="K34" s="5" t="n">
        <v>46219.58333333334</v>
      </c>
      <c r="L34" t="n">
        <v>5</v>
      </c>
      <c r="M34" s="3">
        <f>I34/L34</f>
        <v/>
      </c>
      <c r="N34">
        <f>IF(M34&gt;=5100,"ставка","мин.ставка")</f>
        <v/>
      </c>
      <c r="O34" s="3">
        <f>ROUND(IF(N34="мин.ставка",L34*100,I34/102*2),2)</f>
        <v/>
      </c>
      <c r="P34" s="5" t="n">
        <v>46224.5</v>
      </c>
      <c r="Q34" t="inlineStr">
        <is>
          <t>TravelLine сайт</t>
        </is>
      </c>
      <c r="R34" s="2" t="inlineStr">
        <is>
          <t>СТАНДАРТНЫЙ ДВУХМЕСТНЫЙ НОМЕР (МАНСАРДА)</t>
        </is>
      </c>
      <c r="S34" t="n">
        <v>41</v>
      </c>
      <c r="T34" t="n">
        <v>1</v>
      </c>
      <c r="U34" t="inlineStr"/>
      <c r="V34" t="inlineStr">
        <is>
          <t>Тариф с завтраком</t>
        </is>
      </c>
      <c r="W34" t="n">
        <v>49193.1</v>
      </c>
      <c r="X34" s="3" t="n">
        <v>306.9</v>
      </c>
      <c r="Y34" t="inlineStr">
        <is>
          <t>3.1%</t>
        </is>
      </c>
      <c r="Z34" t="inlineStr">
        <is>
          <t>2026-07-16</t>
        </is>
      </c>
      <c r="AA34" s="3" t="n">
        <v>49193.1</v>
      </c>
      <c r="AB34" t="inlineStr">
        <is>
          <t>Сошлось по ночным тарифам</t>
        </is>
      </c>
      <c r="AC34" s="2" t="inlineStr"/>
      <c r="AD34" t="n">
        <v>306.9</v>
      </c>
      <c r="AE34" t="n">
        <v>0</v>
      </c>
      <c r="AF34" t="inlineStr">
        <is>
          <t>Скидка добавлена к налоговой базе</t>
        </is>
      </c>
      <c r="AG34" t="n">
        <v>49500</v>
      </c>
      <c r="AH34" t="n">
        <v>49193.1</v>
      </c>
      <c r="AI34" t="inlineStr">
        <is>
          <t>Полное проживание в выбранном периоде</t>
        </is>
      </c>
    </row>
    <row r="35">
      <c r="A35" t="inlineStr">
        <is>
          <t>20260812-8186-451471645</t>
        </is>
      </c>
      <c r="B35" t="n">
        <v>1</v>
      </c>
      <c r="C35" s="2" t="inlineStr">
        <is>
          <t>Александр Кочетов, Ирина Емельянова</t>
        </is>
      </c>
      <c r="D35" s="3" t="n">
        <v>9751.5</v>
      </c>
      <c r="E35" s="4" t="n">
        <v>4</v>
      </c>
      <c r="F35" t="inlineStr">
        <is>
          <t>TravelLine Booking Engine [Чайковский]</t>
        </is>
      </c>
      <c r="G35" s="3">
        <f>ROUND(D35/(100-E35)*100,2)</f>
        <v/>
      </c>
      <c r="H35" s="3" t="n">
        <v>0</v>
      </c>
      <c r="I35" s="3">
        <f>ROUND(IF(ISNUMBER(AG35),AG35,G35)+H35,2)</f>
        <v/>
      </c>
      <c r="J35" s="2" t="inlineStr">
        <is>
          <t>Завтрак "Шведский стол"</t>
        </is>
      </c>
      <c r="K35" s="5" t="n">
        <v>46246.58333333334</v>
      </c>
      <c r="L35" t="n">
        <v>1</v>
      </c>
      <c r="M35" s="3">
        <f>I35/L35</f>
        <v/>
      </c>
      <c r="N35">
        <f>IF(M35&gt;=5100,"ставка","мин.ставка")</f>
        <v/>
      </c>
      <c r="O35" s="3">
        <f>ROUND(IF(N35="мин.ставка",L35*100,I35/102*2),2)</f>
        <v/>
      </c>
      <c r="P35" s="5" t="n">
        <v>46247.5</v>
      </c>
      <c r="Q35" t="inlineStr">
        <is>
          <t>TravelLine сайт</t>
        </is>
      </c>
      <c r="R35" s="2" t="inlineStr">
        <is>
          <t>СТАНДАРТНЫЙ ДВУХМЕСТНЫЙ НОМЕР (МАНСАРДА)</t>
        </is>
      </c>
      <c r="S35" t="n">
        <v>41</v>
      </c>
      <c r="T35" t="n">
        <v>1</v>
      </c>
      <c r="U35" t="inlineStr"/>
      <c r="V35" t="inlineStr">
        <is>
          <t>Тариф с завтраком</t>
        </is>
      </c>
      <c r="W35" t="n">
        <v>9751.5</v>
      </c>
      <c r="X35" s="3" t="n">
        <v>148.5</v>
      </c>
      <c r="Y35" t="inlineStr">
        <is>
          <t>1.5%</t>
        </is>
      </c>
      <c r="Z35" t="inlineStr">
        <is>
          <t>2026-08-12</t>
        </is>
      </c>
      <c r="AA35" s="3" t="n">
        <v>9751.5</v>
      </c>
      <c r="AB35" t="inlineStr">
        <is>
          <t>Сошлось по ночным тарифам</t>
        </is>
      </c>
      <c r="AC35" s="2" t="inlineStr"/>
      <c r="AD35" t="n">
        <v>148.5</v>
      </c>
      <c r="AE35" t="n">
        <v>0</v>
      </c>
      <c r="AF35" t="inlineStr">
        <is>
          <t>Скидка добавлена к налоговой базе</t>
        </is>
      </c>
      <c r="AG35" t="n">
        <v>9900</v>
      </c>
      <c r="AH35" t="n">
        <v>9751.5</v>
      </c>
      <c r="AI35" t="inlineStr">
        <is>
          <t>Полное проживание в выбранном периоде</t>
        </is>
      </c>
    </row>
    <row r="36">
      <c r="A36" t="inlineStr">
        <is>
          <t>20260727-8186-453458144</t>
        </is>
      </c>
      <c r="B36" t="n">
        <v>1</v>
      </c>
      <c r="C36" s="2" t="inlineStr">
        <is>
          <t>Александр Лобанов</t>
        </is>
      </c>
      <c r="D36" s="3" t="n">
        <v>8900</v>
      </c>
      <c r="E36" s="4" t="n">
        <v>0</v>
      </c>
      <c r="F36" t="inlineStr">
        <is>
          <t>Прямые бронирования (стойка) [Чайковский]</t>
        </is>
      </c>
      <c r="G36" s="3">
        <f>ROUND(D36/(100-E36)*100,2)</f>
        <v/>
      </c>
      <c r="H36" s="3" t="n">
        <v>0</v>
      </c>
      <c r="I36" s="3">
        <f>ROUND(IF(ISNUMBER(AG36),AG36,G36)+H36,2)</f>
        <v/>
      </c>
      <c r="J36" s="2" t="inlineStr">
        <is>
          <t>Завтрак "Шведский стол"</t>
        </is>
      </c>
      <c r="K36" s="5" t="n">
        <v>46230.58333333334</v>
      </c>
      <c r="L36" t="n">
        <v>1</v>
      </c>
      <c r="M36" s="3">
        <f>I36/L36</f>
        <v/>
      </c>
      <c r="N36">
        <f>IF(M36&gt;=5100,"ставка","мин.ставка")</f>
        <v/>
      </c>
      <c r="O36" s="3">
        <f>ROUND(IF(N36="мин.ставка",L36*100,I36/102*2),2)</f>
        <v/>
      </c>
      <c r="P36" s="5" t="n">
        <v>46231.5</v>
      </c>
      <c r="Q36" t="inlineStr">
        <is>
          <t>TravelLine ресепшен</t>
        </is>
      </c>
      <c r="R36" s="2" t="inlineStr">
        <is>
          <t>СТАНДАРТНЫЙ ДВУХМЕСТНЫЙ НОМЕР</t>
        </is>
      </c>
      <c r="S36" t="n">
        <v>22</v>
      </c>
      <c r="T36" t="n">
        <v>1</v>
      </c>
      <c r="U36" t="inlineStr"/>
      <c r="V36" t="inlineStr">
        <is>
          <t>Тариф с завтраком</t>
        </is>
      </c>
      <c r="W36" t="n">
        <v>8900</v>
      </c>
      <c r="X36" s="3" t="n">
        <v>0</v>
      </c>
      <c r="Y36" t="inlineStr"/>
      <c r="Z36" t="inlineStr"/>
      <c r="AA36" s="3" t="n">
        <v>8900</v>
      </c>
      <c r="AB36" t="inlineStr">
        <is>
          <t>Сошлось по ночным тарифам</t>
        </is>
      </c>
      <c r="AC36" s="2" t="inlineStr"/>
      <c r="AD36" t="n">
        <v>0</v>
      </c>
      <c r="AE36" t="n">
        <v>0</v>
      </c>
      <c r="AF36" t="inlineStr">
        <is>
          <t>Скидки нет</t>
        </is>
      </c>
      <c r="AG36" t="n">
        <v>8900</v>
      </c>
      <c r="AH36" t="n">
        <v>8900</v>
      </c>
      <c r="AI36" t="inlineStr">
        <is>
          <t>Полное проживание в выбранном периоде</t>
        </is>
      </c>
    </row>
    <row r="37">
      <c r="A37" t="inlineStr">
        <is>
          <t>20260930-8186-469017708</t>
        </is>
      </c>
      <c r="B37" t="n">
        <v>1</v>
      </c>
      <c r="C37" s="2" t="inlineStr">
        <is>
          <t>Александр Лобанов</t>
        </is>
      </c>
      <c r="D37" s="3" t="n">
        <v>13400</v>
      </c>
      <c r="E37" s="4" t="n">
        <v>0</v>
      </c>
      <c r="F37" t="inlineStr">
        <is>
          <t>Прямые бронирования (стойка) [Чайковский]</t>
        </is>
      </c>
      <c r="G37" s="3">
        <f>ROUND(D37/(100-E37)*100,2)</f>
        <v/>
      </c>
      <c r="H37" s="3" t="n">
        <v>0</v>
      </c>
      <c r="I37" s="3">
        <f>ROUND(IF(ISNUMBER(AG37),AG37,G37)+H37,2)</f>
        <v/>
      </c>
      <c r="J37" s="2" t="inlineStr">
        <is>
          <t>Завтрак "Шведский стол"</t>
        </is>
      </c>
      <c r="K37" s="5" t="n">
        <v>46295.58333333334</v>
      </c>
      <c r="L37" t="n">
        <v>1</v>
      </c>
      <c r="M37" s="3">
        <f>I37/L37</f>
        <v/>
      </c>
      <c r="N37">
        <f>IF(M37&gt;=5100,"ставка","мин.ставка")</f>
        <v/>
      </c>
      <c r="O37" s="3">
        <f>ROUND(IF(N37="мин.ставка",L37*100,I37/102*2),2)</f>
        <v/>
      </c>
      <c r="P37" s="5" t="n">
        <v>46296.5</v>
      </c>
      <c r="Q37" t="inlineStr">
        <is>
          <t>TravelLine ресепшен</t>
        </is>
      </c>
      <c r="R37" s="2" t="inlineStr">
        <is>
          <t>УЛУЧШЕННЫЙ ДВУХМЕСТНЫЙ НОМЕР</t>
        </is>
      </c>
      <c r="S37" t="n">
        <v>31</v>
      </c>
      <c r="T37" t="n">
        <v>1</v>
      </c>
      <c r="U37" t="inlineStr"/>
      <c r="V37" t="inlineStr">
        <is>
          <t>Тариф с завтраком</t>
        </is>
      </c>
      <c r="W37" t="n">
        <v>13400</v>
      </c>
      <c r="X37" s="3" t="n">
        <v>0</v>
      </c>
      <c r="Y37" t="inlineStr"/>
      <c r="Z37" t="inlineStr"/>
      <c r="AA37" s="3" t="n">
        <v>13400</v>
      </c>
      <c r="AB37" t="inlineStr">
        <is>
          <t>Сошлось по ночным тарифам</t>
        </is>
      </c>
      <c r="AC37" s="2" t="inlineStr"/>
      <c r="AD37" t="n">
        <v>0</v>
      </c>
      <c r="AE37" t="n">
        <v>0</v>
      </c>
      <c r="AF37" t="inlineStr">
        <is>
          <t>Скидки нет</t>
        </is>
      </c>
      <c r="AG37" t="n">
        <v>13400</v>
      </c>
      <c r="AH37" t="n">
        <v>13400</v>
      </c>
      <c r="AI37" t="inlineStr">
        <is>
          <t>Полное проживание в выбранном периоде</t>
        </is>
      </c>
    </row>
    <row r="38">
      <c r="A38" t="inlineStr">
        <is>
          <t>20260920-8186-467150358</t>
        </is>
      </c>
      <c r="B38" t="n">
        <v>1</v>
      </c>
      <c r="C38" s="2" t="inlineStr">
        <is>
          <t>Александр Ломоносов</t>
        </is>
      </c>
      <c r="D38" s="3" t="n">
        <v>9080</v>
      </c>
      <c r="E38" s="4" t="n">
        <v>20</v>
      </c>
      <c r="F38" t="inlineStr">
        <is>
          <t>ООО "КОМПАНИЯ БРОНЕВИК" [Чайковский]</t>
        </is>
      </c>
      <c r="G38" s="3">
        <f>ROUND(D38/(100-E38)*100,2)</f>
        <v/>
      </c>
      <c r="H38" s="3" t="n">
        <v>5675</v>
      </c>
      <c r="I38" s="3">
        <f>ROUND(IF(ISNUMBER(AG38),AG38,G38)+H38,2)</f>
        <v/>
      </c>
      <c r="J38" s="2" t="inlineStr">
        <is>
          <t>продление номера — 5 675,00 ₽; Завтрак "Шведский стол"</t>
        </is>
      </c>
      <c r="K38" s="5" t="n">
        <v>46285.58333333334</v>
      </c>
      <c r="L38" t="n">
        <v>1</v>
      </c>
      <c r="M38" s="3">
        <f>I38/L38</f>
        <v/>
      </c>
      <c r="N38">
        <f>IF(M38&gt;=5100,"ставка","мин.ставка")</f>
        <v/>
      </c>
      <c r="O38" s="3">
        <f>ROUND(IF(N38="мин.ставка",L38*100,I38/102*2),2)</f>
        <v/>
      </c>
      <c r="P38" s="5" t="n">
        <v>46286.75</v>
      </c>
      <c r="Q38" t="inlineStr">
        <is>
          <t>TravelLine BR2</t>
        </is>
      </c>
      <c r="R38" s="2" t="inlineStr">
        <is>
          <t>СТАНДАРТНЫЙ ДВУХМЕСТНЫЙ НОМЕР</t>
        </is>
      </c>
      <c r="S38" t="n">
        <v>22</v>
      </c>
      <c r="T38" t="n">
        <v>1</v>
      </c>
      <c r="U38" t="inlineStr"/>
      <c r="V38" t="inlineStr">
        <is>
          <t>Тариф с завтраком</t>
        </is>
      </c>
      <c r="W38" t="n">
        <v>14755</v>
      </c>
      <c r="X38" s="3" t="n">
        <v>0</v>
      </c>
      <c r="Y38" t="inlineStr"/>
      <c r="Z38" t="inlineStr"/>
      <c r="AA38" s="3" t="n">
        <v>9080</v>
      </c>
      <c r="AB38" t="inlineStr">
        <is>
          <t>Сошлось с услугами</t>
        </is>
      </c>
      <c r="AC38" s="2" t="inlineStr"/>
      <c r="AD38" t="n">
        <v>0</v>
      </c>
      <c r="AE38" t="n">
        <v>0</v>
      </c>
      <c r="AF38" t="inlineStr">
        <is>
          <t>Скидки нет</t>
        </is>
      </c>
      <c r="AG38" t="n">
        <v>9080</v>
      </c>
      <c r="AH38" t="n">
        <v>9080</v>
      </c>
      <c r="AI38" t="inlineStr">
        <is>
          <t>Полное проживание в выбранном периоде</t>
        </is>
      </c>
    </row>
    <row r="39">
      <c r="A39" t="inlineStr">
        <is>
          <t>20260802-8186-429074020</t>
        </is>
      </c>
      <c r="B39" t="n">
        <v>1</v>
      </c>
      <c r="C39" s="2" t="inlineStr">
        <is>
          <t>АЛЕКСАНДР НИКОЛАЕВ, ИРИНА КРУПЧАТНИКОВА</t>
        </is>
      </c>
      <c r="D39" s="3" t="n">
        <v>56737.5</v>
      </c>
      <c r="E39" s="4" t="n">
        <v>20</v>
      </c>
      <c r="F39" t="inlineStr">
        <is>
          <t>ООО «Дубль Гис» (OTELLO) [Чайковский]</t>
        </is>
      </c>
      <c r="G39" s="3">
        <f>ROUND(D39/(100-E39)*100,2)</f>
        <v/>
      </c>
      <c r="H39" s="3" t="n">
        <v>0</v>
      </c>
      <c r="I39" s="3">
        <f>ROUND(IF(ISNUMBER(AG39),AG39,G39)+H39,2)</f>
        <v/>
      </c>
      <c r="J39" s="2" t="inlineStr">
        <is>
          <t>Завтрак "Шведский стол"</t>
        </is>
      </c>
      <c r="K39" s="5" t="n">
        <v>46236.58333333334</v>
      </c>
      <c r="L39" t="n">
        <v>5</v>
      </c>
      <c r="M39" s="3">
        <f>I39/L39</f>
        <v/>
      </c>
      <c r="N39">
        <f>IF(M39&gt;=5100,"ставка","мин.ставка")</f>
        <v/>
      </c>
      <c r="O39" s="3">
        <f>ROUND(IF(N39="мин.ставка",L39*100,I39/102*2),2)</f>
        <v/>
      </c>
      <c r="P39" s="5" t="n">
        <v>46241.5</v>
      </c>
      <c r="Q39" t="inlineStr">
        <is>
          <t>TravelLine OL2</t>
        </is>
      </c>
      <c r="R39" s="2" t="inlineStr">
        <is>
          <t>СТАНДАРТНЫЙ ДВУХМЕСТНЫЙ НОМЕР</t>
        </is>
      </c>
      <c r="S39" t="n">
        <v>33</v>
      </c>
      <c r="T39" t="n">
        <v>1</v>
      </c>
      <c r="U39" t="inlineStr"/>
      <c r="V39" t="inlineStr">
        <is>
          <t>Тариф с завтраком</t>
        </is>
      </c>
      <c r="W39" t="n">
        <v>113475</v>
      </c>
      <c r="X39" s="3" t="n">
        <v>10012.5</v>
      </c>
      <c r="Y39" t="inlineStr">
        <is>
          <t>15%</t>
        </is>
      </c>
      <c r="Z39" t="inlineStr">
        <is>
          <t>2026-08-02, 2026-08-03, 2026-08-04, 2026-08-05, 2026-08-06</t>
        </is>
      </c>
      <c r="AA39" s="3" t="n">
        <v>56737.5</v>
      </c>
      <c r="AB39" t="inlineStr">
        <is>
          <t>Сошлось по ночным тарифам</t>
        </is>
      </c>
      <c r="AC39" s="2" t="inlineStr"/>
      <c r="AD39" t="n">
        <v>10012.5</v>
      </c>
      <c r="AE39" t="n">
        <v>0</v>
      </c>
      <c r="AF39" t="inlineStr">
        <is>
          <t>Скидка добавлена к налоговой базе</t>
        </is>
      </c>
      <c r="AG39" t="n">
        <v>66750</v>
      </c>
      <c r="AH39" t="n">
        <v>56737.5</v>
      </c>
      <c r="AI39" t="inlineStr">
        <is>
          <t>Полное проживание в выбранном периоде</t>
        </is>
      </c>
    </row>
    <row r="40">
      <c r="A40" t="inlineStr">
        <is>
          <t>20260920-8186-431075302</t>
        </is>
      </c>
      <c r="B40" t="n">
        <v>1</v>
      </c>
      <c r="C40" s="2" t="inlineStr">
        <is>
          <t>Александр Платицын</t>
        </is>
      </c>
      <c r="D40" s="3" t="n">
        <v>30800</v>
      </c>
      <c r="E40" s="4" t="n">
        <v>18</v>
      </c>
      <c r="F40" t="inlineStr">
        <is>
          <t>Яндекс.Путешествия [Чайковский]</t>
        </is>
      </c>
      <c r="G40" s="3">
        <f>ROUND(D40/(100-E40)*100,2)</f>
        <v/>
      </c>
      <c r="H40" s="3" t="n">
        <v>0</v>
      </c>
      <c r="I40" s="3">
        <f>ROUND(IF(ISNUMBER(AG40),AG40,G40)+H40,2)</f>
        <v/>
      </c>
      <c r="J40" s="2" t="inlineStr">
        <is>
          <t>Завтрак "Шведский стол"</t>
        </is>
      </c>
      <c r="K40" s="5" t="n">
        <v>46285.58333333334</v>
      </c>
      <c r="L40" t="n">
        <v>5</v>
      </c>
      <c r="M40" s="3">
        <f>I40/L40</f>
        <v/>
      </c>
      <c r="N40">
        <f>IF(M40&gt;=5100,"ставка","мин.ставка")</f>
        <v/>
      </c>
      <c r="O40" s="3">
        <f>ROUND(IF(N40="мин.ставка",L40*100,I40/102*2),2)</f>
        <v/>
      </c>
      <c r="P40" s="5" t="n">
        <v>46290.5</v>
      </c>
      <c r="Q40" t="inlineStr">
        <is>
          <t>TravelLine YAX</t>
        </is>
      </c>
      <c r="R40" s="2" t="inlineStr">
        <is>
          <t>СТАНДАРТНЫЙ ОДНОМЕСТНЫЙ НОМЕР</t>
        </is>
      </c>
      <c r="S40" t="n">
        <v>24</v>
      </c>
      <c r="T40" t="n">
        <v>1</v>
      </c>
      <c r="U40" t="inlineStr"/>
      <c r="V40" t="inlineStr">
        <is>
          <t>Тариф с завтраком</t>
        </is>
      </c>
      <c r="W40" t="n">
        <v>30800</v>
      </c>
      <c r="X40" s="3" t="n">
        <v>7700</v>
      </c>
      <c r="Y40" t="inlineStr">
        <is>
          <t>20%</t>
        </is>
      </c>
      <c r="Z40" t="inlineStr">
        <is>
          <t>2026-09-20, 2026-09-21, 2026-09-22, 2026-09-23, 2026-09-24</t>
        </is>
      </c>
      <c r="AA40" s="3" t="n">
        <v>30800</v>
      </c>
      <c r="AB40" t="inlineStr">
        <is>
          <t>Сошлось по ночным тарифам</t>
        </is>
      </c>
      <c r="AC40" s="2" t="inlineStr"/>
      <c r="AD40" t="n">
        <v>7700</v>
      </c>
      <c r="AE40" t="n">
        <v>0</v>
      </c>
      <c r="AF40" t="inlineStr">
        <is>
          <t>Скидка добавлена к налоговой базе</t>
        </is>
      </c>
      <c r="AG40" t="n">
        <v>38500</v>
      </c>
      <c r="AH40" t="n">
        <v>30800</v>
      </c>
      <c r="AI40" t="inlineStr">
        <is>
          <t>Полное проживание в выбранном периоде</t>
        </is>
      </c>
    </row>
    <row r="41">
      <c r="A41" t="inlineStr">
        <is>
          <t>20260802-8186-438830698</t>
        </is>
      </c>
      <c r="B41" t="n">
        <v>1</v>
      </c>
      <c r="C41" s="2" t="inlineStr">
        <is>
          <t>АЛЕКСАНДР ПРОСКУРНИН, СЕРГЕЙ ПРОСКУРНИН</t>
        </is>
      </c>
      <c r="D41" s="3" t="n">
        <v>68085</v>
      </c>
      <c r="E41" s="4" t="n">
        <v>0</v>
      </c>
      <c r="F41" t="inlineStr">
        <is>
          <t>ООО "АЛЕАН ОТДЫХ" [Чайковский]</t>
        </is>
      </c>
      <c r="G41" s="3">
        <f>ROUND(D41/(100-E41)*100,2)</f>
        <v/>
      </c>
      <c r="H41" s="3" t="n">
        <v>0</v>
      </c>
      <c r="I41" s="3">
        <f>ROUND(IF(ISNUMBER(AG41),AG41,G41)+H41,2)</f>
        <v/>
      </c>
      <c r="J41" s="2" t="inlineStr">
        <is>
          <t>meal_bf_buffet_1; meal_bf_buffet_1; Завтрак "Шведский стол"</t>
        </is>
      </c>
      <c r="K41" s="5" t="n">
        <v>46236.58333333334</v>
      </c>
      <c r="L41" t="n">
        <v>6</v>
      </c>
      <c r="M41" s="3">
        <f>I41/L41</f>
        <v/>
      </c>
      <c r="N41">
        <f>IF(M41&gt;=5100,"ставка","мин.ставка")</f>
        <v/>
      </c>
      <c r="O41" s="3">
        <f>ROUND(IF(N41="мин.ставка",L41*100,I41/102*2),2)</f>
        <v/>
      </c>
      <c r="P41" s="5" t="n">
        <v>46242.5</v>
      </c>
      <c r="Q41" t="inlineStr">
        <is>
          <t>TravelLine ALN</t>
        </is>
      </c>
      <c r="R41" s="2" t="inlineStr">
        <is>
          <t>СТАНДАРТНЫЙ ДВУХМЕСТНЫЙ НОМЕР</t>
        </is>
      </c>
      <c r="S41" t="n">
        <v>44</v>
      </c>
      <c r="T41" t="n">
        <v>1</v>
      </c>
      <c r="U41" t="inlineStr"/>
      <c r="V41" t="inlineStr">
        <is>
          <t>Тариф с завтраком</t>
        </is>
      </c>
      <c r="W41" t="n">
        <v>68085</v>
      </c>
      <c r="X41" s="3" t="n">
        <v>12015</v>
      </c>
      <c r="Y41" t="inlineStr">
        <is>
          <t>15%</t>
        </is>
      </c>
      <c r="Z41" t="inlineStr">
        <is>
          <t>2026-08-02, 2026-08-03, 2026-08-04, 2026-08-05, 2026-08-06, 2026-08-07</t>
        </is>
      </c>
      <c r="AA41" s="3" t="n">
        <v>68085</v>
      </c>
      <c r="AB41" t="inlineStr">
        <is>
          <t>Сошлось по ночным тарифам</t>
        </is>
      </c>
      <c r="AC41" s="2" t="inlineStr"/>
      <c r="AD41" t="n">
        <v>12015</v>
      </c>
      <c r="AE41" t="n">
        <v>0</v>
      </c>
      <c r="AF41" t="inlineStr">
        <is>
          <t>Скидка добавлена к налоговой базе</t>
        </is>
      </c>
      <c r="AG41" t="n">
        <v>80100</v>
      </c>
      <c r="AH41" t="n">
        <v>68085</v>
      </c>
      <c r="AI41" t="inlineStr">
        <is>
          <t>Полное проживание в выбранном периоде</t>
        </is>
      </c>
    </row>
    <row r="42">
      <c r="A42" t="inlineStr">
        <is>
          <t>20260724-8186-412232961</t>
        </is>
      </c>
      <c r="B42" t="n">
        <v>1</v>
      </c>
      <c r="C42" s="2" t="inlineStr">
        <is>
          <t>АЛЕКСАНДР СПИРИДОНОВ, МАРЬЯНА СПИРИДОНОВА</t>
        </is>
      </c>
      <c r="D42" s="3" t="n">
        <v>25245</v>
      </c>
      <c r="E42" s="4" t="n">
        <v>15</v>
      </c>
      <c r="F42" t="inlineStr">
        <is>
          <t>ООО "АКАДЕМ-ОНЛАЙН" [Чайковский]</t>
        </is>
      </c>
      <c r="G42" s="3">
        <f>ROUND(D42/(100-E42)*100,2)</f>
        <v/>
      </c>
      <c r="H42" s="3" t="n">
        <v>0</v>
      </c>
      <c r="I42" s="3">
        <f>ROUND(IF(ISNUMBER(AG42),AG42,G42)+H42,2)</f>
        <v/>
      </c>
      <c r="J42" s="2" t="inlineStr">
        <is>
          <t>Завтрак "Шведский стол"</t>
        </is>
      </c>
      <c r="K42" s="5" t="n">
        <v>46227.58333333334</v>
      </c>
      <c r="L42" t="n">
        <v>3</v>
      </c>
      <c r="M42" s="3">
        <f>I42/L42</f>
        <v/>
      </c>
      <c r="N42">
        <f>IF(M42&gt;=5100,"ставка","мин.ставка")</f>
        <v/>
      </c>
      <c r="O42" s="3">
        <f>ROUND(IF(N42="мин.ставка",L42*100,I42/102*2),2)</f>
        <v/>
      </c>
      <c r="P42" s="5" t="n">
        <v>46230.5</v>
      </c>
      <c r="Q42" t="inlineStr">
        <is>
          <t>TravelLine ACS</t>
        </is>
      </c>
      <c r="R42" s="2" t="inlineStr">
        <is>
          <t>СТАНДАРТНЫЙ ДВУХМЕСТНЫЙ НОМЕР (МАНСАРДА)</t>
        </is>
      </c>
      <c r="S42" t="n">
        <v>47</v>
      </c>
      <c r="T42" t="n">
        <v>1</v>
      </c>
      <c r="U42" t="inlineStr"/>
      <c r="V42" t="inlineStr">
        <is>
          <t>Тариф с завтраком</t>
        </is>
      </c>
      <c r="W42" t="n">
        <v>25245</v>
      </c>
      <c r="X42" s="3" t="n">
        <v>4455</v>
      </c>
      <c r="Y42" t="inlineStr">
        <is>
          <t>15%</t>
        </is>
      </c>
      <c r="Z42" t="inlineStr">
        <is>
          <t>2026-07-24, 2026-07-25, 2026-07-26</t>
        </is>
      </c>
      <c r="AA42" s="3" t="n">
        <v>25245</v>
      </c>
      <c r="AB42" t="inlineStr">
        <is>
          <t>Сошлось по ночным тарифам</t>
        </is>
      </c>
      <c r="AC42" s="2" t="inlineStr"/>
      <c r="AD42" t="n">
        <v>4455</v>
      </c>
      <c r="AE42" t="n">
        <v>0</v>
      </c>
      <c r="AF42" t="inlineStr">
        <is>
          <t>Скидка добавлена к налоговой базе</t>
        </is>
      </c>
      <c r="AG42" t="n">
        <v>29700</v>
      </c>
      <c r="AH42" t="n">
        <v>25245</v>
      </c>
      <c r="AI42" t="inlineStr">
        <is>
          <t>Полное проживание в выбранном периоде</t>
        </is>
      </c>
    </row>
    <row r="43">
      <c r="A43" t="inlineStr">
        <is>
          <t>20260827-8186-461925646</t>
        </is>
      </c>
      <c r="B43" t="n">
        <v>1</v>
      </c>
      <c r="C43" s="2" t="inlineStr">
        <is>
          <t>Александр Утюжников, Инна Утюжникова</t>
        </is>
      </c>
      <c r="D43" s="3" t="n">
        <v>11080.5</v>
      </c>
      <c r="E43" s="4" t="n">
        <v>17</v>
      </c>
      <c r="F43" t="inlineStr">
        <is>
          <t>ООО «Интернет Трэвел» (OZON) [Чайковский]</t>
        </is>
      </c>
      <c r="G43" s="3">
        <f>ROUND(D43/(100-E43)*100,2)</f>
        <v/>
      </c>
      <c r="H43" s="3" t="n">
        <v>0</v>
      </c>
      <c r="I43" s="3">
        <f>ROUND(IF(ISNUMBER(AG43),AG43,G43)+H43,2)</f>
        <v/>
      </c>
      <c r="J43" s="2" t="inlineStr">
        <is>
          <t>Завтрак "Шведский стол"</t>
        </is>
      </c>
      <c r="K43" s="5" t="n">
        <v>46261.58333333334</v>
      </c>
      <c r="L43" t="n">
        <v>1</v>
      </c>
      <c r="M43" s="3">
        <f>I43/L43</f>
        <v/>
      </c>
      <c r="N43">
        <f>IF(M43&gt;=5100,"ставка","мин.ставка")</f>
        <v/>
      </c>
      <c r="O43" s="3">
        <f>ROUND(IF(N43="мин.ставка",L43*100,I43/102*2),2)</f>
        <v/>
      </c>
      <c r="P43" s="5" t="n">
        <v>46262.5</v>
      </c>
      <c r="Q43" t="inlineStr">
        <is>
          <t>TravelLine OZ2</t>
        </is>
      </c>
      <c r="R43" s="2" t="inlineStr">
        <is>
          <t>ПОЛУЛЮКС</t>
        </is>
      </c>
      <c r="S43" t="n">
        <v>25</v>
      </c>
      <c r="T43" t="n">
        <v>1</v>
      </c>
      <c r="U43" t="inlineStr"/>
      <c r="V43" t="inlineStr">
        <is>
          <t>Тариф с завтраком</t>
        </is>
      </c>
      <c r="W43" t="n">
        <v>11080.5</v>
      </c>
      <c r="X43" s="3" t="n">
        <v>2269.5</v>
      </c>
      <c r="Y43" t="inlineStr">
        <is>
          <t>17%</t>
        </is>
      </c>
      <c r="Z43" t="inlineStr">
        <is>
          <t>2026-08-27</t>
        </is>
      </c>
      <c r="AA43" s="3" t="n">
        <v>11080.5</v>
      </c>
      <c r="AB43" t="inlineStr">
        <is>
          <t>Сошлось по ночным тарифам</t>
        </is>
      </c>
      <c r="AC43" s="2" t="inlineStr"/>
      <c r="AD43" t="n">
        <v>2269.5</v>
      </c>
      <c r="AE43" t="n">
        <v>0</v>
      </c>
      <c r="AF43" t="inlineStr">
        <is>
          <t>Скидка добавлена к налоговой базе</t>
        </is>
      </c>
      <c r="AG43" t="n">
        <v>13350</v>
      </c>
      <c r="AH43" t="n">
        <v>11080.5</v>
      </c>
      <c r="AI43" t="inlineStr">
        <is>
          <t>Полное проживание в выбранном периоде</t>
        </is>
      </c>
    </row>
    <row r="44">
      <c r="A44" t="inlineStr">
        <is>
          <t>20260801-8186-439320336</t>
        </is>
      </c>
      <c r="B44" t="n">
        <v>1</v>
      </c>
      <c r="C44" s="2" t="inlineStr">
        <is>
          <t>АЛЕКСАНДР ЯСТРЕБОВ, Ирина Ястребова</t>
        </is>
      </c>
      <c r="D44" s="3" t="n">
        <v>25564</v>
      </c>
      <c r="E44" s="4" t="n">
        <v>20</v>
      </c>
      <c r="F44" t="inlineStr">
        <is>
          <t>ООО «Дубль Гис» (OTELLO) [Чайковский]</t>
        </is>
      </c>
      <c r="G44" s="3">
        <f>ROUND(D44/(100-E44)*100,2)</f>
        <v/>
      </c>
      <c r="H44" s="3" t="n">
        <v>0</v>
      </c>
      <c r="I44" s="3">
        <f>ROUND(IF(ISNUMBER(AG44),AG44,G44)+H44,2)</f>
        <v/>
      </c>
      <c r="J44" s="2" t="inlineStr">
        <is>
          <t>Завтрак "Шведский стол"</t>
        </is>
      </c>
      <c r="K44" s="5" t="n">
        <v>46235.58333333334</v>
      </c>
      <c r="L44" t="n">
        <v>2</v>
      </c>
      <c r="M44" s="3">
        <f>I44/L44</f>
        <v/>
      </c>
      <c r="N44">
        <f>IF(M44&gt;=5100,"ставка","мин.ставка")</f>
        <v/>
      </c>
      <c r="O44" s="3">
        <f>ROUND(IF(N44="мин.ставка",L44*100,I44/102*2),2)</f>
        <v/>
      </c>
      <c r="P44" s="5" t="n">
        <v>46237.5</v>
      </c>
      <c r="Q44" t="inlineStr">
        <is>
          <t>TravelLine OL2</t>
        </is>
      </c>
      <c r="R44" s="2" t="inlineStr">
        <is>
          <t>УЛУЧШЕННЫЙ ДВУХМЕСТНЫЙ НОМЕР</t>
        </is>
      </c>
      <c r="S44" t="n">
        <v>21</v>
      </c>
      <c r="T44" t="n">
        <v>1</v>
      </c>
      <c r="U44" t="inlineStr"/>
      <c r="V44" t="inlineStr">
        <is>
          <t>Тариф с завтраком</t>
        </is>
      </c>
      <c r="W44" t="n">
        <v>25564</v>
      </c>
      <c r="X44" s="3" t="n">
        <v>5236</v>
      </c>
      <c r="Y44" t="inlineStr">
        <is>
          <t>17%</t>
        </is>
      </c>
      <c r="Z44" t="inlineStr">
        <is>
          <t>2026-08-01, 2026-08-02</t>
        </is>
      </c>
      <c r="AA44" s="3" t="n">
        <v>25564</v>
      </c>
      <c r="AB44" t="inlineStr">
        <is>
          <t>Сошлось по ночным тарифам</t>
        </is>
      </c>
      <c r="AC44" s="2" t="inlineStr"/>
      <c r="AD44" t="n">
        <v>5236</v>
      </c>
      <c r="AE44" t="n">
        <v>0</v>
      </c>
      <c r="AF44" t="inlineStr">
        <is>
          <t>Скидка добавлена к налоговой базе</t>
        </is>
      </c>
      <c r="AG44" t="n">
        <v>30800</v>
      </c>
      <c r="AH44" t="n">
        <v>25564</v>
      </c>
      <c r="AI44" t="inlineStr">
        <is>
          <t>Полное проживание в выбранном периоде</t>
        </is>
      </c>
    </row>
    <row r="45">
      <c r="A45" t="inlineStr">
        <is>
          <t>20260801-8186-432117189</t>
        </is>
      </c>
      <c r="B45" t="n">
        <v>1</v>
      </c>
      <c r="C45" s="2" t="inlineStr">
        <is>
          <t>АЛЕКСАНДРА ЕМЕЛЬЯНЕНКО, ИЛЬЯ ФАДЕЕНКО</t>
        </is>
      </c>
      <c r="D45" s="3" t="n">
        <v>16500</v>
      </c>
      <c r="E45" s="4" t="n">
        <v>0</v>
      </c>
      <c r="F45" t="inlineStr">
        <is>
          <t>Прямые бронирования (стойка) [Чайковский]</t>
        </is>
      </c>
      <c r="G45" s="3">
        <f>ROUND(D45/(100-E45)*100,2)</f>
        <v/>
      </c>
      <c r="H45" s="3" t="n">
        <v>0</v>
      </c>
      <c r="I45" s="3">
        <f>ROUND(IF(ISNUMBER(AG45),AG45,G45)+H45,2)</f>
        <v/>
      </c>
      <c r="J45" s="2" t="inlineStr">
        <is>
          <t>Завтрак "Шведский стол"</t>
        </is>
      </c>
      <c r="K45" s="5" t="n">
        <v>46235.58333333334</v>
      </c>
      <c r="L45" t="n">
        <v>1</v>
      </c>
      <c r="M45" s="3">
        <f>I45/L45</f>
        <v/>
      </c>
      <c r="N45">
        <f>IF(M45&gt;=5100,"ставка","мин.ставка")</f>
        <v/>
      </c>
      <c r="O45" s="3">
        <f>ROUND(IF(N45="мин.ставка",L45*100,I45/102*2),2)</f>
        <v/>
      </c>
      <c r="P45" s="5" t="n">
        <v>46236.5</v>
      </c>
      <c r="Q45" t="inlineStr">
        <is>
          <t>TravelLine ресепшен</t>
        </is>
      </c>
      <c r="R45" s="2" t="inlineStr">
        <is>
          <t>ПОЛУЛЮКС</t>
        </is>
      </c>
      <c r="S45" t="n">
        <v>35</v>
      </c>
      <c r="T45" t="n">
        <v>1</v>
      </c>
      <c r="U45" t="inlineStr"/>
      <c r="V45" t="inlineStr">
        <is>
          <t>Тариф с завтраком</t>
        </is>
      </c>
      <c r="W45" t="n">
        <v>16500</v>
      </c>
      <c r="X45" s="3" t="n">
        <v>0</v>
      </c>
      <c r="Y45" t="inlineStr"/>
      <c r="Z45" t="inlineStr"/>
      <c r="AA45" s="3" t="n">
        <v>16500</v>
      </c>
      <c r="AB45" t="inlineStr">
        <is>
          <t>Сошлось по ночным тарифам</t>
        </is>
      </c>
      <c r="AC45" s="2" t="inlineStr"/>
      <c r="AD45" t="n">
        <v>0</v>
      </c>
      <c r="AE45" t="n">
        <v>0</v>
      </c>
      <c r="AF45" t="inlineStr">
        <is>
          <t>Скидки нет</t>
        </is>
      </c>
      <c r="AG45" t="n">
        <v>16500</v>
      </c>
      <c r="AH45" t="n">
        <v>16500</v>
      </c>
      <c r="AI45" t="inlineStr">
        <is>
          <t>Полное проживание в выбранном периоде</t>
        </is>
      </c>
    </row>
    <row r="46">
      <c r="A46" t="inlineStr">
        <is>
          <t>20260711-8186-439345595</t>
        </is>
      </c>
      <c r="B46" t="n">
        <v>1</v>
      </c>
      <c r="C46" s="2" t="inlineStr">
        <is>
          <t>Александра Заруднева</t>
        </is>
      </c>
      <c r="D46" s="3" t="n">
        <v>32160</v>
      </c>
      <c r="E46" s="4" t="n">
        <v>18</v>
      </c>
      <c r="F46" t="inlineStr">
        <is>
          <t>Яндекс.Путешествия [Чайковский]</t>
        </is>
      </c>
      <c r="G46" s="3">
        <f>ROUND(D46/(100-E46)*100,2)</f>
        <v/>
      </c>
      <c r="H46" s="3" t="n">
        <v>0</v>
      </c>
      <c r="I46" s="3">
        <f>ROUND(IF(ISNUMBER(AG46),AG46,G46)+H46,2)</f>
        <v/>
      </c>
      <c r="J46" s="2" t="inlineStr">
        <is>
          <t>Завтрак "Шведский стол"</t>
        </is>
      </c>
      <c r="K46" s="5" t="n">
        <v>46214.58333333334</v>
      </c>
      <c r="L46" t="n">
        <v>3</v>
      </c>
      <c r="M46" s="3">
        <f>I46/L46</f>
        <v/>
      </c>
      <c r="N46">
        <f>IF(M46&gt;=5100,"ставка","мин.ставка")</f>
        <v/>
      </c>
      <c r="O46" s="3">
        <f>ROUND(IF(N46="мин.ставка",L46*100,I46/102*2),2)</f>
        <v/>
      </c>
      <c r="P46" s="5" t="n">
        <v>46217.5</v>
      </c>
      <c r="Q46" t="inlineStr">
        <is>
          <t>TravelLine YAX</t>
        </is>
      </c>
      <c r="R46" s="2" t="inlineStr">
        <is>
          <t>ПОЛУЛЮКС</t>
        </is>
      </c>
      <c r="S46" t="n">
        <v>11</v>
      </c>
      <c r="T46" t="n">
        <v>1</v>
      </c>
      <c r="U46" t="inlineStr"/>
      <c r="V46" t="inlineStr">
        <is>
          <t>Тариф с завтраком</t>
        </is>
      </c>
      <c r="W46" t="n">
        <v>32160</v>
      </c>
      <c r="X46" s="3" t="n">
        <v>8040</v>
      </c>
      <c r="Y46" t="inlineStr">
        <is>
          <t>20%</t>
        </is>
      </c>
      <c r="Z46" t="inlineStr">
        <is>
          <t>2026-07-11, 2026-07-12, 2026-07-13</t>
        </is>
      </c>
      <c r="AA46" s="3" t="n">
        <v>32160</v>
      </c>
      <c r="AB46" t="inlineStr">
        <is>
          <t>Сошлось по ночным тарифам</t>
        </is>
      </c>
      <c r="AC46" s="2" t="inlineStr"/>
      <c r="AD46" t="n">
        <v>8040</v>
      </c>
      <c r="AE46" t="n">
        <v>0</v>
      </c>
      <c r="AF46" t="inlineStr">
        <is>
          <t>Скидка добавлена к налоговой базе</t>
        </is>
      </c>
      <c r="AG46" t="n">
        <v>40200</v>
      </c>
      <c r="AH46" t="n">
        <v>32160</v>
      </c>
      <c r="AI46" t="inlineStr">
        <is>
          <t>Полное проживание в выбранном периоде</t>
        </is>
      </c>
    </row>
    <row r="47">
      <c r="A47" t="inlineStr">
        <is>
          <t>20260714-8186-449058458</t>
        </is>
      </c>
      <c r="B47" t="n">
        <v>1</v>
      </c>
      <c r="C47" s="2" t="inlineStr">
        <is>
          <t>Александра Краковская</t>
        </is>
      </c>
      <c r="D47" s="3" t="n">
        <v>6160</v>
      </c>
      <c r="E47" s="4" t="n">
        <v>20</v>
      </c>
      <c r="F47" t="inlineStr">
        <is>
          <t>ООО "КОМПАНИЯ БРОНЕВИК" [Чайковский]</t>
        </is>
      </c>
      <c r="G47" s="3">
        <f>ROUND(D47/(100-E47)*100,2)</f>
        <v/>
      </c>
      <c r="H47" s="3" t="n">
        <v>0</v>
      </c>
      <c r="I47" s="3">
        <f>ROUND(IF(ISNUMBER(AG47),AG47,G47)+H47,2)</f>
        <v/>
      </c>
      <c r="J47" s="2" t="inlineStr">
        <is>
          <t>Завтрак "Шведский стол"</t>
        </is>
      </c>
      <c r="K47" s="5" t="n">
        <v>46217.58333333334</v>
      </c>
      <c r="L47" t="n">
        <v>1</v>
      </c>
      <c r="M47" s="3">
        <f>I47/L47</f>
        <v/>
      </c>
      <c r="N47">
        <f>IF(M47&gt;=5100,"ставка","мин.ставка")</f>
        <v/>
      </c>
      <c r="O47" s="3">
        <f>ROUND(IF(N47="мин.ставка",L47*100,I47/102*2),2)</f>
        <v/>
      </c>
      <c r="P47" s="5" t="n">
        <v>46218.5</v>
      </c>
      <c r="Q47" t="inlineStr">
        <is>
          <t>TravelLine BR2</t>
        </is>
      </c>
      <c r="R47" s="2" t="inlineStr">
        <is>
          <t>СТАНДАРТНЫЙ ОДНОМЕСТНЫЙ НОМЕР</t>
        </is>
      </c>
      <c r="S47" t="n">
        <v>34</v>
      </c>
      <c r="T47" t="n">
        <v>1</v>
      </c>
      <c r="U47" t="inlineStr"/>
      <c r="V47" t="inlineStr">
        <is>
          <t>Тариф с завтраком</t>
        </is>
      </c>
      <c r="W47" t="n">
        <v>6160</v>
      </c>
      <c r="X47" s="3" t="n">
        <v>0</v>
      </c>
      <c r="Y47" t="inlineStr"/>
      <c r="Z47" t="inlineStr"/>
      <c r="AA47" s="3" t="n">
        <v>6160</v>
      </c>
      <c r="AB47" t="inlineStr">
        <is>
          <t>Сошлось по ночным тарифам</t>
        </is>
      </c>
      <c r="AC47" s="2" t="inlineStr"/>
      <c r="AD47" t="n">
        <v>0</v>
      </c>
      <c r="AE47" t="n">
        <v>0</v>
      </c>
      <c r="AF47" t="inlineStr">
        <is>
          <t>Скидки нет</t>
        </is>
      </c>
      <c r="AG47" t="n">
        <v>6160</v>
      </c>
      <c r="AH47" t="n">
        <v>6160</v>
      </c>
      <c r="AI47" t="inlineStr">
        <is>
          <t>Полное проживание в выбранном периоде</t>
        </is>
      </c>
    </row>
    <row r="48">
      <c r="A48" t="inlineStr">
        <is>
          <t>20260801-8186-427298055</t>
        </is>
      </c>
      <c r="B48" t="n">
        <v>1</v>
      </c>
      <c r="C48" s="2" t="inlineStr">
        <is>
          <t>Александра Пилипенко</t>
        </is>
      </c>
      <c r="D48" s="3" t="n">
        <v>79279.75</v>
      </c>
      <c r="E48" s="4" t="n">
        <v>4</v>
      </c>
      <c r="F48" t="inlineStr">
        <is>
          <t>TravelLine Booking Engine [Чайковский]</t>
        </is>
      </c>
      <c r="G48" s="3">
        <f>ROUND(D48/(100-E48)*100,2)</f>
        <v/>
      </c>
      <c r="H48" s="3" t="n">
        <v>0</v>
      </c>
      <c r="I48" s="3">
        <f>ROUND(IF(ISNUMBER(AG48),AG48,G48)+H48,2)</f>
        <v/>
      </c>
      <c r="J48" s="2" t="inlineStr">
        <is>
          <t>Завтрак "Шведский стол"</t>
        </is>
      </c>
      <c r="K48" s="5" t="n">
        <v>46235.58333333334</v>
      </c>
      <c r="L48" t="n">
        <v>7</v>
      </c>
      <c r="M48" s="3">
        <f>I48/L48</f>
        <v/>
      </c>
      <c r="N48">
        <f>IF(M48&gt;=5100,"ставка","мин.ставка")</f>
        <v/>
      </c>
      <c r="O48" s="3">
        <f>ROUND(IF(N48="мин.ставка",L48*100,I48/102*2),2)</f>
        <v/>
      </c>
      <c r="P48" s="5" t="n">
        <v>46242.5</v>
      </c>
      <c r="Q48" t="inlineStr">
        <is>
          <t>TravelLine сайт</t>
        </is>
      </c>
      <c r="R48" s="2" t="inlineStr">
        <is>
          <t>СТАНДАРТНЫЙ ДВУХМЕСТНЫЙ НОМЕР</t>
        </is>
      </c>
      <c r="S48" t="n">
        <v>26</v>
      </c>
      <c r="T48" t="n">
        <v>1</v>
      </c>
      <c r="U48" t="inlineStr"/>
      <c r="V48" t="inlineStr">
        <is>
          <t>Тариф с завтраком</t>
        </is>
      </c>
      <c r="W48" t="n">
        <v>79279.75</v>
      </c>
      <c r="X48" s="3" t="n">
        <v>170.25</v>
      </c>
      <c r="Y48" t="inlineStr">
        <is>
          <t>1.5%</t>
        </is>
      </c>
      <c r="Z48" t="inlineStr">
        <is>
          <t>2026-08-01</t>
        </is>
      </c>
      <c r="AA48" s="3" t="n">
        <v>79279.75</v>
      </c>
      <c r="AB48" t="inlineStr">
        <is>
          <t>Сошлось по ночным тарифам</t>
        </is>
      </c>
      <c r="AC48" s="2" t="inlineStr"/>
      <c r="AD48" t="n">
        <v>170.25</v>
      </c>
      <c r="AE48" t="n">
        <v>0</v>
      </c>
      <c r="AF48" t="inlineStr">
        <is>
          <t>Скидка добавлена к налоговой базе</t>
        </is>
      </c>
      <c r="AG48" t="n">
        <v>79450</v>
      </c>
      <c r="AH48" t="n">
        <v>79279.75</v>
      </c>
      <c r="AI48" t="inlineStr">
        <is>
          <t>Полное проживание в выбранном периоде</t>
        </is>
      </c>
    </row>
    <row r="49">
      <c r="A49" t="inlineStr">
        <is>
          <t>20260725-8186-413407903</t>
        </is>
      </c>
      <c r="B49" t="n">
        <v>1</v>
      </c>
      <c r="C49" s="2" t="inlineStr">
        <is>
          <t>Александра Шевелева</t>
        </is>
      </c>
      <c r="D49" s="3" t="n">
        <v>53661.3</v>
      </c>
      <c r="E49" s="4" t="n">
        <v>4</v>
      </c>
      <c r="F49" t="inlineStr">
        <is>
          <t>TravelLine Booking Engine [Чайковский]</t>
        </is>
      </c>
      <c r="G49" s="3">
        <f>ROUND(D49/(100-E49)*100,2)</f>
        <v/>
      </c>
      <c r="H49" s="3" t="n">
        <v>0</v>
      </c>
      <c r="I49" s="3">
        <f>ROUND(IF(ISNUMBER(AG49),AG49,G49)+H49,2)</f>
        <v/>
      </c>
      <c r="J49" s="2" t="inlineStr">
        <is>
          <t>Завтрак "Шведский стол"</t>
        </is>
      </c>
      <c r="K49" s="5" t="n">
        <v>46228.66666666666</v>
      </c>
      <c r="L49" t="n">
        <v>7</v>
      </c>
      <c r="M49" s="3">
        <f>I49/L49</f>
        <v/>
      </c>
      <c r="N49">
        <f>IF(M49&gt;=5100,"ставка","мин.ставка")</f>
        <v/>
      </c>
      <c r="O49" s="3">
        <f>ROUND(IF(N49="мин.ставка",L49*100,I49/102*2),2)</f>
        <v/>
      </c>
      <c r="P49" s="5" t="n">
        <v>46235.375</v>
      </c>
      <c r="Q49" t="inlineStr">
        <is>
          <t>TravelLine сайт</t>
        </is>
      </c>
      <c r="R49" s="2" t="inlineStr">
        <is>
          <t>СТАНДАРТНЫЙ ОДНОМЕСТНЫЙ НОМЕР</t>
        </is>
      </c>
      <c r="S49" t="n">
        <v>24</v>
      </c>
      <c r="T49" t="n">
        <v>1</v>
      </c>
      <c r="U49" t="inlineStr"/>
      <c r="V49" t="inlineStr">
        <is>
          <t>Тариф с завтраком</t>
        </is>
      </c>
      <c r="W49" t="n">
        <v>53661.3</v>
      </c>
      <c r="X49" s="3" t="n">
        <v>238.7</v>
      </c>
      <c r="Y49" t="inlineStr">
        <is>
          <t>3.1%</t>
        </is>
      </c>
      <c r="Z49" t="inlineStr">
        <is>
          <t>2026-07-25</t>
        </is>
      </c>
      <c r="AA49" s="3" t="n">
        <v>53661.3</v>
      </c>
      <c r="AB49" t="inlineStr">
        <is>
          <t>Сошлось по ночным тарифам</t>
        </is>
      </c>
      <c r="AC49" s="2" t="inlineStr"/>
      <c r="AD49" t="n">
        <v>238.7</v>
      </c>
      <c r="AE49" t="n">
        <v>0</v>
      </c>
      <c r="AF49" t="inlineStr">
        <is>
          <t>Скидка добавлена к налоговой базе</t>
        </is>
      </c>
      <c r="AG49" t="n">
        <v>53900</v>
      </c>
      <c r="AH49" t="n">
        <v>53661.3</v>
      </c>
      <c r="AI49" t="inlineStr">
        <is>
          <t>Полное проживание в выбранном периоде</t>
        </is>
      </c>
    </row>
    <row r="50">
      <c r="A50" t="inlineStr">
        <is>
          <t>20260909-8186-464877594</t>
        </is>
      </c>
      <c r="B50" t="n">
        <v>1</v>
      </c>
      <c r="C50" s="2" t="inlineStr">
        <is>
          <t>Алексей Анисимов</t>
        </is>
      </c>
      <c r="D50" s="3" t="n">
        <v>13050</v>
      </c>
      <c r="E50" s="4" t="n">
        <v>0</v>
      </c>
      <c r="F50" t="inlineStr">
        <is>
          <t>Прямые бронирования (стойка) [Чайковский]</t>
        </is>
      </c>
      <c r="G50" s="3">
        <f>ROUND(D50/(100-E50)*100,2)</f>
        <v/>
      </c>
      <c r="H50" s="3" t="n">
        <v>0</v>
      </c>
      <c r="I50" s="3">
        <f>ROUND(IF(ISNUMBER(AG50),AG50,G50)+H50,2)</f>
        <v/>
      </c>
      <c r="J50" s="2" t="inlineStr">
        <is>
          <t>Завтрак "Шведский стол"</t>
        </is>
      </c>
      <c r="K50" s="5" t="n">
        <v>46274.58333333334</v>
      </c>
      <c r="L50" t="n">
        <v>1</v>
      </c>
      <c r="M50" s="3">
        <f>I50/L50</f>
        <v/>
      </c>
      <c r="N50">
        <f>IF(M50&gt;=5100,"ставка","мин.ставка")</f>
        <v/>
      </c>
      <c r="O50" s="3">
        <f>ROUND(IF(N50="мин.ставка",L50*100,I50/102*2),2)</f>
        <v/>
      </c>
      <c r="P50" s="5" t="n">
        <v>46275.5</v>
      </c>
      <c r="Q50" t="inlineStr">
        <is>
          <t>TravelLine ресепшен</t>
        </is>
      </c>
      <c r="R50" s="2" t="inlineStr">
        <is>
          <t>ПОЛУЛЮКС</t>
        </is>
      </c>
      <c r="S50" t="n">
        <v>25</v>
      </c>
      <c r="T50" t="n">
        <v>1</v>
      </c>
      <c r="U50" t="inlineStr"/>
      <c r="V50" t="inlineStr">
        <is>
          <t>Тариф с завтраком</t>
        </is>
      </c>
      <c r="W50" t="n">
        <v>13050</v>
      </c>
      <c r="X50" s="3" t="n">
        <v>1450</v>
      </c>
      <c r="Y50" t="inlineStr">
        <is>
          <t>10%</t>
        </is>
      </c>
      <c r="Z50" t="inlineStr">
        <is>
          <t>2026-09-09</t>
        </is>
      </c>
      <c r="AA50" s="3" t="n">
        <v>13050</v>
      </c>
      <c r="AB50" t="inlineStr">
        <is>
          <t>Сошлось по ночным тарифам</t>
        </is>
      </c>
      <c r="AC50" s="2" t="inlineStr"/>
      <c r="AD50" t="n">
        <v>1450</v>
      </c>
      <c r="AE50" t="n">
        <v>0</v>
      </c>
      <c r="AF50" t="inlineStr">
        <is>
          <t>Скидка добавлена к налоговой базе</t>
        </is>
      </c>
      <c r="AG50" t="n">
        <v>14500</v>
      </c>
      <c r="AH50" t="n">
        <v>13050</v>
      </c>
      <c r="AI50" t="inlineStr">
        <is>
          <t>Полное проживание в выбранном периоде</t>
        </is>
      </c>
    </row>
    <row r="51">
      <c r="A51" t="inlineStr">
        <is>
          <t>20260921-8186-446871466</t>
        </is>
      </c>
      <c r="B51" t="n">
        <v>1</v>
      </c>
      <c r="C51" s="2" t="inlineStr">
        <is>
          <t>Алексей Бавтрукевич</t>
        </is>
      </c>
      <c r="D51" s="3" t="n">
        <v>31481.5</v>
      </c>
      <c r="E51" s="4" t="n">
        <v>4</v>
      </c>
      <c r="F51" t="inlineStr">
        <is>
          <t>TravelLine Booking Engine [Чайковский]</t>
        </is>
      </c>
      <c r="G51" s="3">
        <f>ROUND(D51/(100-E51)*100,2)</f>
        <v/>
      </c>
      <c r="H51" s="3" t="n">
        <v>0</v>
      </c>
      <c r="I51" s="3">
        <f>ROUND(IF(ISNUMBER(AG51),AG51,G51)+H51,2)</f>
        <v/>
      </c>
      <c r="J51" s="2" t="inlineStr">
        <is>
          <t>Завтрак "Шведский стол"</t>
        </is>
      </c>
      <c r="K51" s="5" t="n">
        <v>46286.58333333334</v>
      </c>
      <c r="L51" t="n">
        <v>4</v>
      </c>
      <c r="M51" s="3">
        <f>I51/L51</f>
        <v/>
      </c>
      <c r="N51">
        <f>IF(M51&gt;=5100,"ставка","мин.ставка")</f>
        <v/>
      </c>
      <c r="O51" s="3">
        <f>ROUND(IF(N51="мин.ставка",L51*100,I51/102*2),2)</f>
        <v/>
      </c>
      <c r="P51" s="5" t="n">
        <v>46290.5</v>
      </c>
      <c r="Q51" t="inlineStr">
        <is>
          <t>TravelLine сайт</t>
        </is>
      </c>
      <c r="R51" s="2" t="inlineStr">
        <is>
          <t>СТАНДАРТНЫЙ ДВУХМЕСТНЫЙ НОМЕР (МАНСАРДА)</t>
        </is>
      </c>
      <c r="S51" t="n">
        <v>45</v>
      </c>
      <c r="T51" t="n">
        <v>1</v>
      </c>
      <c r="U51" t="inlineStr"/>
      <c r="V51" t="inlineStr">
        <is>
          <t>Тариф с завтраком</t>
        </is>
      </c>
      <c r="W51" t="n">
        <v>31481.5</v>
      </c>
      <c r="X51" s="3" t="n">
        <v>118.5</v>
      </c>
      <c r="Y51" t="inlineStr">
        <is>
          <t>1.5%</t>
        </is>
      </c>
      <c r="Z51" t="inlineStr">
        <is>
          <t>2026-09-21</t>
        </is>
      </c>
      <c r="AA51" s="3" t="n">
        <v>31481.5</v>
      </c>
      <c r="AB51" t="inlineStr">
        <is>
          <t>Сошлось по ночным тарифам</t>
        </is>
      </c>
      <c r="AC51" s="2" t="inlineStr"/>
      <c r="AD51" t="n">
        <v>118.5</v>
      </c>
      <c r="AE51" t="n">
        <v>0</v>
      </c>
      <c r="AF51" t="inlineStr">
        <is>
          <t>Скидка добавлена к налоговой базе</t>
        </is>
      </c>
      <c r="AG51" t="n">
        <v>31600</v>
      </c>
      <c r="AH51" t="n">
        <v>31481.5</v>
      </c>
      <c r="AI51" t="inlineStr">
        <is>
          <t>Полное проживание в выбранном периоде</t>
        </is>
      </c>
    </row>
    <row r="52">
      <c r="A52" t="inlineStr">
        <is>
          <t>20260918-8186-411171666</t>
        </is>
      </c>
      <c r="B52" t="n">
        <v>1</v>
      </c>
      <c r="C52" s="2" t="inlineStr">
        <is>
          <t>Алексей Бобров, Мария Боброва</t>
        </is>
      </c>
      <c r="D52" s="3" t="n">
        <v>16830</v>
      </c>
      <c r="E52" s="4" t="n">
        <v>15</v>
      </c>
      <c r="F52" t="inlineStr">
        <is>
          <t>ООО Тинькофф Путешествия [Чайковский]</t>
        </is>
      </c>
      <c r="G52" s="3">
        <f>ROUND(D52/(100-E52)*100,2)</f>
        <v/>
      </c>
      <c r="H52" s="3" t="n">
        <v>0</v>
      </c>
      <c r="I52" s="3">
        <f>ROUND(IF(ISNUMBER(AG52),AG52,G52)+H52,2)</f>
        <v/>
      </c>
      <c r="J52" s="2" t="inlineStr">
        <is>
          <t>Завтрак "Шведский стол"</t>
        </is>
      </c>
      <c r="K52" s="5" t="n">
        <v>46283.91666666666</v>
      </c>
      <c r="L52" t="n">
        <v>2</v>
      </c>
      <c r="M52" s="3">
        <f>I52/L52</f>
        <v/>
      </c>
      <c r="N52">
        <f>IF(M52&gt;=5100,"ставка","мин.ставка")</f>
        <v/>
      </c>
      <c r="O52" s="3">
        <f>ROUND(IF(N52="мин.ставка",L52*100,I52/102*2),2)</f>
        <v/>
      </c>
      <c r="P52" s="5" t="n">
        <v>46285.5</v>
      </c>
      <c r="Q52" t="inlineStr">
        <is>
          <t>TravelLine TNK</t>
        </is>
      </c>
      <c r="R52" s="2" t="inlineStr">
        <is>
          <t>СТАНДАРТНЫЙ ДВУХМЕСТНЫЙ НОМЕР (МАНСАРДА)</t>
        </is>
      </c>
      <c r="S52" t="n">
        <v>41</v>
      </c>
      <c r="T52" t="n">
        <v>1</v>
      </c>
      <c r="U52" t="inlineStr"/>
      <c r="V52" t="inlineStr">
        <is>
          <t>Тариф с завтраком</t>
        </is>
      </c>
      <c r="W52" t="n">
        <v>16830</v>
      </c>
      <c r="X52" s="3" t="n">
        <v>2970</v>
      </c>
      <c r="Y52" t="inlineStr">
        <is>
          <t>15%</t>
        </is>
      </c>
      <c r="Z52" t="inlineStr">
        <is>
          <t>2026-09-18, 2026-09-19</t>
        </is>
      </c>
      <c r="AA52" s="3" t="n">
        <v>16830</v>
      </c>
      <c r="AB52" t="inlineStr">
        <is>
          <t>Сошлось по ночным тарифам</t>
        </is>
      </c>
      <c r="AC52" s="2" t="inlineStr"/>
      <c r="AD52" t="n">
        <v>2970</v>
      </c>
      <c r="AE52" t="n">
        <v>0</v>
      </c>
      <c r="AF52" t="inlineStr">
        <is>
          <t>Скидка добавлена к налоговой базе</t>
        </is>
      </c>
      <c r="AG52" t="n">
        <v>19800</v>
      </c>
      <c r="AH52" t="n">
        <v>16830</v>
      </c>
      <c r="AI52" t="inlineStr">
        <is>
          <t>Полное проживание в выбранном периоде</t>
        </is>
      </c>
    </row>
    <row r="53">
      <c r="A53" t="inlineStr">
        <is>
          <t>20260905-8186-463872786</t>
        </is>
      </c>
      <c r="B53" t="n">
        <v>1</v>
      </c>
      <c r="C53" s="2" t="inlineStr">
        <is>
          <t>Алексей Буланцев, Алла Гейслер</t>
        </is>
      </c>
      <c r="D53" s="3" t="n">
        <v>10012.5</v>
      </c>
      <c r="E53" s="4" t="n">
        <v>18</v>
      </c>
      <c r="F53" t="inlineStr">
        <is>
          <t>Яндекс.Путешествия [Чайковский]</t>
        </is>
      </c>
      <c r="G53" s="3">
        <f>ROUND(D53/(100-E53)*100,2)</f>
        <v/>
      </c>
      <c r="H53" s="3" t="n">
        <v>0</v>
      </c>
      <c r="I53" s="3">
        <f>ROUND(IF(ISNUMBER(AG53),AG53,G53)+H53,2)</f>
        <v/>
      </c>
      <c r="J53" s="2" t="inlineStr">
        <is>
          <t>Завтрак "Шведский стол"</t>
        </is>
      </c>
      <c r="K53" s="5" t="n">
        <v>46270.58333333334</v>
      </c>
      <c r="L53" t="n">
        <v>1</v>
      </c>
      <c r="M53" s="3">
        <f>I53/L53</f>
        <v/>
      </c>
      <c r="N53">
        <f>IF(M53&gt;=5100,"ставка","мин.ставка")</f>
        <v/>
      </c>
      <c r="O53" s="3">
        <f>ROUND(IF(N53="мин.ставка",L53*100,I53/102*2),2)</f>
        <v/>
      </c>
      <c r="P53" s="5" t="n">
        <v>46271.5</v>
      </c>
      <c r="Q53" t="inlineStr">
        <is>
          <t>TravelLine YAX</t>
        </is>
      </c>
      <c r="R53" s="2" t="inlineStr">
        <is>
          <t>СТАНДАРТНЫЙ ДВУХМЕСТНЫЙ НОМЕР</t>
        </is>
      </c>
      <c r="S53" t="n">
        <v>26</v>
      </c>
      <c r="T53" t="n">
        <v>1</v>
      </c>
      <c r="U53" t="inlineStr"/>
      <c r="V53" t="inlineStr">
        <is>
          <t>Тариф с завтраком</t>
        </is>
      </c>
      <c r="W53" t="n">
        <v>10012.5</v>
      </c>
      <c r="X53" s="3" t="n">
        <v>3337.5</v>
      </c>
      <c r="Y53" t="inlineStr">
        <is>
          <t>25%</t>
        </is>
      </c>
      <c r="Z53" t="inlineStr">
        <is>
          <t>2026-09-05</t>
        </is>
      </c>
      <c r="AA53" s="3" t="n">
        <v>10012.5</v>
      </c>
      <c r="AB53" t="inlineStr">
        <is>
          <t>Сошлось по ночным тарифам</t>
        </is>
      </c>
      <c r="AC53" s="2" t="inlineStr"/>
      <c r="AD53" t="n">
        <v>3337.5</v>
      </c>
      <c r="AE53" t="n">
        <v>0</v>
      </c>
      <c r="AF53" t="inlineStr">
        <is>
          <t>Скидка добавлена к налоговой базе</t>
        </is>
      </c>
      <c r="AG53" t="n">
        <v>13350</v>
      </c>
      <c r="AH53" t="n">
        <v>10012.5</v>
      </c>
      <c r="AI53" t="inlineStr">
        <is>
          <t>Полное проживание в выбранном периоде</t>
        </is>
      </c>
    </row>
    <row r="54">
      <c r="A54" t="inlineStr">
        <is>
          <t>20260814-8186-445727724</t>
        </is>
      </c>
      <c r="B54" t="n">
        <v>1</v>
      </c>
      <c r="C54" s="2" t="inlineStr">
        <is>
          <t>Алексей Быков</t>
        </is>
      </c>
      <c r="D54" s="3" t="n">
        <v>86827.5</v>
      </c>
      <c r="E54" s="4" t="n">
        <v>16</v>
      </c>
      <c r="F54" t="inlineStr">
        <is>
          <t>ООО "БРОНИРОВАНИЕ ГОСТИНИЦ" (OSTROVOK) [Чайковский]</t>
        </is>
      </c>
      <c r="G54" s="3">
        <f>ROUND(D54/(100-E54)*100,2)</f>
        <v/>
      </c>
      <c r="H54" s="3" t="n">
        <v>0</v>
      </c>
      <c r="I54" s="3">
        <f>ROUND(IF(ISNUMBER(AG54),AG54,G54)+H54,2)</f>
        <v/>
      </c>
      <c r="J54" s="2" t="inlineStr">
        <is>
          <t>Завтрак "Шведский стол"</t>
        </is>
      </c>
      <c r="K54" s="5" t="n">
        <v>46249.58333333334</v>
      </c>
      <c r="L54" t="n">
        <v>9</v>
      </c>
      <c r="M54" s="3">
        <f>I54/L54</f>
        <v/>
      </c>
      <c r="N54">
        <f>IF(M54&gt;=5100,"ставка","мин.ставка")</f>
        <v/>
      </c>
      <c r="O54" s="3">
        <f>ROUND(IF(N54="мин.ставка",L54*100,I54/102*2),2)</f>
        <v/>
      </c>
      <c r="P54" s="5" t="n">
        <v>46258.5</v>
      </c>
      <c r="Q54" t="inlineStr">
        <is>
          <t>TravelLine OTK</t>
        </is>
      </c>
      <c r="R54" s="2" t="inlineStr">
        <is>
          <t>СТАНДАРТНЫЙ ДВУХМЕСТНЫЙ НОМЕР</t>
        </is>
      </c>
      <c r="S54" t="n">
        <v>32</v>
      </c>
      <c r="T54" t="n">
        <v>1</v>
      </c>
      <c r="U54" t="inlineStr"/>
      <c r="V54" t="inlineStr">
        <is>
          <t>Тариф с завтраком</t>
        </is>
      </c>
      <c r="W54" t="n">
        <v>86827.5</v>
      </c>
      <c r="X54" s="3" t="n">
        <v>15322.5</v>
      </c>
      <c r="Y54" t="inlineStr">
        <is>
          <t>15%</t>
        </is>
      </c>
      <c r="Z54" t="inlineStr">
        <is>
          <t>2026-08-15, 2026-08-16, 2026-08-17, 2026-08-18, 2026-08-19, 2026-08-20, 2026-08-21, 2026-08-22, 2026-08-23</t>
        </is>
      </c>
      <c r="AA54" s="3" t="n">
        <v>86827.5</v>
      </c>
      <c r="AB54" t="inlineStr">
        <is>
          <t>Сошлось по ночным тарифам</t>
        </is>
      </c>
      <c r="AC54" s="2" t="inlineStr"/>
      <c r="AD54" t="n">
        <v>15322.5</v>
      </c>
      <c r="AE54" t="n">
        <v>0</v>
      </c>
      <c r="AF54" t="inlineStr">
        <is>
          <t>Скидка добавлена к налоговой базе</t>
        </is>
      </c>
      <c r="AG54" t="n">
        <v>102150</v>
      </c>
      <c r="AH54" t="n">
        <v>86827.5</v>
      </c>
      <c r="AI54" t="inlineStr">
        <is>
          <t>Полное проживание в выбранном периоде</t>
        </is>
      </c>
    </row>
    <row r="55">
      <c r="A55" t="inlineStr">
        <is>
          <t>20260801-8186-451401822</t>
        </is>
      </c>
      <c r="B55" t="n">
        <v>1</v>
      </c>
      <c r="C55" s="2" t="inlineStr">
        <is>
          <t>Алексей Гладков, ОЛЬГА Михальченко</t>
        </is>
      </c>
      <c r="D55" s="3" t="n">
        <v>15840</v>
      </c>
      <c r="E55" s="4" t="n">
        <v>18</v>
      </c>
      <c r="F55" t="inlineStr">
        <is>
          <t>Яндекс.Путешествия [Чайковский]</t>
        </is>
      </c>
      <c r="G55" s="3">
        <f>ROUND(D55/(100-E55)*100,2)</f>
        <v/>
      </c>
      <c r="H55" s="3" t="n">
        <v>0</v>
      </c>
      <c r="I55" s="3">
        <f>ROUND(IF(ISNUMBER(AG55),AG55,G55)+H55,2)</f>
        <v/>
      </c>
      <c r="J55" s="2" t="inlineStr">
        <is>
          <t>Завтрак "Шведский стол"</t>
        </is>
      </c>
      <c r="K55" s="5" t="n">
        <v>46235.58333333334</v>
      </c>
      <c r="L55" t="n">
        <v>2</v>
      </c>
      <c r="M55" s="3">
        <f>I55/L55</f>
        <v/>
      </c>
      <c r="N55">
        <f>IF(M55&gt;=5100,"ставка","мин.ставка")</f>
        <v/>
      </c>
      <c r="O55" s="3">
        <f>ROUND(IF(N55="мин.ставка",L55*100,I55/102*2),2)</f>
        <v/>
      </c>
      <c r="P55" s="5" t="n">
        <v>46237.5</v>
      </c>
      <c r="Q55" t="inlineStr">
        <is>
          <t>TravelLine YAX</t>
        </is>
      </c>
      <c r="R55" s="2" t="inlineStr">
        <is>
          <t>СТАНДАРТНЫЙ ДВУХМЕСТНЫЙ НОМЕР (МАНСАРДА)</t>
        </is>
      </c>
      <c r="S55" t="n">
        <v>47</v>
      </c>
      <c r="T55" t="n">
        <v>1</v>
      </c>
      <c r="U55" t="inlineStr"/>
      <c r="V55" t="inlineStr">
        <is>
          <t>Тариф с завтраком</t>
        </is>
      </c>
      <c r="W55" t="n">
        <v>15840</v>
      </c>
      <c r="X55" s="3" t="n">
        <v>3960</v>
      </c>
      <c r="Y55" t="inlineStr">
        <is>
          <t>20%</t>
        </is>
      </c>
      <c r="Z55" t="inlineStr">
        <is>
          <t>2026-08-01, 2026-08-02</t>
        </is>
      </c>
      <c r="AA55" s="3" t="n">
        <v>15840</v>
      </c>
      <c r="AB55" t="inlineStr">
        <is>
          <t>Сошлось по ночным тарифам</t>
        </is>
      </c>
      <c r="AC55" s="2" t="inlineStr"/>
      <c r="AD55" t="n">
        <v>3960</v>
      </c>
      <c r="AE55" t="n">
        <v>0</v>
      </c>
      <c r="AF55" t="inlineStr">
        <is>
          <t>Скидка добавлена к налоговой базе</t>
        </is>
      </c>
      <c r="AG55" t="n">
        <v>19800</v>
      </c>
      <c r="AH55" t="n">
        <v>15840</v>
      </c>
      <c r="AI55" t="inlineStr">
        <is>
          <t>Полное проживание в выбранном периоде</t>
        </is>
      </c>
    </row>
    <row r="56">
      <c r="A56" t="inlineStr">
        <is>
          <t>20260708-8186-445371668</t>
        </is>
      </c>
      <c r="B56" t="n">
        <v>1</v>
      </c>
      <c r="C56" s="2" t="inlineStr">
        <is>
          <t>Алексей Грахов</t>
        </is>
      </c>
      <c r="D56" s="3" t="n">
        <v>19295</v>
      </c>
      <c r="E56" s="4" t="n">
        <v>15</v>
      </c>
      <c r="F56" t="inlineStr">
        <is>
          <t>ООО «СБО» (Ростелеком) [Чайковский]</t>
        </is>
      </c>
      <c r="G56" s="3">
        <f>ROUND(D56/(100-E56)*100,2)</f>
        <v/>
      </c>
      <c r="H56" s="3" t="n">
        <v>0</v>
      </c>
      <c r="I56" s="3">
        <f>ROUND(IF(ISNUMBER(AG56),AG56,G56)+H56,2)</f>
        <v/>
      </c>
      <c r="J56" s="2" t="inlineStr">
        <is>
          <t>Завтрак "Шведский стол"</t>
        </is>
      </c>
      <c r="K56" s="5" t="n">
        <v>46211.58333333334</v>
      </c>
      <c r="L56" t="n">
        <v>2</v>
      </c>
      <c r="M56" s="3">
        <f>I56/L56</f>
        <v/>
      </c>
      <c r="N56">
        <f>IF(M56&gt;=5100,"ставка","мин.ставка")</f>
        <v/>
      </c>
      <c r="O56" s="3">
        <f>ROUND(IF(N56="мин.ставка",L56*100,I56/102*2),2)</f>
        <v/>
      </c>
      <c r="P56" s="5" t="n">
        <v>46213.5</v>
      </c>
      <c r="Q56" t="inlineStr">
        <is>
          <t>TravelLine RTT</t>
        </is>
      </c>
      <c r="R56" s="2" t="inlineStr">
        <is>
          <t>СТАНДАРТНЫЙ ДВУХМЕСТНЫЙ НОМЕР</t>
        </is>
      </c>
      <c r="S56" t="n">
        <v>36</v>
      </c>
      <c r="T56" t="n">
        <v>1</v>
      </c>
      <c r="U56" t="inlineStr"/>
      <c r="V56" t="inlineStr">
        <is>
          <t>Тариф с завтраком</t>
        </is>
      </c>
      <c r="W56" t="n">
        <v>19295</v>
      </c>
      <c r="X56" s="3" t="n">
        <v>3405</v>
      </c>
      <c r="Y56" t="inlineStr">
        <is>
          <t>15%</t>
        </is>
      </c>
      <c r="Z56" t="inlineStr">
        <is>
          <t>2026-07-08, 2026-07-09</t>
        </is>
      </c>
      <c r="AA56" s="3" t="n">
        <v>19295</v>
      </c>
      <c r="AB56" t="inlineStr">
        <is>
          <t>Сошлось по ночным тарифам</t>
        </is>
      </c>
      <c r="AC56" s="2" t="inlineStr"/>
      <c r="AD56" t="n">
        <v>3405</v>
      </c>
      <c r="AE56" t="n">
        <v>0</v>
      </c>
      <c r="AF56" t="inlineStr">
        <is>
          <t>Скидка добавлена к налоговой базе</t>
        </is>
      </c>
      <c r="AG56" t="n">
        <v>22700</v>
      </c>
      <c r="AH56" t="n">
        <v>19295</v>
      </c>
      <c r="AI56" t="inlineStr">
        <is>
          <t>Полное проживание в выбранном периоде</t>
        </is>
      </c>
    </row>
    <row r="57">
      <c r="A57" t="inlineStr">
        <is>
          <t>20260720-8186-451892506</t>
        </is>
      </c>
      <c r="B57" t="n">
        <v>1</v>
      </c>
      <c r="C57" s="2" t="inlineStr">
        <is>
          <t>Алексей Манин</t>
        </is>
      </c>
      <c r="D57" s="3" t="n">
        <v>8217</v>
      </c>
      <c r="E57" s="4" t="n">
        <v>17</v>
      </c>
      <c r="F57" t="inlineStr">
        <is>
          <t>ООО «Дубль Гис» (OTELLO) [Чайковский]</t>
        </is>
      </c>
      <c r="G57" s="3">
        <f>ROUND(D57/(100-E57)*100,2)</f>
        <v/>
      </c>
      <c r="H57" s="3" t="n">
        <v>0</v>
      </c>
      <c r="I57" s="3">
        <f>ROUND(IF(ISNUMBER(AG57),AG57,G57)+H57,2)</f>
        <v/>
      </c>
      <c r="J57" s="2" t="inlineStr">
        <is>
          <t>Завтрак "Шведский стол"</t>
        </is>
      </c>
      <c r="K57" s="5" t="n">
        <v>46223.58333333334</v>
      </c>
      <c r="L57" t="n">
        <v>1</v>
      </c>
      <c r="M57" s="3">
        <f>I57/L57</f>
        <v/>
      </c>
      <c r="N57">
        <f>IF(M57&gt;=5100,"ставка","мин.ставка")</f>
        <v/>
      </c>
      <c r="O57" s="3">
        <f>ROUND(IF(N57="мин.ставка",L57*100,I57/102*2),2)</f>
        <v/>
      </c>
      <c r="P57" s="5" t="n">
        <v>46224.5</v>
      </c>
      <c r="Q57" t="inlineStr">
        <is>
          <t>TravelLine OL2</t>
        </is>
      </c>
      <c r="R57" s="2" t="inlineStr">
        <is>
          <t>СТАНДАРТНЫЙ ДВУХМЕСТНЫЙ НОМЕР</t>
        </is>
      </c>
      <c r="S57" t="n">
        <v>44</v>
      </c>
      <c r="T57" t="n">
        <v>1</v>
      </c>
      <c r="U57" t="inlineStr"/>
      <c r="V57" t="inlineStr">
        <is>
          <t>Тариф с завтраком</t>
        </is>
      </c>
      <c r="W57" t="n">
        <v>8217</v>
      </c>
      <c r="X57" s="3" t="n">
        <v>1683</v>
      </c>
      <c r="Y57" t="inlineStr">
        <is>
          <t>17%</t>
        </is>
      </c>
      <c r="Z57" t="inlineStr">
        <is>
          <t>2026-07-20</t>
        </is>
      </c>
      <c r="AA57" s="3" t="n">
        <v>8217</v>
      </c>
      <c r="AB57" t="inlineStr">
        <is>
          <t>Сошлось по ночным тарифам</t>
        </is>
      </c>
      <c r="AC57" s="2" t="inlineStr"/>
      <c r="AD57" t="n">
        <v>1683</v>
      </c>
      <c r="AE57" t="n">
        <v>0</v>
      </c>
      <c r="AF57" t="inlineStr">
        <is>
          <t>Скидка добавлена к налоговой базе</t>
        </is>
      </c>
      <c r="AG57" t="n">
        <v>9900</v>
      </c>
      <c r="AH57" t="n">
        <v>8217</v>
      </c>
      <c r="AI57" t="inlineStr">
        <is>
          <t>Полное проживание в выбранном периоде</t>
        </is>
      </c>
    </row>
    <row r="58">
      <c r="A58" t="inlineStr">
        <is>
          <t>20260718-8186-451155669</t>
        </is>
      </c>
      <c r="B58" t="n">
        <v>1</v>
      </c>
      <c r="C58" s="2" t="inlineStr">
        <is>
          <t>Алексей Манин, Наталья Манина</t>
        </is>
      </c>
      <c r="D58" s="3" t="n">
        <v>11080.5</v>
      </c>
      <c r="E58" s="4" t="n">
        <v>17</v>
      </c>
      <c r="F58" t="inlineStr">
        <is>
          <t>ООО «Дубль Гис» (OTELLO) [Чайковский]</t>
        </is>
      </c>
      <c r="G58" s="3">
        <f>ROUND(D58/(100-E58)*100,2)</f>
        <v/>
      </c>
      <c r="H58" s="3" t="n">
        <v>0</v>
      </c>
      <c r="I58" s="3">
        <f>ROUND(IF(ISNUMBER(AG58),AG58,G58)+H58,2)</f>
        <v/>
      </c>
      <c r="J58" s="2" t="inlineStr">
        <is>
          <t>Завтрак "Шведский стол"</t>
        </is>
      </c>
      <c r="K58" s="5" t="n">
        <v>46221.58333333334</v>
      </c>
      <c r="L58" t="n">
        <v>1</v>
      </c>
      <c r="M58" s="3">
        <f>I58/L58</f>
        <v/>
      </c>
      <c r="N58">
        <f>IF(M58&gt;=5100,"ставка","мин.ставка")</f>
        <v/>
      </c>
      <c r="O58" s="3">
        <f>ROUND(IF(N58="мин.ставка",L58*100,I58/102*2),2)</f>
        <v/>
      </c>
      <c r="P58" s="5" t="n">
        <v>46222.5</v>
      </c>
      <c r="Q58" t="inlineStr">
        <is>
          <t>TravelLine OL2</t>
        </is>
      </c>
      <c r="R58" s="2" t="inlineStr">
        <is>
          <t>УЛУЧШЕННЫЙ ДВУХМЕСТНЫЙ НОМЕР</t>
        </is>
      </c>
      <c r="S58" t="n">
        <v>21</v>
      </c>
      <c r="T58" t="n">
        <v>1</v>
      </c>
      <c r="U58" t="inlineStr"/>
      <c r="V58" t="inlineStr">
        <is>
          <t>Тариф с завтраком</t>
        </is>
      </c>
      <c r="W58" t="n">
        <v>11080.5</v>
      </c>
      <c r="X58" s="3" t="n">
        <v>2269.5</v>
      </c>
      <c r="Y58" t="inlineStr">
        <is>
          <t>17%</t>
        </is>
      </c>
      <c r="Z58" t="inlineStr">
        <is>
          <t>2026-07-18</t>
        </is>
      </c>
      <c r="AA58" s="3" t="n">
        <v>11080.5</v>
      </c>
      <c r="AB58" t="inlineStr">
        <is>
          <t>Сошлось по ночным тарифам</t>
        </is>
      </c>
      <c r="AC58" s="2" t="inlineStr"/>
      <c r="AD58" t="n">
        <v>2269.5</v>
      </c>
      <c r="AE58" t="n">
        <v>0</v>
      </c>
      <c r="AF58" t="inlineStr">
        <is>
          <t>Скидка добавлена к налоговой базе</t>
        </is>
      </c>
      <c r="AG58" t="n">
        <v>13350</v>
      </c>
      <c r="AH58" t="n">
        <v>11080.5</v>
      </c>
      <c r="AI58" t="inlineStr">
        <is>
          <t>Полное проживание в выбранном периоде</t>
        </is>
      </c>
    </row>
    <row r="59">
      <c r="A59" t="inlineStr">
        <is>
          <t>20260907-8186-463206260</t>
        </is>
      </c>
      <c r="B59" t="n">
        <v>1</v>
      </c>
      <c r="C59" s="2" t="inlineStr">
        <is>
          <t>Алексей Моисеев</t>
        </is>
      </c>
      <c r="D59" s="3" t="n">
        <v>18160</v>
      </c>
      <c r="E59" s="4" t="n">
        <v>20</v>
      </c>
      <c r="F59" t="inlineStr">
        <is>
          <t>ООО "КОМПАНИЯ БРОНЕВИК" [Чайковский]</t>
        </is>
      </c>
      <c r="G59" s="3">
        <f>ROUND(D59/(100-E59)*100,2)</f>
        <v/>
      </c>
      <c r="H59" s="3" t="n">
        <v>0</v>
      </c>
      <c r="I59" s="3">
        <f>ROUND(IF(ISNUMBER(AG59),AG59,G59)+H59,2)</f>
        <v/>
      </c>
      <c r="J59" s="2" t="inlineStr">
        <is>
          <t>Завтрак "Шведский стол"</t>
        </is>
      </c>
      <c r="K59" s="5" t="n">
        <v>46272.58333333334</v>
      </c>
      <c r="L59" t="n">
        <v>2</v>
      </c>
      <c r="M59" s="3">
        <f>I59/L59</f>
        <v/>
      </c>
      <c r="N59">
        <f>IF(M59&gt;=5100,"ставка","мин.ставка")</f>
        <v/>
      </c>
      <c r="O59" s="3">
        <f>ROUND(IF(N59="мин.ставка",L59*100,I59/102*2),2)</f>
        <v/>
      </c>
      <c r="P59" s="5" t="n">
        <v>46274.5</v>
      </c>
      <c r="Q59" t="inlineStr">
        <is>
          <t>TravelLine BR2</t>
        </is>
      </c>
      <c r="R59" s="2" t="inlineStr">
        <is>
          <t>СТАНДАРТНЫЙ ДВУХМЕСТНЫЙ НОМЕР</t>
        </is>
      </c>
      <c r="S59" t="n">
        <v>22</v>
      </c>
      <c r="T59" t="n">
        <v>1</v>
      </c>
      <c r="U59" t="inlineStr"/>
      <c r="V59" t="inlineStr">
        <is>
          <t>Тариф с завтраком</t>
        </is>
      </c>
      <c r="W59" t="n">
        <v>18160</v>
      </c>
      <c r="X59" s="3" t="n">
        <v>0</v>
      </c>
      <c r="Y59" t="inlineStr"/>
      <c r="Z59" t="inlineStr"/>
      <c r="AA59" s="3" t="n">
        <v>18160</v>
      </c>
      <c r="AB59" t="inlineStr">
        <is>
          <t>Сошлось по ночным тарифам</t>
        </is>
      </c>
      <c r="AC59" s="2" t="inlineStr"/>
      <c r="AD59" t="n">
        <v>0</v>
      </c>
      <c r="AE59" t="n">
        <v>0</v>
      </c>
      <c r="AF59" t="inlineStr">
        <is>
          <t>Скидки нет</t>
        </is>
      </c>
      <c r="AG59" t="n">
        <v>18160</v>
      </c>
      <c r="AH59" t="n">
        <v>18160</v>
      </c>
      <c r="AI59" t="inlineStr">
        <is>
          <t>Полное проживание в выбранном периоде</t>
        </is>
      </c>
    </row>
    <row r="60">
      <c r="A60" t="inlineStr">
        <is>
          <t>20260823-8186-458220929</t>
        </is>
      </c>
      <c r="B60" t="n">
        <v>1</v>
      </c>
      <c r="C60" s="2" t="inlineStr">
        <is>
          <t>АЛЕКСЕЙ МОСКВИН</t>
        </is>
      </c>
      <c r="D60" s="3" t="n">
        <v>28942.5</v>
      </c>
      <c r="E60" s="4" t="n">
        <v>15</v>
      </c>
      <c r="F60" t="inlineStr">
        <is>
          <t>ООО "АКАДЕМ-ОНЛАЙН" [Чайковский]</t>
        </is>
      </c>
      <c r="G60" s="3">
        <f>ROUND(D60/(100-E60)*100,2)</f>
        <v/>
      </c>
      <c r="H60" s="3" t="n">
        <v>0</v>
      </c>
      <c r="I60" s="3">
        <f>ROUND(IF(ISNUMBER(AG60),AG60,G60)+H60,2)</f>
        <v/>
      </c>
      <c r="J60" s="2" t="inlineStr">
        <is>
          <t>Завтрак "Шведский стол"</t>
        </is>
      </c>
      <c r="K60" s="5" t="n">
        <v>46257.58333333334</v>
      </c>
      <c r="L60" t="n">
        <v>3</v>
      </c>
      <c r="M60" s="3">
        <f>I60/L60</f>
        <v/>
      </c>
      <c r="N60">
        <f>IF(M60&gt;=5100,"ставка","мин.ставка")</f>
        <v/>
      </c>
      <c r="O60" s="3">
        <f>ROUND(IF(N60="мин.ставка",L60*100,I60/102*2),2)</f>
        <v/>
      </c>
      <c r="P60" s="5" t="n">
        <v>46260.5</v>
      </c>
      <c r="Q60" t="inlineStr">
        <is>
          <t>TravelLine ACS</t>
        </is>
      </c>
      <c r="R60" s="2" t="inlineStr">
        <is>
          <t>СТАНДАРТНЫЙ ДВУХМЕСТНЫЙ НОМЕР</t>
        </is>
      </c>
      <c r="S60" t="n">
        <v>44</v>
      </c>
      <c r="T60" t="n">
        <v>1</v>
      </c>
      <c r="U60" t="inlineStr"/>
      <c r="V60" t="inlineStr">
        <is>
          <t>Тариф с завтраком</t>
        </is>
      </c>
      <c r="W60" t="n">
        <v>28942.5</v>
      </c>
      <c r="X60" s="3" t="n">
        <v>5107.5</v>
      </c>
      <c r="Y60" t="inlineStr">
        <is>
          <t>15%</t>
        </is>
      </c>
      <c r="Z60" t="inlineStr">
        <is>
          <t>2026-08-23, 2026-08-24, 2026-08-25</t>
        </is>
      </c>
      <c r="AA60" s="3" t="n">
        <v>28942.5</v>
      </c>
      <c r="AB60" t="inlineStr">
        <is>
          <t>Сошлось по ночным тарифам</t>
        </is>
      </c>
      <c r="AC60" s="2" t="inlineStr"/>
      <c r="AD60" t="n">
        <v>5107.5</v>
      </c>
      <c r="AE60" t="n">
        <v>0</v>
      </c>
      <c r="AF60" t="inlineStr">
        <is>
          <t>Скидка добавлена к налоговой базе</t>
        </is>
      </c>
      <c r="AG60" t="n">
        <v>34050</v>
      </c>
      <c r="AH60" t="n">
        <v>28942.5</v>
      </c>
      <c r="AI60" t="inlineStr">
        <is>
          <t>Полное проживание в выбранном периоде</t>
        </is>
      </c>
    </row>
    <row r="61">
      <c r="A61" t="inlineStr">
        <is>
          <t>20260709-8186-415694395</t>
        </is>
      </c>
      <c r="B61" t="n">
        <v>1</v>
      </c>
      <c r="C61" s="2" t="inlineStr">
        <is>
          <t>Алексей Остроумов</t>
        </is>
      </c>
      <c r="D61" s="3" t="n">
        <v>25878</v>
      </c>
      <c r="E61" s="4" t="n">
        <v>18</v>
      </c>
      <c r="F61" t="inlineStr">
        <is>
          <t>Яндекс.Путешествия [Чайковский]</t>
        </is>
      </c>
      <c r="G61" s="3">
        <f>ROUND(D61/(100-E61)*100,2)</f>
        <v/>
      </c>
      <c r="H61" s="3" t="n">
        <v>0</v>
      </c>
      <c r="I61" s="3">
        <f>ROUND(IF(ISNUMBER(AG61),AG61,G61)+H61,2)</f>
        <v/>
      </c>
      <c r="J61" s="2" t="inlineStr">
        <is>
          <t>Завтрак "Шведский стол"</t>
        </is>
      </c>
      <c r="K61" s="5" t="n">
        <v>46212.58333333334</v>
      </c>
      <c r="L61" t="n">
        <v>3</v>
      </c>
      <c r="M61" s="3">
        <f>I61/L61</f>
        <v/>
      </c>
      <c r="N61">
        <f>IF(M61&gt;=5100,"ставка","мин.ставка")</f>
        <v/>
      </c>
      <c r="O61" s="3">
        <f>ROUND(IF(N61="мин.ставка",L61*100,I61/102*2),2)</f>
        <v/>
      </c>
      <c r="P61" s="5" t="n">
        <v>46215.5</v>
      </c>
      <c r="Q61" t="inlineStr">
        <is>
          <t>TravelLine YAX</t>
        </is>
      </c>
      <c r="R61" s="2" t="inlineStr">
        <is>
          <t>СТАНДАРТНЫЙ ДВУХМЕСТНЫЙ НОМЕР</t>
        </is>
      </c>
      <c r="S61" t="n">
        <v>22</v>
      </c>
      <c r="T61" t="n">
        <v>1</v>
      </c>
      <c r="U61" t="inlineStr"/>
      <c r="V61" t="inlineStr">
        <is>
          <t>Тариф с завтраком</t>
        </is>
      </c>
      <c r="W61" t="n">
        <v>25878</v>
      </c>
      <c r="X61" s="3" t="n">
        <v>6469.5</v>
      </c>
      <c r="Y61" t="inlineStr">
        <is>
          <t>20%</t>
        </is>
      </c>
      <c r="Z61" t="inlineStr">
        <is>
          <t>2026-07-09, 2026-07-10, 2026-07-11</t>
        </is>
      </c>
      <c r="AA61" s="3" t="n">
        <v>25878</v>
      </c>
      <c r="AB61" t="inlineStr">
        <is>
          <t>Сошлось по ночным тарифам</t>
        </is>
      </c>
      <c r="AC61" s="2" t="inlineStr"/>
      <c r="AD61" t="n">
        <v>6469.5</v>
      </c>
      <c r="AE61" t="n">
        <v>0</v>
      </c>
      <c r="AF61" t="inlineStr">
        <is>
          <t>Скидка добавлена к налоговой базе</t>
        </is>
      </c>
      <c r="AG61" t="n">
        <v>32347.5</v>
      </c>
      <c r="AH61" t="n">
        <v>25878</v>
      </c>
      <c r="AI61" t="inlineStr">
        <is>
          <t>Полное проживание в выбранном периоде</t>
        </is>
      </c>
    </row>
    <row r="62">
      <c r="A62" t="inlineStr">
        <is>
          <t>20260807-8186-452013498</t>
        </is>
      </c>
      <c r="B62" t="n">
        <v>1</v>
      </c>
      <c r="C62" s="2" t="inlineStr">
        <is>
          <t>Алексей Поминов, Екатерина Карчевская</t>
        </is>
      </c>
      <c r="D62" s="3" t="n">
        <v>45390</v>
      </c>
      <c r="E62" s="4" t="n">
        <v>0</v>
      </c>
      <c r="F62" t="inlineStr">
        <is>
          <t>ООО «ХОМЛИН ЛЭНД» (ПЕГАС) [Чайковский]</t>
        </is>
      </c>
      <c r="G62" s="3">
        <f>ROUND(D62/(100-E62)*100,2)</f>
        <v/>
      </c>
      <c r="H62" s="3" t="n">
        <v>0</v>
      </c>
      <c r="I62" s="3">
        <f>ROUND(IF(ISNUMBER(AG62),AG62,G62)+H62,2)</f>
        <v/>
      </c>
      <c r="J62" s="2" t="inlineStr">
        <is>
          <t>Завтрак "Шведский стол"</t>
        </is>
      </c>
      <c r="K62" s="5" t="n">
        <v>46241.58333333334</v>
      </c>
      <c r="L62" t="n">
        <v>4</v>
      </c>
      <c r="M62" s="3">
        <f>I62/L62</f>
        <v/>
      </c>
      <c r="N62">
        <f>IF(M62&gt;=5100,"ставка","мин.ставка")</f>
        <v/>
      </c>
      <c r="O62" s="3">
        <f>ROUND(IF(N62="мин.ставка",L62*100,I62/102*2),2)</f>
        <v/>
      </c>
      <c r="P62" s="5" t="n">
        <v>46245.5</v>
      </c>
      <c r="Q62" t="inlineStr">
        <is>
          <t>TravelLine PGS</t>
        </is>
      </c>
      <c r="R62" s="2" t="inlineStr">
        <is>
          <t>СТАНДАРТНЫЙ ДВУХМЕСТНЫЙ НОМЕР</t>
        </is>
      </c>
      <c r="S62" t="n">
        <v>32</v>
      </c>
      <c r="T62" t="n">
        <v>1</v>
      </c>
      <c r="U62" t="inlineStr"/>
      <c r="V62" t="inlineStr">
        <is>
          <t>Тариф с завтраком</t>
        </is>
      </c>
      <c r="W62" t="n">
        <v>45390</v>
      </c>
      <c r="X62" s="3" t="n">
        <v>8010</v>
      </c>
      <c r="Y62" t="inlineStr">
        <is>
          <t>15%</t>
        </is>
      </c>
      <c r="Z62" t="inlineStr">
        <is>
          <t>2026-08-07, 2026-08-08, 2026-08-09, 2026-08-10</t>
        </is>
      </c>
      <c r="AA62" s="3" t="n">
        <v>45390</v>
      </c>
      <c r="AB62" t="inlineStr">
        <is>
          <t>Сошлось по ночным тарифам</t>
        </is>
      </c>
      <c r="AC62" s="2" t="inlineStr"/>
      <c r="AD62" t="n">
        <v>8010</v>
      </c>
      <c r="AE62" t="n">
        <v>0</v>
      </c>
      <c r="AF62" t="inlineStr">
        <is>
          <t>Скидка добавлена к налоговой базе</t>
        </is>
      </c>
      <c r="AG62" t="n">
        <v>53400</v>
      </c>
      <c r="AH62" t="n">
        <v>45390</v>
      </c>
      <c r="AI62" t="inlineStr">
        <is>
          <t>Полное проживание в выбранном периоде</t>
        </is>
      </c>
    </row>
    <row r="63">
      <c r="A63" t="inlineStr">
        <is>
          <t>20260901-8186-460163932</t>
        </is>
      </c>
      <c r="B63" t="n">
        <v>1</v>
      </c>
      <c r="C63" s="2" t="inlineStr">
        <is>
          <t>Алексей Редькин</t>
        </is>
      </c>
      <c r="D63" s="3" t="n">
        <v>9307</v>
      </c>
      <c r="E63" s="4" t="n">
        <v>18</v>
      </c>
      <c r="F63" t="inlineStr">
        <is>
          <t>ООО "ТРИВИО СЕРВИС" [Чайковский]</t>
        </is>
      </c>
      <c r="G63" s="3">
        <f>ROUND(D63/(100-E63)*100,2)</f>
        <v/>
      </c>
      <c r="H63" s="3" t="n">
        <v>0</v>
      </c>
      <c r="I63" s="3">
        <f>ROUND(IF(ISNUMBER(AG63),AG63,G63)+H63,2)</f>
        <v/>
      </c>
      <c r="J63" s="2" t="inlineStr">
        <is>
          <t>Завтрак "Шведский стол"</t>
        </is>
      </c>
      <c r="K63" s="5" t="n">
        <v>46266.58333333334</v>
      </c>
      <c r="L63" t="n">
        <v>1</v>
      </c>
      <c r="M63" s="3">
        <f>I63/L63</f>
        <v/>
      </c>
      <c r="N63">
        <f>IF(M63&gt;=5100,"ставка","мин.ставка")</f>
        <v/>
      </c>
      <c r="O63" s="3">
        <f>ROUND(IF(N63="мин.ставка",L63*100,I63/102*2),2)</f>
        <v/>
      </c>
      <c r="P63" s="5" t="n">
        <v>46267.5</v>
      </c>
      <c r="Q63" t="inlineStr">
        <is>
          <t>TravelLine TIO</t>
        </is>
      </c>
      <c r="R63" s="2" t="inlineStr">
        <is>
          <t>СТАНДАРТНЫЙ ДВУХМЕСТНЫЙ НОМЕР</t>
        </is>
      </c>
      <c r="S63" t="n">
        <v>32</v>
      </c>
      <c r="T63" t="n">
        <v>1</v>
      </c>
      <c r="U63" t="inlineStr"/>
      <c r="V63" t="inlineStr">
        <is>
          <t>Тариф с завтраком</t>
        </is>
      </c>
      <c r="W63" t="n">
        <v>9307</v>
      </c>
      <c r="X63" s="3" t="n">
        <v>2043</v>
      </c>
      <c r="Y63" t="inlineStr">
        <is>
          <t>18%</t>
        </is>
      </c>
      <c r="Z63" t="inlineStr">
        <is>
          <t>2026-09-01</t>
        </is>
      </c>
      <c r="AA63" s="3" t="n">
        <v>9307</v>
      </c>
      <c r="AB63" t="inlineStr">
        <is>
          <t>Сошлось по ночным тарифам</t>
        </is>
      </c>
      <c r="AC63" s="2" t="inlineStr"/>
      <c r="AD63" t="n">
        <v>2043</v>
      </c>
      <c r="AE63" t="n">
        <v>0</v>
      </c>
      <c r="AF63" t="inlineStr">
        <is>
          <t>Скидка добавлена к налоговой базе</t>
        </is>
      </c>
      <c r="AG63" t="n">
        <v>11350</v>
      </c>
      <c r="AH63" t="n">
        <v>9307</v>
      </c>
      <c r="AI63" t="inlineStr">
        <is>
          <t>Полное проживание в выбранном периоде</t>
        </is>
      </c>
    </row>
    <row r="64">
      <c r="A64" t="inlineStr">
        <is>
          <t>20260913-8186-465050972</t>
        </is>
      </c>
      <c r="B64" t="n">
        <v>1</v>
      </c>
      <c r="C64" s="2" t="inlineStr">
        <is>
          <t>Алексей Свистунов, Анна Киселёва</t>
        </is>
      </c>
      <c r="D64" s="3" t="n">
        <v>8415</v>
      </c>
      <c r="E64" s="4" t="n">
        <v>15</v>
      </c>
      <c r="F64" t="inlineStr">
        <is>
          <t>ООО Тинькофф Путешествия [Чайковский]</t>
        </is>
      </c>
      <c r="G64" s="3">
        <f>ROUND(D64/(100-E64)*100,2)</f>
        <v/>
      </c>
      <c r="H64" s="3" t="n">
        <v>0</v>
      </c>
      <c r="I64" s="3">
        <f>ROUND(IF(ISNUMBER(AG64),AG64,G64)+H64,2)</f>
        <v/>
      </c>
      <c r="J64" s="2" t="inlineStr">
        <is>
          <t>Завтрак "Шведский стол"</t>
        </is>
      </c>
      <c r="K64" s="5" t="n">
        <v>46278.58333333334</v>
      </c>
      <c r="L64" t="n">
        <v>1</v>
      </c>
      <c r="M64" s="3">
        <f>I64/L64</f>
        <v/>
      </c>
      <c r="N64">
        <f>IF(M64&gt;=5100,"ставка","мин.ставка")</f>
        <v/>
      </c>
      <c r="O64" s="3">
        <f>ROUND(IF(N64="мин.ставка",L64*100,I64/102*2),2)</f>
        <v/>
      </c>
      <c r="P64" s="5" t="n">
        <v>46279.5</v>
      </c>
      <c r="Q64" t="inlineStr">
        <is>
          <t>TravelLine TNK</t>
        </is>
      </c>
      <c r="R64" s="2" t="inlineStr">
        <is>
          <t>СТАНДАРТНЫЙ ДВУХМЕСТНЫЙ НОМЕР (МАНСАРДА)</t>
        </is>
      </c>
      <c r="S64" t="n">
        <v>43</v>
      </c>
      <c r="T64" t="n">
        <v>1</v>
      </c>
      <c r="U64" t="inlineStr"/>
      <c r="V64" t="inlineStr">
        <is>
          <t>Тариф с завтраком</t>
        </is>
      </c>
      <c r="W64" t="n">
        <v>8415</v>
      </c>
      <c r="X64" s="3" t="n">
        <v>1485</v>
      </c>
      <c r="Y64" t="inlineStr">
        <is>
          <t>15%</t>
        </is>
      </c>
      <c r="Z64" t="inlineStr">
        <is>
          <t>2026-09-13</t>
        </is>
      </c>
      <c r="AA64" s="3" t="n">
        <v>8415</v>
      </c>
      <c r="AB64" t="inlineStr">
        <is>
          <t>Сошлось по ночным тарифам</t>
        </is>
      </c>
      <c r="AC64" s="2" t="inlineStr"/>
      <c r="AD64" t="n">
        <v>1485</v>
      </c>
      <c r="AE64" t="n">
        <v>0</v>
      </c>
      <c r="AF64" t="inlineStr">
        <is>
          <t>Скидка добавлена к налоговой базе</t>
        </is>
      </c>
      <c r="AG64" t="n">
        <v>9900</v>
      </c>
      <c r="AH64" t="n">
        <v>8415</v>
      </c>
      <c r="AI64" t="inlineStr">
        <is>
          <t>Полное проживание в выбранном периоде</t>
        </is>
      </c>
    </row>
    <row r="65">
      <c r="A65" t="inlineStr">
        <is>
          <t>20260630-8186-444837610</t>
        </is>
      </c>
      <c r="B65" t="n">
        <v>1</v>
      </c>
      <c r="C65" s="2" t="inlineStr">
        <is>
          <t>АЛЕКСЕЙ СПИТЧЕНКО</t>
        </is>
      </c>
      <c r="D65" s="3" t="n">
        <v>19295</v>
      </c>
      <c r="E65" s="4" t="n">
        <v>15</v>
      </c>
      <c r="F65" t="inlineStr">
        <is>
          <t>ООО "АКАДЕМ-ОНЛАЙН" [Чайковский]</t>
        </is>
      </c>
      <c r="G65" s="3">
        <f>ROUND(D65/(100-E65)*100,2)</f>
        <v/>
      </c>
      <c r="H65" s="3" t="n">
        <v>0</v>
      </c>
      <c r="I65" s="3">
        <f>ROUND(IF(ISNUMBER(AG65),AG65,G65)+H65,2)</f>
        <v/>
      </c>
      <c r="J65" s="2" t="inlineStr"/>
      <c r="K65" s="5" t="n">
        <v>46203.58333333334</v>
      </c>
      <c r="L65" t="n">
        <v>1</v>
      </c>
      <c r="M65" s="3">
        <f>I65/L65</f>
        <v/>
      </c>
      <c r="N65">
        <f>IF(M65&gt;=5100,"ставка","мин.ставка")</f>
        <v/>
      </c>
      <c r="O65" s="3">
        <f>ROUND(IF(N65="мин.ставка",L65*100,I65/102*2),2)</f>
        <v/>
      </c>
      <c r="P65" s="5" t="n">
        <v>46205.5</v>
      </c>
      <c r="Q65" t="inlineStr">
        <is>
          <t>TravelLine ACS</t>
        </is>
      </c>
      <c r="R65" s="2" t="inlineStr">
        <is>
          <t>СТАНДАРТНЫЙ ДВУХМЕСТНЫЙ НОМЕР</t>
        </is>
      </c>
      <c r="S65" t="n">
        <v>23</v>
      </c>
      <c r="T65" t="n">
        <v>1</v>
      </c>
      <c r="U65" t="inlineStr"/>
      <c r="V65" t="inlineStr">
        <is>
          <t>Тариф с завтраком</t>
        </is>
      </c>
      <c r="W65" t="n">
        <v>19295</v>
      </c>
      <c r="X65" s="3" t="n">
        <v>3405</v>
      </c>
      <c r="Y65" t="inlineStr">
        <is>
          <t>15%</t>
        </is>
      </c>
      <c r="Z65" t="inlineStr">
        <is>
          <t>2026-06-30, 2026-07-01</t>
        </is>
      </c>
      <c r="AA65" s="3" t="n">
        <v>19295</v>
      </c>
      <c r="AB65" t="inlineStr">
        <is>
          <t>Сошлось по ночным тарифам</t>
        </is>
      </c>
      <c r="AC65" s="2" t="inlineStr"/>
      <c r="AD65" t="n">
        <v>1702.5</v>
      </c>
      <c r="AE65" t="n">
        <v>0</v>
      </c>
      <c r="AF65" t="inlineStr">
        <is>
          <t>Ночи скидки определены по dailyRates; в базу добавлена только часть выбранного периода</t>
        </is>
      </c>
      <c r="AG65" t="n">
        <v>11350</v>
      </c>
      <c r="AH65" t="n">
        <v>9647.5</v>
      </c>
      <c r="AI65" t="inlineStr">
        <is>
          <t>Частичное проживание распределено по dailyRates</t>
        </is>
      </c>
    </row>
    <row r="66">
      <c r="A66" t="inlineStr">
        <is>
          <t>20260815-8186-445668091</t>
        </is>
      </c>
      <c r="B66" t="n">
        <v>1</v>
      </c>
      <c r="C66" s="2" t="inlineStr">
        <is>
          <t>Алексей Теребилов, Илона Теребилова</t>
        </is>
      </c>
      <c r="D66" s="3" t="n">
        <v>68085</v>
      </c>
      <c r="E66" s="4" t="n">
        <v>15</v>
      </c>
      <c r="F66" t="inlineStr">
        <is>
          <t>Trip.com Group [Чайковский]</t>
        </is>
      </c>
      <c r="G66" s="3">
        <f>ROUND(D66/(100-E66)*100,2)</f>
        <v/>
      </c>
      <c r="H66" s="3" t="n">
        <v>0</v>
      </c>
      <c r="I66" s="3">
        <f>ROUND(IF(ISNUMBER(AG66),AG66,G66)+H66,2)</f>
        <v/>
      </c>
      <c r="J66" s="2" t="inlineStr">
        <is>
          <t>Завтрак "Шведский стол"</t>
        </is>
      </c>
      <c r="K66" s="5" t="n">
        <v>46249.58333333334</v>
      </c>
      <c r="L66" t="n">
        <v>6</v>
      </c>
      <c r="M66" s="3">
        <f>I66/L66</f>
        <v/>
      </c>
      <c r="N66">
        <f>IF(M66&gt;=5100,"ставка","мин.ставка")</f>
        <v/>
      </c>
      <c r="O66" s="3">
        <f>ROUND(IF(N66="мин.ставка",L66*100,I66/102*2),2)</f>
        <v/>
      </c>
      <c r="P66" s="5" t="n">
        <v>46255.5</v>
      </c>
      <c r="Q66" t="inlineStr">
        <is>
          <t>TravelLine CTP</t>
        </is>
      </c>
      <c r="R66" s="2" t="inlineStr">
        <is>
          <t>СТАНДАРТНЫЙ ДВУХМЕСТНЫЙ НОМЕР</t>
        </is>
      </c>
      <c r="S66" t="n">
        <v>42</v>
      </c>
      <c r="T66" t="n">
        <v>1</v>
      </c>
      <c r="U66" t="inlineStr"/>
      <c r="V66" t="inlineStr">
        <is>
          <t>Тариф с завтраком</t>
        </is>
      </c>
      <c r="W66" t="n">
        <v>68085</v>
      </c>
      <c r="X66" s="3" t="n">
        <v>12015</v>
      </c>
      <c r="Y66" t="inlineStr">
        <is>
          <t>15%</t>
        </is>
      </c>
      <c r="Z66" t="inlineStr">
        <is>
          <t>2026-08-15, 2026-08-16, 2026-08-17, 2026-08-18, 2026-08-19, 2026-08-20</t>
        </is>
      </c>
      <c r="AA66" s="3" t="n">
        <v>68085</v>
      </c>
      <c r="AB66" t="inlineStr">
        <is>
          <t>Сошлось по ночным тарифам</t>
        </is>
      </c>
      <c r="AC66" s="2" t="inlineStr"/>
      <c r="AD66" t="n">
        <v>12015</v>
      </c>
      <c r="AE66" t="n">
        <v>0</v>
      </c>
      <c r="AF66" t="inlineStr">
        <is>
          <t>Скидка добавлена к налоговой базе</t>
        </is>
      </c>
      <c r="AG66" t="n">
        <v>80100</v>
      </c>
      <c r="AH66" t="n">
        <v>68085</v>
      </c>
      <c r="AI66" t="inlineStr">
        <is>
          <t>Полное проживание в выбранном периоде</t>
        </is>
      </c>
    </row>
    <row r="67">
      <c r="A67" t="inlineStr">
        <is>
          <t>20260808-8186-437797250</t>
        </is>
      </c>
      <c r="B67" t="n">
        <v>1</v>
      </c>
      <c r="C67" s="2" t="inlineStr">
        <is>
          <t>Алексей Тихонов, Александра Тихонова</t>
        </is>
      </c>
      <c r="D67" s="3" t="n">
        <v>53400</v>
      </c>
      <c r="E67" s="4" t="n">
        <v>20</v>
      </c>
      <c r="F67" t="inlineStr">
        <is>
          <t>ООО "ХБ-ПРО" [Чайковский]</t>
        </is>
      </c>
      <c r="G67" s="3">
        <f>ROUND(D67/(100-E67)*100,2)</f>
        <v/>
      </c>
      <c r="H67" s="3" t="n">
        <v>0</v>
      </c>
      <c r="I67" s="3">
        <f>ROUND(IF(ISNUMBER(AG67),AG67,G67)+H67,2)</f>
        <v/>
      </c>
      <c r="J67" s="2" t="inlineStr">
        <is>
          <t>Завтрак "Шведский стол"</t>
        </is>
      </c>
      <c r="K67" s="5" t="n">
        <v>46242.58333333334</v>
      </c>
      <c r="L67" t="n">
        <v>5</v>
      </c>
      <c r="M67" s="3">
        <f>I67/L67</f>
        <v/>
      </c>
      <c r="N67">
        <f>IF(M67&gt;=5100,"ставка","мин.ставка")</f>
        <v/>
      </c>
      <c r="O67" s="3">
        <f>ROUND(IF(N67="мин.ставка",L67*100,I67/102*2),2)</f>
        <v/>
      </c>
      <c r="P67" s="5" t="n">
        <v>46247.5</v>
      </c>
      <c r="Q67" t="inlineStr">
        <is>
          <t>TravelLine UTS</t>
        </is>
      </c>
      <c r="R67" s="2" t="inlineStr">
        <is>
          <t>СТАНДАРТНЫЙ ДВУХМЕСТНЫЙ НОМЕР</t>
        </is>
      </c>
      <c r="S67" t="n">
        <v>36</v>
      </c>
      <c r="T67" t="n">
        <v>1</v>
      </c>
      <c r="U67" t="inlineStr"/>
      <c r="V67" t="inlineStr">
        <is>
          <t>Тариф с завтраком</t>
        </is>
      </c>
      <c r="W67" t="n">
        <v>53400</v>
      </c>
      <c r="X67" s="3" t="n">
        <v>0</v>
      </c>
      <c r="Y67" t="inlineStr"/>
      <c r="Z67" t="inlineStr"/>
      <c r="AA67" s="3" t="n">
        <v>53400</v>
      </c>
      <c r="AB67" t="inlineStr">
        <is>
          <t>Сошлось по ночным тарифам</t>
        </is>
      </c>
      <c r="AC67" s="2" t="inlineStr"/>
      <c r="AD67" t="n">
        <v>0</v>
      </c>
      <c r="AE67" t="n">
        <v>0</v>
      </c>
      <c r="AF67" t="inlineStr">
        <is>
          <t>Скидки нет</t>
        </is>
      </c>
      <c r="AG67" t="n">
        <v>53400</v>
      </c>
      <c r="AH67" t="n">
        <v>53400</v>
      </c>
      <c r="AI67" t="inlineStr">
        <is>
          <t>Полное проживание в выбранном периоде</t>
        </is>
      </c>
    </row>
    <row r="68">
      <c r="A68" t="inlineStr">
        <is>
          <t>20260921-8186-459405487</t>
        </is>
      </c>
      <c r="B68" t="n">
        <v>1</v>
      </c>
      <c r="C68" s="2" t="inlineStr">
        <is>
          <t>Алена Полосенко</t>
        </is>
      </c>
      <c r="D68" s="3" t="n">
        <v>13272</v>
      </c>
      <c r="E68" s="4" t="n">
        <v>16</v>
      </c>
      <c r="F68" t="inlineStr">
        <is>
          <t>ООО "БРОНИРОВАНИЕ ГОСТИНИЦ" (OSTROVOK) [Чайковский]</t>
        </is>
      </c>
      <c r="G68" s="3">
        <f>ROUND(D68/(100-E68)*100,2)</f>
        <v/>
      </c>
      <c r="H68" s="3" t="n">
        <v>0</v>
      </c>
      <c r="I68" s="3">
        <f>ROUND(IF(ISNUMBER(AG68),AG68,G68)+H68,2)</f>
        <v/>
      </c>
      <c r="J68" s="2" t="inlineStr">
        <is>
          <t>Завтрак "Шведский стол"</t>
        </is>
      </c>
      <c r="K68" s="5" t="n">
        <v>46286.58333333334</v>
      </c>
      <c r="L68" t="n">
        <v>2</v>
      </c>
      <c r="M68" s="3">
        <f>I68/L68</f>
        <v/>
      </c>
      <c r="N68">
        <f>IF(M68&gt;=5100,"ставка","мин.ставка")</f>
        <v/>
      </c>
      <c r="O68" s="3">
        <f>ROUND(IF(N68="мин.ставка",L68*100,I68/102*2),2)</f>
        <v/>
      </c>
      <c r="P68" s="5" t="n">
        <v>46288.5</v>
      </c>
      <c r="Q68" t="inlineStr">
        <is>
          <t>TravelLine OTK</t>
        </is>
      </c>
      <c r="R68" s="2" t="inlineStr">
        <is>
          <t>СТАНДАРТНЫЙ ДВУХМЕСТНЫЙ НОМЕР (МАНСАРДА)</t>
        </is>
      </c>
      <c r="S68" t="n">
        <v>41</v>
      </c>
      <c r="T68" t="n">
        <v>1</v>
      </c>
      <c r="U68" t="inlineStr"/>
      <c r="V68" t="inlineStr">
        <is>
          <t>Тариф с завтраком</t>
        </is>
      </c>
      <c r="W68" t="n">
        <v>13272</v>
      </c>
      <c r="X68" s="3" t="n">
        <v>2528</v>
      </c>
      <c r="Y68" t="inlineStr">
        <is>
          <t>16%</t>
        </is>
      </c>
      <c r="Z68" t="inlineStr">
        <is>
          <t>2026-09-21, 2026-09-22</t>
        </is>
      </c>
      <c r="AA68" s="3" t="n">
        <v>13272</v>
      </c>
      <c r="AB68" t="inlineStr">
        <is>
          <t>Сошлось по ночным тарифам</t>
        </is>
      </c>
      <c r="AC68" s="2" t="inlineStr"/>
      <c r="AD68" t="n">
        <v>2528</v>
      </c>
      <c r="AE68" t="n">
        <v>0</v>
      </c>
      <c r="AF68" t="inlineStr">
        <is>
          <t>Скидка добавлена к налоговой базе</t>
        </is>
      </c>
      <c r="AG68" t="n">
        <v>15800</v>
      </c>
      <c r="AH68" t="n">
        <v>13272</v>
      </c>
      <c r="AI68" t="inlineStr">
        <is>
          <t>Полное проживание в выбранном периоде</t>
        </is>
      </c>
    </row>
    <row r="69">
      <c r="A69" t="inlineStr">
        <is>
          <t>20260917-8186-447353486</t>
        </is>
      </c>
      <c r="B69" t="n">
        <v>1</v>
      </c>
      <c r="C69" s="2" t="inlineStr">
        <is>
          <t>АЛИНА ХОМЕНКО</t>
        </is>
      </c>
      <c r="D69" s="3" t="n">
        <v>12008</v>
      </c>
      <c r="E69" s="4" t="n">
        <v>18</v>
      </c>
      <c r="F69" t="inlineStr">
        <is>
          <t>Яндекс.Путешествия [Чайковский]</t>
        </is>
      </c>
      <c r="G69" s="3">
        <f>ROUND(D69/(100-E69)*100,2)</f>
        <v/>
      </c>
      <c r="H69" s="3" t="n">
        <v>0</v>
      </c>
      <c r="I69" s="3">
        <f>ROUND(IF(ISNUMBER(AG69),AG69,G69)+H69,2)</f>
        <v/>
      </c>
      <c r="J69" s="2" t="inlineStr">
        <is>
          <t>Завтрак "Шведский стол"</t>
        </is>
      </c>
      <c r="K69" s="5" t="n">
        <v>46282.58333333334</v>
      </c>
      <c r="L69" t="n">
        <v>2</v>
      </c>
      <c r="M69" s="3">
        <f>I69/L69</f>
        <v/>
      </c>
      <c r="N69">
        <f>IF(M69&gt;=5100,"ставка","мин.ставка")</f>
        <v/>
      </c>
      <c r="O69" s="3">
        <f>ROUND(IF(N69="мин.ставка",L69*100,I69/102*2),2)</f>
        <v/>
      </c>
      <c r="P69" s="5" t="n">
        <v>46284.5</v>
      </c>
      <c r="Q69" t="inlineStr">
        <is>
          <t>TravelLine YAX</t>
        </is>
      </c>
      <c r="R69" s="2" t="inlineStr">
        <is>
          <t>СТАНДАРТНЫЙ ДВУХМЕСТНЫЙ НОМЕР (МАНСАРДА)</t>
        </is>
      </c>
      <c r="S69" t="n">
        <v>47</v>
      </c>
      <c r="T69" t="n">
        <v>1</v>
      </c>
      <c r="U69" t="inlineStr"/>
      <c r="V69" t="inlineStr">
        <is>
          <t>Тариф с завтраком</t>
        </is>
      </c>
      <c r="W69" t="n">
        <v>12008</v>
      </c>
      <c r="X69" s="3" t="n">
        <v>3002</v>
      </c>
      <c r="Y69" t="inlineStr">
        <is>
          <t>20%</t>
        </is>
      </c>
      <c r="Z69" t="inlineStr">
        <is>
          <t>2026-09-17, 2026-09-18</t>
        </is>
      </c>
      <c r="AA69" s="3" t="n">
        <v>12008</v>
      </c>
      <c r="AB69" t="inlineStr">
        <is>
          <t>Сошлось по ночным тарифам</t>
        </is>
      </c>
      <c r="AC69" s="2" t="inlineStr"/>
      <c r="AD69" t="n">
        <v>3002</v>
      </c>
      <c r="AE69" t="n">
        <v>0</v>
      </c>
      <c r="AF69" t="inlineStr">
        <is>
          <t>Скидка добавлена к налоговой базе</t>
        </is>
      </c>
      <c r="AG69" t="n">
        <v>15010</v>
      </c>
      <c r="AH69" t="n">
        <v>12008</v>
      </c>
      <c r="AI69" t="inlineStr">
        <is>
          <t>Полное проживание в выбранном периоде</t>
        </is>
      </c>
    </row>
    <row r="70">
      <c r="A70" t="inlineStr">
        <is>
          <t>20260828-8186-456087582</t>
        </is>
      </c>
      <c r="B70" t="n">
        <v>1</v>
      </c>
      <c r="C70" s="2" t="inlineStr">
        <is>
          <t>Алиса Лосс</t>
        </is>
      </c>
      <c r="D70" s="3" t="n">
        <v>10998.15</v>
      </c>
      <c r="E70" s="4" t="n">
        <v>4</v>
      </c>
      <c r="F70" t="inlineStr">
        <is>
          <t>TravelLine Booking Engine [Чайковский]</t>
        </is>
      </c>
      <c r="G70" s="3">
        <f>ROUND(D70/(100-E70)*100,2)</f>
        <v/>
      </c>
      <c r="H70" s="3" t="n">
        <v>0</v>
      </c>
      <c r="I70" s="3">
        <f>ROUND(IF(ISNUMBER(AG70),AG70,G70)+H70,2)</f>
        <v/>
      </c>
      <c r="J70" s="2" t="inlineStr">
        <is>
          <t>Завтрак "Шведский стол"</t>
        </is>
      </c>
      <c r="K70" s="5" t="n">
        <v>46262.58333333334</v>
      </c>
      <c r="L70" t="n">
        <v>1</v>
      </c>
      <c r="M70" s="3">
        <f>I70/L70</f>
        <v/>
      </c>
      <c r="N70">
        <f>IF(M70&gt;=5100,"ставка","мин.ставка")</f>
        <v/>
      </c>
      <c r="O70" s="3">
        <f>ROUND(IF(N70="мин.ставка",L70*100,I70/102*2),2)</f>
        <v/>
      </c>
      <c r="P70" s="5" t="n">
        <v>46263.5</v>
      </c>
      <c r="Q70" t="inlineStr">
        <is>
          <t>TravelLine сайт</t>
        </is>
      </c>
      <c r="R70" s="2" t="inlineStr">
        <is>
          <t>СТАНДАРТНЫЙ ДВУХМЕСТНЫЙ НОМЕР</t>
        </is>
      </c>
      <c r="S70" t="n">
        <v>23</v>
      </c>
      <c r="T70" t="n">
        <v>1</v>
      </c>
      <c r="U70" t="inlineStr"/>
      <c r="V70" t="inlineStr">
        <is>
          <t>Тариф с завтраком</t>
        </is>
      </c>
      <c r="W70" t="n">
        <v>10998.15</v>
      </c>
      <c r="X70" s="3" t="n">
        <v>351.85</v>
      </c>
      <c r="Y70" t="inlineStr">
        <is>
          <t>3.1%</t>
        </is>
      </c>
      <c r="Z70" t="inlineStr">
        <is>
          <t>2026-08-28</t>
        </is>
      </c>
      <c r="AA70" s="3" t="n">
        <v>10998.15</v>
      </c>
      <c r="AB70" t="inlineStr">
        <is>
          <t>Сошлось по ночным тарифам</t>
        </is>
      </c>
      <c r="AC70" s="2" t="inlineStr"/>
      <c r="AD70" t="n">
        <v>351.85</v>
      </c>
      <c r="AE70" t="n">
        <v>0</v>
      </c>
      <c r="AF70" t="inlineStr">
        <is>
          <t>Скидка добавлена к налоговой базе</t>
        </is>
      </c>
      <c r="AG70" t="n">
        <v>11350</v>
      </c>
      <c r="AH70" t="n">
        <v>10998.15</v>
      </c>
      <c r="AI70" t="inlineStr">
        <is>
          <t>Полное проживание в выбранном периоде</t>
        </is>
      </c>
    </row>
    <row r="71">
      <c r="A71" t="inlineStr">
        <is>
          <t>20260910-8186-427551341</t>
        </is>
      </c>
      <c r="B71" t="n">
        <v>1</v>
      </c>
      <c r="C71" s="2" t="inlineStr">
        <is>
          <t>АЛИЯ ПОПОВА, Оксана Евсейкина</t>
        </is>
      </c>
      <c r="D71" s="3" t="n">
        <v>36045</v>
      </c>
      <c r="E71" s="4" t="n">
        <v>0</v>
      </c>
      <c r="F71" t="inlineStr">
        <is>
          <t>Прямые бронирования (стойка) [Чайковский]</t>
        </is>
      </c>
      <c r="G71" s="3">
        <f>ROUND(D71/(100-E71)*100,2)</f>
        <v/>
      </c>
      <c r="H71" s="3" t="n">
        <v>0</v>
      </c>
      <c r="I71" s="3">
        <f>ROUND(IF(ISNUMBER(AG71),AG71,G71)+H71,2)</f>
        <v/>
      </c>
      <c r="J71" s="2" t="inlineStr">
        <is>
          <t>Завтрак "Шведский стол"</t>
        </is>
      </c>
      <c r="K71" s="5" t="n">
        <v>46275.58333333334</v>
      </c>
      <c r="L71" t="n">
        <v>3</v>
      </c>
      <c r="M71" s="3">
        <f>I71/L71</f>
        <v/>
      </c>
      <c r="N71">
        <f>IF(M71&gt;=5100,"ставка","мин.ставка")</f>
        <v/>
      </c>
      <c r="O71" s="3">
        <f>ROUND(IF(N71="мин.ставка",L71*100,I71/102*2),2)</f>
        <v/>
      </c>
      <c r="P71" s="5" t="n">
        <v>46278.5</v>
      </c>
      <c r="Q71" t="inlineStr">
        <is>
          <t>TravelLine ресепшен</t>
        </is>
      </c>
      <c r="R71" s="2" t="inlineStr">
        <is>
          <t>СТАНДАРТНЫЙ ДВУХМЕСТНЫЙ НОМЕР</t>
        </is>
      </c>
      <c r="S71" t="n">
        <v>22</v>
      </c>
      <c r="T71" t="n">
        <v>1</v>
      </c>
      <c r="U71" t="inlineStr"/>
      <c r="V71" t="inlineStr">
        <is>
          <t>Тариф с завтраком</t>
        </is>
      </c>
      <c r="W71" t="n">
        <v>216270</v>
      </c>
      <c r="X71" s="3" t="n">
        <v>4005</v>
      </c>
      <c r="Y71" t="inlineStr">
        <is>
          <t>10%</t>
        </is>
      </c>
      <c r="Z71" t="inlineStr">
        <is>
          <t>2026-09-10, 2026-09-11, 2026-09-12</t>
        </is>
      </c>
      <c r="AA71" s="3" t="n">
        <v>36045</v>
      </c>
      <c r="AB71" t="inlineStr">
        <is>
          <t>Сошлось по ночным тарифам</t>
        </is>
      </c>
      <c r="AC71" s="2" t="inlineStr"/>
      <c r="AD71" t="n">
        <v>4005</v>
      </c>
      <c r="AE71" t="n">
        <v>0</v>
      </c>
      <c r="AF71" t="inlineStr">
        <is>
          <t>Скидка добавлена к налоговой базе</t>
        </is>
      </c>
      <c r="AG71" t="n">
        <v>40050</v>
      </c>
      <c r="AH71" t="n">
        <v>36045</v>
      </c>
      <c r="AI71" t="inlineStr">
        <is>
          <t>Полное проживание в выбранном периоде</t>
        </is>
      </c>
    </row>
    <row r="72">
      <c r="A72" t="inlineStr">
        <is>
          <t>20260715-8186-410045902</t>
        </is>
      </c>
      <c r="B72" t="n">
        <v>1</v>
      </c>
      <c r="C72" s="2" t="inlineStr">
        <is>
          <t>Алла Соловьева, Александра Хрусталева</t>
        </is>
      </c>
      <c r="D72" s="3" t="n">
        <v>59400</v>
      </c>
      <c r="E72" s="4" t="n">
        <v>0</v>
      </c>
      <c r="F72" t="inlineStr">
        <is>
          <t>Прямые бронирования (стойка) [Чайковский]</t>
        </is>
      </c>
      <c r="G72" s="3">
        <f>ROUND(D72/(100-E72)*100,2)</f>
        <v/>
      </c>
      <c r="H72" s="3" t="n">
        <v>0</v>
      </c>
      <c r="I72" s="3">
        <f>ROUND(IF(ISNUMBER(AG72),AG72,G72)+H72,2)</f>
        <v/>
      </c>
      <c r="J72" s="2" t="inlineStr">
        <is>
          <t>Завтрак "Шведский стол"</t>
        </is>
      </c>
      <c r="K72" s="5" t="n">
        <v>46218.58333333334</v>
      </c>
      <c r="L72" t="n">
        <v>4</v>
      </c>
      <c r="M72" s="3">
        <f>I72/L72</f>
        <v/>
      </c>
      <c r="N72">
        <f>IF(M72&gt;=5100,"ставка","мин.ставка")</f>
        <v/>
      </c>
      <c r="O72" s="3">
        <f>ROUND(IF(N72="мин.ставка",L72*100,I72/102*2),2)</f>
        <v/>
      </c>
      <c r="P72" s="5" t="n">
        <v>46222.5</v>
      </c>
      <c r="Q72" t="inlineStr">
        <is>
          <t>TravelLine ресепшен</t>
        </is>
      </c>
      <c r="R72" s="2" t="inlineStr">
        <is>
          <t>ПОЛУЛЮКС</t>
        </is>
      </c>
      <c r="S72" t="n">
        <v>25</v>
      </c>
      <c r="T72" t="n">
        <v>1</v>
      </c>
      <c r="U72" t="inlineStr"/>
      <c r="V72" t="inlineStr">
        <is>
          <t>Тариф с завтраком</t>
        </is>
      </c>
      <c r="W72" t="n">
        <v>59400</v>
      </c>
      <c r="X72" s="3" t="n">
        <v>6600</v>
      </c>
      <c r="Y72" t="inlineStr">
        <is>
          <t>10%</t>
        </is>
      </c>
      <c r="Z72" t="inlineStr">
        <is>
          <t>2026-07-15, 2026-07-16, 2026-07-17, 2026-07-18</t>
        </is>
      </c>
      <c r="AA72" s="3" t="n">
        <v>59400</v>
      </c>
      <c r="AB72" t="inlineStr">
        <is>
          <t>Сошлось по ночным тарифам</t>
        </is>
      </c>
      <c r="AC72" s="2" t="inlineStr"/>
      <c r="AD72" t="n">
        <v>6600</v>
      </c>
      <c r="AE72" t="n">
        <v>0</v>
      </c>
      <c r="AF72" t="inlineStr">
        <is>
          <t>Скидка добавлена к налоговой базе</t>
        </is>
      </c>
      <c r="AG72" t="n">
        <v>66000</v>
      </c>
      <c r="AH72" t="n">
        <v>59400</v>
      </c>
      <c r="AI72" t="inlineStr">
        <is>
          <t>Полное проживание в выбранном периоде</t>
        </is>
      </c>
    </row>
    <row r="73">
      <c r="A73" t="inlineStr">
        <is>
          <t>20260910-8186-427551341</t>
        </is>
      </c>
      <c r="B73" t="n">
        <v>1</v>
      </c>
      <c r="C73" s="2" t="inlineStr">
        <is>
          <t>Алла Шмеркевич, Татьяна Хорошко</t>
        </is>
      </c>
      <c r="D73" s="3" t="n">
        <v>36045</v>
      </c>
      <c r="E73" s="4" t="n">
        <v>0</v>
      </c>
      <c r="F73" t="inlineStr">
        <is>
          <t>Прямые бронирования (стойка) [Чайковский]</t>
        </is>
      </c>
      <c r="G73" s="3">
        <f>ROUND(D73/(100-E73)*100,2)</f>
        <v/>
      </c>
      <c r="H73" s="3" t="n">
        <v>0</v>
      </c>
      <c r="I73" s="3">
        <f>ROUND(IF(ISNUMBER(AG73),AG73,G73)+H73,2)</f>
        <v/>
      </c>
      <c r="J73" s="2" t="inlineStr">
        <is>
          <t>Завтрак "Шведский стол"</t>
        </is>
      </c>
      <c r="K73" s="5" t="n">
        <v>46275.58333333334</v>
      </c>
      <c r="L73" t="n">
        <v>3</v>
      </c>
      <c r="M73" s="3">
        <f>I73/L73</f>
        <v/>
      </c>
      <c r="N73">
        <f>IF(M73&gt;=5100,"ставка","мин.ставка")</f>
        <v/>
      </c>
      <c r="O73" s="3">
        <f>ROUND(IF(N73="мин.ставка",L73*100,I73/102*2),2)</f>
        <v/>
      </c>
      <c r="P73" s="5" t="n">
        <v>46278.5</v>
      </c>
      <c r="Q73" t="inlineStr">
        <is>
          <t>TravelLine ресепшен</t>
        </is>
      </c>
      <c r="R73" s="2" t="inlineStr">
        <is>
          <t>СТАНДАРТНЫЙ ДВУХМЕСТНЫЙ НОМЕР</t>
        </is>
      </c>
      <c r="S73" t="n">
        <v>33</v>
      </c>
      <c r="T73" t="n">
        <v>1</v>
      </c>
      <c r="U73" t="inlineStr"/>
      <c r="V73" t="inlineStr">
        <is>
          <t>Тариф с завтраком</t>
        </is>
      </c>
      <c r="W73" t="n">
        <v>216270</v>
      </c>
      <c r="X73" s="3" t="n">
        <v>4005</v>
      </c>
      <c r="Y73" t="inlineStr">
        <is>
          <t>10%</t>
        </is>
      </c>
      <c r="Z73" t="inlineStr">
        <is>
          <t>2026-09-10, 2026-09-11, 2026-09-12</t>
        </is>
      </c>
      <c r="AA73" s="3" t="n">
        <v>36045</v>
      </c>
      <c r="AB73" t="inlineStr">
        <is>
          <t>Сошлось по ночным тарифам</t>
        </is>
      </c>
      <c r="AC73" s="2" t="inlineStr"/>
      <c r="AD73" t="n">
        <v>4005</v>
      </c>
      <c r="AE73" t="n">
        <v>0</v>
      </c>
      <c r="AF73" t="inlineStr">
        <is>
          <t>Скидка добавлена к налоговой базе</t>
        </is>
      </c>
      <c r="AG73" t="n">
        <v>40050</v>
      </c>
      <c r="AH73" t="n">
        <v>36045</v>
      </c>
      <c r="AI73" t="inlineStr">
        <is>
          <t>Полное проживание в выбранном периоде</t>
        </is>
      </c>
    </row>
    <row r="74">
      <c r="A74" t="inlineStr">
        <is>
          <t>20260805-8186-410783185</t>
        </is>
      </c>
      <c r="B74" t="n">
        <v>1</v>
      </c>
      <c r="C74" s="2" t="inlineStr">
        <is>
          <t>АЛФИНА ШАЙГАЯНОВА, РУФИНА ШАКИРОВА</t>
        </is>
      </c>
      <c r="D74" s="3" t="n">
        <v>42075</v>
      </c>
      <c r="E74" s="4" t="n">
        <v>0</v>
      </c>
      <c r="F74" t="inlineStr">
        <is>
          <t>ООО «ХОМЛИН ЛЭНД» (ПЕГАС) [Чайковский]</t>
        </is>
      </c>
      <c r="G74" s="3">
        <f>ROUND(D74/(100-E74)*100,2)</f>
        <v/>
      </c>
      <c r="H74" s="3" t="n">
        <v>0</v>
      </c>
      <c r="I74" s="3">
        <f>ROUND(IF(ISNUMBER(AG74),AG74,G74)+H74,2)</f>
        <v/>
      </c>
      <c r="J74" s="2" t="inlineStr">
        <is>
          <t>Завтрак "Шведский стол"</t>
        </is>
      </c>
      <c r="K74" s="5" t="n">
        <v>46239.58333333334</v>
      </c>
      <c r="L74" t="n">
        <v>5</v>
      </c>
      <c r="M74" s="3">
        <f>I74/L74</f>
        <v/>
      </c>
      <c r="N74">
        <f>IF(M74&gt;=5100,"ставка","мин.ставка")</f>
        <v/>
      </c>
      <c r="O74" s="3">
        <f>ROUND(IF(N74="мин.ставка",L74*100,I74/102*2),2)</f>
        <v/>
      </c>
      <c r="P74" s="5" t="n">
        <v>46244.5</v>
      </c>
      <c r="Q74" t="inlineStr">
        <is>
          <t>TravelLine PGS</t>
        </is>
      </c>
      <c r="R74" s="2" t="inlineStr">
        <is>
          <t>СТАНДАРТНЫЙ ДВУХМЕСТНЫЙ НОМЕР (МАНСАРДА)</t>
        </is>
      </c>
      <c r="S74" t="n">
        <v>43</v>
      </c>
      <c r="T74" t="n">
        <v>1</v>
      </c>
      <c r="U74" t="inlineStr"/>
      <c r="V74" t="inlineStr">
        <is>
          <t>Тариф с завтраком</t>
        </is>
      </c>
      <c r="W74" t="n">
        <v>42075</v>
      </c>
      <c r="X74" s="3" t="n">
        <v>7425</v>
      </c>
      <c r="Y74" t="inlineStr">
        <is>
          <t>15%</t>
        </is>
      </c>
      <c r="Z74" t="inlineStr">
        <is>
          <t>2026-08-05, 2026-08-06, 2026-08-07, 2026-08-08, 2026-08-09</t>
        </is>
      </c>
      <c r="AA74" s="3" t="n">
        <v>42075</v>
      </c>
      <c r="AB74" t="inlineStr">
        <is>
          <t>Сошлось по ночным тарифам</t>
        </is>
      </c>
      <c r="AC74" s="2" t="inlineStr"/>
      <c r="AD74" t="n">
        <v>7425</v>
      </c>
      <c r="AE74" t="n">
        <v>0</v>
      </c>
      <c r="AF74" t="inlineStr">
        <is>
          <t>Скидка добавлена к налоговой базе</t>
        </is>
      </c>
      <c r="AG74" t="n">
        <v>49500</v>
      </c>
      <c r="AH74" t="n">
        <v>42075</v>
      </c>
      <c r="AI74" t="inlineStr">
        <is>
          <t>Полное проживание в выбранном периоде</t>
        </is>
      </c>
    </row>
    <row r="75">
      <c r="A75" t="inlineStr">
        <is>
          <t>20260924-8186-466578898</t>
        </is>
      </c>
      <c r="B75" t="n">
        <v>1</v>
      </c>
      <c r="C75" s="2" t="inlineStr">
        <is>
          <t>Альберт Волошок</t>
        </is>
      </c>
      <c r="D75" s="3" t="n">
        <v>18160</v>
      </c>
      <c r="E75" s="4" t="n">
        <v>20</v>
      </c>
      <c r="F75" t="inlineStr">
        <is>
          <t>ООО «Дубль Гис» (OTELLO) [Чайковский]</t>
        </is>
      </c>
      <c r="G75" s="3">
        <f>ROUND(D75/(100-E75)*100,2)</f>
        <v/>
      </c>
      <c r="H75" s="3" t="n">
        <v>0</v>
      </c>
      <c r="I75" s="3">
        <f>ROUND(IF(ISNUMBER(AG75),AG75,G75)+H75,2)</f>
        <v/>
      </c>
      <c r="J75" s="2" t="inlineStr">
        <is>
          <t>Завтрак "Шведский стол"</t>
        </is>
      </c>
      <c r="K75" s="5" t="n">
        <v>46289.58333333334</v>
      </c>
      <c r="L75" t="n">
        <v>2</v>
      </c>
      <c r="M75" s="3">
        <f>I75/L75</f>
        <v/>
      </c>
      <c r="N75">
        <f>IF(M75&gt;=5100,"ставка","мин.ставка")</f>
        <v/>
      </c>
      <c r="O75" s="3">
        <f>ROUND(IF(N75="мин.ставка",L75*100,I75/102*2),2)</f>
        <v/>
      </c>
      <c r="P75" s="5" t="n">
        <v>46291.5</v>
      </c>
      <c r="Q75" t="inlineStr">
        <is>
          <t>TravelLine OL2</t>
        </is>
      </c>
      <c r="R75" s="2" t="inlineStr">
        <is>
          <t>СТАНДАРТНЫЙ ДВУХМЕСТНЫЙ НОМЕР</t>
        </is>
      </c>
      <c r="S75" t="n">
        <v>44</v>
      </c>
      <c r="T75" t="n">
        <v>1</v>
      </c>
      <c r="U75" t="inlineStr"/>
      <c r="V75" t="inlineStr">
        <is>
          <t>Тариф с завтраком</t>
        </is>
      </c>
      <c r="W75" t="n">
        <v>36320</v>
      </c>
      <c r="X75" s="3" t="n">
        <v>4540</v>
      </c>
      <c r="Y75" t="inlineStr">
        <is>
          <t>20%</t>
        </is>
      </c>
      <c r="Z75" t="inlineStr">
        <is>
          <t>2026-09-24, 2026-09-25</t>
        </is>
      </c>
      <c r="AA75" s="3" t="n">
        <v>18160</v>
      </c>
      <c r="AB75" t="inlineStr">
        <is>
          <t>Сошлось по ночным тарифам</t>
        </is>
      </c>
      <c r="AC75" s="2" t="inlineStr"/>
      <c r="AD75" t="n">
        <v>4540</v>
      </c>
      <c r="AE75" t="n">
        <v>0</v>
      </c>
      <c r="AF75" t="inlineStr">
        <is>
          <t>Скидка добавлена к налоговой базе</t>
        </is>
      </c>
      <c r="AG75" t="n">
        <v>22700</v>
      </c>
      <c r="AH75" t="n">
        <v>18160</v>
      </c>
      <c r="AI75" t="inlineStr">
        <is>
          <t>Полное проживание в выбранном периоде</t>
        </is>
      </c>
    </row>
    <row r="76">
      <c r="A76" t="inlineStr">
        <is>
          <t>20260919-8186-466759616</t>
        </is>
      </c>
      <c r="B76" t="n">
        <v>1</v>
      </c>
      <c r="C76" s="2" t="inlineStr">
        <is>
          <t>АЛЬБИНА ШКИРЕНКОВА</t>
        </is>
      </c>
      <c r="D76" s="3" t="n">
        <v>9534</v>
      </c>
      <c r="E76" s="4" t="n">
        <v>16</v>
      </c>
      <c r="F76" t="inlineStr">
        <is>
          <t>ООО "БРОНИРОВАНИЕ ГОСТИНИЦ" (OSTROVOK) [Чайковский]</t>
        </is>
      </c>
      <c r="G76" s="3">
        <f>ROUND(D76/(100-E76)*100,2)</f>
        <v/>
      </c>
      <c r="H76" s="3" t="n">
        <v>0</v>
      </c>
      <c r="I76" s="3">
        <f>ROUND(IF(ISNUMBER(AG76),AG76,G76)+H76,2)</f>
        <v/>
      </c>
      <c r="J76" s="2" t="inlineStr">
        <is>
          <t>Завтрак "Шведский стол"</t>
        </is>
      </c>
      <c r="K76" s="5" t="n">
        <v>46284.58333333334</v>
      </c>
      <c r="L76" t="n">
        <v>1</v>
      </c>
      <c r="M76" s="3">
        <f>I76/L76</f>
        <v/>
      </c>
      <c r="N76">
        <f>IF(M76&gt;=5100,"ставка","мин.ставка")</f>
        <v/>
      </c>
      <c r="O76" s="3">
        <f>ROUND(IF(N76="мин.ставка",L76*100,I76/102*2),2)</f>
        <v/>
      </c>
      <c r="P76" s="5" t="n">
        <v>46285.5</v>
      </c>
      <c r="Q76" t="inlineStr">
        <is>
          <t>TravelLine OTK</t>
        </is>
      </c>
      <c r="R76" s="2" t="inlineStr">
        <is>
          <t>СТАНДАРТНЫЙ ДВУХМЕСТНЫЙ НОМЕР</t>
        </is>
      </c>
      <c r="S76" t="n">
        <v>44</v>
      </c>
      <c r="T76" t="n">
        <v>1</v>
      </c>
      <c r="U76" t="inlineStr"/>
      <c r="V76" t="inlineStr">
        <is>
          <t>Тариф с завтраком</t>
        </is>
      </c>
      <c r="W76" t="n">
        <v>31962</v>
      </c>
      <c r="X76" s="3" t="n">
        <v>1816</v>
      </c>
      <c r="Y76" t="inlineStr">
        <is>
          <t>16%</t>
        </is>
      </c>
      <c r="Z76" t="inlineStr">
        <is>
          <t>2026-09-19</t>
        </is>
      </c>
      <c r="AA76" s="3" t="n">
        <v>9534</v>
      </c>
      <c r="AB76" t="inlineStr">
        <is>
          <t>Сошлось по ночным тарифам</t>
        </is>
      </c>
      <c r="AC76" s="2" t="inlineStr"/>
      <c r="AD76" t="n">
        <v>1816</v>
      </c>
      <c r="AE76" t="n">
        <v>0</v>
      </c>
      <c r="AF76" t="inlineStr">
        <is>
          <t>Скидка добавлена к налоговой базе</t>
        </is>
      </c>
      <c r="AG76" t="n">
        <v>11350</v>
      </c>
      <c r="AH76" t="n">
        <v>9534</v>
      </c>
      <c r="AI76" t="inlineStr">
        <is>
          <t>Полное проживание в выбранном периоде</t>
        </is>
      </c>
    </row>
    <row r="77">
      <c r="A77" t="inlineStr">
        <is>
          <t>20260718-8186-450568992</t>
        </is>
      </c>
      <c r="B77" t="n">
        <v>1</v>
      </c>
      <c r="C77" s="2" t="inlineStr">
        <is>
          <t>Амина Каримова, Эльвир Каримов</t>
        </is>
      </c>
      <c r="D77" s="3" t="n">
        <v>22695</v>
      </c>
      <c r="E77" s="4" t="n">
        <v>15</v>
      </c>
      <c r="F77" t="inlineStr">
        <is>
          <t>ООО Тинькофф Путешествия [Чайковский]</t>
        </is>
      </c>
      <c r="G77" s="3">
        <f>ROUND(D77/(100-E77)*100,2)</f>
        <v/>
      </c>
      <c r="H77" s="3" t="n">
        <v>0</v>
      </c>
      <c r="I77" s="3">
        <f>ROUND(IF(ISNUMBER(AG77),AG77,G77)+H77,2)</f>
        <v/>
      </c>
      <c r="J77" s="2" t="inlineStr">
        <is>
          <t>Завтрак "Шведский стол"</t>
        </is>
      </c>
      <c r="K77" s="5" t="n">
        <v>46221.58333333334</v>
      </c>
      <c r="L77" t="n">
        <v>2</v>
      </c>
      <c r="M77" s="3">
        <f>I77/L77</f>
        <v/>
      </c>
      <c r="N77">
        <f>IF(M77&gt;=5100,"ставка","мин.ставка")</f>
        <v/>
      </c>
      <c r="O77" s="3">
        <f>ROUND(IF(N77="мин.ставка",L77*100,I77/102*2),2)</f>
        <v/>
      </c>
      <c r="P77" s="5" t="n">
        <v>46223.5</v>
      </c>
      <c r="Q77" t="inlineStr">
        <is>
          <t>TravelLine TNK</t>
        </is>
      </c>
      <c r="R77" s="2" t="inlineStr">
        <is>
          <t>СТАНДАРТНЫЙ ДВУХМЕСТНЫЙ НОМЕР</t>
        </is>
      </c>
      <c r="S77" t="n">
        <v>26</v>
      </c>
      <c r="T77" t="n">
        <v>1</v>
      </c>
      <c r="U77" t="inlineStr"/>
      <c r="V77" t="inlineStr">
        <is>
          <t>Тариф с завтраком</t>
        </is>
      </c>
      <c r="W77" t="n">
        <v>22695</v>
      </c>
      <c r="X77" s="3" t="n">
        <v>4005</v>
      </c>
      <c r="Y77" t="inlineStr">
        <is>
          <t>15%</t>
        </is>
      </c>
      <c r="Z77" t="inlineStr">
        <is>
          <t>2026-07-18, 2026-07-19</t>
        </is>
      </c>
      <c r="AA77" s="3" t="n">
        <v>22695</v>
      </c>
      <c r="AB77" t="inlineStr">
        <is>
          <t>Сошлось по ночным тарифам</t>
        </is>
      </c>
      <c r="AC77" s="2" t="inlineStr"/>
      <c r="AD77" t="n">
        <v>4005</v>
      </c>
      <c r="AE77" t="n">
        <v>0</v>
      </c>
      <c r="AF77" t="inlineStr">
        <is>
          <t>Скидка добавлена к налоговой базе</t>
        </is>
      </c>
      <c r="AG77" t="n">
        <v>26700</v>
      </c>
      <c r="AH77" t="n">
        <v>22695</v>
      </c>
      <c r="AI77" t="inlineStr">
        <is>
          <t>Полное проживание в выбранном периоде</t>
        </is>
      </c>
    </row>
    <row r="78">
      <c r="A78" t="inlineStr">
        <is>
          <t>20260702-8186-413960920</t>
        </is>
      </c>
      <c r="B78" t="n">
        <v>1</v>
      </c>
      <c r="C78" s="2" t="inlineStr">
        <is>
          <t>Анастасия Васильева, Владимир Благодеров</t>
        </is>
      </c>
      <c r="D78" s="3" t="n">
        <v>39636.15</v>
      </c>
      <c r="E78" s="4" t="n">
        <v>4</v>
      </c>
      <c r="F78" t="inlineStr">
        <is>
          <t>TravelLine Booking Engine [Чайковский]</t>
        </is>
      </c>
      <c r="G78" s="3">
        <f>ROUND(D78/(100-E78)*100,2)</f>
        <v/>
      </c>
      <c r="H78" s="3" t="n">
        <v>0</v>
      </c>
      <c r="I78" s="3">
        <f>ROUND(IF(ISNUMBER(AG78),AG78,G78)+H78,2)</f>
        <v/>
      </c>
      <c r="J78" s="2" t="inlineStr">
        <is>
          <t>Завтрак "Шведский стол"</t>
        </is>
      </c>
      <c r="K78" s="5" t="n">
        <v>46205.58333333334</v>
      </c>
      <c r="L78" t="n">
        <v>3</v>
      </c>
      <c r="M78" s="3">
        <f>I78/L78</f>
        <v/>
      </c>
      <c r="N78">
        <f>IF(M78&gt;=5100,"ставка","мин.ставка")</f>
        <v/>
      </c>
      <c r="O78" s="3">
        <f>ROUND(IF(N78="мин.ставка",L78*100,I78/102*2),2)</f>
        <v/>
      </c>
      <c r="P78" s="5" t="n">
        <v>46208.5</v>
      </c>
      <c r="Q78" t="inlineStr">
        <is>
          <t>TravelLine сайт</t>
        </is>
      </c>
      <c r="R78" s="2" t="inlineStr">
        <is>
          <t>СТАНДАРТНЫЙ ДВУХМЕСТНЫЙ НОМЕР</t>
        </is>
      </c>
      <c r="S78" t="n">
        <v>22</v>
      </c>
      <c r="T78" t="n">
        <v>1</v>
      </c>
      <c r="U78" t="inlineStr"/>
      <c r="V78" t="inlineStr">
        <is>
          <t>Тариф с завтраком</t>
        </is>
      </c>
      <c r="W78" t="n">
        <v>39636.15</v>
      </c>
      <c r="X78" s="3" t="n">
        <v>413.85</v>
      </c>
      <c r="Y78" t="inlineStr">
        <is>
          <t>3.1%</t>
        </is>
      </c>
      <c r="Z78" t="inlineStr">
        <is>
          <t>2026-07-02</t>
        </is>
      </c>
      <c r="AA78" s="3" t="n">
        <v>39636.15</v>
      </c>
      <c r="AB78" t="inlineStr">
        <is>
          <t>Сошлось по ночным тарифам</t>
        </is>
      </c>
      <c r="AC78" s="2" t="inlineStr"/>
      <c r="AD78" t="n">
        <v>413.85</v>
      </c>
      <c r="AE78" t="n">
        <v>0</v>
      </c>
      <c r="AF78" t="inlineStr">
        <is>
          <t>Скидка добавлена к налоговой базе</t>
        </is>
      </c>
      <c r="AG78" t="n">
        <v>40050</v>
      </c>
      <c r="AH78" t="n">
        <v>39636.15</v>
      </c>
      <c r="AI78" t="inlineStr">
        <is>
          <t>Полное проживание в выбранном периоде</t>
        </is>
      </c>
    </row>
    <row r="79">
      <c r="A79" t="inlineStr">
        <is>
          <t>20260707-8186-436726301</t>
        </is>
      </c>
      <c r="B79" t="n">
        <v>1</v>
      </c>
      <c r="C79" s="2" t="inlineStr">
        <is>
          <t>Анастасия Дмитриева</t>
        </is>
      </c>
      <c r="D79" s="3" t="n">
        <v>18160</v>
      </c>
      <c r="E79" s="4" t="n">
        <v>20</v>
      </c>
      <c r="F79" t="inlineStr">
        <is>
          <t>ООО "КОМПАНИЯ БРОНЕВИК" [Чайковский]</t>
        </is>
      </c>
      <c r="G79" s="3">
        <f>ROUND(D79/(100-E79)*100,2)</f>
        <v/>
      </c>
      <c r="H79" s="3" t="n">
        <v>0</v>
      </c>
      <c r="I79" s="3">
        <f>ROUND(IF(ISNUMBER(AG79),AG79,G79)+H79,2)</f>
        <v/>
      </c>
      <c r="J79" s="2" t="inlineStr">
        <is>
          <t>Завтрак "Шведский стол"</t>
        </is>
      </c>
      <c r="K79" s="5" t="n">
        <v>46210.58333333334</v>
      </c>
      <c r="L79" t="n">
        <v>2</v>
      </c>
      <c r="M79" s="3">
        <f>I79/L79</f>
        <v/>
      </c>
      <c r="N79">
        <f>IF(M79&gt;=5100,"ставка","мин.ставка")</f>
        <v/>
      </c>
      <c r="O79" s="3">
        <f>ROUND(IF(N79="мин.ставка",L79*100,I79/102*2),2)</f>
        <v/>
      </c>
      <c r="P79" s="5" t="n">
        <v>46212.5</v>
      </c>
      <c r="Q79" t="inlineStr">
        <is>
          <t>TravelLine BR2</t>
        </is>
      </c>
      <c r="R79" s="2" t="inlineStr">
        <is>
          <t>СТАНДАРТНЫЙ ДВУХМЕСТНЫЙ НОМЕР</t>
        </is>
      </c>
      <c r="S79" t="n">
        <v>23</v>
      </c>
      <c r="T79" t="n">
        <v>1</v>
      </c>
      <c r="U79" t="inlineStr"/>
      <c r="V79" t="inlineStr">
        <is>
          <t>Тариф с завтраком</t>
        </is>
      </c>
      <c r="W79" t="n">
        <v>18160</v>
      </c>
      <c r="X79" s="3" t="n">
        <v>0</v>
      </c>
      <c r="Y79" t="inlineStr"/>
      <c r="Z79" t="inlineStr"/>
      <c r="AA79" s="3" t="n">
        <v>18160</v>
      </c>
      <c r="AB79" t="inlineStr">
        <is>
          <t>Сошлось по ночным тарифам</t>
        </is>
      </c>
      <c r="AC79" s="2" t="inlineStr"/>
      <c r="AD79" t="n">
        <v>0</v>
      </c>
      <c r="AE79" t="n">
        <v>0</v>
      </c>
      <c r="AF79" t="inlineStr">
        <is>
          <t>Скидки нет</t>
        </is>
      </c>
      <c r="AG79" t="n">
        <v>18160</v>
      </c>
      <c r="AH79" t="n">
        <v>18160</v>
      </c>
      <c r="AI79" t="inlineStr">
        <is>
          <t>Полное проживание в выбранном периоде</t>
        </is>
      </c>
    </row>
    <row r="80">
      <c r="A80" t="inlineStr">
        <is>
          <t>20260712-8186-436726626</t>
        </is>
      </c>
      <c r="B80" t="n">
        <v>1</v>
      </c>
      <c r="C80" s="2" t="inlineStr">
        <is>
          <t>Анастасия Дмитриева</t>
        </is>
      </c>
      <c r="D80" s="3" t="n">
        <v>12320</v>
      </c>
      <c r="E80" s="4" t="n">
        <v>20</v>
      </c>
      <c r="F80" t="inlineStr">
        <is>
          <t>ООО "КОМПАНИЯ БРОНЕВИК" [Чайковский]</t>
        </is>
      </c>
      <c r="G80" s="3">
        <f>ROUND(D80/(100-E80)*100,2)</f>
        <v/>
      </c>
      <c r="H80" s="3" t="n">
        <v>0</v>
      </c>
      <c r="I80" s="3">
        <f>ROUND(IF(ISNUMBER(AG80),AG80,G80)+H80,2)</f>
        <v/>
      </c>
      <c r="J80" s="2" t="inlineStr">
        <is>
          <t>Завтрак "Шведский стол"</t>
        </is>
      </c>
      <c r="K80" s="5" t="n">
        <v>46215.58333333334</v>
      </c>
      <c r="L80" t="n">
        <v>2</v>
      </c>
      <c r="M80" s="3">
        <f>I80/L80</f>
        <v/>
      </c>
      <c r="N80">
        <f>IF(M80&gt;=5100,"ставка","мин.ставка")</f>
        <v/>
      </c>
      <c r="O80" s="3">
        <f>ROUND(IF(N80="мин.ставка",L80*100,I80/102*2),2)</f>
        <v/>
      </c>
      <c r="P80" s="5" t="n">
        <v>46217.5</v>
      </c>
      <c r="Q80" t="inlineStr">
        <is>
          <t>TravelLine BR2</t>
        </is>
      </c>
      <c r="R80" s="2" t="inlineStr">
        <is>
          <t>СТАНДАРТНЫЙ ОДНОМЕСТНЫЙ НОМЕР</t>
        </is>
      </c>
      <c r="S80" t="n">
        <v>34</v>
      </c>
      <c r="T80" t="n">
        <v>1</v>
      </c>
      <c r="U80" t="inlineStr"/>
      <c r="V80" t="inlineStr">
        <is>
          <t>Тариф с завтраком</t>
        </is>
      </c>
      <c r="W80" t="n">
        <v>12320</v>
      </c>
      <c r="X80" s="3" t="n">
        <v>0</v>
      </c>
      <c r="Y80" t="inlineStr"/>
      <c r="Z80" t="inlineStr"/>
      <c r="AA80" s="3" t="n">
        <v>12320</v>
      </c>
      <c r="AB80" t="inlineStr">
        <is>
          <t>Сошлось по ночным тарифам</t>
        </is>
      </c>
      <c r="AC80" s="2" t="inlineStr"/>
      <c r="AD80" t="n">
        <v>0</v>
      </c>
      <c r="AE80" t="n">
        <v>0</v>
      </c>
      <c r="AF80" t="inlineStr">
        <is>
          <t>Скидки нет</t>
        </is>
      </c>
      <c r="AG80" t="n">
        <v>12320</v>
      </c>
      <c r="AH80" t="n">
        <v>12320</v>
      </c>
      <c r="AI80" t="inlineStr">
        <is>
          <t>Полное проживание в выбранном периоде</t>
        </is>
      </c>
    </row>
    <row r="81">
      <c r="A81" t="inlineStr">
        <is>
          <t>20260814-8186-457613719</t>
        </is>
      </c>
      <c r="B81" t="n">
        <v>1</v>
      </c>
      <c r="C81" s="2" t="inlineStr">
        <is>
          <t>Анастасия Екушевская, Вячеслав Гольцов</t>
        </is>
      </c>
      <c r="D81" s="3" t="n">
        <v>8217</v>
      </c>
      <c r="E81" s="4" t="n">
        <v>18</v>
      </c>
      <c r="F81" t="inlineStr">
        <is>
          <t>Яндекс.Путешествия [Чайковский]</t>
        </is>
      </c>
      <c r="G81" s="3">
        <f>ROUND(D81/(100-E81)*100,2)</f>
        <v/>
      </c>
      <c r="H81" s="3" t="n">
        <v>0</v>
      </c>
      <c r="I81" s="3">
        <f>ROUND(IF(ISNUMBER(AG81),AG81,G81)+H81,2)</f>
        <v/>
      </c>
      <c r="J81" s="2" t="inlineStr">
        <is>
          <t>Завтрак "Шведский стол"</t>
        </is>
      </c>
      <c r="K81" s="5" t="n">
        <v>46248.58333333334</v>
      </c>
      <c r="L81" t="n">
        <v>1</v>
      </c>
      <c r="M81" s="3">
        <f>I81/L81</f>
        <v/>
      </c>
      <c r="N81">
        <f>IF(M81&gt;=5100,"ставка","мин.ставка")</f>
        <v/>
      </c>
      <c r="O81" s="3">
        <f>ROUND(IF(N81="мин.ставка",L81*100,I81/102*2),2)</f>
        <v/>
      </c>
      <c r="P81" s="5" t="n">
        <v>46249.5</v>
      </c>
      <c r="Q81" t="inlineStr">
        <is>
          <t>TravelLine YAX</t>
        </is>
      </c>
      <c r="R81" s="2" t="inlineStr">
        <is>
          <t>СТАНДАРТНЫЙ ДВУХМЕСТНЫЙ НОМЕР (МАНСАРДА)</t>
        </is>
      </c>
      <c r="S81" t="n">
        <v>47</v>
      </c>
      <c r="T81" t="n">
        <v>1</v>
      </c>
      <c r="U81" t="inlineStr"/>
      <c r="V81" t="inlineStr">
        <is>
          <t>Тариф с завтраком</t>
        </is>
      </c>
      <c r="W81" t="n">
        <v>8217</v>
      </c>
      <c r="X81" s="3" t="n">
        <v>1683</v>
      </c>
      <c r="Y81" t="inlineStr">
        <is>
          <t>17%</t>
        </is>
      </c>
      <c r="Z81" t="inlineStr">
        <is>
          <t>2026-08-14</t>
        </is>
      </c>
      <c r="AA81" s="3" t="n">
        <v>8217</v>
      </c>
      <c r="AB81" t="inlineStr">
        <is>
          <t>Сошлось по ночным тарифам</t>
        </is>
      </c>
      <c r="AC81" s="2" t="inlineStr"/>
      <c r="AD81" t="n">
        <v>1683</v>
      </c>
      <c r="AE81" t="n">
        <v>0</v>
      </c>
      <c r="AF81" t="inlineStr">
        <is>
          <t>Скидка добавлена к налоговой базе</t>
        </is>
      </c>
      <c r="AG81" t="n">
        <v>9900</v>
      </c>
      <c r="AH81" t="n">
        <v>8217</v>
      </c>
      <c r="AI81" t="inlineStr">
        <is>
          <t>Полное проживание в выбранном периоде</t>
        </is>
      </c>
    </row>
    <row r="82">
      <c r="A82" t="inlineStr">
        <is>
          <t>20260907-8186-417706325</t>
        </is>
      </c>
      <c r="B82" t="n">
        <v>1</v>
      </c>
      <c r="C82" s="2" t="inlineStr">
        <is>
          <t>Анастасия Ковальчук</t>
        </is>
      </c>
      <c r="D82" s="3" t="n">
        <v>38384.5</v>
      </c>
      <c r="E82" s="4" t="n">
        <v>4</v>
      </c>
      <c r="F82" t="inlineStr">
        <is>
          <t>TravelLine Booking Engine [Чайковский]</t>
        </is>
      </c>
      <c r="G82" s="3">
        <f>ROUND(D82/(100-E82)*100,2)</f>
        <v/>
      </c>
      <c r="H82" s="3" t="n">
        <v>0</v>
      </c>
      <c r="I82" s="3">
        <f>ROUND(IF(ISNUMBER(AG82),AG82,G82)+H82,2)</f>
        <v/>
      </c>
      <c r="J82" s="2" t="inlineStr">
        <is>
          <t>Завтрак "Шведский стол"</t>
        </is>
      </c>
      <c r="K82" s="5" t="n">
        <v>46272.58333333334</v>
      </c>
      <c r="L82" t="n">
        <v>5</v>
      </c>
      <c r="M82" s="3">
        <f>I82/L82</f>
        <v/>
      </c>
      <c r="N82">
        <f>IF(M82&gt;=5100,"ставка","мин.ставка")</f>
        <v/>
      </c>
      <c r="O82" s="3">
        <f>ROUND(IF(N82="мин.ставка",L82*100,I82/102*2),2)</f>
        <v/>
      </c>
      <c r="P82" s="5" t="n">
        <v>46277.5</v>
      </c>
      <c r="Q82" t="inlineStr">
        <is>
          <t>TravelLine сайт</t>
        </is>
      </c>
      <c r="R82" s="2" t="inlineStr">
        <is>
          <t>СТАНДАРТНЫЙ ОДНОМЕСТНЫЙ НОМЕР</t>
        </is>
      </c>
      <c r="S82" t="n">
        <v>24</v>
      </c>
      <c r="T82" t="n">
        <v>1</v>
      </c>
      <c r="U82" t="inlineStr"/>
      <c r="V82" t="inlineStr">
        <is>
          <t>Тариф с завтраком</t>
        </is>
      </c>
      <c r="W82" t="n">
        <v>38384.5</v>
      </c>
      <c r="X82" s="3" t="n">
        <v>115.5</v>
      </c>
      <c r="Y82" t="inlineStr">
        <is>
          <t>1.5%</t>
        </is>
      </c>
      <c r="Z82" t="inlineStr">
        <is>
          <t>2026-09-07</t>
        </is>
      </c>
      <c r="AA82" s="3" t="n">
        <v>38384.5</v>
      </c>
      <c r="AB82" t="inlineStr">
        <is>
          <t>Сошлось по ночным тарифам</t>
        </is>
      </c>
      <c r="AC82" s="2" t="inlineStr"/>
      <c r="AD82" t="n">
        <v>115.5</v>
      </c>
      <c r="AE82" t="n">
        <v>0</v>
      </c>
      <c r="AF82" t="inlineStr">
        <is>
          <t>Скидка добавлена к налоговой базе</t>
        </is>
      </c>
      <c r="AG82" t="n">
        <v>38500</v>
      </c>
      <c r="AH82" t="n">
        <v>38384.5</v>
      </c>
      <c r="AI82" t="inlineStr">
        <is>
          <t>Полное проживание в выбранном периоде</t>
        </is>
      </c>
    </row>
    <row r="83">
      <c r="A83" t="inlineStr">
        <is>
          <t>20260904-8186-459337716</t>
        </is>
      </c>
      <c r="B83" t="n">
        <v>1</v>
      </c>
      <c r="C83" s="2" t="inlineStr">
        <is>
          <t>Анастасия Корчинская</t>
        </is>
      </c>
      <c r="D83" s="3" t="n">
        <v>47102.5</v>
      </c>
      <c r="E83" s="4" t="n">
        <v>17</v>
      </c>
      <c r="F83" t="inlineStr">
        <is>
          <t>ООО «Интернет Трэвел» (OZON) [Чайковский]</t>
        </is>
      </c>
      <c r="G83" s="3">
        <f>ROUND(D83/(100-E83)*100,2)</f>
        <v/>
      </c>
      <c r="H83" s="3" t="n">
        <v>0</v>
      </c>
      <c r="I83" s="3">
        <f>ROUND(IF(ISNUMBER(AG83),AG83,G83)+H83,2)</f>
        <v/>
      </c>
      <c r="J83" s="2" t="inlineStr">
        <is>
          <t>Завтрак "Шведский стол"</t>
        </is>
      </c>
      <c r="K83" s="5" t="n">
        <v>46269.58333333334</v>
      </c>
      <c r="L83" t="n">
        <v>5</v>
      </c>
      <c r="M83" s="3">
        <f>I83/L83</f>
        <v/>
      </c>
      <c r="N83">
        <f>IF(M83&gt;=5100,"ставка","мин.ставка")</f>
        <v/>
      </c>
      <c r="O83" s="3">
        <f>ROUND(IF(N83="мин.ставка",L83*100,I83/102*2),2)</f>
        <v/>
      </c>
      <c r="P83" s="5" t="n">
        <v>46274.5</v>
      </c>
      <c r="Q83" t="inlineStr">
        <is>
          <t>TravelLine OZ2</t>
        </is>
      </c>
      <c r="R83" s="2" t="inlineStr">
        <is>
          <t>СТАНДАРТНЫЙ ДВУХМЕСТНЫЙ НОМЕР</t>
        </is>
      </c>
      <c r="S83" t="n">
        <v>42</v>
      </c>
      <c r="T83" t="n">
        <v>1</v>
      </c>
      <c r="U83" t="inlineStr"/>
      <c r="V83" t="inlineStr">
        <is>
          <t>Тариф с завтраком</t>
        </is>
      </c>
      <c r="W83" t="n">
        <v>47102.5</v>
      </c>
      <c r="X83" s="3" t="n">
        <v>9647.5</v>
      </c>
      <c r="Y83" t="inlineStr">
        <is>
          <t>17%</t>
        </is>
      </c>
      <c r="Z83" t="inlineStr">
        <is>
          <t>2026-09-04, 2026-09-05, 2026-09-06, 2026-09-07, 2026-09-08</t>
        </is>
      </c>
      <c r="AA83" s="3" t="n">
        <v>47102.5</v>
      </c>
      <c r="AB83" t="inlineStr">
        <is>
          <t>Сошлось по ночным тарифам</t>
        </is>
      </c>
      <c r="AC83" s="2" t="inlineStr"/>
      <c r="AD83" t="n">
        <v>9647.5</v>
      </c>
      <c r="AE83" t="n">
        <v>0</v>
      </c>
      <c r="AF83" t="inlineStr">
        <is>
          <t>Скидка добавлена к налоговой базе</t>
        </is>
      </c>
      <c r="AG83" t="n">
        <v>56750</v>
      </c>
      <c r="AH83" t="n">
        <v>47102.5</v>
      </c>
      <c r="AI83" t="inlineStr">
        <is>
          <t>Полное проживание в выбранном периоде</t>
        </is>
      </c>
    </row>
    <row r="84">
      <c r="A84" t="inlineStr">
        <is>
          <t>20260915-8186-455448822</t>
        </is>
      </c>
      <c r="B84" t="n">
        <v>1</v>
      </c>
      <c r="C84" s="2" t="inlineStr">
        <is>
          <t>Анастасия Коса</t>
        </is>
      </c>
      <c r="D84" s="3" t="n">
        <v>6160</v>
      </c>
      <c r="E84" s="4" t="n">
        <v>20</v>
      </c>
      <c r="F84" t="inlineStr">
        <is>
          <t>ООО "УК ГЦБ и Т" [Чайковский]</t>
        </is>
      </c>
      <c r="G84" s="3">
        <f>ROUND(D84/(100-E84)*100,2)</f>
        <v/>
      </c>
      <c r="H84" s="3" t="n">
        <v>0</v>
      </c>
      <c r="I84" s="3">
        <f>ROUND(IF(ISNUMBER(AG84),AG84,G84)+H84,2)</f>
        <v/>
      </c>
      <c r="J84" s="2" t="inlineStr">
        <is>
          <t>Завтрак; Завтрак "Шведский стол"</t>
        </is>
      </c>
      <c r="K84" s="5" t="n">
        <v>46280.58333333334</v>
      </c>
      <c r="L84" t="n">
        <v>1</v>
      </c>
      <c r="M84" s="3">
        <f>I84/L84</f>
        <v/>
      </c>
      <c r="N84">
        <f>IF(M84&gt;=5100,"ставка","мин.ставка")</f>
        <v/>
      </c>
      <c r="O84" s="3">
        <f>ROUND(IF(N84="мин.ставка",L84*100,I84/102*2),2)</f>
        <v/>
      </c>
      <c r="P84" s="5" t="n">
        <v>46281.5</v>
      </c>
      <c r="Q84" t="inlineStr">
        <is>
          <t>TravelLine CBC</t>
        </is>
      </c>
      <c r="R84" s="2" t="inlineStr">
        <is>
          <t>СТАНДАРТНЫЙ ОДНОМЕСТНЫЙ НОМЕР</t>
        </is>
      </c>
      <c r="S84" t="n">
        <v>34</v>
      </c>
      <c r="T84" t="n">
        <v>1</v>
      </c>
      <c r="U84" t="inlineStr"/>
      <c r="V84" t="inlineStr">
        <is>
          <t>Тариф с завтраком</t>
        </is>
      </c>
      <c r="W84" t="n">
        <v>6160</v>
      </c>
      <c r="X84" s="3" t="n">
        <v>1540</v>
      </c>
      <c r="Y84" t="inlineStr">
        <is>
          <t>20%</t>
        </is>
      </c>
      <c r="Z84" t="inlineStr">
        <is>
          <t>2026-09-15</t>
        </is>
      </c>
      <c r="AA84" s="3" t="n">
        <v>6160</v>
      </c>
      <c r="AB84" t="inlineStr">
        <is>
          <t>Сошлось по ночным тарифам</t>
        </is>
      </c>
      <c r="AC84" s="2" t="inlineStr"/>
      <c r="AD84" t="n">
        <v>1540</v>
      </c>
      <c r="AE84" t="n">
        <v>0</v>
      </c>
      <c r="AF84" t="inlineStr">
        <is>
          <t>Скидка добавлена к налоговой базе</t>
        </is>
      </c>
      <c r="AG84" t="n">
        <v>7700</v>
      </c>
      <c r="AH84" t="n">
        <v>6160</v>
      </c>
      <c r="AI84" t="inlineStr">
        <is>
          <t>Полное проживание в выбранном периоде</t>
        </is>
      </c>
    </row>
    <row r="85">
      <c r="A85" t="inlineStr">
        <is>
          <t>20260805-8186-455054360</t>
        </is>
      </c>
      <c r="B85" t="n">
        <v>1</v>
      </c>
      <c r="C85" s="2" t="inlineStr">
        <is>
          <t>Анастасия Крауялис</t>
        </is>
      </c>
      <c r="D85" s="3" t="n">
        <v>13050</v>
      </c>
      <c r="E85" s="4" t="n">
        <v>0</v>
      </c>
      <c r="F85" t="inlineStr">
        <is>
          <t>Прямые бронирования (стойка) [Чайковский]</t>
        </is>
      </c>
      <c r="G85" s="3">
        <f>ROUND(D85/(100-E85)*100,2)</f>
        <v/>
      </c>
      <c r="H85" s="3" t="n">
        <v>0</v>
      </c>
      <c r="I85" s="3">
        <f>ROUND(IF(ISNUMBER(AG85),AG85,G85)+H85,2)</f>
        <v/>
      </c>
      <c r="J85" s="2" t="inlineStr">
        <is>
          <t>Завтрак "Шведский стол"</t>
        </is>
      </c>
      <c r="K85" s="5" t="n">
        <v>46239.58333333334</v>
      </c>
      <c r="L85" t="n">
        <v>1</v>
      </c>
      <c r="M85" s="3">
        <f>I85/L85</f>
        <v/>
      </c>
      <c r="N85">
        <f>IF(M85&gt;=5100,"ставка","мин.ставка")</f>
        <v/>
      </c>
      <c r="O85" s="3">
        <f>ROUND(IF(N85="мин.ставка",L85*100,I85/102*2),2)</f>
        <v/>
      </c>
      <c r="P85" s="5" t="n">
        <v>46240.5</v>
      </c>
      <c r="Q85" t="inlineStr">
        <is>
          <t>TravelLine ресепшен</t>
        </is>
      </c>
      <c r="R85" s="2" t="inlineStr">
        <is>
          <t>ПОЛУЛЮКС</t>
        </is>
      </c>
      <c r="S85" t="n">
        <v>11</v>
      </c>
      <c r="T85" t="n">
        <v>1</v>
      </c>
      <c r="U85" t="inlineStr"/>
      <c r="V85" t="inlineStr">
        <is>
          <t>Тариф с завтраком</t>
        </is>
      </c>
      <c r="W85" t="n">
        <v>13050</v>
      </c>
      <c r="X85" s="3" t="n">
        <v>1450</v>
      </c>
      <c r="Y85" t="inlineStr">
        <is>
          <t>10%</t>
        </is>
      </c>
      <c r="Z85" t="inlineStr">
        <is>
          <t>2026-08-05</t>
        </is>
      </c>
      <c r="AA85" s="3" t="n">
        <v>13050</v>
      </c>
      <c r="AB85" t="inlineStr">
        <is>
          <t>Сошлось по ночным тарифам</t>
        </is>
      </c>
      <c r="AC85" s="2" t="inlineStr"/>
      <c r="AD85" t="n">
        <v>1450</v>
      </c>
      <c r="AE85" t="n">
        <v>0</v>
      </c>
      <c r="AF85" t="inlineStr">
        <is>
          <t>Скидка добавлена к налоговой базе</t>
        </is>
      </c>
      <c r="AG85" t="n">
        <v>14500</v>
      </c>
      <c r="AH85" t="n">
        <v>13050</v>
      </c>
      <c r="AI85" t="inlineStr">
        <is>
          <t>Полное проживание в выбранном периоде</t>
        </is>
      </c>
    </row>
    <row r="86">
      <c r="A86" t="inlineStr">
        <is>
          <t>20260828-8186-441887240</t>
        </is>
      </c>
      <c r="B86" t="n">
        <v>1</v>
      </c>
      <c r="C86" s="2" t="inlineStr">
        <is>
          <t>Анастасия Крицкова</t>
        </is>
      </c>
      <c r="D86" s="3" t="n">
        <v>6320</v>
      </c>
      <c r="E86" s="4" t="n">
        <v>20</v>
      </c>
      <c r="F86" t="inlineStr">
        <is>
          <t>ООО "КОМПАНИЯ БРОНЕВИК" [Чайковский]</t>
        </is>
      </c>
      <c r="G86" s="3">
        <f>ROUND(D86/(100-E86)*100,2)</f>
        <v/>
      </c>
      <c r="H86" s="3" t="n">
        <v>0</v>
      </c>
      <c r="I86" s="3">
        <f>ROUND(IF(ISNUMBER(AG86),AG86,G86)+H86,2)</f>
        <v/>
      </c>
      <c r="J86" s="2" t="inlineStr">
        <is>
          <t>Завтрак "Шведский стол"</t>
        </is>
      </c>
      <c r="K86" s="5" t="n">
        <v>46262.58333333334</v>
      </c>
      <c r="L86" t="n">
        <v>1</v>
      </c>
      <c r="M86" s="3">
        <f>I86/L86</f>
        <v/>
      </c>
      <c r="N86">
        <f>IF(M86&gt;=5100,"ставка","мин.ставка")</f>
        <v/>
      </c>
      <c r="O86" s="3">
        <f>ROUND(IF(N86="мин.ставка",L86*100,I86/102*2),2)</f>
        <v/>
      </c>
      <c r="P86" s="5" t="n">
        <v>46263.5</v>
      </c>
      <c r="Q86" t="inlineStr">
        <is>
          <t>TravelLine BR2</t>
        </is>
      </c>
      <c r="R86" s="2" t="inlineStr">
        <is>
          <t>СТАНДАРТНЫЙ ДВУХМЕСТНЫЙ НОМЕР</t>
        </is>
      </c>
      <c r="S86" t="n">
        <v>42</v>
      </c>
      <c r="T86" t="n">
        <v>1</v>
      </c>
      <c r="U86" t="inlineStr"/>
      <c r="V86" t="inlineStr">
        <is>
          <t>Тариф с завтраком</t>
        </is>
      </c>
      <c r="W86" t="n">
        <v>6320</v>
      </c>
      <c r="X86" s="3" t="n">
        <v>0</v>
      </c>
      <c r="Y86" t="inlineStr"/>
      <c r="Z86" t="inlineStr"/>
      <c r="AA86" s="3" t="n">
        <v>6320</v>
      </c>
      <c r="AB86" t="inlineStr">
        <is>
          <t>Сошлось по ночным тарифам</t>
        </is>
      </c>
      <c r="AC86" s="2" t="inlineStr"/>
      <c r="AD86" t="n">
        <v>0</v>
      </c>
      <c r="AE86" t="n">
        <v>0</v>
      </c>
      <c r="AF86" t="inlineStr">
        <is>
          <t>Скидки нет</t>
        </is>
      </c>
      <c r="AG86" t="n">
        <v>6320</v>
      </c>
      <c r="AH86" t="n">
        <v>6320</v>
      </c>
      <c r="AI86" t="inlineStr">
        <is>
          <t>Полное проживание в выбранном периоде</t>
        </is>
      </c>
    </row>
    <row r="87">
      <c r="A87" t="inlineStr">
        <is>
          <t>20260810-8186-457560555</t>
        </is>
      </c>
      <c r="B87" t="n">
        <v>1</v>
      </c>
      <c r="C87" s="2" t="inlineStr">
        <is>
          <t>Анастасия Миланская</t>
        </is>
      </c>
      <c r="D87" s="3" t="n">
        <v>16252.5</v>
      </c>
      <c r="E87" s="4" t="n">
        <v>0</v>
      </c>
      <c r="F87" t="inlineStr">
        <is>
          <t>Прямые бронирования (стойка) [Чайковский]</t>
        </is>
      </c>
      <c r="G87" s="3">
        <f>ROUND(D87/(100-E87)*100,2)</f>
        <v/>
      </c>
      <c r="H87" s="3" t="n">
        <v>0</v>
      </c>
      <c r="I87" s="3">
        <f>ROUND(IF(ISNUMBER(AG87),AG87,G87)+H87,2)</f>
        <v/>
      </c>
      <c r="J87" s="2" t="inlineStr">
        <is>
          <t>Завтрак "Шведский стол"</t>
        </is>
      </c>
      <c r="K87" s="5" t="n">
        <v>46244.58333333334</v>
      </c>
      <c r="L87" t="n">
        <v>1</v>
      </c>
      <c r="M87" s="3">
        <f>I87/L87</f>
        <v/>
      </c>
      <c r="N87">
        <f>IF(M87&gt;=5100,"ставка","мин.ставка")</f>
        <v/>
      </c>
      <c r="O87" s="3">
        <f>ROUND(IF(N87="мин.ставка",L87*100,I87/102*2),2)</f>
        <v/>
      </c>
      <c r="P87" s="5" t="n">
        <v>46245.5</v>
      </c>
      <c r="Q87" t="inlineStr">
        <is>
          <t>TravelLine ресепшен</t>
        </is>
      </c>
      <c r="R87" s="2" t="inlineStr">
        <is>
          <t>ПОЛУЛЮКС</t>
        </is>
      </c>
      <c r="S87" t="n">
        <v>35</v>
      </c>
      <c r="T87" t="n">
        <v>1</v>
      </c>
      <c r="U87" t="inlineStr"/>
      <c r="V87" t="inlineStr">
        <is>
          <t>Тариф с завтраком</t>
        </is>
      </c>
      <c r="W87" t="n">
        <v>16252.5</v>
      </c>
      <c r="X87" s="3" t="n">
        <v>247.5</v>
      </c>
      <c r="Y87" t="inlineStr">
        <is>
          <t>1.5%</t>
        </is>
      </c>
      <c r="Z87" t="inlineStr">
        <is>
          <t>2026-08-10</t>
        </is>
      </c>
      <c r="AA87" s="3" t="n">
        <v>16252.5</v>
      </c>
      <c r="AB87" t="inlineStr">
        <is>
          <t>Сошлось по ночным тарифам</t>
        </is>
      </c>
      <c r="AC87" s="2" t="inlineStr"/>
      <c r="AD87" t="n">
        <v>247.5</v>
      </c>
      <c r="AE87" t="n">
        <v>0</v>
      </c>
      <c r="AF87" t="inlineStr">
        <is>
          <t>Скидка добавлена к налоговой базе</t>
        </is>
      </c>
      <c r="AG87" t="n">
        <v>16500</v>
      </c>
      <c r="AH87" t="n">
        <v>16252.5</v>
      </c>
      <c r="AI87" t="inlineStr">
        <is>
          <t>Полное проживание в выбранном периоде</t>
        </is>
      </c>
    </row>
    <row r="88">
      <c r="A88" t="inlineStr">
        <is>
          <t>20260728-8186-448905887</t>
        </is>
      </c>
      <c r="B88" t="n">
        <v>1</v>
      </c>
      <c r="C88" s="2" t="inlineStr">
        <is>
          <t>Анастасия Черепанова, Владислав Гудимов</t>
        </is>
      </c>
      <c r="D88" s="3" t="n">
        <v>23760</v>
      </c>
      <c r="E88" s="4" t="n">
        <v>20</v>
      </c>
      <c r="F88" t="inlineStr">
        <is>
          <t>ООО "КОМПАНИЯ БРОНЕВИК" [Чайковский]</t>
        </is>
      </c>
      <c r="G88" s="3">
        <f>ROUND(D88/(100-E88)*100,2)</f>
        <v/>
      </c>
      <c r="H88" s="3" t="n">
        <v>0</v>
      </c>
      <c r="I88" s="3">
        <f>ROUND(IF(ISNUMBER(AG88),AG88,G88)+H88,2)</f>
        <v/>
      </c>
      <c r="J88" s="2" t="inlineStr">
        <is>
          <t>Завтрак "Шведский стол"</t>
        </is>
      </c>
      <c r="K88" s="5" t="n">
        <v>46231.58333333334</v>
      </c>
      <c r="L88" t="n">
        <v>3</v>
      </c>
      <c r="M88" s="3">
        <f>I88/L88</f>
        <v/>
      </c>
      <c r="N88">
        <f>IF(M88&gt;=5100,"ставка","мин.ставка")</f>
        <v/>
      </c>
      <c r="O88" s="3">
        <f>ROUND(IF(N88="мин.ставка",L88*100,I88/102*2),2)</f>
        <v/>
      </c>
      <c r="P88" s="5" t="n">
        <v>46234.5</v>
      </c>
      <c r="Q88" t="inlineStr">
        <is>
          <t>TravelLine BR2</t>
        </is>
      </c>
      <c r="R88" s="2" t="inlineStr">
        <is>
          <t>СТАНДАРТНЫЙ ДВУХМЕСТНЫЙ НОМЕР (МАНСАРДА)</t>
        </is>
      </c>
      <c r="S88" t="n">
        <v>47</v>
      </c>
      <c r="T88" t="n">
        <v>1</v>
      </c>
      <c r="U88" t="inlineStr"/>
      <c r="V88" t="inlineStr">
        <is>
          <t>Тариф с завтраком</t>
        </is>
      </c>
      <c r="W88" t="n">
        <v>23760</v>
      </c>
      <c r="X88" s="3" t="n">
        <v>0</v>
      </c>
      <c r="Y88" t="inlineStr"/>
      <c r="Z88" t="inlineStr"/>
      <c r="AA88" s="3" t="n">
        <v>23760</v>
      </c>
      <c r="AB88" t="inlineStr">
        <is>
          <t>Сошлось по ночным тарифам</t>
        </is>
      </c>
      <c r="AC88" s="2" t="inlineStr"/>
      <c r="AD88" t="n">
        <v>0</v>
      </c>
      <c r="AE88" t="n">
        <v>0</v>
      </c>
      <c r="AF88" t="inlineStr">
        <is>
          <t>Скидки нет</t>
        </is>
      </c>
      <c r="AG88" t="n">
        <v>23760</v>
      </c>
      <c r="AH88" t="n">
        <v>23760</v>
      </c>
      <c r="AI88" t="inlineStr">
        <is>
          <t>Полное проживание в выбранном периоде</t>
        </is>
      </c>
    </row>
    <row r="89">
      <c r="A89" t="inlineStr">
        <is>
          <t>20260731-8186-454546625</t>
        </is>
      </c>
      <c r="B89" t="n">
        <v>1</v>
      </c>
      <c r="C89" s="2" t="inlineStr">
        <is>
          <t>Анастасия Черепанова, Владислав Гудимов</t>
        </is>
      </c>
      <c r="D89" s="3" t="n">
        <v>13350</v>
      </c>
      <c r="E89" s="4" t="n">
        <v>0</v>
      </c>
      <c r="F89" t="inlineStr">
        <is>
          <t>Прямые бронирования (стойка) [Чайковский]</t>
        </is>
      </c>
      <c r="G89" s="3">
        <f>ROUND(D89/(100-E89)*100,2)</f>
        <v/>
      </c>
      <c r="H89" s="3" t="n">
        <v>0</v>
      </c>
      <c r="I89" s="3">
        <f>ROUND(IF(ISNUMBER(AG89),AG89,G89)+H89,2)</f>
        <v/>
      </c>
      <c r="J89" s="2" t="inlineStr">
        <is>
          <t>Завтрак "Шведский стол"</t>
        </is>
      </c>
      <c r="K89" s="5" t="n">
        <v>46234.58333333334</v>
      </c>
      <c r="L89" t="n">
        <v>1</v>
      </c>
      <c r="M89" s="3">
        <f>I89/L89</f>
        <v/>
      </c>
      <c r="N89">
        <f>IF(M89&gt;=5100,"ставка","мин.ставка")</f>
        <v/>
      </c>
      <c r="O89" s="3">
        <f>ROUND(IF(N89="мин.ставка",L89*100,I89/102*2),2)</f>
        <v/>
      </c>
      <c r="P89" s="5" t="n">
        <v>46235.5</v>
      </c>
      <c r="Q89" t="inlineStr">
        <is>
          <t>TravelLine ресепшен</t>
        </is>
      </c>
      <c r="R89" s="2" t="inlineStr">
        <is>
          <t>СТАНДАРТНЫЙ ДВУХМЕСТНЫЙ НОМЕР</t>
        </is>
      </c>
      <c r="S89" t="n">
        <v>36</v>
      </c>
      <c r="T89" t="n">
        <v>1</v>
      </c>
      <c r="U89" t="inlineStr"/>
      <c r="V89" t="inlineStr">
        <is>
          <t>Тариф с завтраком</t>
        </is>
      </c>
      <c r="W89" t="n">
        <v>13350</v>
      </c>
      <c r="X89" s="3" t="n">
        <v>0</v>
      </c>
      <c r="Y89" t="inlineStr"/>
      <c r="Z89" t="inlineStr"/>
      <c r="AA89" s="3" t="n">
        <v>13350</v>
      </c>
      <c r="AB89" t="inlineStr">
        <is>
          <t>Сошлось по ночным тарифам</t>
        </is>
      </c>
      <c r="AC89" s="2" t="inlineStr"/>
      <c r="AD89" t="n">
        <v>0</v>
      </c>
      <c r="AE89" t="n">
        <v>0</v>
      </c>
      <c r="AF89" t="inlineStr">
        <is>
          <t>Скидки нет</t>
        </is>
      </c>
      <c r="AG89" t="n">
        <v>13350</v>
      </c>
      <c r="AH89" t="n">
        <v>13350</v>
      </c>
      <c r="AI89" t="inlineStr">
        <is>
          <t>Полное проживание в выбранном периоде</t>
        </is>
      </c>
    </row>
    <row r="90">
      <c r="A90" t="inlineStr">
        <is>
          <t>20260802-8186-452836411</t>
        </is>
      </c>
      <c r="B90" t="n">
        <v>1</v>
      </c>
      <c r="C90" s="2" t="inlineStr">
        <is>
          <t>АНАСТАСИЯ Чурилова</t>
        </is>
      </c>
      <c r="D90" s="3" t="n">
        <v>9080</v>
      </c>
      <c r="E90" s="4" t="n">
        <v>20</v>
      </c>
      <c r="F90" t="inlineStr">
        <is>
          <t>ООО "КОМПАНИЯ БРОНЕВИК" [Чайковский]</t>
        </is>
      </c>
      <c r="G90" s="3">
        <f>ROUND(D90/(100-E90)*100,2)</f>
        <v/>
      </c>
      <c r="H90" s="3" t="n">
        <v>0</v>
      </c>
      <c r="I90" s="3">
        <f>ROUND(IF(ISNUMBER(AG90),AG90,G90)+H90,2)</f>
        <v/>
      </c>
      <c r="J90" s="2" t="inlineStr">
        <is>
          <t>Завтрак "Шведский стол"</t>
        </is>
      </c>
      <c r="K90" s="5" t="n">
        <v>46236.58333333334</v>
      </c>
      <c r="L90" t="n">
        <v>1</v>
      </c>
      <c r="M90" s="3">
        <f>I90/L90</f>
        <v/>
      </c>
      <c r="N90">
        <f>IF(M90&gt;=5100,"ставка","мин.ставка")</f>
        <v/>
      </c>
      <c r="O90" s="3">
        <f>ROUND(IF(N90="мин.ставка",L90*100,I90/102*2),2)</f>
        <v/>
      </c>
      <c r="P90" s="5" t="n">
        <v>46237.5</v>
      </c>
      <c r="Q90" t="inlineStr">
        <is>
          <t>TravelLine BR2</t>
        </is>
      </c>
      <c r="R90" s="2" t="inlineStr">
        <is>
          <t>СТАНДАРТНЫЙ ДВУХМЕСТНЫЙ НОМЕР</t>
        </is>
      </c>
      <c r="S90" t="n">
        <v>42</v>
      </c>
      <c r="T90" t="n">
        <v>1</v>
      </c>
      <c r="U90" t="inlineStr"/>
      <c r="V90" t="inlineStr">
        <is>
          <t>Тариф с завтраком</t>
        </is>
      </c>
      <c r="W90" t="n">
        <v>9080</v>
      </c>
      <c r="X90" s="3" t="n">
        <v>0</v>
      </c>
      <c r="Y90" t="inlineStr"/>
      <c r="Z90" t="inlineStr"/>
      <c r="AA90" s="3" t="n">
        <v>9080</v>
      </c>
      <c r="AB90" t="inlineStr">
        <is>
          <t>Сошлось по ночным тарифам</t>
        </is>
      </c>
      <c r="AC90" s="2" t="inlineStr"/>
      <c r="AD90" t="n">
        <v>0</v>
      </c>
      <c r="AE90" t="n">
        <v>0</v>
      </c>
      <c r="AF90" t="inlineStr">
        <is>
          <t>Скидки нет</t>
        </is>
      </c>
      <c r="AG90" t="n">
        <v>9080</v>
      </c>
      <c r="AH90" t="n">
        <v>9080</v>
      </c>
      <c r="AI90" t="inlineStr">
        <is>
          <t>Полное проживание в выбранном периоде</t>
        </is>
      </c>
    </row>
    <row r="91">
      <c r="A91" t="inlineStr">
        <is>
          <t>20260712-8186-440208436</t>
        </is>
      </c>
      <c r="B91" t="n">
        <v>1</v>
      </c>
      <c r="C91" s="2" t="inlineStr">
        <is>
          <t>Анастасия Шандра, Ярослав Доброцветов</t>
        </is>
      </c>
      <c r="D91" s="3" t="n">
        <v>10146</v>
      </c>
      <c r="E91" s="4" t="n">
        <v>18</v>
      </c>
      <c r="F91" t="inlineStr">
        <is>
          <t>Яндекс.Путешествия [Чайковский]</t>
        </is>
      </c>
      <c r="G91" s="3">
        <f>ROUND(D91/(100-E91)*100,2)</f>
        <v/>
      </c>
      <c r="H91" s="3" t="n">
        <v>0</v>
      </c>
      <c r="I91" s="3">
        <f>ROUND(IF(ISNUMBER(AG91),AG91,G91)+H91,2)</f>
        <v/>
      </c>
      <c r="J91" s="2" t="inlineStr">
        <is>
          <t>Завтрак "Шведский стол"</t>
        </is>
      </c>
      <c r="K91" s="5" t="n">
        <v>46215.58333333334</v>
      </c>
      <c r="L91" t="n">
        <v>1</v>
      </c>
      <c r="M91" s="3">
        <f>I91/L91</f>
        <v/>
      </c>
      <c r="N91">
        <f>IF(M91&gt;=5100,"ставка","мин.ставка")</f>
        <v/>
      </c>
      <c r="O91" s="3">
        <f>ROUND(IF(N91="мин.ставка",L91*100,I91/102*2),2)</f>
        <v/>
      </c>
      <c r="P91" s="5" t="n">
        <v>46216.5</v>
      </c>
      <c r="Q91" t="inlineStr">
        <is>
          <t>TravelLine YAX</t>
        </is>
      </c>
      <c r="R91" s="2" t="inlineStr">
        <is>
          <t>СТАНДАРТНЫЙ ДВУХМЕСТНЫЙ НОМЕР</t>
        </is>
      </c>
      <c r="S91" t="n">
        <v>22</v>
      </c>
      <c r="T91" t="n">
        <v>1</v>
      </c>
      <c r="U91" t="inlineStr"/>
      <c r="V91" t="inlineStr">
        <is>
          <t>Тариф с завтраком</t>
        </is>
      </c>
      <c r="W91" t="n">
        <v>10146</v>
      </c>
      <c r="X91" s="3" t="n">
        <v>2536.5</v>
      </c>
      <c r="Y91" t="inlineStr">
        <is>
          <t>20%</t>
        </is>
      </c>
      <c r="Z91" t="inlineStr">
        <is>
          <t>2026-07-12</t>
        </is>
      </c>
      <c r="AA91" s="3" t="n">
        <v>10146</v>
      </c>
      <c r="AB91" t="inlineStr">
        <is>
          <t>Сошлось по ночным тарифам</t>
        </is>
      </c>
      <c r="AC91" s="2" t="inlineStr"/>
      <c r="AD91" t="n">
        <v>2536.5</v>
      </c>
      <c r="AE91" t="n">
        <v>0</v>
      </c>
      <c r="AF91" t="inlineStr">
        <is>
          <t>Скидка добавлена к налоговой базе</t>
        </is>
      </c>
      <c r="AG91" t="n">
        <v>12682.5</v>
      </c>
      <c r="AH91" t="n">
        <v>10146</v>
      </c>
      <c r="AI91" t="inlineStr">
        <is>
          <t>Полное проживание в выбранном периоде</t>
        </is>
      </c>
    </row>
    <row r="92">
      <c r="A92" t="inlineStr">
        <is>
          <t>20260821-8186-458371765</t>
        </is>
      </c>
      <c r="B92" t="n">
        <v>1</v>
      </c>
      <c r="C92" s="2" t="inlineStr">
        <is>
          <t>АНАСТАСИЯ ЯСЕВА</t>
        </is>
      </c>
      <c r="D92" s="3" t="n">
        <v>33366</v>
      </c>
      <c r="E92" s="4" t="n">
        <v>0</v>
      </c>
      <c r="F92" t="inlineStr">
        <is>
          <t>Прямые бронирования (стойка) [Чайковский]</t>
        </is>
      </c>
      <c r="G92" s="3">
        <f>ROUND(D92/(100-E92)*100,2)</f>
        <v/>
      </c>
      <c r="H92" s="3" t="n">
        <v>0</v>
      </c>
      <c r="I92" s="3">
        <f>ROUND(IF(ISNUMBER(AG92),AG92,G92)+H92,2)</f>
        <v/>
      </c>
      <c r="J92" s="2" t="inlineStr">
        <is>
          <t>Завтрак "Шведский стол"</t>
        </is>
      </c>
      <c r="K92" s="5" t="n">
        <v>46255.58333333334</v>
      </c>
      <c r="L92" t="n">
        <v>3</v>
      </c>
      <c r="M92" s="3">
        <f>I92/L92</f>
        <v/>
      </c>
      <c r="N92">
        <f>IF(M92&gt;=5100,"ставка","мин.ставка")</f>
        <v/>
      </c>
      <c r="O92" s="3">
        <f>ROUND(IF(N92="мин.ставка",L92*100,I92/102*2),2)</f>
        <v/>
      </c>
      <c r="P92" s="5" t="n">
        <v>46258.5</v>
      </c>
      <c r="Q92" t="inlineStr">
        <is>
          <t>TravelLine CMB</t>
        </is>
      </c>
      <c r="R92" s="2" t="inlineStr">
        <is>
          <t>УЛУЧШЕННЫЙ ДВУХМЕСТНЫЙ НОМЕР</t>
        </is>
      </c>
      <c r="S92" t="n">
        <v>31</v>
      </c>
      <c r="T92" t="n">
        <v>1</v>
      </c>
      <c r="U92" t="inlineStr"/>
      <c r="V92" t="inlineStr">
        <is>
          <t>Тариф с завтраком</t>
        </is>
      </c>
      <c r="W92" t="n">
        <v>33366</v>
      </c>
      <c r="X92" s="3" t="n">
        <v>6834</v>
      </c>
      <c r="Y92" t="inlineStr">
        <is>
          <t>17%</t>
        </is>
      </c>
      <c r="Z92" t="inlineStr">
        <is>
          <t>2026-08-21, 2026-08-22, 2026-08-23</t>
        </is>
      </c>
      <c r="AA92" s="3" t="n">
        <v>33366</v>
      </c>
      <c r="AB92" t="inlineStr">
        <is>
          <t>Сошлось по ночным тарифам</t>
        </is>
      </c>
      <c r="AC92" s="2" t="inlineStr"/>
      <c r="AD92" t="n">
        <v>6834</v>
      </c>
      <c r="AE92" t="n">
        <v>0</v>
      </c>
      <c r="AF92" t="inlineStr">
        <is>
          <t>Скидка добавлена к налоговой базе</t>
        </is>
      </c>
      <c r="AG92" t="n">
        <v>40200</v>
      </c>
      <c r="AH92" t="n">
        <v>33366</v>
      </c>
      <c r="AI92" t="inlineStr">
        <is>
          <t>Полное проживание в выбранном периоде</t>
        </is>
      </c>
    </row>
    <row r="93">
      <c r="A93" t="inlineStr">
        <is>
          <t>20260719-8186-450656170</t>
        </is>
      </c>
      <c r="B93" t="n">
        <v>1</v>
      </c>
      <c r="C93" s="2" t="inlineStr">
        <is>
          <t>АНАТОЛИЙ ВЕРЕВКИН</t>
        </is>
      </c>
      <c r="D93" s="3" t="n">
        <v>7900</v>
      </c>
      <c r="E93" s="4" t="n">
        <v>0</v>
      </c>
      <c r="F93" t="inlineStr">
        <is>
          <t>Прямые бронирования (стойка) [Чайковский]</t>
        </is>
      </c>
      <c r="G93" s="3">
        <f>ROUND(D93/(100-E93)*100,2)</f>
        <v/>
      </c>
      <c r="H93" s="3" t="n">
        <v>0</v>
      </c>
      <c r="I93" s="3">
        <f>ROUND(IF(ISNUMBER(AG93),AG93,G93)+H93,2)</f>
        <v/>
      </c>
      <c r="J93" s="2" t="inlineStr">
        <is>
          <t>Завтрак "Шведский стол"</t>
        </is>
      </c>
      <c r="K93" s="5" t="n">
        <v>46222.58333333334</v>
      </c>
      <c r="L93" t="n">
        <v>1</v>
      </c>
      <c r="M93" s="3">
        <f>I93/L93</f>
        <v/>
      </c>
      <c r="N93">
        <f>IF(M93&gt;=5100,"ставка","мин.ставка")</f>
        <v/>
      </c>
      <c r="O93" s="3">
        <f>ROUND(IF(N93="мин.ставка",L93*100,I93/102*2),2)</f>
        <v/>
      </c>
      <c r="P93" s="5" t="n">
        <v>46223.5</v>
      </c>
      <c r="Q93" t="inlineStr">
        <is>
          <t>TravelLine ресепшен</t>
        </is>
      </c>
      <c r="R93" s="2" t="inlineStr">
        <is>
          <t>СТАНДАРТНЫЙ ДВУХМЕСТНЫЙ НОМЕР (МАНСАРДА)</t>
        </is>
      </c>
      <c r="S93" t="n">
        <v>45</v>
      </c>
      <c r="T93" t="n">
        <v>1</v>
      </c>
      <c r="U93" t="inlineStr"/>
      <c r="V93" t="inlineStr">
        <is>
          <t>Тариф с завтраком</t>
        </is>
      </c>
      <c r="W93" t="n">
        <v>7900</v>
      </c>
      <c r="X93" s="3" t="n">
        <v>0</v>
      </c>
      <c r="Y93" t="inlineStr"/>
      <c r="Z93" t="inlineStr"/>
      <c r="AA93" s="3" t="n">
        <v>7900</v>
      </c>
      <c r="AB93" t="inlineStr">
        <is>
          <t>Сошлось по ночным тарифам</t>
        </is>
      </c>
      <c r="AC93" s="2" t="inlineStr"/>
      <c r="AD93" t="n">
        <v>0</v>
      </c>
      <c r="AE93" t="n">
        <v>0</v>
      </c>
      <c r="AF93" t="inlineStr">
        <is>
          <t>Скидки нет</t>
        </is>
      </c>
      <c r="AG93" t="n">
        <v>7900</v>
      </c>
      <c r="AH93" t="n">
        <v>7900</v>
      </c>
      <c r="AI93" t="inlineStr">
        <is>
          <t>Полное проживание в выбранном периоде</t>
        </is>
      </c>
    </row>
    <row r="94">
      <c r="A94" t="inlineStr">
        <is>
          <t>20260902-8186-457424866</t>
        </is>
      </c>
      <c r="B94" t="n">
        <v>1</v>
      </c>
      <c r="C94" s="2" t="inlineStr">
        <is>
          <t>Анатолий Урюпов</t>
        </is>
      </c>
      <c r="D94" s="3" t="n">
        <v>13400</v>
      </c>
      <c r="E94" s="4" t="n">
        <v>0</v>
      </c>
      <c r="F94" t="inlineStr">
        <is>
          <t>Прямые бронирования (стойка) [Чайковский]</t>
        </is>
      </c>
      <c r="G94" s="3">
        <f>ROUND(D94/(100-E94)*100,2)</f>
        <v/>
      </c>
      <c r="H94" s="3" t="n">
        <v>0</v>
      </c>
      <c r="I94" s="3">
        <f>ROUND(IF(ISNUMBER(AG94),AG94,G94)+H94,2)</f>
        <v/>
      </c>
      <c r="J94" s="2" t="inlineStr">
        <is>
          <t>Завтрак "Шведский стол"</t>
        </is>
      </c>
      <c r="K94" s="5" t="n">
        <v>46267.58333333334</v>
      </c>
      <c r="L94" t="n">
        <v>1</v>
      </c>
      <c r="M94" s="3">
        <f>I94/L94</f>
        <v/>
      </c>
      <c r="N94">
        <f>IF(M94&gt;=5100,"ставка","мин.ставка")</f>
        <v/>
      </c>
      <c r="O94" s="3">
        <f>ROUND(IF(N94="мин.ставка",L94*100,I94/102*2),2)</f>
        <v/>
      </c>
      <c r="P94" s="5" t="n">
        <v>46268.5</v>
      </c>
      <c r="Q94" t="inlineStr">
        <is>
          <t>TravelLine ресепшен</t>
        </is>
      </c>
      <c r="R94" s="2" t="inlineStr">
        <is>
          <t>УЛУЧШЕННЫЙ ДВУХМЕСТНЫЙ НОМЕР</t>
        </is>
      </c>
      <c r="S94" t="n">
        <v>21</v>
      </c>
      <c r="T94" t="n">
        <v>1</v>
      </c>
      <c r="U94" t="inlineStr"/>
      <c r="V94" t="inlineStr">
        <is>
          <t>Тариф с завтраком</t>
        </is>
      </c>
      <c r="W94" t="n">
        <v>13400</v>
      </c>
      <c r="X94" s="3" t="n">
        <v>0</v>
      </c>
      <c r="Y94" t="inlineStr"/>
      <c r="Z94" t="inlineStr"/>
      <c r="AA94" s="3" t="n">
        <v>13400</v>
      </c>
      <c r="AB94" t="inlineStr">
        <is>
          <t>Сошлось по ночным тарифам</t>
        </is>
      </c>
      <c r="AC94" s="2" t="inlineStr"/>
      <c r="AD94" t="n">
        <v>0</v>
      </c>
      <c r="AE94" t="n">
        <v>0</v>
      </c>
      <c r="AF94" t="inlineStr">
        <is>
          <t>Скидки нет</t>
        </is>
      </c>
      <c r="AG94" t="n">
        <v>13400</v>
      </c>
      <c r="AH94" t="n">
        <v>13400</v>
      </c>
      <c r="AI94" t="inlineStr">
        <is>
          <t>Полное проживание в выбранном периоде</t>
        </is>
      </c>
    </row>
    <row r="95">
      <c r="A95" t="inlineStr">
        <is>
          <t>20260911-8186-464289251</t>
        </is>
      </c>
      <c r="B95" t="n">
        <v>1</v>
      </c>
      <c r="C95" s="2" t="inlineStr">
        <is>
          <t>Андрей Беляев</t>
        </is>
      </c>
      <c r="D95" s="3" t="n">
        <v>10998.15</v>
      </c>
      <c r="E95" s="4" t="n">
        <v>4</v>
      </c>
      <c r="F95" t="inlineStr">
        <is>
          <t>TravelLine Booking Engine [Чайковский]</t>
        </is>
      </c>
      <c r="G95" s="3">
        <f>ROUND(D95/(100-E95)*100,2)</f>
        <v/>
      </c>
      <c r="H95" s="3" t="n">
        <v>0</v>
      </c>
      <c r="I95" s="3">
        <f>ROUND(IF(ISNUMBER(AG95),AG95,G95)+H95,2)</f>
        <v/>
      </c>
      <c r="J95" s="2" t="inlineStr">
        <is>
          <t>Завтрак "Шведский стол"</t>
        </is>
      </c>
      <c r="K95" s="5" t="n">
        <v>46276.75</v>
      </c>
      <c r="L95" t="n">
        <v>1</v>
      </c>
      <c r="M95" s="3">
        <f>I95/L95</f>
        <v/>
      </c>
      <c r="N95">
        <f>IF(M95&gt;=5100,"ставка","мин.ставка")</f>
        <v/>
      </c>
      <c r="O95" s="3">
        <f>ROUND(IF(N95="мин.ставка",L95*100,I95/102*2),2)</f>
        <v/>
      </c>
      <c r="P95" s="5" t="n">
        <v>46277.5</v>
      </c>
      <c r="Q95" t="inlineStr">
        <is>
          <t>TravelLine сайт</t>
        </is>
      </c>
      <c r="R95" s="2" t="inlineStr">
        <is>
          <t>СТАНДАРТНЫЙ ДВУХМЕСТНЫЙ НОМЕР</t>
        </is>
      </c>
      <c r="S95" t="n">
        <v>44</v>
      </c>
      <c r="T95" t="n">
        <v>1</v>
      </c>
      <c r="U95" t="inlineStr"/>
      <c r="V95" t="inlineStr">
        <is>
          <t>Тариф с завтраком</t>
        </is>
      </c>
      <c r="W95" t="n">
        <v>10998.15</v>
      </c>
      <c r="X95" s="3" t="n">
        <v>351.85</v>
      </c>
      <c r="Y95" t="inlineStr">
        <is>
          <t>3.1%</t>
        </is>
      </c>
      <c r="Z95" t="inlineStr">
        <is>
          <t>2026-09-11</t>
        </is>
      </c>
      <c r="AA95" s="3" t="n">
        <v>10998.15</v>
      </c>
      <c r="AB95" t="inlineStr">
        <is>
          <t>Сошлось по ночным тарифам</t>
        </is>
      </c>
      <c r="AC95" s="2" t="inlineStr"/>
      <c r="AD95" t="n">
        <v>351.85</v>
      </c>
      <c r="AE95" t="n">
        <v>0</v>
      </c>
      <c r="AF95" t="inlineStr">
        <is>
          <t>Скидка добавлена к налоговой базе</t>
        </is>
      </c>
      <c r="AG95" t="n">
        <v>11350</v>
      </c>
      <c r="AH95" t="n">
        <v>10998.15</v>
      </c>
      <c r="AI95" t="inlineStr">
        <is>
          <t>Полное проживание в выбранном периоде</t>
        </is>
      </c>
    </row>
    <row r="96">
      <c r="A96" t="inlineStr">
        <is>
          <t>20260916-8186-466082253</t>
        </is>
      </c>
      <c r="B96" t="n">
        <v>1</v>
      </c>
      <c r="C96" s="2" t="inlineStr">
        <is>
          <t>Андрей Бондарчук</t>
        </is>
      </c>
      <c r="D96" s="3" t="n">
        <v>14050.5</v>
      </c>
      <c r="E96" s="4" t="n">
        <v>4</v>
      </c>
      <c r="F96" t="inlineStr">
        <is>
          <t>TravelLine Booking Engine [Чайковский]</t>
        </is>
      </c>
      <c r="G96" s="3">
        <f>ROUND(D96/(100-E96)*100,2)</f>
        <v/>
      </c>
      <c r="H96" s="3" t="n">
        <v>0</v>
      </c>
      <c r="I96" s="3">
        <f>ROUND(IF(ISNUMBER(AG96),AG96,G96)+H96,2)</f>
        <v/>
      </c>
      <c r="J96" s="2" t="inlineStr">
        <is>
          <t>Завтрак "Шведский стол"</t>
        </is>
      </c>
      <c r="K96" s="5" t="n">
        <v>46281.79166666666</v>
      </c>
      <c r="L96" t="n">
        <v>1</v>
      </c>
      <c r="M96" s="3">
        <f>I96/L96</f>
        <v/>
      </c>
      <c r="N96">
        <f>IF(M96&gt;=5100,"ставка","мин.ставка")</f>
        <v/>
      </c>
      <c r="O96" s="3">
        <f>ROUND(IF(N96="мин.ставка",L96*100,I96/102*2),2)</f>
        <v/>
      </c>
      <c r="P96" s="5" t="n">
        <v>46282.5</v>
      </c>
      <c r="Q96" t="inlineStr">
        <is>
          <t>TravelLine сайт</t>
        </is>
      </c>
      <c r="R96" s="2" t="inlineStr">
        <is>
          <t>ПОЛУЛЮКС</t>
        </is>
      </c>
      <c r="S96" t="n">
        <v>11</v>
      </c>
      <c r="T96" t="n">
        <v>1</v>
      </c>
      <c r="U96" t="inlineStr"/>
      <c r="V96" t="inlineStr">
        <is>
          <t>Тариф с завтраком</t>
        </is>
      </c>
      <c r="W96" t="n">
        <v>14050.5</v>
      </c>
      <c r="X96" s="3" t="n">
        <v>449.5</v>
      </c>
      <c r="Y96" t="inlineStr">
        <is>
          <t>3.1%</t>
        </is>
      </c>
      <c r="Z96" t="inlineStr">
        <is>
          <t>2026-09-16</t>
        </is>
      </c>
      <c r="AA96" s="3" t="n">
        <v>14050.5</v>
      </c>
      <c r="AB96" t="inlineStr">
        <is>
          <t>Сошлось по ночным тарифам</t>
        </is>
      </c>
      <c r="AC96" s="2" t="inlineStr"/>
      <c r="AD96" t="n">
        <v>449.5</v>
      </c>
      <c r="AE96" t="n">
        <v>0</v>
      </c>
      <c r="AF96" t="inlineStr">
        <is>
          <t>Скидка добавлена к налоговой базе</t>
        </is>
      </c>
      <c r="AG96" t="n">
        <v>14500</v>
      </c>
      <c r="AH96" t="n">
        <v>14050.5</v>
      </c>
      <c r="AI96" t="inlineStr">
        <is>
          <t>Полное проживание в выбранном периоде</t>
        </is>
      </c>
    </row>
    <row r="97">
      <c r="A97" t="inlineStr">
        <is>
          <t>20260930-8186-468765445</t>
        </is>
      </c>
      <c r="B97" t="n">
        <v>1</v>
      </c>
      <c r="C97" s="2" t="inlineStr">
        <is>
          <t>Андрей Внуков, Ольга Внукова</t>
        </is>
      </c>
      <c r="D97" s="3" t="n">
        <v>69600</v>
      </c>
      <c r="E97" s="4" t="n">
        <v>20</v>
      </c>
      <c r="F97" t="inlineStr">
        <is>
          <t>ООО «Дубль Гис» (OTELLO) [Чайковский]</t>
        </is>
      </c>
      <c r="G97" s="3">
        <f>ROUND(D97/(100-E97)*100,2)</f>
        <v/>
      </c>
      <c r="H97" s="3" t="n">
        <v>0</v>
      </c>
      <c r="I97" s="3">
        <f>ROUND(IF(ISNUMBER(AG97),AG97,G97)+H97,2)</f>
        <v/>
      </c>
      <c r="J97" s="2" t="inlineStr"/>
      <c r="K97" s="5" t="n">
        <v>46295.58333333334</v>
      </c>
      <c r="L97" t="n">
        <v>1</v>
      </c>
      <c r="M97" s="3">
        <f>I97/L97</f>
        <v/>
      </c>
      <c r="N97">
        <f>IF(M97&gt;=5100,"ставка","мин.ставка")</f>
        <v/>
      </c>
      <c r="O97" s="3">
        <f>ROUND(IF(N97="мин.ставка",L97*100,I97/102*2),2)</f>
        <v/>
      </c>
      <c r="P97" s="5" t="n">
        <v>46301.5</v>
      </c>
      <c r="Q97" t="inlineStr">
        <is>
          <t>TravelLine OL2</t>
        </is>
      </c>
      <c r="R97" s="2" t="inlineStr">
        <is>
          <t>ПОЛУЛЮКС</t>
        </is>
      </c>
      <c r="S97" t="n">
        <v>25</v>
      </c>
      <c r="T97" t="n">
        <v>1</v>
      </c>
      <c r="U97" t="inlineStr"/>
      <c r="V97" t="inlineStr">
        <is>
          <t>Тариф с завтраком</t>
        </is>
      </c>
      <c r="W97" t="n">
        <v>139200</v>
      </c>
      <c r="X97" s="3" t="n">
        <v>17400</v>
      </c>
      <c r="Y97" t="inlineStr">
        <is>
          <t>20%</t>
        </is>
      </c>
      <c r="Z97" t="inlineStr">
        <is>
          <t>Не распределена по датам</t>
        </is>
      </c>
      <c r="AA97" s="3" t="n">
        <v>69600</v>
      </c>
      <c r="AB97" t="inlineStr">
        <is>
          <t>Сошлось по ночным тарифам</t>
        </is>
      </c>
      <c r="AC97" s="2" t="inlineStr"/>
      <c r="AD97" t="n">
        <v>0</v>
      </c>
      <c r="AE97" t="n">
        <v>0</v>
      </c>
      <c r="AF97" t="inlineStr">
        <is>
          <t>Частичный период: дата агрегированной скидки не определена; скидка не добавлена к базе</t>
        </is>
      </c>
      <c r="AG97" t="n">
        <v>13200</v>
      </c>
      <c r="AH97" t="n">
        <v>13200</v>
      </c>
      <c r="AI97" t="inlineStr">
        <is>
          <t>Частичное проживание распределено по dailyRates; скидка без даты не восстановлена</t>
        </is>
      </c>
    </row>
    <row r="98">
      <c r="A98" t="inlineStr">
        <is>
          <t>20260729-8186-452721975</t>
        </is>
      </c>
      <c r="B98" t="n">
        <v>1</v>
      </c>
      <c r="C98" s="2" t="inlineStr">
        <is>
          <t>АНДРЕЙ ВОРНОВСКИЙ</t>
        </is>
      </c>
      <c r="D98" s="3" t="n">
        <v>24650</v>
      </c>
      <c r="E98" s="4" t="n">
        <v>15</v>
      </c>
      <c r="F98" t="inlineStr">
        <is>
          <t>ООО "БРОНИРОВАНИЕ ГОСТИНИЦ" (OSTROVOK) [Чайковский]</t>
        </is>
      </c>
      <c r="G98" s="3">
        <f>ROUND(D98/(100-E98)*100,2)</f>
        <v/>
      </c>
      <c r="H98" s="3" t="n">
        <v>0</v>
      </c>
      <c r="I98" s="3">
        <f>ROUND(IF(ISNUMBER(AG98),AG98,G98)+H98,2)</f>
        <v/>
      </c>
      <c r="J98" s="2" t="inlineStr">
        <is>
          <t>Завтрак "Шведский стол"</t>
        </is>
      </c>
      <c r="K98" s="5" t="n">
        <v>46232.58333333334</v>
      </c>
      <c r="L98" t="n">
        <v>2</v>
      </c>
      <c r="M98" s="3">
        <f>I98/L98</f>
        <v/>
      </c>
      <c r="N98">
        <f>IF(M98&gt;=5100,"ставка","мин.ставка")</f>
        <v/>
      </c>
      <c r="O98" s="3">
        <f>ROUND(IF(N98="мин.ставка",L98*100,I98/102*2),2)</f>
        <v/>
      </c>
      <c r="P98" s="5" t="n">
        <v>46234.5</v>
      </c>
      <c r="Q98" t="inlineStr">
        <is>
          <t>TravelLine OTK</t>
        </is>
      </c>
      <c r="R98" s="2" t="inlineStr">
        <is>
          <t>ПОЛУЛЮКС</t>
        </is>
      </c>
      <c r="S98" t="n">
        <v>35</v>
      </c>
      <c r="T98" t="n">
        <v>1</v>
      </c>
      <c r="U98" t="inlineStr"/>
      <c r="V98" t="inlineStr">
        <is>
          <t>Тариф с завтраком</t>
        </is>
      </c>
      <c r="W98" t="n">
        <v>24650</v>
      </c>
      <c r="X98" s="3" t="n">
        <v>4350</v>
      </c>
      <c r="Y98" t="inlineStr">
        <is>
          <t>15%</t>
        </is>
      </c>
      <c r="Z98" t="inlineStr">
        <is>
          <t>2026-07-29, 2026-07-30</t>
        </is>
      </c>
      <c r="AA98" s="3" t="n">
        <v>24650</v>
      </c>
      <c r="AB98" t="inlineStr">
        <is>
          <t>Сошлось по ночным тарифам</t>
        </is>
      </c>
      <c r="AC98" s="2" t="inlineStr"/>
      <c r="AD98" t="n">
        <v>4350</v>
      </c>
      <c r="AE98" t="n">
        <v>0</v>
      </c>
      <c r="AF98" t="inlineStr">
        <is>
          <t>Скидка добавлена к налоговой базе</t>
        </is>
      </c>
      <c r="AG98" t="n">
        <v>29000</v>
      </c>
      <c r="AH98" t="n">
        <v>24650</v>
      </c>
      <c r="AI98" t="inlineStr">
        <is>
          <t>Полное проживание в выбранном периоде</t>
        </is>
      </c>
    </row>
    <row r="99">
      <c r="A99" t="inlineStr">
        <is>
          <t>20260930-8186-467523772</t>
        </is>
      </c>
      <c r="B99" t="n">
        <v>1</v>
      </c>
      <c r="C99" s="2" t="inlineStr">
        <is>
          <t>Андрей Голубов, Дарья Коломыц</t>
        </is>
      </c>
      <c r="D99" s="3" t="n">
        <v>43280</v>
      </c>
      <c r="E99" s="4" t="n">
        <v>20</v>
      </c>
      <c r="F99" t="inlineStr">
        <is>
          <t>ООО "КОМПАНИЯ БРОНЕВИК" [Чайковский]</t>
        </is>
      </c>
      <c r="G99" s="3">
        <f>ROUND(D99/(100-E99)*100,2)</f>
        <v/>
      </c>
      <c r="H99" s="3" t="n">
        <v>0</v>
      </c>
      <c r="I99" s="3">
        <f>ROUND(IF(ISNUMBER(AG99),AG99,G99)+H99,2)</f>
        <v/>
      </c>
      <c r="J99" s="2" t="inlineStr"/>
      <c r="K99" s="5" t="n">
        <v>46295.58333333334</v>
      </c>
      <c r="L99" t="n">
        <v>1</v>
      </c>
      <c r="M99" s="3">
        <f>I99/L99</f>
        <v/>
      </c>
      <c r="N99">
        <f>IF(M99&gt;=5100,"ставка","мин.ставка")</f>
        <v/>
      </c>
      <c r="O99" s="3">
        <f>ROUND(IF(N99="мин.ставка",L99*100,I99/102*2),2)</f>
        <v/>
      </c>
      <c r="P99" s="5" t="n">
        <v>46301.5</v>
      </c>
      <c r="Q99" t="inlineStr">
        <is>
          <t>TravelLine BR2</t>
        </is>
      </c>
      <c r="R99" s="2" t="inlineStr">
        <is>
          <t>СТАНДАРТНЫЙ ДВУХМЕСТНЫЙ НОМЕР</t>
        </is>
      </c>
      <c r="S99" t="n">
        <v>32</v>
      </c>
      <c r="T99" t="n">
        <v>1</v>
      </c>
      <c r="U99" t="inlineStr"/>
      <c r="V99" t="inlineStr">
        <is>
          <t>Основной тариф без завтрака</t>
        </is>
      </c>
      <c r="W99" t="n">
        <v>43280</v>
      </c>
      <c r="X99" s="3" t="n">
        <v>0</v>
      </c>
      <c r="Y99" t="inlineStr"/>
      <c r="Z99" t="inlineStr"/>
      <c r="AA99" s="3" t="n">
        <v>43280</v>
      </c>
      <c r="AB99" t="inlineStr">
        <is>
          <t>Сошлось по ночным тарифам</t>
        </is>
      </c>
      <c r="AC99" s="2" t="inlineStr"/>
      <c r="AD99" t="n">
        <v>0</v>
      </c>
      <c r="AE99" t="n">
        <v>0</v>
      </c>
      <c r="AF99" t="inlineStr">
        <is>
          <t>Скидки нет</t>
        </is>
      </c>
      <c r="AG99" t="n">
        <v>9480</v>
      </c>
      <c r="AH99" t="n">
        <v>9480</v>
      </c>
      <c r="AI99" t="inlineStr">
        <is>
          <t>Частичное проживание распределено по dailyRates</t>
        </is>
      </c>
    </row>
    <row r="100">
      <c r="A100" t="inlineStr">
        <is>
          <t>20260913-8186-455450305</t>
        </is>
      </c>
      <c r="B100" t="n">
        <v>1</v>
      </c>
      <c r="C100" s="2" t="inlineStr">
        <is>
          <t>Андрей Дайхес</t>
        </is>
      </c>
      <c r="D100" s="3" t="n">
        <v>56750</v>
      </c>
      <c r="E100" s="4" t="n">
        <v>0</v>
      </c>
      <c r="F100" t="inlineStr">
        <is>
          <t>Прямые бронирования (стойка) [Чайковский]</t>
        </is>
      </c>
      <c r="G100" s="3">
        <f>ROUND(D100/(100-E100)*100,2)</f>
        <v/>
      </c>
      <c r="H100" s="3" t="n">
        <v>5675</v>
      </c>
      <c r="I100" s="3">
        <f>ROUND(IF(ISNUMBER(AG100),AG100,G100)+H100,2)</f>
        <v/>
      </c>
      <c r="J100" s="2" t="inlineStr">
        <is>
          <t>Завтрак "Шведский стол"; Поздний выезд — 5 675,00 ₽</t>
        </is>
      </c>
      <c r="K100" s="5" t="n">
        <v>46278.58333333334</v>
      </c>
      <c r="L100" t="n">
        <v>5</v>
      </c>
      <c r="M100" s="3">
        <f>I100/L100</f>
        <v/>
      </c>
      <c r="N100">
        <f>IF(M100&gt;=5100,"ставка","мин.ставка")</f>
        <v/>
      </c>
      <c r="O100" s="3">
        <f>ROUND(IF(N100="мин.ставка",L100*100,I100/102*2),2)</f>
        <v/>
      </c>
      <c r="P100" s="5" t="n">
        <v>46283.75</v>
      </c>
      <c r="Q100" t="inlineStr">
        <is>
          <t>TravelLine ресепшен</t>
        </is>
      </c>
      <c r="R100" s="2" t="inlineStr">
        <is>
          <t>СТАНДАРТНЫЙ ДВУХМЕСТНЫЙ НОМЕР</t>
        </is>
      </c>
      <c r="S100" t="n">
        <v>33</v>
      </c>
      <c r="T100" t="n">
        <v>1</v>
      </c>
      <c r="U100" t="inlineStr"/>
      <c r="V100" t="inlineStr">
        <is>
          <t>Тариф с завтраком</t>
        </is>
      </c>
      <c r="W100" t="n">
        <v>62425</v>
      </c>
      <c r="X100" s="3" t="n">
        <v>0</v>
      </c>
      <c r="Y100" t="inlineStr"/>
      <c r="Z100" t="inlineStr"/>
      <c r="AA100" s="3" t="n">
        <v>56750</v>
      </c>
      <c r="AB100" t="inlineStr">
        <is>
          <t>Расхождение -5675.00 ₽</t>
        </is>
      </c>
      <c r="AC100" s="2" t="inlineStr"/>
      <c r="AD100" t="n">
        <v>0</v>
      </c>
      <c r="AE100" t="n">
        <v>0</v>
      </c>
      <c r="AF100" t="inlineStr">
        <is>
          <t>Скидки нет</t>
        </is>
      </c>
      <c r="AG100" t="n">
        <v>56750</v>
      </c>
      <c r="AH100" t="n">
        <v>56750</v>
      </c>
      <c r="AI100" t="inlineStr">
        <is>
          <t>Полное проживание в выбранном периоде</t>
        </is>
      </c>
    </row>
    <row r="101">
      <c r="A101" t="inlineStr">
        <is>
          <t>20260710-8186-449153360</t>
        </is>
      </c>
      <c r="B101" t="n">
        <v>1</v>
      </c>
      <c r="C101" s="2" t="inlineStr">
        <is>
          <t>АНДРЕЙ ДОБРЯКОВ, Алина Жукова</t>
        </is>
      </c>
      <c r="D101" s="3" t="n">
        <v>9880</v>
      </c>
      <c r="E101" s="4" t="n">
        <v>18</v>
      </c>
      <c r="F101" t="inlineStr">
        <is>
          <t>Яндекс.Путешествия [Чайковский]</t>
        </is>
      </c>
      <c r="G101" s="3">
        <f>ROUND(D101/(100-E101)*100,2)</f>
        <v/>
      </c>
      <c r="H101" s="3" t="n">
        <v>0</v>
      </c>
      <c r="I101" s="3">
        <f>ROUND(IF(ISNUMBER(AG101),AG101,G101)+H101,2)</f>
        <v/>
      </c>
      <c r="J101" s="2" t="inlineStr">
        <is>
          <t>Завтрак "Шведский стол"</t>
        </is>
      </c>
      <c r="K101" s="5" t="n">
        <v>46213.58333333334</v>
      </c>
      <c r="L101" t="n">
        <v>1</v>
      </c>
      <c r="M101" s="3">
        <f>I101/L101</f>
        <v/>
      </c>
      <c r="N101">
        <f>IF(M101&gt;=5100,"ставка","мин.ставка")</f>
        <v/>
      </c>
      <c r="O101" s="3">
        <f>ROUND(IF(N101="мин.ставка",L101*100,I101/102*2),2)</f>
        <v/>
      </c>
      <c r="P101" s="5" t="n">
        <v>46214.5</v>
      </c>
      <c r="Q101" t="inlineStr">
        <is>
          <t>TravelLine YAX</t>
        </is>
      </c>
      <c r="R101" s="2" t="inlineStr">
        <is>
          <t>СТАНДАРТНЫЙ ДВУХМЕСТНЫЙ НОМЕР</t>
        </is>
      </c>
      <c r="S101" t="n">
        <v>36</v>
      </c>
      <c r="T101" t="n">
        <v>1</v>
      </c>
      <c r="U101" t="inlineStr"/>
      <c r="V101" t="inlineStr">
        <is>
          <t>Тариф с завтраком</t>
        </is>
      </c>
      <c r="W101" t="n">
        <v>9880</v>
      </c>
      <c r="X101" s="3" t="n">
        <v>2470</v>
      </c>
      <c r="Y101" t="inlineStr">
        <is>
          <t>20%</t>
        </is>
      </c>
      <c r="Z101" t="inlineStr">
        <is>
          <t>2026-07-10</t>
        </is>
      </c>
      <c r="AA101" s="3" t="n">
        <v>9880</v>
      </c>
      <c r="AB101" t="inlineStr">
        <is>
          <t>Сошлось по ночным тарифам</t>
        </is>
      </c>
      <c r="AC101" s="2" t="inlineStr"/>
      <c r="AD101" t="n">
        <v>2470</v>
      </c>
      <c r="AE101" t="n">
        <v>0</v>
      </c>
      <c r="AF101" t="inlineStr">
        <is>
          <t>Скидка добавлена к налоговой базе</t>
        </is>
      </c>
      <c r="AG101" t="n">
        <v>12350</v>
      </c>
      <c r="AH101" t="n">
        <v>9880</v>
      </c>
      <c r="AI101" t="inlineStr">
        <is>
          <t>Полное проживание в выбранном периоде</t>
        </is>
      </c>
    </row>
    <row r="102">
      <c r="A102" t="inlineStr">
        <is>
          <t>20260724-8186-452860606</t>
        </is>
      </c>
      <c r="B102" t="n">
        <v>1</v>
      </c>
      <c r="C102" s="2" t="inlineStr">
        <is>
          <t>Андрей Дьяков</t>
        </is>
      </c>
      <c r="D102" s="3" t="n">
        <v>13050</v>
      </c>
      <c r="E102" s="4" t="n">
        <v>0</v>
      </c>
      <c r="F102" t="inlineStr">
        <is>
          <t>Прямые бронирования (стойка) [Чайковский]</t>
        </is>
      </c>
      <c r="G102" s="3">
        <f>ROUND(D102/(100-E102)*100,2)</f>
        <v/>
      </c>
      <c r="H102" s="3" t="n">
        <v>0</v>
      </c>
      <c r="I102" s="3">
        <f>ROUND(IF(ISNUMBER(AG102),AG102,G102)+H102,2)</f>
        <v/>
      </c>
      <c r="J102" s="2" t="inlineStr">
        <is>
          <t>Завтрак "Шведский стол"</t>
        </is>
      </c>
      <c r="K102" s="5" t="n">
        <v>46227.58333333334</v>
      </c>
      <c r="L102" t="n">
        <v>1</v>
      </c>
      <c r="M102" s="3">
        <f>I102/L102</f>
        <v/>
      </c>
      <c r="N102">
        <f>IF(M102&gt;=5100,"ставка","мин.ставка")</f>
        <v/>
      </c>
      <c r="O102" s="3">
        <f>ROUND(IF(N102="мин.ставка",L102*100,I102/102*2),2)</f>
        <v/>
      </c>
      <c r="P102" s="5" t="n">
        <v>46228.5</v>
      </c>
      <c r="Q102" t="inlineStr">
        <is>
          <t>TravelLine ресепшен</t>
        </is>
      </c>
      <c r="R102" s="2" t="inlineStr">
        <is>
          <t>ПОЛУЛЮКС</t>
        </is>
      </c>
      <c r="S102" t="n">
        <v>25</v>
      </c>
      <c r="T102" t="n">
        <v>1</v>
      </c>
      <c r="U102" t="inlineStr"/>
      <c r="V102" t="inlineStr">
        <is>
          <t>Тариф с завтраком</t>
        </is>
      </c>
      <c r="W102" t="n">
        <v>13050</v>
      </c>
      <c r="X102" s="3" t="n">
        <v>1450</v>
      </c>
      <c r="Y102" t="inlineStr">
        <is>
          <t>10%</t>
        </is>
      </c>
      <c r="Z102" t="inlineStr">
        <is>
          <t>2026-07-24</t>
        </is>
      </c>
      <c r="AA102" s="3" t="n">
        <v>13050</v>
      </c>
      <c r="AB102" t="inlineStr">
        <is>
          <t>Сошлось по ночным тарифам</t>
        </is>
      </c>
      <c r="AC102" s="2" t="inlineStr"/>
      <c r="AD102" t="n">
        <v>1450</v>
      </c>
      <c r="AE102" t="n">
        <v>0</v>
      </c>
      <c r="AF102" t="inlineStr">
        <is>
          <t>Скидка добавлена к налоговой базе</t>
        </is>
      </c>
      <c r="AG102" t="n">
        <v>14500</v>
      </c>
      <c r="AH102" t="n">
        <v>13050</v>
      </c>
      <c r="AI102" t="inlineStr">
        <is>
          <t>Полное проживание в выбранном периоде</t>
        </is>
      </c>
    </row>
    <row r="103">
      <c r="A103" t="inlineStr">
        <is>
          <t>20260821-8186-459665197</t>
        </is>
      </c>
      <c r="B103" t="n">
        <v>1</v>
      </c>
      <c r="C103" s="2" t="inlineStr">
        <is>
          <t>Андрей Дьяков</t>
        </is>
      </c>
      <c r="D103" s="3" t="n">
        <v>10215</v>
      </c>
      <c r="E103" s="4" t="n">
        <v>0</v>
      </c>
      <c r="F103" t="inlineStr">
        <is>
          <t>Прямые бронирования (стойка) [Чайковский]</t>
        </is>
      </c>
      <c r="G103" s="3">
        <f>ROUND(D103/(100-E103)*100,2)</f>
        <v/>
      </c>
      <c r="H103" s="3" t="n">
        <v>0</v>
      </c>
      <c r="I103" s="3">
        <f>ROUND(IF(ISNUMBER(AG103),AG103,G103)+H103,2)</f>
        <v/>
      </c>
      <c r="J103" s="2" t="inlineStr">
        <is>
          <t>Завтрак "Шведский стол"</t>
        </is>
      </c>
      <c r="K103" s="5" t="n">
        <v>46255.58333333334</v>
      </c>
      <c r="L103" t="n">
        <v>1</v>
      </c>
      <c r="M103" s="3">
        <f>I103/L103</f>
        <v/>
      </c>
      <c r="N103">
        <f>IF(M103&gt;=5100,"ставка","мин.ставка")</f>
        <v/>
      </c>
      <c r="O103" s="3">
        <f>ROUND(IF(N103="мин.ставка",L103*100,I103/102*2),2)</f>
        <v/>
      </c>
      <c r="P103" s="5" t="n">
        <v>46256.5</v>
      </c>
      <c r="Q103" t="inlineStr">
        <is>
          <t>TravelLine ресепшен</t>
        </is>
      </c>
      <c r="R103" s="2" t="inlineStr">
        <is>
          <t>СТАНДАРТНЫЙ ДВУХМЕСТНЫЙ НОМЕР</t>
        </is>
      </c>
      <c r="S103" t="n">
        <v>33</v>
      </c>
      <c r="T103" t="n">
        <v>1</v>
      </c>
      <c r="U103" t="inlineStr"/>
      <c r="V103" t="inlineStr">
        <is>
          <t>Тариф с завтраком</t>
        </is>
      </c>
      <c r="W103" t="n">
        <v>10215</v>
      </c>
      <c r="X103" s="3" t="n">
        <v>1135</v>
      </c>
      <c r="Y103" t="inlineStr">
        <is>
          <t>10%</t>
        </is>
      </c>
      <c r="Z103" t="inlineStr">
        <is>
          <t>2026-08-21</t>
        </is>
      </c>
      <c r="AA103" s="3" t="n">
        <v>10215</v>
      </c>
      <c r="AB103" t="inlineStr">
        <is>
          <t>Сошлось по ночным тарифам</t>
        </is>
      </c>
      <c r="AC103" s="2" t="inlineStr"/>
      <c r="AD103" t="n">
        <v>1135</v>
      </c>
      <c r="AE103" t="n">
        <v>0</v>
      </c>
      <c r="AF103" t="inlineStr">
        <is>
          <t>Скидка добавлена к налоговой базе</t>
        </is>
      </c>
      <c r="AG103" t="n">
        <v>11350</v>
      </c>
      <c r="AH103" t="n">
        <v>10215</v>
      </c>
      <c r="AI103" t="inlineStr">
        <is>
          <t>Полное проживание в выбранном периоде</t>
        </is>
      </c>
    </row>
    <row r="104">
      <c r="A104" t="inlineStr">
        <is>
          <t>20260801-8186-417315012</t>
        </is>
      </c>
      <c r="B104" t="n">
        <v>1</v>
      </c>
      <c r="C104" s="2" t="inlineStr">
        <is>
          <t>АНДРЕЙ ЕЛИСТРАТОВ, ЕЛИЗАВЕТА БРЫНЗА</t>
        </is>
      </c>
      <c r="D104" s="3" t="n">
        <v>16500</v>
      </c>
      <c r="E104" s="4" t="n">
        <v>0</v>
      </c>
      <c r="F104" t="inlineStr">
        <is>
          <t>Прямые бронирования (стойка) [Чайковский]</t>
        </is>
      </c>
      <c r="G104" s="3">
        <f>ROUND(D104/(100-E104)*100,2)</f>
        <v/>
      </c>
      <c r="H104" s="3" t="n">
        <v>0</v>
      </c>
      <c r="I104" s="3">
        <f>ROUND(IF(ISNUMBER(AG104),AG104,G104)+H104,2)</f>
        <v/>
      </c>
      <c r="J104" s="2" t="inlineStr">
        <is>
          <t>Завтрак "Шведский стол"</t>
        </is>
      </c>
      <c r="K104" s="5" t="n">
        <v>46235.58333333334</v>
      </c>
      <c r="L104" t="n">
        <v>1</v>
      </c>
      <c r="M104" s="3">
        <f>I104/L104</f>
        <v/>
      </c>
      <c r="N104">
        <f>IF(M104&gt;=5100,"ставка","мин.ставка")</f>
        <v/>
      </c>
      <c r="O104" s="3">
        <f>ROUND(IF(N104="мин.ставка",L104*100,I104/102*2),2)</f>
        <v/>
      </c>
      <c r="P104" s="5" t="n">
        <v>46236.5</v>
      </c>
      <c r="Q104" t="inlineStr">
        <is>
          <t>TravelLine ресепшен</t>
        </is>
      </c>
      <c r="R104" s="2" t="inlineStr">
        <is>
          <t>ПОЛУЛЮКС</t>
        </is>
      </c>
      <c r="S104" t="n">
        <v>25</v>
      </c>
      <c r="T104" t="n">
        <v>1</v>
      </c>
      <c r="U104" t="inlineStr"/>
      <c r="V104" t="inlineStr">
        <is>
          <t>Тариф с завтраком</t>
        </is>
      </c>
      <c r="W104" t="n">
        <v>16500</v>
      </c>
      <c r="X104" s="3" t="n">
        <v>0</v>
      </c>
      <c r="Y104" t="inlineStr"/>
      <c r="Z104" t="inlineStr"/>
      <c r="AA104" s="3" t="n">
        <v>16500</v>
      </c>
      <c r="AB104" t="inlineStr">
        <is>
          <t>Сошлось по ночным тарифам</t>
        </is>
      </c>
      <c r="AC104" s="2" t="inlineStr"/>
      <c r="AD104" t="n">
        <v>0</v>
      </c>
      <c r="AE104" t="n">
        <v>0</v>
      </c>
      <c r="AF104" t="inlineStr">
        <is>
          <t>Скидки нет</t>
        </is>
      </c>
      <c r="AG104" t="n">
        <v>16500</v>
      </c>
      <c r="AH104" t="n">
        <v>16500</v>
      </c>
      <c r="AI104" t="inlineStr">
        <is>
          <t>Полное проживание в выбранном периоде</t>
        </is>
      </c>
    </row>
    <row r="105">
      <c r="A105" t="inlineStr">
        <is>
          <t>20260829-8186-455908212</t>
        </is>
      </c>
      <c r="B105" t="n">
        <v>1</v>
      </c>
      <c r="C105" s="2" t="inlineStr">
        <is>
          <t>АНДРЕЙ ЖАРОВ, КСЕНИЯ ЖАРОВА</t>
        </is>
      </c>
      <c r="D105" s="3" t="n">
        <v>67284</v>
      </c>
      <c r="E105" s="4" t="n">
        <v>16</v>
      </c>
      <c r="F105" t="inlineStr">
        <is>
          <t>ООО "БРОНИРОВАНИЕ ГОСТИНИЦ" (OSTROVOK) [Чайковский]</t>
        </is>
      </c>
      <c r="G105" s="3">
        <f>ROUND(D105/(100-E105)*100,2)</f>
        <v/>
      </c>
      <c r="H105" s="3" t="n">
        <v>0</v>
      </c>
      <c r="I105" s="3">
        <f>ROUND(IF(ISNUMBER(AG105),AG105,G105)+H105,2)</f>
        <v/>
      </c>
      <c r="J105" s="2" t="inlineStr">
        <is>
          <t>Завтрак "Шведский стол"</t>
        </is>
      </c>
      <c r="K105" s="5" t="n">
        <v>46263.58333333334</v>
      </c>
      <c r="L105" t="n">
        <v>6</v>
      </c>
      <c r="M105" s="3">
        <f>I105/L105</f>
        <v/>
      </c>
      <c r="N105">
        <f>IF(M105&gt;=5100,"ставка","мин.ставка")</f>
        <v/>
      </c>
      <c r="O105" s="3">
        <f>ROUND(IF(N105="мин.ставка",L105*100,I105/102*2),2)</f>
        <v/>
      </c>
      <c r="P105" s="5" t="n">
        <v>46269.5</v>
      </c>
      <c r="Q105" t="inlineStr">
        <is>
          <t>TravelLine OTK</t>
        </is>
      </c>
      <c r="R105" s="2" t="inlineStr">
        <is>
          <t>СТАНДАРТНЫЙ ДВУХМЕСТНЫЙ НОМЕР</t>
        </is>
      </c>
      <c r="S105" t="n">
        <v>42</v>
      </c>
      <c r="T105" t="n">
        <v>1</v>
      </c>
      <c r="U105" t="inlineStr"/>
      <c r="V105" t="inlineStr">
        <is>
          <t>Тариф с завтраком</t>
        </is>
      </c>
      <c r="W105" t="n">
        <v>67284</v>
      </c>
      <c r="X105" s="3" t="n">
        <v>12816</v>
      </c>
      <c r="Y105" t="inlineStr">
        <is>
          <t>16%</t>
        </is>
      </c>
      <c r="Z105" t="inlineStr">
        <is>
          <t>2026-08-29, 2026-08-30, 2026-08-31, 2026-09-01, 2026-09-02, 2026-09-03</t>
        </is>
      </c>
      <c r="AA105" s="3" t="n">
        <v>67284</v>
      </c>
      <c r="AB105" t="inlineStr">
        <is>
          <t>Сошлось по ночным тарифам</t>
        </is>
      </c>
      <c r="AC105" s="2" t="inlineStr"/>
      <c r="AD105" t="n">
        <v>12816</v>
      </c>
      <c r="AE105" t="n">
        <v>0</v>
      </c>
      <c r="AF105" t="inlineStr">
        <is>
          <t>Скидка добавлена к налоговой базе</t>
        </is>
      </c>
      <c r="AG105" t="n">
        <v>80100</v>
      </c>
      <c r="AH105" t="n">
        <v>67284</v>
      </c>
      <c r="AI105" t="inlineStr">
        <is>
          <t>Полное проживание в выбранном периоде</t>
        </is>
      </c>
    </row>
    <row r="106">
      <c r="A106" t="inlineStr">
        <is>
          <t>20260729-8186-446530322</t>
        </is>
      </c>
      <c r="B106" t="n">
        <v>1</v>
      </c>
      <c r="C106" s="2" t="inlineStr">
        <is>
          <t>АНДРЕЙ ЖУКОВ, ГЕОРГИЙ БУГЕЛЬСКИЙ</t>
        </is>
      </c>
      <c r="D106" s="3" t="n">
        <v>12015</v>
      </c>
      <c r="E106" s="4" t="n">
        <v>0</v>
      </c>
      <c r="F106" t="inlineStr">
        <is>
          <t>Прямые бронирования (стойка) [Чайковский]</t>
        </is>
      </c>
      <c r="G106" s="3">
        <f>ROUND(D106/(100-E106)*100,2)</f>
        <v/>
      </c>
      <c r="H106" s="3" t="n">
        <v>0</v>
      </c>
      <c r="I106" s="3">
        <f>ROUND(IF(ISNUMBER(AG106),AG106,G106)+H106,2)</f>
        <v/>
      </c>
      <c r="J106" s="2" t="inlineStr">
        <is>
          <t>Завтрак "Шведский стол"</t>
        </is>
      </c>
      <c r="K106" s="5" t="n">
        <v>46232.58333333334</v>
      </c>
      <c r="L106" t="n">
        <v>1</v>
      </c>
      <c r="M106" s="3">
        <f>I106/L106</f>
        <v/>
      </c>
      <c r="N106">
        <f>IF(M106&gt;=5100,"ставка","мин.ставка")</f>
        <v/>
      </c>
      <c r="O106" s="3">
        <f>ROUND(IF(N106="мин.ставка",L106*100,I106/102*2),2)</f>
        <v/>
      </c>
      <c r="P106" s="5" t="n">
        <v>46233.5</v>
      </c>
      <c r="Q106" t="inlineStr">
        <is>
          <t>TravelLine ресепшен</t>
        </is>
      </c>
      <c r="R106" s="2" t="inlineStr">
        <is>
          <t>СТАНДАРТНЫЙ ДВУХМЕСТНЫЙ НОМЕР</t>
        </is>
      </c>
      <c r="S106" t="n">
        <v>33</v>
      </c>
      <c r="T106" t="n">
        <v>1</v>
      </c>
      <c r="U106" t="inlineStr"/>
      <c r="V106" t="inlineStr">
        <is>
          <t>Тариф с завтраком</t>
        </is>
      </c>
      <c r="W106" t="n">
        <v>12015</v>
      </c>
      <c r="X106" s="3" t="n">
        <v>1335</v>
      </c>
      <c r="Y106" t="inlineStr">
        <is>
          <t>10%</t>
        </is>
      </c>
      <c r="Z106" t="inlineStr">
        <is>
          <t>2026-07-29</t>
        </is>
      </c>
      <c r="AA106" s="3" t="n">
        <v>12015</v>
      </c>
      <c r="AB106" t="inlineStr">
        <is>
          <t>Сошлось по ночным тарифам</t>
        </is>
      </c>
      <c r="AC106" s="2" t="inlineStr"/>
      <c r="AD106" t="n">
        <v>1335</v>
      </c>
      <c r="AE106" t="n">
        <v>0</v>
      </c>
      <c r="AF106" t="inlineStr">
        <is>
          <t>Скидка добавлена к налоговой базе</t>
        </is>
      </c>
      <c r="AG106" t="n">
        <v>13350</v>
      </c>
      <c r="AH106" t="n">
        <v>12015</v>
      </c>
      <c r="AI106" t="inlineStr">
        <is>
          <t>Полное проживание в выбранном периоде</t>
        </is>
      </c>
    </row>
    <row r="107">
      <c r="A107" t="inlineStr">
        <is>
          <t>20260701-8186-405717237</t>
        </is>
      </c>
      <c r="B107" t="n">
        <v>1</v>
      </c>
      <c r="C107" s="2" t="inlineStr">
        <is>
          <t>Андрей Зайцев, Наталья Зайцева</t>
        </is>
      </c>
      <c r="D107" s="3" t="n">
        <v>56826</v>
      </c>
      <c r="E107" s="4" t="n">
        <v>18</v>
      </c>
      <c r="F107" t="inlineStr">
        <is>
          <t>Яндекс.Путешествия [Чайковский]</t>
        </is>
      </c>
      <c r="G107" s="3">
        <f>ROUND(D107/(100-E107)*100,2)</f>
        <v/>
      </c>
      <c r="H107" s="3" t="n">
        <v>0</v>
      </c>
      <c r="I107" s="3">
        <f>ROUND(IF(ISNUMBER(AG107),AG107,G107)+H107,2)</f>
        <v/>
      </c>
      <c r="J107" s="2" t="inlineStr">
        <is>
          <t>Завтрак "Шведский стол"</t>
        </is>
      </c>
      <c r="K107" s="5" t="n">
        <v>46204.58333333334</v>
      </c>
      <c r="L107" t="n">
        <v>7</v>
      </c>
      <c r="M107" s="3">
        <f>I107/L107</f>
        <v/>
      </c>
      <c r="N107">
        <f>IF(M107&gt;=5100,"ставка","мин.ставка")</f>
        <v/>
      </c>
      <c r="O107" s="3">
        <f>ROUND(IF(N107="мин.ставка",L107*100,I107/102*2),2)</f>
        <v/>
      </c>
      <c r="P107" s="5" t="n">
        <v>46211.5</v>
      </c>
      <c r="Q107" t="inlineStr">
        <is>
          <t>TravelLine YAX</t>
        </is>
      </c>
      <c r="R107" s="2" t="inlineStr">
        <is>
          <t>СТАНДАРТНЫЙ ДВУХМЕСТНЫЙ НОМЕР (МАНСАРДА)</t>
        </is>
      </c>
      <c r="S107" t="n">
        <v>41</v>
      </c>
      <c r="T107" t="n">
        <v>1</v>
      </c>
      <c r="U107" t="inlineStr"/>
      <c r="V107" t="inlineStr">
        <is>
          <t>Тариф с завтраком</t>
        </is>
      </c>
      <c r="W107" t="n">
        <v>56826</v>
      </c>
      <c r="X107" s="3" t="n">
        <v>12474</v>
      </c>
      <c r="Y107" t="inlineStr">
        <is>
          <t>18%</t>
        </is>
      </c>
      <c r="Z107" t="inlineStr">
        <is>
          <t>2026-07-01, 2026-07-02, 2026-07-03, 2026-07-04, 2026-07-05, 2026-07-06, 2026-07-07</t>
        </is>
      </c>
      <c r="AA107" s="3" t="n">
        <v>56826</v>
      </c>
      <c r="AB107" t="inlineStr">
        <is>
          <t>Сошлось по ночным тарифам</t>
        </is>
      </c>
      <c r="AC107" s="2" t="inlineStr"/>
      <c r="AD107" t="n">
        <v>12474</v>
      </c>
      <c r="AE107" t="n">
        <v>0</v>
      </c>
      <c r="AF107" t="inlineStr">
        <is>
          <t>Скидка добавлена к налоговой базе</t>
        </is>
      </c>
      <c r="AG107" t="n">
        <v>69300</v>
      </c>
      <c r="AH107" t="n">
        <v>56826</v>
      </c>
      <c r="AI107" t="inlineStr">
        <is>
          <t>Полное проживание в выбранном периоде</t>
        </is>
      </c>
    </row>
    <row r="108">
      <c r="A108" t="inlineStr">
        <is>
          <t>20260827-8186-451798611</t>
        </is>
      </c>
      <c r="B108" t="n">
        <v>1</v>
      </c>
      <c r="C108" s="2" t="inlineStr">
        <is>
          <t>Андрей Капралов, Ксения Ким</t>
        </is>
      </c>
      <c r="D108" s="3" t="n">
        <v>24640</v>
      </c>
      <c r="E108" s="4" t="n">
        <v>20</v>
      </c>
      <c r="F108" t="inlineStr">
        <is>
          <t>ООО "УК ГЦБ и Т" [Чайковский]</t>
        </is>
      </c>
      <c r="G108" s="3">
        <f>ROUND(D108/(100-E108)*100,2)</f>
        <v/>
      </c>
      <c r="H108" s="3" t="n">
        <v>30800</v>
      </c>
      <c r="I108" s="3">
        <f>ROUND(IF(ISNUMBER(AG108),AG108,G108)+H108,2)</f>
        <v/>
      </c>
      <c r="J108" s="2" t="inlineStr">
        <is>
          <t>Завтрак; продление номера — 30 800,00 ₽; Завтрак "Шведский стол"</t>
        </is>
      </c>
      <c r="K108" s="5" t="n">
        <v>46261.58333333334</v>
      </c>
      <c r="L108" t="n">
        <v>4</v>
      </c>
      <c r="M108" s="3">
        <f>I108/L108</f>
        <v/>
      </c>
      <c r="N108">
        <f>IF(M108&gt;=5100,"ставка","мин.ставка")</f>
        <v/>
      </c>
      <c r="O108" s="3">
        <f>ROUND(IF(N108="мин.ставка",L108*100,I108/102*2),2)</f>
        <v/>
      </c>
      <c r="P108" s="5" t="n">
        <v>46265.5</v>
      </c>
      <c r="Q108" t="inlineStr">
        <is>
          <t>TravelLine CBC</t>
        </is>
      </c>
      <c r="R108" s="2" t="inlineStr">
        <is>
          <t>УЛУЧШЕННЫЙ ДВУХМЕСТНЫЙ НОМЕР</t>
        </is>
      </c>
      <c r="S108" t="n">
        <v>21</v>
      </c>
      <c r="T108" t="n">
        <v>1</v>
      </c>
      <c r="U108" t="inlineStr"/>
      <c r="V108" t="inlineStr">
        <is>
          <t>Тариф с завтраком</t>
        </is>
      </c>
      <c r="W108" t="n">
        <v>55440</v>
      </c>
      <c r="X108" s="3" t="n">
        <v>6160</v>
      </c>
      <c r="Y108" t="inlineStr">
        <is>
          <t>20%</t>
        </is>
      </c>
      <c r="Z108" t="inlineStr">
        <is>
          <t>2026-08-27, 2026-08-28, 2026-08-29, 2026-08-30</t>
        </is>
      </c>
      <c r="AA108" s="3" t="n">
        <v>24640</v>
      </c>
      <c r="AB108" t="inlineStr">
        <is>
          <t>Сошлось с услугами</t>
        </is>
      </c>
      <c r="AC108" s="2" t="inlineStr"/>
      <c r="AD108" t="n">
        <v>6160</v>
      </c>
      <c r="AE108" t="n">
        <v>0</v>
      </c>
      <c r="AF108" t="inlineStr">
        <is>
          <t>Скидка добавлена к налоговой базе</t>
        </is>
      </c>
      <c r="AG108" t="n">
        <v>30800</v>
      </c>
      <c r="AH108" t="n">
        <v>24640</v>
      </c>
      <c r="AI108" t="inlineStr">
        <is>
          <t>Полное проживание в выбранном периоде</t>
        </is>
      </c>
    </row>
    <row r="109">
      <c r="A109" t="inlineStr">
        <is>
          <t>20260807-8186-441275849</t>
        </is>
      </c>
      <c r="B109" t="n">
        <v>1</v>
      </c>
      <c r="C109" s="2" t="inlineStr">
        <is>
          <t>Андрей Кирюхин, Анастасия Кирюхина</t>
        </is>
      </c>
      <c r="D109" s="3" t="n">
        <v>26499.75</v>
      </c>
      <c r="E109" s="4" t="n">
        <v>4</v>
      </c>
      <c r="F109" t="inlineStr">
        <is>
          <t>TravelLine Booking Engine [Чайковский]</t>
        </is>
      </c>
      <c r="G109" s="3">
        <f>ROUND(D109/(100-E109)*100,2)</f>
        <v/>
      </c>
      <c r="H109" s="3" t="n">
        <v>0</v>
      </c>
      <c r="I109" s="3">
        <f>ROUND(IF(ISNUMBER(AG109),AG109,G109)+H109,2)</f>
        <v/>
      </c>
      <c r="J109" s="2" t="inlineStr">
        <is>
          <t>Завтрак "Шведский стол"</t>
        </is>
      </c>
      <c r="K109" s="5" t="n">
        <v>46241.58333333334</v>
      </c>
      <c r="L109" t="n">
        <v>2</v>
      </c>
      <c r="M109" s="3">
        <f>I109/L109</f>
        <v/>
      </c>
      <c r="N109">
        <f>IF(M109&gt;=5100,"ставка","мин.ставка")</f>
        <v/>
      </c>
      <c r="O109" s="3">
        <f>ROUND(IF(N109="мин.ставка",L109*100,I109/102*2),2)</f>
        <v/>
      </c>
      <c r="P109" s="5" t="n">
        <v>46243.5</v>
      </c>
      <c r="Q109" t="inlineStr">
        <is>
          <t>TravelLine сайт</t>
        </is>
      </c>
      <c r="R109" s="2" t="inlineStr">
        <is>
          <t>СТАНДАРТНЫЙ ДВУХМЕСТНЫЙ НОМЕР</t>
        </is>
      </c>
      <c r="S109" t="n">
        <v>42</v>
      </c>
      <c r="T109" t="n">
        <v>1</v>
      </c>
      <c r="U109" t="inlineStr"/>
      <c r="V109" t="inlineStr">
        <is>
          <t>Тариф с завтраком</t>
        </is>
      </c>
      <c r="W109" t="n">
        <v>26499.75</v>
      </c>
      <c r="X109" s="3" t="n">
        <v>200.25</v>
      </c>
      <c r="Y109" t="inlineStr">
        <is>
          <t>1.5%</t>
        </is>
      </c>
      <c r="Z109" t="inlineStr">
        <is>
          <t>2026-08-07</t>
        </is>
      </c>
      <c r="AA109" s="3" t="n">
        <v>26499.75</v>
      </c>
      <c r="AB109" t="inlineStr">
        <is>
          <t>Сошлось по ночным тарифам</t>
        </is>
      </c>
      <c r="AC109" s="2" t="inlineStr"/>
      <c r="AD109" t="n">
        <v>200.25</v>
      </c>
      <c r="AE109" t="n">
        <v>0</v>
      </c>
      <c r="AF109" t="inlineStr">
        <is>
          <t>Скидка добавлена к налоговой базе</t>
        </is>
      </c>
      <c r="AG109" t="n">
        <v>26700</v>
      </c>
      <c r="AH109" t="n">
        <v>26499.75</v>
      </c>
      <c r="AI109" t="inlineStr">
        <is>
          <t>Полное проживание в выбранном периоде</t>
        </is>
      </c>
    </row>
    <row r="110">
      <c r="A110" t="inlineStr">
        <is>
          <t>20260817-8186-456950526</t>
        </is>
      </c>
      <c r="B110" t="n">
        <v>1</v>
      </c>
      <c r="C110" s="2" t="inlineStr">
        <is>
          <t>Андрей Красавцев</t>
        </is>
      </c>
      <c r="D110" s="3" t="n">
        <v>11350</v>
      </c>
      <c r="E110" s="4" t="n">
        <v>0</v>
      </c>
      <c r="F110" t="inlineStr">
        <is>
          <t>Прямые бронирования (стойка) [Чайковский]</t>
        </is>
      </c>
      <c r="G110" s="3">
        <f>ROUND(D110/(100-E110)*100,2)</f>
        <v/>
      </c>
      <c r="H110" s="3" t="n">
        <v>0</v>
      </c>
      <c r="I110" s="3">
        <f>ROUND(IF(ISNUMBER(AG110),AG110,G110)+H110,2)</f>
        <v/>
      </c>
      <c r="J110" s="2" t="inlineStr">
        <is>
          <t>Завтрак "Шведский стол"</t>
        </is>
      </c>
      <c r="K110" s="5" t="n">
        <v>46251.58333333334</v>
      </c>
      <c r="L110" t="n">
        <v>1</v>
      </c>
      <c r="M110" s="3">
        <f>I110/L110</f>
        <v/>
      </c>
      <c r="N110">
        <f>IF(M110&gt;=5100,"ставка","мин.ставка")</f>
        <v/>
      </c>
      <c r="O110" s="3">
        <f>ROUND(IF(N110="мин.ставка",L110*100,I110/102*2),2)</f>
        <v/>
      </c>
      <c r="P110" s="5" t="n">
        <v>46252.5</v>
      </c>
      <c r="Q110" t="inlineStr">
        <is>
          <t>TravelLine ресепшен</t>
        </is>
      </c>
      <c r="R110" s="2" t="inlineStr">
        <is>
          <t>СТАНДАРТНЫЙ ДВУХМЕСТНЫЙ НОМЕР</t>
        </is>
      </c>
      <c r="S110" t="n">
        <v>23</v>
      </c>
      <c r="T110" t="n">
        <v>1</v>
      </c>
      <c r="U110" t="inlineStr"/>
      <c r="V110" t="inlineStr">
        <is>
          <t>Тариф с завтраком</t>
        </is>
      </c>
      <c r="W110" t="n">
        <v>11350</v>
      </c>
      <c r="X110" s="3" t="n">
        <v>0</v>
      </c>
      <c r="Y110" t="inlineStr"/>
      <c r="Z110" t="inlineStr"/>
      <c r="AA110" s="3" t="n">
        <v>11350</v>
      </c>
      <c r="AB110" t="inlineStr">
        <is>
          <t>Сошлось по ночным тарифам</t>
        </is>
      </c>
      <c r="AC110" s="2" t="inlineStr"/>
      <c r="AD110" t="n">
        <v>0</v>
      </c>
      <c r="AE110" t="n">
        <v>0</v>
      </c>
      <c r="AF110" t="inlineStr">
        <is>
          <t>Скидки нет</t>
        </is>
      </c>
      <c r="AG110" t="n">
        <v>11350</v>
      </c>
      <c r="AH110" t="n">
        <v>11350</v>
      </c>
      <c r="AI110" t="inlineStr">
        <is>
          <t>Полное проживание в выбранном периоде</t>
        </is>
      </c>
    </row>
    <row r="111">
      <c r="A111" t="inlineStr">
        <is>
          <t>20260920-8186-466531471</t>
        </is>
      </c>
      <c r="B111" t="n">
        <v>1</v>
      </c>
      <c r="C111" s="2" t="inlineStr">
        <is>
          <t>Андрей Машков</t>
        </is>
      </c>
      <c r="D111" s="3" t="n">
        <v>13090</v>
      </c>
      <c r="E111" s="4" t="n">
        <v>15</v>
      </c>
      <c r="F111" t="inlineStr">
        <is>
          <t>ООО Тинькофф Путешествия [Чайковский]</t>
        </is>
      </c>
      <c r="G111" s="3">
        <f>ROUND(D111/(100-E111)*100,2)</f>
        <v/>
      </c>
      <c r="H111" s="3" t="n">
        <v>0</v>
      </c>
      <c r="I111" s="3">
        <f>ROUND(IF(ISNUMBER(AG111),AG111,G111)+H111,2)</f>
        <v/>
      </c>
      <c r="J111" s="2" t="inlineStr">
        <is>
          <t>Завтрак "Шведский стол"</t>
        </is>
      </c>
      <c r="K111" s="5" t="n">
        <v>46285.75</v>
      </c>
      <c r="L111" t="n">
        <v>2</v>
      </c>
      <c r="M111" s="3">
        <f>I111/L111</f>
        <v/>
      </c>
      <c r="N111">
        <f>IF(M111&gt;=5100,"ставка","мин.ставка")</f>
        <v/>
      </c>
      <c r="O111" s="3">
        <f>ROUND(IF(N111="мин.ставка",L111*100,I111/102*2),2)</f>
        <v/>
      </c>
      <c r="P111" s="5" t="n">
        <v>46287.5</v>
      </c>
      <c r="Q111" t="inlineStr">
        <is>
          <t>TravelLine TNK</t>
        </is>
      </c>
      <c r="R111" s="2" t="inlineStr">
        <is>
          <t>СТАНДАРТНЫЙ ОДНОМЕСТНЫЙ НОМЕР</t>
        </is>
      </c>
      <c r="S111" t="n">
        <v>34</v>
      </c>
      <c r="T111" t="n">
        <v>1</v>
      </c>
      <c r="U111" t="inlineStr"/>
      <c r="V111" t="inlineStr">
        <is>
          <t>Тариф с завтраком</t>
        </is>
      </c>
      <c r="W111" t="n">
        <v>13090</v>
      </c>
      <c r="X111" s="3" t="n">
        <v>2310</v>
      </c>
      <c r="Y111" t="inlineStr">
        <is>
          <t>15%</t>
        </is>
      </c>
      <c r="Z111" t="inlineStr">
        <is>
          <t>2026-09-20, 2026-09-21</t>
        </is>
      </c>
      <c r="AA111" s="3" t="n">
        <v>13090</v>
      </c>
      <c r="AB111" t="inlineStr">
        <is>
          <t>Сошлось по ночным тарифам</t>
        </is>
      </c>
      <c r="AC111" s="2" t="inlineStr"/>
      <c r="AD111" t="n">
        <v>2310</v>
      </c>
      <c r="AE111" t="n">
        <v>0</v>
      </c>
      <c r="AF111" t="inlineStr">
        <is>
          <t>Скидка добавлена к налоговой базе</t>
        </is>
      </c>
      <c r="AG111" t="n">
        <v>15400</v>
      </c>
      <c r="AH111" t="n">
        <v>13090</v>
      </c>
      <c r="AI111" t="inlineStr">
        <is>
          <t>Полное проживание в выбранном периоде</t>
        </is>
      </c>
    </row>
    <row r="112">
      <c r="A112" t="inlineStr">
        <is>
          <t>20260817-8186-454348210</t>
        </is>
      </c>
      <c r="B112" t="n">
        <v>1</v>
      </c>
      <c r="C112" s="2" t="inlineStr">
        <is>
          <t>Андрей Назарьев</t>
        </is>
      </c>
      <c r="D112" s="3" t="n">
        <v>47560</v>
      </c>
      <c r="E112" s="4" t="n">
        <v>18</v>
      </c>
      <c r="F112" t="inlineStr">
        <is>
          <t>ООО "Эй энд Эй" [Чайковский]</t>
        </is>
      </c>
      <c r="G112" s="3">
        <f>ROUND(D112/(100-E112)*100,2)</f>
        <v/>
      </c>
      <c r="H112" s="3" t="n">
        <v>0</v>
      </c>
      <c r="I112" s="3">
        <f>ROUND(IF(ISNUMBER(AG112),AG112,G112)+H112,2)</f>
        <v/>
      </c>
      <c r="J112" s="2" t="inlineStr">
        <is>
          <t>Завтрак "Шведский стол"</t>
        </is>
      </c>
      <c r="K112" s="5" t="n">
        <v>46251.58333333334</v>
      </c>
      <c r="L112" t="n">
        <v>4</v>
      </c>
      <c r="M112" s="3">
        <f>I112/L112</f>
        <v/>
      </c>
      <c r="N112">
        <f>IF(M112&gt;=5100,"ставка","мин.ставка")</f>
        <v/>
      </c>
      <c r="O112" s="3">
        <f>ROUND(IF(N112="мин.ставка",L112*100,I112/102*2),2)</f>
        <v/>
      </c>
      <c r="P112" s="5" t="n">
        <v>46255.5</v>
      </c>
      <c r="Q112" t="inlineStr">
        <is>
          <t>TravelLine ANA</t>
        </is>
      </c>
      <c r="R112" s="2" t="inlineStr">
        <is>
          <t>ПОЛУЛЮКС</t>
        </is>
      </c>
      <c r="S112" t="n">
        <v>11</v>
      </c>
      <c r="T112" t="n">
        <v>1</v>
      </c>
      <c r="U112" t="inlineStr"/>
      <c r="V112" t="inlineStr">
        <is>
          <t>Тариф с завтраком</t>
        </is>
      </c>
      <c r="W112" t="n">
        <v>47560</v>
      </c>
      <c r="X112" s="3" t="n">
        <v>10440</v>
      </c>
      <c r="Y112" t="inlineStr">
        <is>
          <t>18%</t>
        </is>
      </c>
      <c r="Z112" t="inlineStr">
        <is>
          <t>2026-08-17, 2026-08-18, 2026-08-19, 2026-08-20</t>
        </is>
      </c>
      <c r="AA112" s="3" t="n">
        <v>47560</v>
      </c>
      <c r="AB112" t="inlineStr">
        <is>
          <t>Сошлось по ночным тарифам</t>
        </is>
      </c>
      <c r="AC112" s="2" t="inlineStr"/>
      <c r="AD112" t="n">
        <v>10440</v>
      </c>
      <c r="AE112" t="n">
        <v>0</v>
      </c>
      <c r="AF112" t="inlineStr">
        <is>
          <t>Скидка добавлена к налоговой базе</t>
        </is>
      </c>
      <c r="AG112" t="n">
        <v>58000</v>
      </c>
      <c r="AH112" t="n">
        <v>47560</v>
      </c>
      <c r="AI112" t="inlineStr">
        <is>
          <t>Полное проживание в выбранном периоде</t>
        </is>
      </c>
    </row>
    <row r="113">
      <c r="A113" t="inlineStr">
        <is>
          <t>20260817-8186-436077872</t>
        </is>
      </c>
      <c r="B113" t="n">
        <v>1</v>
      </c>
      <c r="C113" s="2" t="inlineStr">
        <is>
          <t>Андрей Полежаев, ТАТЬЯНА ПОЛЕЖАЕВА</t>
        </is>
      </c>
      <c r="D113" s="3" t="n">
        <v>9593.1</v>
      </c>
      <c r="E113" s="4" t="n">
        <v>4</v>
      </c>
      <c r="F113" t="inlineStr">
        <is>
          <t>TravelLine Booking Engine [Чайковский]</t>
        </is>
      </c>
      <c r="G113" s="3">
        <f>ROUND(D113/(100-E113)*100,2)</f>
        <v/>
      </c>
      <c r="H113" s="3" t="n">
        <v>0</v>
      </c>
      <c r="I113" s="3">
        <f>ROUND(IF(ISNUMBER(AG113),AG113,G113)+H113,2)</f>
        <v/>
      </c>
      <c r="J113" s="2" t="inlineStr">
        <is>
          <t>Завтрак "Шведский стол"</t>
        </is>
      </c>
      <c r="K113" s="5" t="n">
        <v>46251.58333333334</v>
      </c>
      <c r="L113" t="n">
        <v>1</v>
      </c>
      <c r="M113" s="3">
        <f>I113/L113</f>
        <v/>
      </c>
      <c r="N113">
        <f>IF(M113&gt;=5100,"ставка","мин.ставка")</f>
        <v/>
      </c>
      <c r="O113" s="3">
        <f>ROUND(IF(N113="мин.ставка",L113*100,I113/102*2),2)</f>
        <v/>
      </c>
      <c r="P113" s="5" t="n">
        <v>46252.5</v>
      </c>
      <c r="Q113" t="inlineStr">
        <is>
          <t>TravelLine сайт</t>
        </is>
      </c>
      <c r="R113" s="2" t="inlineStr">
        <is>
          <t>СТАНДАРТНЫЙ ДВУХМЕСТНЫЙ НОМЕР (МАНСАРДА)</t>
        </is>
      </c>
      <c r="S113" t="n">
        <v>43</v>
      </c>
      <c r="T113" t="n">
        <v>1</v>
      </c>
      <c r="U113" t="inlineStr"/>
      <c r="V113" t="inlineStr">
        <is>
          <t>Тариф с завтраком</t>
        </is>
      </c>
      <c r="W113" t="n">
        <v>9593.1</v>
      </c>
      <c r="X113" s="3" t="n">
        <v>306.9</v>
      </c>
      <c r="Y113" t="inlineStr">
        <is>
          <t>3.1%</t>
        </is>
      </c>
      <c r="Z113" t="inlineStr">
        <is>
          <t>2026-08-17</t>
        </is>
      </c>
      <c r="AA113" s="3" t="n">
        <v>9593.1</v>
      </c>
      <c r="AB113" t="inlineStr">
        <is>
          <t>Сошлось по ночным тарифам</t>
        </is>
      </c>
      <c r="AC113" s="2" t="inlineStr"/>
      <c r="AD113" t="n">
        <v>306.9</v>
      </c>
      <c r="AE113" t="n">
        <v>0</v>
      </c>
      <c r="AF113" t="inlineStr">
        <is>
          <t>Скидка добавлена к налоговой базе</t>
        </is>
      </c>
      <c r="AG113" t="n">
        <v>9900</v>
      </c>
      <c r="AH113" t="n">
        <v>9593.1</v>
      </c>
      <c r="AI113" t="inlineStr">
        <is>
          <t>Полное проживание в выбранном периоде</t>
        </is>
      </c>
    </row>
    <row r="114">
      <c r="A114" t="inlineStr">
        <is>
          <t>20260908-8186-456428265</t>
        </is>
      </c>
      <c r="B114" t="n">
        <v>1</v>
      </c>
      <c r="C114" s="2" t="inlineStr">
        <is>
          <t>Андрей Ренжин</t>
        </is>
      </c>
      <c r="D114" s="3" t="n">
        <v>67000</v>
      </c>
      <c r="E114" s="4" t="n">
        <v>0</v>
      </c>
      <c r="F114" t="inlineStr">
        <is>
          <t>Прямые бронирования (стойка) [Чайковский]</t>
        </is>
      </c>
      <c r="G114" s="3">
        <f>ROUND(D114/(100-E114)*100,2)</f>
        <v/>
      </c>
      <c r="H114" s="3" t="n">
        <v>1300</v>
      </c>
      <c r="I114" s="3">
        <f>ROUND(IF(ISNUMBER(AG114),AG114,G114)+H114,2)</f>
        <v/>
      </c>
      <c r="J114" s="2" t="inlineStr">
        <is>
          <t>продление номера — 800,00 ₽; продление номера — 500,00 ₽; Завтрак "Шведский стол"</t>
        </is>
      </c>
      <c r="K114" s="5" t="n">
        <v>46273.58333333334</v>
      </c>
      <c r="L114" t="n">
        <v>5</v>
      </c>
      <c r="M114" s="3">
        <f>I114/L114</f>
        <v/>
      </c>
      <c r="N114">
        <f>IF(M114&gt;=5100,"ставка","мин.ставка")</f>
        <v/>
      </c>
      <c r="O114" s="3">
        <f>ROUND(IF(N114="мин.ставка",L114*100,I114/102*2),2)</f>
        <v/>
      </c>
      <c r="P114" s="5" t="n">
        <v>46278.5</v>
      </c>
      <c r="Q114" t="inlineStr">
        <is>
          <t>TravelLine ресепшен</t>
        </is>
      </c>
      <c r="R114" s="2" t="inlineStr">
        <is>
          <t>УЛУЧШЕННЫЙ ДВУХМЕСТНЫЙ НОМЕР</t>
        </is>
      </c>
      <c r="S114" t="n">
        <v>21</v>
      </c>
      <c r="T114" t="n">
        <v>1</v>
      </c>
      <c r="U114" t="inlineStr"/>
      <c r="V114" t="inlineStr">
        <is>
          <t>Тариф с завтраком</t>
        </is>
      </c>
      <c r="W114" t="n">
        <v>68300</v>
      </c>
      <c r="X114" s="3" t="n">
        <v>0</v>
      </c>
      <c r="Y114" t="inlineStr"/>
      <c r="Z114" t="inlineStr"/>
      <c r="AA114" s="3" t="n">
        <v>67000</v>
      </c>
      <c r="AB114" t="inlineStr">
        <is>
          <t>Сошлось с услугами</t>
        </is>
      </c>
      <c r="AC114" s="2" t="inlineStr"/>
      <c r="AD114" t="n">
        <v>0</v>
      </c>
      <c r="AE114" t="n">
        <v>0</v>
      </c>
      <c r="AF114" t="inlineStr">
        <is>
          <t>Скидки нет</t>
        </is>
      </c>
      <c r="AG114" t="n">
        <v>67000</v>
      </c>
      <c r="AH114" t="n">
        <v>67000</v>
      </c>
      <c r="AI114" t="inlineStr">
        <is>
          <t>Полное проживание в выбранном периоде</t>
        </is>
      </c>
    </row>
    <row r="115">
      <c r="A115" t="inlineStr">
        <is>
          <t>20260829-8186-457112567</t>
        </is>
      </c>
      <c r="B115" t="n">
        <v>1</v>
      </c>
      <c r="C115" s="2" t="inlineStr">
        <is>
          <t>Андрей Садовский, Софья Садовская</t>
        </is>
      </c>
      <c r="D115" s="3" t="n">
        <v>22161</v>
      </c>
      <c r="E115" s="4" t="n">
        <v>18</v>
      </c>
      <c r="F115" t="inlineStr">
        <is>
          <t>Яндекс.Путешествия [Чайковский]</t>
        </is>
      </c>
      <c r="G115" s="3">
        <f>ROUND(D115/(100-E115)*100,2)</f>
        <v/>
      </c>
      <c r="H115" s="3" t="n">
        <v>0</v>
      </c>
      <c r="I115" s="3">
        <f>ROUND(IF(ISNUMBER(AG115),AG115,G115)+H115,2)</f>
        <v/>
      </c>
      <c r="J115" s="2" t="inlineStr">
        <is>
          <t>Завтрак "Шведский стол"</t>
        </is>
      </c>
      <c r="K115" s="5" t="n">
        <v>46263.58333333334</v>
      </c>
      <c r="L115" t="n">
        <v>2</v>
      </c>
      <c r="M115" s="3">
        <f>I115/L115</f>
        <v/>
      </c>
      <c r="N115">
        <f>IF(M115&gt;=5100,"ставка","мин.ставка")</f>
        <v/>
      </c>
      <c r="O115" s="3">
        <f>ROUND(IF(N115="мин.ставка",L115*100,I115/102*2),2)</f>
        <v/>
      </c>
      <c r="P115" s="5" t="n">
        <v>46265.5</v>
      </c>
      <c r="Q115" t="inlineStr">
        <is>
          <t>TravelLine YAX</t>
        </is>
      </c>
      <c r="R115" s="2" t="inlineStr">
        <is>
          <t>СТАНДАРТНЫЙ ДВУХМЕСТНЫЙ НОМЕР</t>
        </is>
      </c>
      <c r="S115" t="n">
        <v>23</v>
      </c>
      <c r="T115" t="n">
        <v>1</v>
      </c>
      <c r="U115" t="inlineStr"/>
      <c r="V115" t="inlineStr">
        <is>
          <t>Тариф с завтраком</t>
        </is>
      </c>
      <c r="W115" t="n">
        <v>22161</v>
      </c>
      <c r="X115" s="3" t="n">
        <v>4539</v>
      </c>
      <c r="Y115" t="inlineStr">
        <is>
          <t>17%</t>
        </is>
      </c>
      <c r="Z115" t="inlineStr">
        <is>
          <t>2026-08-29, 2026-08-30</t>
        </is>
      </c>
      <c r="AA115" s="3" t="n">
        <v>22161</v>
      </c>
      <c r="AB115" t="inlineStr">
        <is>
          <t>Сошлось по ночным тарифам</t>
        </is>
      </c>
      <c r="AC115" s="2" t="inlineStr"/>
      <c r="AD115" t="n">
        <v>4539</v>
      </c>
      <c r="AE115" t="n">
        <v>0</v>
      </c>
      <c r="AF115" t="inlineStr">
        <is>
          <t>Скидка добавлена к налоговой базе</t>
        </is>
      </c>
      <c r="AG115" t="n">
        <v>26700</v>
      </c>
      <c r="AH115" t="n">
        <v>22161</v>
      </c>
      <c r="AI115" t="inlineStr">
        <is>
          <t>Полное проживание в выбранном периоде</t>
        </is>
      </c>
    </row>
    <row r="116">
      <c r="A116" t="inlineStr">
        <is>
          <t>20260811-8186-423592923</t>
        </is>
      </c>
      <c r="B116" t="n">
        <v>1</v>
      </c>
      <c r="C116" s="2" t="inlineStr">
        <is>
          <t>Андрей Соловьев, Ирина Соловьева</t>
        </is>
      </c>
      <c r="D116" s="3" t="n">
        <v>28182</v>
      </c>
      <c r="E116" s="4" t="n">
        <v>17</v>
      </c>
      <c r="F116" t="inlineStr">
        <is>
          <t>ООО "ОНЛАЙН ИННОВАЦИИ" (101 Отель) [Чайковский]</t>
        </is>
      </c>
      <c r="G116" s="3">
        <f>ROUND(D116/(100-E116)*100,2)</f>
        <v/>
      </c>
      <c r="H116" s="3" t="n">
        <v>0</v>
      </c>
      <c r="I116" s="3">
        <f>ROUND(IF(ISNUMBER(AG116),AG116,G116)+H116,2)</f>
        <v/>
      </c>
      <c r="J116" s="2" t="inlineStr">
        <is>
          <t>Завтрак "Шведский стол"</t>
        </is>
      </c>
      <c r="K116" s="5" t="n">
        <v>46245.58333333334</v>
      </c>
      <c r="L116" t="n">
        <v>2</v>
      </c>
      <c r="M116" s="3">
        <f>I116/L116</f>
        <v/>
      </c>
      <c r="N116">
        <f>IF(M116&gt;=5100,"ставка","мин.ставка")</f>
        <v/>
      </c>
      <c r="O116" s="3">
        <f>ROUND(IF(N116="мин.ставка",L116*100,I116/102*2),2)</f>
        <v/>
      </c>
      <c r="P116" s="5" t="n">
        <v>46247.5</v>
      </c>
      <c r="Q116" t="inlineStr">
        <is>
          <t>TravelLine H1C</t>
        </is>
      </c>
      <c r="R116" s="2" t="inlineStr">
        <is>
          <t>УЛУЧШЕННЫЙ ДВУХМЕСТНЫЙ НОМЕР</t>
        </is>
      </c>
      <c r="S116" t="n">
        <v>31</v>
      </c>
      <c r="T116" t="n">
        <v>1</v>
      </c>
      <c r="U116" t="inlineStr"/>
      <c r="V116" t="inlineStr">
        <is>
          <t>Тариф с завтраком</t>
        </is>
      </c>
      <c r="W116" t="n">
        <v>28182</v>
      </c>
      <c r="X116" s="3" t="n">
        <v>2618</v>
      </c>
      <c r="Y116" t="inlineStr">
        <is>
          <t>17%</t>
        </is>
      </c>
      <c r="Z116" t="inlineStr">
        <is>
          <t>2026-08-11</t>
        </is>
      </c>
      <c r="AA116" s="3" t="n">
        <v>28182</v>
      </c>
      <c r="AB116" t="inlineStr">
        <is>
          <t>Сошлось по ночным тарифам</t>
        </is>
      </c>
      <c r="AC116" s="2" t="inlineStr"/>
      <c r="AD116" t="n">
        <v>2618</v>
      </c>
      <c r="AE116" t="n">
        <v>0</v>
      </c>
      <c r="AF116" t="inlineStr">
        <is>
          <t>Скидка добавлена к налоговой базе</t>
        </is>
      </c>
      <c r="AG116" t="n">
        <v>30800</v>
      </c>
      <c r="AH116" t="n">
        <v>28182</v>
      </c>
      <c r="AI116" t="inlineStr">
        <is>
          <t>Полное проживание в выбранном периоде</t>
        </is>
      </c>
    </row>
    <row r="117">
      <c r="A117" t="inlineStr">
        <is>
          <t>20260629-8186-439481906</t>
        </is>
      </c>
      <c r="B117" t="n">
        <v>1</v>
      </c>
      <c r="C117" s="2" t="inlineStr">
        <is>
          <t>АНДРЕЙ ЯКУБОВСКИЙ</t>
        </is>
      </c>
      <c r="D117" s="3" t="n">
        <v>48060</v>
      </c>
      <c r="E117" s="4" t="n">
        <v>0</v>
      </c>
      <c r="F117" t="inlineStr">
        <is>
          <t>Прямые бронирования (стойка) [Чайковский]</t>
        </is>
      </c>
      <c r="G117" s="3">
        <f>ROUND(D117/(100-E117)*100,2)</f>
        <v/>
      </c>
      <c r="H117" s="3" t="n">
        <v>0</v>
      </c>
      <c r="I117" s="3">
        <f>ROUND(IF(ISNUMBER(AG117),AG117,G117)+H117,2)</f>
        <v/>
      </c>
      <c r="J117" s="2" t="inlineStr"/>
      <c r="K117" s="5" t="n">
        <v>46202.58333333334</v>
      </c>
      <c r="L117" t="n">
        <v>2</v>
      </c>
      <c r="M117" s="3">
        <f>I117/L117</f>
        <v/>
      </c>
      <c r="N117">
        <f>IF(M117&gt;=5100,"ставка","мин.ставка")</f>
        <v/>
      </c>
      <c r="O117" s="3">
        <f>ROUND(IF(N117="мин.ставка",L117*100,I117/102*2),2)</f>
        <v/>
      </c>
      <c r="P117" s="5" t="n">
        <v>46206.5</v>
      </c>
      <c r="Q117" t="inlineStr">
        <is>
          <t>TravelLine ресепшен</t>
        </is>
      </c>
      <c r="R117" s="2" t="inlineStr">
        <is>
          <t>СТАНДАРТНЫЙ ДВУХМЕСТНЫЙ НОМЕР</t>
        </is>
      </c>
      <c r="S117" t="n">
        <v>44</v>
      </c>
      <c r="T117" t="n">
        <v>1</v>
      </c>
      <c r="U117" t="inlineStr"/>
      <c r="V117" t="inlineStr">
        <is>
          <t>Тариф с завтраком</t>
        </is>
      </c>
      <c r="W117" t="n">
        <v>48060</v>
      </c>
      <c r="X117" s="3" t="n">
        <v>5340</v>
      </c>
      <c r="Y117" t="inlineStr">
        <is>
          <t>10%</t>
        </is>
      </c>
      <c r="Z117" t="inlineStr">
        <is>
          <t>2026-06-29, 2026-06-30, 2026-07-01, 2026-07-02</t>
        </is>
      </c>
      <c r="AA117" s="3" t="n">
        <v>48060</v>
      </c>
      <c r="AB117" t="inlineStr">
        <is>
          <t>Сошлось по ночным тарифам</t>
        </is>
      </c>
      <c r="AC117" s="2" t="inlineStr"/>
      <c r="AD117" t="n">
        <v>2670</v>
      </c>
      <c r="AE117" t="n">
        <v>0</v>
      </c>
      <c r="AF117" t="inlineStr">
        <is>
          <t>Ночи скидки определены по dailyRates; в базу добавлена только часть выбранного периода</t>
        </is>
      </c>
      <c r="AG117" t="n">
        <v>26700</v>
      </c>
      <c r="AH117" t="n">
        <v>24030</v>
      </c>
      <c r="AI117" t="inlineStr">
        <is>
          <t>Частичное проживание распределено по dailyRates</t>
        </is>
      </c>
    </row>
    <row r="118">
      <c r="A118" t="inlineStr">
        <is>
          <t>20260906-8186-459280210</t>
        </is>
      </c>
      <c r="B118" t="n">
        <v>1</v>
      </c>
      <c r="C118" s="2" t="inlineStr">
        <is>
          <t>Анна Александровна Курносова</t>
        </is>
      </c>
      <c r="D118" s="3" t="n">
        <v>9080</v>
      </c>
      <c r="E118" s="4" t="n">
        <v>20</v>
      </c>
      <c r="F118" t="inlineStr">
        <is>
          <t>ООО "КОМПАНИЯ БРОНЕВИК" [Чайковский]</t>
        </is>
      </c>
      <c r="G118" s="3">
        <f>ROUND(D118/(100-E118)*100,2)</f>
        <v/>
      </c>
      <c r="H118" s="3" t="n">
        <v>0</v>
      </c>
      <c r="I118" s="3">
        <f>ROUND(IF(ISNUMBER(AG118),AG118,G118)+H118,2)</f>
        <v/>
      </c>
      <c r="J118" s="2" t="inlineStr">
        <is>
          <t>Завтрак "Шведский стол"</t>
        </is>
      </c>
      <c r="K118" s="5" t="n">
        <v>46271.58333333334</v>
      </c>
      <c r="L118" t="n">
        <v>1</v>
      </c>
      <c r="M118" s="3">
        <f>I118/L118</f>
        <v/>
      </c>
      <c r="N118">
        <f>IF(M118&gt;=5100,"ставка","мин.ставка")</f>
        <v/>
      </c>
      <c r="O118" s="3">
        <f>ROUND(IF(N118="мин.ставка",L118*100,I118/102*2),2)</f>
        <v/>
      </c>
      <c r="P118" s="5" t="n">
        <v>46272.5</v>
      </c>
      <c r="Q118" t="inlineStr">
        <is>
          <t>TravelLine BR2</t>
        </is>
      </c>
      <c r="R118" s="2" t="inlineStr">
        <is>
          <t>СТАНДАРТНЫЙ ДВУХМЕСТНЫЙ НОМЕР</t>
        </is>
      </c>
      <c r="S118" t="n">
        <v>26</v>
      </c>
      <c r="T118" t="n">
        <v>1</v>
      </c>
      <c r="U118" t="inlineStr"/>
      <c r="V118" t="inlineStr">
        <is>
          <t>Тариф с завтраком</t>
        </is>
      </c>
      <c r="W118" t="n">
        <v>9080</v>
      </c>
      <c r="X118" s="3" t="n">
        <v>0</v>
      </c>
      <c r="Y118" t="inlineStr"/>
      <c r="Z118" t="inlineStr"/>
      <c r="AA118" s="3" t="n">
        <v>9080</v>
      </c>
      <c r="AB118" t="inlineStr">
        <is>
          <t>Сошлось по ночным тарифам</t>
        </is>
      </c>
      <c r="AC118" s="2" t="inlineStr"/>
      <c r="AD118" t="n">
        <v>0</v>
      </c>
      <c r="AE118" t="n">
        <v>0</v>
      </c>
      <c r="AF118" t="inlineStr">
        <is>
          <t>Скидки нет</t>
        </is>
      </c>
      <c r="AG118" t="n">
        <v>9080</v>
      </c>
      <c r="AH118" t="n">
        <v>9080</v>
      </c>
      <c r="AI118" t="inlineStr">
        <is>
          <t>Полное проживание в выбранном периоде</t>
        </is>
      </c>
    </row>
    <row r="119">
      <c r="A119" t="inlineStr">
        <is>
          <t>20260817-8186-442297769</t>
        </is>
      </c>
      <c r="B119" t="n">
        <v>1</v>
      </c>
      <c r="C119" s="2" t="inlineStr">
        <is>
          <t>Анна Андреева</t>
        </is>
      </c>
      <c r="D119" s="3" t="n">
        <v>53399</v>
      </c>
      <c r="E119" s="4" t="n">
        <v>4</v>
      </c>
      <c r="F119" t="inlineStr">
        <is>
          <t>TravelLine Booking Engine [Чайковский]</t>
        </is>
      </c>
      <c r="G119" s="3">
        <f>ROUND(D119/(100-E119)*100,2)</f>
        <v/>
      </c>
      <c r="H119" s="3" t="n">
        <v>0</v>
      </c>
      <c r="I119" s="3">
        <f>ROUND(IF(ISNUMBER(AG119),AG119,G119)+H119,2)</f>
        <v/>
      </c>
      <c r="J119" s="2" t="inlineStr">
        <is>
          <t>Завтрак "Шведский стол"</t>
        </is>
      </c>
      <c r="K119" s="5" t="n">
        <v>46251.58333333334</v>
      </c>
      <c r="L119" t="n">
        <v>4</v>
      </c>
      <c r="M119" s="3">
        <f>I119/L119</f>
        <v/>
      </c>
      <c r="N119">
        <f>IF(M119&gt;=5100,"ставка","мин.ставка")</f>
        <v/>
      </c>
      <c r="O119" s="3">
        <f>ROUND(IF(N119="мин.ставка",L119*100,I119/102*2),2)</f>
        <v/>
      </c>
      <c r="P119" s="5" t="n">
        <v>46255.5</v>
      </c>
      <c r="Q119" t="inlineStr">
        <is>
          <t>TravelLine сайт</t>
        </is>
      </c>
      <c r="R119" s="2" t="inlineStr">
        <is>
          <t>УЛУЧШЕННЫЙ ДВУХМЕСТНЫЙ НОМЕР</t>
        </is>
      </c>
      <c r="S119" t="n">
        <v>31</v>
      </c>
      <c r="T119" t="n">
        <v>1</v>
      </c>
      <c r="U119" t="inlineStr"/>
      <c r="V119" t="inlineStr">
        <is>
          <t>Тариф с завтраком</t>
        </is>
      </c>
      <c r="W119" t="n">
        <v>98628.75</v>
      </c>
      <c r="X119" s="3" t="n">
        <v>201</v>
      </c>
      <c r="Y119" t="inlineStr">
        <is>
          <t>1.5%</t>
        </is>
      </c>
      <c r="Z119" t="inlineStr">
        <is>
          <t>2026-08-17</t>
        </is>
      </c>
      <c r="AA119" s="3" t="n">
        <v>53399</v>
      </c>
      <c r="AB119" t="inlineStr">
        <is>
          <t>Сошлось по ночным тарифам</t>
        </is>
      </c>
      <c r="AC119" s="2" t="inlineStr"/>
      <c r="AD119" t="n">
        <v>201</v>
      </c>
      <c r="AE119" t="n">
        <v>0</v>
      </c>
      <c r="AF119" t="inlineStr">
        <is>
          <t>Скидка добавлена к налоговой базе</t>
        </is>
      </c>
      <c r="AG119" t="n">
        <v>53600</v>
      </c>
      <c r="AH119" t="n">
        <v>53399</v>
      </c>
      <c r="AI119" t="inlineStr">
        <is>
          <t>Полное проживание в выбранном периоде</t>
        </is>
      </c>
    </row>
    <row r="120">
      <c r="A120" t="inlineStr">
        <is>
          <t>20260825-8186-440853437</t>
        </is>
      </c>
      <c r="B120" t="n">
        <v>1</v>
      </c>
      <c r="C120" s="2" t="inlineStr">
        <is>
          <t>Анна Бродская, Михаил Шенбергер</t>
        </is>
      </c>
      <c r="D120" s="3" t="n">
        <v>33660</v>
      </c>
      <c r="E120" s="4" t="n">
        <v>15</v>
      </c>
      <c r="F120" t="inlineStr">
        <is>
          <t>ООО Тинькофф Путешествия [Чайковский]</t>
        </is>
      </c>
      <c r="G120" s="3">
        <f>ROUND(D120/(100-E120)*100,2)</f>
        <v/>
      </c>
      <c r="H120" s="3" t="n">
        <v>0</v>
      </c>
      <c r="I120" s="3">
        <f>ROUND(IF(ISNUMBER(AG120),AG120,G120)+H120,2)</f>
        <v/>
      </c>
      <c r="J120" s="2" t="inlineStr">
        <is>
          <t>Завтрак "Шведский стол"</t>
        </is>
      </c>
      <c r="K120" s="5" t="n">
        <v>46259.58333333334</v>
      </c>
      <c r="L120" t="n">
        <v>4</v>
      </c>
      <c r="M120" s="3">
        <f>I120/L120</f>
        <v/>
      </c>
      <c r="N120">
        <f>IF(M120&gt;=5100,"ставка","мин.ставка")</f>
        <v/>
      </c>
      <c r="O120" s="3">
        <f>ROUND(IF(N120="мин.ставка",L120*100,I120/102*2),2)</f>
        <v/>
      </c>
      <c r="P120" s="5" t="n">
        <v>46263.5</v>
      </c>
      <c r="Q120" t="inlineStr">
        <is>
          <t>TravelLine TNK</t>
        </is>
      </c>
      <c r="R120" s="2" t="inlineStr">
        <is>
          <t>СТАНДАРТНЫЙ ДВУХМЕСТНЫЙ НОМЕР (МАНСАРДА)</t>
        </is>
      </c>
      <c r="S120" t="n">
        <v>47</v>
      </c>
      <c r="T120" t="n">
        <v>1</v>
      </c>
      <c r="U120" t="inlineStr"/>
      <c r="V120" t="inlineStr">
        <is>
          <t>Тариф с завтраком</t>
        </is>
      </c>
      <c r="W120" t="n">
        <v>33660</v>
      </c>
      <c r="X120" s="3" t="n">
        <v>5940</v>
      </c>
      <c r="Y120" t="inlineStr">
        <is>
          <t>15%</t>
        </is>
      </c>
      <c r="Z120" t="inlineStr">
        <is>
          <t>2026-08-25, 2026-08-26, 2026-08-27, 2026-08-28</t>
        </is>
      </c>
      <c r="AA120" s="3" t="n">
        <v>33660</v>
      </c>
      <c r="AB120" t="inlineStr">
        <is>
          <t>Сошлось по ночным тарифам</t>
        </is>
      </c>
      <c r="AC120" s="2" t="inlineStr"/>
      <c r="AD120" t="n">
        <v>5940</v>
      </c>
      <c r="AE120" t="n">
        <v>0</v>
      </c>
      <c r="AF120" t="inlineStr">
        <is>
          <t>Скидка добавлена к налоговой базе</t>
        </is>
      </c>
      <c r="AG120" t="n">
        <v>39600</v>
      </c>
      <c r="AH120" t="n">
        <v>33660</v>
      </c>
      <c r="AI120" t="inlineStr">
        <is>
          <t>Полное проживание в выбранном периоде</t>
        </is>
      </c>
    </row>
    <row r="121">
      <c r="A121" t="inlineStr">
        <is>
          <t>20260926-8186-463824819</t>
        </is>
      </c>
      <c r="B121" t="n">
        <v>1</v>
      </c>
      <c r="C121" s="2" t="inlineStr">
        <is>
          <t>АННА БЫКОВА, ТАТЬЯНА НИКИФОРОВА</t>
        </is>
      </c>
      <c r="D121" s="3" t="n">
        <v>34042.5</v>
      </c>
      <c r="E121" s="4" t="n">
        <v>15</v>
      </c>
      <c r="F121" t="inlineStr">
        <is>
          <t>ООО "Библио-Глобус Туроператор" [Чайковский]</t>
        </is>
      </c>
      <c r="G121" s="3">
        <f>ROUND(D121/(100-E121)*100,2)</f>
        <v/>
      </c>
      <c r="H121" s="3" t="n">
        <v>0</v>
      </c>
      <c r="I121" s="3">
        <f>ROUND(IF(ISNUMBER(AG121),AG121,G121)+H121,2)</f>
        <v/>
      </c>
      <c r="J121" s="2" t="inlineStr">
        <is>
          <t>Завтрак "Шведский стол"</t>
        </is>
      </c>
      <c r="K121" s="5" t="n">
        <v>46291.58333333334</v>
      </c>
      <c r="L121" t="n">
        <v>3</v>
      </c>
      <c r="M121" s="3">
        <f>I121/L121</f>
        <v/>
      </c>
      <c r="N121">
        <f>IF(M121&gt;=5100,"ставка","мин.ставка")</f>
        <v/>
      </c>
      <c r="O121" s="3">
        <f>ROUND(IF(N121="мин.ставка",L121*100,I121/102*2),2)</f>
        <v/>
      </c>
      <c r="P121" s="5" t="n">
        <v>46294.5</v>
      </c>
      <c r="Q121" t="inlineStr">
        <is>
          <t>TravelLine BGL</t>
        </is>
      </c>
      <c r="R121" s="2" t="inlineStr">
        <is>
          <t>СТАНДАРТНЫЙ ДВУХМЕСТНЫЙ НОМЕР</t>
        </is>
      </c>
      <c r="S121" t="n">
        <v>42</v>
      </c>
      <c r="T121" t="n">
        <v>1</v>
      </c>
      <c r="U121" t="inlineStr"/>
      <c r="V121" t="inlineStr">
        <is>
          <t>Тариф с завтраком</t>
        </is>
      </c>
      <c r="W121" t="n">
        <v>34042.5</v>
      </c>
      <c r="X121" s="3" t="n">
        <v>0</v>
      </c>
      <c r="Y121" t="inlineStr"/>
      <c r="Z121" t="inlineStr"/>
      <c r="AA121" s="3" t="n">
        <v>34042.5</v>
      </c>
      <c r="AB121" t="inlineStr">
        <is>
          <t>Сошлось по ночным тарифам</t>
        </is>
      </c>
      <c r="AC121" s="2" t="inlineStr"/>
      <c r="AD121" t="n">
        <v>0</v>
      </c>
      <c r="AE121" t="n">
        <v>0</v>
      </c>
      <c r="AF121" t="inlineStr">
        <is>
          <t>Скидки нет</t>
        </is>
      </c>
      <c r="AG121" t="n">
        <v>34042.5</v>
      </c>
      <c r="AH121" t="n">
        <v>34042.5</v>
      </c>
      <c r="AI121" t="inlineStr">
        <is>
          <t>Полное проживание в выбранном периоде</t>
        </is>
      </c>
    </row>
    <row r="122">
      <c r="A122" t="inlineStr">
        <is>
          <t>20260811-8186-417991278</t>
        </is>
      </c>
      <c r="B122" t="n">
        <v>1</v>
      </c>
      <c r="C122" s="2" t="inlineStr">
        <is>
          <t>Анна ГУБАРЕВА</t>
        </is>
      </c>
      <c r="D122" s="3" t="n">
        <v>108960</v>
      </c>
      <c r="E122" s="4" t="n">
        <v>0</v>
      </c>
      <c r="F122" t="inlineStr">
        <is>
          <t>Прямые бронирования (стойка) [Чайковский]</t>
        </is>
      </c>
      <c r="G122" s="3">
        <f>ROUND(D122/(100-E122)*100,2)</f>
        <v/>
      </c>
      <c r="H122" s="3" t="n">
        <v>0</v>
      </c>
      <c r="I122" s="3">
        <f>ROUND(IF(ISNUMBER(AG122),AG122,G122)+H122,2)</f>
        <v/>
      </c>
      <c r="J122" s="2" t="inlineStr">
        <is>
          <t>Завтрак "Шведский стол"</t>
        </is>
      </c>
      <c r="K122" s="5" t="n">
        <v>46245.58333333334</v>
      </c>
      <c r="L122" t="n">
        <v>12</v>
      </c>
      <c r="M122" s="3">
        <f>I122/L122</f>
        <v/>
      </c>
      <c r="N122">
        <f>IF(M122&gt;=5100,"ставка","мин.ставка")</f>
        <v/>
      </c>
      <c r="O122" s="3">
        <f>ROUND(IF(N122="мин.ставка",L122*100,I122/102*2),2)</f>
        <v/>
      </c>
      <c r="P122" s="5" t="n">
        <v>46257.5</v>
      </c>
      <c r="Q122" t="inlineStr">
        <is>
          <t>TravelLine ресепшен</t>
        </is>
      </c>
      <c r="R122" s="2" t="inlineStr">
        <is>
          <t>СТАНДАРТНЫЙ ДВУХМЕСТНЫЙ НОМЕР</t>
        </is>
      </c>
      <c r="S122" t="n">
        <v>22</v>
      </c>
      <c r="T122" t="n">
        <v>1</v>
      </c>
      <c r="U122" t="inlineStr"/>
      <c r="V122" t="inlineStr">
        <is>
          <t>Тариф с завтраком</t>
        </is>
      </c>
      <c r="W122" t="n">
        <v>108960</v>
      </c>
      <c r="X122" s="3" t="n">
        <v>27240</v>
      </c>
      <c r="Y122" t="inlineStr">
        <is>
          <t>20%</t>
        </is>
      </c>
      <c r="Z122" t="inlineStr">
        <is>
          <t>2026-08-11, 2026-08-12, 2026-08-13, 2026-08-14, 2026-08-15, 2026-08-16, 2026-08-17, 2026-08-18, 2026-08-19, 2026-08-20, 2026-08-21, 2026-08-22</t>
        </is>
      </c>
      <c r="AA122" s="3" t="n">
        <v>108960</v>
      </c>
      <c r="AB122" t="inlineStr">
        <is>
          <t>Сошлось по ночным тарифам</t>
        </is>
      </c>
      <c r="AC122" s="2" t="inlineStr"/>
      <c r="AD122" t="n">
        <v>27240</v>
      </c>
      <c r="AE122" t="n">
        <v>0</v>
      </c>
      <c r="AF122" t="inlineStr">
        <is>
          <t>Скидка добавлена к налоговой базе</t>
        </is>
      </c>
      <c r="AG122" t="n">
        <v>136200</v>
      </c>
      <c r="AH122" t="n">
        <v>108960</v>
      </c>
      <c r="AI122" t="inlineStr">
        <is>
          <t>Полное проживание в выбранном периоде</t>
        </is>
      </c>
    </row>
    <row r="123">
      <c r="A123" t="inlineStr">
        <is>
          <t>20260814-8186-418482615</t>
        </is>
      </c>
      <c r="B123" t="n">
        <v>1</v>
      </c>
      <c r="C123" s="2" t="inlineStr">
        <is>
          <t>Анна Данченко, Гульнара Мяльдзина</t>
        </is>
      </c>
      <c r="D123" s="3" t="n">
        <v>24640</v>
      </c>
      <c r="E123" s="4" t="n">
        <v>18</v>
      </c>
      <c r="F123" t="inlineStr">
        <is>
          <t>Яндекс.Путешествия [Чайковский]</t>
        </is>
      </c>
      <c r="G123" s="3">
        <f>ROUND(D123/(100-E123)*100,2)</f>
        <v/>
      </c>
      <c r="H123" s="3" t="n">
        <v>0</v>
      </c>
      <c r="I123" s="3">
        <f>ROUND(IF(ISNUMBER(AG123),AG123,G123)+H123,2)</f>
        <v/>
      </c>
      <c r="J123" s="2" t="inlineStr">
        <is>
          <t>Завтрак "Шведский стол"</t>
        </is>
      </c>
      <c r="K123" s="5" t="n">
        <v>46248.58333333334</v>
      </c>
      <c r="L123" t="n">
        <v>2</v>
      </c>
      <c r="M123" s="3">
        <f>I123/L123</f>
        <v/>
      </c>
      <c r="N123">
        <f>IF(M123&gt;=5100,"ставка","мин.ставка")</f>
        <v/>
      </c>
      <c r="O123" s="3">
        <f>ROUND(IF(N123="мин.ставка",L123*100,I123/102*2),2)</f>
        <v/>
      </c>
      <c r="P123" s="5" t="n">
        <v>46250.5</v>
      </c>
      <c r="Q123" t="inlineStr">
        <is>
          <t>TravelLine YAX</t>
        </is>
      </c>
      <c r="R123" s="2" t="inlineStr">
        <is>
          <t>УЛУЧШЕННЫЙ ДВУХМЕСТНЫЙ НОМЕР</t>
        </is>
      </c>
      <c r="S123" t="n">
        <v>21</v>
      </c>
      <c r="T123" t="n">
        <v>1</v>
      </c>
      <c r="U123" t="inlineStr"/>
      <c r="V123" t="inlineStr">
        <is>
          <t>Тариф с завтраком</t>
        </is>
      </c>
      <c r="W123" t="n">
        <v>24640</v>
      </c>
      <c r="X123" s="3" t="n">
        <v>6160</v>
      </c>
      <c r="Y123" t="inlineStr">
        <is>
          <t>20%</t>
        </is>
      </c>
      <c r="Z123" t="inlineStr">
        <is>
          <t>2026-08-14, 2026-08-15</t>
        </is>
      </c>
      <c r="AA123" s="3" t="n">
        <v>24640</v>
      </c>
      <c r="AB123" t="inlineStr">
        <is>
          <t>Сошлось по ночным тарифам</t>
        </is>
      </c>
      <c r="AC123" s="2" t="inlineStr"/>
      <c r="AD123" t="n">
        <v>6160</v>
      </c>
      <c r="AE123" t="n">
        <v>0</v>
      </c>
      <c r="AF123" t="inlineStr">
        <is>
          <t>Скидка добавлена к налоговой базе</t>
        </is>
      </c>
      <c r="AG123" t="n">
        <v>30800</v>
      </c>
      <c r="AH123" t="n">
        <v>24640</v>
      </c>
      <c r="AI123" t="inlineStr">
        <is>
          <t>Полное проживание в выбранном периоде</t>
        </is>
      </c>
    </row>
    <row r="124">
      <c r="A124" t="inlineStr">
        <is>
          <t>20260820-8186-455185910</t>
        </is>
      </c>
      <c r="B124" t="n">
        <v>1</v>
      </c>
      <c r="C124" s="2" t="inlineStr">
        <is>
          <t>Анна Дмитриева</t>
        </is>
      </c>
      <c r="D124" s="3" t="n">
        <v>6320</v>
      </c>
      <c r="E124" s="4" t="n">
        <v>20</v>
      </c>
      <c r="F124" t="inlineStr">
        <is>
          <t>ООО «Дубль Гис» (OTELLO) [Чайковский]</t>
        </is>
      </c>
      <c r="G124" s="3">
        <f>ROUND(D124/(100-E124)*100,2)</f>
        <v/>
      </c>
      <c r="H124" s="3" t="n">
        <v>0</v>
      </c>
      <c r="I124" s="3">
        <f>ROUND(IF(ISNUMBER(AG124),AG124,G124)+H124,2)</f>
        <v/>
      </c>
      <c r="J124" s="2" t="inlineStr">
        <is>
          <t>Завтрак "Шведский стол"</t>
        </is>
      </c>
      <c r="K124" s="5" t="n">
        <v>46254.58333333334</v>
      </c>
      <c r="L124" t="n">
        <v>1</v>
      </c>
      <c r="M124" s="3">
        <f>I124/L124</f>
        <v/>
      </c>
      <c r="N124">
        <f>IF(M124&gt;=5100,"ставка","мин.ставка")</f>
        <v/>
      </c>
      <c r="O124" s="3">
        <f>ROUND(IF(N124="мин.ставка",L124*100,I124/102*2),2)</f>
        <v/>
      </c>
      <c r="P124" s="5" t="n">
        <v>46255.5</v>
      </c>
      <c r="Q124" t="inlineStr">
        <is>
          <t>TravelLine OL2</t>
        </is>
      </c>
      <c r="R124" s="2" t="inlineStr">
        <is>
          <t>СТАНДАРТНЫЙ ДВУХМЕСТНЫЙ НОМЕР (МАНСАРДА)</t>
        </is>
      </c>
      <c r="S124" t="n">
        <v>41</v>
      </c>
      <c r="T124" t="n">
        <v>1</v>
      </c>
      <c r="U124" t="inlineStr"/>
      <c r="V124" t="inlineStr">
        <is>
          <t>Тариф с завтраком</t>
        </is>
      </c>
      <c r="W124" t="n">
        <v>6320</v>
      </c>
      <c r="X124" s="3" t="n">
        <v>1580</v>
      </c>
      <c r="Y124" t="inlineStr">
        <is>
          <t>20%</t>
        </is>
      </c>
      <c r="Z124" t="inlineStr">
        <is>
          <t>2026-08-20</t>
        </is>
      </c>
      <c r="AA124" s="3" t="n">
        <v>6320</v>
      </c>
      <c r="AB124" t="inlineStr">
        <is>
          <t>Сошлось по ночным тарифам</t>
        </is>
      </c>
      <c r="AC124" s="2" t="inlineStr"/>
      <c r="AD124" t="n">
        <v>1580</v>
      </c>
      <c r="AE124" t="n">
        <v>0</v>
      </c>
      <c r="AF124" t="inlineStr">
        <is>
          <t>Скидка добавлена к налоговой базе</t>
        </is>
      </c>
      <c r="AG124" t="n">
        <v>7900</v>
      </c>
      <c r="AH124" t="n">
        <v>6320</v>
      </c>
      <c r="AI124" t="inlineStr">
        <is>
          <t>Полное проживание в выбранном периоде</t>
        </is>
      </c>
    </row>
    <row r="125">
      <c r="A125" t="inlineStr">
        <is>
          <t>20260729-8186-446530199</t>
        </is>
      </c>
      <c r="B125" t="n">
        <v>1</v>
      </c>
      <c r="C125" s="2" t="inlineStr">
        <is>
          <t>АННА ЖУКОВА, Мария Жукова</t>
        </is>
      </c>
      <c r="D125" s="3" t="n">
        <v>12015</v>
      </c>
      <c r="E125" s="4" t="n">
        <v>0</v>
      </c>
      <c r="F125" t="inlineStr">
        <is>
          <t>Прямые бронирования (стойка) [Чайковский]</t>
        </is>
      </c>
      <c r="G125" s="3">
        <f>ROUND(D125/(100-E125)*100,2)</f>
        <v/>
      </c>
      <c r="H125" s="3" t="n">
        <v>0</v>
      </c>
      <c r="I125" s="3">
        <f>ROUND(IF(ISNUMBER(AG125),AG125,G125)+H125,2)</f>
        <v/>
      </c>
      <c r="J125" s="2" t="inlineStr">
        <is>
          <t>Завтрак "Шведский стол"</t>
        </is>
      </c>
      <c r="K125" s="5" t="n">
        <v>46232.58333333334</v>
      </c>
      <c r="L125" t="n">
        <v>1</v>
      </c>
      <c r="M125" s="3">
        <f>I125/L125</f>
        <v/>
      </c>
      <c r="N125">
        <f>IF(M125&gt;=5100,"ставка","мин.ставка")</f>
        <v/>
      </c>
      <c r="O125" s="3">
        <f>ROUND(IF(N125="мин.ставка",L125*100,I125/102*2),2)</f>
        <v/>
      </c>
      <c r="P125" s="5" t="n">
        <v>46233.5</v>
      </c>
      <c r="Q125" t="inlineStr">
        <is>
          <t>TravelLine ресепшен</t>
        </is>
      </c>
      <c r="R125" s="2" t="inlineStr">
        <is>
          <t>СТАНДАРТНЫЙ ДВУХМЕСТНЫЙ НОМЕР</t>
        </is>
      </c>
      <c r="S125" t="n">
        <v>22</v>
      </c>
      <c r="T125" t="n">
        <v>1</v>
      </c>
      <c r="U125" t="inlineStr"/>
      <c r="V125" t="inlineStr">
        <is>
          <t>Тариф с завтраком</t>
        </is>
      </c>
      <c r="W125" t="n">
        <v>12015</v>
      </c>
      <c r="X125" s="3" t="n">
        <v>1335</v>
      </c>
      <c r="Y125" t="inlineStr">
        <is>
          <t>10%</t>
        </is>
      </c>
      <c r="Z125" t="inlineStr">
        <is>
          <t>2026-07-29</t>
        </is>
      </c>
      <c r="AA125" s="3" t="n">
        <v>12015</v>
      </c>
      <c r="AB125" t="inlineStr">
        <is>
          <t>Сошлось по ночным тарифам</t>
        </is>
      </c>
      <c r="AC125" s="2" t="inlineStr"/>
      <c r="AD125" t="n">
        <v>1335</v>
      </c>
      <c r="AE125" t="n">
        <v>0</v>
      </c>
      <c r="AF125" t="inlineStr">
        <is>
          <t>Скидка добавлена к налоговой базе</t>
        </is>
      </c>
      <c r="AG125" t="n">
        <v>13350</v>
      </c>
      <c r="AH125" t="n">
        <v>12015</v>
      </c>
      <c r="AI125" t="inlineStr">
        <is>
          <t>Полное проживание в выбранном периоде</t>
        </is>
      </c>
    </row>
    <row r="126">
      <c r="A126" t="inlineStr">
        <is>
          <t>20260713-8186-440314213</t>
        </is>
      </c>
      <c r="B126" t="n">
        <v>1</v>
      </c>
      <c r="C126" s="2" t="inlineStr">
        <is>
          <t>АННА ЗАВИДОВА, ЗОЯ ЗАВИДОВА</t>
        </is>
      </c>
      <c r="D126" s="3" t="n">
        <v>68085</v>
      </c>
      <c r="E126" s="4" t="n">
        <v>0</v>
      </c>
      <c r="F126" t="inlineStr">
        <is>
          <t>ООО "АЛЕАН ОТДЫХ" [Чайковский]</t>
        </is>
      </c>
      <c r="G126" s="3">
        <f>ROUND(D126/(100-E126)*100,2)</f>
        <v/>
      </c>
      <c r="H126" s="3" t="n">
        <v>0</v>
      </c>
      <c r="I126" s="3">
        <f>ROUND(IF(ISNUMBER(AG126),AG126,G126)+H126,2)</f>
        <v/>
      </c>
      <c r="J126" s="2" t="inlineStr">
        <is>
          <t>meal_bf_buffet_1; meal_bf_buffet_1; Завтрак "Шведский стол"</t>
        </is>
      </c>
      <c r="K126" s="5" t="n">
        <v>46216.58333333334</v>
      </c>
      <c r="L126" t="n">
        <v>6</v>
      </c>
      <c r="M126" s="3">
        <f>I126/L126</f>
        <v/>
      </c>
      <c r="N126">
        <f>IF(M126&gt;=5100,"ставка","мин.ставка")</f>
        <v/>
      </c>
      <c r="O126" s="3">
        <f>ROUND(IF(N126="мин.ставка",L126*100,I126/102*2),2)</f>
        <v/>
      </c>
      <c r="P126" s="5" t="n">
        <v>46222.5</v>
      </c>
      <c r="Q126" t="inlineStr">
        <is>
          <t>TravelLine ALN</t>
        </is>
      </c>
      <c r="R126" s="2" t="inlineStr">
        <is>
          <t>СТАНДАРТНЫЙ ДВУХМЕСТНЫЙ НОМЕР</t>
        </is>
      </c>
      <c r="S126" t="n">
        <v>44</v>
      </c>
      <c r="T126" t="n">
        <v>1</v>
      </c>
      <c r="U126" t="inlineStr"/>
      <c r="V126" t="inlineStr">
        <is>
          <t>Тариф с завтраком</t>
        </is>
      </c>
      <c r="W126" t="n">
        <v>68085</v>
      </c>
      <c r="X126" s="3" t="n">
        <v>12015</v>
      </c>
      <c r="Y126" t="inlineStr">
        <is>
          <t>15%</t>
        </is>
      </c>
      <c r="Z126" t="inlineStr">
        <is>
          <t>2026-07-13, 2026-07-14, 2026-07-15, 2026-07-16, 2026-07-17, 2026-07-18</t>
        </is>
      </c>
      <c r="AA126" s="3" t="n">
        <v>68085</v>
      </c>
      <c r="AB126" t="inlineStr">
        <is>
          <t>Сошлось по ночным тарифам</t>
        </is>
      </c>
      <c r="AC126" s="2" t="inlineStr"/>
      <c r="AD126" t="n">
        <v>12015</v>
      </c>
      <c r="AE126" t="n">
        <v>0</v>
      </c>
      <c r="AF126" t="inlineStr">
        <is>
          <t>Скидка добавлена к налоговой базе</t>
        </is>
      </c>
      <c r="AG126" t="n">
        <v>80100</v>
      </c>
      <c r="AH126" t="n">
        <v>68085</v>
      </c>
      <c r="AI126" t="inlineStr">
        <is>
          <t>Полное проживание в выбранном периоде</t>
        </is>
      </c>
    </row>
    <row r="127">
      <c r="A127" t="inlineStr">
        <is>
          <t>20260824-8186-427406859</t>
        </is>
      </c>
      <c r="B127" t="n">
        <v>1</v>
      </c>
      <c r="C127" s="2" t="inlineStr">
        <is>
          <t>Анна Киташина, Ксения Киташина</t>
        </is>
      </c>
      <c r="D127" s="3" t="n">
        <v>59661.15</v>
      </c>
      <c r="E127" s="4" t="n">
        <v>4</v>
      </c>
      <c r="F127" t="inlineStr">
        <is>
          <t>TravelLine Booking Engine [Чайковский]</t>
        </is>
      </c>
      <c r="G127" s="3">
        <f>ROUND(D127/(100-E127)*100,2)</f>
        <v/>
      </c>
      <c r="H127" s="3" t="n">
        <v>0</v>
      </c>
      <c r="I127" s="3">
        <f>ROUND(IF(ISNUMBER(AG127),AG127,G127)+H127,2)</f>
        <v/>
      </c>
      <c r="J127" s="2" t="inlineStr">
        <is>
          <t>Завтрак "Шведский стол"</t>
        </is>
      </c>
      <c r="K127" s="5" t="n">
        <v>46258.58333333334</v>
      </c>
      <c r="L127" t="n">
        <v>4</v>
      </c>
      <c r="M127" s="3">
        <f>I127/L127</f>
        <v/>
      </c>
      <c r="N127">
        <f>IF(M127&gt;=5100,"ставка","мин.ставка")</f>
        <v/>
      </c>
      <c r="O127" s="3">
        <f>ROUND(IF(N127="мин.ставка",L127*100,I127/102*2),2)</f>
        <v/>
      </c>
      <c r="P127" s="5" t="n">
        <v>46262.79166666666</v>
      </c>
      <c r="Q127" t="inlineStr">
        <is>
          <t>TravelLine сайт</t>
        </is>
      </c>
      <c r="R127" s="2" t="inlineStr">
        <is>
          <t>СТАНДАРТНЫЙ ДВУХМЕСТНЫЙ НОМЕР</t>
        </is>
      </c>
      <c r="S127" t="n">
        <v>46</v>
      </c>
      <c r="T127" t="n">
        <v>1</v>
      </c>
      <c r="U127" t="inlineStr"/>
      <c r="V127" t="inlineStr">
        <is>
          <t>Тариф с завтраком</t>
        </is>
      </c>
      <c r="W127" t="n">
        <v>72597.3</v>
      </c>
      <c r="X127" s="3" t="n">
        <v>413.85</v>
      </c>
      <c r="Y127" t="inlineStr">
        <is>
          <t>3.1%</t>
        </is>
      </c>
      <c r="Z127" t="inlineStr">
        <is>
          <t>2026-08-24</t>
        </is>
      </c>
      <c r="AA127" s="3" t="n">
        <v>52986.15</v>
      </c>
      <c r="AB127" t="inlineStr">
        <is>
          <t>Расхождение -6675.00 ₽</t>
        </is>
      </c>
      <c r="AC127" s="2" t="inlineStr"/>
      <c r="AD127" t="n">
        <v>413.85</v>
      </c>
      <c r="AE127" t="n">
        <v>0</v>
      </c>
      <c r="AF127" t="inlineStr">
        <is>
          <t>Скидка добавлена к налоговой базе</t>
        </is>
      </c>
      <c r="AG127" t="n">
        <v>60075</v>
      </c>
      <c r="AH127" t="n">
        <v>59661.15</v>
      </c>
      <c r="AI127" t="inlineStr">
        <is>
          <t>Полное проживание в выбранном периоде</t>
        </is>
      </c>
    </row>
    <row r="128">
      <c r="A128" t="inlineStr">
        <is>
          <t>20260711-8186-428824372</t>
        </is>
      </c>
      <c r="B128" t="n">
        <v>1</v>
      </c>
      <c r="C128" s="2" t="inlineStr">
        <is>
          <t>Анна Кубышкина, Татьяна Жукова</t>
        </is>
      </c>
      <c r="D128" s="3" t="n">
        <v>10680</v>
      </c>
      <c r="E128" s="4" t="n">
        <v>18</v>
      </c>
      <c r="F128" t="inlineStr">
        <is>
          <t>Яндекс.Путешествия [Чайковский]</t>
        </is>
      </c>
      <c r="G128" s="3">
        <f>ROUND(D128/(100-E128)*100,2)</f>
        <v/>
      </c>
      <c r="H128" s="3" t="n">
        <v>0</v>
      </c>
      <c r="I128" s="3">
        <f>ROUND(IF(ISNUMBER(AG128),AG128,G128)+H128,2)</f>
        <v/>
      </c>
      <c r="J128" s="2" t="inlineStr">
        <is>
          <t>Завтрак "Шведский стол"</t>
        </is>
      </c>
      <c r="K128" s="5" t="n">
        <v>46214.58333333334</v>
      </c>
      <c r="L128" t="n">
        <v>1</v>
      </c>
      <c r="M128" s="3">
        <f>I128/L128</f>
        <v/>
      </c>
      <c r="N128">
        <f>IF(M128&gt;=5100,"ставка","мин.ставка")</f>
        <v/>
      </c>
      <c r="O128" s="3">
        <f>ROUND(IF(N128="мин.ставка",L128*100,I128/102*2),2)</f>
        <v/>
      </c>
      <c r="P128" s="5" t="n">
        <v>46215.5</v>
      </c>
      <c r="Q128" t="inlineStr">
        <is>
          <t>TravelLine YAX</t>
        </is>
      </c>
      <c r="R128" s="2" t="inlineStr">
        <is>
          <t>СТАНДАРТНЫЙ ДВУХМЕСТНЫЙ НОМЕР</t>
        </is>
      </c>
      <c r="S128" t="n">
        <v>42</v>
      </c>
      <c r="T128" t="n">
        <v>1</v>
      </c>
      <c r="U128" t="inlineStr"/>
      <c r="V128" t="inlineStr">
        <is>
          <t>Тариф с завтраком</t>
        </is>
      </c>
      <c r="W128" t="n">
        <v>10680</v>
      </c>
      <c r="X128" s="3" t="n">
        <v>2670</v>
      </c>
      <c r="Y128" t="inlineStr">
        <is>
          <t>20%</t>
        </is>
      </c>
      <c r="Z128" t="inlineStr">
        <is>
          <t>2026-07-11</t>
        </is>
      </c>
      <c r="AA128" s="3" t="n">
        <v>10680</v>
      </c>
      <c r="AB128" t="inlineStr">
        <is>
          <t>Сошлось по ночным тарифам</t>
        </is>
      </c>
      <c r="AC128" s="2" t="inlineStr"/>
      <c r="AD128" t="n">
        <v>2670</v>
      </c>
      <c r="AE128" t="n">
        <v>0</v>
      </c>
      <c r="AF128" t="inlineStr">
        <is>
          <t>Скидка добавлена к налоговой базе</t>
        </is>
      </c>
      <c r="AG128" t="n">
        <v>13350</v>
      </c>
      <c r="AH128" t="n">
        <v>10680</v>
      </c>
      <c r="AI128" t="inlineStr">
        <is>
          <t>Полное проживание в выбранном периоде</t>
        </is>
      </c>
    </row>
    <row r="129">
      <c r="A129" t="inlineStr">
        <is>
          <t>20260825-8186-456275651</t>
        </is>
      </c>
      <c r="B129" t="n">
        <v>1</v>
      </c>
      <c r="C129" s="2" t="inlineStr">
        <is>
          <t>Анна Курносова</t>
        </is>
      </c>
      <c r="D129" s="3" t="n">
        <v>6320</v>
      </c>
      <c r="E129" s="4" t="n">
        <v>20</v>
      </c>
      <c r="F129" t="inlineStr">
        <is>
          <t>ООО "КОМПАНИЯ БРОНЕВИК" [Чайковский]</t>
        </is>
      </c>
      <c r="G129" s="3">
        <f>ROUND(D129/(100-E129)*100,2)</f>
        <v/>
      </c>
      <c r="H129" s="3" t="n">
        <v>0</v>
      </c>
      <c r="I129" s="3">
        <f>ROUND(IF(ISNUMBER(AG129),AG129,G129)+H129,2)</f>
        <v/>
      </c>
      <c r="J129" s="2" t="inlineStr">
        <is>
          <t>Завтрак "Шведский стол"</t>
        </is>
      </c>
      <c r="K129" s="5" t="n">
        <v>46259.58333333334</v>
      </c>
      <c r="L129" t="n">
        <v>1</v>
      </c>
      <c r="M129" s="3">
        <f>I129/L129</f>
        <v/>
      </c>
      <c r="N129">
        <f>IF(M129&gt;=5100,"ставка","мин.ставка")</f>
        <v/>
      </c>
      <c r="O129" s="3">
        <f>ROUND(IF(N129="мин.ставка",L129*100,I129/102*2),2)</f>
        <v/>
      </c>
      <c r="P129" s="5" t="n">
        <v>46260.5</v>
      </c>
      <c r="Q129" t="inlineStr">
        <is>
          <t>TravelLine BR2</t>
        </is>
      </c>
      <c r="R129" s="2" t="inlineStr">
        <is>
          <t>СТАНДАРТНЫЙ ДВУХМЕСТНЫЙ НОМЕР (МАНСАРДА)</t>
        </is>
      </c>
      <c r="S129" t="n">
        <v>41</v>
      </c>
      <c r="T129" t="n">
        <v>1</v>
      </c>
      <c r="U129" t="inlineStr"/>
      <c r="V129" t="inlineStr">
        <is>
          <t>Тариф с завтраком</t>
        </is>
      </c>
      <c r="W129" t="n">
        <v>6320</v>
      </c>
      <c r="X129" s="3" t="n">
        <v>0</v>
      </c>
      <c r="Y129" t="inlineStr"/>
      <c r="Z129" t="inlineStr"/>
      <c r="AA129" s="3" t="n">
        <v>6320</v>
      </c>
      <c r="AB129" t="inlineStr">
        <is>
          <t>Сошлось по ночным тарифам</t>
        </is>
      </c>
      <c r="AC129" s="2" t="inlineStr"/>
      <c r="AD129" t="n">
        <v>0</v>
      </c>
      <c r="AE129" t="n">
        <v>0</v>
      </c>
      <c r="AF129" t="inlineStr">
        <is>
          <t>Скидки нет</t>
        </is>
      </c>
      <c r="AG129" t="n">
        <v>6320</v>
      </c>
      <c r="AH129" t="n">
        <v>6320</v>
      </c>
      <c r="AI129" t="inlineStr">
        <is>
          <t>Полное проживание в выбранном периоде</t>
        </is>
      </c>
    </row>
    <row r="130">
      <c r="A130" t="inlineStr">
        <is>
          <t>20260710-8186-441330666</t>
        </is>
      </c>
      <c r="B130" t="n">
        <v>1</v>
      </c>
      <c r="C130" s="2" t="inlineStr">
        <is>
          <t>Анна Лейнер</t>
        </is>
      </c>
      <c r="D130" s="3" t="n">
        <v>12782</v>
      </c>
      <c r="E130" s="4" t="n">
        <v>17</v>
      </c>
      <c r="F130" t="inlineStr">
        <is>
          <t>ООО "ОНЛАЙН ИННОВАЦИИ" (101 Отель) [Чайковский]</t>
        </is>
      </c>
      <c r="G130" s="3">
        <f>ROUND(D130/(100-E130)*100,2)</f>
        <v/>
      </c>
      <c r="H130" s="3" t="n">
        <v>0</v>
      </c>
      <c r="I130" s="3">
        <f>ROUND(IF(ISNUMBER(AG130),AG130,G130)+H130,2)</f>
        <v/>
      </c>
      <c r="J130" s="2" t="inlineStr">
        <is>
          <t>Завтрак "Шведский стол"</t>
        </is>
      </c>
      <c r="K130" s="5" t="n">
        <v>46213.58333333334</v>
      </c>
      <c r="L130" t="n">
        <v>2</v>
      </c>
      <c r="M130" s="3">
        <f>I130/L130</f>
        <v/>
      </c>
      <c r="N130">
        <f>IF(M130&gt;=5100,"ставка","мин.ставка")</f>
        <v/>
      </c>
      <c r="O130" s="3">
        <f>ROUND(IF(N130="мин.ставка",L130*100,I130/102*2),2)</f>
        <v/>
      </c>
      <c r="P130" s="5" t="n">
        <v>46215.5</v>
      </c>
      <c r="Q130" t="inlineStr">
        <is>
          <t>TravelLine H1C</t>
        </is>
      </c>
      <c r="R130" s="2" t="inlineStr">
        <is>
          <t>СТАНДАРТНЫЙ ОДНОМЕСТНЫЙ НОМЕР</t>
        </is>
      </c>
      <c r="S130" t="n">
        <v>34</v>
      </c>
      <c r="T130" t="n">
        <v>1</v>
      </c>
      <c r="U130" t="inlineStr"/>
      <c r="V130" t="inlineStr">
        <is>
          <t>Тариф с завтраком</t>
        </is>
      </c>
      <c r="W130" t="n">
        <v>12782</v>
      </c>
      <c r="X130" s="3" t="n">
        <v>2618</v>
      </c>
      <c r="Y130" t="inlineStr">
        <is>
          <t>17%</t>
        </is>
      </c>
      <c r="Z130" t="inlineStr">
        <is>
          <t>2026-07-10, 2026-07-11</t>
        </is>
      </c>
      <c r="AA130" s="3" t="n">
        <v>12782</v>
      </c>
      <c r="AB130" t="inlineStr">
        <is>
          <t>Сошлось по ночным тарифам</t>
        </is>
      </c>
      <c r="AC130" s="2" t="inlineStr"/>
      <c r="AD130" t="n">
        <v>2618</v>
      </c>
      <c r="AE130" t="n">
        <v>0</v>
      </c>
      <c r="AF130" t="inlineStr">
        <is>
          <t>Скидка добавлена к налоговой базе</t>
        </is>
      </c>
      <c r="AG130" t="n">
        <v>15400</v>
      </c>
      <c r="AH130" t="n">
        <v>12782</v>
      </c>
      <c r="AI130" t="inlineStr">
        <is>
          <t>Полное проживание в выбранном периоде</t>
        </is>
      </c>
    </row>
    <row r="131">
      <c r="A131" t="inlineStr">
        <is>
          <t>20260924-8186-458488381</t>
        </is>
      </c>
      <c r="B131" t="n">
        <v>1</v>
      </c>
      <c r="C131" s="2" t="inlineStr">
        <is>
          <t>АННА МАНСУР</t>
        </is>
      </c>
      <c r="D131" s="3" t="n">
        <v>17252</v>
      </c>
      <c r="E131" s="4" t="n">
        <v>18</v>
      </c>
      <c r="F131" t="inlineStr">
        <is>
          <t>Яндекс.Путешествия [Чайковский]</t>
        </is>
      </c>
      <c r="G131" s="3">
        <f>ROUND(D131/(100-E131)*100,2)</f>
        <v/>
      </c>
      <c r="H131" s="3" t="n">
        <v>0</v>
      </c>
      <c r="I131" s="3">
        <f>ROUND(IF(ISNUMBER(AG131),AG131,G131)+H131,2)</f>
        <v/>
      </c>
      <c r="J131" s="2" t="inlineStr">
        <is>
          <t>Завтрак "Шведский стол"</t>
        </is>
      </c>
      <c r="K131" s="5" t="n">
        <v>46289.58333333334</v>
      </c>
      <c r="L131" t="n">
        <v>2</v>
      </c>
      <c r="M131" s="3">
        <f>I131/L131</f>
        <v/>
      </c>
      <c r="N131">
        <f>IF(M131&gt;=5100,"ставка","мин.ставка")</f>
        <v/>
      </c>
      <c r="O131" s="3">
        <f>ROUND(IF(N131="мин.ставка",L131*100,I131/102*2),2)</f>
        <v/>
      </c>
      <c r="P131" s="5" t="n">
        <v>46291.5</v>
      </c>
      <c r="Q131" t="inlineStr">
        <is>
          <t>TravelLine YAX</t>
        </is>
      </c>
      <c r="R131" s="2" t="inlineStr">
        <is>
          <t>СТАНДАРТНЫЙ ДВУХМЕСТНЫЙ НОМЕР</t>
        </is>
      </c>
      <c r="S131" t="n">
        <v>32</v>
      </c>
      <c r="T131" t="n">
        <v>1</v>
      </c>
      <c r="U131" t="inlineStr"/>
      <c r="V131" t="inlineStr">
        <is>
          <t>Тариф с завтраком</t>
        </is>
      </c>
      <c r="W131" t="n">
        <v>17252</v>
      </c>
      <c r="X131" s="3" t="n">
        <v>4313</v>
      </c>
      <c r="Y131" t="inlineStr">
        <is>
          <t>20%</t>
        </is>
      </c>
      <c r="Z131" t="inlineStr">
        <is>
          <t>2026-09-24, 2026-09-25</t>
        </is>
      </c>
      <c r="AA131" s="3" t="n">
        <v>17252</v>
      </c>
      <c r="AB131" t="inlineStr">
        <is>
          <t>Сошлось по ночным тарифам</t>
        </is>
      </c>
      <c r="AC131" s="2" t="inlineStr"/>
      <c r="AD131" t="n">
        <v>4313</v>
      </c>
      <c r="AE131" t="n">
        <v>0</v>
      </c>
      <c r="AF131" t="inlineStr">
        <is>
          <t>Скидка добавлена к налоговой базе</t>
        </is>
      </c>
      <c r="AG131" t="n">
        <v>21565</v>
      </c>
      <c r="AH131" t="n">
        <v>17252</v>
      </c>
      <c r="AI131" t="inlineStr">
        <is>
          <t>Полное проживание в выбранном периоде</t>
        </is>
      </c>
    </row>
    <row r="132">
      <c r="A132" t="inlineStr">
        <is>
          <t>20260925-8186-465097921</t>
        </is>
      </c>
      <c r="B132" t="n">
        <v>1</v>
      </c>
      <c r="C132" s="2" t="inlineStr">
        <is>
          <t>Анна Милова, Георгий ТИМОФЕЕВ</t>
        </is>
      </c>
      <c r="D132" s="3" t="n">
        <v>32040</v>
      </c>
      <c r="E132" s="4" t="n">
        <v>0</v>
      </c>
      <c r="F132" t="inlineStr">
        <is>
          <t>Прямые бронирования (стойка) [Чайковский]</t>
        </is>
      </c>
      <c r="G132" s="3">
        <f>ROUND(D132/(100-E132)*100,2)</f>
        <v/>
      </c>
      <c r="H132" s="3" t="n">
        <v>0</v>
      </c>
      <c r="I132" s="3">
        <f>ROUND(IF(ISNUMBER(AG132),AG132,G132)+H132,2)</f>
        <v/>
      </c>
      <c r="J132" s="2" t="inlineStr">
        <is>
          <t>Завтрак "Шведский стол"</t>
        </is>
      </c>
      <c r="K132" s="5" t="n">
        <v>46290.58333333334</v>
      </c>
      <c r="L132" t="n">
        <v>3</v>
      </c>
      <c r="M132" s="3">
        <f>I132/L132</f>
        <v/>
      </c>
      <c r="N132">
        <f>IF(M132&gt;=5100,"ставка","мин.ставка")</f>
        <v/>
      </c>
      <c r="O132" s="3">
        <f>ROUND(IF(N132="мин.ставка",L132*100,I132/102*2),2)</f>
        <v/>
      </c>
      <c r="P132" s="5" t="n">
        <v>46293.5</v>
      </c>
      <c r="Q132" t="inlineStr">
        <is>
          <t>TravelLine ресепшен</t>
        </is>
      </c>
      <c r="R132" s="2" t="inlineStr">
        <is>
          <t>СТАНДАРТНЫЙ ДВУХМЕСТНЫЙ НОМЕР</t>
        </is>
      </c>
      <c r="S132" t="n">
        <v>36</v>
      </c>
      <c r="T132" t="n">
        <v>1</v>
      </c>
      <c r="U132" t="inlineStr"/>
      <c r="V132" t="inlineStr">
        <is>
          <t>Тариф с завтраком</t>
        </is>
      </c>
      <c r="W132" t="n">
        <v>32040</v>
      </c>
      <c r="X132" s="3" t="n">
        <v>8010</v>
      </c>
      <c r="Y132" t="inlineStr">
        <is>
          <t>20%</t>
        </is>
      </c>
      <c r="Z132" t="inlineStr">
        <is>
          <t>2026-09-25, 2026-09-26, 2026-09-27</t>
        </is>
      </c>
      <c r="AA132" s="3" t="n">
        <v>32040</v>
      </c>
      <c r="AB132" t="inlineStr">
        <is>
          <t>Сошлось по ночным тарифам</t>
        </is>
      </c>
      <c r="AC132" s="2" t="inlineStr"/>
      <c r="AD132" t="n">
        <v>8010</v>
      </c>
      <c r="AE132" t="n">
        <v>0</v>
      </c>
      <c r="AF132" t="inlineStr">
        <is>
          <t>Скидка добавлена к налоговой базе</t>
        </is>
      </c>
      <c r="AG132" t="n">
        <v>40050</v>
      </c>
      <c r="AH132" t="n">
        <v>32040</v>
      </c>
      <c r="AI132" t="inlineStr">
        <is>
          <t>Полное проживание в выбранном периоде</t>
        </is>
      </c>
    </row>
    <row r="133">
      <c r="A133" t="inlineStr">
        <is>
          <t>20260924-8186-464881072</t>
        </is>
      </c>
      <c r="B133" t="n">
        <v>1</v>
      </c>
      <c r="C133" s="2" t="inlineStr">
        <is>
          <t>Анна Назаркина</t>
        </is>
      </c>
      <c r="D133" s="3" t="n">
        <v>17025</v>
      </c>
      <c r="E133" s="4" t="n">
        <v>18</v>
      </c>
      <c r="F133" t="inlineStr">
        <is>
          <t>Яндекс.Путешествия [Чайковский]</t>
        </is>
      </c>
      <c r="G133" s="3">
        <f>ROUND(D133/(100-E133)*100,2)</f>
        <v/>
      </c>
      <c r="H133" s="3" t="n">
        <v>0</v>
      </c>
      <c r="I133" s="3">
        <f>ROUND(IF(ISNUMBER(AG133),AG133,G133)+H133,2)</f>
        <v/>
      </c>
      <c r="J133" s="2" t="inlineStr">
        <is>
          <t>Завтрак "Шведский стол"</t>
        </is>
      </c>
      <c r="K133" s="5" t="n">
        <v>46289.58333333334</v>
      </c>
      <c r="L133" t="n">
        <v>2</v>
      </c>
      <c r="M133" s="3">
        <f>I133/L133</f>
        <v/>
      </c>
      <c r="N133">
        <f>IF(M133&gt;=5100,"ставка","мин.ставка")</f>
        <v/>
      </c>
      <c r="O133" s="3">
        <f>ROUND(IF(N133="мин.ставка",L133*100,I133/102*2),2)</f>
        <v/>
      </c>
      <c r="P133" s="5" t="n">
        <v>46291.5</v>
      </c>
      <c r="Q133" t="inlineStr">
        <is>
          <t>TravelLine YAX</t>
        </is>
      </c>
      <c r="R133" s="2" t="inlineStr">
        <is>
          <t>СТАНДАРТНЫЙ ДВУХМЕСТНЫЙ НОМЕР</t>
        </is>
      </c>
      <c r="S133" t="n">
        <v>26</v>
      </c>
      <c r="T133" t="n">
        <v>1</v>
      </c>
      <c r="U133" t="inlineStr"/>
      <c r="V133" t="inlineStr">
        <is>
          <t>Тариф с завтраком</t>
        </is>
      </c>
      <c r="W133" t="n">
        <v>17025</v>
      </c>
      <c r="X133" s="3" t="n">
        <v>5675</v>
      </c>
      <c r="Y133" t="inlineStr">
        <is>
          <t>25%</t>
        </is>
      </c>
      <c r="Z133" t="inlineStr">
        <is>
          <t>2026-09-24, 2026-09-25</t>
        </is>
      </c>
      <c r="AA133" s="3" t="n">
        <v>17025</v>
      </c>
      <c r="AB133" t="inlineStr">
        <is>
          <t>Сошлось по ночным тарифам</t>
        </is>
      </c>
      <c r="AC133" s="2" t="inlineStr"/>
      <c r="AD133" t="n">
        <v>5675</v>
      </c>
      <c r="AE133" t="n">
        <v>0</v>
      </c>
      <c r="AF133" t="inlineStr">
        <is>
          <t>Скидка добавлена к налоговой базе</t>
        </is>
      </c>
      <c r="AG133" t="n">
        <v>22700</v>
      </c>
      <c r="AH133" t="n">
        <v>17025</v>
      </c>
      <c r="AI133" t="inlineStr">
        <is>
          <t>Полное проживание в выбранном периоде</t>
        </is>
      </c>
    </row>
    <row r="134">
      <c r="A134" t="inlineStr">
        <is>
          <t>20260818-8186-448584820</t>
        </is>
      </c>
      <c r="B134" t="n">
        <v>1</v>
      </c>
      <c r="C134" s="2" t="inlineStr">
        <is>
          <t>Анна Наумова, Кирилл Шокарев</t>
        </is>
      </c>
      <c r="D134" s="3" t="n">
        <v>8415</v>
      </c>
      <c r="E134" s="4" t="n">
        <v>15</v>
      </c>
      <c r="F134" t="inlineStr">
        <is>
          <t>ООО Тинькофф Путешествия [Чайковский]</t>
        </is>
      </c>
      <c r="G134" s="3">
        <f>ROUND(D134/(100-E134)*100,2)</f>
        <v/>
      </c>
      <c r="H134" s="3" t="n">
        <v>0</v>
      </c>
      <c r="I134" s="3">
        <f>ROUND(IF(ISNUMBER(AG134),AG134,G134)+H134,2)</f>
        <v/>
      </c>
      <c r="J134" s="2" t="inlineStr">
        <is>
          <t>Завтрак "Шведский стол"</t>
        </is>
      </c>
      <c r="K134" s="5" t="n">
        <v>46252.58333333334</v>
      </c>
      <c r="L134" t="n">
        <v>1</v>
      </c>
      <c r="M134" s="3">
        <f>I134/L134</f>
        <v/>
      </c>
      <c r="N134">
        <f>IF(M134&gt;=5100,"ставка","мин.ставка")</f>
        <v/>
      </c>
      <c r="O134" s="3">
        <f>ROUND(IF(N134="мин.ставка",L134*100,I134/102*2),2)</f>
        <v/>
      </c>
      <c r="P134" s="5" t="n">
        <v>46253.5</v>
      </c>
      <c r="Q134" t="inlineStr">
        <is>
          <t>TravelLine TNK</t>
        </is>
      </c>
      <c r="R134" s="2" t="inlineStr">
        <is>
          <t>СТАНДАРТНЫЙ ДВУХМЕСТНЫЙ НОМЕР (МАНСАРДА)</t>
        </is>
      </c>
      <c r="S134" t="n">
        <v>45</v>
      </c>
      <c r="T134" t="n">
        <v>1</v>
      </c>
      <c r="U134" t="inlineStr"/>
      <c r="V134" t="inlineStr">
        <is>
          <t>Тариф с завтраком</t>
        </is>
      </c>
      <c r="W134" t="n">
        <v>8415</v>
      </c>
      <c r="X134" s="3" t="n">
        <v>1485</v>
      </c>
      <c r="Y134" t="inlineStr">
        <is>
          <t>15%</t>
        </is>
      </c>
      <c r="Z134" t="inlineStr">
        <is>
          <t>2026-08-18</t>
        </is>
      </c>
      <c r="AA134" s="3" t="n">
        <v>8415</v>
      </c>
      <c r="AB134" t="inlineStr">
        <is>
          <t>Сошлось по ночным тарифам</t>
        </is>
      </c>
      <c r="AC134" s="2" t="inlineStr"/>
      <c r="AD134" t="n">
        <v>1485</v>
      </c>
      <c r="AE134" t="n">
        <v>0</v>
      </c>
      <c r="AF134" t="inlineStr">
        <is>
          <t>Скидка добавлена к налоговой базе</t>
        </is>
      </c>
      <c r="AG134" t="n">
        <v>9900</v>
      </c>
      <c r="AH134" t="n">
        <v>8415</v>
      </c>
      <c r="AI134" t="inlineStr">
        <is>
          <t>Полное проживание в выбранном периоде</t>
        </is>
      </c>
    </row>
    <row r="135">
      <c r="A135" t="inlineStr">
        <is>
          <t>20260925-8186-464768138</t>
        </is>
      </c>
      <c r="B135" t="n">
        <v>1</v>
      </c>
      <c r="C135" s="2" t="inlineStr">
        <is>
          <t>Анна Новикова</t>
        </is>
      </c>
      <c r="D135" s="3" t="n">
        <v>6468</v>
      </c>
      <c r="E135" s="4" t="n">
        <v>16</v>
      </c>
      <c r="F135" t="inlineStr">
        <is>
          <t>ООО "БРОНИРОВАНИЕ ГОСТИНИЦ" (OSTROVOK) [Чайковский]</t>
        </is>
      </c>
      <c r="G135" s="3">
        <f>ROUND(D135/(100-E135)*100,2)</f>
        <v/>
      </c>
      <c r="H135" s="3" t="n">
        <v>0</v>
      </c>
      <c r="I135" s="3">
        <f>ROUND(IF(ISNUMBER(AG135),AG135,G135)+H135,2)</f>
        <v/>
      </c>
      <c r="J135" s="2" t="inlineStr">
        <is>
          <t>Завтрак "Шведский стол"</t>
        </is>
      </c>
      <c r="K135" s="5" t="n">
        <v>46290.58333333334</v>
      </c>
      <c r="L135" t="n">
        <v>1</v>
      </c>
      <c r="M135" s="3">
        <f>I135/L135</f>
        <v/>
      </c>
      <c r="N135">
        <f>IF(M135&gt;=5100,"ставка","мин.ставка")</f>
        <v/>
      </c>
      <c r="O135" s="3">
        <f>ROUND(IF(N135="мин.ставка",L135*100,I135/102*2),2)</f>
        <v/>
      </c>
      <c r="P135" s="5" t="n">
        <v>46291.5</v>
      </c>
      <c r="Q135" t="inlineStr">
        <is>
          <t>TravelLine OTK</t>
        </is>
      </c>
      <c r="R135" s="2" t="inlineStr">
        <is>
          <t>СТАНДАРТНЫЙ ОДНОМЕСТНЫЙ НОМЕР</t>
        </is>
      </c>
      <c r="S135" t="n">
        <v>24</v>
      </c>
      <c r="T135" t="n">
        <v>1</v>
      </c>
      <c r="U135" t="inlineStr"/>
      <c r="V135" t="inlineStr">
        <is>
          <t>Тариф с завтраком</t>
        </is>
      </c>
      <c r="W135" t="n">
        <v>6468</v>
      </c>
      <c r="X135" s="3" t="n">
        <v>1232</v>
      </c>
      <c r="Y135" t="inlineStr">
        <is>
          <t>16%</t>
        </is>
      </c>
      <c r="Z135" t="inlineStr">
        <is>
          <t>2026-09-25</t>
        </is>
      </c>
      <c r="AA135" s="3" t="n">
        <v>6468</v>
      </c>
      <c r="AB135" t="inlineStr">
        <is>
          <t>Сошлось по ночным тарифам</t>
        </is>
      </c>
      <c r="AC135" s="2" t="inlineStr"/>
      <c r="AD135" t="n">
        <v>1232</v>
      </c>
      <c r="AE135" t="n">
        <v>0</v>
      </c>
      <c r="AF135" t="inlineStr">
        <is>
          <t>Скидка добавлена к налоговой базе</t>
        </is>
      </c>
      <c r="AG135" t="n">
        <v>7700</v>
      </c>
      <c r="AH135" t="n">
        <v>6468</v>
      </c>
      <c r="AI135" t="inlineStr">
        <is>
          <t>Полное проживание в выбранном периоде</t>
        </is>
      </c>
    </row>
    <row r="136">
      <c r="A136" t="inlineStr">
        <is>
          <t>20260730-8186-451556670</t>
        </is>
      </c>
      <c r="B136" t="n">
        <v>1</v>
      </c>
      <c r="C136" s="2" t="inlineStr">
        <is>
          <t>Анна Огородникова</t>
        </is>
      </c>
      <c r="D136" s="3" t="n">
        <v>22348.15</v>
      </c>
      <c r="E136" s="4" t="n">
        <v>4</v>
      </c>
      <c r="F136" t="inlineStr">
        <is>
          <t>TravelLine Booking Engine [Чайковский]</t>
        </is>
      </c>
      <c r="G136" s="3">
        <f>ROUND(D136/(100-E136)*100,2)</f>
        <v/>
      </c>
      <c r="H136" s="3" t="n">
        <v>0</v>
      </c>
      <c r="I136" s="3">
        <f>ROUND(IF(ISNUMBER(AG136),AG136,G136)+H136,2)</f>
        <v/>
      </c>
      <c r="J136" s="2" t="inlineStr">
        <is>
          <t>Завтрак "Шведский стол"</t>
        </is>
      </c>
      <c r="K136" s="5" t="n">
        <v>46233.58333333334</v>
      </c>
      <c r="L136" t="n">
        <v>2</v>
      </c>
      <c r="M136" s="3">
        <f>I136/L136</f>
        <v/>
      </c>
      <c r="N136">
        <f>IF(M136&gt;=5100,"ставка","мин.ставка")</f>
        <v/>
      </c>
      <c r="O136" s="3">
        <f>ROUND(IF(N136="мин.ставка",L136*100,I136/102*2),2)</f>
        <v/>
      </c>
      <c r="P136" s="5" t="n">
        <v>46235.5</v>
      </c>
      <c r="Q136" t="inlineStr">
        <is>
          <t>TravelLine сайт</t>
        </is>
      </c>
      <c r="R136" s="2" t="inlineStr">
        <is>
          <t>СТАНДАРТНЫЙ ДВУХМЕСТНЫЙ НОМЕР</t>
        </is>
      </c>
      <c r="S136" t="n">
        <v>44</v>
      </c>
      <c r="T136" t="n">
        <v>1</v>
      </c>
      <c r="U136" t="inlineStr"/>
      <c r="V136" t="inlineStr">
        <is>
          <t>Тариф с завтраком</t>
        </is>
      </c>
      <c r="W136" t="n">
        <v>22348.15</v>
      </c>
      <c r="X136" s="3" t="n">
        <v>351.85</v>
      </c>
      <c r="Y136" t="inlineStr">
        <is>
          <t>3.1%</t>
        </is>
      </c>
      <c r="Z136" t="inlineStr">
        <is>
          <t>2026-07-30</t>
        </is>
      </c>
      <c r="AA136" s="3" t="n">
        <v>22348.15</v>
      </c>
      <c r="AB136" t="inlineStr">
        <is>
          <t>Сошлось по ночным тарифам</t>
        </is>
      </c>
      <c r="AC136" s="2" t="inlineStr"/>
      <c r="AD136" t="n">
        <v>351.85</v>
      </c>
      <c r="AE136" t="n">
        <v>0</v>
      </c>
      <c r="AF136" t="inlineStr">
        <is>
          <t>Скидка добавлена к налоговой базе</t>
        </is>
      </c>
      <c r="AG136" t="n">
        <v>22700</v>
      </c>
      <c r="AH136" t="n">
        <v>22348.15</v>
      </c>
      <c r="AI136" t="inlineStr">
        <is>
          <t>Полное проживание в выбранном периоде</t>
        </is>
      </c>
    </row>
    <row r="137">
      <c r="A137" t="inlineStr">
        <is>
          <t>20260813-8186-449476892</t>
        </is>
      </c>
      <c r="B137" t="n">
        <v>1</v>
      </c>
      <c r="C137" s="2" t="inlineStr">
        <is>
          <t>Анна Поздеева</t>
        </is>
      </c>
      <c r="D137" s="3" t="n">
        <v>24640</v>
      </c>
      <c r="E137" s="4" t="n">
        <v>18</v>
      </c>
      <c r="F137" t="inlineStr">
        <is>
          <t>Яндекс.Путешествия [Чайковский]</t>
        </is>
      </c>
      <c r="G137" s="3">
        <f>ROUND(D137/(100-E137)*100,2)</f>
        <v/>
      </c>
      <c r="H137" s="3" t="n">
        <v>0</v>
      </c>
      <c r="I137" s="3">
        <f>ROUND(IF(ISNUMBER(AG137),AG137,G137)+H137,2)</f>
        <v/>
      </c>
      <c r="J137" s="2" t="inlineStr">
        <is>
          <t>Завтрак "Шведский стол"</t>
        </is>
      </c>
      <c r="K137" s="5" t="n">
        <v>46247.58333333334</v>
      </c>
      <c r="L137" t="n">
        <v>4</v>
      </c>
      <c r="M137" s="3">
        <f>I137/L137</f>
        <v/>
      </c>
      <c r="N137">
        <f>IF(M137&gt;=5100,"ставка","мин.ставка")</f>
        <v/>
      </c>
      <c r="O137" s="3">
        <f>ROUND(IF(N137="мин.ставка",L137*100,I137/102*2),2)</f>
        <v/>
      </c>
      <c r="P137" s="5" t="n">
        <v>46251.5</v>
      </c>
      <c r="Q137" t="inlineStr">
        <is>
          <t>TravelLine YAX</t>
        </is>
      </c>
      <c r="R137" s="2" t="inlineStr">
        <is>
          <t>СТАНДАРТНЫЙ ОДНОМЕСТНЫЙ НОМЕР</t>
        </is>
      </c>
      <c r="S137" t="n">
        <v>34</v>
      </c>
      <c r="T137" t="n">
        <v>1</v>
      </c>
      <c r="U137" t="inlineStr"/>
      <c r="V137" t="inlineStr">
        <is>
          <t>Тариф с завтраком</t>
        </is>
      </c>
      <c r="W137" t="n">
        <v>24640</v>
      </c>
      <c r="X137" s="3" t="n">
        <v>6160</v>
      </c>
      <c r="Y137" t="inlineStr">
        <is>
          <t>20%</t>
        </is>
      </c>
      <c r="Z137" t="inlineStr">
        <is>
          <t>2026-08-13, 2026-08-14, 2026-08-15, 2026-08-16</t>
        </is>
      </c>
      <c r="AA137" s="3" t="n">
        <v>24640</v>
      </c>
      <c r="AB137" t="inlineStr">
        <is>
          <t>Сошлось по ночным тарифам</t>
        </is>
      </c>
      <c r="AC137" s="2" t="inlineStr"/>
      <c r="AD137" t="n">
        <v>6160</v>
      </c>
      <c r="AE137" t="n">
        <v>0</v>
      </c>
      <c r="AF137" t="inlineStr">
        <is>
          <t>Скидка добавлена к налоговой базе</t>
        </is>
      </c>
      <c r="AG137" t="n">
        <v>30800</v>
      </c>
      <c r="AH137" t="n">
        <v>24640</v>
      </c>
      <c r="AI137" t="inlineStr">
        <is>
          <t>Полное проживание в выбранном периоде</t>
        </is>
      </c>
    </row>
    <row r="138">
      <c r="A138" t="inlineStr">
        <is>
          <t>20260921-8186-467014328</t>
        </is>
      </c>
      <c r="B138" t="n">
        <v>1</v>
      </c>
      <c r="C138" s="2" t="inlineStr">
        <is>
          <t>Анна Резинько, Михаил Резинько</t>
        </is>
      </c>
      <c r="D138" s="3" t="n">
        <v>11550</v>
      </c>
      <c r="E138" s="4" t="n">
        <v>18</v>
      </c>
      <c r="F138" t="inlineStr">
        <is>
          <t>Яндекс.Путешествия [Чайковский]</t>
        </is>
      </c>
      <c r="G138" s="3">
        <f>ROUND(D138/(100-E138)*100,2)</f>
        <v/>
      </c>
      <c r="H138" s="3" t="n">
        <v>0</v>
      </c>
      <c r="I138" s="3">
        <f>ROUND(IF(ISNUMBER(AG138),AG138,G138)+H138,2)</f>
        <v/>
      </c>
      <c r="J138" s="2" t="inlineStr">
        <is>
          <t>Завтрак "Шведский стол"</t>
        </is>
      </c>
      <c r="K138" s="5" t="n">
        <v>46286.58333333334</v>
      </c>
      <c r="L138" t="n">
        <v>1</v>
      </c>
      <c r="M138" s="3">
        <f>I138/L138</f>
        <v/>
      </c>
      <c r="N138">
        <f>IF(M138&gt;=5100,"ставка","мин.ставка")</f>
        <v/>
      </c>
      <c r="O138" s="3">
        <f>ROUND(IF(N138="мин.ставка",L138*100,I138/102*2),2)</f>
        <v/>
      </c>
      <c r="P138" s="5" t="n">
        <v>46287.5</v>
      </c>
      <c r="Q138" t="inlineStr">
        <is>
          <t>TravelLine YAX</t>
        </is>
      </c>
      <c r="R138" s="2" t="inlineStr">
        <is>
          <t>УЛУЧШЕННЫЙ ДВУХМЕСТНЫЙ НОМЕР</t>
        </is>
      </c>
      <c r="S138" t="n">
        <v>31</v>
      </c>
      <c r="T138" t="n">
        <v>1</v>
      </c>
      <c r="U138" t="inlineStr"/>
      <c r="V138" t="inlineStr">
        <is>
          <t>Тариф с завтраком</t>
        </is>
      </c>
      <c r="W138" t="n">
        <v>11550</v>
      </c>
      <c r="X138" s="3" t="n">
        <v>3850</v>
      </c>
      <c r="Y138" t="inlineStr">
        <is>
          <t>25%</t>
        </is>
      </c>
      <c r="Z138" t="inlineStr">
        <is>
          <t>2026-09-21</t>
        </is>
      </c>
      <c r="AA138" s="3" t="n">
        <v>11550</v>
      </c>
      <c r="AB138" t="inlineStr">
        <is>
          <t>Сошлось по ночным тарифам</t>
        </is>
      </c>
      <c r="AC138" s="2" t="inlineStr"/>
      <c r="AD138" t="n">
        <v>3850</v>
      </c>
      <c r="AE138" t="n">
        <v>0</v>
      </c>
      <c r="AF138" t="inlineStr">
        <is>
          <t>Скидка добавлена к налоговой базе</t>
        </is>
      </c>
      <c r="AG138" t="n">
        <v>15400</v>
      </c>
      <c r="AH138" t="n">
        <v>11550</v>
      </c>
      <c r="AI138" t="inlineStr">
        <is>
          <t>Полное проживание в выбранном периоде</t>
        </is>
      </c>
    </row>
    <row r="139">
      <c r="A139" t="inlineStr">
        <is>
          <t>20260723-8186-449951672</t>
        </is>
      </c>
      <c r="B139" t="n">
        <v>1</v>
      </c>
      <c r="C139" s="2" t="inlineStr">
        <is>
          <t>Анна Семашко, Кирилл Михайлов</t>
        </is>
      </c>
      <c r="D139" s="3" t="n">
        <v>49252.5</v>
      </c>
      <c r="E139" s="4" t="n">
        <v>4</v>
      </c>
      <c r="F139" t="inlineStr">
        <is>
          <t>TravelLine Booking Engine [Чайковский]</t>
        </is>
      </c>
      <c r="G139" s="3">
        <f>ROUND(D139/(100-E139)*100,2)</f>
        <v/>
      </c>
      <c r="H139" s="3" t="n">
        <v>3560</v>
      </c>
      <c r="I139" s="3">
        <f>ROUND(IF(ISNUMBER(AG139),AG139,G139)+H139,2)</f>
        <v/>
      </c>
      <c r="J139" s="2" t="inlineStr">
        <is>
          <t>продление номера — 3 560,00 ₽; Завтрак "Шведский стол"</t>
        </is>
      </c>
      <c r="K139" s="5" t="n">
        <v>46226.58333333334</v>
      </c>
      <c r="L139" t="n">
        <v>3</v>
      </c>
      <c r="M139" s="3">
        <f>I139/L139</f>
        <v/>
      </c>
      <c r="N139">
        <f>IF(M139&gt;=5100,"ставка","мин.ставка")</f>
        <v/>
      </c>
      <c r="O139" s="3">
        <f>ROUND(IF(N139="мин.ставка",L139*100,I139/102*2),2)</f>
        <v/>
      </c>
      <c r="P139" s="5" t="n">
        <v>46229.5</v>
      </c>
      <c r="Q139" t="inlineStr">
        <is>
          <t>TravelLine сайт</t>
        </is>
      </c>
      <c r="R139" s="2" t="inlineStr">
        <is>
          <t>ПОЛУЛЮКС</t>
        </is>
      </c>
      <c r="S139" t="n">
        <v>11</v>
      </c>
      <c r="T139" t="n">
        <v>1</v>
      </c>
      <c r="U139" t="inlineStr"/>
      <c r="V139" t="inlineStr">
        <is>
          <t>Тариф с завтраком</t>
        </is>
      </c>
      <c r="W139" t="n">
        <v>52812.5</v>
      </c>
      <c r="X139" s="3" t="n">
        <v>247.5</v>
      </c>
      <c r="Y139" t="inlineStr">
        <is>
          <t>1.5%</t>
        </is>
      </c>
      <c r="Z139" t="inlineStr">
        <is>
          <t>2026-07-23</t>
        </is>
      </c>
      <c r="AA139" s="3" t="n">
        <v>49252.5</v>
      </c>
      <c r="AB139" t="inlineStr">
        <is>
          <t>Сошлось с услугами</t>
        </is>
      </c>
      <c r="AC139" s="2" t="inlineStr"/>
      <c r="AD139" t="n">
        <v>247.5</v>
      </c>
      <c r="AE139" t="n">
        <v>0</v>
      </c>
      <c r="AF139" t="inlineStr">
        <is>
          <t>Скидка добавлена к налоговой базе</t>
        </is>
      </c>
      <c r="AG139" t="n">
        <v>49500</v>
      </c>
      <c r="AH139" t="n">
        <v>49252.5</v>
      </c>
      <c r="AI139" t="inlineStr">
        <is>
          <t>Полное проживание в выбранном периоде</t>
        </is>
      </c>
    </row>
    <row r="140">
      <c r="A140" t="inlineStr">
        <is>
          <t>20260907-8186-434979957</t>
        </is>
      </c>
      <c r="B140" t="n">
        <v>1</v>
      </c>
      <c r="C140" s="2" t="inlineStr">
        <is>
          <t>Анна Стом</t>
        </is>
      </c>
      <c r="D140" s="3" t="n">
        <v>31600</v>
      </c>
      <c r="E140" s="4" t="n">
        <v>0</v>
      </c>
      <c r="F140" t="inlineStr">
        <is>
          <t>Прямые бронирования (стойка) [Чайковский]</t>
        </is>
      </c>
      <c r="G140" s="3">
        <f>ROUND(D140/(100-E140)*100,2)</f>
        <v/>
      </c>
      <c r="H140" s="3" t="n">
        <v>0</v>
      </c>
      <c r="I140" s="3">
        <f>ROUND(IF(ISNUMBER(AG140),AG140,G140)+H140,2)</f>
        <v/>
      </c>
      <c r="J140" s="2" t="inlineStr">
        <is>
          <t>Завтрак "Шведский стол"</t>
        </is>
      </c>
      <c r="K140" s="5" t="n">
        <v>46272.58333333334</v>
      </c>
      <c r="L140" t="n">
        <v>4</v>
      </c>
      <c r="M140" s="3">
        <f>I140/L140</f>
        <v/>
      </c>
      <c r="N140">
        <f>IF(M140&gt;=5100,"ставка","мин.ставка")</f>
        <v/>
      </c>
      <c r="O140" s="3">
        <f>ROUND(IF(N140="мин.ставка",L140*100,I140/102*2),2)</f>
        <v/>
      </c>
      <c r="P140" s="5" t="n">
        <v>46276.5</v>
      </c>
      <c r="Q140" t="inlineStr">
        <is>
          <t>TravelLine ресепшен</t>
        </is>
      </c>
      <c r="R140" s="2" t="inlineStr">
        <is>
          <t>СТАНДАРТНЫЙ ДВУХМЕСТНЫЙ НОМЕР</t>
        </is>
      </c>
      <c r="S140" t="n">
        <v>44</v>
      </c>
      <c r="T140" t="n">
        <v>1</v>
      </c>
      <c r="U140" t="inlineStr"/>
      <c r="V140" t="inlineStr">
        <is>
          <t>Тариф с завтраком</t>
        </is>
      </c>
      <c r="W140" t="n">
        <v>31600</v>
      </c>
      <c r="X140" s="3" t="n">
        <v>0</v>
      </c>
      <c r="Y140" t="inlineStr"/>
      <c r="Z140" t="inlineStr"/>
      <c r="AA140" s="3" t="n">
        <v>31600</v>
      </c>
      <c r="AB140" t="inlineStr">
        <is>
          <t>Сошлось по ночным тарифам</t>
        </is>
      </c>
      <c r="AC140" s="2" t="inlineStr"/>
      <c r="AD140" t="n">
        <v>0</v>
      </c>
      <c r="AE140" t="n">
        <v>0</v>
      </c>
      <c r="AF140" t="inlineStr">
        <is>
          <t>Скидки нет</t>
        </is>
      </c>
      <c r="AG140" t="n">
        <v>31600</v>
      </c>
      <c r="AH140" t="n">
        <v>31600</v>
      </c>
      <c r="AI140" t="inlineStr">
        <is>
          <t>Полное проживание в выбранном периоде</t>
        </is>
      </c>
    </row>
    <row r="141">
      <c r="A141" t="inlineStr">
        <is>
          <t>20260701-8186-445465297</t>
        </is>
      </c>
      <c r="B141" t="n">
        <v>1</v>
      </c>
      <c r="C141" s="2" t="inlineStr">
        <is>
          <t>АННА ТЕЛЕГИНА</t>
        </is>
      </c>
      <c r="D141" s="3" t="n">
        <v>23200</v>
      </c>
      <c r="E141" s="4" t="n">
        <v>20</v>
      </c>
      <c r="F141" t="inlineStr">
        <is>
          <t>ООО "ХБ-ПРО" [Чайковский]</t>
        </is>
      </c>
      <c r="G141" s="3">
        <f>ROUND(D141/(100-E141)*100,2)</f>
        <v/>
      </c>
      <c r="H141" s="3" t="n">
        <v>0</v>
      </c>
      <c r="I141" s="3">
        <f>ROUND(IF(ISNUMBER(AG141),AG141,G141)+H141,2)</f>
        <v/>
      </c>
      <c r="J141" s="2" t="inlineStr">
        <is>
          <t>Завтрак "Шведский стол"</t>
        </is>
      </c>
      <c r="K141" s="5" t="n">
        <v>46204.58333333334</v>
      </c>
      <c r="L141" t="n">
        <v>2</v>
      </c>
      <c r="M141" s="3">
        <f>I141/L141</f>
        <v/>
      </c>
      <c r="N141">
        <f>IF(M141&gt;=5100,"ставка","мин.ставка")</f>
        <v/>
      </c>
      <c r="O141" s="3">
        <f>ROUND(IF(N141="мин.ставка",L141*100,I141/102*2),2)</f>
        <v/>
      </c>
      <c r="P141" s="5" t="n">
        <v>46206.5</v>
      </c>
      <c r="Q141" t="inlineStr">
        <is>
          <t>TravelLine UTS</t>
        </is>
      </c>
      <c r="R141" s="2" t="inlineStr">
        <is>
          <t>ПОЛУЛЮКС</t>
        </is>
      </c>
      <c r="S141" t="n">
        <v>35</v>
      </c>
      <c r="T141" t="n">
        <v>1</v>
      </c>
      <c r="U141" t="inlineStr"/>
      <c r="V141" t="inlineStr">
        <is>
          <t>Тариф с завтраком</t>
        </is>
      </c>
      <c r="W141" t="n">
        <v>23200</v>
      </c>
      <c r="X141" s="3" t="n">
        <v>0</v>
      </c>
      <c r="Y141" t="inlineStr"/>
      <c r="Z141" t="inlineStr"/>
      <c r="AA141" s="3" t="n">
        <v>23200</v>
      </c>
      <c r="AB141" t="inlineStr">
        <is>
          <t>Сошлось по ночным тарифам</t>
        </is>
      </c>
      <c r="AC141" s="2" t="inlineStr"/>
      <c r="AD141" t="n">
        <v>0</v>
      </c>
      <c r="AE141" t="n">
        <v>0</v>
      </c>
      <c r="AF141" t="inlineStr">
        <is>
          <t>Скидки нет</t>
        </is>
      </c>
      <c r="AG141" t="n">
        <v>23200</v>
      </c>
      <c r="AH141" t="n">
        <v>23200</v>
      </c>
      <c r="AI141" t="inlineStr">
        <is>
          <t>Полное проживание в выбранном периоде</t>
        </is>
      </c>
    </row>
    <row r="142">
      <c r="A142" t="inlineStr">
        <is>
          <t>20260817-8186-436203098</t>
        </is>
      </c>
      <c r="B142" t="n">
        <v>1</v>
      </c>
      <c r="C142" s="2" t="inlineStr">
        <is>
          <t>Анна Третьякова</t>
        </is>
      </c>
      <c r="D142" s="3" t="n">
        <v>25245</v>
      </c>
      <c r="E142" s="4" t="n">
        <v>15</v>
      </c>
      <c r="F142" t="inlineStr">
        <is>
          <t>ООО Тинькофф Путешествия [Чайковский]</t>
        </is>
      </c>
      <c r="G142" s="3">
        <f>ROUND(D142/(100-E142)*100,2)</f>
        <v/>
      </c>
      <c r="H142" s="3" t="n">
        <v>4500</v>
      </c>
      <c r="I142" s="3">
        <f>ROUND(IF(ISNUMBER(AG142),AG142,G142)+H142,2)</f>
        <v/>
      </c>
      <c r="J142" s="2" t="inlineStr">
        <is>
          <t>продление номера — 4 500,00 ₽; Завтрак "Шведский стол"</t>
        </is>
      </c>
      <c r="K142" s="5" t="n">
        <v>46251.58333333334</v>
      </c>
      <c r="L142" t="n">
        <v>3</v>
      </c>
      <c r="M142" s="3">
        <f>I142/L142</f>
        <v/>
      </c>
      <c r="N142">
        <f>IF(M142&gt;=5100,"ставка","мин.ставка")</f>
        <v/>
      </c>
      <c r="O142" s="3">
        <f>ROUND(IF(N142="мин.ставка",L142*100,I142/102*2),2)</f>
        <v/>
      </c>
      <c r="P142" s="5" t="n">
        <v>46254.5</v>
      </c>
      <c r="Q142" t="inlineStr">
        <is>
          <t>TravelLine TNK</t>
        </is>
      </c>
      <c r="R142" s="2" t="inlineStr">
        <is>
          <t>СТАНДАРТНЫЙ ДВУХМЕСТНЫЙ НОМЕР (МАНСАРДА)</t>
        </is>
      </c>
      <c r="S142" t="n">
        <v>41</v>
      </c>
      <c r="T142" t="n">
        <v>1</v>
      </c>
      <c r="U142" t="inlineStr"/>
      <c r="V142" t="inlineStr">
        <is>
          <t>Тариф с завтраком</t>
        </is>
      </c>
      <c r="W142" t="n">
        <v>29745</v>
      </c>
      <c r="X142" s="3" t="n">
        <v>4455</v>
      </c>
      <c r="Y142" t="inlineStr">
        <is>
          <t>15%</t>
        </is>
      </c>
      <c r="Z142" t="inlineStr">
        <is>
          <t>2026-08-17, 2026-08-18, 2026-08-19</t>
        </is>
      </c>
      <c r="AA142" s="3" t="n">
        <v>25245</v>
      </c>
      <c r="AB142" t="inlineStr">
        <is>
          <t>Сошлось с услугами</t>
        </is>
      </c>
      <c r="AC142" s="2" t="inlineStr"/>
      <c r="AD142" t="n">
        <v>4455</v>
      </c>
      <c r="AE142" t="n">
        <v>0</v>
      </c>
      <c r="AF142" t="inlineStr">
        <is>
          <t>Скидка добавлена к налоговой базе</t>
        </is>
      </c>
      <c r="AG142" t="n">
        <v>29700</v>
      </c>
      <c r="AH142" t="n">
        <v>25245</v>
      </c>
      <c r="AI142" t="inlineStr">
        <is>
          <t>Полное проживание в выбранном периоде</t>
        </is>
      </c>
    </row>
    <row r="143">
      <c r="A143" t="inlineStr">
        <is>
          <t>20260831-8186-454299326</t>
        </is>
      </c>
      <c r="B143" t="n">
        <v>1</v>
      </c>
      <c r="C143" s="2" t="inlineStr">
        <is>
          <t>Анна Цыркова</t>
        </is>
      </c>
      <c r="D143" s="3" t="n">
        <v>12320</v>
      </c>
      <c r="E143" s="4" t="n">
        <v>18</v>
      </c>
      <c r="F143" t="inlineStr">
        <is>
          <t>Яндекс.Путешествия [Чайковский]</t>
        </is>
      </c>
      <c r="G143" s="3">
        <f>ROUND(D143/(100-E143)*100,2)</f>
        <v/>
      </c>
      <c r="H143" s="3" t="n">
        <v>0</v>
      </c>
      <c r="I143" s="3">
        <f>ROUND(IF(ISNUMBER(AG143),AG143,G143)+H143,2)</f>
        <v/>
      </c>
      <c r="J143" s="2" t="inlineStr">
        <is>
          <t>Завтрак "Шведский стол"</t>
        </is>
      </c>
      <c r="K143" s="5" t="n">
        <v>46265.58333333334</v>
      </c>
      <c r="L143" t="n">
        <v>2</v>
      </c>
      <c r="M143" s="3">
        <f>I143/L143</f>
        <v/>
      </c>
      <c r="N143">
        <f>IF(M143&gt;=5100,"ставка","мин.ставка")</f>
        <v/>
      </c>
      <c r="O143" s="3">
        <f>ROUND(IF(N143="мин.ставка",L143*100,I143/102*2),2)</f>
        <v/>
      </c>
      <c r="P143" s="5" t="n">
        <v>46267.5</v>
      </c>
      <c r="Q143" t="inlineStr">
        <is>
          <t>TravelLine YAX</t>
        </is>
      </c>
      <c r="R143" s="2" t="inlineStr">
        <is>
          <t>СТАНДАРТНЫЙ ОДНОМЕСТНЫЙ НОМЕР</t>
        </is>
      </c>
      <c r="S143" t="n">
        <v>24</v>
      </c>
      <c r="T143" t="n">
        <v>1</v>
      </c>
      <c r="U143" t="inlineStr"/>
      <c r="V143" t="inlineStr">
        <is>
          <t>Тариф с завтраком</t>
        </is>
      </c>
      <c r="W143" t="n">
        <v>12320</v>
      </c>
      <c r="X143" s="3" t="n">
        <v>3080</v>
      </c>
      <c r="Y143" t="inlineStr">
        <is>
          <t>20%</t>
        </is>
      </c>
      <c r="Z143" t="inlineStr">
        <is>
          <t>2026-08-31, 2026-09-01</t>
        </is>
      </c>
      <c r="AA143" s="3" t="n">
        <v>12320</v>
      </c>
      <c r="AB143" t="inlineStr">
        <is>
          <t>Сошлось по ночным тарифам</t>
        </is>
      </c>
      <c r="AC143" s="2" t="inlineStr"/>
      <c r="AD143" t="n">
        <v>3080</v>
      </c>
      <c r="AE143" t="n">
        <v>0</v>
      </c>
      <c r="AF143" t="inlineStr">
        <is>
          <t>Скидка добавлена к налоговой базе</t>
        </is>
      </c>
      <c r="AG143" t="n">
        <v>15400</v>
      </c>
      <c r="AH143" t="n">
        <v>12320</v>
      </c>
      <c r="AI143" t="inlineStr">
        <is>
          <t>Полное проживание в выбранном периоде</t>
        </is>
      </c>
    </row>
    <row r="144">
      <c r="A144" t="inlineStr">
        <is>
          <t>20260727-8186-452904323</t>
        </is>
      </c>
      <c r="B144" t="n">
        <v>1</v>
      </c>
      <c r="C144" s="2" t="inlineStr">
        <is>
          <t>Анна Чернова</t>
        </is>
      </c>
      <c r="D144" s="3" t="n">
        <v>6320</v>
      </c>
      <c r="E144" s="4" t="n">
        <v>18</v>
      </c>
      <c r="F144" t="inlineStr">
        <is>
          <t>Яндекс.Путешествия [Чайковский]</t>
        </is>
      </c>
      <c r="G144" s="3">
        <f>ROUND(D144/(100-E144)*100,2)</f>
        <v/>
      </c>
      <c r="H144" s="3" t="n">
        <v>0</v>
      </c>
      <c r="I144" s="3">
        <f>ROUND(IF(ISNUMBER(AG144),AG144,G144)+H144,2)</f>
        <v/>
      </c>
      <c r="J144" s="2" t="inlineStr">
        <is>
          <t>Завтрак "Шведский стол"</t>
        </is>
      </c>
      <c r="K144" s="5" t="n">
        <v>46230.58333333334</v>
      </c>
      <c r="L144" t="n">
        <v>1</v>
      </c>
      <c r="M144" s="3">
        <f>I144/L144</f>
        <v/>
      </c>
      <c r="N144">
        <f>IF(M144&gt;=5100,"ставка","мин.ставка")</f>
        <v/>
      </c>
      <c r="O144" s="3">
        <f>ROUND(IF(N144="мин.ставка",L144*100,I144/102*2),2)</f>
        <v/>
      </c>
      <c r="P144" s="5" t="n">
        <v>46231.5</v>
      </c>
      <c r="Q144" t="inlineStr">
        <is>
          <t>TravelLine YAX</t>
        </is>
      </c>
      <c r="R144" s="2" t="inlineStr">
        <is>
          <t>СТАНДАРТНЫЙ ДВУХМЕСТНЫЙ НОМЕР (МАНСАРДА)</t>
        </is>
      </c>
      <c r="S144" t="n">
        <v>47</v>
      </c>
      <c r="T144" t="n">
        <v>1</v>
      </c>
      <c r="U144" t="inlineStr"/>
      <c r="V144" t="inlineStr">
        <is>
          <t>Тариф с завтраком</t>
        </is>
      </c>
      <c r="W144" t="n">
        <v>6320</v>
      </c>
      <c r="X144" s="3" t="n">
        <v>1580</v>
      </c>
      <c r="Y144" t="inlineStr">
        <is>
          <t>20%</t>
        </is>
      </c>
      <c r="Z144" t="inlineStr">
        <is>
          <t>2026-07-27</t>
        </is>
      </c>
      <c r="AA144" s="3" t="n">
        <v>6320</v>
      </c>
      <c r="AB144" t="inlineStr">
        <is>
          <t>Сошлось по ночным тарифам</t>
        </is>
      </c>
      <c r="AC144" s="2" t="inlineStr"/>
      <c r="AD144" t="n">
        <v>1580</v>
      </c>
      <c r="AE144" t="n">
        <v>0</v>
      </c>
      <c r="AF144" t="inlineStr">
        <is>
          <t>Скидка добавлена к налоговой базе</t>
        </is>
      </c>
      <c r="AG144" t="n">
        <v>7900</v>
      </c>
      <c r="AH144" t="n">
        <v>6320</v>
      </c>
      <c r="AI144" t="inlineStr">
        <is>
          <t>Полное проживание в выбранном периоде</t>
        </is>
      </c>
    </row>
    <row r="145">
      <c r="A145" t="inlineStr">
        <is>
          <t>20260929-8186-469009651</t>
        </is>
      </c>
      <c r="B145" t="n">
        <v>1</v>
      </c>
      <c r="C145" s="2" t="inlineStr">
        <is>
          <t>АННА ЧЕРНОВА</t>
        </is>
      </c>
      <c r="D145" s="3" t="n">
        <v>10050</v>
      </c>
      <c r="E145" s="4" t="n">
        <v>18</v>
      </c>
      <c r="F145" t="inlineStr">
        <is>
          <t>Яндекс.Путешествия [Чайковский]</t>
        </is>
      </c>
      <c r="G145" s="3">
        <f>ROUND(D145/(100-E145)*100,2)</f>
        <v/>
      </c>
      <c r="H145" s="3" t="n">
        <v>0</v>
      </c>
      <c r="I145" s="3">
        <f>ROUND(IF(ISNUMBER(AG145),AG145,G145)+H145,2)</f>
        <v/>
      </c>
      <c r="J145" s="2" t="inlineStr">
        <is>
          <t>Завтрак "Шведский стол"</t>
        </is>
      </c>
      <c r="K145" s="5" t="n">
        <v>46294.58333333334</v>
      </c>
      <c r="L145" t="n">
        <v>1</v>
      </c>
      <c r="M145" s="3">
        <f>I145/L145</f>
        <v/>
      </c>
      <c r="N145">
        <f>IF(M145&gt;=5100,"ставка","мин.ставка")</f>
        <v/>
      </c>
      <c r="O145" s="3">
        <f>ROUND(IF(N145="мин.ставка",L145*100,I145/102*2),2)</f>
        <v/>
      </c>
      <c r="P145" s="5" t="n">
        <v>46295.5</v>
      </c>
      <c r="Q145" t="inlineStr">
        <is>
          <t>TravelLine YAX</t>
        </is>
      </c>
      <c r="R145" s="2" t="inlineStr">
        <is>
          <t>УЛУЧШЕННЫЙ ДВУХМЕСТНЫЙ НОМЕР</t>
        </is>
      </c>
      <c r="S145" t="n">
        <v>21</v>
      </c>
      <c r="T145" t="n">
        <v>1</v>
      </c>
      <c r="U145" t="inlineStr"/>
      <c r="V145" t="inlineStr">
        <is>
          <t>Тариф с завтраком</t>
        </is>
      </c>
      <c r="W145" t="n">
        <v>10050</v>
      </c>
      <c r="X145" s="3" t="n">
        <v>3350</v>
      </c>
      <c r="Y145" t="inlineStr">
        <is>
          <t>25%</t>
        </is>
      </c>
      <c r="Z145" t="inlineStr">
        <is>
          <t>2026-09-29</t>
        </is>
      </c>
      <c r="AA145" s="3" t="n">
        <v>10050</v>
      </c>
      <c r="AB145" t="inlineStr">
        <is>
          <t>Сошлось по ночным тарифам</t>
        </is>
      </c>
      <c r="AC145" s="2" t="inlineStr"/>
      <c r="AD145" t="n">
        <v>3350</v>
      </c>
      <c r="AE145" t="n">
        <v>0</v>
      </c>
      <c r="AF145" t="inlineStr">
        <is>
          <t>Скидка добавлена к налоговой базе</t>
        </is>
      </c>
      <c r="AG145" t="n">
        <v>13400</v>
      </c>
      <c r="AH145" t="n">
        <v>10050</v>
      </c>
      <c r="AI145" t="inlineStr">
        <is>
          <t>Полное проживание в выбранном периоде</t>
        </is>
      </c>
    </row>
    <row r="146">
      <c r="A146" t="inlineStr">
        <is>
          <t>20260807-8186-454714281</t>
        </is>
      </c>
      <c r="B146" t="n">
        <v>1</v>
      </c>
      <c r="C146" s="2" t="inlineStr">
        <is>
          <t>Антон Климин</t>
        </is>
      </c>
      <c r="D146" s="3" t="n">
        <v>12782</v>
      </c>
      <c r="E146" s="4" t="n">
        <v>0</v>
      </c>
      <c r="F146" t="inlineStr">
        <is>
          <t>Прямые бронирования (стойка) [Чайковский]</t>
        </is>
      </c>
      <c r="G146" s="3">
        <f>ROUND(D146/(100-E146)*100,2)</f>
        <v/>
      </c>
      <c r="H146" s="3" t="n">
        <v>0</v>
      </c>
      <c r="I146" s="3">
        <f>ROUND(IF(ISNUMBER(AG146),AG146,G146)+H146,2)</f>
        <v/>
      </c>
      <c r="J146" s="2" t="inlineStr">
        <is>
          <t>Завтрак "Шведский стол"</t>
        </is>
      </c>
      <c r="K146" s="5" t="n">
        <v>46241.58333333334</v>
      </c>
      <c r="L146" t="n">
        <v>2</v>
      </c>
      <c r="M146" s="3">
        <f>I146/L146</f>
        <v/>
      </c>
      <c r="N146">
        <f>IF(M146&gt;=5100,"ставка","мин.ставка")</f>
        <v/>
      </c>
      <c r="O146" s="3">
        <f>ROUND(IF(N146="мин.ставка",L146*100,I146/102*2),2)</f>
        <v/>
      </c>
      <c r="P146" s="5" t="n">
        <v>46243.5</v>
      </c>
      <c r="Q146" t="inlineStr">
        <is>
          <t>TravelLine CMB</t>
        </is>
      </c>
      <c r="R146" s="2" t="inlineStr">
        <is>
          <t>СТАНДАРТНЫЙ ОДНОМЕСТНЫЙ НОМЕР</t>
        </is>
      </c>
      <c r="S146" t="n">
        <v>34</v>
      </c>
      <c r="T146" t="n">
        <v>1</v>
      </c>
      <c r="U146" t="inlineStr"/>
      <c r="V146" t="inlineStr">
        <is>
          <t>Тариф с завтраком</t>
        </is>
      </c>
      <c r="W146" t="n">
        <v>12782</v>
      </c>
      <c r="X146" s="3" t="n">
        <v>2618</v>
      </c>
      <c r="Y146" t="inlineStr">
        <is>
          <t>17%</t>
        </is>
      </c>
      <c r="Z146" t="inlineStr">
        <is>
          <t>2026-08-07, 2026-08-08</t>
        </is>
      </c>
      <c r="AA146" s="3" t="n">
        <v>12782</v>
      </c>
      <c r="AB146" t="inlineStr">
        <is>
          <t>Сошлось по ночным тарифам</t>
        </is>
      </c>
      <c r="AC146" s="2" t="inlineStr"/>
      <c r="AD146" t="n">
        <v>2618</v>
      </c>
      <c r="AE146" t="n">
        <v>0</v>
      </c>
      <c r="AF146" t="inlineStr">
        <is>
          <t>Скидка добавлена к налоговой базе</t>
        </is>
      </c>
      <c r="AG146" t="n">
        <v>15400</v>
      </c>
      <c r="AH146" t="n">
        <v>12782</v>
      </c>
      <c r="AI146" t="inlineStr">
        <is>
          <t>Полное проживание в выбранном периоде</t>
        </is>
      </c>
    </row>
    <row r="147">
      <c r="A147" t="inlineStr">
        <is>
          <t>20260922-8186-466199429</t>
        </is>
      </c>
      <c r="B147" t="n">
        <v>1</v>
      </c>
      <c r="C147" s="2" t="inlineStr">
        <is>
          <t>АНТОН КУЗЬМИН</t>
        </is>
      </c>
      <c r="D147" s="3" t="n">
        <v>27921</v>
      </c>
      <c r="E147" s="4" t="n">
        <v>18</v>
      </c>
      <c r="F147" t="inlineStr">
        <is>
          <t>ООО "ТРИВИО СЕРВИС" [Чайковский]</t>
        </is>
      </c>
      <c r="G147" s="3">
        <f>ROUND(D147/(100-E147)*100,2)</f>
        <v/>
      </c>
      <c r="H147" s="3" t="n">
        <v>9307</v>
      </c>
      <c r="I147" s="3">
        <f>ROUND(IF(ISNUMBER(AG147),AG147,G147)+H147,2)</f>
        <v/>
      </c>
      <c r="J147" s="2" t="inlineStr">
        <is>
          <t>Завтрак "Шведский стол"; Ранний заезд — 9 307,00 ₽</t>
        </is>
      </c>
      <c r="K147" s="5" t="n">
        <v>46287.29166666666</v>
      </c>
      <c r="L147" t="n">
        <v>3</v>
      </c>
      <c r="M147" s="3">
        <f>I147/L147</f>
        <v/>
      </c>
      <c r="N147">
        <f>IF(M147&gt;=5100,"ставка","мин.ставка")</f>
        <v/>
      </c>
      <c r="O147" s="3">
        <f>ROUND(IF(N147="мин.ставка",L147*100,I147/102*2),2)</f>
        <v/>
      </c>
      <c r="P147" s="5" t="n">
        <v>46290.5</v>
      </c>
      <c r="Q147" t="inlineStr">
        <is>
          <t>TravelLine TIO</t>
        </is>
      </c>
      <c r="R147" s="2" t="inlineStr">
        <is>
          <t>СТАНДАРТНЫЙ ДВУХМЕСТНЫЙ НОМЕР</t>
        </is>
      </c>
      <c r="S147" t="n">
        <v>46</v>
      </c>
      <c r="T147" t="n">
        <v>1</v>
      </c>
      <c r="U147" t="inlineStr"/>
      <c r="V147" t="inlineStr">
        <is>
          <t>Тариф с завтраком</t>
        </is>
      </c>
      <c r="W147" t="n">
        <v>37228</v>
      </c>
      <c r="X147" s="3" t="n">
        <v>0</v>
      </c>
      <c r="Y147" t="inlineStr"/>
      <c r="Z147" t="inlineStr"/>
      <c r="AA147" s="3" t="n">
        <v>27921</v>
      </c>
      <c r="AB147" t="inlineStr">
        <is>
          <t>Расхождение -9307.00 ₽</t>
        </is>
      </c>
      <c r="AC147" s="2" t="inlineStr"/>
      <c r="AD147" t="n">
        <v>0</v>
      </c>
      <c r="AE147" t="n">
        <v>0</v>
      </c>
      <c r="AF147" t="inlineStr">
        <is>
          <t>Скидки нет</t>
        </is>
      </c>
      <c r="AG147" t="n">
        <v>27921</v>
      </c>
      <c r="AH147" t="n">
        <v>27921</v>
      </c>
      <c r="AI147" t="inlineStr">
        <is>
          <t>Полное проживание в выбранном периоде</t>
        </is>
      </c>
    </row>
    <row r="148">
      <c r="A148" t="inlineStr">
        <is>
          <t>20260712-8186-420926544</t>
        </is>
      </c>
      <c r="B148" t="n">
        <v>1</v>
      </c>
      <c r="C148" s="2" t="inlineStr">
        <is>
          <t>Антон Левкович, ИРИНА ЛЕВКОВИЧ</t>
        </is>
      </c>
      <c r="D148" s="3" t="n">
        <v>64080</v>
      </c>
      <c r="E148" s="4" t="n">
        <v>18</v>
      </c>
      <c r="F148" t="inlineStr">
        <is>
          <t>Яндекс.Путешествия [Чайковский]</t>
        </is>
      </c>
      <c r="G148" s="3">
        <f>ROUND(D148/(100-E148)*100,2)</f>
        <v/>
      </c>
      <c r="H148" s="3" t="n">
        <v>0</v>
      </c>
      <c r="I148" s="3">
        <f>ROUND(IF(ISNUMBER(AG148),AG148,G148)+H148,2)</f>
        <v/>
      </c>
      <c r="J148" s="2" t="inlineStr">
        <is>
          <t>Завтрак "Шведский стол"</t>
        </is>
      </c>
      <c r="K148" s="5" t="n">
        <v>46215.58333333334</v>
      </c>
      <c r="L148" t="n">
        <v>6</v>
      </c>
      <c r="M148" s="3">
        <f>I148/L148</f>
        <v/>
      </c>
      <c r="N148">
        <f>IF(M148&gt;=5100,"ставка","мин.ставка")</f>
        <v/>
      </c>
      <c r="O148" s="3">
        <f>ROUND(IF(N148="мин.ставка",L148*100,I148/102*2),2)</f>
        <v/>
      </c>
      <c r="P148" s="5" t="n">
        <v>46221.5</v>
      </c>
      <c r="Q148" t="inlineStr">
        <is>
          <t>TravelLine YAX</t>
        </is>
      </c>
      <c r="R148" s="2" t="inlineStr">
        <is>
          <t>СТАНДАРТНЫЙ ДВУХМЕСТНЫЙ НОМЕР</t>
        </is>
      </c>
      <c r="S148" t="n">
        <v>32</v>
      </c>
      <c r="T148" t="n">
        <v>1</v>
      </c>
      <c r="U148" t="inlineStr"/>
      <c r="V148" t="inlineStr">
        <is>
          <t>Тариф с завтраком</t>
        </is>
      </c>
      <c r="W148" t="n">
        <v>64080</v>
      </c>
      <c r="X148" s="3" t="n">
        <v>16020</v>
      </c>
      <c r="Y148" t="inlineStr">
        <is>
          <t>20%</t>
        </is>
      </c>
      <c r="Z148" t="inlineStr">
        <is>
          <t>2026-07-12, 2026-07-13, 2026-07-14, 2026-07-15, 2026-07-16, 2026-07-17</t>
        </is>
      </c>
      <c r="AA148" s="3" t="n">
        <v>64080</v>
      </c>
      <c r="AB148" t="inlineStr">
        <is>
          <t>Сошлось по ночным тарифам</t>
        </is>
      </c>
      <c r="AC148" s="2" t="inlineStr"/>
      <c r="AD148" t="n">
        <v>16020</v>
      </c>
      <c r="AE148" t="n">
        <v>0</v>
      </c>
      <c r="AF148" t="inlineStr">
        <is>
          <t>Скидка добавлена к налоговой базе</t>
        </is>
      </c>
      <c r="AG148" t="n">
        <v>80100</v>
      </c>
      <c r="AH148" t="n">
        <v>64080</v>
      </c>
      <c r="AI148" t="inlineStr">
        <is>
          <t>Полное проживание в выбранном периоде</t>
        </is>
      </c>
    </row>
    <row r="149">
      <c r="A149" t="inlineStr">
        <is>
          <t>20260915-8186-462867776</t>
        </is>
      </c>
      <c r="B149" t="n">
        <v>1</v>
      </c>
      <c r="C149" s="2" t="inlineStr">
        <is>
          <t>Антон Панарин, Елена Гущина</t>
        </is>
      </c>
      <c r="D149" s="3" t="n">
        <v>26180</v>
      </c>
      <c r="E149" s="4" t="n">
        <v>15</v>
      </c>
      <c r="F149" t="inlineStr">
        <is>
          <t>ООО Тинькофф Путешествия [Чайковский]</t>
        </is>
      </c>
      <c r="G149" s="3">
        <f>ROUND(D149/(100-E149)*100,2)</f>
        <v/>
      </c>
      <c r="H149" s="3" t="n">
        <v>0</v>
      </c>
      <c r="I149" s="3">
        <f>ROUND(IF(ISNUMBER(AG149),AG149,G149)+H149,2)</f>
        <v/>
      </c>
      <c r="J149" s="2" t="inlineStr">
        <is>
          <t>Завтрак "Шведский стол"</t>
        </is>
      </c>
      <c r="K149" s="5" t="n">
        <v>46280.91666666666</v>
      </c>
      <c r="L149" t="n">
        <v>2</v>
      </c>
      <c r="M149" s="3">
        <f>I149/L149</f>
        <v/>
      </c>
      <c r="N149">
        <f>IF(M149&gt;=5100,"ставка","мин.ставка")</f>
        <v/>
      </c>
      <c r="O149" s="3">
        <f>ROUND(IF(N149="мин.ставка",L149*100,I149/102*2),2)</f>
        <v/>
      </c>
      <c r="P149" s="5" t="n">
        <v>46282.5</v>
      </c>
      <c r="Q149" t="inlineStr">
        <is>
          <t>TravelLine TNK</t>
        </is>
      </c>
      <c r="R149" s="2" t="inlineStr">
        <is>
          <t>УЛУЧШЕННЫЙ ДВУХМЕСТНЫЙ НОМЕР</t>
        </is>
      </c>
      <c r="S149" t="n">
        <v>31</v>
      </c>
      <c r="T149" t="n">
        <v>1</v>
      </c>
      <c r="U149" t="inlineStr"/>
      <c r="V149" t="inlineStr">
        <is>
          <t>Тариф с завтраком</t>
        </is>
      </c>
      <c r="W149" t="n">
        <v>26180</v>
      </c>
      <c r="X149" s="3" t="n">
        <v>4620</v>
      </c>
      <c r="Y149" t="inlineStr">
        <is>
          <t>15%</t>
        </is>
      </c>
      <c r="Z149" t="inlineStr">
        <is>
          <t>2026-09-15, 2026-09-16</t>
        </is>
      </c>
      <c r="AA149" s="3" t="n">
        <v>26180</v>
      </c>
      <c r="AB149" t="inlineStr">
        <is>
          <t>Сошлось по ночным тарифам</t>
        </is>
      </c>
      <c r="AC149" s="2" t="inlineStr"/>
      <c r="AD149" t="n">
        <v>4620</v>
      </c>
      <c r="AE149" t="n">
        <v>0</v>
      </c>
      <c r="AF149" t="inlineStr">
        <is>
          <t>Скидка добавлена к налоговой базе</t>
        </is>
      </c>
      <c r="AG149" t="n">
        <v>30800</v>
      </c>
      <c r="AH149" t="n">
        <v>26180</v>
      </c>
      <c r="AI149" t="inlineStr">
        <is>
          <t>Полное проживание в выбранном периоде</t>
        </is>
      </c>
    </row>
    <row r="150">
      <c r="A150" t="inlineStr">
        <is>
          <t>20260713-8186-448881093</t>
        </is>
      </c>
      <c r="B150" t="n">
        <v>1</v>
      </c>
      <c r="C150" s="2" t="inlineStr">
        <is>
          <t>Антон Порядин</t>
        </is>
      </c>
      <c r="D150" s="3" t="n">
        <v>6478</v>
      </c>
      <c r="E150" s="4" t="n">
        <v>18</v>
      </c>
      <c r="F150" t="inlineStr">
        <is>
          <t>ООО "Эй энд Эй" [Чайковский]</t>
        </is>
      </c>
      <c r="G150" s="3">
        <f>ROUND(D150/(100-E150)*100,2)</f>
        <v/>
      </c>
      <c r="H150" s="3" t="n">
        <v>0</v>
      </c>
      <c r="I150" s="3">
        <f>ROUND(IF(ISNUMBER(AG150),AG150,G150)+H150,2)</f>
        <v/>
      </c>
      <c r="J150" s="2" t="inlineStr">
        <is>
          <t>Завтрак "Шведский стол"</t>
        </is>
      </c>
      <c r="K150" s="5" t="n">
        <v>46216.58333333334</v>
      </c>
      <c r="L150" t="n">
        <v>1</v>
      </c>
      <c r="M150" s="3">
        <f>I150/L150</f>
        <v/>
      </c>
      <c r="N150">
        <f>IF(M150&gt;=5100,"ставка","мин.ставка")</f>
        <v/>
      </c>
      <c r="O150" s="3">
        <f>ROUND(IF(N150="мин.ставка",L150*100,I150/102*2),2)</f>
        <v/>
      </c>
      <c r="P150" s="5" t="n">
        <v>46217.5</v>
      </c>
      <c r="Q150" t="inlineStr">
        <is>
          <t>TravelLine ANA</t>
        </is>
      </c>
      <c r="R150" s="2" t="inlineStr">
        <is>
          <t>СТАНДАРТНЫЙ ДВУХМЕСТНЫЙ НОМЕР (МАНСАРДА)</t>
        </is>
      </c>
      <c r="S150" t="n">
        <v>47</v>
      </c>
      <c r="T150" t="n">
        <v>1</v>
      </c>
      <c r="U150" t="inlineStr"/>
      <c r="V150" t="inlineStr">
        <is>
          <t>Тариф с завтраком</t>
        </is>
      </c>
      <c r="W150" t="n">
        <v>6478</v>
      </c>
      <c r="X150" s="3" t="n">
        <v>1422</v>
      </c>
      <c r="Y150" t="inlineStr">
        <is>
          <t>18%</t>
        </is>
      </c>
      <c r="Z150" t="inlineStr">
        <is>
          <t>2026-07-13</t>
        </is>
      </c>
      <c r="AA150" s="3" t="n">
        <v>6478</v>
      </c>
      <c r="AB150" t="inlineStr">
        <is>
          <t>Сошлось по ночным тарифам</t>
        </is>
      </c>
      <c r="AC150" s="2" t="inlineStr"/>
      <c r="AD150" t="n">
        <v>1422</v>
      </c>
      <c r="AE150" t="n">
        <v>0</v>
      </c>
      <c r="AF150" t="inlineStr">
        <is>
          <t>Скидка добавлена к налоговой базе</t>
        </is>
      </c>
      <c r="AG150" t="n">
        <v>7900</v>
      </c>
      <c r="AH150" t="n">
        <v>6478</v>
      </c>
      <c r="AI150" t="inlineStr">
        <is>
          <t>Полное проживание в выбранном периоде</t>
        </is>
      </c>
    </row>
    <row r="151">
      <c r="A151" t="inlineStr">
        <is>
          <t>20260806-8186-450640950</t>
        </is>
      </c>
      <c r="B151" t="n">
        <v>1</v>
      </c>
      <c r="C151" s="2" t="inlineStr">
        <is>
          <t>АНТОН СЕМЕНЦОВ</t>
        </is>
      </c>
      <c r="D151" s="3" t="n">
        <v>28942.5</v>
      </c>
      <c r="E151" s="4" t="n">
        <v>15</v>
      </c>
      <c r="F151" t="inlineStr">
        <is>
          <t>ООО «12Т» (ранее ONE TWO TRIP) [Чайковский]</t>
        </is>
      </c>
      <c r="G151" s="3">
        <f>ROUND(D151/(100-E151)*100,2)</f>
        <v/>
      </c>
      <c r="H151" s="3" t="n">
        <v>0</v>
      </c>
      <c r="I151" s="3">
        <f>ROUND(IF(ISNUMBER(AG151),AG151,G151)+H151,2)</f>
        <v/>
      </c>
      <c r="J151" s="2" t="inlineStr">
        <is>
          <t>Завтрак "Шведский стол"</t>
        </is>
      </c>
      <c r="K151" s="5" t="n">
        <v>46240.58333333334</v>
      </c>
      <c r="L151" t="n">
        <v>3</v>
      </c>
      <c r="M151" s="3">
        <f>I151/L151</f>
        <v/>
      </c>
      <c r="N151">
        <f>IF(M151&gt;=5100,"ставка","мин.ставка")</f>
        <v/>
      </c>
      <c r="O151" s="3">
        <f>ROUND(IF(N151="мин.ставка",L151*100,I151/102*2),2)</f>
        <v/>
      </c>
      <c r="P151" s="5" t="n">
        <v>46243.5</v>
      </c>
      <c r="Q151" t="inlineStr">
        <is>
          <t>TravelLine OTT</t>
        </is>
      </c>
      <c r="R151" s="2" t="inlineStr">
        <is>
          <t>СТАНДАРТНЫЙ ДВУХМЕСТНЫЙ НОМЕР</t>
        </is>
      </c>
      <c r="S151" t="n">
        <v>23</v>
      </c>
      <c r="T151" t="n">
        <v>1</v>
      </c>
      <c r="U151" t="inlineStr"/>
      <c r="V151" t="inlineStr">
        <is>
          <t>Тариф с завтраком</t>
        </is>
      </c>
      <c r="W151" t="n">
        <v>86827.5</v>
      </c>
      <c r="X151" s="3" t="n">
        <v>5107.5</v>
      </c>
      <c r="Y151" t="inlineStr">
        <is>
          <t>15%</t>
        </is>
      </c>
      <c r="Z151" t="inlineStr">
        <is>
          <t>2026-08-06, 2026-08-07, 2026-08-08</t>
        </is>
      </c>
      <c r="AA151" s="3" t="n">
        <v>28942.5</v>
      </c>
      <c r="AB151" t="inlineStr">
        <is>
          <t>Сошлось по ночным тарифам</t>
        </is>
      </c>
      <c r="AC151" s="2" t="inlineStr"/>
      <c r="AD151" t="n">
        <v>5107.5</v>
      </c>
      <c r="AE151" t="n">
        <v>0</v>
      </c>
      <c r="AF151" t="inlineStr">
        <is>
          <t>Скидка добавлена к налоговой базе</t>
        </is>
      </c>
      <c r="AG151" t="n">
        <v>34050</v>
      </c>
      <c r="AH151" t="n">
        <v>28942.5</v>
      </c>
      <c r="AI151" t="inlineStr">
        <is>
          <t>Полное проживание в выбранном периоде</t>
        </is>
      </c>
    </row>
    <row r="152">
      <c r="A152" t="inlineStr">
        <is>
          <t>20260728-8186-452928899</t>
        </is>
      </c>
      <c r="B152" t="n">
        <v>1</v>
      </c>
      <c r="C152" s="2" t="inlineStr">
        <is>
          <t>Антон Тузов</t>
        </is>
      </c>
      <c r="D152" s="3" t="n">
        <v>6320</v>
      </c>
      <c r="E152" s="4" t="n">
        <v>20</v>
      </c>
      <c r="F152" t="inlineStr">
        <is>
          <t>ООО "УК ГЦБ и Т" [Чайковский]</t>
        </is>
      </c>
      <c r="G152" s="3">
        <f>ROUND(D152/(100-E152)*100,2)</f>
        <v/>
      </c>
      <c r="H152" s="3" t="n">
        <v>0</v>
      </c>
      <c r="I152" s="3">
        <f>ROUND(IF(ISNUMBER(AG152),AG152,G152)+H152,2)</f>
        <v/>
      </c>
      <c r="J152" s="2" t="inlineStr">
        <is>
          <t>Завтрак; Завтрак "Шведский стол"</t>
        </is>
      </c>
      <c r="K152" s="5" t="n">
        <v>46231.58333333334</v>
      </c>
      <c r="L152" t="n">
        <v>1</v>
      </c>
      <c r="M152" s="3">
        <f>I152/L152</f>
        <v/>
      </c>
      <c r="N152">
        <f>IF(M152&gt;=5100,"ставка","мин.ставка")</f>
        <v/>
      </c>
      <c r="O152" s="3">
        <f>ROUND(IF(N152="мин.ставка",L152*100,I152/102*2),2)</f>
        <v/>
      </c>
      <c r="P152" s="5" t="n">
        <v>46232.5</v>
      </c>
      <c r="Q152" t="inlineStr">
        <is>
          <t>TravelLine CBC</t>
        </is>
      </c>
      <c r="R152" s="2" t="inlineStr">
        <is>
          <t>СТАНДАРТНЫЙ ДВУХМЕСТНЫЙ НОМЕР (МАНСАРДА)</t>
        </is>
      </c>
      <c r="S152" t="n">
        <v>41</v>
      </c>
      <c r="T152" t="n">
        <v>1</v>
      </c>
      <c r="U152" t="inlineStr"/>
      <c r="V152" t="inlineStr">
        <is>
          <t>Тариф с завтраком</t>
        </is>
      </c>
      <c r="W152" t="n">
        <v>6320</v>
      </c>
      <c r="X152" s="3" t="n">
        <v>1580</v>
      </c>
      <c r="Y152" t="inlineStr">
        <is>
          <t>20%</t>
        </is>
      </c>
      <c r="Z152" t="inlineStr">
        <is>
          <t>2026-07-28</t>
        </is>
      </c>
      <c r="AA152" s="3" t="n">
        <v>6320</v>
      </c>
      <c r="AB152" t="inlineStr">
        <is>
          <t>Сошлось по ночным тарифам</t>
        </is>
      </c>
      <c r="AC152" s="2" t="inlineStr"/>
      <c r="AD152" t="n">
        <v>1580</v>
      </c>
      <c r="AE152" t="n">
        <v>0</v>
      </c>
      <c r="AF152" t="inlineStr">
        <is>
          <t>Скидка добавлена к налоговой базе</t>
        </is>
      </c>
      <c r="AG152" t="n">
        <v>7900</v>
      </c>
      <c r="AH152" t="n">
        <v>6320</v>
      </c>
      <c r="AI152" t="inlineStr">
        <is>
          <t>Полное проживание в выбранном периоде</t>
        </is>
      </c>
    </row>
    <row r="153">
      <c r="A153" t="inlineStr">
        <is>
          <t>20260723-8186-439560864</t>
        </is>
      </c>
      <c r="B153" t="n">
        <v>1</v>
      </c>
      <c r="C153" s="2" t="inlineStr">
        <is>
          <t>Антон Чуйко, Варвара Соловьева</t>
        </is>
      </c>
      <c r="D153" s="3" t="n">
        <v>22695</v>
      </c>
      <c r="E153" s="4" t="n">
        <v>15</v>
      </c>
      <c r="F153" t="inlineStr">
        <is>
          <t>ООО "БРОНИРОВАНИЕ ГОСТИНИЦ" (OSTROVOK) [Чайковский]</t>
        </is>
      </c>
      <c r="G153" s="3">
        <f>ROUND(D153/(100-E153)*100,2)</f>
        <v/>
      </c>
      <c r="H153" s="3" t="n">
        <v>0</v>
      </c>
      <c r="I153" s="3">
        <f>ROUND(IF(ISNUMBER(AG153),AG153,G153)+H153,2)</f>
        <v/>
      </c>
      <c r="J153" s="2" t="inlineStr">
        <is>
          <t>Завтрак "Шведский стол"</t>
        </is>
      </c>
      <c r="K153" s="5" t="n">
        <v>46226.58333333334</v>
      </c>
      <c r="L153" t="n">
        <v>2</v>
      </c>
      <c r="M153" s="3">
        <f>I153/L153</f>
        <v/>
      </c>
      <c r="N153">
        <f>IF(M153&gt;=5100,"ставка","мин.ставка")</f>
        <v/>
      </c>
      <c r="O153" s="3">
        <f>ROUND(IF(N153="мин.ставка",L153*100,I153/102*2),2)</f>
        <v/>
      </c>
      <c r="P153" s="5" t="n">
        <v>46228.5</v>
      </c>
      <c r="Q153" t="inlineStr">
        <is>
          <t>TravelLine OTK</t>
        </is>
      </c>
      <c r="R153" s="2" t="inlineStr">
        <is>
          <t>СТАНДАРТНЫЙ ДВУХМЕСТНЫЙ НОМЕР</t>
        </is>
      </c>
      <c r="S153" t="n">
        <v>42</v>
      </c>
      <c r="T153" t="n">
        <v>1</v>
      </c>
      <c r="U153" t="inlineStr"/>
      <c r="V153" t="inlineStr">
        <is>
          <t>Тариф с завтраком</t>
        </is>
      </c>
      <c r="W153" t="n">
        <v>22695</v>
      </c>
      <c r="X153" s="3" t="n">
        <v>4005</v>
      </c>
      <c r="Y153" t="inlineStr">
        <is>
          <t>15%</t>
        </is>
      </c>
      <c r="Z153" t="inlineStr">
        <is>
          <t>2026-07-23, 2026-07-24</t>
        </is>
      </c>
      <c r="AA153" s="3" t="n">
        <v>22695</v>
      </c>
      <c r="AB153" t="inlineStr">
        <is>
          <t>Сошлось по ночным тарифам</t>
        </is>
      </c>
      <c r="AC153" s="2" t="inlineStr"/>
      <c r="AD153" t="n">
        <v>4005</v>
      </c>
      <c r="AE153" t="n">
        <v>0</v>
      </c>
      <c r="AF153" t="inlineStr">
        <is>
          <t>Скидка добавлена к налоговой базе</t>
        </is>
      </c>
      <c r="AG153" t="n">
        <v>26700</v>
      </c>
      <c r="AH153" t="n">
        <v>22695</v>
      </c>
      <c r="AI153" t="inlineStr">
        <is>
          <t>Полное проживание в выбранном периоде</t>
        </is>
      </c>
    </row>
    <row r="154">
      <c r="A154" t="inlineStr">
        <is>
          <t>20260824-8186-408385125</t>
        </is>
      </c>
      <c r="B154" t="n">
        <v>1</v>
      </c>
      <c r="C154" s="2" t="inlineStr">
        <is>
          <t>Арина Николаенкова</t>
        </is>
      </c>
      <c r="D154" s="3" t="n">
        <v>47281.5</v>
      </c>
      <c r="E154" s="4" t="n">
        <v>4</v>
      </c>
      <c r="F154" t="inlineStr">
        <is>
          <t>TravelLine Booking Engine [Чайковский]</t>
        </is>
      </c>
      <c r="G154" s="3">
        <f>ROUND(D154/(100-E154)*100,2)</f>
        <v/>
      </c>
      <c r="H154" s="3" t="n">
        <v>0</v>
      </c>
      <c r="I154" s="3">
        <f>ROUND(IF(ISNUMBER(AG154),AG154,G154)+H154,2)</f>
        <v/>
      </c>
      <c r="J154" s="2" t="inlineStr">
        <is>
          <t>Завтрак "Шведский стол"</t>
        </is>
      </c>
      <c r="K154" s="5" t="n">
        <v>46258.58333333334</v>
      </c>
      <c r="L154" t="n">
        <v>6</v>
      </c>
      <c r="M154" s="3">
        <f>I154/L154</f>
        <v/>
      </c>
      <c r="N154">
        <f>IF(M154&gt;=5100,"ставка","мин.ставка")</f>
        <v/>
      </c>
      <c r="O154" s="3">
        <f>ROUND(IF(N154="мин.ставка",L154*100,I154/102*2),2)</f>
        <v/>
      </c>
      <c r="P154" s="5" t="n">
        <v>46264.5</v>
      </c>
      <c r="Q154" t="inlineStr">
        <is>
          <t>TravelLine сайт</t>
        </is>
      </c>
      <c r="R154" s="2" t="inlineStr">
        <is>
          <t>СТАНДАРТНЫЙ ДВУХМЕСТНЫЙ НОМЕР (МАНСАРДА)</t>
        </is>
      </c>
      <c r="S154" t="n">
        <v>43</v>
      </c>
      <c r="T154" t="n">
        <v>1</v>
      </c>
      <c r="U154" t="inlineStr"/>
      <c r="V154" t="inlineStr">
        <is>
          <t>Тариф с завтраком</t>
        </is>
      </c>
      <c r="W154" t="n">
        <v>47281.5</v>
      </c>
      <c r="X154" s="3" t="n">
        <v>118.5</v>
      </c>
      <c r="Y154" t="inlineStr">
        <is>
          <t>1.5%</t>
        </is>
      </c>
      <c r="Z154" t="inlineStr">
        <is>
          <t>2026-08-24</t>
        </is>
      </c>
      <c r="AA154" s="3" t="n">
        <v>47281.5</v>
      </c>
      <c r="AB154" t="inlineStr">
        <is>
          <t>Сошлось по ночным тарифам</t>
        </is>
      </c>
      <c r="AC154" s="2" t="inlineStr"/>
      <c r="AD154" t="n">
        <v>118.5</v>
      </c>
      <c r="AE154" t="n">
        <v>0</v>
      </c>
      <c r="AF154" t="inlineStr">
        <is>
          <t>Скидка добавлена к налоговой базе</t>
        </is>
      </c>
      <c r="AG154" t="n">
        <v>47400</v>
      </c>
      <c r="AH154" t="n">
        <v>47281.5</v>
      </c>
      <c r="AI154" t="inlineStr">
        <is>
          <t>Полное проживание в выбранном периоде</t>
        </is>
      </c>
    </row>
    <row r="155">
      <c r="A155" t="inlineStr">
        <is>
          <t>20260728-8186-453751353</t>
        </is>
      </c>
      <c r="B155" t="n">
        <v>1</v>
      </c>
      <c r="C155" s="2" t="inlineStr">
        <is>
          <t>аркадий плява</t>
        </is>
      </c>
      <c r="D155" s="3" t="n">
        <v>8900</v>
      </c>
      <c r="E155" s="4" t="n">
        <v>0</v>
      </c>
      <c r="F155" t="inlineStr">
        <is>
          <t>Прямые бронирования (стойка) [Чайковский]</t>
        </is>
      </c>
      <c r="G155" s="3">
        <f>ROUND(D155/(100-E155)*100,2)</f>
        <v/>
      </c>
      <c r="H155" s="3" t="n">
        <v>0</v>
      </c>
      <c r="I155" s="3">
        <f>ROUND(IF(ISNUMBER(AG155),AG155,G155)+H155,2)</f>
        <v/>
      </c>
      <c r="J155" s="2" t="inlineStr">
        <is>
          <t>Завтрак "Шведский стол"</t>
        </is>
      </c>
      <c r="K155" s="5" t="n">
        <v>46231.58333333334</v>
      </c>
      <c r="L155" t="n">
        <v>1</v>
      </c>
      <c r="M155" s="3">
        <f>I155/L155</f>
        <v/>
      </c>
      <c r="N155">
        <f>IF(M155&gt;=5100,"ставка","мин.ставка")</f>
        <v/>
      </c>
      <c r="O155" s="3">
        <f>ROUND(IF(N155="мин.ставка",L155*100,I155/102*2),2)</f>
        <v/>
      </c>
      <c r="P155" s="5" t="n">
        <v>46232.5</v>
      </c>
      <c r="Q155" t="inlineStr">
        <is>
          <t>TravelLine ресепшен</t>
        </is>
      </c>
      <c r="R155" s="2" t="inlineStr">
        <is>
          <t>СТАНДАРТНЫЙ ДВУХМЕСТНЫЙ НОМЕР</t>
        </is>
      </c>
      <c r="S155" t="n">
        <v>23</v>
      </c>
      <c r="T155" t="n">
        <v>1</v>
      </c>
      <c r="U155" t="inlineStr"/>
      <c r="V155" t="inlineStr">
        <is>
          <t>Тариф с завтраком</t>
        </is>
      </c>
      <c r="W155" t="n">
        <v>8900</v>
      </c>
      <c r="X155" s="3" t="n">
        <v>0</v>
      </c>
      <c r="Y155" t="inlineStr"/>
      <c r="Z155" t="inlineStr"/>
      <c r="AA155" s="3" t="n">
        <v>8900</v>
      </c>
      <c r="AB155" t="inlineStr">
        <is>
          <t>Сошлось по ночным тарифам</t>
        </is>
      </c>
      <c r="AC155" s="2" t="inlineStr"/>
      <c r="AD155" t="n">
        <v>0</v>
      </c>
      <c r="AE155" t="n">
        <v>0</v>
      </c>
      <c r="AF155" t="inlineStr">
        <is>
          <t>Скидки нет</t>
        </is>
      </c>
      <c r="AG155" t="n">
        <v>8900</v>
      </c>
      <c r="AH155" t="n">
        <v>8900</v>
      </c>
      <c r="AI155" t="inlineStr">
        <is>
          <t>Полное проживание в выбранном периоде</t>
        </is>
      </c>
    </row>
    <row r="156">
      <c r="A156" t="inlineStr">
        <is>
          <t>20260807-8186-455506727</t>
        </is>
      </c>
      <c r="B156" t="n">
        <v>1</v>
      </c>
      <c r="C156" s="2" t="inlineStr">
        <is>
          <t>Арсений Молотков, Екатерина Молоткова</t>
        </is>
      </c>
      <c r="D156" s="3" t="n">
        <v>8217</v>
      </c>
      <c r="E156" s="4" t="n">
        <v>18</v>
      </c>
      <c r="F156" t="inlineStr">
        <is>
          <t>Яндекс.Путешествия [Чайковский]</t>
        </is>
      </c>
      <c r="G156" s="3">
        <f>ROUND(D156/(100-E156)*100,2)</f>
        <v/>
      </c>
      <c r="H156" s="3" t="n">
        <v>0</v>
      </c>
      <c r="I156" s="3">
        <f>ROUND(IF(ISNUMBER(AG156),AG156,G156)+H156,2)</f>
        <v/>
      </c>
      <c r="J156" s="2" t="inlineStr">
        <is>
          <t>Завтрак "Шведский стол"</t>
        </is>
      </c>
      <c r="K156" s="5" t="n">
        <v>46241.58333333334</v>
      </c>
      <c r="L156" t="n">
        <v>1</v>
      </c>
      <c r="M156" s="3">
        <f>I156/L156</f>
        <v/>
      </c>
      <c r="N156">
        <f>IF(M156&gt;=5100,"ставка","мин.ставка")</f>
        <v/>
      </c>
      <c r="O156" s="3">
        <f>ROUND(IF(N156="мин.ставка",L156*100,I156/102*2),2)</f>
        <v/>
      </c>
      <c r="P156" s="5" t="n">
        <v>46242.5</v>
      </c>
      <c r="Q156" t="inlineStr">
        <is>
          <t>TravelLine YAX</t>
        </is>
      </c>
      <c r="R156" s="2" t="inlineStr">
        <is>
          <t>СТАНДАРТНЫЙ ДВУХМЕСТНЫЙ НОМЕР (МАНСАРДА)</t>
        </is>
      </c>
      <c r="S156" t="n">
        <v>41</v>
      </c>
      <c r="T156" t="n">
        <v>1</v>
      </c>
      <c r="U156" t="inlineStr"/>
      <c r="V156" t="inlineStr">
        <is>
          <t>Тариф с завтраком</t>
        </is>
      </c>
      <c r="W156" t="n">
        <v>8217</v>
      </c>
      <c r="X156" s="3" t="n">
        <v>1683</v>
      </c>
      <c r="Y156" t="inlineStr">
        <is>
          <t>17%</t>
        </is>
      </c>
      <c r="Z156" t="inlineStr">
        <is>
          <t>2026-08-07</t>
        </is>
      </c>
      <c r="AA156" s="3" t="n">
        <v>8217</v>
      </c>
      <c r="AB156" t="inlineStr">
        <is>
          <t>Сошлось по ночным тарифам</t>
        </is>
      </c>
      <c r="AC156" s="2" t="inlineStr"/>
      <c r="AD156" t="n">
        <v>1683</v>
      </c>
      <c r="AE156" t="n">
        <v>0</v>
      </c>
      <c r="AF156" t="inlineStr">
        <is>
          <t>Скидка добавлена к налоговой базе</t>
        </is>
      </c>
      <c r="AG156" t="n">
        <v>9900</v>
      </c>
      <c r="AH156" t="n">
        <v>8217</v>
      </c>
      <c r="AI156" t="inlineStr">
        <is>
          <t>Полное проживание в выбранном периоде</t>
        </is>
      </c>
    </row>
    <row r="157">
      <c r="A157" t="inlineStr">
        <is>
          <t>20260821-8186-445193379</t>
        </is>
      </c>
      <c r="B157" t="n">
        <v>1</v>
      </c>
      <c r="C157" s="2" t="inlineStr">
        <is>
          <t>Артем Белоногов</t>
        </is>
      </c>
      <c r="D157" s="3" t="n">
        <v>6764</v>
      </c>
      <c r="E157" s="4" t="n">
        <v>17</v>
      </c>
      <c r="F157" t="inlineStr">
        <is>
          <t>ООО «Интернет Трэвел» (OZON) [Чайковский]</t>
        </is>
      </c>
      <c r="G157" s="3">
        <f>ROUND(D157/(100-E157)*100,2)</f>
        <v/>
      </c>
      <c r="H157" s="3" t="n">
        <v>0</v>
      </c>
      <c r="I157" s="3">
        <f>ROUND(IF(ISNUMBER(AG157),AG157,G157)+H157,2)</f>
        <v/>
      </c>
      <c r="J157" s="2" t="inlineStr">
        <is>
          <t>Завтрак "Шведский стол"</t>
        </is>
      </c>
      <c r="K157" s="5" t="n">
        <v>46255.58333333334</v>
      </c>
      <c r="L157" t="n">
        <v>1</v>
      </c>
      <c r="M157" s="3">
        <f>I157/L157</f>
        <v/>
      </c>
      <c r="N157">
        <f>IF(M157&gt;=5100,"ставка","мин.ставка")</f>
        <v/>
      </c>
      <c r="O157" s="3">
        <f>ROUND(IF(N157="мин.ставка",L157*100,I157/102*2),2)</f>
        <v/>
      </c>
      <c r="P157" s="5" t="n">
        <v>46256.5</v>
      </c>
      <c r="Q157" t="inlineStr">
        <is>
          <t>TravelLine OZ2</t>
        </is>
      </c>
      <c r="R157" s="2" t="inlineStr">
        <is>
          <t>СТАНДАРТНЫЙ ДВУХМЕСТНЫЙ НОМЕР (МАНСАРДА)</t>
        </is>
      </c>
      <c r="S157" t="n">
        <v>43</v>
      </c>
      <c r="T157" t="n">
        <v>1</v>
      </c>
      <c r="U157" t="inlineStr"/>
      <c r="V157" t="inlineStr">
        <is>
          <t>Тариф с завтраком</t>
        </is>
      </c>
      <c r="W157" t="n">
        <v>6764</v>
      </c>
      <c r="X157" s="3" t="n">
        <v>0</v>
      </c>
      <c r="Y157" t="inlineStr"/>
      <c r="Z157" t="inlineStr"/>
      <c r="AA157" s="3" t="n">
        <v>6764</v>
      </c>
      <c r="AB157" t="inlineStr">
        <is>
          <t>Сошлось по ночным тарифам</t>
        </is>
      </c>
      <c r="AC157" s="2" t="inlineStr"/>
      <c r="AD157" t="n">
        <v>0</v>
      </c>
      <c r="AE157" t="n">
        <v>0</v>
      </c>
      <c r="AF157" t="inlineStr">
        <is>
          <t>Скидки нет</t>
        </is>
      </c>
      <c r="AG157" t="n">
        <v>6764</v>
      </c>
      <c r="AH157" t="n">
        <v>6764</v>
      </c>
      <c r="AI157" t="inlineStr">
        <is>
          <t>Полное проживание в выбранном периоде</t>
        </is>
      </c>
    </row>
    <row r="158">
      <c r="A158" t="inlineStr">
        <is>
          <t>20260822-8186-445188441</t>
        </is>
      </c>
      <c r="B158" t="n">
        <v>1</v>
      </c>
      <c r="C158" s="2" t="inlineStr">
        <is>
          <t>Артем Белоногов</t>
        </is>
      </c>
      <c r="D158" s="3" t="n">
        <v>6557</v>
      </c>
      <c r="E158" s="4" t="n">
        <v>17</v>
      </c>
      <c r="F158" t="inlineStr">
        <is>
          <t>ООО «Интернет Трэвел» (OZON) [Чайковский]</t>
        </is>
      </c>
      <c r="G158" s="3">
        <f>ROUND(D158/(100-E158)*100,2)</f>
        <v/>
      </c>
      <c r="H158" s="3" t="n">
        <v>0</v>
      </c>
      <c r="I158" s="3">
        <f>ROUND(IF(ISNUMBER(AG158),AG158,G158)+H158,2)</f>
        <v/>
      </c>
      <c r="J158" s="2" t="inlineStr">
        <is>
          <t>Завтрак "Шведский стол"</t>
        </is>
      </c>
      <c r="K158" s="5" t="n">
        <v>46256.58333333334</v>
      </c>
      <c r="L158" t="n">
        <v>1</v>
      </c>
      <c r="M158" s="3">
        <f>I158/L158</f>
        <v/>
      </c>
      <c r="N158">
        <f>IF(M158&gt;=5100,"ставка","мин.ставка")</f>
        <v/>
      </c>
      <c r="O158" s="3">
        <f>ROUND(IF(N158="мин.ставка",L158*100,I158/102*2),2)</f>
        <v/>
      </c>
      <c r="P158" s="5" t="n">
        <v>46257.5</v>
      </c>
      <c r="Q158" t="inlineStr">
        <is>
          <t>TravelLine OZ2</t>
        </is>
      </c>
      <c r="R158" s="2" t="inlineStr">
        <is>
          <t>СТАНДАРТНЫЙ ДВУХМЕСТНЫЙ НОМЕР (МАНСАРДА)</t>
        </is>
      </c>
      <c r="S158" t="n">
        <v>43</v>
      </c>
      <c r="T158" t="n">
        <v>1</v>
      </c>
      <c r="U158" t="inlineStr"/>
      <c r="V158" t="inlineStr">
        <is>
          <t>Тариф с завтраком</t>
        </is>
      </c>
      <c r="W158" t="n">
        <v>6557</v>
      </c>
      <c r="X158" s="3" t="n">
        <v>1343</v>
      </c>
      <c r="Y158" t="inlineStr">
        <is>
          <t>17%</t>
        </is>
      </c>
      <c r="Z158" t="inlineStr">
        <is>
          <t>2026-08-22</t>
        </is>
      </c>
      <c r="AA158" s="3" t="n">
        <v>6557</v>
      </c>
      <c r="AB158" t="inlineStr">
        <is>
          <t>Сошлось по ночным тарифам</t>
        </is>
      </c>
      <c r="AC158" s="2" t="inlineStr"/>
      <c r="AD158" t="n">
        <v>1343</v>
      </c>
      <c r="AE158" t="n">
        <v>0</v>
      </c>
      <c r="AF158" t="inlineStr">
        <is>
          <t>Скидка добавлена к налоговой базе</t>
        </is>
      </c>
      <c r="AG158" t="n">
        <v>7900</v>
      </c>
      <c r="AH158" t="n">
        <v>6557</v>
      </c>
      <c r="AI158" t="inlineStr">
        <is>
          <t>Полное проживание в выбранном периоде</t>
        </is>
      </c>
    </row>
    <row r="159">
      <c r="A159" t="inlineStr">
        <is>
          <t>20260930-8186-466726157</t>
        </is>
      </c>
      <c r="B159" t="n">
        <v>1</v>
      </c>
      <c r="C159" s="2" t="inlineStr">
        <is>
          <t>АРТЕМ ВОРОБЕЙ-РОМАНОВ</t>
        </is>
      </c>
      <c r="D159" s="3" t="n">
        <v>11680</v>
      </c>
      <c r="E159" s="4" t="n">
        <v>20</v>
      </c>
      <c r="F159" t="inlineStr">
        <is>
          <t>ООО "ХБ-ПРО" [Чайковский]</t>
        </is>
      </c>
      <c r="G159" s="3">
        <f>ROUND(D159/(100-E159)*100,2)</f>
        <v/>
      </c>
      <c r="H159" s="3" t="n">
        <v>0</v>
      </c>
      <c r="I159" s="3">
        <f>ROUND(IF(ISNUMBER(AG159),AG159,G159)+H159,2)</f>
        <v/>
      </c>
      <c r="J159" s="2" t="inlineStr"/>
      <c r="K159" s="5" t="n">
        <v>46295.58333333334</v>
      </c>
      <c r="L159" t="n">
        <v>1</v>
      </c>
      <c r="M159" s="3">
        <f>I159/L159</f>
        <v/>
      </c>
      <c r="N159">
        <f>IF(M159&gt;=5100,"ставка","мин.ставка")</f>
        <v/>
      </c>
      <c r="O159" s="3">
        <f>ROUND(IF(N159="мин.ставка",L159*100,I159/102*2),2)</f>
        <v/>
      </c>
      <c r="P159" s="5" t="n">
        <v>46297.5</v>
      </c>
      <c r="Q159" t="inlineStr">
        <is>
          <t>TravelLine UTS</t>
        </is>
      </c>
      <c r="R159" s="2" t="inlineStr">
        <is>
          <t>СТАНДАРТНЫЙ ОДНОМЕСТНЫЙ НОМЕР</t>
        </is>
      </c>
      <c r="S159" t="n">
        <v>34</v>
      </c>
      <c r="T159" t="n">
        <v>1</v>
      </c>
      <c r="U159" t="inlineStr"/>
      <c r="V159" t="inlineStr">
        <is>
          <t>Тариф с завтраком</t>
        </is>
      </c>
      <c r="W159" t="n">
        <v>11680</v>
      </c>
      <c r="X159" s="3" t="n">
        <v>0</v>
      </c>
      <c r="Y159" t="inlineStr"/>
      <c r="Z159" t="inlineStr"/>
      <c r="AA159" s="3" t="n">
        <v>11680</v>
      </c>
      <c r="AB159" t="inlineStr">
        <is>
          <t>Сошлось по ночным тарифам</t>
        </is>
      </c>
      <c r="AC159" s="2" t="inlineStr"/>
      <c r="AD159" t="n">
        <v>0</v>
      </c>
      <c r="AE159" t="n">
        <v>0</v>
      </c>
      <c r="AF159" t="inlineStr">
        <is>
          <t>Скидки нет</t>
        </is>
      </c>
      <c r="AG159" t="n">
        <v>6160</v>
      </c>
      <c r="AH159" t="n">
        <v>6160</v>
      </c>
      <c r="AI159" t="inlineStr">
        <is>
          <t>Частичное проживание распределено по dailyRates</t>
        </is>
      </c>
    </row>
    <row r="160">
      <c r="A160" t="inlineStr">
        <is>
          <t>20260922-8186-467596417</t>
        </is>
      </c>
      <c r="B160" t="n">
        <v>1</v>
      </c>
      <c r="C160" s="2" t="inlineStr">
        <is>
          <t>Артем Дертев, Виринея Дертева</t>
        </is>
      </c>
      <c r="D160" s="3" t="n">
        <v>21945</v>
      </c>
      <c r="E160" s="4" t="n">
        <v>18</v>
      </c>
      <c r="F160" t="inlineStr">
        <is>
          <t>Яндекс.Путешествия [Чайковский]</t>
        </is>
      </c>
      <c r="G160" s="3">
        <f>ROUND(D160/(100-E160)*100,2)</f>
        <v/>
      </c>
      <c r="H160" s="3" t="n">
        <v>0</v>
      </c>
      <c r="I160" s="3">
        <f>ROUND(IF(ISNUMBER(AG160),AG160,G160)+H160,2)</f>
        <v/>
      </c>
      <c r="J160" s="2" t="inlineStr">
        <is>
          <t>Завтрак "Шведский стол"</t>
        </is>
      </c>
      <c r="K160" s="5" t="n">
        <v>46287.58333333334</v>
      </c>
      <c r="L160" t="n">
        <v>2</v>
      </c>
      <c r="M160" s="3">
        <f>I160/L160</f>
        <v/>
      </c>
      <c r="N160">
        <f>IF(M160&gt;=5100,"ставка","мин.ставка")</f>
        <v/>
      </c>
      <c r="O160" s="3">
        <f>ROUND(IF(N160="мин.ставка",L160*100,I160/102*2),2)</f>
        <v/>
      </c>
      <c r="P160" s="5" t="n">
        <v>46289.5</v>
      </c>
      <c r="Q160" t="inlineStr">
        <is>
          <t>TravelLine YAX</t>
        </is>
      </c>
      <c r="R160" s="2" t="inlineStr">
        <is>
          <t>УЛУЧШЕННЫЙ ДВУХМЕСТНЫЙ НОМЕР</t>
        </is>
      </c>
      <c r="S160" t="n">
        <v>21</v>
      </c>
      <c r="T160" t="n">
        <v>1</v>
      </c>
      <c r="U160" t="inlineStr"/>
      <c r="V160" t="inlineStr">
        <is>
          <t>Тариф с завтраком</t>
        </is>
      </c>
      <c r="W160" t="n">
        <v>21945</v>
      </c>
      <c r="X160" s="3" t="n">
        <v>7315</v>
      </c>
      <c r="Y160" t="inlineStr">
        <is>
          <t>25%</t>
        </is>
      </c>
      <c r="Z160" t="inlineStr">
        <is>
          <t>2026-09-22, 2026-09-23</t>
        </is>
      </c>
      <c r="AA160" s="3" t="n">
        <v>21945</v>
      </c>
      <c r="AB160" t="inlineStr">
        <is>
          <t>Сошлось по ночным тарифам</t>
        </is>
      </c>
      <c r="AC160" s="2" t="inlineStr"/>
      <c r="AD160" t="n">
        <v>7315</v>
      </c>
      <c r="AE160" t="n">
        <v>0</v>
      </c>
      <c r="AF160" t="inlineStr">
        <is>
          <t>Скидка добавлена к налоговой базе</t>
        </is>
      </c>
      <c r="AG160" t="n">
        <v>29260</v>
      </c>
      <c r="AH160" t="n">
        <v>21945</v>
      </c>
      <c r="AI160" t="inlineStr">
        <is>
          <t>Полное проживание в выбранном периоде</t>
        </is>
      </c>
    </row>
    <row r="161">
      <c r="A161" t="inlineStr">
        <is>
          <t>20260727-8186-447561905</t>
        </is>
      </c>
      <c r="B161" t="n">
        <v>1</v>
      </c>
      <c r="C161" s="2" t="inlineStr">
        <is>
          <t>Артём Зельдич, Анастасия Кондратьева</t>
        </is>
      </c>
      <c r="D161" s="3" t="n">
        <v>40584</v>
      </c>
      <c r="E161" s="4" t="n">
        <v>18</v>
      </c>
      <c r="F161" t="inlineStr">
        <is>
          <t>Яндекс.Путешествия [Чайковский]</t>
        </is>
      </c>
      <c r="G161" s="3">
        <f>ROUND(D161/(100-E161)*100,2)</f>
        <v/>
      </c>
      <c r="H161" s="3" t="n">
        <v>0</v>
      </c>
      <c r="I161" s="3">
        <f>ROUND(IF(ISNUMBER(AG161),AG161,G161)+H161,2)</f>
        <v/>
      </c>
      <c r="J161" s="2" t="inlineStr">
        <is>
          <t>Завтрак "Шведский стол"</t>
        </is>
      </c>
      <c r="K161" s="5" t="n">
        <v>46230.58333333334</v>
      </c>
      <c r="L161" t="n">
        <v>4</v>
      </c>
      <c r="M161" s="3">
        <f>I161/L161</f>
        <v/>
      </c>
      <c r="N161">
        <f>IF(M161&gt;=5100,"ставка","мин.ставка")</f>
        <v/>
      </c>
      <c r="O161" s="3">
        <f>ROUND(IF(N161="мин.ставка",L161*100,I161/102*2),2)</f>
        <v/>
      </c>
      <c r="P161" s="5" t="n">
        <v>46234.5</v>
      </c>
      <c r="Q161" t="inlineStr">
        <is>
          <t>TravelLine YAX</t>
        </is>
      </c>
      <c r="R161" s="2" t="inlineStr">
        <is>
          <t>СТАНДАРТНЫЙ ДВУХМЕСТНЫЙ НОМЕР</t>
        </is>
      </c>
      <c r="S161" t="n">
        <v>36</v>
      </c>
      <c r="T161" t="n">
        <v>1</v>
      </c>
      <c r="U161" t="inlineStr"/>
      <c r="V161" t="inlineStr">
        <is>
          <t>Тариф с завтраком</t>
        </is>
      </c>
      <c r="W161" t="n">
        <v>40584</v>
      </c>
      <c r="X161" s="3" t="n">
        <v>10146</v>
      </c>
      <c r="Y161" t="inlineStr">
        <is>
          <t>20%</t>
        </is>
      </c>
      <c r="Z161" t="inlineStr">
        <is>
          <t>2026-07-27, 2026-07-28, 2026-07-29, 2026-07-30</t>
        </is>
      </c>
      <c r="AA161" s="3" t="n">
        <v>40584</v>
      </c>
      <c r="AB161" t="inlineStr">
        <is>
          <t>Сошлось по ночным тарифам</t>
        </is>
      </c>
      <c r="AC161" s="2" t="inlineStr"/>
      <c r="AD161" t="n">
        <v>10146</v>
      </c>
      <c r="AE161" t="n">
        <v>0</v>
      </c>
      <c r="AF161" t="inlineStr">
        <is>
          <t>Скидка добавлена к налоговой базе</t>
        </is>
      </c>
      <c r="AG161" t="n">
        <v>50730</v>
      </c>
      <c r="AH161" t="n">
        <v>40584</v>
      </c>
      <c r="AI161" t="inlineStr">
        <is>
          <t>Полное проживание в выбранном периоде</t>
        </is>
      </c>
    </row>
    <row r="162">
      <c r="A162" t="inlineStr">
        <is>
          <t>20260828-8186-459849342</t>
        </is>
      </c>
      <c r="B162" t="n">
        <v>1</v>
      </c>
      <c r="C162" s="2" t="inlineStr">
        <is>
          <t>Артём Калинин, Александра Конторина</t>
        </is>
      </c>
      <c r="D162" s="3" t="n">
        <v>21360</v>
      </c>
      <c r="E162" s="4" t="n">
        <v>20</v>
      </c>
      <c r="F162" t="inlineStr">
        <is>
          <t>ООО "КОМПАНИЯ БРОНЕВИК" [Чайковский]</t>
        </is>
      </c>
      <c r="G162" s="3">
        <f>ROUND(D162/(100-E162)*100,2)</f>
        <v/>
      </c>
      <c r="H162" s="3" t="n">
        <v>0</v>
      </c>
      <c r="I162" s="3">
        <f>ROUND(IF(ISNUMBER(AG162),AG162,G162)+H162,2)</f>
        <v/>
      </c>
      <c r="J162" s="2" t="inlineStr">
        <is>
          <t>Завтрак "Шведский стол"</t>
        </is>
      </c>
      <c r="K162" s="5" t="n">
        <v>46262.58333333334</v>
      </c>
      <c r="L162" t="n">
        <v>2</v>
      </c>
      <c r="M162" s="3">
        <f>I162/L162</f>
        <v/>
      </c>
      <c r="N162">
        <f>IF(M162&gt;=5100,"ставка","мин.ставка")</f>
        <v/>
      </c>
      <c r="O162" s="3">
        <f>ROUND(IF(N162="мин.ставка",L162*100,I162/102*2),2)</f>
        <v/>
      </c>
      <c r="P162" s="5" t="n">
        <v>46264.5</v>
      </c>
      <c r="Q162" t="inlineStr">
        <is>
          <t>TravelLine BR2</t>
        </is>
      </c>
      <c r="R162" s="2" t="inlineStr">
        <is>
          <t>СТАНДАРТНЫЙ ДВУХМЕСТНЫЙ НОМЕР</t>
        </is>
      </c>
      <c r="S162" t="n">
        <v>22</v>
      </c>
      <c r="T162" t="n">
        <v>1</v>
      </c>
      <c r="U162" t="inlineStr"/>
      <c r="V162" t="inlineStr">
        <is>
          <t>Тариф с завтраком</t>
        </is>
      </c>
      <c r="W162" t="n">
        <v>21360</v>
      </c>
      <c r="X162" s="3" t="n">
        <v>0</v>
      </c>
      <c r="Y162" t="inlineStr"/>
      <c r="Z162" t="inlineStr"/>
      <c r="AA162" s="3" t="n">
        <v>21360</v>
      </c>
      <c r="AB162" t="inlineStr">
        <is>
          <t>Сошлось по ночным тарифам</t>
        </is>
      </c>
      <c r="AC162" s="2" t="inlineStr"/>
      <c r="AD162" t="n">
        <v>0</v>
      </c>
      <c r="AE162" t="n">
        <v>0</v>
      </c>
      <c r="AF162" t="inlineStr">
        <is>
          <t>Скидки нет</t>
        </is>
      </c>
      <c r="AG162" t="n">
        <v>21360</v>
      </c>
      <c r="AH162" t="n">
        <v>21360</v>
      </c>
      <c r="AI162" t="inlineStr">
        <is>
          <t>Полное проживание в выбранном периоде</t>
        </is>
      </c>
    </row>
    <row r="163">
      <c r="A163" t="inlineStr">
        <is>
          <t>20260727-8186-449472645</t>
        </is>
      </c>
      <c r="B163" t="n">
        <v>1</v>
      </c>
      <c r="C163" s="2" t="inlineStr">
        <is>
          <t>Артем Лисичкин, Полина Григорьева</t>
        </is>
      </c>
      <c r="D163" s="3" t="n">
        <v>8217</v>
      </c>
      <c r="E163" s="4" t="n">
        <v>17</v>
      </c>
      <c r="F163" t="inlineStr">
        <is>
          <t>ООО «Дубль Гис» (OTELLO) [Чайковский]</t>
        </is>
      </c>
      <c r="G163" s="3">
        <f>ROUND(D163/(100-E163)*100,2)</f>
        <v/>
      </c>
      <c r="H163" s="3" t="n">
        <v>0</v>
      </c>
      <c r="I163" s="3">
        <f>ROUND(IF(ISNUMBER(AG163),AG163,G163)+H163,2)</f>
        <v/>
      </c>
      <c r="J163" s="2" t="inlineStr">
        <is>
          <t>Завтрак "Шведский стол"</t>
        </is>
      </c>
      <c r="K163" s="5" t="n">
        <v>46230.58333333334</v>
      </c>
      <c r="L163" t="n">
        <v>1</v>
      </c>
      <c r="M163" s="3">
        <f>I163/L163</f>
        <v/>
      </c>
      <c r="N163">
        <f>IF(M163&gt;=5100,"ставка","мин.ставка")</f>
        <v/>
      </c>
      <c r="O163" s="3">
        <f>ROUND(IF(N163="мин.ставка",L163*100,I163/102*2),2)</f>
        <v/>
      </c>
      <c r="P163" s="5" t="n">
        <v>46231.5</v>
      </c>
      <c r="Q163" t="inlineStr">
        <is>
          <t>TravelLine OL2</t>
        </is>
      </c>
      <c r="R163" s="2" t="inlineStr">
        <is>
          <t>СТАНДАРТНЫЙ ДВУХМЕСТНЫЙ НОМЕР (МАНСАРДА)</t>
        </is>
      </c>
      <c r="S163" t="n">
        <v>41</v>
      </c>
      <c r="T163" t="n">
        <v>1</v>
      </c>
      <c r="U163" t="inlineStr"/>
      <c r="V163" t="inlineStr">
        <is>
          <t>Тариф с завтраком</t>
        </is>
      </c>
      <c r="W163" t="n">
        <v>8217</v>
      </c>
      <c r="X163" s="3" t="n">
        <v>1683</v>
      </c>
      <c r="Y163" t="inlineStr">
        <is>
          <t>17%</t>
        </is>
      </c>
      <c r="Z163" t="inlineStr">
        <is>
          <t>2026-07-27</t>
        </is>
      </c>
      <c r="AA163" s="3" t="n">
        <v>8217</v>
      </c>
      <c r="AB163" t="inlineStr">
        <is>
          <t>Сошлось по ночным тарифам</t>
        </is>
      </c>
      <c r="AC163" s="2" t="inlineStr"/>
      <c r="AD163" t="n">
        <v>1683</v>
      </c>
      <c r="AE163" t="n">
        <v>0</v>
      </c>
      <c r="AF163" t="inlineStr">
        <is>
          <t>Скидка добавлена к налоговой базе</t>
        </is>
      </c>
      <c r="AG163" t="n">
        <v>9900</v>
      </c>
      <c r="AH163" t="n">
        <v>8217</v>
      </c>
      <c r="AI163" t="inlineStr">
        <is>
          <t>Полное проживание в выбранном периоде</t>
        </is>
      </c>
    </row>
    <row r="164">
      <c r="A164" t="inlineStr">
        <is>
          <t>20260829-8186-462311294</t>
        </is>
      </c>
      <c r="B164" t="n">
        <v>1</v>
      </c>
      <c r="C164" s="2" t="inlineStr">
        <is>
          <t>Артем Соколовский, ЮЛИЯ СОКОЛОВСКАЯ</t>
        </is>
      </c>
      <c r="D164" s="3" t="n">
        <v>12015</v>
      </c>
      <c r="E164" s="4" t="n">
        <v>0</v>
      </c>
      <c r="F164" t="inlineStr">
        <is>
          <t>Прямые бронирования (стойка) [Чайковский]</t>
        </is>
      </c>
      <c r="G164" s="3">
        <f>ROUND(D164/(100-E164)*100,2)</f>
        <v/>
      </c>
      <c r="H164" s="3" t="n">
        <v>0</v>
      </c>
      <c r="I164" s="3">
        <f>ROUND(IF(ISNUMBER(AG164),AG164,G164)+H164,2)</f>
        <v/>
      </c>
      <c r="J164" s="2" t="inlineStr">
        <is>
          <t>Завтрак "Шведский стол"</t>
        </is>
      </c>
      <c r="K164" s="5" t="n">
        <v>46263.58333333334</v>
      </c>
      <c r="L164" t="n">
        <v>1</v>
      </c>
      <c r="M164" s="3">
        <f>I164/L164</f>
        <v/>
      </c>
      <c r="N164">
        <f>IF(M164&gt;=5100,"ставка","мин.ставка")</f>
        <v/>
      </c>
      <c r="O164" s="3">
        <f>ROUND(IF(N164="мин.ставка",L164*100,I164/102*2),2)</f>
        <v/>
      </c>
      <c r="P164" s="5" t="n">
        <v>46264.5</v>
      </c>
      <c r="Q164" t="inlineStr">
        <is>
          <t>TravelLine ресепшен</t>
        </is>
      </c>
      <c r="R164" s="2" t="inlineStr">
        <is>
          <t>СТАНДАРТНЫЙ ДВУХМЕСТНЫЙ НОМЕР</t>
        </is>
      </c>
      <c r="S164" t="n">
        <v>36</v>
      </c>
      <c r="T164" t="n">
        <v>1</v>
      </c>
      <c r="U164" t="inlineStr"/>
      <c r="V164" t="inlineStr">
        <is>
          <t>Тариф с завтраком</t>
        </is>
      </c>
      <c r="W164" t="n">
        <v>12015</v>
      </c>
      <c r="X164" s="3" t="n">
        <v>1335</v>
      </c>
      <c r="Y164" t="inlineStr">
        <is>
          <t>10%</t>
        </is>
      </c>
      <c r="Z164" t="inlineStr">
        <is>
          <t>2026-08-29</t>
        </is>
      </c>
      <c r="AA164" s="3" t="n">
        <v>12015</v>
      </c>
      <c r="AB164" t="inlineStr">
        <is>
          <t>Сошлось по ночным тарифам</t>
        </is>
      </c>
      <c r="AC164" s="2" t="inlineStr"/>
      <c r="AD164" t="n">
        <v>1335</v>
      </c>
      <c r="AE164" t="n">
        <v>0</v>
      </c>
      <c r="AF164" t="inlineStr">
        <is>
          <t>Скидка добавлена к налоговой базе</t>
        </is>
      </c>
      <c r="AG164" t="n">
        <v>13350</v>
      </c>
      <c r="AH164" t="n">
        <v>12015</v>
      </c>
      <c r="AI164" t="inlineStr">
        <is>
          <t>Полное проживание в выбранном периоде</t>
        </is>
      </c>
    </row>
    <row r="165">
      <c r="A165" t="inlineStr">
        <is>
          <t>20260730-8186-451142955</t>
        </is>
      </c>
      <c r="B165" t="n">
        <v>1</v>
      </c>
      <c r="C165" s="2" t="inlineStr">
        <is>
          <t>Артём Шкилёв</t>
        </is>
      </c>
      <c r="D165" s="3" t="n">
        <v>33000</v>
      </c>
      <c r="E165" s="4" t="n">
        <v>0</v>
      </c>
      <c r="F165" t="inlineStr">
        <is>
          <t>Прямые бронирования (стойка) [Чайковский]</t>
        </is>
      </c>
      <c r="G165" s="3">
        <f>ROUND(D165/(100-E165)*100,2)</f>
        <v/>
      </c>
      <c r="H165" s="3" t="n">
        <v>0</v>
      </c>
      <c r="I165" s="3">
        <f>ROUND(IF(ISNUMBER(AG165),AG165,G165)+H165,2)</f>
        <v/>
      </c>
      <c r="J165" s="2" t="inlineStr">
        <is>
          <t>Завтрак "Шведский стол"</t>
        </is>
      </c>
      <c r="K165" s="5" t="n">
        <v>46233.58333333334</v>
      </c>
      <c r="L165" t="n">
        <v>2</v>
      </c>
      <c r="M165" s="3">
        <f>I165/L165</f>
        <v/>
      </c>
      <c r="N165">
        <f>IF(M165&gt;=5100,"ставка","мин.ставка")</f>
        <v/>
      </c>
      <c r="O165" s="3">
        <f>ROUND(IF(N165="мин.ставка",L165*100,I165/102*2),2)</f>
        <v/>
      </c>
      <c r="P165" s="5" t="n">
        <v>46235.5</v>
      </c>
      <c r="Q165" t="inlineStr">
        <is>
          <t>TravelLine ресепшен</t>
        </is>
      </c>
      <c r="R165" s="2" t="inlineStr">
        <is>
          <t>ПОЛУЛЮКС</t>
        </is>
      </c>
      <c r="S165" t="n">
        <v>25</v>
      </c>
      <c r="T165" t="n">
        <v>1</v>
      </c>
      <c r="U165" t="inlineStr"/>
      <c r="V165" t="inlineStr">
        <is>
          <t>Тариф с завтраком</t>
        </is>
      </c>
      <c r="W165" t="n">
        <v>33000</v>
      </c>
      <c r="X165" s="3" t="n">
        <v>0</v>
      </c>
      <c r="Y165" t="inlineStr"/>
      <c r="Z165" t="inlineStr"/>
      <c r="AA165" s="3" t="n">
        <v>33000</v>
      </c>
      <c r="AB165" t="inlineStr">
        <is>
          <t>Сошлось по ночным тарифам</t>
        </is>
      </c>
      <c r="AC165" s="2" t="inlineStr"/>
      <c r="AD165" t="n">
        <v>0</v>
      </c>
      <c r="AE165" t="n">
        <v>0</v>
      </c>
      <c r="AF165" t="inlineStr">
        <is>
          <t>Скидки нет</t>
        </is>
      </c>
      <c r="AG165" t="n">
        <v>33000</v>
      </c>
      <c r="AH165" t="n">
        <v>33000</v>
      </c>
      <c r="AI165" t="inlineStr">
        <is>
          <t>Полное проживание в выбранном периоде</t>
        </is>
      </c>
    </row>
    <row r="166">
      <c r="A166" t="inlineStr">
        <is>
          <t>20260830-8186-462320006</t>
        </is>
      </c>
      <c r="B166" t="n">
        <v>1</v>
      </c>
      <c r="C166" s="2" t="inlineStr">
        <is>
          <t>АРХИП ЗАМОСКОВНЫЙ</t>
        </is>
      </c>
      <c r="D166" s="3" t="n">
        <v>6636</v>
      </c>
      <c r="E166" s="4" t="n">
        <v>16</v>
      </c>
      <c r="F166" t="inlineStr">
        <is>
          <t>ООО "БРОНИРОВАНИЕ ГОСТИНИЦ" (OSTROVOK) [Чайковский]</t>
        </is>
      </c>
      <c r="G166" s="3">
        <f>ROUND(D166/(100-E166)*100,2)</f>
        <v/>
      </c>
      <c r="H166" s="3" t="n">
        <v>0</v>
      </c>
      <c r="I166" s="3">
        <f>ROUND(IF(ISNUMBER(AG166),AG166,G166)+H166,2)</f>
        <v/>
      </c>
      <c r="J166" s="2" t="inlineStr">
        <is>
          <t>Завтрак "Шведский стол"</t>
        </is>
      </c>
      <c r="K166" s="5" t="n">
        <v>46264.58333333334</v>
      </c>
      <c r="L166" t="n">
        <v>1</v>
      </c>
      <c r="M166" s="3">
        <f>I166/L166</f>
        <v/>
      </c>
      <c r="N166">
        <f>IF(M166&gt;=5100,"ставка","мин.ставка")</f>
        <v/>
      </c>
      <c r="O166" s="3">
        <f>ROUND(IF(N166="мин.ставка",L166*100,I166/102*2),2)</f>
        <v/>
      </c>
      <c r="P166" s="5" t="n">
        <v>46265.5</v>
      </c>
      <c r="Q166" t="inlineStr">
        <is>
          <t>TravelLine OTK</t>
        </is>
      </c>
      <c r="R166" s="2" t="inlineStr">
        <is>
          <t>СТАНДАРТНЫЙ ДВУХМЕСТНЫЙ НОМЕР</t>
        </is>
      </c>
      <c r="S166" t="n">
        <v>36</v>
      </c>
      <c r="T166" t="n">
        <v>1</v>
      </c>
      <c r="U166" t="inlineStr"/>
      <c r="V166" t="inlineStr">
        <is>
          <t>Тариф с завтраком</t>
        </is>
      </c>
      <c r="W166" t="n">
        <v>6636</v>
      </c>
      <c r="X166" s="3" t="n">
        <v>1264</v>
      </c>
      <c r="Y166" t="inlineStr">
        <is>
          <t>16%</t>
        </is>
      </c>
      <c r="Z166" t="inlineStr">
        <is>
          <t>2026-08-30</t>
        </is>
      </c>
      <c r="AA166" s="3" t="n">
        <v>6636</v>
      </c>
      <c r="AB166" t="inlineStr">
        <is>
          <t>Сошлось по ночным тарифам</t>
        </is>
      </c>
      <c r="AC166" s="2" t="inlineStr"/>
      <c r="AD166" t="n">
        <v>1264</v>
      </c>
      <c r="AE166" t="n">
        <v>0</v>
      </c>
      <c r="AF166" t="inlineStr">
        <is>
          <t>Скидка добавлена к налоговой базе</t>
        </is>
      </c>
      <c r="AG166" t="n">
        <v>7900</v>
      </c>
      <c r="AH166" t="n">
        <v>6636</v>
      </c>
      <c r="AI166" t="inlineStr">
        <is>
          <t>Полное проживание в выбранном периоде</t>
        </is>
      </c>
    </row>
    <row r="167">
      <c r="A167" t="inlineStr">
        <is>
          <t>20260816-8186-458968810</t>
        </is>
      </c>
      <c r="B167" t="n">
        <v>1</v>
      </c>
      <c r="C167" s="2" t="inlineStr">
        <is>
          <t>Ахмед Гамзатов, Наталья Воробьёва</t>
        </is>
      </c>
      <c r="D167" s="3" t="n">
        <v>32752.5</v>
      </c>
      <c r="E167" s="4" t="n">
        <v>4</v>
      </c>
      <c r="F167" t="inlineStr">
        <is>
          <t>TravelLine Booking Engine [Чайковский]</t>
        </is>
      </c>
      <c r="G167" s="3">
        <f>ROUND(D167/(100-E167)*100,2)</f>
        <v/>
      </c>
      <c r="H167" s="3" t="n">
        <v>0</v>
      </c>
      <c r="I167" s="3">
        <f>ROUND(IF(ISNUMBER(AG167),AG167,G167)+H167,2)</f>
        <v/>
      </c>
      <c r="J167" s="2" t="inlineStr">
        <is>
          <t>Завтрак "Шведский стол"</t>
        </is>
      </c>
      <c r="K167" s="5" t="n">
        <v>46250.58333333334</v>
      </c>
      <c r="L167" t="n">
        <v>2</v>
      </c>
      <c r="M167" s="3">
        <f>I167/L167</f>
        <v/>
      </c>
      <c r="N167">
        <f>IF(M167&gt;=5100,"ставка","мин.ставка")</f>
        <v/>
      </c>
      <c r="O167" s="3">
        <f>ROUND(IF(N167="мин.ставка",L167*100,I167/102*2),2)</f>
        <v/>
      </c>
      <c r="P167" s="5" t="n">
        <v>46252.5</v>
      </c>
      <c r="Q167" t="inlineStr">
        <is>
          <t>TravelLine сайт</t>
        </is>
      </c>
      <c r="R167" s="2" t="inlineStr">
        <is>
          <t>ПОЛУЛЮКС</t>
        </is>
      </c>
      <c r="S167" t="n">
        <v>25</v>
      </c>
      <c r="T167" t="n">
        <v>1</v>
      </c>
      <c r="U167" t="inlineStr"/>
      <c r="V167" t="inlineStr">
        <is>
          <t>Тариф с завтраком</t>
        </is>
      </c>
      <c r="W167" t="n">
        <v>32752.5</v>
      </c>
      <c r="X167" s="3" t="n">
        <v>247.5</v>
      </c>
      <c r="Y167" t="inlineStr">
        <is>
          <t>1.5%</t>
        </is>
      </c>
      <c r="Z167" t="inlineStr">
        <is>
          <t>2026-08-16</t>
        </is>
      </c>
      <c r="AA167" s="3" t="n">
        <v>32752.5</v>
      </c>
      <c r="AB167" t="inlineStr">
        <is>
          <t>Сошлось по ночным тарифам</t>
        </is>
      </c>
      <c r="AC167" s="2" t="inlineStr"/>
      <c r="AD167" t="n">
        <v>247.5</v>
      </c>
      <c r="AE167" t="n">
        <v>0</v>
      </c>
      <c r="AF167" t="inlineStr">
        <is>
          <t>Скидка добавлена к налоговой базе</t>
        </is>
      </c>
      <c r="AG167" t="n">
        <v>33000</v>
      </c>
      <c r="AH167" t="n">
        <v>32752.5</v>
      </c>
      <c r="AI167" t="inlineStr">
        <is>
          <t>Полное проживание в выбранном периоде</t>
        </is>
      </c>
    </row>
    <row r="168">
      <c r="A168" t="inlineStr">
        <is>
          <t>20260630-8186-444910095</t>
        </is>
      </c>
      <c r="B168" t="n">
        <v>1</v>
      </c>
      <c r="C168" s="2" t="inlineStr">
        <is>
          <t>Булат Зарипов, САФИНА ЗАРИПОВА</t>
        </is>
      </c>
      <c r="D168" s="3" t="n">
        <v>32160</v>
      </c>
      <c r="E168" s="4" t="n">
        <v>20</v>
      </c>
      <c r="F168" t="inlineStr">
        <is>
          <t>ООО "УК ГЦБ и Т" [Чайковский]</t>
        </is>
      </c>
      <c r="G168" s="3">
        <f>ROUND(D168/(100-E168)*100,2)</f>
        <v/>
      </c>
      <c r="H168" s="3" t="n">
        <v>0</v>
      </c>
      <c r="I168" s="3">
        <f>ROUND(IF(ISNUMBER(AG168),AG168,G168)+H168,2)</f>
        <v/>
      </c>
      <c r="J168" s="2" t="inlineStr"/>
      <c r="K168" s="5" t="n">
        <v>46203.58333333334</v>
      </c>
      <c r="L168" t="n">
        <v>2</v>
      </c>
      <c r="M168" s="3">
        <f>I168/L168</f>
        <v/>
      </c>
      <c r="N168">
        <f>IF(M168&gt;=5100,"ставка","мин.ставка")</f>
        <v/>
      </c>
      <c r="O168" s="3">
        <f>ROUND(IF(N168="мин.ставка",L168*100,I168/102*2),2)</f>
        <v/>
      </c>
      <c r="P168" s="5" t="n">
        <v>46206.5</v>
      </c>
      <c r="Q168" t="inlineStr">
        <is>
          <t>TravelLine CBC</t>
        </is>
      </c>
      <c r="R168" s="2" t="inlineStr">
        <is>
          <t>ПОЛУЛЮКС</t>
        </is>
      </c>
      <c r="S168" t="n">
        <v>11</v>
      </c>
      <c r="T168" t="n">
        <v>1</v>
      </c>
      <c r="U168" t="inlineStr"/>
      <c r="V168" t="inlineStr">
        <is>
          <t>Тариф с завтраком</t>
        </is>
      </c>
      <c r="W168" t="n">
        <v>38160</v>
      </c>
      <c r="X168" s="3" t="n">
        <v>8040</v>
      </c>
      <c r="Y168" t="inlineStr">
        <is>
          <t>20%</t>
        </is>
      </c>
      <c r="Z168" t="inlineStr">
        <is>
          <t>2026-06-30, 2026-07-01, 2026-07-02</t>
        </is>
      </c>
      <c r="AA168" s="3" t="n">
        <v>32160</v>
      </c>
      <c r="AB168" t="inlineStr">
        <is>
          <t>Сошлось с услугами</t>
        </is>
      </c>
      <c r="AC168" s="2" t="inlineStr"/>
      <c r="AD168" t="n">
        <v>5360</v>
      </c>
      <c r="AE168" t="n">
        <v>0</v>
      </c>
      <c r="AF168" t="inlineStr">
        <is>
          <t>Ночи скидки определены по dailyRates; в базу добавлена только часть выбранного периода</t>
        </is>
      </c>
      <c r="AG168" t="n">
        <v>26800</v>
      </c>
      <c r="AH168" t="n">
        <v>21440</v>
      </c>
      <c r="AI168" t="inlineStr">
        <is>
          <t>Частичное проживание распределено по dailyRates; допуслуги без даты исключены</t>
        </is>
      </c>
    </row>
    <row r="169">
      <c r="A169" t="inlineStr">
        <is>
          <t>20260903-8186-463232143</t>
        </is>
      </c>
      <c r="B169" t="n">
        <v>1</v>
      </c>
      <c r="C169" s="2" t="inlineStr">
        <is>
          <t>Вадим Галий</t>
        </is>
      </c>
      <c r="D169" s="3" t="n">
        <v>9080</v>
      </c>
      <c r="E169" s="4" t="n">
        <v>20</v>
      </c>
      <c r="F169" t="inlineStr">
        <is>
          <t>ООО "КОМПАНИЯ БРОНЕВИК" [Чайковский]</t>
        </is>
      </c>
      <c r="G169" s="3">
        <f>ROUND(D169/(100-E169)*100,2)</f>
        <v/>
      </c>
      <c r="H169" s="3" t="n">
        <v>0</v>
      </c>
      <c r="I169" s="3">
        <f>ROUND(IF(ISNUMBER(AG169),AG169,G169)+H169,2)</f>
        <v/>
      </c>
      <c r="J169" s="2" t="inlineStr">
        <is>
          <t>Завтрак "Шведский стол"</t>
        </is>
      </c>
      <c r="K169" s="5" t="n">
        <v>46268.58333333334</v>
      </c>
      <c r="L169" t="n">
        <v>1</v>
      </c>
      <c r="M169" s="3">
        <f>I169/L169</f>
        <v/>
      </c>
      <c r="N169">
        <f>IF(M169&gt;=5100,"ставка","мин.ставка")</f>
        <v/>
      </c>
      <c r="O169" s="3">
        <f>ROUND(IF(N169="мин.ставка",L169*100,I169/102*2),2)</f>
        <v/>
      </c>
      <c r="P169" s="5" t="n">
        <v>46269.5</v>
      </c>
      <c r="Q169" t="inlineStr">
        <is>
          <t>TravelLine BR2</t>
        </is>
      </c>
      <c r="R169" s="2" t="inlineStr">
        <is>
          <t>СТАНДАРТНЫЙ ДВУХМЕСТНЫЙ НОМЕР</t>
        </is>
      </c>
      <c r="S169" t="n">
        <v>33</v>
      </c>
      <c r="T169" t="n">
        <v>1</v>
      </c>
      <c r="U169" t="inlineStr"/>
      <c r="V169" t="inlineStr">
        <is>
          <t>Тариф с завтраком</t>
        </is>
      </c>
      <c r="W169" t="n">
        <v>9080</v>
      </c>
      <c r="X169" s="3" t="n">
        <v>0</v>
      </c>
      <c r="Y169" t="inlineStr"/>
      <c r="Z169" t="inlineStr"/>
      <c r="AA169" s="3" t="n">
        <v>9080</v>
      </c>
      <c r="AB169" t="inlineStr">
        <is>
          <t>Сошлось по ночным тарифам</t>
        </is>
      </c>
      <c r="AC169" s="2" t="inlineStr"/>
      <c r="AD169" t="n">
        <v>0</v>
      </c>
      <c r="AE169" t="n">
        <v>0</v>
      </c>
      <c r="AF169" t="inlineStr">
        <is>
          <t>Скидки нет</t>
        </is>
      </c>
      <c r="AG169" t="n">
        <v>9080</v>
      </c>
      <c r="AH169" t="n">
        <v>9080</v>
      </c>
      <c r="AI169" t="inlineStr">
        <is>
          <t>Полное проживание в выбранном периоде</t>
        </is>
      </c>
    </row>
    <row r="170">
      <c r="A170" t="inlineStr">
        <is>
          <t>20260905-8186-462987029</t>
        </is>
      </c>
      <c r="B170" t="n">
        <v>1</v>
      </c>
      <c r="C170" s="2" t="inlineStr">
        <is>
          <t>Вадим Заречный, Мария Заречная</t>
        </is>
      </c>
      <c r="D170" s="3" t="n">
        <v>13200</v>
      </c>
      <c r="E170" s="4" t="n">
        <v>18</v>
      </c>
      <c r="F170" t="inlineStr">
        <is>
          <t>Яндекс.Путешествия [Чайковский]</t>
        </is>
      </c>
      <c r="G170" s="3">
        <f>ROUND(D170/(100-E170)*100,2)</f>
        <v/>
      </c>
      <c r="H170" s="3" t="n">
        <v>0</v>
      </c>
      <c r="I170" s="3">
        <f>ROUND(IF(ISNUMBER(AG170),AG170,G170)+H170,2)</f>
        <v/>
      </c>
      <c r="J170" s="2" t="inlineStr">
        <is>
          <t>Завтрак "Шведский стол"</t>
        </is>
      </c>
      <c r="K170" s="5" t="n">
        <v>46270.58333333334</v>
      </c>
      <c r="L170" t="n">
        <v>1</v>
      </c>
      <c r="M170" s="3">
        <f>I170/L170</f>
        <v/>
      </c>
      <c r="N170">
        <f>IF(M170&gt;=5100,"ставка","мин.ставка")</f>
        <v/>
      </c>
      <c r="O170" s="3">
        <f>ROUND(IF(N170="мин.ставка",L170*100,I170/102*2),2)</f>
        <v/>
      </c>
      <c r="P170" s="5" t="n">
        <v>46271.5</v>
      </c>
      <c r="Q170" t="inlineStr">
        <is>
          <t>TravelLine YAX</t>
        </is>
      </c>
      <c r="R170" s="2" t="inlineStr">
        <is>
          <t>ПОЛУЛЮКС</t>
        </is>
      </c>
      <c r="S170" t="n">
        <v>35</v>
      </c>
      <c r="T170" t="n">
        <v>1</v>
      </c>
      <c r="U170" t="inlineStr"/>
      <c r="V170" t="inlineStr">
        <is>
          <t>Тариф с завтраком</t>
        </is>
      </c>
      <c r="W170" t="n">
        <v>13200</v>
      </c>
      <c r="X170" s="3" t="n">
        <v>3300</v>
      </c>
      <c r="Y170" t="inlineStr">
        <is>
          <t>20%</t>
        </is>
      </c>
      <c r="Z170" t="inlineStr">
        <is>
          <t>2026-09-05</t>
        </is>
      </c>
      <c r="AA170" s="3" t="n">
        <v>13200</v>
      </c>
      <c r="AB170" t="inlineStr">
        <is>
          <t>Сошлось по ночным тарифам</t>
        </is>
      </c>
      <c r="AC170" s="2" t="inlineStr"/>
      <c r="AD170" t="n">
        <v>3300</v>
      </c>
      <c r="AE170" t="n">
        <v>0</v>
      </c>
      <c r="AF170" t="inlineStr">
        <is>
          <t>Скидка добавлена к налоговой базе</t>
        </is>
      </c>
      <c r="AG170" t="n">
        <v>16500</v>
      </c>
      <c r="AH170" t="n">
        <v>13200</v>
      </c>
      <c r="AI170" t="inlineStr">
        <is>
          <t>Полное проживание в выбранном периоде</t>
        </is>
      </c>
    </row>
    <row r="171">
      <c r="A171" t="inlineStr">
        <is>
          <t>20260808-8186-430692839</t>
        </is>
      </c>
      <c r="B171" t="n">
        <v>1</v>
      </c>
      <c r="C171" s="2" t="inlineStr">
        <is>
          <t>Вадим Кравков, Ольга Добродеева</t>
        </is>
      </c>
      <c r="D171" s="3" t="n">
        <v>55402.5</v>
      </c>
      <c r="E171" s="4" t="n">
        <v>17</v>
      </c>
      <c r="F171" t="inlineStr">
        <is>
          <t>ООО «Интернет Трэвел» (OZON) [Чайковский]</t>
        </is>
      </c>
      <c r="G171" s="3">
        <f>ROUND(D171/(100-E171)*100,2)</f>
        <v/>
      </c>
      <c r="H171" s="3" t="n">
        <v>600</v>
      </c>
      <c r="I171" s="3">
        <f>ROUND(IF(ISNUMBER(AG171),AG171,G171)+H171,2)</f>
        <v/>
      </c>
      <c r="J171" s="2" t="inlineStr">
        <is>
          <t>продление номера — 600,00 ₽; Завтрак "Шведский стол"</t>
        </is>
      </c>
      <c r="K171" s="5" t="n">
        <v>46242.58333333334</v>
      </c>
      <c r="L171" t="n">
        <v>5</v>
      </c>
      <c r="M171" s="3">
        <f>I171/L171</f>
        <v/>
      </c>
      <c r="N171">
        <f>IF(M171&gt;=5100,"ставка","мин.ставка")</f>
        <v/>
      </c>
      <c r="O171" s="3">
        <f>ROUND(IF(N171="мин.ставка",L171*100,I171/102*2),2)</f>
        <v/>
      </c>
      <c r="P171" s="5" t="n">
        <v>46247.5</v>
      </c>
      <c r="Q171" t="inlineStr">
        <is>
          <t>TravelLine OZ2</t>
        </is>
      </c>
      <c r="R171" s="2" t="inlineStr">
        <is>
          <t>СТАНДАРТНЫЙ ДВУХМЕСТНЫЙ НОМЕР</t>
        </is>
      </c>
      <c r="S171" t="n">
        <v>26</v>
      </c>
      <c r="T171" t="n">
        <v>1</v>
      </c>
      <c r="U171" t="inlineStr"/>
      <c r="V171" t="inlineStr">
        <is>
          <t>Тариф с завтраком</t>
        </is>
      </c>
      <c r="W171" t="n">
        <v>56002.5</v>
      </c>
      <c r="X171" s="3" t="n">
        <v>11347.5</v>
      </c>
      <c r="Y171" t="inlineStr">
        <is>
          <t>17%</t>
        </is>
      </c>
      <c r="Z171" t="inlineStr">
        <is>
          <t>2026-08-08, 2026-08-09, 2026-08-10, 2026-08-11, 2026-08-12</t>
        </is>
      </c>
      <c r="AA171" s="3" t="n">
        <v>55402.5</v>
      </c>
      <c r="AB171" t="inlineStr">
        <is>
          <t>Сошлось с услугами</t>
        </is>
      </c>
      <c r="AC171" s="2" t="inlineStr"/>
      <c r="AD171" t="n">
        <v>11347.5</v>
      </c>
      <c r="AE171" t="n">
        <v>0</v>
      </c>
      <c r="AF171" t="inlineStr">
        <is>
          <t>Скидка добавлена к налоговой базе</t>
        </is>
      </c>
      <c r="AG171" t="n">
        <v>66750</v>
      </c>
      <c r="AH171" t="n">
        <v>55402.5</v>
      </c>
      <c r="AI171" t="inlineStr">
        <is>
          <t>Полное проживание в выбранном периоде</t>
        </is>
      </c>
    </row>
    <row r="172">
      <c r="A172" t="inlineStr">
        <is>
          <t>20260710-8186-449282931</t>
        </is>
      </c>
      <c r="B172" t="n">
        <v>1</v>
      </c>
      <c r="C172" s="2" t="inlineStr">
        <is>
          <t>вадим Макаренко</t>
        </is>
      </c>
      <c r="D172" s="3" t="n">
        <v>12350</v>
      </c>
      <c r="E172" s="4" t="n">
        <v>0</v>
      </c>
      <c r="F172" t="inlineStr">
        <is>
          <t>Прямые бронирования (стойка) [Чайковский]</t>
        </is>
      </c>
      <c r="G172" s="3">
        <f>ROUND(D172/(100-E172)*100,2)</f>
        <v/>
      </c>
      <c r="H172" s="3" t="n">
        <v>0</v>
      </c>
      <c r="I172" s="3">
        <f>ROUND(IF(ISNUMBER(AG172),AG172,G172)+H172,2)</f>
        <v/>
      </c>
      <c r="J172" s="2" t="inlineStr">
        <is>
          <t>Завтрак "Шведский стол"</t>
        </is>
      </c>
      <c r="K172" s="5" t="n">
        <v>46213.58333333334</v>
      </c>
      <c r="L172" t="n">
        <v>1</v>
      </c>
      <c r="M172" s="3">
        <f>I172/L172</f>
        <v/>
      </c>
      <c r="N172">
        <f>IF(M172&gt;=5100,"ставка","мин.ставка")</f>
        <v/>
      </c>
      <c r="O172" s="3">
        <f>ROUND(IF(N172="мин.ставка",L172*100,I172/102*2),2)</f>
        <v/>
      </c>
      <c r="P172" s="5" t="n">
        <v>46214.5</v>
      </c>
      <c r="Q172" t="inlineStr">
        <is>
          <t>TravelLine ресепшен</t>
        </is>
      </c>
      <c r="R172" s="2" t="inlineStr">
        <is>
          <t>СТАНДАРТНЫЙ ДВУХМЕСТНЫЙ НОМЕР</t>
        </is>
      </c>
      <c r="S172" t="n">
        <v>46</v>
      </c>
      <c r="T172" t="n">
        <v>1</v>
      </c>
      <c r="U172" t="inlineStr"/>
      <c r="V172" t="inlineStr">
        <is>
          <t>Тариф с завтраком</t>
        </is>
      </c>
      <c r="W172" t="n">
        <v>12350</v>
      </c>
      <c r="X172" s="3" t="n">
        <v>0</v>
      </c>
      <c r="Y172" t="inlineStr"/>
      <c r="Z172" t="inlineStr"/>
      <c r="AA172" s="3" t="n">
        <v>12350</v>
      </c>
      <c r="AB172" t="inlineStr">
        <is>
          <t>Сошлось по ночным тарифам</t>
        </is>
      </c>
      <c r="AC172" s="2" t="inlineStr"/>
      <c r="AD172" t="n">
        <v>0</v>
      </c>
      <c r="AE172" t="n">
        <v>0</v>
      </c>
      <c r="AF172" t="inlineStr">
        <is>
          <t>Скидки нет</t>
        </is>
      </c>
      <c r="AG172" t="n">
        <v>12350</v>
      </c>
      <c r="AH172" t="n">
        <v>12350</v>
      </c>
      <c r="AI172" t="inlineStr">
        <is>
          <t>Полное проживание в выбранном периоде</t>
        </is>
      </c>
    </row>
    <row r="173">
      <c r="A173" t="inlineStr">
        <is>
          <t>20260731-8186-450013552</t>
        </is>
      </c>
      <c r="B173" t="n">
        <v>1</v>
      </c>
      <c r="C173" s="2" t="inlineStr">
        <is>
          <t>Вадим Сосков, Кирилл Балуев</t>
        </is>
      </c>
      <c r="D173" s="3" t="n">
        <v>7920</v>
      </c>
      <c r="E173" s="4" t="n">
        <v>18</v>
      </c>
      <c r="F173" t="inlineStr">
        <is>
          <t>Яндекс.Путешествия [Чайковский]</t>
        </is>
      </c>
      <c r="G173" s="3">
        <f>ROUND(D173/(100-E173)*100,2)</f>
        <v/>
      </c>
      <c r="H173" s="3" t="n">
        <v>0</v>
      </c>
      <c r="I173" s="3">
        <f>ROUND(IF(ISNUMBER(AG173),AG173,G173)+H173,2)</f>
        <v/>
      </c>
      <c r="J173" s="2" t="inlineStr">
        <is>
          <t>Завтрак "Шведский стол"</t>
        </is>
      </c>
      <c r="K173" s="5" t="n">
        <v>46234.58333333334</v>
      </c>
      <c r="L173" t="n">
        <v>1</v>
      </c>
      <c r="M173" s="3">
        <f>I173/L173</f>
        <v/>
      </c>
      <c r="N173">
        <f>IF(M173&gt;=5100,"ставка","мин.ставка")</f>
        <v/>
      </c>
      <c r="O173" s="3">
        <f>ROUND(IF(N173="мин.ставка",L173*100,I173/102*2),2)</f>
        <v/>
      </c>
      <c r="P173" s="5" t="n">
        <v>46235.5</v>
      </c>
      <c r="Q173" t="inlineStr">
        <is>
          <t>TravelLine YAX</t>
        </is>
      </c>
      <c r="R173" s="2" t="inlineStr">
        <is>
          <t>СТАНДАРТНЫЙ ДВУХМЕСТНЫЙ НОМЕР (МАНСАРДА)</t>
        </is>
      </c>
      <c r="S173" t="n">
        <v>47</v>
      </c>
      <c r="T173" t="n">
        <v>1</v>
      </c>
      <c r="U173" t="inlineStr"/>
      <c r="V173" t="inlineStr">
        <is>
          <t>Тариф с завтраком</t>
        </is>
      </c>
      <c r="W173" t="n">
        <v>7920</v>
      </c>
      <c r="X173" s="3" t="n">
        <v>1980</v>
      </c>
      <c r="Y173" t="inlineStr">
        <is>
          <t>20%</t>
        </is>
      </c>
      <c r="Z173" t="inlineStr">
        <is>
          <t>2026-07-31</t>
        </is>
      </c>
      <c r="AA173" s="3" t="n">
        <v>7920</v>
      </c>
      <c r="AB173" t="inlineStr">
        <is>
          <t>Сошлось по ночным тарифам</t>
        </is>
      </c>
      <c r="AC173" s="2" t="inlineStr"/>
      <c r="AD173" t="n">
        <v>1980</v>
      </c>
      <c r="AE173" t="n">
        <v>0</v>
      </c>
      <c r="AF173" t="inlineStr">
        <is>
          <t>Скидка добавлена к налоговой базе</t>
        </is>
      </c>
      <c r="AG173" t="n">
        <v>9900</v>
      </c>
      <c r="AH173" t="n">
        <v>7920</v>
      </c>
      <c r="AI173" t="inlineStr">
        <is>
          <t>Полное проживание в выбранном периоде</t>
        </is>
      </c>
    </row>
    <row r="174">
      <c r="A174" t="inlineStr">
        <is>
          <t>20260717-8186-450249391</t>
        </is>
      </c>
      <c r="B174" t="n">
        <v>1</v>
      </c>
      <c r="C174" s="2" t="inlineStr">
        <is>
          <t>Вадим Стародубов</t>
        </is>
      </c>
      <c r="D174" s="3" t="n">
        <v>7700</v>
      </c>
      <c r="E174" s="4" t="n">
        <v>4</v>
      </c>
      <c r="F174" t="inlineStr">
        <is>
          <t>TravelLine Booking Engine [Чайковский]</t>
        </is>
      </c>
      <c r="G174" s="3">
        <f>ROUND(D174/(100-E174)*100,2)</f>
        <v/>
      </c>
      <c r="H174" s="3" t="n">
        <v>0</v>
      </c>
      <c r="I174" s="3">
        <f>ROUND(IF(ISNUMBER(AG174),AG174,G174)+H174,2)</f>
        <v/>
      </c>
      <c r="J174" s="2" t="inlineStr">
        <is>
          <t>Завтрак "Шведский стол"</t>
        </is>
      </c>
      <c r="K174" s="5" t="n">
        <v>46221.89583333334</v>
      </c>
      <c r="L174" t="n">
        <v>1</v>
      </c>
      <c r="M174" s="3">
        <f>I174/L174</f>
        <v/>
      </c>
      <c r="N174">
        <f>IF(M174&gt;=5100,"ставка","мин.ставка")</f>
        <v/>
      </c>
      <c r="O174" s="3">
        <f>ROUND(IF(N174="мин.ставка",L174*100,I174/102*2),2)</f>
        <v/>
      </c>
      <c r="P174" s="5" t="n">
        <v>46222.5</v>
      </c>
      <c r="Q174" t="inlineStr">
        <is>
          <t>TravelLine сайт</t>
        </is>
      </c>
      <c r="R174" s="2" t="inlineStr">
        <is>
          <t>СТАНДАРТНЫЙ ОДНОМЕСТНЫЙ НОМЕР</t>
        </is>
      </c>
      <c r="S174" t="n">
        <v>34</v>
      </c>
      <c r="T174" t="n">
        <v>1</v>
      </c>
      <c r="U174" t="inlineStr"/>
      <c r="V174" t="inlineStr">
        <is>
          <t>Тариф с завтраком</t>
        </is>
      </c>
      <c r="W174" t="n">
        <v>16324.1</v>
      </c>
      <c r="X174" s="3" t="n">
        <v>0</v>
      </c>
      <c r="Y174" t="inlineStr"/>
      <c r="Z174" t="inlineStr"/>
      <c r="AA174" s="3" t="n">
        <v>7700</v>
      </c>
      <c r="AB174" t="inlineStr">
        <is>
          <t>Сошлось по ночным тарифам</t>
        </is>
      </c>
      <c r="AC174" s="2" t="inlineStr"/>
      <c r="AD174" t="n">
        <v>0</v>
      </c>
      <c r="AE174" t="n">
        <v>0</v>
      </c>
      <c r="AF174" t="inlineStr">
        <is>
          <t>Скидки нет</t>
        </is>
      </c>
      <c r="AG174" t="n">
        <v>7700</v>
      </c>
      <c r="AH174" t="n">
        <v>7700</v>
      </c>
      <c r="AI174" t="inlineStr">
        <is>
          <t>Полное проживание в выбранном периоде</t>
        </is>
      </c>
    </row>
    <row r="175">
      <c r="A175" t="inlineStr">
        <is>
          <t>20260820-8186-429042947</t>
        </is>
      </c>
      <c r="B175" t="n">
        <v>1</v>
      </c>
      <c r="C175" s="2" t="inlineStr">
        <is>
          <t>Валентин Классен, Светлана Классен</t>
        </is>
      </c>
      <c r="D175" s="3" t="n">
        <v>11347.5</v>
      </c>
      <c r="E175" s="4" t="n">
        <v>20</v>
      </c>
      <c r="F175" t="inlineStr">
        <is>
          <t>ООО «Дубль Гис» (OTELLO) [Чайковский]</t>
        </is>
      </c>
      <c r="G175" s="3">
        <f>ROUND(D175/(100-E175)*100,2)</f>
        <v/>
      </c>
      <c r="H175" s="3" t="n">
        <v>0</v>
      </c>
      <c r="I175" s="3">
        <f>ROUND(IF(ISNUMBER(AG175),AG175,G175)+H175,2)</f>
        <v/>
      </c>
      <c r="J175" s="2" t="inlineStr">
        <is>
          <t>Завтрак "Шведский стол"</t>
        </is>
      </c>
      <c r="K175" s="5" t="n">
        <v>46254.58333333334</v>
      </c>
      <c r="L175" t="n">
        <v>1</v>
      </c>
      <c r="M175" s="3">
        <f>I175/L175</f>
        <v/>
      </c>
      <c r="N175">
        <f>IF(M175&gt;=5100,"ставка","мин.ставка")</f>
        <v/>
      </c>
      <c r="O175" s="3">
        <f>ROUND(IF(N175="мин.ставка",L175*100,I175/102*2),2)</f>
        <v/>
      </c>
      <c r="P175" s="5" t="n">
        <v>46255.5</v>
      </c>
      <c r="Q175" t="inlineStr">
        <is>
          <t>TravelLine OL2</t>
        </is>
      </c>
      <c r="R175" s="2" t="inlineStr">
        <is>
          <t>СТАНДАРТНЫЙ ДВУХМЕСТНЫЙ НОМЕР</t>
        </is>
      </c>
      <c r="S175" t="n">
        <v>23</v>
      </c>
      <c r="T175" t="n">
        <v>1</v>
      </c>
      <c r="U175" t="inlineStr"/>
      <c r="V175" t="inlineStr">
        <is>
          <t>Тариф с завтраком</t>
        </is>
      </c>
      <c r="W175" t="n">
        <v>11347.5</v>
      </c>
      <c r="X175" s="3" t="n">
        <v>2002.5</v>
      </c>
      <c r="Y175" t="inlineStr">
        <is>
          <t>15%</t>
        </is>
      </c>
      <c r="Z175" t="inlineStr">
        <is>
          <t>2026-08-20</t>
        </is>
      </c>
      <c r="AA175" s="3" t="n">
        <v>11347.5</v>
      </c>
      <c r="AB175" t="inlineStr">
        <is>
          <t>Сошлось по ночным тарифам</t>
        </is>
      </c>
      <c r="AC175" s="2" t="inlineStr"/>
      <c r="AD175" t="n">
        <v>2002.5</v>
      </c>
      <c r="AE175" t="n">
        <v>0</v>
      </c>
      <c r="AF175" t="inlineStr">
        <is>
          <t>Скидка добавлена к налоговой базе</t>
        </is>
      </c>
      <c r="AG175" t="n">
        <v>13350</v>
      </c>
      <c r="AH175" t="n">
        <v>11347.5</v>
      </c>
      <c r="AI175" t="inlineStr">
        <is>
          <t>Полное проживание в выбранном периоде</t>
        </is>
      </c>
    </row>
    <row r="176">
      <c r="A176" t="inlineStr">
        <is>
          <t>20260907-8186-418353081</t>
        </is>
      </c>
      <c r="B176" t="n">
        <v>1</v>
      </c>
      <c r="C176" s="2" t="inlineStr">
        <is>
          <t>Валентина Кустарева</t>
        </is>
      </c>
      <c r="D176" s="3" t="n">
        <v>26180</v>
      </c>
      <c r="E176" s="4" t="n">
        <v>15</v>
      </c>
      <c r="F176" t="inlineStr">
        <is>
          <t>ООО Тинькофф Путешествия [Чайковский]</t>
        </is>
      </c>
      <c r="G176" s="3">
        <f>ROUND(D176/(100-E176)*100,2)</f>
        <v/>
      </c>
      <c r="H176" s="3" t="n">
        <v>0</v>
      </c>
      <c r="I176" s="3">
        <f>ROUND(IF(ISNUMBER(AG176),AG176,G176)+H176,2)</f>
        <v/>
      </c>
      <c r="J176" s="2" t="inlineStr">
        <is>
          <t>Завтрак "Шведский стол"</t>
        </is>
      </c>
      <c r="K176" s="5" t="n">
        <v>46272.58333333334</v>
      </c>
      <c r="L176" t="n">
        <v>4</v>
      </c>
      <c r="M176" s="3">
        <f>I176/L176</f>
        <v/>
      </c>
      <c r="N176">
        <f>IF(M176&gt;=5100,"ставка","мин.ставка")</f>
        <v/>
      </c>
      <c r="O176" s="3">
        <f>ROUND(IF(N176="мин.ставка",L176*100,I176/102*2),2)</f>
        <v/>
      </c>
      <c r="P176" s="5" t="n">
        <v>46276.5</v>
      </c>
      <c r="Q176" t="inlineStr">
        <is>
          <t>TravelLine TNK</t>
        </is>
      </c>
      <c r="R176" s="2" t="inlineStr">
        <is>
          <t>СТАНДАРТНЫЙ ОДНОМЕСТНЫЙ НОМЕР</t>
        </is>
      </c>
      <c r="S176" t="n">
        <v>34</v>
      </c>
      <c r="T176" t="n">
        <v>1</v>
      </c>
      <c r="U176" t="inlineStr"/>
      <c r="V176" t="inlineStr">
        <is>
          <t>Тариф с завтраком</t>
        </is>
      </c>
      <c r="W176" t="n">
        <v>26180</v>
      </c>
      <c r="X176" s="3" t="n">
        <v>4620</v>
      </c>
      <c r="Y176" t="inlineStr">
        <is>
          <t>15%</t>
        </is>
      </c>
      <c r="Z176" t="inlineStr">
        <is>
          <t>2026-09-07, 2026-09-08, 2026-09-09, 2026-09-10</t>
        </is>
      </c>
      <c r="AA176" s="3" t="n">
        <v>26180</v>
      </c>
      <c r="AB176" t="inlineStr">
        <is>
          <t>Сошлось по ночным тарифам</t>
        </is>
      </c>
      <c r="AC176" s="2" t="inlineStr"/>
      <c r="AD176" t="n">
        <v>4620</v>
      </c>
      <c r="AE176" t="n">
        <v>0</v>
      </c>
      <c r="AF176" t="inlineStr">
        <is>
          <t>Скидка добавлена к налоговой базе</t>
        </is>
      </c>
      <c r="AG176" t="n">
        <v>30800</v>
      </c>
      <c r="AH176" t="n">
        <v>26180</v>
      </c>
      <c r="AI176" t="inlineStr">
        <is>
          <t>Полное проживание в выбранном периоде</t>
        </is>
      </c>
    </row>
    <row r="177">
      <c r="A177" t="inlineStr">
        <is>
          <t>20260907-8186-452894032</t>
        </is>
      </c>
      <c r="B177" t="n">
        <v>1</v>
      </c>
      <c r="C177" s="2" t="inlineStr">
        <is>
          <t>ВАЛЕНТИНА ХРОМОВА, ИРИНА ШАФИЕВА</t>
        </is>
      </c>
      <c r="D177" s="3" t="n">
        <v>18160</v>
      </c>
      <c r="E177" s="4" t="n">
        <v>20</v>
      </c>
      <c r="F177" t="inlineStr">
        <is>
          <t>ООО "ХБ-ПРО" [Чайковский]</t>
        </is>
      </c>
      <c r="G177" s="3">
        <f>ROUND(D177/(100-E177)*100,2)</f>
        <v/>
      </c>
      <c r="H177" s="3" t="n">
        <v>4000</v>
      </c>
      <c r="I177" s="3">
        <f>ROUND(IF(ISNUMBER(AG177),AG177,G177)+H177,2)</f>
        <v/>
      </c>
      <c r="J177" s="2" t="inlineStr">
        <is>
          <t>продление номера — 4 000,00 ₽; Завтрак "Шведский стол"</t>
        </is>
      </c>
      <c r="K177" s="5" t="n">
        <v>46272.58333333334</v>
      </c>
      <c r="L177" t="n">
        <v>2</v>
      </c>
      <c r="M177" s="3">
        <f>I177/L177</f>
        <v/>
      </c>
      <c r="N177">
        <f>IF(M177&gt;=5100,"ставка","мин.ставка")</f>
        <v/>
      </c>
      <c r="O177" s="3">
        <f>ROUND(IF(N177="мин.ставка",L177*100,I177/102*2),2)</f>
        <v/>
      </c>
      <c r="P177" s="5" t="n">
        <v>46274.5</v>
      </c>
      <c r="Q177" t="inlineStr">
        <is>
          <t>TravelLine UTS</t>
        </is>
      </c>
      <c r="R177" s="2" t="inlineStr">
        <is>
          <t>СТАНДАРТНЫЙ ДВУХМЕСТНЫЙ НОМЕР</t>
        </is>
      </c>
      <c r="S177" t="n">
        <v>26</v>
      </c>
      <c r="T177" t="n">
        <v>1</v>
      </c>
      <c r="U177" t="inlineStr"/>
      <c r="V177" t="inlineStr">
        <is>
          <t>Тариф с завтраком</t>
        </is>
      </c>
      <c r="W177" t="n">
        <v>22160</v>
      </c>
      <c r="X177" s="3" t="n">
        <v>0</v>
      </c>
      <c r="Y177" t="inlineStr"/>
      <c r="Z177" t="inlineStr"/>
      <c r="AA177" s="3" t="n">
        <v>18160</v>
      </c>
      <c r="AB177" t="inlineStr">
        <is>
          <t>Сошлось с услугами</t>
        </is>
      </c>
      <c r="AC177" s="2" t="inlineStr"/>
      <c r="AD177" t="n">
        <v>0</v>
      </c>
      <c r="AE177" t="n">
        <v>0</v>
      </c>
      <c r="AF177" t="inlineStr">
        <is>
          <t>Скидки нет</t>
        </is>
      </c>
      <c r="AG177" t="n">
        <v>18160</v>
      </c>
      <c r="AH177" t="n">
        <v>18160</v>
      </c>
      <c r="AI177" t="inlineStr">
        <is>
          <t>Полное проживание в выбранном периоде</t>
        </is>
      </c>
    </row>
    <row r="178">
      <c r="A178" t="inlineStr">
        <is>
          <t>20260827-8186-460711943</t>
        </is>
      </c>
      <c r="B178" t="n">
        <v>1</v>
      </c>
      <c r="C178" s="2" t="inlineStr">
        <is>
          <t>Валерий Трач, Екатерина Можайская</t>
        </is>
      </c>
      <c r="D178" s="3" t="n">
        <v>35028</v>
      </c>
      <c r="E178" s="4" t="n">
        <v>16</v>
      </c>
      <c r="F178" t="inlineStr">
        <is>
          <t>ООО "БРОНИРОВАНИЕ ГОСТИНИЦ" (OSTROVOK) [Чайковский]</t>
        </is>
      </c>
      <c r="G178" s="3">
        <f>ROUND(D178/(100-E178)*100,2)</f>
        <v/>
      </c>
      <c r="H178" s="3" t="n">
        <v>3000</v>
      </c>
      <c r="I178" s="3">
        <f>ROUND(IF(ISNUMBER(AG178),AG178,G178)+H178,2)</f>
        <v/>
      </c>
      <c r="J178" s="2" t="inlineStr">
        <is>
          <t>продление номера — 3 000,00 ₽</t>
        </is>
      </c>
      <c r="K178" s="5" t="n">
        <v>46261.58333333334</v>
      </c>
      <c r="L178" t="n">
        <v>3</v>
      </c>
      <c r="M178" s="3">
        <f>I178/L178</f>
        <v/>
      </c>
      <c r="N178">
        <f>IF(M178&gt;=5100,"ставка","мин.ставка")</f>
        <v/>
      </c>
      <c r="O178" s="3">
        <f>ROUND(IF(N178="мин.ставка",L178*100,I178/102*2),2)</f>
        <v/>
      </c>
      <c r="P178" s="5" t="n">
        <v>46264.5</v>
      </c>
      <c r="Q178" t="inlineStr">
        <is>
          <t>TravelLine OTK</t>
        </is>
      </c>
      <c r="R178" s="2" t="inlineStr">
        <is>
          <t>УЛУЧШЕННЫЙ ДВУХМЕСТНЫЙ НОМЕР</t>
        </is>
      </c>
      <c r="S178" t="n">
        <v>31</v>
      </c>
      <c r="T178" t="n">
        <v>1</v>
      </c>
      <c r="U178" t="inlineStr"/>
      <c r="V178" t="inlineStr">
        <is>
          <t>Основной тариф без завтрака</t>
        </is>
      </c>
      <c r="W178" t="n">
        <v>38028</v>
      </c>
      <c r="X178" s="3" t="n">
        <v>6672</v>
      </c>
      <c r="Y178" t="inlineStr">
        <is>
          <t>16%</t>
        </is>
      </c>
      <c r="Z178" t="inlineStr">
        <is>
          <t>2026-08-27, 2026-08-28, 2026-08-29</t>
        </is>
      </c>
      <c r="AA178" s="3" t="n">
        <v>35028</v>
      </c>
      <c r="AB178" t="inlineStr">
        <is>
          <t>Сошлось с услугами</t>
        </is>
      </c>
      <c r="AC178" s="2" t="inlineStr"/>
      <c r="AD178" t="n">
        <v>6672</v>
      </c>
      <c r="AE178" t="n">
        <v>0</v>
      </c>
      <c r="AF178" t="inlineStr">
        <is>
          <t>Скидка добавлена к налоговой базе</t>
        </is>
      </c>
      <c r="AG178" t="n">
        <v>41700</v>
      </c>
      <c r="AH178" t="n">
        <v>35028</v>
      </c>
      <c r="AI178" t="inlineStr">
        <is>
          <t>Полное проживание в выбранном периоде</t>
        </is>
      </c>
    </row>
    <row r="179">
      <c r="A179" t="inlineStr">
        <is>
          <t>20260910-8186-463566252</t>
        </is>
      </c>
      <c r="B179" t="n">
        <v>1</v>
      </c>
      <c r="C179" s="2" t="inlineStr">
        <is>
          <t>ВАЛЕРИЙ ШАЛАЕВ, АЛЛА ШАЛАЕВА</t>
        </is>
      </c>
      <c r="D179" s="3" t="n">
        <v>11347.5</v>
      </c>
      <c r="E179" s="4" t="n">
        <v>15</v>
      </c>
      <c r="F179" t="inlineStr">
        <is>
          <t>ООО "АКАДЕМ-ОНЛАЙН" [Чайковский]</t>
        </is>
      </c>
      <c r="G179" s="3">
        <f>ROUND(D179/(100-E179)*100,2)</f>
        <v/>
      </c>
      <c r="H179" s="3" t="n">
        <v>0</v>
      </c>
      <c r="I179" s="3">
        <f>ROUND(IF(ISNUMBER(AG179),AG179,G179)+H179,2)</f>
        <v/>
      </c>
      <c r="J179" s="2" t="inlineStr">
        <is>
          <t>Завтрак "Шведский стол"</t>
        </is>
      </c>
      <c r="K179" s="5" t="n">
        <v>46275.58333333334</v>
      </c>
      <c r="L179" t="n">
        <v>1</v>
      </c>
      <c r="M179" s="3">
        <f>I179/L179</f>
        <v/>
      </c>
      <c r="N179">
        <f>IF(M179&gt;=5100,"ставка","мин.ставка")</f>
        <v/>
      </c>
      <c r="O179" s="3">
        <f>ROUND(IF(N179="мин.ставка",L179*100,I179/102*2),2)</f>
        <v/>
      </c>
      <c r="P179" s="5" t="n">
        <v>46276.58333333334</v>
      </c>
      <c r="Q179" t="inlineStr">
        <is>
          <t>TravelLine ACS</t>
        </is>
      </c>
      <c r="R179" s="2" t="inlineStr">
        <is>
          <t>СТАНДАРТНЫЙ ДВУХМЕСТНЫЙ НОМЕР</t>
        </is>
      </c>
      <c r="S179" t="n">
        <v>46</v>
      </c>
      <c r="T179" t="n">
        <v>1</v>
      </c>
      <c r="U179" t="inlineStr"/>
      <c r="V179" t="inlineStr">
        <is>
          <t>Тариф с завтраком</t>
        </is>
      </c>
      <c r="W179" t="n">
        <v>52815</v>
      </c>
      <c r="X179" s="3" t="n">
        <v>2002.5</v>
      </c>
      <c r="Y179" t="inlineStr">
        <is>
          <t>15%</t>
        </is>
      </c>
      <c r="Z179" t="inlineStr">
        <is>
          <t>2026-09-10</t>
        </is>
      </c>
      <c r="AA179" s="3" t="n">
        <v>11347.5</v>
      </c>
      <c r="AB179" t="inlineStr">
        <is>
          <t>Сошлось по ночным тарифам</t>
        </is>
      </c>
      <c r="AC179" s="2" t="inlineStr"/>
      <c r="AD179" t="n">
        <v>2002.5</v>
      </c>
      <c r="AE179" t="n">
        <v>0</v>
      </c>
      <c r="AF179" t="inlineStr">
        <is>
          <t>Скидка добавлена к налоговой базе</t>
        </is>
      </c>
      <c r="AG179" t="n">
        <v>13350</v>
      </c>
      <c r="AH179" t="n">
        <v>11347.5</v>
      </c>
      <c r="AI179" t="inlineStr">
        <is>
          <t>Полное проживание в выбранном периоде</t>
        </is>
      </c>
    </row>
    <row r="180">
      <c r="A180" t="inlineStr">
        <is>
          <t>20260910-8186-463566252</t>
        </is>
      </c>
      <c r="B180" t="n">
        <v>1</v>
      </c>
      <c r="C180" s="2" t="inlineStr">
        <is>
          <t>ВАЛЕРИЙ ШАЛАЕВ, АЛЛА ШАЛАЕВА</t>
        </is>
      </c>
      <c r="D180" s="3" t="n">
        <v>34042.5</v>
      </c>
      <c r="E180" s="4" t="n">
        <v>15</v>
      </c>
      <c r="F180" t="inlineStr">
        <is>
          <t>ООО "АКАДЕМ-ОНЛАЙН" [Чайковский]</t>
        </is>
      </c>
      <c r="G180" s="3">
        <f>ROUND(D180/(100-E180)*100,2)</f>
        <v/>
      </c>
      <c r="H180" s="3" t="n">
        <v>7425</v>
      </c>
      <c r="I180" s="3">
        <f>ROUND(IF(ISNUMBER(AG180),AG180,G180)+H180,2)</f>
        <v/>
      </c>
      <c r="J180" s="2" t="inlineStr">
        <is>
          <t>продление номера — 7 425,00 ₽; Завтрак "Шведский стол"</t>
        </is>
      </c>
      <c r="K180" s="5" t="n">
        <v>46276.58333333334</v>
      </c>
      <c r="L180" t="n">
        <v>3</v>
      </c>
      <c r="M180" s="3">
        <f>I180/L180</f>
        <v/>
      </c>
      <c r="N180">
        <f>IF(M180&gt;=5100,"ставка","мин.ставка")</f>
        <v/>
      </c>
      <c r="O180" s="3">
        <f>ROUND(IF(N180="мин.ставка",L180*100,I180/102*2),2)</f>
        <v/>
      </c>
      <c r="P180" s="5" t="n">
        <v>46279.79166666666</v>
      </c>
      <c r="Q180" t="inlineStr">
        <is>
          <t>TravelLine ACS</t>
        </is>
      </c>
      <c r="R180" s="2" t="inlineStr">
        <is>
          <t>ПОЛУЛЮКС</t>
        </is>
      </c>
      <c r="S180" t="n">
        <v>11</v>
      </c>
      <c r="T180" t="n">
        <v>1</v>
      </c>
      <c r="U180" t="inlineStr"/>
      <c r="V180" t="inlineStr">
        <is>
          <t>Тариф с завтраком</t>
        </is>
      </c>
      <c r="W180" t="n">
        <v>52815</v>
      </c>
      <c r="X180" s="3" t="n">
        <v>6007.5</v>
      </c>
      <c r="Y180" t="inlineStr">
        <is>
          <t>15%</t>
        </is>
      </c>
      <c r="Z180" t="inlineStr">
        <is>
          <t>2026-09-11, 2026-09-12, 2026-09-13</t>
        </is>
      </c>
      <c r="AA180" s="3" t="n">
        <v>34042.5</v>
      </c>
      <c r="AB180" t="inlineStr">
        <is>
          <t>Сошлось с услугами</t>
        </is>
      </c>
      <c r="AC180" s="2" t="inlineStr"/>
      <c r="AD180" t="n">
        <v>6007.5</v>
      </c>
      <c r="AE180" t="n">
        <v>0</v>
      </c>
      <c r="AF180" t="inlineStr">
        <is>
          <t>Скидка добавлена к налоговой базе</t>
        </is>
      </c>
      <c r="AG180" t="n">
        <v>40050</v>
      </c>
      <c r="AH180" t="n">
        <v>34042.5</v>
      </c>
      <c r="AI180" t="inlineStr">
        <is>
          <t>Полное проживание в выбранном периоде</t>
        </is>
      </c>
    </row>
    <row r="181">
      <c r="A181" t="inlineStr">
        <is>
          <t>20260901-8186-421880912</t>
        </is>
      </c>
      <c r="B181" t="n">
        <v>1</v>
      </c>
      <c r="C181" s="2" t="inlineStr">
        <is>
          <t>ВАЛЕРИЯ ЛОГИНОВА, СОФИЯ ЛОГИНОВА</t>
        </is>
      </c>
      <c r="D181" s="3" t="n">
        <v>45390</v>
      </c>
      <c r="E181" s="4" t="n">
        <v>0</v>
      </c>
      <c r="F181" t="inlineStr">
        <is>
          <t>ООО "АЛЕАН ОТДЫХ" [Чайковский]</t>
        </is>
      </c>
      <c r="G181" s="3">
        <f>ROUND(D181/(100-E181)*100,2)</f>
        <v/>
      </c>
      <c r="H181" s="3" t="n">
        <v>0</v>
      </c>
      <c r="I181" s="3">
        <f>ROUND(IF(ISNUMBER(AG181),AG181,G181)+H181,2)</f>
        <v/>
      </c>
      <c r="J181" s="2" t="inlineStr">
        <is>
          <t>meal_bf_buffet_1; meal_bf_buffet_1; Завтрак "Шведский стол"</t>
        </is>
      </c>
      <c r="K181" s="5" t="n">
        <v>46266.58333333334</v>
      </c>
      <c r="L181" t="n">
        <v>4</v>
      </c>
      <c r="M181" s="3">
        <f>I181/L181</f>
        <v/>
      </c>
      <c r="N181">
        <f>IF(M181&gt;=5100,"ставка","мин.ставка")</f>
        <v/>
      </c>
      <c r="O181" s="3">
        <f>ROUND(IF(N181="мин.ставка",L181*100,I181/102*2),2)</f>
        <v/>
      </c>
      <c r="P181" s="5" t="n">
        <v>46270.5</v>
      </c>
      <c r="Q181" t="inlineStr">
        <is>
          <t>TravelLine ALN</t>
        </is>
      </c>
      <c r="R181" s="2" t="inlineStr">
        <is>
          <t>СТАНДАРТНЫЙ ДВУХМЕСТНЫЙ НОМЕР</t>
        </is>
      </c>
      <c r="S181" t="n">
        <v>23</v>
      </c>
      <c r="T181" t="n">
        <v>1</v>
      </c>
      <c r="U181" t="inlineStr"/>
      <c r="V181" t="inlineStr">
        <is>
          <t>Тариф с завтраком</t>
        </is>
      </c>
      <c r="W181" t="n">
        <v>45390</v>
      </c>
      <c r="X181" s="3" t="n">
        <v>8010</v>
      </c>
      <c r="Y181" t="inlineStr">
        <is>
          <t>15%</t>
        </is>
      </c>
      <c r="Z181" t="inlineStr">
        <is>
          <t>2026-09-01, 2026-09-02, 2026-09-03, 2026-09-04</t>
        </is>
      </c>
      <c r="AA181" s="3" t="n">
        <v>45390</v>
      </c>
      <c r="AB181" t="inlineStr">
        <is>
          <t>Сошлось по ночным тарифам</t>
        </is>
      </c>
      <c r="AC181" s="2" t="inlineStr"/>
      <c r="AD181" t="n">
        <v>8010</v>
      </c>
      <c r="AE181" t="n">
        <v>0</v>
      </c>
      <c r="AF181" t="inlineStr">
        <is>
          <t>Скидка добавлена к налоговой базе</t>
        </is>
      </c>
      <c r="AG181" t="n">
        <v>53400</v>
      </c>
      <c r="AH181" t="n">
        <v>45390</v>
      </c>
      <c r="AI181" t="inlineStr">
        <is>
          <t>Полное проживание в выбранном периоде</t>
        </is>
      </c>
    </row>
    <row r="182">
      <c r="A182" t="inlineStr">
        <is>
          <t>20260824-8186-451489646</t>
        </is>
      </c>
      <c r="B182" t="n">
        <v>1</v>
      </c>
      <c r="C182" s="2" t="inlineStr">
        <is>
          <t>Варвара Белоусова</t>
        </is>
      </c>
      <c r="D182" s="3" t="n">
        <v>7655.1</v>
      </c>
      <c r="E182" s="4" t="n">
        <v>4</v>
      </c>
      <c r="F182" t="inlineStr">
        <is>
          <t>TravelLine Booking Engine [Чайковский]</t>
        </is>
      </c>
      <c r="G182" s="3">
        <f>ROUND(D182/(100-E182)*100,2)</f>
        <v/>
      </c>
      <c r="H182" s="3" t="n">
        <v>0</v>
      </c>
      <c r="I182" s="3">
        <f>ROUND(IF(ISNUMBER(AG182),AG182,G182)+H182,2)</f>
        <v/>
      </c>
      <c r="J182" s="2" t="inlineStr">
        <is>
          <t>Завтрак "Шведский стол"</t>
        </is>
      </c>
      <c r="K182" s="5" t="n">
        <v>46258.58333333334</v>
      </c>
      <c r="L182" t="n">
        <v>1</v>
      </c>
      <c r="M182" s="3">
        <f>I182/L182</f>
        <v/>
      </c>
      <c r="N182">
        <f>IF(M182&gt;=5100,"ставка","мин.ставка")</f>
        <v/>
      </c>
      <c r="O182" s="3">
        <f>ROUND(IF(N182="мин.ставка",L182*100,I182/102*2),2)</f>
        <v/>
      </c>
      <c r="P182" s="5" t="n">
        <v>46259.5</v>
      </c>
      <c r="Q182" t="inlineStr">
        <is>
          <t>TravelLine сайт</t>
        </is>
      </c>
      <c r="R182" s="2" t="inlineStr">
        <is>
          <t>СТАНДАРТНЫЙ ДВУХМЕСТНЫЙ НОМЕР (МАНСАРДА)</t>
        </is>
      </c>
      <c r="S182" t="n">
        <v>41</v>
      </c>
      <c r="T182" t="n">
        <v>1</v>
      </c>
      <c r="U182" t="inlineStr"/>
      <c r="V182" t="inlineStr">
        <is>
          <t>Тариф с завтраком</t>
        </is>
      </c>
      <c r="W182" t="n">
        <v>24903.3</v>
      </c>
      <c r="X182" s="3" t="n">
        <v>244.9</v>
      </c>
      <c r="Y182" t="inlineStr">
        <is>
          <t>3.1%</t>
        </is>
      </c>
      <c r="Z182" t="inlineStr">
        <is>
          <t>2026-08-24</t>
        </is>
      </c>
      <c r="AA182" s="3" t="n">
        <v>7655.1</v>
      </c>
      <c r="AB182" t="inlineStr">
        <is>
          <t>Сошлось по ночным тарифам</t>
        </is>
      </c>
      <c r="AC182" s="2" t="inlineStr"/>
      <c r="AD182" t="n">
        <v>244.9</v>
      </c>
      <c r="AE182" t="n">
        <v>0</v>
      </c>
      <c r="AF182" t="inlineStr">
        <is>
          <t>Скидка добавлена к налоговой базе</t>
        </is>
      </c>
      <c r="AG182" t="n">
        <v>7900</v>
      </c>
      <c r="AH182" t="n">
        <v>7655.1</v>
      </c>
      <c r="AI182" t="inlineStr">
        <is>
          <t>Полное проживание в выбранном периоде</t>
        </is>
      </c>
    </row>
    <row r="183">
      <c r="A183" t="inlineStr">
        <is>
          <t>20260928-8186-468485371</t>
        </is>
      </c>
      <c r="B183" t="n">
        <v>1</v>
      </c>
      <c r="C183" s="2" t="inlineStr">
        <is>
          <t>Вардан Есоян</t>
        </is>
      </c>
      <c r="D183" s="3" t="n">
        <v>27921</v>
      </c>
      <c r="E183" s="4" t="n">
        <v>18</v>
      </c>
      <c r="F183" t="inlineStr">
        <is>
          <t>ООО "Эй энд Эй" [Чайковский]</t>
        </is>
      </c>
      <c r="G183" s="3">
        <f>ROUND(D183/(100-E183)*100,2)</f>
        <v/>
      </c>
      <c r="H183" s="3" t="n">
        <v>0</v>
      </c>
      <c r="I183" s="3">
        <f>ROUND(IF(ISNUMBER(AG183),AG183,G183)+H183,2)</f>
        <v/>
      </c>
      <c r="J183" s="2" t="inlineStr">
        <is>
          <t>Завтрак "Шведский стол"</t>
        </is>
      </c>
      <c r="K183" s="5" t="n">
        <v>46293.58333333334</v>
      </c>
      <c r="L183" t="n">
        <v>3</v>
      </c>
      <c r="M183" s="3">
        <f>I183/L183</f>
        <v/>
      </c>
      <c r="N183">
        <f>IF(M183&gt;=5100,"ставка","мин.ставка")</f>
        <v/>
      </c>
      <c r="O183" s="3">
        <f>ROUND(IF(N183="мин.ставка",L183*100,I183/102*2),2)</f>
        <v/>
      </c>
      <c r="P183" s="5" t="n">
        <v>46296.5</v>
      </c>
      <c r="Q183" t="inlineStr">
        <is>
          <t>TravelLine ANA</t>
        </is>
      </c>
      <c r="R183" s="2" t="inlineStr">
        <is>
          <t>СТАНДАРТНЫЙ ДВУХМЕСТНЫЙ НОМЕР</t>
        </is>
      </c>
      <c r="S183" t="n">
        <v>33</v>
      </c>
      <c r="T183" t="n">
        <v>1</v>
      </c>
      <c r="U183" t="inlineStr"/>
      <c r="V183" t="inlineStr">
        <is>
          <t>Тариф с завтраком</t>
        </is>
      </c>
      <c r="W183" t="n">
        <v>27921</v>
      </c>
      <c r="X183" s="3" t="n">
        <v>6129</v>
      </c>
      <c r="Y183" t="inlineStr">
        <is>
          <t>18%</t>
        </is>
      </c>
      <c r="Z183" t="inlineStr">
        <is>
          <t>2026-09-28, 2026-09-29, 2026-09-30</t>
        </is>
      </c>
      <c r="AA183" s="3" t="n">
        <v>27921</v>
      </c>
      <c r="AB183" t="inlineStr">
        <is>
          <t>Сошлось по ночным тарифам</t>
        </is>
      </c>
      <c r="AC183" s="2" t="inlineStr"/>
      <c r="AD183" t="n">
        <v>6129</v>
      </c>
      <c r="AE183" t="n">
        <v>0</v>
      </c>
      <c r="AF183" t="inlineStr">
        <is>
          <t>Скидка добавлена к налоговой базе</t>
        </is>
      </c>
      <c r="AG183" t="n">
        <v>34050</v>
      </c>
      <c r="AH183" t="n">
        <v>27921</v>
      </c>
      <c r="AI183" t="inlineStr">
        <is>
          <t>Полное проживание в выбранном периоде</t>
        </is>
      </c>
    </row>
    <row r="184">
      <c r="A184" t="inlineStr">
        <is>
          <t>20260811-8186-455189264</t>
        </is>
      </c>
      <c r="B184" t="n">
        <v>1</v>
      </c>
      <c r="C184" s="2" t="inlineStr">
        <is>
          <t>ВАсилий Козин, Марина Мицик</t>
        </is>
      </c>
      <c r="D184" s="3" t="n">
        <v>39636.15</v>
      </c>
      <c r="E184" s="4" t="n">
        <v>4</v>
      </c>
      <c r="F184" t="inlineStr">
        <is>
          <t>TravelLine Booking Engine [Чайковский]</t>
        </is>
      </c>
      <c r="G184" s="3">
        <f>ROUND(D184/(100-E184)*100,2)</f>
        <v/>
      </c>
      <c r="H184" s="3" t="n">
        <v>0</v>
      </c>
      <c r="I184" s="3">
        <f>ROUND(IF(ISNUMBER(AG184),AG184,G184)+H184,2)</f>
        <v/>
      </c>
      <c r="J184" s="2" t="inlineStr">
        <is>
          <t>Завтрак "Шведский стол"</t>
        </is>
      </c>
      <c r="K184" s="5" t="n">
        <v>46245.58333333334</v>
      </c>
      <c r="L184" t="n">
        <v>3</v>
      </c>
      <c r="M184" s="3">
        <f>I184/L184</f>
        <v/>
      </c>
      <c r="N184">
        <f>IF(M184&gt;=5100,"ставка","мин.ставка")</f>
        <v/>
      </c>
      <c r="O184" s="3">
        <f>ROUND(IF(N184="мин.ставка",L184*100,I184/102*2),2)</f>
        <v/>
      </c>
      <c r="P184" s="5" t="n">
        <v>46248.5</v>
      </c>
      <c r="Q184" t="inlineStr">
        <is>
          <t>TravelLine сайт</t>
        </is>
      </c>
      <c r="R184" s="2" t="inlineStr">
        <is>
          <t>СТАНДАРТНЫЙ ДВУХМЕСТНЫЙ НОМЕР</t>
        </is>
      </c>
      <c r="S184" t="n">
        <v>32</v>
      </c>
      <c r="T184" t="n">
        <v>1</v>
      </c>
      <c r="U184" t="inlineStr"/>
      <c r="V184" t="inlineStr">
        <is>
          <t>Тариф с завтраком</t>
        </is>
      </c>
      <c r="W184" t="n">
        <v>39636.15</v>
      </c>
      <c r="X184" s="3" t="n">
        <v>413.85</v>
      </c>
      <c r="Y184" t="inlineStr">
        <is>
          <t>3.1%</t>
        </is>
      </c>
      <c r="Z184" t="inlineStr">
        <is>
          <t>2026-08-11</t>
        </is>
      </c>
      <c r="AA184" s="3" t="n">
        <v>39636.15</v>
      </c>
      <c r="AB184" t="inlineStr">
        <is>
          <t>Сошлось по ночным тарифам</t>
        </is>
      </c>
      <c r="AC184" s="2" t="inlineStr"/>
      <c r="AD184" t="n">
        <v>413.85</v>
      </c>
      <c r="AE184" t="n">
        <v>0</v>
      </c>
      <c r="AF184" t="inlineStr">
        <is>
          <t>Скидка добавлена к налоговой базе</t>
        </is>
      </c>
      <c r="AG184" t="n">
        <v>40050</v>
      </c>
      <c r="AH184" t="n">
        <v>39636.15</v>
      </c>
      <c r="AI184" t="inlineStr">
        <is>
          <t>Полное проживание в выбранном периоде</t>
        </is>
      </c>
    </row>
    <row r="185">
      <c r="A185" t="inlineStr">
        <is>
          <t>20260815-8186-458848369</t>
        </is>
      </c>
      <c r="B185" t="n">
        <v>1</v>
      </c>
      <c r="C185" s="2" t="inlineStr">
        <is>
          <t>Василий Федоров, Юлия Федорова</t>
        </is>
      </c>
      <c r="D185" s="3" t="n">
        <v>13860</v>
      </c>
      <c r="E185" s="4" t="n">
        <v>0</v>
      </c>
      <c r="F185" t="inlineStr">
        <is>
          <t>Прямые бронирования (стойка) [Чайковский]</t>
        </is>
      </c>
      <c r="G185" s="3">
        <f>ROUND(D185/(100-E185)*100,2)</f>
        <v/>
      </c>
      <c r="H185" s="3" t="n">
        <v>0</v>
      </c>
      <c r="I185" s="3">
        <f>ROUND(IF(ISNUMBER(AG185),AG185,G185)+H185,2)</f>
        <v/>
      </c>
      <c r="J185" s="2" t="inlineStr">
        <is>
          <t>Завтрак "Шведский стол"</t>
        </is>
      </c>
      <c r="K185" s="5" t="n">
        <v>46249.58333333334</v>
      </c>
      <c r="L185" t="n">
        <v>1</v>
      </c>
      <c r="M185" s="3">
        <f>I185/L185</f>
        <v/>
      </c>
      <c r="N185">
        <f>IF(M185&gt;=5100,"ставка","мин.ставка")</f>
        <v/>
      </c>
      <c r="O185" s="3">
        <f>ROUND(IF(N185="мин.ставка",L185*100,I185/102*2),2)</f>
        <v/>
      </c>
      <c r="P185" s="5" t="n">
        <v>46250.5</v>
      </c>
      <c r="Q185" t="inlineStr">
        <is>
          <t>TravelLine ресепшен</t>
        </is>
      </c>
      <c r="R185" s="2" t="inlineStr">
        <is>
          <t>УЛУЧШЕННЫЙ ДВУХМЕСТНЫЙ НОМЕР</t>
        </is>
      </c>
      <c r="S185" t="n">
        <v>31</v>
      </c>
      <c r="T185" t="n">
        <v>1</v>
      </c>
      <c r="U185" t="inlineStr"/>
      <c r="V185" t="inlineStr">
        <is>
          <t>Тариф с завтраком</t>
        </is>
      </c>
      <c r="W185" t="n">
        <v>13860</v>
      </c>
      <c r="X185" s="3" t="n">
        <v>1540</v>
      </c>
      <c r="Y185" t="inlineStr">
        <is>
          <t>10%</t>
        </is>
      </c>
      <c r="Z185" t="inlineStr">
        <is>
          <t>2026-08-15</t>
        </is>
      </c>
      <c r="AA185" s="3" t="n">
        <v>13860</v>
      </c>
      <c r="AB185" t="inlineStr">
        <is>
          <t>Сошлось по ночным тарифам</t>
        </is>
      </c>
      <c r="AC185" s="2" t="inlineStr"/>
      <c r="AD185" t="n">
        <v>1540</v>
      </c>
      <c r="AE185" t="n">
        <v>0</v>
      </c>
      <c r="AF185" t="inlineStr">
        <is>
          <t>Скидка добавлена к налоговой базе</t>
        </is>
      </c>
      <c r="AG185" t="n">
        <v>15400</v>
      </c>
      <c r="AH185" t="n">
        <v>13860</v>
      </c>
      <c r="AI185" t="inlineStr">
        <is>
          <t>Полное проживание в выбранном периоде</t>
        </is>
      </c>
    </row>
    <row r="186">
      <c r="A186" t="inlineStr">
        <is>
          <t>20260801-8186-431054708</t>
        </is>
      </c>
      <c r="B186" t="n">
        <v>1</v>
      </c>
      <c r="C186" s="2" t="inlineStr">
        <is>
          <t>ВЕРА БАКШИЦКАЯ, АННА АНТОНОВА</t>
        </is>
      </c>
      <c r="D186" s="3" t="n">
        <v>55440</v>
      </c>
      <c r="E186" s="4" t="n">
        <v>0</v>
      </c>
      <c r="F186" t="inlineStr">
        <is>
          <t>Прямые бронирования (стойка) [Чайковский]</t>
        </is>
      </c>
      <c r="G186" s="3">
        <f>ROUND(D186/(100-E186)*100,2)</f>
        <v/>
      </c>
      <c r="H186" s="3" t="n">
        <v>0</v>
      </c>
      <c r="I186" s="3">
        <f>ROUND(IF(ISNUMBER(AG186),AG186,G186)+H186,2)</f>
        <v/>
      </c>
      <c r="J186" s="2" t="inlineStr">
        <is>
          <t>Завтрак "Шведский стол"</t>
        </is>
      </c>
      <c r="K186" s="5" t="n">
        <v>46235.58333333334</v>
      </c>
      <c r="L186" t="n">
        <v>7</v>
      </c>
      <c r="M186" s="3">
        <f>I186/L186</f>
        <v/>
      </c>
      <c r="N186">
        <f>IF(M186&gt;=5100,"ставка","мин.ставка")</f>
        <v/>
      </c>
      <c r="O186" s="3">
        <f>ROUND(IF(N186="мин.ставка",L186*100,I186/102*2),2)</f>
        <v/>
      </c>
      <c r="P186" s="5" t="n">
        <v>46242.5</v>
      </c>
      <c r="Q186" t="inlineStr">
        <is>
          <t>TravelLine ресепшен</t>
        </is>
      </c>
      <c r="R186" s="2" t="inlineStr">
        <is>
          <t>СТАНДАРТНЫЙ ДВУХМЕСТНЫЙ НОМЕР (МАНСАРДА)</t>
        </is>
      </c>
      <c r="S186" t="n">
        <v>45</v>
      </c>
      <c r="T186" t="n">
        <v>1</v>
      </c>
      <c r="U186" t="inlineStr"/>
      <c r="V186" t="inlineStr">
        <is>
          <t>Тариф с завтраком</t>
        </is>
      </c>
      <c r="W186" t="n">
        <v>55440</v>
      </c>
      <c r="X186" s="3" t="n">
        <v>13860</v>
      </c>
      <c r="Y186" t="inlineStr">
        <is>
          <t>20%</t>
        </is>
      </c>
      <c r="Z186" t="inlineStr">
        <is>
          <t>2026-08-01, 2026-08-02, 2026-08-03, 2026-08-04, 2026-08-05, 2026-08-06, 2026-08-07</t>
        </is>
      </c>
      <c r="AA186" s="3" t="n">
        <v>55440</v>
      </c>
      <c r="AB186" t="inlineStr">
        <is>
          <t>Сошлось по ночным тарифам</t>
        </is>
      </c>
      <c r="AC186" s="2" t="inlineStr"/>
      <c r="AD186" t="n">
        <v>13860</v>
      </c>
      <c r="AE186" t="n">
        <v>0</v>
      </c>
      <c r="AF186" t="inlineStr">
        <is>
          <t>Скидка добавлена к налоговой базе</t>
        </is>
      </c>
      <c r="AG186" t="n">
        <v>69300</v>
      </c>
      <c r="AH186" t="n">
        <v>55440</v>
      </c>
      <c r="AI186" t="inlineStr">
        <is>
          <t>Полное проживание в выбранном периоде</t>
        </is>
      </c>
    </row>
    <row r="187">
      <c r="A187" t="inlineStr">
        <is>
          <t>20260701-8186-445037030</t>
        </is>
      </c>
      <c r="B187" t="n">
        <v>1</v>
      </c>
      <c r="C187" s="2" t="inlineStr">
        <is>
          <t>Вера Веселова</t>
        </is>
      </c>
      <c r="D187" s="3" t="n">
        <v>46400</v>
      </c>
      <c r="E187" s="4" t="n">
        <v>18</v>
      </c>
      <c r="F187" t="inlineStr">
        <is>
          <t>Яндекс.Путешествия [Чайковский]</t>
        </is>
      </c>
      <c r="G187" s="3">
        <f>ROUND(D187/(100-E187)*100,2)</f>
        <v/>
      </c>
      <c r="H187" s="3" t="n">
        <v>0</v>
      </c>
      <c r="I187" s="3">
        <f>ROUND(IF(ISNUMBER(AG187),AG187,G187)+H187,2)</f>
        <v/>
      </c>
      <c r="J187" s="2" t="inlineStr">
        <is>
          <t>Завтрак "Шведский стол"</t>
        </is>
      </c>
      <c r="K187" s="5" t="n">
        <v>46204.58333333334</v>
      </c>
      <c r="L187" t="n">
        <v>4</v>
      </c>
      <c r="M187" s="3">
        <f>I187/L187</f>
        <v/>
      </c>
      <c r="N187">
        <f>IF(M187&gt;=5100,"ставка","мин.ставка")</f>
        <v/>
      </c>
      <c r="O187" s="3">
        <f>ROUND(IF(N187="мин.ставка",L187*100,I187/102*2),2)</f>
        <v/>
      </c>
      <c r="P187" s="5" t="n">
        <v>46208.5</v>
      </c>
      <c r="Q187" t="inlineStr">
        <is>
          <t>TravelLine YAX</t>
        </is>
      </c>
      <c r="R187" s="2" t="inlineStr">
        <is>
          <t>ПОЛУЛЮКС</t>
        </is>
      </c>
      <c r="S187" t="n">
        <v>25</v>
      </c>
      <c r="T187" t="n">
        <v>1</v>
      </c>
      <c r="U187" t="inlineStr"/>
      <c r="V187" t="inlineStr">
        <is>
          <t>Тариф с завтраком</t>
        </is>
      </c>
      <c r="W187" t="n">
        <v>46400</v>
      </c>
      <c r="X187" s="3" t="n">
        <v>11600</v>
      </c>
      <c r="Y187" t="inlineStr">
        <is>
          <t>20%</t>
        </is>
      </c>
      <c r="Z187" t="inlineStr">
        <is>
          <t>2026-07-01, 2026-07-02, 2026-07-03, 2026-07-04</t>
        </is>
      </c>
      <c r="AA187" s="3" t="n">
        <v>46400</v>
      </c>
      <c r="AB187" t="inlineStr">
        <is>
          <t>Сошлось по ночным тарифам</t>
        </is>
      </c>
      <c r="AC187" s="2" t="inlineStr"/>
      <c r="AD187" t="n">
        <v>11600</v>
      </c>
      <c r="AE187" t="n">
        <v>0</v>
      </c>
      <c r="AF187" t="inlineStr">
        <is>
          <t>Скидка добавлена к налоговой базе</t>
        </is>
      </c>
      <c r="AG187" t="n">
        <v>58000</v>
      </c>
      <c r="AH187" t="n">
        <v>46400</v>
      </c>
      <c r="AI187" t="inlineStr">
        <is>
          <t>Полное проживание в выбранном периоде</t>
        </is>
      </c>
    </row>
    <row r="188">
      <c r="A188" t="inlineStr">
        <is>
          <t>20260925-8186-468362135</t>
        </is>
      </c>
      <c r="B188" t="n">
        <v>1</v>
      </c>
      <c r="C188" s="2" t="inlineStr">
        <is>
          <t>Вера Голубь</t>
        </is>
      </c>
      <c r="D188" s="3" t="n">
        <v>9534</v>
      </c>
      <c r="E188" s="4" t="n">
        <v>16</v>
      </c>
      <c r="F188" t="inlineStr">
        <is>
          <t>ООО "БРОНИРОВАНИЕ ГОСТИНИЦ" (OSTROVOK) [Чайковский]</t>
        </is>
      </c>
      <c r="G188" s="3">
        <f>ROUND(D188/(100-E188)*100,2)</f>
        <v/>
      </c>
      <c r="H188" s="3" t="n">
        <v>0</v>
      </c>
      <c r="I188" s="3">
        <f>ROUND(IF(ISNUMBER(AG188),AG188,G188)+H188,2)</f>
        <v/>
      </c>
      <c r="J188" s="2" t="inlineStr">
        <is>
          <t>Завтрак "Шведский стол"</t>
        </is>
      </c>
      <c r="K188" s="5" t="n">
        <v>46290.58333333334</v>
      </c>
      <c r="L188" t="n">
        <v>1</v>
      </c>
      <c r="M188" s="3">
        <f>I188/L188</f>
        <v/>
      </c>
      <c r="N188">
        <f>IF(M188&gt;=5100,"ставка","мин.ставка")</f>
        <v/>
      </c>
      <c r="O188" s="3">
        <f>ROUND(IF(N188="мин.ставка",L188*100,I188/102*2),2)</f>
        <v/>
      </c>
      <c r="P188" s="5" t="n">
        <v>46291.5</v>
      </c>
      <c r="Q188" t="inlineStr">
        <is>
          <t>TravelLine OTK</t>
        </is>
      </c>
      <c r="R188" s="2" t="inlineStr">
        <is>
          <t>СТАНДАРТНЫЙ ДВУХМЕСТНЫЙ НОМЕР</t>
        </is>
      </c>
      <c r="S188" t="n">
        <v>46</v>
      </c>
      <c r="T188" t="n">
        <v>1</v>
      </c>
      <c r="U188" t="inlineStr"/>
      <c r="V188" t="inlineStr">
        <is>
          <t>Тариф с завтраком</t>
        </is>
      </c>
      <c r="W188" t="n">
        <v>9534</v>
      </c>
      <c r="X188" s="3" t="n">
        <v>1816</v>
      </c>
      <c r="Y188" t="inlineStr">
        <is>
          <t>16%</t>
        </is>
      </c>
      <c r="Z188" t="inlineStr">
        <is>
          <t>2026-09-25</t>
        </is>
      </c>
      <c r="AA188" s="3" t="n">
        <v>9534</v>
      </c>
      <c r="AB188" t="inlineStr">
        <is>
          <t>Сошлось по ночным тарифам</t>
        </is>
      </c>
      <c r="AC188" s="2" t="inlineStr"/>
      <c r="AD188" t="n">
        <v>1816</v>
      </c>
      <c r="AE188" t="n">
        <v>0</v>
      </c>
      <c r="AF188" t="inlineStr">
        <is>
          <t>Скидка добавлена к налоговой базе</t>
        </is>
      </c>
      <c r="AG188" t="n">
        <v>11350</v>
      </c>
      <c r="AH188" t="n">
        <v>9534</v>
      </c>
      <c r="AI188" t="inlineStr">
        <is>
          <t>Полное проживание в выбранном периоде</t>
        </is>
      </c>
    </row>
    <row r="189">
      <c r="A189" t="inlineStr">
        <is>
          <t>20260706-8186-447621903</t>
        </is>
      </c>
      <c r="B189" t="n">
        <v>1</v>
      </c>
      <c r="C189" s="2" t="inlineStr">
        <is>
          <t>Вера Скитыба</t>
        </is>
      </c>
      <c r="D189" s="3" t="n">
        <v>19805</v>
      </c>
      <c r="E189" s="4" t="n">
        <v>15</v>
      </c>
      <c r="F189" t="inlineStr">
        <is>
          <t>ООО Тинькофф Путешествия [Чайковский]</t>
        </is>
      </c>
      <c r="G189" s="3">
        <f>ROUND(D189/(100-E189)*100,2)</f>
        <v/>
      </c>
      <c r="H189" s="3" t="n">
        <v>0</v>
      </c>
      <c r="I189" s="3">
        <f>ROUND(IF(ISNUMBER(AG189),AG189,G189)+H189,2)</f>
        <v/>
      </c>
      <c r="J189" s="2" t="inlineStr">
        <is>
          <t>Завтрак "Шведский стол"</t>
        </is>
      </c>
      <c r="K189" s="5" t="n">
        <v>46209.58333333334</v>
      </c>
      <c r="L189" t="n">
        <v>2</v>
      </c>
      <c r="M189" s="3">
        <f>I189/L189</f>
        <v/>
      </c>
      <c r="N189">
        <f>IF(M189&gt;=5100,"ставка","мин.ставка")</f>
        <v/>
      </c>
      <c r="O189" s="3">
        <f>ROUND(IF(N189="мин.ставка",L189*100,I189/102*2),2)</f>
        <v/>
      </c>
      <c r="P189" s="5" t="n">
        <v>46211.5</v>
      </c>
      <c r="Q189" t="inlineStr">
        <is>
          <t>TravelLine TNK</t>
        </is>
      </c>
      <c r="R189" s="2" t="inlineStr">
        <is>
          <t>УЛУЧШЕННЫЙ ДВУХМЕСТНЫЙ НОМЕР</t>
        </is>
      </c>
      <c r="S189" t="n">
        <v>31</v>
      </c>
      <c r="T189" t="n">
        <v>1</v>
      </c>
      <c r="U189" t="inlineStr"/>
      <c r="V189" t="inlineStr">
        <is>
          <t>Тариф с завтраком</t>
        </is>
      </c>
      <c r="W189" t="n">
        <v>19805</v>
      </c>
      <c r="X189" s="3" t="n">
        <v>3495</v>
      </c>
      <c r="Y189" t="inlineStr">
        <is>
          <t>15%</t>
        </is>
      </c>
      <c r="Z189" t="inlineStr">
        <is>
          <t>2026-07-06, 2026-07-07</t>
        </is>
      </c>
      <c r="AA189" s="3" t="n">
        <v>19805</v>
      </c>
      <c r="AB189" t="inlineStr">
        <is>
          <t>Сошлось по ночным тарифам</t>
        </is>
      </c>
      <c r="AC189" s="2" t="inlineStr"/>
      <c r="AD189" t="n">
        <v>3495</v>
      </c>
      <c r="AE189" t="n">
        <v>0</v>
      </c>
      <c r="AF189" t="inlineStr">
        <is>
          <t>Скидка добавлена к налоговой базе</t>
        </is>
      </c>
      <c r="AG189" t="n">
        <v>23300</v>
      </c>
      <c r="AH189" t="n">
        <v>19805</v>
      </c>
      <c r="AI189" t="inlineStr">
        <is>
          <t>Полное проживание в выбранном периоде</t>
        </is>
      </c>
    </row>
    <row r="190">
      <c r="A190" t="inlineStr">
        <is>
          <t>20260918-8186-461156942</t>
        </is>
      </c>
      <c r="B190" t="n">
        <v>1</v>
      </c>
      <c r="C190" s="2" t="inlineStr">
        <is>
          <t>ВЕРОНИКА ВОЛКОВА, НИКОЛАЙ КАРАПЧЕЕВ</t>
        </is>
      </c>
      <c r="D190" s="3" t="n">
        <v>22780</v>
      </c>
      <c r="E190" s="4" t="n">
        <v>15</v>
      </c>
      <c r="F190" t="inlineStr">
        <is>
          <t>ООО "АКАДЕМ-ОНЛАЙН" [Чайковский]</t>
        </is>
      </c>
      <c r="G190" s="3">
        <f>ROUND(D190/(100-E190)*100,2)</f>
        <v/>
      </c>
      <c r="H190" s="3" t="n">
        <v>10700</v>
      </c>
      <c r="I190" s="3">
        <f>ROUND(IF(ISNUMBER(AG190),AG190,G190)+H190,2)</f>
        <v/>
      </c>
      <c r="J190" s="2" t="inlineStr">
        <is>
          <t>продление номера — 4 000,00 ₽; Завтрак "Шведский стол"; Поздний выезд — 6 700,00 ₽</t>
        </is>
      </c>
      <c r="K190" s="5" t="n">
        <v>46283.58333333334</v>
      </c>
      <c r="L190" t="n">
        <v>2</v>
      </c>
      <c r="M190" s="3">
        <f>I190/L190</f>
        <v/>
      </c>
      <c r="N190">
        <f>IF(M190&gt;=5100,"ставка","мин.ставка")</f>
        <v/>
      </c>
      <c r="O190" s="3">
        <f>ROUND(IF(N190="мин.ставка",L190*100,I190/102*2),2)</f>
        <v/>
      </c>
      <c r="P190" s="5" t="n">
        <v>46285.875</v>
      </c>
      <c r="Q190" t="inlineStr">
        <is>
          <t>TravelLine ACS</t>
        </is>
      </c>
      <c r="R190" s="2" t="inlineStr">
        <is>
          <t>УЛУЧШЕННЫЙ ДВУХМЕСТНЫЙ НОМЕР</t>
        </is>
      </c>
      <c r="S190" t="n">
        <v>21</v>
      </c>
      <c r="T190" t="n">
        <v>1</v>
      </c>
      <c r="U190" t="inlineStr"/>
      <c r="V190" t="inlineStr">
        <is>
          <t>Тариф с завтраком</t>
        </is>
      </c>
      <c r="W190" t="n">
        <v>33480</v>
      </c>
      <c r="X190" s="3" t="n">
        <v>4020</v>
      </c>
      <c r="Y190" t="inlineStr">
        <is>
          <t>15%</t>
        </is>
      </c>
      <c r="Z190" t="inlineStr">
        <is>
          <t>2026-09-18, 2026-09-19</t>
        </is>
      </c>
      <c r="AA190" s="3" t="n">
        <v>22780</v>
      </c>
      <c r="AB190" t="inlineStr">
        <is>
          <t>Расхождение -6700.00 ₽</t>
        </is>
      </c>
      <c r="AC190" s="2" t="inlineStr"/>
      <c r="AD190" t="n">
        <v>4020</v>
      </c>
      <c r="AE190" t="n">
        <v>0</v>
      </c>
      <c r="AF190" t="inlineStr">
        <is>
          <t>Скидка добавлена к налоговой базе</t>
        </is>
      </c>
      <c r="AG190" t="n">
        <v>26800</v>
      </c>
      <c r="AH190" t="n">
        <v>22780</v>
      </c>
      <c r="AI190" t="inlineStr">
        <is>
          <t>Полное проживание в выбранном периоде</t>
        </is>
      </c>
    </row>
    <row r="191">
      <c r="A191" t="inlineStr">
        <is>
          <t>20260901-8186-461814037</t>
        </is>
      </c>
      <c r="B191" t="n">
        <v>1</v>
      </c>
      <c r="C191" s="2" t="inlineStr">
        <is>
          <t>Вероника Левина</t>
        </is>
      </c>
      <c r="D191" s="3" t="n">
        <v>19295</v>
      </c>
      <c r="E191" s="4" t="n">
        <v>15</v>
      </c>
      <c r="F191" t="inlineStr">
        <is>
          <t>ООО «12Т» (ранее ONE TWO TRIP) [Чайковский]</t>
        </is>
      </c>
      <c r="G191" s="3">
        <f>ROUND(D191/(100-E191)*100,2)</f>
        <v/>
      </c>
      <c r="H191" s="3" t="n">
        <v>0</v>
      </c>
      <c r="I191" s="3">
        <f>ROUND(IF(ISNUMBER(AG191),AG191,G191)+H191,2)</f>
        <v/>
      </c>
      <c r="J191" s="2" t="inlineStr">
        <is>
          <t>Завтрак "Шведский стол"</t>
        </is>
      </c>
      <c r="K191" s="5" t="n">
        <v>46266.58333333334</v>
      </c>
      <c r="L191" t="n">
        <v>2</v>
      </c>
      <c r="M191" s="3">
        <f>I191/L191</f>
        <v/>
      </c>
      <c r="N191">
        <f>IF(M191&gt;=5100,"ставка","мин.ставка")</f>
        <v/>
      </c>
      <c r="O191" s="3">
        <f>ROUND(IF(N191="мин.ставка",L191*100,I191/102*2),2)</f>
        <v/>
      </c>
      <c r="P191" s="5" t="n">
        <v>46268.5</v>
      </c>
      <c r="Q191" t="inlineStr">
        <is>
          <t>TravelLine OTT</t>
        </is>
      </c>
      <c r="R191" s="2" t="inlineStr">
        <is>
          <t>СТАНДАРТНЫЙ ДВУХМЕСТНЫЙ НОМЕР</t>
        </is>
      </c>
      <c r="S191" t="n">
        <v>33</v>
      </c>
      <c r="T191" t="n">
        <v>1</v>
      </c>
      <c r="U191" t="inlineStr"/>
      <c r="V191" t="inlineStr">
        <is>
          <t>Тариф с завтраком</t>
        </is>
      </c>
      <c r="W191" t="n">
        <v>19295</v>
      </c>
      <c r="X191" s="3" t="n">
        <v>3405</v>
      </c>
      <c r="Y191" t="inlineStr">
        <is>
          <t>15%</t>
        </is>
      </c>
      <c r="Z191" t="inlineStr">
        <is>
          <t>2026-09-01, 2026-09-02</t>
        </is>
      </c>
      <c r="AA191" s="3" t="n">
        <v>19295</v>
      </c>
      <c r="AB191" t="inlineStr">
        <is>
          <t>Сошлось по ночным тарифам</t>
        </is>
      </c>
      <c r="AC191" s="2" t="inlineStr"/>
      <c r="AD191" t="n">
        <v>3405</v>
      </c>
      <c r="AE191" t="n">
        <v>0</v>
      </c>
      <c r="AF191" t="inlineStr">
        <is>
          <t>Скидка добавлена к налоговой базе</t>
        </is>
      </c>
      <c r="AG191" t="n">
        <v>22700</v>
      </c>
      <c r="AH191" t="n">
        <v>19295</v>
      </c>
      <c r="AI191" t="inlineStr">
        <is>
          <t>Полное проживание в выбранном периоде</t>
        </is>
      </c>
    </row>
    <row r="192">
      <c r="A192" t="inlineStr">
        <is>
          <t>20260722-8186-423776337</t>
        </is>
      </c>
      <c r="B192" t="n">
        <v>1</v>
      </c>
      <c r="C192" s="2" t="inlineStr">
        <is>
          <t>Вероника Новик, Роман Хвостов</t>
        </is>
      </c>
      <c r="D192" s="3" t="n">
        <v>74760</v>
      </c>
      <c r="E192" s="4" t="n">
        <v>18</v>
      </c>
      <c r="F192" t="inlineStr">
        <is>
          <t>Яндекс.Путешествия [Чайковский]</t>
        </is>
      </c>
      <c r="G192" s="3">
        <f>ROUND(D192/(100-E192)*100,2)</f>
        <v/>
      </c>
      <c r="H192" s="3" t="n">
        <v>0</v>
      </c>
      <c r="I192" s="3">
        <f>ROUND(IF(ISNUMBER(AG192),AG192,G192)+H192,2)</f>
        <v/>
      </c>
      <c r="J192" s="2" t="inlineStr">
        <is>
          <t>Завтрак "Шведский стол"</t>
        </is>
      </c>
      <c r="K192" s="5" t="n">
        <v>46225.58333333334</v>
      </c>
      <c r="L192" t="n">
        <v>7</v>
      </c>
      <c r="M192" s="3">
        <f>I192/L192</f>
        <v/>
      </c>
      <c r="N192">
        <f>IF(M192&gt;=5100,"ставка","мин.ставка")</f>
        <v/>
      </c>
      <c r="O192" s="3">
        <f>ROUND(IF(N192="мин.ставка",L192*100,I192/102*2),2)</f>
        <v/>
      </c>
      <c r="P192" s="5" t="n">
        <v>46232.5</v>
      </c>
      <c r="Q192" t="inlineStr">
        <is>
          <t>TravelLine YAX</t>
        </is>
      </c>
      <c r="R192" s="2" t="inlineStr">
        <is>
          <t>СТАНДАРТНЫЙ ДВУХМЕСТНЫЙ НОМЕР</t>
        </is>
      </c>
      <c r="S192" t="n">
        <v>33</v>
      </c>
      <c r="T192" t="n">
        <v>1</v>
      </c>
      <c r="U192" t="inlineStr"/>
      <c r="V192" t="inlineStr">
        <is>
          <t>Тариф с завтраком</t>
        </is>
      </c>
      <c r="W192" t="n">
        <v>74760</v>
      </c>
      <c r="X192" s="3" t="n">
        <v>18690</v>
      </c>
      <c r="Y192" t="inlineStr">
        <is>
          <t>20%</t>
        </is>
      </c>
      <c r="Z192" t="inlineStr">
        <is>
          <t>2026-07-22, 2026-07-23, 2026-07-24, 2026-07-25, 2026-07-26, 2026-07-27, 2026-07-28</t>
        </is>
      </c>
      <c r="AA192" s="3" t="n">
        <v>74760</v>
      </c>
      <c r="AB192" t="inlineStr">
        <is>
          <t>Сошлось по ночным тарифам</t>
        </is>
      </c>
      <c r="AC192" s="2" t="inlineStr"/>
      <c r="AD192" t="n">
        <v>18690</v>
      </c>
      <c r="AE192" t="n">
        <v>0</v>
      </c>
      <c r="AF192" t="inlineStr">
        <is>
          <t>Скидка добавлена к налоговой базе</t>
        </is>
      </c>
      <c r="AG192" t="n">
        <v>93450</v>
      </c>
      <c r="AH192" t="n">
        <v>74760</v>
      </c>
      <c r="AI192" t="inlineStr">
        <is>
          <t>Полное проживание в выбранном периоде</t>
        </is>
      </c>
    </row>
    <row r="193">
      <c r="A193" t="inlineStr">
        <is>
          <t>20260809-8186-453143190</t>
        </is>
      </c>
      <c r="B193" t="n">
        <v>1</v>
      </c>
      <c r="C193" s="2" t="inlineStr">
        <is>
          <t>ВЕРОНИКА СЕРЕБРЯКОВА</t>
        </is>
      </c>
      <c r="D193" s="3" t="n">
        <v>18160</v>
      </c>
      <c r="E193" s="4" t="n">
        <v>18</v>
      </c>
      <c r="F193" t="inlineStr">
        <is>
          <t>Яндекс.Путешествия [Чайковский]</t>
        </is>
      </c>
      <c r="G193" s="3">
        <f>ROUND(D193/(100-E193)*100,2)</f>
        <v/>
      </c>
      <c r="H193" s="3" t="n">
        <v>0</v>
      </c>
      <c r="I193" s="3">
        <f>ROUND(IF(ISNUMBER(AG193),AG193,G193)+H193,2)</f>
        <v/>
      </c>
      <c r="J193" s="2" t="inlineStr">
        <is>
          <t>Завтрак "Шведский стол"</t>
        </is>
      </c>
      <c r="K193" s="5" t="n">
        <v>46243.58333333334</v>
      </c>
      <c r="L193" t="n">
        <v>2</v>
      </c>
      <c r="M193" s="3">
        <f>I193/L193</f>
        <v/>
      </c>
      <c r="N193">
        <f>IF(M193&gt;=5100,"ставка","мин.ставка")</f>
        <v/>
      </c>
      <c r="O193" s="3">
        <f>ROUND(IF(N193="мин.ставка",L193*100,I193/102*2),2)</f>
        <v/>
      </c>
      <c r="P193" s="5" t="n">
        <v>46245.5</v>
      </c>
      <c r="Q193" t="inlineStr">
        <is>
          <t>TravelLine YAX</t>
        </is>
      </c>
      <c r="R193" s="2" t="inlineStr">
        <is>
          <t>СТАНДАРТНЫЙ ДВУХМЕСТНЫЙ НОМЕР</t>
        </is>
      </c>
      <c r="S193" t="n">
        <v>46</v>
      </c>
      <c r="T193" t="n">
        <v>1</v>
      </c>
      <c r="U193" t="inlineStr"/>
      <c r="V193" t="inlineStr">
        <is>
          <t>Тариф с завтраком</t>
        </is>
      </c>
      <c r="W193" t="n">
        <v>18160</v>
      </c>
      <c r="X193" s="3" t="n">
        <v>4540</v>
      </c>
      <c r="Y193" t="inlineStr">
        <is>
          <t>20%</t>
        </is>
      </c>
      <c r="Z193" t="inlineStr">
        <is>
          <t>2026-08-09, 2026-08-10</t>
        </is>
      </c>
      <c r="AA193" s="3" t="n">
        <v>18160</v>
      </c>
      <c r="AB193" t="inlineStr">
        <is>
          <t>Сошлось по ночным тарифам</t>
        </is>
      </c>
      <c r="AC193" s="2" t="inlineStr"/>
      <c r="AD193" t="n">
        <v>4540</v>
      </c>
      <c r="AE193" t="n">
        <v>0</v>
      </c>
      <c r="AF193" t="inlineStr">
        <is>
          <t>Скидка добавлена к налоговой базе</t>
        </is>
      </c>
      <c r="AG193" t="n">
        <v>22700</v>
      </c>
      <c r="AH193" t="n">
        <v>18160</v>
      </c>
      <c r="AI193" t="inlineStr">
        <is>
          <t>Полное проживание в выбранном периоде</t>
        </is>
      </c>
    </row>
    <row r="194">
      <c r="A194" t="inlineStr">
        <is>
          <t>20260822-8186-425651545</t>
        </is>
      </c>
      <c r="B194" t="n">
        <v>1</v>
      </c>
      <c r="C194" s="2" t="inlineStr">
        <is>
          <t>Виктор Дюков, Лариса Дюкова</t>
        </is>
      </c>
      <c r="D194" s="3" t="n">
        <v>60876</v>
      </c>
      <c r="E194" s="4" t="n">
        <v>18</v>
      </c>
      <c r="F194" t="inlineStr">
        <is>
          <t>Яндекс.Путешествия [Чайковский]</t>
        </is>
      </c>
      <c r="G194" s="3">
        <f>ROUND(D194/(100-E194)*100,2)</f>
        <v/>
      </c>
      <c r="H194" s="3" t="n">
        <v>0</v>
      </c>
      <c r="I194" s="3">
        <f>ROUND(IF(ISNUMBER(AG194),AG194,G194)+H194,2)</f>
        <v/>
      </c>
      <c r="J194" s="2" t="inlineStr">
        <is>
          <t>Завтрак "Шведский стол"</t>
        </is>
      </c>
      <c r="K194" s="5" t="n">
        <v>46256.58333333334</v>
      </c>
      <c r="L194" t="n">
        <v>6</v>
      </c>
      <c r="M194" s="3">
        <f>I194/L194</f>
        <v/>
      </c>
      <c r="N194">
        <f>IF(M194&gt;=5100,"ставка","мин.ставка")</f>
        <v/>
      </c>
      <c r="O194" s="3">
        <f>ROUND(IF(N194="мин.ставка",L194*100,I194/102*2),2)</f>
        <v/>
      </c>
      <c r="P194" s="5" t="n">
        <v>46262.5</v>
      </c>
      <c r="Q194" t="inlineStr">
        <is>
          <t>TravelLine YAX</t>
        </is>
      </c>
      <c r="R194" s="2" t="inlineStr">
        <is>
          <t>СТАНДАРТНЫЙ ДВУХМЕСТНЫЙ НОМЕР</t>
        </is>
      </c>
      <c r="S194" t="n">
        <v>36</v>
      </c>
      <c r="T194" t="n">
        <v>1</v>
      </c>
      <c r="U194" t="inlineStr"/>
      <c r="V194" t="inlineStr">
        <is>
          <t>Тариф с завтраком</t>
        </is>
      </c>
      <c r="W194" t="n">
        <v>182928</v>
      </c>
      <c r="X194" s="3" t="n">
        <v>15219</v>
      </c>
      <c r="Y194" t="inlineStr">
        <is>
          <t>20%</t>
        </is>
      </c>
      <c r="Z194" t="inlineStr">
        <is>
          <t>2026-08-22, 2026-08-23, 2026-08-24, 2026-08-25, 2026-08-26, 2026-08-27</t>
        </is>
      </c>
      <c r="AA194" s="3" t="n">
        <v>60876</v>
      </c>
      <c r="AB194" t="inlineStr">
        <is>
          <t>Сошлось по ночным тарифам</t>
        </is>
      </c>
      <c r="AC194" s="2" t="inlineStr"/>
      <c r="AD194" t="n">
        <v>15219</v>
      </c>
      <c r="AE194" t="n">
        <v>0</v>
      </c>
      <c r="AF194" t="inlineStr">
        <is>
          <t>Скидка добавлена к налоговой базе</t>
        </is>
      </c>
      <c r="AG194" t="n">
        <v>76095</v>
      </c>
      <c r="AH194" t="n">
        <v>60876</v>
      </c>
      <c r="AI194" t="inlineStr">
        <is>
          <t>Полное проживание в выбранном периоде</t>
        </is>
      </c>
    </row>
    <row r="195">
      <c r="A195" t="inlineStr">
        <is>
          <t>20260712-8186-449238818</t>
        </is>
      </c>
      <c r="B195" t="n">
        <v>1</v>
      </c>
      <c r="C195" s="2" t="inlineStr">
        <is>
          <t>ВИКТОР САЛИВОНЕНКО</t>
        </is>
      </c>
      <c r="D195" s="3" t="n">
        <v>13114</v>
      </c>
      <c r="E195" s="4" t="n">
        <v>0</v>
      </c>
      <c r="F195" t="inlineStr">
        <is>
          <t>Прямые бронирования (стойка) [Чайковский]</t>
        </is>
      </c>
      <c r="G195" s="3">
        <f>ROUND(D195/(100-E195)*100,2)</f>
        <v/>
      </c>
      <c r="H195" s="3" t="n">
        <v>0</v>
      </c>
      <c r="I195" s="3">
        <f>ROUND(IF(ISNUMBER(AG195),AG195,G195)+H195,2)</f>
        <v/>
      </c>
      <c r="J195" s="2" t="inlineStr">
        <is>
          <t>Завтрак "Шведский стол"</t>
        </is>
      </c>
      <c r="K195" s="5" t="n">
        <v>46215.58333333334</v>
      </c>
      <c r="L195" t="n">
        <v>2</v>
      </c>
      <c r="M195" s="3">
        <f>I195/L195</f>
        <v/>
      </c>
      <c r="N195">
        <f>IF(M195&gt;=5100,"ставка","мин.ставка")</f>
        <v/>
      </c>
      <c r="O195" s="3">
        <f>ROUND(IF(N195="мин.ставка",L195*100,I195/102*2),2)</f>
        <v/>
      </c>
      <c r="P195" s="5" t="n">
        <v>46217.5</v>
      </c>
      <c r="Q195" t="inlineStr">
        <is>
          <t>TravelLine CMB</t>
        </is>
      </c>
      <c r="R195" s="2" t="inlineStr">
        <is>
          <t>СТАНДАРТНЫЙ ДВУХМЕСТНЫЙ НОМЕР (МАНСАРДА)</t>
        </is>
      </c>
      <c r="S195" t="n">
        <v>41</v>
      </c>
      <c r="T195" t="n">
        <v>1</v>
      </c>
      <c r="U195" t="inlineStr"/>
      <c r="V195" t="inlineStr">
        <is>
          <t>Тариф с завтраком</t>
        </is>
      </c>
      <c r="W195" t="n">
        <v>13114</v>
      </c>
      <c r="X195" s="3" t="n">
        <v>2686</v>
      </c>
      <c r="Y195" t="inlineStr">
        <is>
          <t>17%</t>
        </is>
      </c>
      <c r="Z195" t="inlineStr">
        <is>
          <t>2026-07-12, 2026-07-13</t>
        </is>
      </c>
      <c r="AA195" s="3" t="n">
        <v>13114</v>
      </c>
      <c r="AB195" t="inlineStr">
        <is>
          <t>Сошлось по ночным тарифам</t>
        </is>
      </c>
      <c r="AC195" s="2" t="inlineStr"/>
      <c r="AD195" t="n">
        <v>2686</v>
      </c>
      <c r="AE195" t="n">
        <v>0</v>
      </c>
      <c r="AF195" t="inlineStr">
        <is>
          <t>Скидка добавлена к налоговой базе</t>
        </is>
      </c>
      <c r="AG195" t="n">
        <v>15800</v>
      </c>
      <c r="AH195" t="n">
        <v>13114</v>
      </c>
      <c r="AI195" t="inlineStr">
        <is>
          <t>Полное проживание в выбранном периоде</t>
        </is>
      </c>
    </row>
    <row r="196">
      <c r="A196" t="inlineStr">
        <is>
          <t>20260711-8186-431323267</t>
        </is>
      </c>
      <c r="B196" t="n">
        <v>1</v>
      </c>
      <c r="C196" s="2" t="inlineStr">
        <is>
          <t>Виктор Соломенцев</t>
        </is>
      </c>
      <c r="D196" s="3" t="n">
        <v>37682</v>
      </c>
      <c r="E196" s="4" t="n">
        <v>17</v>
      </c>
      <c r="F196" t="inlineStr">
        <is>
          <t>ООО «Дубль Гис» (OTELLO) [Чайковский]</t>
        </is>
      </c>
      <c r="G196" s="3">
        <f>ROUND(D196/(100-E196)*100,2)</f>
        <v/>
      </c>
      <c r="H196" s="3" t="n">
        <v>0</v>
      </c>
      <c r="I196" s="3">
        <f>ROUND(IF(ISNUMBER(AG196),AG196,G196)+H196,2)</f>
        <v/>
      </c>
      <c r="J196" s="2" t="inlineStr">
        <is>
          <t>Завтрак "Шведский стол"</t>
        </is>
      </c>
      <c r="K196" s="5" t="n">
        <v>46214.58333333334</v>
      </c>
      <c r="L196" t="n">
        <v>4</v>
      </c>
      <c r="M196" s="3">
        <f>I196/L196</f>
        <v/>
      </c>
      <c r="N196">
        <f>IF(M196&gt;=5100,"ставка","мин.ставка")</f>
        <v/>
      </c>
      <c r="O196" s="3">
        <f>ROUND(IF(N196="мин.ставка",L196*100,I196/102*2),2)</f>
        <v/>
      </c>
      <c r="P196" s="5" t="n">
        <v>46218.5</v>
      </c>
      <c r="Q196" t="inlineStr">
        <is>
          <t>TravelLine OL2</t>
        </is>
      </c>
      <c r="R196" s="2" t="inlineStr">
        <is>
          <t>СТАНДАРТНЫЙ ДВУХМЕСТНЫЙ НОМЕР</t>
        </is>
      </c>
      <c r="S196" t="n">
        <v>46</v>
      </c>
      <c r="T196" t="n">
        <v>1</v>
      </c>
      <c r="U196" t="inlineStr"/>
      <c r="V196" t="inlineStr">
        <is>
          <t>Тариф с завтраком</t>
        </is>
      </c>
      <c r="W196" t="n">
        <v>37682</v>
      </c>
      <c r="X196" s="3" t="n">
        <v>7718</v>
      </c>
      <c r="Y196" t="inlineStr">
        <is>
          <t>17%</t>
        </is>
      </c>
      <c r="Z196" t="inlineStr">
        <is>
          <t>2026-07-11, 2026-07-12, 2026-07-13, 2026-07-14</t>
        </is>
      </c>
      <c r="AA196" s="3" t="n">
        <v>37682</v>
      </c>
      <c r="AB196" t="inlineStr">
        <is>
          <t>Сошлось по ночным тарифам</t>
        </is>
      </c>
      <c r="AC196" s="2" t="inlineStr"/>
      <c r="AD196" t="n">
        <v>7718</v>
      </c>
      <c r="AE196" t="n">
        <v>0</v>
      </c>
      <c r="AF196" t="inlineStr">
        <is>
          <t>Скидка добавлена к налоговой базе</t>
        </is>
      </c>
      <c r="AG196" t="n">
        <v>45400</v>
      </c>
      <c r="AH196" t="n">
        <v>37682</v>
      </c>
      <c r="AI196" t="inlineStr">
        <is>
          <t>Полное проживание в выбранном периоде</t>
        </is>
      </c>
    </row>
    <row r="197">
      <c r="A197" t="inlineStr">
        <is>
          <t>20260911-8186-427435236</t>
        </is>
      </c>
      <c r="B197" t="n">
        <v>1</v>
      </c>
      <c r="C197" s="2" t="inlineStr">
        <is>
          <t>Виктория Ветренко, АНАСТАСИЯ ХАБАРОВА</t>
        </is>
      </c>
      <c r="D197" s="3" t="n">
        <v>19651.5</v>
      </c>
      <c r="E197" s="4" t="n">
        <v>4</v>
      </c>
      <c r="F197" t="inlineStr">
        <is>
          <t>TravelLine Booking Engine [Чайковский]</t>
        </is>
      </c>
      <c r="G197" s="3">
        <f>ROUND(D197/(100-E197)*100,2)</f>
        <v/>
      </c>
      <c r="H197" s="3" t="n">
        <v>0</v>
      </c>
      <c r="I197" s="3">
        <f>ROUND(IF(ISNUMBER(AG197),AG197,G197)+H197,2)</f>
        <v/>
      </c>
      <c r="J197" s="2" t="inlineStr">
        <is>
          <t>Завтрак "Шведский стол"</t>
        </is>
      </c>
      <c r="K197" s="5" t="n">
        <v>46276.58333333334</v>
      </c>
      <c r="L197" t="n">
        <v>2</v>
      </c>
      <c r="M197" s="3">
        <f>I197/L197</f>
        <v/>
      </c>
      <c r="N197">
        <f>IF(M197&gt;=5100,"ставка","мин.ставка")</f>
        <v/>
      </c>
      <c r="O197" s="3">
        <f>ROUND(IF(N197="мин.ставка",L197*100,I197/102*2),2)</f>
        <v/>
      </c>
      <c r="P197" s="5" t="n">
        <v>46278.5</v>
      </c>
      <c r="Q197" t="inlineStr">
        <is>
          <t>TravelLine сайт</t>
        </is>
      </c>
      <c r="R197" s="2" t="inlineStr">
        <is>
          <t>СТАНДАРТНЫЙ ДВУХМЕСТНЫЙ НОМЕР (МАНСАРДА)</t>
        </is>
      </c>
      <c r="S197" t="n">
        <v>43</v>
      </c>
      <c r="T197" t="n">
        <v>1</v>
      </c>
      <c r="U197" t="inlineStr"/>
      <c r="V197" t="inlineStr">
        <is>
          <t>Тариф с завтраком</t>
        </is>
      </c>
      <c r="W197" t="n">
        <v>19651.5</v>
      </c>
      <c r="X197" s="3" t="n">
        <v>148.5</v>
      </c>
      <c r="Y197" t="inlineStr">
        <is>
          <t>1.5%</t>
        </is>
      </c>
      <c r="Z197" t="inlineStr">
        <is>
          <t>2026-09-11</t>
        </is>
      </c>
      <c r="AA197" s="3" t="n">
        <v>19651.5</v>
      </c>
      <c r="AB197" t="inlineStr">
        <is>
          <t>Сошлось по ночным тарифам</t>
        </is>
      </c>
      <c r="AC197" s="2" t="inlineStr"/>
      <c r="AD197" t="n">
        <v>148.5</v>
      </c>
      <c r="AE197" t="n">
        <v>0</v>
      </c>
      <c r="AF197" t="inlineStr">
        <is>
          <t>Скидка добавлена к налоговой базе</t>
        </is>
      </c>
      <c r="AG197" t="n">
        <v>19800</v>
      </c>
      <c r="AH197" t="n">
        <v>19651.5</v>
      </c>
      <c r="AI197" t="inlineStr">
        <is>
          <t>Полное проживание в выбранном периоде</t>
        </is>
      </c>
    </row>
    <row r="198">
      <c r="A198" t="inlineStr">
        <is>
          <t>20260917-8186-465935315</t>
        </is>
      </c>
      <c r="B198" t="n">
        <v>1</v>
      </c>
      <c r="C198" s="2" t="inlineStr">
        <is>
          <t>Виктория Гриценко</t>
        </is>
      </c>
      <c r="D198" s="3" t="n">
        <v>9534</v>
      </c>
      <c r="E198" s="4" t="n">
        <v>16</v>
      </c>
      <c r="F198" t="inlineStr">
        <is>
          <t>ООО "БРОНИРОВАНИЕ ГОСТИНИЦ" (OSTROVOK) [Чайковский]</t>
        </is>
      </c>
      <c r="G198" s="3">
        <f>ROUND(D198/(100-E198)*100,2)</f>
        <v/>
      </c>
      <c r="H198" s="3" t="n">
        <v>0</v>
      </c>
      <c r="I198" s="3">
        <f>ROUND(IF(ISNUMBER(AG198),AG198,G198)+H198,2)</f>
        <v/>
      </c>
      <c r="J198" s="2" t="inlineStr">
        <is>
          <t>Завтрак "Шведский стол"</t>
        </is>
      </c>
      <c r="K198" s="5" t="n">
        <v>46282.58333333334</v>
      </c>
      <c r="L198" t="n">
        <v>1</v>
      </c>
      <c r="M198" s="3">
        <f>I198/L198</f>
        <v/>
      </c>
      <c r="N198">
        <f>IF(M198&gt;=5100,"ставка","мин.ставка")</f>
        <v/>
      </c>
      <c r="O198" s="3">
        <f>ROUND(IF(N198="мин.ставка",L198*100,I198/102*2),2)</f>
        <v/>
      </c>
      <c r="P198" s="5" t="n">
        <v>46283.5</v>
      </c>
      <c r="Q198" t="inlineStr">
        <is>
          <t>TravelLine OTK</t>
        </is>
      </c>
      <c r="R198" s="2" t="inlineStr">
        <is>
          <t>СТАНДАРТНЫЙ ДВУХМЕСТНЫЙ НОМЕР</t>
        </is>
      </c>
      <c r="S198" t="n">
        <v>22</v>
      </c>
      <c r="T198" t="n">
        <v>1</v>
      </c>
      <c r="U198" t="inlineStr"/>
      <c r="V198" t="inlineStr">
        <is>
          <t>Тариф с завтраком</t>
        </is>
      </c>
      <c r="W198" t="n">
        <v>9534</v>
      </c>
      <c r="X198" s="3" t="n">
        <v>1816</v>
      </c>
      <c r="Y198" t="inlineStr">
        <is>
          <t>16%</t>
        </is>
      </c>
      <c r="Z198" t="inlineStr">
        <is>
          <t>2026-09-17</t>
        </is>
      </c>
      <c r="AA198" s="3" t="n">
        <v>9534</v>
      </c>
      <c r="AB198" t="inlineStr">
        <is>
          <t>Сошлось по ночным тарифам</t>
        </is>
      </c>
      <c r="AC198" s="2" t="inlineStr"/>
      <c r="AD198" t="n">
        <v>1816</v>
      </c>
      <c r="AE198" t="n">
        <v>0</v>
      </c>
      <c r="AF198" t="inlineStr">
        <is>
          <t>Скидка добавлена к налоговой базе</t>
        </is>
      </c>
      <c r="AG198" t="n">
        <v>11350</v>
      </c>
      <c r="AH198" t="n">
        <v>9534</v>
      </c>
      <c r="AI198" t="inlineStr">
        <is>
          <t>Полное проживание в выбранном периоде</t>
        </is>
      </c>
    </row>
    <row r="199">
      <c r="A199" t="inlineStr">
        <is>
          <t>20260818-8186-422878428</t>
        </is>
      </c>
      <c r="B199" t="n">
        <v>1</v>
      </c>
      <c r="C199" s="2" t="inlineStr">
        <is>
          <t>ВИКТОРИЯ НИКОЛАЕВА, АНДРЕЙ НИКОЛАЕВ</t>
        </is>
      </c>
      <c r="D199" s="3" t="n">
        <v>23760</v>
      </c>
      <c r="E199" s="4" t="n">
        <v>0</v>
      </c>
      <c r="F199" t="inlineStr">
        <is>
          <t>Прямые бронирования (стойка) [Чайковский]</t>
        </is>
      </c>
      <c r="G199" s="3">
        <f>ROUND(D199/(100-E199)*100,2)</f>
        <v/>
      </c>
      <c r="H199" s="3" t="n">
        <v>0</v>
      </c>
      <c r="I199" s="3">
        <f>ROUND(IF(ISNUMBER(AG199),AG199,G199)+H199,2)</f>
        <v/>
      </c>
      <c r="J199" s="2" t="inlineStr">
        <is>
          <t>Завтрак "Шведский стол"</t>
        </is>
      </c>
      <c r="K199" s="5" t="n">
        <v>46252.58333333334</v>
      </c>
      <c r="L199" t="n">
        <v>3</v>
      </c>
      <c r="M199" s="3">
        <f>I199/L199</f>
        <v/>
      </c>
      <c r="N199">
        <f>IF(M199&gt;=5100,"ставка","мин.ставка")</f>
        <v/>
      </c>
      <c r="O199" s="3">
        <f>ROUND(IF(N199="мин.ставка",L199*100,I199/102*2),2)</f>
        <v/>
      </c>
      <c r="P199" s="5" t="n">
        <v>46255.5</v>
      </c>
      <c r="Q199" t="inlineStr">
        <is>
          <t>TravelLine ресепшен</t>
        </is>
      </c>
      <c r="R199" s="2" t="inlineStr">
        <is>
          <t>СТАНДАРТНЫЙ ДВУХМЕСТНЫЙ НОМЕР (МАНСАРДА)</t>
        </is>
      </c>
      <c r="S199" t="n">
        <v>43</v>
      </c>
      <c r="T199" t="n">
        <v>1</v>
      </c>
      <c r="U199" t="inlineStr"/>
      <c r="V199" t="inlineStr">
        <is>
          <t>Тариф с завтраком</t>
        </is>
      </c>
      <c r="W199" t="n">
        <v>23760</v>
      </c>
      <c r="X199" s="3" t="n">
        <v>5940</v>
      </c>
      <c r="Y199" t="inlineStr">
        <is>
          <t>20%</t>
        </is>
      </c>
      <c r="Z199" t="inlineStr">
        <is>
          <t>2026-08-18, 2026-08-19, 2026-08-20</t>
        </is>
      </c>
      <c r="AA199" s="3" t="n">
        <v>23760</v>
      </c>
      <c r="AB199" t="inlineStr">
        <is>
          <t>Сошлось по ночным тарифам</t>
        </is>
      </c>
      <c r="AC199" s="2" t="inlineStr"/>
      <c r="AD199" t="n">
        <v>5940</v>
      </c>
      <c r="AE199" t="n">
        <v>0</v>
      </c>
      <c r="AF199" t="inlineStr">
        <is>
          <t>Скидка добавлена к налоговой базе</t>
        </is>
      </c>
      <c r="AG199" t="n">
        <v>29700</v>
      </c>
      <c r="AH199" t="n">
        <v>23760</v>
      </c>
      <c r="AI199" t="inlineStr">
        <is>
          <t>Полное проживание в выбранном периоде</t>
        </is>
      </c>
    </row>
    <row r="200">
      <c r="A200" t="inlineStr">
        <is>
          <t>20260819-8186-452060793</t>
        </is>
      </c>
      <c r="B200" t="n">
        <v>1</v>
      </c>
      <c r="C200" s="2" t="inlineStr">
        <is>
          <t>Виталий Быков, Алина Быкова</t>
        </is>
      </c>
      <c r="D200" s="3" t="n">
        <v>79200</v>
      </c>
      <c r="E200" s="4" t="n">
        <v>20</v>
      </c>
      <c r="F200" t="inlineStr">
        <is>
          <t>ООО "КОМПАНИЯ БРОНЕВИК" [Чайковский]</t>
        </is>
      </c>
      <c r="G200" s="3">
        <f>ROUND(D200/(100-E200)*100,2)</f>
        <v/>
      </c>
      <c r="H200" s="3" t="n">
        <v>0</v>
      </c>
      <c r="I200" s="3">
        <f>ROUND(IF(ISNUMBER(AG200),AG200,G200)+H200,2)</f>
        <v/>
      </c>
      <c r="J200" s="2" t="inlineStr">
        <is>
          <t>Завтрак "Шведский стол"</t>
        </is>
      </c>
      <c r="K200" s="5" t="n">
        <v>46253.58333333334</v>
      </c>
      <c r="L200" t="n">
        <v>6</v>
      </c>
      <c r="M200" s="3">
        <f>I200/L200</f>
        <v/>
      </c>
      <c r="N200">
        <f>IF(M200&gt;=5100,"ставка","мин.ставка")</f>
        <v/>
      </c>
      <c r="O200" s="3">
        <f>ROUND(IF(N200="мин.ставка",L200*100,I200/102*2),2)</f>
        <v/>
      </c>
      <c r="P200" s="5" t="n">
        <v>46259.5</v>
      </c>
      <c r="Q200" t="inlineStr">
        <is>
          <t>TravelLine BR2</t>
        </is>
      </c>
      <c r="R200" s="2" t="inlineStr">
        <is>
          <t>ПОЛУЛЮКС</t>
        </is>
      </c>
      <c r="S200" t="n">
        <v>25</v>
      </c>
      <c r="T200" t="n">
        <v>1</v>
      </c>
      <c r="U200" t="inlineStr"/>
      <c r="V200" t="inlineStr">
        <is>
          <t>Тариф с завтраком</t>
        </is>
      </c>
      <c r="W200" t="n">
        <v>79200</v>
      </c>
      <c r="X200" s="3" t="n">
        <v>19800</v>
      </c>
      <c r="Y200" t="inlineStr">
        <is>
          <t>20%</t>
        </is>
      </c>
      <c r="Z200" t="inlineStr">
        <is>
          <t>2026-08-19, 2026-08-20, 2026-08-21, 2026-08-22, 2026-08-23, 2026-08-24</t>
        </is>
      </c>
      <c r="AA200" s="3" t="n">
        <v>79200</v>
      </c>
      <c r="AB200" t="inlineStr">
        <is>
          <t>Сошлось по ночным тарифам</t>
        </is>
      </c>
      <c r="AC200" s="2" t="inlineStr"/>
      <c r="AD200" t="n">
        <v>19800</v>
      </c>
      <c r="AE200" t="n">
        <v>0</v>
      </c>
      <c r="AF200" t="inlineStr">
        <is>
          <t>Скидка добавлена к налоговой базе</t>
        </is>
      </c>
      <c r="AG200" t="n">
        <v>99000</v>
      </c>
      <c r="AH200" t="n">
        <v>79200</v>
      </c>
      <c r="AI200" t="inlineStr">
        <is>
          <t>Полное проживание в выбранном периоде</t>
        </is>
      </c>
    </row>
    <row r="201">
      <c r="A201" t="inlineStr">
        <is>
          <t>20260727-8186-442199480</t>
        </is>
      </c>
      <c r="B201" t="n">
        <v>1</v>
      </c>
      <c r="C201" s="2" t="inlineStr">
        <is>
          <t>Виталий Давыдов, Анастасия Королева</t>
        </is>
      </c>
      <c r="D201" s="3" t="n">
        <v>34042.5</v>
      </c>
      <c r="E201" s="4" t="n">
        <v>15</v>
      </c>
      <c r="F201" t="inlineStr">
        <is>
          <t>ООО Тинькофф Путешествия [Чайковский]</t>
        </is>
      </c>
      <c r="G201" s="3">
        <f>ROUND(D201/(100-E201)*100,2)</f>
        <v/>
      </c>
      <c r="H201" s="3" t="n">
        <v>0</v>
      </c>
      <c r="I201" s="3">
        <f>ROUND(IF(ISNUMBER(AG201),AG201,G201)+H201,2)</f>
        <v/>
      </c>
      <c r="J201" s="2" t="inlineStr">
        <is>
          <t>Завтрак "Шведский стол"</t>
        </is>
      </c>
      <c r="K201" s="5" t="n">
        <v>46230.66666666666</v>
      </c>
      <c r="L201" t="n">
        <v>3</v>
      </c>
      <c r="M201" s="3">
        <f>I201/L201</f>
        <v/>
      </c>
      <c r="N201">
        <f>IF(M201&gt;=5100,"ставка","мин.ставка")</f>
        <v/>
      </c>
      <c r="O201" s="3">
        <f>ROUND(IF(N201="мин.ставка",L201*100,I201/102*2),2)</f>
        <v/>
      </c>
      <c r="P201" s="5" t="n">
        <v>46233.5</v>
      </c>
      <c r="Q201" t="inlineStr">
        <is>
          <t>TravelLine TNK</t>
        </is>
      </c>
      <c r="R201" s="2" t="inlineStr">
        <is>
          <t>СТАНДАРТНЫЙ ДВУХМЕСТНЫЙ НОМЕР</t>
        </is>
      </c>
      <c r="S201" t="n">
        <v>44</v>
      </c>
      <c r="T201" t="n">
        <v>1</v>
      </c>
      <c r="U201" t="inlineStr"/>
      <c r="V201" t="inlineStr">
        <is>
          <t>Тариф с завтраком</t>
        </is>
      </c>
      <c r="W201" t="n">
        <v>34042.5</v>
      </c>
      <c r="X201" s="3" t="n">
        <v>6007.5</v>
      </c>
      <c r="Y201" t="inlineStr">
        <is>
          <t>15%</t>
        </is>
      </c>
      <c r="Z201" t="inlineStr">
        <is>
          <t>2026-07-27, 2026-07-28, 2026-07-29</t>
        </is>
      </c>
      <c r="AA201" s="3" t="n">
        <v>34042.5</v>
      </c>
      <c r="AB201" t="inlineStr">
        <is>
          <t>Сошлось по ночным тарифам</t>
        </is>
      </c>
      <c r="AC201" s="2" t="inlineStr"/>
      <c r="AD201" t="n">
        <v>6007.5</v>
      </c>
      <c r="AE201" t="n">
        <v>0</v>
      </c>
      <c r="AF201" t="inlineStr">
        <is>
          <t>Скидка добавлена к налоговой базе</t>
        </is>
      </c>
      <c r="AG201" t="n">
        <v>40050</v>
      </c>
      <c r="AH201" t="n">
        <v>34042.5</v>
      </c>
      <c r="AI201" t="inlineStr">
        <is>
          <t>Полное проживание в выбранном периоде</t>
        </is>
      </c>
    </row>
    <row r="202">
      <c r="A202" t="inlineStr">
        <is>
          <t>20260919-8186-459516081</t>
        </is>
      </c>
      <c r="B202" t="n">
        <v>1</v>
      </c>
      <c r="C202" s="2" t="inlineStr">
        <is>
          <t>Виталий Игумнов</t>
        </is>
      </c>
      <c r="D202" s="3" t="n">
        <v>10215</v>
      </c>
      <c r="E202" s="4" t="n">
        <v>0</v>
      </c>
      <c r="F202" t="inlineStr">
        <is>
          <t>Прямые бронирования (стойка) [Чайковский]</t>
        </is>
      </c>
      <c r="G202" s="3">
        <f>ROUND(D202/(100-E202)*100,2)</f>
        <v/>
      </c>
      <c r="H202" s="3" t="n">
        <v>0</v>
      </c>
      <c r="I202" s="3">
        <f>ROUND(IF(ISNUMBER(AG202),AG202,G202)+H202,2)</f>
        <v/>
      </c>
      <c r="J202" s="2" t="inlineStr">
        <is>
          <t>Завтрак "Шведский стол"</t>
        </is>
      </c>
      <c r="K202" s="5" t="n">
        <v>46284.58333333334</v>
      </c>
      <c r="L202" t="n">
        <v>1</v>
      </c>
      <c r="M202" s="3">
        <f>I202/L202</f>
        <v/>
      </c>
      <c r="N202">
        <f>IF(M202&gt;=5100,"ставка","мин.ставка")</f>
        <v/>
      </c>
      <c r="O202" s="3">
        <f>ROUND(IF(N202="мин.ставка",L202*100,I202/102*2),2)</f>
        <v/>
      </c>
      <c r="P202" s="5" t="n">
        <v>46285.5</v>
      </c>
      <c r="Q202" t="inlineStr">
        <is>
          <t>TravelLine ресепшен</t>
        </is>
      </c>
      <c r="R202" s="2" t="inlineStr">
        <is>
          <t>СТАНДАРТНЫЙ ДВУХМЕСТНЫЙ НОМЕР</t>
        </is>
      </c>
      <c r="S202" t="n">
        <v>23</v>
      </c>
      <c r="T202" t="n">
        <v>1</v>
      </c>
      <c r="U202" t="inlineStr"/>
      <c r="V202" t="inlineStr">
        <is>
          <t>Тариф с завтраком</t>
        </is>
      </c>
      <c r="W202" t="n">
        <v>10215</v>
      </c>
      <c r="X202" s="3" t="n">
        <v>1135</v>
      </c>
      <c r="Y202" t="inlineStr">
        <is>
          <t>10%</t>
        </is>
      </c>
      <c r="Z202" t="inlineStr">
        <is>
          <t>2026-09-19</t>
        </is>
      </c>
      <c r="AA202" s="3" t="n">
        <v>10215</v>
      </c>
      <c r="AB202" t="inlineStr">
        <is>
          <t>Сошлось по ночным тарифам</t>
        </is>
      </c>
      <c r="AC202" s="2" t="inlineStr"/>
      <c r="AD202" t="n">
        <v>1135</v>
      </c>
      <c r="AE202" t="n">
        <v>0</v>
      </c>
      <c r="AF202" t="inlineStr">
        <is>
          <t>Скидка добавлена к налоговой базе</t>
        </is>
      </c>
      <c r="AG202" t="n">
        <v>11350</v>
      </c>
      <c r="AH202" t="n">
        <v>10215</v>
      </c>
      <c r="AI202" t="inlineStr">
        <is>
          <t>Полное проживание в выбранном периоде</t>
        </is>
      </c>
    </row>
    <row r="203">
      <c r="A203" t="inlineStr">
        <is>
          <t>20260702-8186-445307388</t>
        </is>
      </c>
      <c r="B203" t="n">
        <v>1</v>
      </c>
      <c r="C203" s="2" t="inlineStr">
        <is>
          <t>Виталина Никифоренко, Андрей Никифоренко</t>
        </is>
      </c>
      <c r="D203" s="3" t="n">
        <v>21360</v>
      </c>
      <c r="E203" s="4" t="n">
        <v>20</v>
      </c>
      <c r="F203" t="inlineStr">
        <is>
          <t>ООО "КОМПАНИЯ БРОНЕВИК" [Чайковский]</t>
        </is>
      </c>
      <c r="G203" s="3">
        <f>ROUND(D203/(100-E203)*100,2)</f>
        <v/>
      </c>
      <c r="H203" s="3" t="n">
        <v>0</v>
      </c>
      <c r="I203" s="3">
        <f>ROUND(IF(ISNUMBER(AG203),AG203,G203)+H203,2)</f>
        <v/>
      </c>
      <c r="J203" s="2" t="inlineStr">
        <is>
          <t>Завтрак "Шведский стол"</t>
        </is>
      </c>
      <c r="K203" s="5" t="n">
        <v>46205.58333333334</v>
      </c>
      <c r="L203" t="n">
        <v>2</v>
      </c>
      <c r="M203" s="3">
        <f>I203/L203</f>
        <v/>
      </c>
      <c r="N203">
        <f>IF(M203&gt;=5100,"ставка","мин.ставка")</f>
        <v/>
      </c>
      <c r="O203" s="3">
        <f>ROUND(IF(N203="мин.ставка",L203*100,I203/102*2),2)</f>
        <v/>
      </c>
      <c r="P203" s="5" t="n">
        <v>46207.5</v>
      </c>
      <c r="Q203" t="inlineStr">
        <is>
          <t>TravelLine BR2</t>
        </is>
      </c>
      <c r="R203" s="2" t="inlineStr">
        <is>
          <t>СТАНДАРТНЫЙ ДВУХМЕСТНЫЙ НОМЕР</t>
        </is>
      </c>
      <c r="S203" t="n">
        <v>36</v>
      </c>
      <c r="T203" t="n">
        <v>1</v>
      </c>
      <c r="U203" t="inlineStr"/>
      <c r="V203" t="inlineStr">
        <is>
          <t>Тариф с завтраком</t>
        </is>
      </c>
      <c r="W203" t="n">
        <v>21360</v>
      </c>
      <c r="X203" s="3" t="n">
        <v>0</v>
      </c>
      <c r="Y203" t="inlineStr"/>
      <c r="Z203" t="inlineStr"/>
      <c r="AA203" s="3" t="n">
        <v>21360</v>
      </c>
      <c r="AB203" t="inlineStr">
        <is>
          <t>Сошлось по ночным тарифам</t>
        </is>
      </c>
      <c r="AC203" s="2" t="inlineStr"/>
      <c r="AD203" t="n">
        <v>0</v>
      </c>
      <c r="AE203" t="n">
        <v>0</v>
      </c>
      <c r="AF203" t="inlineStr">
        <is>
          <t>Скидки нет</t>
        </is>
      </c>
      <c r="AG203" t="n">
        <v>21360</v>
      </c>
      <c r="AH203" t="n">
        <v>21360</v>
      </c>
      <c r="AI203" t="inlineStr">
        <is>
          <t>Полное проживание в выбранном периоде</t>
        </is>
      </c>
    </row>
    <row r="204">
      <c r="A204" t="inlineStr">
        <is>
          <t>20260708-8186-448546782</t>
        </is>
      </c>
      <c r="B204" t="n">
        <v>1</v>
      </c>
      <c r="C204" s="2" t="inlineStr">
        <is>
          <t>ВИТАЛИЯ МИТРЯЕВА, ALEKSEJS VAZENINS</t>
        </is>
      </c>
      <c r="D204" s="3" t="n">
        <v>8415</v>
      </c>
      <c r="E204" s="4" t="n">
        <v>15</v>
      </c>
      <c r="F204" t="inlineStr">
        <is>
          <t>ООО Тинькофф Путешествия [Чайковский]</t>
        </is>
      </c>
      <c r="G204" s="3">
        <f>ROUND(D204/(100-E204)*100,2)</f>
        <v/>
      </c>
      <c r="H204" s="3" t="n">
        <v>0</v>
      </c>
      <c r="I204" s="3">
        <f>ROUND(IF(ISNUMBER(AG204),AG204,G204)+H204,2)</f>
        <v/>
      </c>
      <c r="J204" s="2" t="inlineStr">
        <is>
          <t>Завтрак "Шведский стол"</t>
        </is>
      </c>
      <c r="K204" s="5" t="n">
        <v>46211.75</v>
      </c>
      <c r="L204" t="n">
        <v>1</v>
      </c>
      <c r="M204" s="3">
        <f>I204/L204</f>
        <v/>
      </c>
      <c r="N204">
        <f>IF(M204&gt;=5100,"ставка","мин.ставка")</f>
        <v/>
      </c>
      <c r="O204" s="3">
        <f>ROUND(IF(N204="мин.ставка",L204*100,I204/102*2),2)</f>
        <v/>
      </c>
      <c r="P204" s="5" t="n">
        <v>46212.5</v>
      </c>
      <c r="Q204" t="inlineStr">
        <is>
          <t>TravelLine TNK</t>
        </is>
      </c>
      <c r="R204" s="2" t="inlineStr">
        <is>
          <t>СТАНДАРТНЫЙ ДВУХМЕСТНЫЙ НОМЕР (МАНСАРДА)</t>
        </is>
      </c>
      <c r="S204" t="n">
        <v>41</v>
      </c>
      <c r="T204" t="n">
        <v>1</v>
      </c>
      <c r="U204" t="inlineStr"/>
      <c r="V204" t="inlineStr">
        <is>
          <t>Тариф с завтраком</t>
        </is>
      </c>
      <c r="W204" t="n">
        <v>8415</v>
      </c>
      <c r="X204" s="3" t="n">
        <v>1485</v>
      </c>
      <c r="Y204" t="inlineStr">
        <is>
          <t>15%</t>
        </is>
      </c>
      <c r="Z204" t="inlineStr">
        <is>
          <t>2026-07-08</t>
        </is>
      </c>
      <c r="AA204" s="3" t="n">
        <v>8415</v>
      </c>
      <c r="AB204" t="inlineStr">
        <is>
          <t>Сошлось по ночным тарифам</t>
        </is>
      </c>
      <c r="AC204" s="2" t="inlineStr"/>
      <c r="AD204" t="n">
        <v>1485</v>
      </c>
      <c r="AE204" t="n">
        <v>0</v>
      </c>
      <c r="AF204" t="inlineStr">
        <is>
          <t>Скидка добавлена к налоговой базе</t>
        </is>
      </c>
      <c r="AG204" t="n">
        <v>9900</v>
      </c>
      <c r="AH204" t="n">
        <v>8415</v>
      </c>
      <c r="AI204" t="inlineStr">
        <is>
          <t>Полное проживание в выбранном периоде</t>
        </is>
      </c>
    </row>
    <row r="205">
      <c r="A205" t="inlineStr">
        <is>
          <t>20260823-8186-458774122</t>
        </is>
      </c>
      <c r="B205" t="n">
        <v>1</v>
      </c>
      <c r="C205" s="2" t="inlineStr">
        <is>
          <t>Виталия Митряева, ALEKSEJS VAZENINS</t>
        </is>
      </c>
      <c r="D205" s="3" t="n">
        <v>26180</v>
      </c>
      <c r="E205" s="4" t="n">
        <v>15</v>
      </c>
      <c r="F205" t="inlineStr">
        <is>
          <t>ООО Тинькофф Путешествия [Чайковский]</t>
        </is>
      </c>
      <c r="G205" s="3">
        <f>ROUND(D205/(100-E205)*100,2)</f>
        <v/>
      </c>
      <c r="H205" s="3" t="n">
        <v>0</v>
      </c>
      <c r="I205" s="3">
        <f>ROUND(IF(ISNUMBER(AG205),AG205,G205)+H205,2)</f>
        <v/>
      </c>
      <c r="J205" s="2" t="inlineStr">
        <is>
          <t>Завтрак "Шведский стол"</t>
        </is>
      </c>
      <c r="K205" s="5" t="n">
        <v>46257.58333333334</v>
      </c>
      <c r="L205" t="n">
        <v>2</v>
      </c>
      <c r="M205" s="3">
        <f>I205/L205</f>
        <v/>
      </c>
      <c r="N205">
        <f>IF(M205&gt;=5100,"ставка","мин.ставка")</f>
        <v/>
      </c>
      <c r="O205" s="3">
        <f>ROUND(IF(N205="мин.ставка",L205*100,I205/102*2),2)</f>
        <v/>
      </c>
      <c r="P205" s="5" t="n">
        <v>46259.5</v>
      </c>
      <c r="Q205" t="inlineStr">
        <is>
          <t>TravelLine TNK</t>
        </is>
      </c>
      <c r="R205" s="2" t="inlineStr">
        <is>
          <t>УЛУЧШЕННЫЙ ДВУХМЕСТНЫЙ НОМЕР</t>
        </is>
      </c>
      <c r="S205" t="n">
        <v>21</v>
      </c>
      <c r="T205" t="n">
        <v>1</v>
      </c>
      <c r="U205" t="inlineStr"/>
      <c r="V205" t="inlineStr">
        <is>
          <t>Тариф с завтраком</t>
        </is>
      </c>
      <c r="W205" t="n">
        <v>26180</v>
      </c>
      <c r="X205" s="3" t="n">
        <v>4620</v>
      </c>
      <c r="Y205" t="inlineStr">
        <is>
          <t>15%</t>
        </is>
      </c>
      <c r="Z205" t="inlineStr">
        <is>
          <t>2026-08-23, 2026-08-24</t>
        </is>
      </c>
      <c r="AA205" s="3" t="n">
        <v>26180</v>
      </c>
      <c r="AB205" t="inlineStr">
        <is>
          <t>Сошлось по ночным тарифам</t>
        </is>
      </c>
      <c r="AC205" s="2" t="inlineStr"/>
      <c r="AD205" t="n">
        <v>4620</v>
      </c>
      <c r="AE205" t="n">
        <v>0</v>
      </c>
      <c r="AF205" t="inlineStr">
        <is>
          <t>Скидка добавлена к налоговой базе</t>
        </is>
      </c>
      <c r="AG205" t="n">
        <v>30800</v>
      </c>
      <c r="AH205" t="n">
        <v>26180</v>
      </c>
      <c r="AI205" t="inlineStr">
        <is>
          <t>Полное проживание в выбранном периоде</t>
        </is>
      </c>
    </row>
    <row r="206">
      <c r="A206" t="inlineStr">
        <is>
          <t>20260902-8186-458677364</t>
        </is>
      </c>
      <c r="B206" t="n">
        <v>1</v>
      </c>
      <c r="C206" s="2" t="inlineStr">
        <is>
          <t>ВЛАДИМИР ГРИГОРЬЕВ, ВАСИЛИСА ГРИГОРЬЕВА</t>
        </is>
      </c>
      <c r="D206" s="3" t="n">
        <v>11214</v>
      </c>
      <c r="E206" s="4" t="n">
        <v>16</v>
      </c>
      <c r="F206" t="inlineStr">
        <is>
          <t>ООО "БРОНИРОВАНИЕ ГОСТИНИЦ" (OSTROVOK) [Чайковский]</t>
        </is>
      </c>
      <c r="G206" s="3">
        <f>ROUND(D206/(100-E206)*100,2)</f>
        <v/>
      </c>
      <c r="H206" s="3" t="n">
        <v>0</v>
      </c>
      <c r="I206" s="3">
        <f>ROUND(IF(ISNUMBER(AG206),AG206,G206)+H206,2)</f>
        <v/>
      </c>
      <c r="J206" s="2" t="inlineStr">
        <is>
          <t>Завтрак "Шведский стол"</t>
        </is>
      </c>
      <c r="K206" s="5" t="n">
        <v>46267.58333333334</v>
      </c>
      <c r="L206" t="n">
        <v>1</v>
      </c>
      <c r="M206" s="3">
        <f>I206/L206</f>
        <v/>
      </c>
      <c r="N206">
        <f>IF(M206&gt;=5100,"ставка","мин.ставка")</f>
        <v/>
      </c>
      <c r="O206" s="3">
        <f>ROUND(IF(N206="мин.ставка",L206*100,I206/102*2),2)</f>
        <v/>
      </c>
      <c r="P206" s="5" t="n">
        <v>46268.5</v>
      </c>
      <c r="Q206" t="inlineStr">
        <is>
          <t>TravelLine OTK</t>
        </is>
      </c>
      <c r="R206" s="2" t="inlineStr">
        <is>
          <t>СТАНДАРТНЫЙ ДВУХМЕСТНЫЙ НОМЕР</t>
        </is>
      </c>
      <c r="S206" t="n">
        <v>44</v>
      </c>
      <c r="T206" t="n">
        <v>1</v>
      </c>
      <c r="U206" t="inlineStr"/>
      <c r="V206" t="inlineStr">
        <is>
          <t>Тариф с завтраком</t>
        </is>
      </c>
      <c r="W206" t="n">
        <v>11214</v>
      </c>
      <c r="X206" s="3" t="n">
        <v>2136</v>
      </c>
      <c r="Y206" t="inlineStr">
        <is>
          <t>16%</t>
        </is>
      </c>
      <c r="Z206" t="inlineStr">
        <is>
          <t>2026-09-02</t>
        </is>
      </c>
      <c r="AA206" s="3" t="n">
        <v>11214</v>
      </c>
      <c r="AB206" t="inlineStr">
        <is>
          <t>Сошлось по ночным тарифам</t>
        </is>
      </c>
      <c r="AC206" s="2" t="inlineStr"/>
      <c r="AD206" t="n">
        <v>2136</v>
      </c>
      <c r="AE206" t="n">
        <v>0</v>
      </c>
      <c r="AF206" t="inlineStr">
        <is>
          <t>Скидка добавлена к налоговой базе</t>
        </is>
      </c>
      <c r="AG206" t="n">
        <v>13350</v>
      </c>
      <c r="AH206" t="n">
        <v>11214</v>
      </c>
      <c r="AI206" t="inlineStr">
        <is>
          <t>Полное проживание в выбранном периоде</t>
        </is>
      </c>
    </row>
    <row r="207">
      <c r="A207" t="inlineStr">
        <is>
          <t>20260705-8186-443519477</t>
        </is>
      </c>
      <c r="B207" t="n">
        <v>1</v>
      </c>
      <c r="C207" s="2" t="inlineStr">
        <is>
          <t>Владимир Леляков, Людмила Лелякова</t>
        </is>
      </c>
      <c r="D207" s="3" t="n">
        <v>42720</v>
      </c>
      <c r="E207" s="4" t="n">
        <v>18</v>
      </c>
      <c r="F207" t="inlineStr">
        <is>
          <t>Яндекс.Путешествия [Чайковский]</t>
        </is>
      </c>
      <c r="G207" s="3">
        <f>ROUND(D207/(100-E207)*100,2)</f>
        <v/>
      </c>
      <c r="H207" s="3" t="n">
        <v>0</v>
      </c>
      <c r="I207" s="3">
        <f>ROUND(IF(ISNUMBER(AG207),AG207,G207)+H207,2)</f>
        <v/>
      </c>
      <c r="J207" s="2" t="inlineStr">
        <is>
          <t>Завтрак "Шведский стол"</t>
        </is>
      </c>
      <c r="K207" s="5" t="n">
        <v>46208.58333333334</v>
      </c>
      <c r="L207" t="n">
        <v>4</v>
      </c>
      <c r="M207" s="3">
        <f>I207/L207</f>
        <v/>
      </c>
      <c r="N207">
        <f>IF(M207&gt;=5100,"ставка","мин.ставка")</f>
        <v/>
      </c>
      <c r="O207" s="3">
        <f>ROUND(IF(N207="мин.ставка",L207*100,I207/102*2),2)</f>
        <v/>
      </c>
      <c r="P207" s="5" t="n">
        <v>46212.5</v>
      </c>
      <c r="Q207" t="inlineStr">
        <is>
          <t>TravelLine YAX</t>
        </is>
      </c>
      <c r="R207" s="2" t="inlineStr">
        <is>
          <t>СТАНДАРТНЫЙ ДВУХМЕСТНЫЙ НОМЕР</t>
        </is>
      </c>
      <c r="S207" t="n">
        <v>33</v>
      </c>
      <c r="T207" t="n">
        <v>1</v>
      </c>
      <c r="U207" t="inlineStr"/>
      <c r="V207" t="inlineStr">
        <is>
          <t>Тариф с завтраком</t>
        </is>
      </c>
      <c r="W207" t="n">
        <v>42720</v>
      </c>
      <c r="X207" s="3" t="n">
        <v>10680</v>
      </c>
      <c r="Y207" t="inlineStr">
        <is>
          <t>20%</t>
        </is>
      </c>
      <c r="Z207" t="inlineStr">
        <is>
          <t>2026-07-05, 2026-07-06, 2026-07-07, 2026-07-08</t>
        </is>
      </c>
      <c r="AA207" s="3" t="n">
        <v>42720</v>
      </c>
      <c r="AB207" t="inlineStr">
        <is>
          <t>Сошлось по ночным тарифам</t>
        </is>
      </c>
      <c r="AC207" s="2" t="inlineStr"/>
      <c r="AD207" t="n">
        <v>10680</v>
      </c>
      <c r="AE207" t="n">
        <v>0</v>
      </c>
      <c r="AF207" t="inlineStr">
        <is>
          <t>Скидка добавлена к налоговой базе</t>
        </is>
      </c>
      <c r="AG207" t="n">
        <v>53400</v>
      </c>
      <c r="AH207" t="n">
        <v>42720</v>
      </c>
      <c r="AI207" t="inlineStr">
        <is>
          <t>Полное проживание в выбранном периоде</t>
        </is>
      </c>
    </row>
    <row r="208">
      <c r="A208" t="inlineStr">
        <is>
          <t>20260913-8186-455450648</t>
        </is>
      </c>
      <c r="B208" t="n">
        <v>1</v>
      </c>
      <c r="C208" s="2" t="inlineStr">
        <is>
          <t>Владимир Мареев</t>
        </is>
      </c>
      <c r="D208" s="3" t="n">
        <v>56750</v>
      </c>
      <c r="E208" s="4" t="n">
        <v>0</v>
      </c>
      <c r="F208" t="inlineStr">
        <is>
          <t>Прямые бронирования (стойка) [Чайковский]</t>
        </is>
      </c>
      <c r="G208" s="3">
        <f>ROUND(D208/(100-E208)*100,2)</f>
        <v/>
      </c>
      <c r="H208" s="3" t="n">
        <v>5675</v>
      </c>
      <c r="I208" s="3">
        <f>ROUND(IF(ISNUMBER(AG208),AG208,G208)+H208,2)</f>
        <v/>
      </c>
      <c r="J208" s="2" t="inlineStr">
        <is>
          <t>Завтрак "Шведский стол"; Поздний выезд — 5 675,00 ₽</t>
        </is>
      </c>
      <c r="K208" s="5" t="n">
        <v>46278.58333333334</v>
      </c>
      <c r="L208" t="n">
        <v>5</v>
      </c>
      <c r="M208" s="3">
        <f>I208/L208</f>
        <v/>
      </c>
      <c r="N208">
        <f>IF(M208&gt;=5100,"ставка","мин.ставка")</f>
        <v/>
      </c>
      <c r="O208" s="3">
        <f>ROUND(IF(N208="мин.ставка",L208*100,I208/102*2),2)</f>
        <v/>
      </c>
      <c r="P208" s="5" t="n">
        <v>46283.75</v>
      </c>
      <c r="Q208" t="inlineStr">
        <is>
          <t>TravelLine ресепшен</t>
        </is>
      </c>
      <c r="R208" s="2" t="inlineStr">
        <is>
          <t>СТАНДАРТНЫЙ ДВУХМЕСТНЫЙ НОМЕР</t>
        </is>
      </c>
      <c r="S208" t="n">
        <v>44</v>
      </c>
      <c r="T208" t="n">
        <v>1</v>
      </c>
      <c r="U208" t="inlineStr"/>
      <c r="V208" t="inlineStr">
        <is>
          <t>Тариф с завтраком</t>
        </is>
      </c>
      <c r="W208" t="n">
        <v>62425</v>
      </c>
      <c r="X208" s="3" t="n">
        <v>0</v>
      </c>
      <c r="Y208" t="inlineStr"/>
      <c r="Z208" t="inlineStr"/>
      <c r="AA208" s="3" t="n">
        <v>56750</v>
      </c>
      <c r="AB208" t="inlineStr">
        <is>
          <t>Расхождение -5675.00 ₽</t>
        </is>
      </c>
      <c r="AC208" s="2" t="inlineStr"/>
      <c r="AD208" t="n">
        <v>0</v>
      </c>
      <c r="AE208" t="n">
        <v>0</v>
      </c>
      <c r="AF208" t="inlineStr">
        <is>
          <t>Скидки нет</t>
        </is>
      </c>
      <c r="AG208" t="n">
        <v>56750</v>
      </c>
      <c r="AH208" t="n">
        <v>56750</v>
      </c>
      <c r="AI208" t="inlineStr">
        <is>
          <t>Полное проживание в выбранном периоде</t>
        </is>
      </c>
    </row>
    <row r="209">
      <c r="A209" t="inlineStr">
        <is>
          <t>20260911-8186-429110332</t>
        </is>
      </c>
      <c r="B209" t="n">
        <v>1</v>
      </c>
      <c r="C209" s="2" t="inlineStr">
        <is>
          <t>ВЛАДИМИР МОРОЗОВ, ИРИНА МОРОЗОВА</t>
        </is>
      </c>
      <c r="D209" s="3" t="n">
        <v>47520</v>
      </c>
      <c r="E209" s="4" t="n">
        <v>20</v>
      </c>
      <c r="F209" t="inlineStr">
        <is>
          <t>ООО "КОМПАНИЯ БРОНЕВИК" [Чайковский]</t>
        </is>
      </c>
      <c r="G209" s="3">
        <f>ROUND(D209/(100-E209)*100,2)</f>
        <v/>
      </c>
      <c r="H209" s="3" t="n">
        <v>600</v>
      </c>
      <c r="I209" s="3">
        <f>ROUND(IF(ISNUMBER(AG209),AG209,G209)+H209,2)</f>
        <v/>
      </c>
      <c r="J209" s="2" t="inlineStr">
        <is>
          <t>продление номера — 600,00 ₽; Завтрак "Шведский стол"</t>
        </is>
      </c>
      <c r="K209" s="5" t="n">
        <v>46276.58333333334</v>
      </c>
      <c r="L209" t="n">
        <v>6</v>
      </c>
      <c r="M209" s="3">
        <f>I209/L209</f>
        <v/>
      </c>
      <c r="N209">
        <f>IF(M209&gt;=5100,"ставка","мин.ставка")</f>
        <v/>
      </c>
      <c r="O209" s="3">
        <f>ROUND(IF(N209="мин.ставка",L209*100,I209/102*2),2)</f>
        <v/>
      </c>
      <c r="P209" s="5" t="n">
        <v>46282.5</v>
      </c>
      <c r="Q209" t="inlineStr">
        <is>
          <t>TravelLine BR2</t>
        </is>
      </c>
      <c r="R209" s="2" t="inlineStr">
        <is>
          <t>СТАНДАРТНЫЙ ДВУХМЕСТНЫЙ НОМЕР (МАНСАРДА)</t>
        </is>
      </c>
      <c r="S209" t="n">
        <v>41</v>
      </c>
      <c r="T209" t="n">
        <v>1</v>
      </c>
      <c r="U209" t="inlineStr"/>
      <c r="V209" t="inlineStr">
        <is>
          <t>Тариф с завтраком</t>
        </is>
      </c>
      <c r="W209" t="n">
        <v>48120</v>
      </c>
      <c r="X209" s="3" t="n">
        <v>0</v>
      </c>
      <c r="Y209" t="inlineStr"/>
      <c r="Z209" t="inlineStr"/>
      <c r="AA209" s="3" t="n">
        <v>47520</v>
      </c>
      <c r="AB209" t="inlineStr">
        <is>
          <t>Сошлось с услугами</t>
        </is>
      </c>
      <c r="AC209" s="2" t="inlineStr"/>
      <c r="AD209" t="n">
        <v>0</v>
      </c>
      <c r="AE209" t="n">
        <v>0</v>
      </c>
      <c r="AF209" t="inlineStr">
        <is>
          <t>Скидки нет</t>
        </is>
      </c>
      <c r="AG209" t="n">
        <v>47520</v>
      </c>
      <c r="AH209" t="n">
        <v>47520</v>
      </c>
      <c r="AI209" t="inlineStr">
        <is>
          <t>Полное проживание в выбранном периоде</t>
        </is>
      </c>
    </row>
    <row r="210">
      <c r="A210" t="inlineStr">
        <is>
          <t>20260723-8186-447820200</t>
        </is>
      </c>
      <c r="B210" t="n">
        <v>1</v>
      </c>
      <c r="C210" s="2" t="inlineStr">
        <is>
          <t>Владимир Переверзев, Инна Переверзева</t>
        </is>
      </c>
      <c r="D210" s="3" t="n">
        <v>15840</v>
      </c>
      <c r="E210" s="4" t="n">
        <v>18</v>
      </c>
      <c r="F210" t="inlineStr">
        <is>
          <t>Яндекс.Путешествия [Чайковский]</t>
        </is>
      </c>
      <c r="G210" s="3">
        <f>ROUND(D210/(100-E210)*100,2)</f>
        <v/>
      </c>
      <c r="H210" s="3" t="n">
        <v>0</v>
      </c>
      <c r="I210" s="3">
        <f>ROUND(IF(ISNUMBER(AG210),AG210,G210)+H210,2)</f>
        <v/>
      </c>
      <c r="J210" s="2" t="inlineStr">
        <is>
          <t>Завтрак "Шведский стол"</t>
        </is>
      </c>
      <c r="K210" s="5" t="n">
        <v>46226.58333333334</v>
      </c>
      <c r="L210" t="n">
        <v>2</v>
      </c>
      <c r="M210" s="3">
        <f>I210/L210</f>
        <v/>
      </c>
      <c r="N210">
        <f>IF(M210&gt;=5100,"ставка","мин.ставка")</f>
        <v/>
      </c>
      <c r="O210" s="3">
        <f>ROUND(IF(N210="мин.ставка",L210*100,I210/102*2),2)</f>
        <v/>
      </c>
      <c r="P210" s="5" t="n">
        <v>46228.5</v>
      </c>
      <c r="Q210" t="inlineStr">
        <is>
          <t>TravelLine YAX</t>
        </is>
      </c>
      <c r="R210" s="2" t="inlineStr">
        <is>
          <t>СТАНДАРТНЫЙ ДВУХМЕСТНЫЙ НОМЕР (МАНСАРДА)</t>
        </is>
      </c>
      <c r="S210" t="n">
        <v>41</v>
      </c>
      <c r="T210" t="n">
        <v>1</v>
      </c>
      <c r="U210" t="inlineStr"/>
      <c r="V210" t="inlineStr">
        <is>
          <t>Тариф с завтраком</t>
        </is>
      </c>
      <c r="W210" t="n">
        <v>15840</v>
      </c>
      <c r="X210" s="3" t="n">
        <v>3960</v>
      </c>
      <c r="Y210" t="inlineStr">
        <is>
          <t>20%</t>
        </is>
      </c>
      <c r="Z210" t="inlineStr">
        <is>
          <t>2026-07-23, 2026-07-24</t>
        </is>
      </c>
      <c r="AA210" s="3" t="n">
        <v>15840</v>
      </c>
      <c r="AB210" t="inlineStr">
        <is>
          <t>Сошлось по ночным тарифам</t>
        </is>
      </c>
      <c r="AC210" s="2" t="inlineStr"/>
      <c r="AD210" t="n">
        <v>3960</v>
      </c>
      <c r="AE210" t="n">
        <v>0</v>
      </c>
      <c r="AF210" t="inlineStr">
        <is>
          <t>Скидка добавлена к налоговой базе</t>
        </is>
      </c>
      <c r="AG210" t="n">
        <v>19800</v>
      </c>
      <c r="AH210" t="n">
        <v>15840</v>
      </c>
      <c r="AI210" t="inlineStr">
        <is>
          <t>Полное проживание в выбранном периоде</t>
        </is>
      </c>
    </row>
    <row r="211">
      <c r="A211" t="inlineStr">
        <is>
          <t>20260921-8186-465754536</t>
        </is>
      </c>
      <c r="B211" t="n">
        <v>1</v>
      </c>
      <c r="C211" s="2" t="inlineStr">
        <is>
          <t>Владимир Платонов</t>
        </is>
      </c>
      <c r="D211" s="3" t="n">
        <v>27240</v>
      </c>
      <c r="E211" s="4" t="n">
        <v>20</v>
      </c>
      <c r="F211" t="inlineStr">
        <is>
          <t>ООО «Дубль Гис» (OTELLO) [Чайковский]</t>
        </is>
      </c>
      <c r="G211" s="3">
        <f>ROUND(D211/(100-E211)*100,2)</f>
        <v/>
      </c>
      <c r="H211" s="3" t="n">
        <v>5675</v>
      </c>
      <c r="I211" s="3">
        <f>ROUND(IF(ISNUMBER(AG211),AG211,G211)+H211,2)</f>
        <v/>
      </c>
      <c r="J211" s="2" t="inlineStr">
        <is>
          <t>продление номера — 5 675,00 ₽; Завтрак "Шведский стол"</t>
        </is>
      </c>
      <c r="K211" s="5" t="n">
        <v>46286.58333333334</v>
      </c>
      <c r="L211" t="n">
        <v>3</v>
      </c>
      <c r="M211" s="3">
        <f>I211/L211</f>
        <v/>
      </c>
      <c r="N211">
        <f>IF(M211&gt;=5100,"ставка","мин.ставка")</f>
        <v/>
      </c>
      <c r="O211" s="3">
        <f>ROUND(IF(N211="мин.ставка",L211*100,I211/102*2),2)</f>
        <v/>
      </c>
      <c r="P211" s="5" t="n">
        <v>46289.83333333334</v>
      </c>
      <c r="Q211" t="inlineStr">
        <is>
          <t>TravelLine OL2</t>
        </is>
      </c>
      <c r="R211" s="2" t="inlineStr">
        <is>
          <t>СТАНДАРТНЫЙ ДВУХМЕСТНЫЙ НОМЕР</t>
        </is>
      </c>
      <c r="S211" t="n">
        <v>23</v>
      </c>
      <c r="T211" t="n">
        <v>1</v>
      </c>
      <c r="U211" t="inlineStr"/>
      <c r="V211" t="inlineStr">
        <is>
          <t>Тариф с завтраком</t>
        </is>
      </c>
      <c r="W211" t="n">
        <v>32915</v>
      </c>
      <c r="X211" s="3" t="n">
        <v>6810</v>
      </c>
      <c r="Y211" t="inlineStr">
        <is>
          <t>20%</t>
        </is>
      </c>
      <c r="Z211" t="inlineStr">
        <is>
          <t>2026-09-21, 2026-09-22, 2026-09-23</t>
        </is>
      </c>
      <c r="AA211" s="3" t="n">
        <v>27240</v>
      </c>
      <c r="AB211" t="inlineStr">
        <is>
          <t>Сошлось с услугами</t>
        </is>
      </c>
      <c r="AC211" s="2" t="inlineStr"/>
      <c r="AD211" t="n">
        <v>6810</v>
      </c>
      <c r="AE211" t="n">
        <v>0</v>
      </c>
      <c r="AF211" t="inlineStr">
        <is>
          <t>Скидка добавлена к налоговой базе</t>
        </is>
      </c>
      <c r="AG211" t="n">
        <v>34050</v>
      </c>
      <c r="AH211" t="n">
        <v>27240</v>
      </c>
      <c r="AI211" t="inlineStr">
        <is>
          <t>Полное проживание в выбранном периоде</t>
        </is>
      </c>
    </row>
    <row r="212">
      <c r="A212" t="inlineStr">
        <is>
          <t>20260905-8186-456371079</t>
        </is>
      </c>
      <c r="B212" t="n">
        <v>1</v>
      </c>
      <c r="C212" s="2" t="inlineStr">
        <is>
          <t>Владимир Сагадиев, Эльвира Идиятуллина</t>
        </is>
      </c>
      <c r="D212" s="3" t="n">
        <v>7920</v>
      </c>
      <c r="E212" s="4" t="n">
        <v>20</v>
      </c>
      <c r="F212" t="inlineStr">
        <is>
          <t>ООО "КОМПАНИЯ БРОНЕВИК" [Чайковский]</t>
        </is>
      </c>
      <c r="G212" s="3">
        <f>ROUND(D212/(100-E212)*100,2)</f>
        <v/>
      </c>
      <c r="H212" s="3" t="n">
        <v>0</v>
      </c>
      <c r="I212" s="3">
        <f>ROUND(IF(ISNUMBER(AG212),AG212,G212)+H212,2)</f>
        <v/>
      </c>
      <c r="J212" s="2" t="inlineStr">
        <is>
          <t>Завтрак "Шведский стол"</t>
        </is>
      </c>
      <c r="K212" s="5" t="n">
        <v>46270.58333333334</v>
      </c>
      <c r="L212" t="n">
        <v>1</v>
      </c>
      <c r="M212" s="3">
        <f>I212/L212</f>
        <v/>
      </c>
      <c r="N212">
        <f>IF(M212&gt;=5100,"ставка","мин.ставка")</f>
        <v/>
      </c>
      <c r="O212" s="3">
        <f>ROUND(IF(N212="мин.ставка",L212*100,I212/102*2),2)</f>
        <v/>
      </c>
      <c r="P212" s="5" t="n">
        <v>46271.5</v>
      </c>
      <c r="Q212" t="inlineStr">
        <is>
          <t>TravelLine BR2</t>
        </is>
      </c>
      <c r="R212" s="2" t="inlineStr">
        <is>
          <t>СТАНДАРТНЫЙ ДВУХМЕСТНЫЙ НОМЕР (МАНСАРДА)</t>
        </is>
      </c>
      <c r="S212" t="n">
        <v>47</v>
      </c>
      <c r="T212" t="n">
        <v>1</v>
      </c>
      <c r="U212" t="inlineStr"/>
      <c r="V212" t="inlineStr">
        <is>
          <t>Тариф с завтраком</t>
        </is>
      </c>
      <c r="W212" t="n">
        <v>7920</v>
      </c>
      <c r="X212" s="3" t="n">
        <v>0</v>
      </c>
      <c r="Y212" t="inlineStr"/>
      <c r="Z212" t="inlineStr"/>
      <c r="AA212" s="3" t="n">
        <v>7920</v>
      </c>
      <c r="AB212" t="inlineStr">
        <is>
          <t>Сошлось по ночным тарифам</t>
        </is>
      </c>
      <c r="AC212" s="2" t="inlineStr"/>
      <c r="AD212" t="n">
        <v>0</v>
      </c>
      <c r="AE212" t="n">
        <v>0</v>
      </c>
      <c r="AF212" t="inlineStr">
        <is>
          <t>Скидки нет</t>
        </is>
      </c>
      <c r="AG212" t="n">
        <v>7920</v>
      </c>
      <c r="AH212" t="n">
        <v>7920</v>
      </c>
      <c r="AI212" t="inlineStr">
        <is>
          <t>Полное проживание в выбранном периоде</t>
        </is>
      </c>
    </row>
    <row r="213">
      <c r="A213" t="inlineStr">
        <is>
          <t>20260809-8186-451108107</t>
        </is>
      </c>
      <c r="B213" t="n">
        <v>1</v>
      </c>
      <c r="C213" s="2" t="inlineStr">
        <is>
          <t>Владимир Серебренный, Елена Серебренная</t>
        </is>
      </c>
      <c r="D213" s="3" t="n">
        <v>55402.5</v>
      </c>
      <c r="E213" s="4" t="n">
        <v>17</v>
      </c>
      <c r="F213" t="inlineStr">
        <is>
          <t>ООО «Интернет Трэвел» (OZON) [Чайковский]</t>
        </is>
      </c>
      <c r="G213" s="3">
        <f>ROUND(D213/(100-E213)*100,2)</f>
        <v/>
      </c>
      <c r="H213" s="3" t="n">
        <v>0</v>
      </c>
      <c r="I213" s="3">
        <f>ROUND(IF(ISNUMBER(AG213),AG213,G213)+H213,2)</f>
        <v/>
      </c>
      <c r="J213" s="2" t="inlineStr">
        <is>
          <t>Завтрак "Шведский стол"</t>
        </is>
      </c>
      <c r="K213" s="5" t="n">
        <v>46243.58333333334</v>
      </c>
      <c r="L213" t="n">
        <v>5</v>
      </c>
      <c r="M213" s="3">
        <f>I213/L213</f>
        <v/>
      </c>
      <c r="N213">
        <f>IF(M213&gt;=5100,"ставка","мин.ставка")</f>
        <v/>
      </c>
      <c r="O213" s="3">
        <f>ROUND(IF(N213="мин.ставка",L213*100,I213/102*2),2)</f>
        <v/>
      </c>
      <c r="P213" s="5" t="n">
        <v>46248.5</v>
      </c>
      <c r="Q213" t="inlineStr">
        <is>
          <t>TravelLine OZ2</t>
        </is>
      </c>
      <c r="R213" s="2" t="inlineStr">
        <is>
          <t>СТАНДАРТНЫЙ ДВУХМЕСТНЫЙ НОМЕР</t>
        </is>
      </c>
      <c r="S213" t="n">
        <v>23</v>
      </c>
      <c r="T213" t="n">
        <v>1</v>
      </c>
      <c r="U213" t="inlineStr"/>
      <c r="V213" t="inlineStr">
        <is>
          <t>Тариф с завтраком</t>
        </is>
      </c>
      <c r="W213" t="n">
        <v>55402.5</v>
      </c>
      <c r="X213" s="3" t="n">
        <v>11347.5</v>
      </c>
      <c r="Y213" t="inlineStr">
        <is>
          <t>17%</t>
        </is>
      </c>
      <c r="Z213" t="inlineStr">
        <is>
          <t>2026-08-09, 2026-08-10, 2026-08-11, 2026-08-12, 2026-08-13</t>
        </is>
      </c>
      <c r="AA213" s="3" t="n">
        <v>55402.5</v>
      </c>
      <c r="AB213" t="inlineStr">
        <is>
          <t>Сошлось по ночным тарифам</t>
        </is>
      </c>
      <c r="AC213" s="2" t="inlineStr"/>
      <c r="AD213" t="n">
        <v>11347.5</v>
      </c>
      <c r="AE213" t="n">
        <v>0</v>
      </c>
      <c r="AF213" t="inlineStr">
        <is>
          <t>Скидка добавлена к налоговой базе</t>
        </is>
      </c>
      <c r="AG213" t="n">
        <v>66750</v>
      </c>
      <c r="AH213" t="n">
        <v>55402.5</v>
      </c>
      <c r="AI213" t="inlineStr">
        <is>
          <t>Полное проживание в выбранном периоде</t>
        </is>
      </c>
    </row>
    <row r="214">
      <c r="A214" t="inlineStr">
        <is>
          <t>20260924-8186-466459177</t>
        </is>
      </c>
      <c r="B214" t="n">
        <v>1</v>
      </c>
      <c r="C214" s="2" t="inlineStr">
        <is>
          <t>Владимир Туров</t>
        </is>
      </c>
      <c r="D214" s="3" t="n">
        <v>12320</v>
      </c>
      <c r="E214" s="4" t="n">
        <v>20</v>
      </c>
      <c r="F214" t="inlineStr">
        <is>
          <t>ООО «Дубль Гис» (OTELLO) [Чайковский]</t>
        </is>
      </c>
      <c r="G214" s="3">
        <f>ROUND(D214/(100-E214)*100,2)</f>
        <v/>
      </c>
      <c r="H214" s="3" t="n">
        <v>0</v>
      </c>
      <c r="I214" s="3">
        <f>ROUND(IF(ISNUMBER(AG214),AG214,G214)+H214,2)</f>
        <v/>
      </c>
      <c r="J214" s="2" t="inlineStr">
        <is>
          <t>Завтрак "Шведский стол"</t>
        </is>
      </c>
      <c r="K214" s="5" t="n">
        <v>46289.58333333334</v>
      </c>
      <c r="L214" t="n">
        <v>2</v>
      </c>
      <c r="M214" s="3">
        <f>I214/L214</f>
        <v/>
      </c>
      <c r="N214">
        <f>IF(M214&gt;=5100,"ставка","мин.ставка")</f>
        <v/>
      </c>
      <c r="O214" s="3">
        <f>ROUND(IF(N214="мин.ставка",L214*100,I214/102*2),2)</f>
        <v/>
      </c>
      <c r="P214" s="5" t="n">
        <v>46291.5</v>
      </c>
      <c r="Q214" t="inlineStr">
        <is>
          <t>TravelLine OL2</t>
        </is>
      </c>
      <c r="R214" s="2" t="inlineStr">
        <is>
          <t>СТАНДАРТНЫЙ ОДНОМЕСТНЫЙ НОМЕР</t>
        </is>
      </c>
      <c r="S214" t="n">
        <v>34</v>
      </c>
      <c r="T214" t="n">
        <v>1</v>
      </c>
      <c r="U214" t="inlineStr"/>
      <c r="V214" t="inlineStr">
        <is>
          <t>Тариф с завтраком</t>
        </is>
      </c>
      <c r="W214" t="n">
        <v>12320</v>
      </c>
      <c r="X214" s="3" t="n">
        <v>3080</v>
      </c>
      <c r="Y214" t="inlineStr">
        <is>
          <t>20%</t>
        </is>
      </c>
      <c r="Z214" t="inlineStr">
        <is>
          <t>2026-09-24, 2026-09-25</t>
        </is>
      </c>
      <c r="AA214" s="3" t="n">
        <v>12320</v>
      </c>
      <c r="AB214" t="inlineStr">
        <is>
          <t>Сошлось по ночным тарифам</t>
        </is>
      </c>
      <c r="AC214" s="2" t="inlineStr"/>
      <c r="AD214" t="n">
        <v>3080</v>
      </c>
      <c r="AE214" t="n">
        <v>0</v>
      </c>
      <c r="AF214" t="inlineStr">
        <is>
          <t>Скидка добавлена к налоговой базе</t>
        </is>
      </c>
      <c r="AG214" t="n">
        <v>15400</v>
      </c>
      <c r="AH214" t="n">
        <v>12320</v>
      </c>
      <c r="AI214" t="inlineStr">
        <is>
          <t>Полное проживание в выбранном периоде</t>
        </is>
      </c>
    </row>
    <row r="215">
      <c r="A215" t="inlineStr">
        <is>
          <t>20260821-8186-458016331</t>
        </is>
      </c>
      <c r="B215" t="n">
        <v>1</v>
      </c>
      <c r="C215" s="2" t="inlineStr">
        <is>
          <t>ВЛАДИСЛАВ КОТЕНКО, ВИКТОРИЯ КОТЕНКО</t>
        </is>
      </c>
      <c r="D215" s="3" t="n">
        <v>11214</v>
      </c>
      <c r="E215" s="4" t="n">
        <v>16</v>
      </c>
      <c r="F215" t="inlineStr">
        <is>
          <t>ООО "БРОНИРОВАНИЕ ГОСТИНИЦ" (OSTROVOK) [Чайковский]</t>
        </is>
      </c>
      <c r="G215" s="3">
        <f>ROUND(D215/(100-E215)*100,2)</f>
        <v/>
      </c>
      <c r="H215" s="3" t="n">
        <v>0</v>
      </c>
      <c r="I215" s="3">
        <f>ROUND(IF(ISNUMBER(AG215),AG215,G215)+H215,2)</f>
        <v/>
      </c>
      <c r="J215" s="2" t="inlineStr">
        <is>
          <t>Завтрак "Шведский стол"</t>
        </is>
      </c>
      <c r="K215" s="5" t="n">
        <v>46255.58333333334</v>
      </c>
      <c r="L215" t="n">
        <v>1</v>
      </c>
      <c r="M215" s="3">
        <f>I215/L215</f>
        <v/>
      </c>
      <c r="N215">
        <f>IF(M215&gt;=5100,"ставка","мин.ставка")</f>
        <v/>
      </c>
      <c r="O215" s="3">
        <f>ROUND(IF(N215="мин.ставка",L215*100,I215/102*2),2)</f>
        <v/>
      </c>
      <c r="P215" s="5" t="n">
        <v>46256.5</v>
      </c>
      <c r="Q215" t="inlineStr">
        <is>
          <t>TravelLine OTK</t>
        </is>
      </c>
      <c r="R215" s="2" t="inlineStr">
        <is>
          <t>СТАНДАРТНЫЙ ДВУХМЕСТНЫЙ НОМЕР</t>
        </is>
      </c>
      <c r="S215" t="n">
        <v>23</v>
      </c>
      <c r="T215" t="n">
        <v>1</v>
      </c>
      <c r="U215" t="inlineStr"/>
      <c r="V215" t="inlineStr">
        <is>
          <t>Тариф с завтраком</t>
        </is>
      </c>
      <c r="W215" t="n">
        <v>11214</v>
      </c>
      <c r="X215" s="3" t="n">
        <v>2136</v>
      </c>
      <c r="Y215" t="inlineStr">
        <is>
          <t>16%</t>
        </is>
      </c>
      <c r="Z215" t="inlineStr">
        <is>
          <t>2026-08-21</t>
        </is>
      </c>
      <c r="AA215" s="3" t="n">
        <v>11214</v>
      </c>
      <c r="AB215" t="inlineStr">
        <is>
          <t>Сошлось по ночным тарифам</t>
        </is>
      </c>
      <c r="AC215" s="2" t="inlineStr"/>
      <c r="AD215" t="n">
        <v>2136</v>
      </c>
      <c r="AE215" t="n">
        <v>0</v>
      </c>
      <c r="AF215" t="inlineStr">
        <is>
          <t>Скидка добавлена к налоговой базе</t>
        </is>
      </c>
      <c r="AG215" t="n">
        <v>13350</v>
      </c>
      <c r="AH215" t="n">
        <v>11214</v>
      </c>
      <c r="AI215" t="inlineStr">
        <is>
          <t>Полное проживание в выбранном периоде</t>
        </is>
      </c>
    </row>
    <row r="216">
      <c r="A216" t="inlineStr">
        <is>
          <t>20260704-8186-442805120</t>
        </is>
      </c>
      <c r="B216" t="n">
        <v>1</v>
      </c>
      <c r="C216" s="2" t="inlineStr">
        <is>
          <t>Владислав Фрол</t>
        </is>
      </c>
      <c r="D216" s="3" t="n">
        <v>34050</v>
      </c>
      <c r="E216" s="4" t="n">
        <v>0</v>
      </c>
      <c r="F216" t="inlineStr">
        <is>
          <t>Прямые бронирования (стойка) [Чайковский]</t>
        </is>
      </c>
      <c r="G216" s="3">
        <f>ROUND(D216/(100-E216)*100,2)</f>
        <v/>
      </c>
      <c r="H216" s="3" t="n">
        <v>0</v>
      </c>
      <c r="I216" s="3">
        <f>ROUND(IF(ISNUMBER(AG216),AG216,G216)+H216,2)</f>
        <v/>
      </c>
      <c r="J216" s="2" t="inlineStr">
        <is>
          <t>Завтрак "Шведский стол"</t>
        </is>
      </c>
      <c r="K216" s="5" t="n">
        <v>46207.58333333334</v>
      </c>
      <c r="L216" t="n">
        <v>3</v>
      </c>
      <c r="M216" s="3">
        <f>I216/L216</f>
        <v/>
      </c>
      <c r="N216">
        <f>IF(M216&gt;=5100,"ставка","мин.ставка")</f>
        <v/>
      </c>
      <c r="O216" s="3">
        <f>ROUND(IF(N216="мин.ставка",L216*100,I216/102*2),2)</f>
        <v/>
      </c>
      <c r="P216" s="5" t="n">
        <v>46210.5</v>
      </c>
      <c r="Q216" t="inlineStr">
        <is>
          <t>TravelLine ресепшен</t>
        </is>
      </c>
      <c r="R216" s="2" t="inlineStr">
        <is>
          <t>СТАНДАРТНЫЙ ДВУХМЕСТНЫЙ НОМЕР</t>
        </is>
      </c>
      <c r="S216" t="n">
        <v>36</v>
      </c>
      <c r="T216" t="n">
        <v>1</v>
      </c>
      <c r="U216" t="inlineStr"/>
      <c r="V216" t="inlineStr">
        <is>
          <t>Тариф с завтраком</t>
        </is>
      </c>
      <c r="W216" t="n">
        <v>34050</v>
      </c>
      <c r="X216" s="3" t="n">
        <v>0</v>
      </c>
      <c r="Y216" t="inlineStr"/>
      <c r="Z216" t="inlineStr"/>
      <c r="AA216" s="3" t="n">
        <v>34050</v>
      </c>
      <c r="AB216" t="inlineStr">
        <is>
          <t>Сошлось по ночным тарифам</t>
        </is>
      </c>
      <c r="AC216" s="2" t="inlineStr"/>
      <c r="AD216" t="n">
        <v>0</v>
      </c>
      <c r="AE216" t="n">
        <v>0</v>
      </c>
      <c r="AF216" t="inlineStr">
        <is>
          <t>Скидки нет</t>
        </is>
      </c>
      <c r="AG216" t="n">
        <v>34050</v>
      </c>
      <c r="AH216" t="n">
        <v>34050</v>
      </c>
      <c r="AI216" t="inlineStr">
        <is>
          <t>Полное проживание в выбранном периоде</t>
        </is>
      </c>
    </row>
    <row r="217">
      <c r="A217" t="inlineStr">
        <is>
          <t>20260919-8186-461966803</t>
        </is>
      </c>
      <c r="B217" t="n">
        <v>1</v>
      </c>
      <c r="C217" s="2" t="inlineStr">
        <is>
          <t>ВЛАДИСЛАВ ШУЛЯКОВСКИЙ, Анастасия Бальчюнайте</t>
        </is>
      </c>
      <c r="D217" s="3" t="n">
        <v>29700</v>
      </c>
      <c r="E217" s="4" t="n">
        <v>0</v>
      </c>
      <c r="F217" t="inlineStr">
        <is>
          <t>Прямые бронирования (стойка) [Чайковский]</t>
        </is>
      </c>
      <c r="G217" s="3">
        <f>ROUND(D217/(100-E217)*100,2)</f>
        <v/>
      </c>
      <c r="H217" s="3" t="n">
        <v>0</v>
      </c>
      <c r="I217" s="3">
        <f>ROUND(IF(ISNUMBER(AG217),AG217,G217)+H217,2)</f>
        <v/>
      </c>
      <c r="J217" s="2" t="inlineStr">
        <is>
          <t>Завтрак "Шведский стол"</t>
        </is>
      </c>
      <c r="K217" s="5" t="n">
        <v>46283.58333333334</v>
      </c>
      <c r="L217" t="n">
        <v>2</v>
      </c>
      <c r="M217" s="3">
        <f>I217/L217</f>
        <v/>
      </c>
      <c r="N217">
        <f>IF(M217&gt;=5100,"ставка","мин.ставка")</f>
        <v/>
      </c>
      <c r="O217" s="3">
        <f>ROUND(IF(N217="мин.ставка",L217*100,I217/102*2),2)</f>
        <v/>
      </c>
      <c r="P217" s="5" t="n">
        <v>46285.5</v>
      </c>
      <c r="Q217" t="inlineStr">
        <is>
          <t>TravelLine ресепшен</t>
        </is>
      </c>
      <c r="R217" s="2" t="inlineStr">
        <is>
          <t>ПОЛУЛЮКС</t>
        </is>
      </c>
      <c r="S217" t="n">
        <v>35</v>
      </c>
      <c r="T217" t="n">
        <v>1</v>
      </c>
      <c r="U217" t="inlineStr"/>
      <c r="V217" t="inlineStr">
        <is>
          <t>Тариф с завтраком</t>
        </is>
      </c>
      <c r="W217" t="n">
        <v>29700</v>
      </c>
      <c r="X217" s="3" t="n">
        <v>3300</v>
      </c>
      <c r="Y217" t="inlineStr">
        <is>
          <t>10%</t>
        </is>
      </c>
      <c r="Z217" t="inlineStr">
        <is>
          <t>2026-09-18, 2026-09-19</t>
        </is>
      </c>
      <c r="AA217" s="3" t="n">
        <v>29700</v>
      </c>
      <c r="AB217" t="inlineStr">
        <is>
          <t>Сошлось по ночным тарифам</t>
        </is>
      </c>
      <c r="AC217" s="2" t="inlineStr"/>
      <c r="AD217" t="n">
        <v>3300</v>
      </c>
      <c r="AE217" t="n">
        <v>0</v>
      </c>
      <c r="AF217" t="inlineStr">
        <is>
          <t>Скидка добавлена к налоговой базе</t>
        </is>
      </c>
      <c r="AG217" t="n">
        <v>33000</v>
      </c>
      <c r="AH217" t="n">
        <v>29700</v>
      </c>
      <c r="AI217" t="inlineStr">
        <is>
          <t>Полное проживание в выбранном периоде</t>
        </is>
      </c>
    </row>
    <row r="218">
      <c r="A218" t="inlineStr">
        <is>
          <t>20260728-8186-448644670</t>
        </is>
      </c>
      <c r="B218" t="n">
        <v>1</v>
      </c>
      <c r="C218" s="2" t="inlineStr">
        <is>
          <t>Вячеслав Бойков, Юлия Бойкова</t>
        </is>
      </c>
      <c r="D218" s="3" t="n">
        <v>9593.1</v>
      </c>
      <c r="E218" s="4" t="n">
        <v>4</v>
      </c>
      <c r="F218" t="inlineStr">
        <is>
          <t>TravelLine Booking Engine [Чайковский]</t>
        </is>
      </c>
      <c r="G218" s="3">
        <f>ROUND(D218/(100-E218)*100,2)</f>
        <v/>
      </c>
      <c r="H218" s="3" t="n">
        <v>0</v>
      </c>
      <c r="I218" s="3">
        <f>ROUND(IF(ISNUMBER(AG218),AG218,G218)+H218,2)</f>
        <v/>
      </c>
      <c r="J218" s="2" t="inlineStr">
        <is>
          <t>Завтрак "Шведский стол"</t>
        </is>
      </c>
      <c r="K218" s="5" t="n">
        <v>46231.58333333334</v>
      </c>
      <c r="L218" t="n">
        <v>1</v>
      </c>
      <c r="M218" s="3">
        <f>I218/L218</f>
        <v/>
      </c>
      <c r="N218">
        <f>IF(M218&gt;=5100,"ставка","мин.ставка")</f>
        <v/>
      </c>
      <c r="O218" s="3">
        <f>ROUND(IF(N218="мин.ставка",L218*100,I218/102*2),2)</f>
        <v/>
      </c>
      <c r="P218" s="5" t="n">
        <v>46232.5</v>
      </c>
      <c r="Q218" t="inlineStr">
        <is>
          <t>TravelLine сайт</t>
        </is>
      </c>
      <c r="R218" s="2" t="inlineStr">
        <is>
          <t>СТАНДАРТНЫЙ ДВУХМЕСТНЫЙ НОМЕР (МАНСАРДА)</t>
        </is>
      </c>
      <c r="S218" t="n">
        <v>45</v>
      </c>
      <c r="T218" t="n">
        <v>1</v>
      </c>
      <c r="U218" t="inlineStr"/>
      <c r="V218" t="inlineStr">
        <is>
          <t>Тариф с завтраком</t>
        </is>
      </c>
      <c r="W218" t="n">
        <v>9593.1</v>
      </c>
      <c r="X218" s="3" t="n">
        <v>306.9</v>
      </c>
      <c r="Y218" t="inlineStr">
        <is>
          <t>3.1%</t>
        </is>
      </c>
      <c r="Z218" t="inlineStr">
        <is>
          <t>2026-07-28</t>
        </is>
      </c>
      <c r="AA218" s="3" t="n">
        <v>9593.1</v>
      </c>
      <c r="AB218" t="inlineStr">
        <is>
          <t>Сошлось по ночным тарифам</t>
        </is>
      </c>
      <c r="AC218" s="2" t="inlineStr"/>
      <c r="AD218" t="n">
        <v>306.9</v>
      </c>
      <c r="AE218" t="n">
        <v>0</v>
      </c>
      <c r="AF218" t="inlineStr">
        <is>
          <t>Скидка добавлена к налоговой базе</t>
        </is>
      </c>
      <c r="AG218" t="n">
        <v>9900</v>
      </c>
      <c r="AH218" t="n">
        <v>9593.1</v>
      </c>
      <c r="AI218" t="inlineStr">
        <is>
          <t>Полное проживание в выбранном периоде</t>
        </is>
      </c>
    </row>
    <row r="219">
      <c r="A219" t="inlineStr">
        <is>
          <t>20260817-8186-450378148</t>
        </is>
      </c>
      <c r="B219" t="n">
        <v>1</v>
      </c>
      <c r="C219" s="2" t="inlineStr">
        <is>
          <t>Вячеслав Горбунов</t>
        </is>
      </c>
      <c r="D219" s="3" t="n">
        <v>66732</v>
      </c>
      <c r="E219" s="4" t="n">
        <v>20</v>
      </c>
      <c r="F219" t="inlineStr">
        <is>
          <t>ООО «Дубль Гис» (OTELLO) [Чайковский]</t>
        </is>
      </c>
      <c r="G219" s="3">
        <f>ROUND(D219/(100-E219)*100,2)</f>
        <v/>
      </c>
      <c r="H219" s="3" t="n">
        <v>0</v>
      </c>
      <c r="I219" s="3">
        <f>ROUND(IF(ISNUMBER(AG219),AG219,G219)+H219,2)</f>
        <v/>
      </c>
      <c r="J219" s="2" t="inlineStr">
        <is>
          <t>Завтрак "Шведский стол"</t>
        </is>
      </c>
      <c r="K219" s="5" t="n">
        <v>46251.58333333334</v>
      </c>
      <c r="L219" t="n">
        <v>6</v>
      </c>
      <c r="M219" s="3">
        <f>I219/L219</f>
        <v/>
      </c>
      <c r="N219">
        <f>IF(M219&gt;=5100,"ставка","мин.ставка")</f>
        <v/>
      </c>
      <c r="O219" s="3">
        <f>ROUND(IF(N219="мин.ставка",L219*100,I219/102*2),2)</f>
        <v/>
      </c>
      <c r="P219" s="5" t="n">
        <v>46257.5</v>
      </c>
      <c r="Q219" t="inlineStr">
        <is>
          <t>TravelLine OL2</t>
        </is>
      </c>
      <c r="R219" s="2" t="inlineStr">
        <is>
          <t>УЛУЧШЕННЫЙ ДВУХМЕСТНЫЙ НОМЕР</t>
        </is>
      </c>
      <c r="S219" t="n">
        <v>21</v>
      </c>
      <c r="T219" t="n">
        <v>1</v>
      </c>
      <c r="U219" t="inlineStr"/>
      <c r="V219" t="inlineStr">
        <is>
          <t>Тариф с завтраком</t>
        </is>
      </c>
      <c r="W219" t="n">
        <v>66732</v>
      </c>
      <c r="X219" s="3" t="n">
        <v>13668</v>
      </c>
      <c r="Y219" t="inlineStr">
        <is>
          <t>17%</t>
        </is>
      </c>
      <c r="Z219" t="inlineStr">
        <is>
          <t>2026-08-17, 2026-08-18, 2026-08-19, 2026-08-20, 2026-08-21, 2026-08-22</t>
        </is>
      </c>
      <c r="AA219" s="3" t="n">
        <v>66732</v>
      </c>
      <c r="AB219" t="inlineStr">
        <is>
          <t>Сошлось по ночным тарифам</t>
        </is>
      </c>
      <c r="AC219" s="2" t="inlineStr"/>
      <c r="AD219" t="n">
        <v>13668</v>
      </c>
      <c r="AE219" t="n">
        <v>0</v>
      </c>
      <c r="AF219" t="inlineStr">
        <is>
          <t>Скидка добавлена к налоговой базе</t>
        </is>
      </c>
      <c r="AG219" t="n">
        <v>80400</v>
      </c>
      <c r="AH219" t="n">
        <v>66732</v>
      </c>
      <c r="AI219" t="inlineStr">
        <is>
          <t>Полное проживание в выбранном периоде</t>
        </is>
      </c>
    </row>
    <row r="220">
      <c r="A220" t="inlineStr">
        <is>
          <t>20260927-8186-462083511</t>
        </is>
      </c>
      <c r="B220" t="n">
        <v>1</v>
      </c>
      <c r="C220" s="2" t="inlineStr">
        <is>
          <t>Вячеслав Жарников</t>
        </is>
      </c>
      <c r="D220" s="3" t="n">
        <v>31440</v>
      </c>
      <c r="E220" s="4" t="n">
        <v>18</v>
      </c>
      <c r="F220" t="inlineStr">
        <is>
          <t>Яндекс.Путешествия [Чайковский]</t>
        </is>
      </c>
      <c r="G220" s="3">
        <f>ROUND(D220/(100-E220)*100,2)</f>
        <v/>
      </c>
      <c r="H220" s="3" t="n">
        <v>0</v>
      </c>
      <c r="I220" s="3">
        <f>ROUND(IF(ISNUMBER(AG220),AG220,G220)+H220,2)</f>
        <v/>
      </c>
      <c r="J220" s="2" t="inlineStr"/>
      <c r="K220" s="5" t="n">
        <v>46292.58333333334</v>
      </c>
      <c r="L220" t="n">
        <v>4</v>
      </c>
      <c r="M220" s="3">
        <f>I220/L220</f>
        <v/>
      </c>
      <c r="N220">
        <f>IF(M220&gt;=5100,"ставка","мин.ставка")</f>
        <v/>
      </c>
      <c r="O220" s="3">
        <f>ROUND(IF(N220="мин.ставка",L220*100,I220/102*2),2)</f>
        <v/>
      </c>
      <c r="P220" s="5" t="n">
        <v>46297.5</v>
      </c>
      <c r="Q220" t="inlineStr">
        <is>
          <t>TravelLine YAX</t>
        </is>
      </c>
      <c r="R220" s="2" t="inlineStr">
        <is>
          <t>СТАНДАРТНЫЙ ДВУХМЕСТНЫЙ НОМЕР (МАНСАРДА)</t>
        </is>
      </c>
      <c r="S220" t="n">
        <v>45</v>
      </c>
      <c r="T220" t="n">
        <v>1</v>
      </c>
      <c r="U220" t="inlineStr"/>
      <c r="V220" t="inlineStr">
        <is>
          <t>Тариф с завтраком</t>
        </is>
      </c>
      <c r="W220" t="n">
        <v>31440</v>
      </c>
      <c r="X220" s="3" t="n">
        <v>7860</v>
      </c>
      <c r="Y220" t="inlineStr">
        <is>
          <t>20%</t>
        </is>
      </c>
      <c r="Z220" t="inlineStr">
        <is>
          <t>Не распределена по датам</t>
        </is>
      </c>
      <c r="AA220" s="3" t="n">
        <v>31440</v>
      </c>
      <c r="AB220" t="inlineStr">
        <is>
          <t>Сошлось по ночным тарифам</t>
        </is>
      </c>
      <c r="AC220" s="2" t="inlineStr"/>
      <c r="AD220" t="n">
        <v>0</v>
      </c>
      <c r="AE220" t="n">
        <v>0</v>
      </c>
      <c r="AF220" t="inlineStr">
        <is>
          <t>Частичный период: дата агрегированной скидки не определена; скидка не добавлена к базе</t>
        </is>
      </c>
      <c r="AG220" t="n">
        <v>25280</v>
      </c>
      <c r="AH220" t="n">
        <v>25280</v>
      </c>
      <c r="AI220" t="inlineStr">
        <is>
          <t>Частичное проживание распределено по dailyRates; скидка без даты не восстановлена</t>
        </is>
      </c>
    </row>
    <row r="221">
      <c r="A221" t="inlineStr">
        <is>
          <t>20260724-8186-452306866</t>
        </is>
      </c>
      <c r="B221" t="n">
        <v>1</v>
      </c>
      <c r="C221" s="2" t="inlineStr">
        <is>
          <t>ВЯЧЕСЛАВ ЛАЗАРЕВ, АННА ЛАЗАРЕВА</t>
        </is>
      </c>
      <c r="D221" s="3" t="n">
        <v>13090</v>
      </c>
      <c r="E221" s="4" t="n">
        <v>15</v>
      </c>
      <c r="F221" t="inlineStr">
        <is>
          <t>ООО "БРОНИРОВАНИЕ ГОСТИНИЦ" (OSTROVOK) [Чайковский]</t>
        </is>
      </c>
      <c r="G221" s="3">
        <f>ROUND(D221/(100-E221)*100,2)</f>
        <v/>
      </c>
      <c r="H221" s="3" t="n">
        <v>0</v>
      </c>
      <c r="I221" s="3">
        <f>ROUND(IF(ISNUMBER(AG221),AG221,G221)+H221,2)</f>
        <v/>
      </c>
      <c r="J221" s="2" t="inlineStr">
        <is>
          <t>Завтрак "Шведский стол"</t>
        </is>
      </c>
      <c r="K221" s="5" t="n">
        <v>46227.58333333334</v>
      </c>
      <c r="L221" t="n">
        <v>1</v>
      </c>
      <c r="M221" s="3">
        <f>I221/L221</f>
        <v/>
      </c>
      <c r="N221">
        <f>IF(M221&gt;=5100,"ставка","мин.ставка")</f>
        <v/>
      </c>
      <c r="O221" s="3">
        <f>ROUND(IF(N221="мин.ставка",L221*100,I221/102*2),2)</f>
        <v/>
      </c>
      <c r="P221" s="5" t="n">
        <v>46228.5</v>
      </c>
      <c r="Q221" t="inlineStr">
        <is>
          <t>TravelLine OTK</t>
        </is>
      </c>
      <c r="R221" s="2" t="inlineStr">
        <is>
          <t>УЛУЧШЕННЫЙ ДВУХМЕСТНЫЙ НОМЕР</t>
        </is>
      </c>
      <c r="S221" t="n">
        <v>31</v>
      </c>
      <c r="T221" t="n">
        <v>1</v>
      </c>
      <c r="U221" t="inlineStr"/>
      <c r="V221" t="inlineStr">
        <is>
          <t>Тариф с завтраком</t>
        </is>
      </c>
      <c r="W221" t="n">
        <v>13090</v>
      </c>
      <c r="X221" s="3" t="n">
        <v>2310</v>
      </c>
      <c r="Y221" t="inlineStr">
        <is>
          <t>15%</t>
        </is>
      </c>
      <c r="Z221" t="inlineStr">
        <is>
          <t>2026-07-24</t>
        </is>
      </c>
      <c r="AA221" s="3" t="n">
        <v>13090</v>
      </c>
      <c r="AB221" t="inlineStr">
        <is>
          <t>Сошлось по ночным тарифам</t>
        </is>
      </c>
      <c r="AC221" s="2" t="inlineStr"/>
      <c r="AD221" t="n">
        <v>2310</v>
      </c>
      <c r="AE221" t="n">
        <v>0</v>
      </c>
      <c r="AF221" t="inlineStr">
        <is>
          <t>Скидка добавлена к налоговой базе</t>
        </is>
      </c>
      <c r="AG221" t="n">
        <v>15400</v>
      </c>
      <c r="AH221" t="n">
        <v>13090</v>
      </c>
      <c r="AI221" t="inlineStr">
        <is>
          <t>Полное проживание в выбранном периоде</t>
        </is>
      </c>
    </row>
    <row r="222">
      <c r="A222" t="inlineStr">
        <is>
          <t>20260719-8186-446751193</t>
        </is>
      </c>
      <c r="B222" t="n">
        <v>1</v>
      </c>
      <c r="C222" s="2" t="inlineStr">
        <is>
          <t>Вячеслав Осипов</t>
        </is>
      </c>
      <c r="D222" s="3" t="n">
        <v>34050</v>
      </c>
      <c r="E222" s="4" t="n">
        <v>0</v>
      </c>
      <c r="F222" t="inlineStr">
        <is>
          <t>Прямые бронирования (стойка) [Чайковский]</t>
        </is>
      </c>
      <c r="G222" s="3">
        <f>ROUND(D222/(100-E222)*100,2)</f>
        <v/>
      </c>
      <c r="H222" s="3" t="n">
        <v>0</v>
      </c>
      <c r="I222" s="3">
        <f>ROUND(IF(ISNUMBER(AG222),AG222,G222)+H222,2)</f>
        <v/>
      </c>
      <c r="J222" s="2" t="inlineStr">
        <is>
          <t>Завтрак "Шведский стол"</t>
        </is>
      </c>
      <c r="K222" s="5" t="n">
        <v>46222.58333333334</v>
      </c>
      <c r="L222" t="n">
        <v>3</v>
      </c>
      <c r="M222" s="3">
        <f>I222/L222</f>
        <v/>
      </c>
      <c r="N222">
        <f>IF(M222&gt;=5100,"ставка","мин.ставка")</f>
        <v/>
      </c>
      <c r="O222" s="3">
        <f>ROUND(IF(N222="мин.ставка",L222*100,I222/102*2),2)</f>
        <v/>
      </c>
      <c r="P222" s="5" t="n">
        <v>46225.5</v>
      </c>
      <c r="Q222" t="inlineStr">
        <is>
          <t>TravelLine ресепшен</t>
        </is>
      </c>
      <c r="R222" s="2" t="inlineStr">
        <is>
          <t>СТАНДАРТНЫЙ ДВУХМЕСТНЫЙ НОМЕР</t>
        </is>
      </c>
      <c r="S222" t="n">
        <v>33</v>
      </c>
      <c r="T222" t="n">
        <v>1</v>
      </c>
      <c r="U222" t="inlineStr"/>
      <c r="V222" t="inlineStr">
        <is>
          <t>Тариф с завтраком</t>
        </is>
      </c>
      <c r="W222" t="n">
        <v>34050</v>
      </c>
      <c r="X222" s="3" t="n">
        <v>0</v>
      </c>
      <c r="Y222" t="inlineStr"/>
      <c r="Z222" t="inlineStr"/>
      <c r="AA222" s="3" t="n">
        <v>34050</v>
      </c>
      <c r="AB222" t="inlineStr">
        <is>
          <t>Сошлось по ночным тарифам</t>
        </is>
      </c>
      <c r="AC222" s="2" t="inlineStr"/>
      <c r="AD222" t="n">
        <v>0</v>
      </c>
      <c r="AE222" t="n">
        <v>0</v>
      </c>
      <c r="AF222" t="inlineStr">
        <is>
          <t>Скидки нет</t>
        </is>
      </c>
      <c r="AG222" t="n">
        <v>34050</v>
      </c>
      <c r="AH222" t="n">
        <v>34050</v>
      </c>
      <c r="AI222" t="inlineStr">
        <is>
          <t>Полное проживание в выбранном периоде</t>
        </is>
      </c>
    </row>
    <row r="223">
      <c r="A223" t="inlineStr">
        <is>
          <t>20260704-8186-405164282</t>
        </is>
      </c>
      <c r="B223" t="n">
        <v>1</v>
      </c>
      <c r="C223" s="2" t="inlineStr">
        <is>
          <t>ВЯЧЕСЛАВ СУНГУРОВ, Елена Сунгурова</t>
        </is>
      </c>
      <c r="D223" s="3" t="n">
        <v>97515</v>
      </c>
      <c r="E223" s="4" t="n">
        <v>17</v>
      </c>
      <c r="F223" t="inlineStr">
        <is>
          <t>ООО "ОНЛАЙН ИННОВАЦИИ" (101 Отель) [Чайковский]</t>
        </is>
      </c>
      <c r="G223" s="3">
        <f>ROUND(D223/(100-E223)*100,2)</f>
        <v/>
      </c>
      <c r="H223" s="3" t="n">
        <v>0</v>
      </c>
      <c r="I223" s="3">
        <f>ROUND(IF(ISNUMBER(AG223),AG223,G223)+H223,2)</f>
        <v/>
      </c>
      <c r="J223" s="2" t="inlineStr">
        <is>
          <t>Завтрак "Шведский стол"</t>
        </is>
      </c>
      <c r="K223" s="5" t="n">
        <v>46204.58333333334</v>
      </c>
      <c r="L223" t="n">
        <v>10</v>
      </c>
      <c r="M223" s="3">
        <f>I223/L223</f>
        <v/>
      </c>
      <c r="N223">
        <f>IF(M223&gt;=5100,"ставка","мин.ставка")</f>
        <v/>
      </c>
      <c r="O223" s="3">
        <f>ROUND(IF(N223="мин.ставка",L223*100,I223/102*2),2)</f>
        <v/>
      </c>
      <c r="P223" s="5" t="n">
        <v>46214.5</v>
      </c>
      <c r="Q223" t="inlineStr">
        <is>
          <t>TravelLine H1C</t>
        </is>
      </c>
      <c r="R223" s="2" t="inlineStr">
        <is>
          <t>СТАНДАРТНЫЙ ДВУХМЕСТНЫЙ НОМЕР (МАНСАРДА)</t>
        </is>
      </c>
      <c r="S223" t="n">
        <v>45</v>
      </c>
      <c r="T223" t="n">
        <v>1</v>
      </c>
      <c r="U223" t="inlineStr"/>
      <c r="V223" t="inlineStr">
        <is>
          <t>Тариф с завтраком</t>
        </is>
      </c>
      <c r="W223" t="n">
        <v>195030</v>
      </c>
      <c r="X223" s="3" t="n">
        <v>1485</v>
      </c>
      <c r="Y223" t="inlineStr">
        <is>
          <t>15%</t>
        </is>
      </c>
      <c r="Z223" t="inlineStr">
        <is>
          <t>2026-07-01</t>
        </is>
      </c>
      <c r="AA223" s="3" t="n">
        <v>97515</v>
      </c>
      <c r="AB223" t="inlineStr">
        <is>
          <t>Сошлось по ночным тарифам</t>
        </is>
      </c>
      <c r="AC223" s="2" t="inlineStr"/>
      <c r="AD223" t="n">
        <v>1485</v>
      </c>
      <c r="AE223" t="n">
        <v>0</v>
      </c>
      <c r="AF223" t="inlineStr">
        <is>
          <t>Скидка добавлена к налоговой базе</t>
        </is>
      </c>
      <c r="AG223" t="n">
        <v>99000</v>
      </c>
      <c r="AH223" t="n">
        <v>97515</v>
      </c>
      <c r="AI223" t="inlineStr">
        <is>
          <t>Полное проживание в выбранном периоде</t>
        </is>
      </c>
    </row>
    <row r="224">
      <c r="A224" t="inlineStr">
        <is>
          <t>20260729-8186-400177380</t>
        </is>
      </c>
      <c r="B224" t="n">
        <v>1</v>
      </c>
      <c r="C224" s="2" t="inlineStr">
        <is>
          <t>ВЯЧЕСЛАВ ТКАЧЕВ, ВЕРА Скворцова</t>
        </is>
      </c>
      <c r="D224" s="3" t="n">
        <v>59400</v>
      </c>
      <c r="E224" s="4" t="n">
        <v>0</v>
      </c>
      <c r="F224" t="inlineStr">
        <is>
          <t>Прямые бронирования (стойка) [Чайковский]</t>
        </is>
      </c>
      <c r="G224" s="3">
        <f>ROUND(D224/(100-E224)*100,2)</f>
        <v/>
      </c>
      <c r="H224" s="3" t="n">
        <v>0</v>
      </c>
      <c r="I224" s="3">
        <f>ROUND(IF(ISNUMBER(AG224),AG224,G224)+H224,2)</f>
        <v/>
      </c>
      <c r="J224" s="2" t="inlineStr">
        <is>
          <t>Завтрак "Шведский стол"</t>
        </is>
      </c>
      <c r="K224" s="5" t="n">
        <v>46232.58333333334</v>
      </c>
      <c r="L224" t="n">
        <v>4</v>
      </c>
      <c r="M224" s="3">
        <f>I224/L224</f>
        <v/>
      </c>
      <c r="N224">
        <f>IF(M224&gt;=5100,"ставка","мин.ставка")</f>
        <v/>
      </c>
      <c r="O224" s="3">
        <f>ROUND(IF(N224="мин.ставка",L224*100,I224/102*2),2)</f>
        <v/>
      </c>
      <c r="P224" s="5" t="n">
        <v>46236.5</v>
      </c>
      <c r="Q224" t="inlineStr">
        <is>
          <t>TravelLine ресепшен</t>
        </is>
      </c>
      <c r="R224" s="2" t="inlineStr">
        <is>
          <t>ПОЛУЛЮКС</t>
        </is>
      </c>
      <c r="S224" t="n">
        <v>11</v>
      </c>
      <c r="T224" t="n">
        <v>1</v>
      </c>
      <c r="U224" t="inlineStr"/>
      <c r="V224" t="inlineStr">
        <is>
          <t>Тариф с завтраком</t>
        </is>
      </c>
      <c r="W224" t="n">
        <v>59400</v>
      </c>
      <c r="X224" s="3" t="n">
        <v>6600</v>
      </c>
      <c r="Y224" t="inlineStr">
        <is>
          <t>10%</t>
        </is>
      </c>
      <c r="Z224" t="inlineStr">
        <is>
          <t>2026-07-29, 2026-07-30, 2026-07-31, 2026-08-01</t>
        </is>
      </c>
      <c r="AA224" s="3" t="n">
        <v>59400</v>
      </c>
      <c r="AB224" t="inlineStr">
        <is>
          <t>Сошлось по ночным тарифам</t>
        </is>
      </c>
      <c r="AC224" s="2" t="inlineStr"/>
      <c r="AD224" t="n">
        <v>6600</v>
      </c>
      <c r="AE224" t="n">
        <v>0</v>
      </c>
      <c r="AF224" t="inlineStr">
        <is>
          <t>Скидка добавлена к налоговой базе</t>
        </is>
      </c>
      <c r="AG224" t="n">
        <v>66000</v>
      </c>
      <c r="AH224" t="n">
        <v>59400</v>
      </c>
      <c r="AI224" t="inlineStr">
        <is>
          <t>Полное проживание в выбранном периоде</t>
        </is>
      </c>
    </row>
    <row r="225">
      <c r="A225" t="inlineStr">
        <is>
          <t>20260721-8186-426049066</t>
        </is>
      </c>
      <c r="B225" t="n">
        <v>1</v>
      </c>
      <c r="C225" s="2" t="inlineStr">
        <is>
          <t>Галина Лещева</t>
        </is>
      </c>
      <c r="D225" s="3" t="n">
        <v>20368</v>
      </c>
      <c r="E225" s="4" t="n">
        <v>18</v>
      </c>
      <c r="F225" t="inlineStr">
        <is>
          <t>Яндекс.Путешествия [Чайковский]</t>
        </is>
      </c>
      <c r="G225" s="3">
        <f>ROUND(D225/(100-E225)*100,2)</f>
        <v/>
      </c>
      <c r="H225" s="3" t="n">
        <v>0</v>
      </c>
      <c r="I225" s="3">
        <f>ROUND(IF(ISNUMBER(AG225),AG225,G225)+H225,2)</f>
        <v/>
      </c>
      <c r="J225" s="2" t="inlineStr">
        <is>
          <t>Завтрак "Шведский стол"</t>
        </is>
      </c>
      <c r="K225" s="5" t="n">
        <v>46224.58333333334</v>
      </c>
      <c r="L225" t="n">
        <v>2</v>
      </c>
      <c r="M225" s="3">
        <f>I225/L225</f>
        <v/>
      </c>
      <c r="N225">
        <f>IF(M225&gt;=5100,"ставка","мин.ставка")</f>
        <v/>
      </c>
      <c r="O225" s="3">
        <f>ROUND(IF(N225="мин.ставка",L225*100,I225/102*2),2)</f>
        <v/>
      </c>
      <c r="P225" s="5" t="n">
        <v>46226.58333333334</v>
      </c>
      <c r="Q225" t="inlineStr">
        <is>
          <t>TravelLine YAX</t>
        </is>
      </c>
      <c r="R225" s="2" t="inlineStr">
        <is>
          <t>ПОЛУЛЮКС</t>
        </is>
      </c>
      <c r="S225" t="n">
        <v>11</v>
      </c>
      <c r="T225" t="n">
        <v>1</v>
      </c>
      <c r="U225" t="inlineStr"/>
      <c r="V225" t="inlineStr">
        <is>
          <t>Тариф с завтраком</t>
        </is>
      </c>
      <c r="W225" t="n">
        <v>65664</v>
      </c>
      <c r="X225" s="3" t="n">
        <v>1072</v>
      </c>
      <c r="Y225" t="inlineStr">
        <is>
          <t>5%</t>
        </is>
      </c>
      <c r="Z225" t="inlineStr">
        <is>
          <t>2026-07-21, 2026-07-22</t>
        </is>
      </c>
      <c r="AA225" s="3" t="n">
        <v>20368</v>
      </c>
      <c r="AB225" t="inlineStr">
        <is>
          <t>Сошлось по ночным тарифам</t>
        </is>
      </c>
      <c r="AC225" s="2" t="inlineStr"/>
      <c r="AD225" t="n">
        <v>1072</v>
      </c>
      <c r="AE225" t="n">
        <v>0</v>
      </c>
      <c r="AF225" t="inlineStr">
        <is>
          <t>Скидка добавлена к налоговой базе</t>
        </is>
      </c>
      <c r="AG225" t="n">
        <v>21440</v>
      </c>
      <c r="AH225" t="n">
        <v>20368</v>
      </c>
      <c r="AI225" t="inlineStr">
        <is>
          <t>Полное проживание в выбранном периоде</t>
        </is>
      </c>
    </row>
    <row r="226">
      <c r="A226" t="inlineStr">
        <is>
          <t>20260721-8186-426049066</t>
        </is>
      </c>
      <c r="B226" t="n">
        <v>1</v>
      </c>
      <c r="C226" s="2" t="inlineStr">
        <is>
          <t>Галина Лещева</t>
        </is>
      </c>
      <c r="D226" s="3" t="n">
        <v>10184</v>
      </c>
      <c r="E226" s="4" t="n">
        <v>18</v>
      </c>
      <c r="F226" t="inlineStr">
        <is>
          <t>Яндекс.Путешествия [Чайковский]</t>
        </is>
      </c>
      <c r="G226" s="3">
        <f>ROUND(D226/(100-E226)*100,2)</f>
        <v/>
      </c>
      <c r="H226" s="3" t="n">
        <v>0</v>
      </c>
      <c r="I226" s="3">
        <f>ROUND(IF(ISNUMBER(AG226),AG226,G226)+H226,2)</f>
        <v/>
      </c>
      <c r="J226" s="2" t="inlineStr">
        <is>
          <t>Завтрак "Шведский стол"</t>
        </is>
      </c>
      <c r="K226" s="5" t="n">
        <v>46226.58333333334</v>
      </c>
      <c r="L226" t="n">
        <v>1</v>
      </c>
      <c r="M226" s="3">
        <f>I226/L226</f>
        <v/>
      </c>
      <c r="N226">
        <f>IF(M226&gt;=5100,"ставка","мин.ставка")</f>
        <v/>
      </c>
      <c r="O226" s="3">
        <f>ROUND(IF(N226="мин.ставка",L226*100,I226/102*2),2)</f>
        <v/>
      </c>
      <c r="P226" s="5" t="n">
        <v>46227.5</v>
      </c>
      <c r="Q226" t="inlineStr">
        <is>
          <t>TravelLine YAX</t>
        </is>
      </c>
      <c r="R226" s="2" t="inlineStr">
        <is>
          <t>УЛУЧШЕННЫЙ ДВУХМЕСТНЫЙ НОМЕР</t>
        </is>
      </c>
      <c r="S226" t="n">
        <v>21</v>
      </c>
      <c r="T226" t="n">
        <v>1</v>
      </c>
      <c r="U226" t="inlineStr"/>
      <c r="V226" t="inlineStr">
        <is>
          <t>Тариф с завтраком</t>
        </is>
      </c>
      <c r="W226" t="n">
        <v>65664</v>
      </c>
      <c r="X226" s="3" t="n">
        <v>2546</v>
      </c>
      <c r="Y226" t="inlineStr">
        <is>
          <t>20%</t>
        </is>
      </c>
      <c r="Z226" t="inlineStr">
        <is>
          <t>2026-07-23</t>
        </is>
      </c>
      <c r="AA226" s="3" t="n">
        <v>10184</v>
      </c>
      <c r="AB226" t="inlineStr">
        <is>
          <t>Сошлось по ночным тарифам</t>
        </is>
      </c>
      <c r="AC226" s="2" t="inlineStr"/>
      <c r="AD226" t="n">
        <v>2546</v>
      </c>
      <c r="AE226" t="n">
        <v>0</v>
      </c>
      <c r="AF226" t="inlineStr">
        <is>
          <t>Скидка добавлена к налоговой базе</t>
        </is>
      </c>
      <c r="AG226" t="n">
        <v>12730</v>
      </c>
      <c r="AH226" t="n">
        <v>10184</v>
      </c>
      <c r="AI226" t="inlineStr">
        <is>
          <t>Полное проживание в выбранном периоде</t>
        </is>
      </c>
    </row>
    <row r="227">
      <c r="A227" t="inlineStr">
        <is>
          <t>20260820-8186-458200934</t>
        </is>
      </c>
      <c r="B227" t="n">
        <v>1</v>
      </c>
      <c r="C227" s="2" t="inlineStr">
        <is>
          <t>Галуст Шахбазян</t>
        </is>
      </c>
      <c r="D227" s="3" t="n">
        <v>6160</v>
      </c>
      <c r="E227" s="4" t="n">
        <v>20</v>
      </c>
      <c r="F227" t="inlineStr">
        <is>
          <t>ООО "КОМПАНИЯ БРОНЕВИК" [Чайковский]</t>
        </is>
      </c>
      <c r="G227" s="3">
        <f>ROUND(D227/(100-E227)*100,2)</f>
        <v/>
      </c>
      <c r="H227" s="3" t="n">
        <v>0</v>
      </c>
      <c r="I227" s="3">
        <f>ROUND(IF(ISNUMBER(AG227),AG227,G227)+H227,2)</f>
        <v/>
      </c>
      <c r="J227" s="2" t="inlineStr">
        <is>
          <t>Завтрак "Шведский стол"</t>
        </is>
      </c>
      <c r="K227" s="5" t="n">
        <v>46254.58333333334</v>
      </c>
      <c r="L227" t="n">
        <v>1</v>
      </c>
      <c r="M227" s="3">
        <f>I227/L227</f>
        <v/>
      </c>
      <c r="N227">
        <f>IF(M227&gt;=5100,"ставка","мин.ставка")</f>
        <v/>
      </c>
      <c r="O227" s="3">
        <f>ROUND(IF(N227="мин.ставка",L227*100,I227/102*2),2)</f>
        <v/>
      </c>
      <c r="P227" s="5" t="n">
        <v>46255.5</v>
      </c>
      <c r="Q227" t="inlineStr">
        <is>
          <t>TravelLine BR2</t>
        </is>
      </c>
      <c r="R227" s="2" t="inlineStr">
        <is>
          <t>СТАНДАРТНЫЙ ОДНОМЕСТНЫЙ НОМЕР</t>
        </is>
      </c>
      <c r="S227" t="n">
        <v>34</v>
      </c>
      <c r="T227" t="n">
        <v>1</v>
      </c>
      <c r="U227" t="inlineStr"/>
      <c r="V227" t="inlineStr">
        <is>
          <t>Тариф с завтраком</t>
        </is>
      </c>
      <c r="W227" t="n">
        <v>6160</v>
      </c>
      <c r="X227" s="3" t="n">
        <v>0</v>
      </c>
      <c r="Y227" t="inlineStr"/>
      <c r="Z227" t="inlineStr"/>
      <c r="AA227" s="3" t="n">
        <v>6160</v>
      </c>
      <c r="AB227" t="inlineStr">
        <is>
          <t>Сошлось по ночным тарифам</t>
        </is>
      </c>
      <c r="AC227" s="2" t="inlineStr"/>
      <c r="AD227" t="n">
        <v>0</v>
      </c>
      <c r="AE227" t="n">
        <v>0</v>
      </c>
      <c r="AF227" t="inlineStr">
        <is>
          <t>Скидки нет</t>
        </is>
      </c>
      <c r="AG227" t="n">
        <v>6160</v>
      </c>
      <c r="AH227" t="n">
        <v>6160</v>
      </c>
      <c r="AI227" t="inlineStr">
        <is>
          <t>Полное проживание в выбранном периоде</t>
        </is>
      </c>
    </row>
    <row r="228">
      <c r="A228" t="inlineStr">
        <is>
          <t>20260719-8186-450387635</t>
        </is>
      </c>
      <c r="B228" t="n">
        <v>1</v>
      </c>
      <c r="C228" s="2" t="inlineStr">
        <is>
          <t>Гельфида Хасаншина, Гусман Хасаншин</t>
        </is>
      </c>
      <c r="D228" s="3" t="n">
        <v>7920</v>
      </c>
      <c r="E228" s="4" t="n">
        <v>18</v>
      </c>
      <c r="F228" t="inlineStr">
        <is>
          <t>Яндекс.Путешествия [Чайковский]</t>
        </is>
      </c>
      <c r="G228" s="3">
        <f>ROUND(D228/(100-E228)*100,2)</f>
        <v/>
      </c>
      <c r="H228" s="3" t="n">
        <v>0</v>
      </c>
      <c r="I228" s="3">
        <f>ROUND(IF(ISNUMBER(AG228),AG228,G228)+H228,2)</f>
        <v/>
      </c>
      <c r="J228" s="2" t="inlineStr">
        <is>
          <t>Завтрак "Шведский стол"</t>
        </is>
      </c>
      <c r="K228" s="5" t="n">
        <v>46222.58333333334</v>
      </c>
      <c r="L228" t="n">
        <v>1</v>
      </c>
      <c r="M228" s="3">
        <f>I228/L228</f>
        <v/>
      </c>
      <c r="N228">
        <f>IF(M228&gt;=5100,"ставка","мин.ставка")</f>
        <v/>
      </c>
      <c r="O228" s="3">
        <f>ROUND(IF(N228="мин.ставка",L228*100,I228/102*2),2)</f>
        <v/>
      </c>
      <c r="P228" s="5" t="n">
        <v>46223.5</v>
      </c>
      <c r="Q228" t="inlineStr">
        <is>
          <t>TravelLine YAX</t>
        </is>
      </c>
      <c r="R228" s="2" t="inlineStr">
        <is>
          <t>СТАНДАРТНЫЙ ДВУХМЕСТНЫЙ НОМЕР (МАНСАРДА)</t>
        </is>
      </c>
      <c r="S228" t="n">
        <v>43</v>
      </c>
      <c r="T228" t="n">
        <v>1</v>
      </c>
      <c r="U228" t="inlineStr"/>
      <c r="V228" t="inlineStr">
        <is>
          <t>Тариф с завтраком</t>
        </is>
      </c>
      <c r="W228" t="n">
        <v>7920</v>
      </c>
      <c r="X228" s="3" t="n">
        <v>1980</v>
      </c>
      <c r="Y228" t="inlineStr">
        <is>
          <t>20%</t>
        </is>
      </c>
      <c r="Z228" t="inlineStr">
        <is>
          <t>2026-07-19</t>
        </is>
      </c>
      <c r="AA228" s="3" t="n">
        <v>7920</v>
      </c>
      <c r="AB228" t="inlineStr">
        <is>
          <t>Сошлось по ночным тарифам</t>
        </is>
      </c>
      <c r="AC228" s="2" t="inlineStr"/>
      <c r="AD228" t="n">
        <v>1980</v>
      </c>
      <c r="AE228" t="n">
        <v>0</v>
      </c>
      <c r="AF228" t="inlineStr">
        <is>
          <t>Скидка добавлена к налоговой базе</t>
        </is>
      </c>
      <c r="AG228" t="n">
        <v>9900</v>
      </c>
      <c r="AH228" t="n">
        <v>7920</v>
      </c>
      <c r="AI228" t="inlineStr">
        <is>
          <t>Полное проживание в выбранном периоде</t>
        </is>
      </c>
    </row>
    <row r="229">
      <c r="A229" t="inlineStr">
        <is>
          <t>20260927-8186-468595858</t>
        </is>
      </c>
      <c r="B229" t="n">
        <v>1</v>
      </c>
      <c r="C229" s="2" t="inlineStr">
        <is>
          <t>ГЛЕБ КРЫЛОВ, ДАРЬЯ КРЫЛОВА</t>
        </is>
      </c>
      <c r="D229" s="3" t="n">
        <v>55440</v>
      </c>
      <c r="E229" s="4" t="n">
        <v>16</v>
      </c>
      <c r="F229" t="inlineStr">
        <is>
          <t>ООО "БРОНИРОВАНИЕ ГОСТИНИЦ" (OSTROVOK) [Чайковский]</t>
        </is>
      </c>
      <c r="G229" s="3">
        <f>ROUND(D229/(100-E229)*100,2)</f>
        <v/>
      </c>
      <c r="H229" s="3" t="n">
        <v>0</v>
      </c>
      <c r="I229" s="3">
        <f>ROUND(IF(ISNUMBER(AG229),AG229,G229)+H229,2)</f>
        <v/>
      </c>
      <c r="J229" s="2" t="inlineStr">
        <is>
          <t>Завтрак "Шведский стол"</t>
        </is>
      </c>
      <c r="K229" s="5" t="n">
        <v>46292.58333333334</v>
      </c>
      <c r="L229" t="n">
        <v>4</v>
      </c>
      <c r="M229" s="3">
        <f>I229/L229</f>
        <v/>
      </c>
      <c r="N229">
        <f>IF(M229&gt;=5100,"ставка","мин.ставка")</f>
        <v/>
      </c>
      <c r="O229" s="3">
        <f>ROUND(IF(N229="мин.ставка",L229*100,I229/102*2),2)</f>
        <v/>
      </c>
      <c r="P229" s="5" t="n">
        <v>46296.5</v>
      </c>
      <c r="Q229" t="inlineStr">
        <is>
          <t>TravelLine OTK</t>
        </is>
      </c>
      <c r="R229" s="2" t="inlineStr">
        <is>
          <t>ПОЛУЛЮКС</t>
        </is>
      </c>
      <c r="S229" t="n">
        <v>11</v>
      </c>
      <c r="T229" t="n">
        <v>1</v>
      </c>
      <c r="U229" t="inlineStr"/>
      <c r="V229" t="inlineStr">
        <is>
          <t>Тариф с завтраком</t>
        </is>
      </c>
      <c r="W229" t="n">
        <v>55440</v>
      </c>
      <c r="X229" s="3" t="n">
        <v>10560</v>
      </c>
      <c r="Y229" t="inlineStr">
        <is>
          <t>16%</t>
        </is>
      </c>
      <c r="Z229" t="inlineStr">
        <is>
          <t>2026-09-27, 2026-09-28, 2026-09-29, 2026-09-30</t>
        </is>
      </c>
      <c r="AA229" s="3" t="n">
        <v>55440</v>
      </c>
      <c r="AB229" t="inlineStr">
        <is>
          <t>Сошлось по ночным тарифам</t>
        </is>
      </c>
      <c r="AC229" s="2" t="inlineStr"/>
      <c r="AD229" t="n">
        <v>10560</v>
      </c>
      <c r="AE229" t="n">
        <v>0</v>
      </c>
      <c r="AF229" t="inlineStr">
        <is>
          <t>Скидка добавлена к налоговой базе</t>
        </is>
      </c>
      <c r="AG229" t="n">
        <v>66000</v>
      </c>
      <c r="AH229" t="n">
        <v>55440</v>
      </c>
      <c r="AI229" t="inlineStr">
        <is>
          <t>Полное проживание в выбранном периоде</t>
        </is>
      </c>
    </row>
    <row r="230">
      <c r="A230" t="inlineStr">
        <is>
          <t>20260811-8186-457781287</t>
        </is>
      </c>
      <c r="B230" t="n">
        <v>1</v>
      </c>
      <c r="C230" s="2" t="inlineStr">
        <is>
          <t>ГЛЕБ УХАНОВ</t>
        </is>
      </c>
      <c r="D230" s="3" t="n">
        <v>12035</v>
      </c>
      <c r="E230" s="4" t="n">
        <v>0</v>
      </c>
      <c r="F230" t="inlineStr">
        <is>
          <t>Прямые бронирования (стойка) [Чайковский]</t>
        </is>
      </c>
      <c r="G230" s="3">
        <f>ROUND(D230/(100-E230)*100,2)</f>
        <v/>
      </c>
      <c r="H230" s="3" t="n">
        <v>0</v>
      </c>
      <c r="I230" s="3">
        <f>ROUND(IF(ISNUMBER(AG230),AG230,G230)+H230,2)</f>
        <v/>
      </c>
      <c r="J230" s="2" t="inlineStr">
        <is>
          <t>Завтрак "Шведский стол"</t>
        </is>
      </c>
      <c r="K230" s="5" t="n">
        <v>46245.58333333334</v>
      </c>
      <c r="L230" t="n">
        <v>1</v>
      </c>
      <c r="M230" s="3">
        <f>I230/L230</f>
        <v/>
      </c>
      <c r="N230">
        <f>IF(M230&gt;=5100,"ставка","мин.ставка")</f>
        <v/>
      </c>
      <c r="O230" s="3">
        <f>ROUND(IF(N230="мин.ставка",L230*100,I230/102*2),2)</f>
        <v/>
      </c>
      <c r="P230" s="5" t="n">
        <v>46246.5</v>
      </c>
      <c r="Q230" t="inlineStr">
        <is>
          <t>TravelLine CMB</t>
        </is>
      </c>
      <c r="R230" s="2" t="inlineStr">
        <is>
          <t>ПОЛУЛЮКС</t>
        </is>
      </c>
      <c r="S230" t="n">
        <v>25</v>
      </c>
      <c r="T230" t="n">
        <v>1</v>
      </c>
      <c r="U230" t="inlineStr"/>
      <c r="V230" t="inlineStr">
        <is>
          <t>Тариф с завтраком</t>
        </is>
      </c>
      <c r="W230" t="n">
        <v>12035</v>
      </c>
      <c r="X230" s="3" t="n">
        <v>2465</v>
      </c>
      <c r="Y230" t="inlineStr">
        <is>
          <t>17%</t>
        </is>
      </c>
      <c r="Z230" t="inlineStr">
        <is>
          <t>2026-08-11</t>
        </is>
      </c>
      <c r="AA230" s="3" t="n">
        <v>12035</v>
      </c>
      <c r="AB230" t="inlineStr">
        <is>
          <t>Сошлось по ночным тарифам</t>
        </is>
      </c>
      <c r="AC230" s="2" t="inlineStr"/>
      <c r="AD230" t="n">
        <v>2465</v>
      </c>
      <c r="AE230" t="n">
        <v>0</v>
      </c>
      <c r="AF230" t="inlineStr">
        <is>
          <t>Скидка добавлена к налоговой базе</t>
        </is>
      </c>
      <c r="AG230" t="n">
        <v>14500</v>
      </c>
      <c r="AH230" t="n">
        <v>12035</v>
      </c>
      <c r="AI230" t="inlineStr">
        <is>
          <t>Полное проживание в выбранном периоде</t>
        </is>
      </c>
    </row>
    <row r="231">
      <c r="A231" t="inlineStr">
        <is>
          <t>20260809-8186-447790512</t>
        </is>
      </c>
      <c r="B231" t="n">
        <v>1</v>
      </c>
      <c r="C231" s="2" t="inlineStr">
        <is>
          <t>Гульнара Булавлёва, Антон Булавлёв</t>
        </is>
      </c>
      <c r="D231" s="3" t="n">
        <v>22695</v>
      </c>
      <c r="E231" s="4" t="n">
        <v>15</v>
      </c>
      <c r="F231" t="inlineStr">
        <is>
          <t>ООО Тинькофф Путешествия [Чайковский]</t>
        </is>
      </c>
      <c r="G231" s="3">
        <f>ROUND(D231/(100-E231)*100,2)</f>
        <v/>
      </c>
      <c r="H231" s="3" t="n">
        <v>0</v>
      </c>
      <c r="I231" s="3">
        <f>ROUND(IF(ISNUMBER(AG231),AG231,G231)+H231,2)</f>
        <v/>
      </c>
      <c r="J231" s="2" t="inlineStr">
        <is>
          <t>Завтрак "Шведский стол"</t>
        </is>
      </c>
      <c r="K231" s="5" t="n">
        <v>46243.58333333334</v>
      </c>
      <c r="L231" t="n">
        <v>2</v>
      </c>
      <c r="M231" s="3">
        <f>I231/L231</f>
        <v/>
      </c>
      <c r="N231">
        <f>IF(M231&gt;=5100,"ставка","мин.ставка")</f>
        <v/>
      </c>
      <c r="O231" s="3">
        <f>ROUND(IF(N231="мин.ставка",L231*100,I231/102*2),2)</f>
        <v/>
      </c>
      <c r="P231" s="5" t="n">
        <v>46245.5</v>
      </c>
      <c r="Q231" t="inlineStr">
        <is>
          <t>TravelLine TNK</t>
        </is>
      </c>
      <c r="R231" s="2" t="inlineStr">
        <is>
          <t>СТАНДАРТНЫЙ ДВУХМЕСТНЫЙ НОМЕР</t>
        </is>
      </c>
      <c r="S231" t="n">
        <v>22</v>
      </c>
      <c r="T231" t="n">
        <v>1</v>
      </c>
      <c r="U231" t="inlineStr"/>
      <c r="V231" t="inlineStr">
        <is>
          <t>Тариф с завтраком</t>
        </is>
      </c>
      <c r="W231" t="n">
        <v>22695</v>
      </c>
      <c r="X231" s="3" t="n">
        <v>4005</v>
      </c>
      <c r="Y231" t="inlineStr">
        <is>
          <t>15%</t>
        </is>
      </c>
      <c r="Z231" t="inlineStr">
        <is>
          <t>2026-08-09, 2026-08-10</t>
        </is>
      </c>
      <c r="AA231" s="3" t="n">
        <v>22695</v>
      </c>
      <c r="AB231" t="inlineStr">
        <is>
          <t>Сошлось по ночным тарифам</t>
        </is>
      </c>
      <c r="AC231" s="2" t="inlineStr"/>
      <c r="AD231" t="n">
        <v>4005</v>
      </c>
      <c r="AE231" t="n">
        <v>0</v>
      </c>
      <c r="AF231" t="inlineStr">
        <is>
          <t>Скидка добавлена к налоговой базе</t>
        </is>
      </c>
      <c r="AG231" t="n">
        <v>26700</v>
      </c>
      <c r="AH231" t="n">
        <v>22695</v>
      </c>
      <c r="AI231" t="inlineStr">
        <is>
          <t>Полное проживание в выбранном периоде</t>
        </is>
      </c>
    </row>
    <row r="232">
      <c r="A232" t="inlineStr">
        <is>
          <t>20260726-8186-453190843</t>
        </is>
      </c>
      <c r="B232" t="n">
        <v>1</v>
      </c>
      <c r="C232" s="2" t="inlineStr">
        <is>
          <t>Дамир Мерсаитов, Алиса Левина</t>
        </is>
      </c>
      <c r="D232" s="3" t="n">
        <v>9265</v>
      </c>
      <c r="E232" s="4" t="n">
        <v>15</v>
      </c>
      <c r="F232" t="inlineStr">
        <is>
          <t>ООО "БРОНИРОВАНИЕ ГОСТИНИЦ" (OSTROVOK) [Чайковский]</t>
        </is>
      </c>
      <c r="G232" s="3">
        <f>ROUND(D232/(100-E232)*100,2)</f>
        <v/>
      </c>
      <c r="H232" s="3" t="n">
        <v>0</v>
      </c>
      <c r="I232" s="3">
        <f>ROUND(IF(ISNUMBER(AG232),AG232,G232)+H232,2)</f>
        <v/>
      </c>
      <c r="J232" s="2" t="inlineStr">
        <is>
          <t>Завтрак "Шведский стол"</t>
        </is>
      </c>
      <c r="K232" s="5" t="n">
        <v>46229.58333333334</v>
      </c>
      <c r="L232" t="n">
        <v>1</v>
      </c>
      <c r="M232" s="3">
        <f>I232/L232</f>
        <v/>
      </c>
      <c r="N232">
        <f>IF(M232&gt;=5100,"ставка","мин.ставка")</f>
        <v/>
      </c>
      <c r="O232" s="3">
        <f>ROUND(IF(N232="мин.ставка",L232*100,I232/102*2),2)</f>
        <v/>
      </c>
      <c r="P232" s="5" t="n">
        <v>46230.5</v>
      </c>
      <c r="Q232" t="inlineStr">
        <is>
          <t>TravelLine OTK</t>
        </is>
      </c>
      <c r="R232" s="2" t="inlineStr">
        <is>
          <t>СТАНДАРТНЫЙ ДВУХМЕСТНЫЙ НОМЕР</t>
        </is>
      </c>
      <c r="S232" t="n">
        <v>22</v>
      </c>
      <c r="T232" t="n">
        <v>1</v>
      </c>
      <c r="U232" t="inlineStr"/>
      <c r="V232" t="inlineStr">
        <is>
          <t>Тариф с завтраком</t>
        </is>
      </c>
      <c r="W232" t="n">
        <v>9265</v>
      </c>
      <c r="X232" s="3" t="n">
        <v>1635</v>
      </c>
      <c r="Y232" t="inlineStr">
        <is>
          <t>15%</t>
        </is>
      </c>
      <c r="Z232" t="inlineStr">
        <is>
          <t>2026-07-26</t>
        </is>
      </c>
      <c r="AA232" s="3" t="n">
        <v>9265</v>
      </c>
      <c r="AB232" t="inlineStr">
        <is>
          <t>Сошлось по ночным тарифам</t>
        </is>
      </c>
      <c r="AC232" s="2" t="inlineStr"/>
      <c r="AD232" t="n">
        <v>1635</v>
      </c>
      <c r="AE232" t="n">
        <v>0</v>
      </c>
      <c r="AF232" t="inlineStr">
        <is>
          <t>Скидка добавлена к налоговой базе</t>
        </is>
      </c>
      <c r="AG232" t="n">
        <v>10900</v>
      </c>
      <c r="AH232" t="n">
        <v>9265</v>
      </c>
      <c r="AI232" t="inlineStr">
        <is>
          <t>Полное проживание в выбранном периоде</t>
        </is>
      </c>
    </row>
    <row r="233">
      <c r="A233" t="inlineStr">
        <is>
          <t>20260826-8186-461708579</t>
        </is>
      </c>
      <c r="B233" t="n">
        <v>1</v>
      </c>
      <c r="C233" s="2" t="inlineStr">
        <is>
          <t>ДАНИИЛ КАПЛАН</t>
        </is>
      </c>
      <c r="D233" s="3" t="n">
        <v>9080</v>
      </c>
      <c r="E233" s="4" t="n">
        <v>20</v>
      </c>
      <c r="F233" t="inlineStr">
        <is>
          <t>ООО "ХБ-ПРО" [Чайковский]</t>
        </is>
      </c>
      <c r="G233" s="3">
        <f>ROUND(D233/(100-E233)*100,2)</f>
        <v/>
      </c>
      <c r="H233" s="3" t="n">
        <v>0</v>
      </c>
      <c r="I233" s="3">
        <f>ROUND(IF(ISNUMBER(AG233),AG233,G233)+H233,2)</f>
        <v/>
      </c>
      <c r="J233" s="2" t="inlineStr">
        <is>
          <t>Завтрак "Шведский стол"</t>
        </is>
      </c>
      <c r="K233" s="5" t="n">
        <v>46260.58333333334</v>
      </c>
      <c r="L233" t="n">
        <v>1</v>
      </c>
      <c r="M233" s="3">
        <f>I233/L233</f>
        <v/>
      </c>
      <c r="N233">
        <f>IF(M233&gt;=5100,"ставка","мин.ставка")</f>
        <v/>
      </c>
      <c r="O233" s="3">
        <f>ROUND(IF(N233="мин.ставка",L233*100,I233/102*2),2)</f>
        <v/>
      </c>
      <c r="P233" s="5" t="n">
        <v>46261.5</v>
      </c>
      <c r="Q233" t="inlineStr">
        <is>
          <t>TravelLine UTS</t>
        </is>
      </c>
      <c r="R233" s="2" t="inlineStr">
        <is>
          <t>ПОЛУЛЮКС</t>
        </is>
      </c>
      <c r="S233" t="n">
        <v>11</v>
      </c>
      <c r="T233" t="n">
        <v>1</v>
      </c>
      <c r="U233" t="inlineStr"/>
      <c r="V233" t="inlineStr">
        <is>
          <t>Тариф с завтраком</t>
        </is>
      </c>
      <c r="W233" t="n">
        <v>9080</v>
      </c>
      <c r="X233" s="3" t="n">
        <v>0</v>
      </c>
      <c r="Y233" t="inlineStr"/>
      <c r="Z233" t="inlineStr"/>
      <c r="AA233" s="3" t="n">
        <v>9080</v>
      </c>
      <c r="AB233" t="inlineStr">
        <is>
          <t>Сошлось по ночным тарифам</t>
        </is>
      </c>
      <c r="AC233" s="2" t="inlineStr"/>
      <c r="AD233" t="n">
        <v>0</v>
      </c>
      <c r="AE233" t="n">
        <v>0</v>
      </c>
      <c r="AF233" t="inlineStr">
        <is>
          <t>Скидки нет</t>
        </is>
      </c>
      <c r="AG233" t="n">
        <v>9080</v>
      </c>
      <c r="AH233" t="n">
        <v>9080</v>
      </c>
      <c r="AI233" t="inlineStr">
        <is>
          <t>Полное проживание в выбранном периоде</t>
        </is>
      </c>
    </row>
    <row r="234">
      <c r="A234" t="inlineStr">
        <is>
          <t>20260902-8186-455809317</t>
        </is>
      </c>
      <c r="B234" t="n">
        <v>1</v>
      </c>
      <c r="C234" s="2" t="inlineStr">
        <is>
          <t>ДАНИИЛ НИКОЛАЕВ</t>
        </is>
      </c>
      <c r="D234" s="3" t="n">
        <v>18160</v>
      </c>
      <c r="E234" s="4" t="n">
        <v>20</v>
      </c>
      <c r="F234" t="inlineStr">
        <is>
          <t>ООО "ХБ-ПРО" [Чайковский]</t>
        </is>
      </c>
      <c r="G234" s="3">
        <f>ROUND(D234/(100-E234)*100,2)</f>
        <v/>
      </c>
      <c r="H234" s="3" t="n">
        <v>0</v>
      </c>
      <c r="I234" s="3">
        <f>ROUND(IF(ISNUMBER(AG234),AG234,G234)+H234,2)</f>
        <v/>
      </c>
      <c r="J234" s="2" t="inlineStr">
        <is>
          <t>Завтрак "Шведский стол"</t>
        </is>
      </c>
      <c r="K234" s="5" t="n">
        <v>46267.58333333334</v>
      </c>
      <c r="L234" t="n">
        <v>2</v>
      </c>
      <c r="M234" s="3">
        <f>I234/L234</f>
        <v/>
      </c>
      <c r="N234">
        <f>IF(M234&gt;=5100,"ставка","мин.ставка")</f>
        <v/>
      </c>
      <c r="O234" s="3">
        <f>ROUND(IF(N234="мин.ставка",L234*100,I234/102*2),2)</f>
        <v/>
      </c>
      <c r="P234" s="5" t="n">
        <v>46269.5</v>
      </c>
      <c r="Q234" t="inlineStr">
        <is>
          <t>TravelLine UTS</t>
        </is>
      </c>
      <c r="R234" s="2" t="inlineStr">
        <is>
          <t>СТАНДАРТНЫЙ ДВУХМЕСТНЫЙ НОМЕР</t>
        </is>
      </c>
      <c r="S234" t="n">
        <v>32</v>
      </c>
      <c r="T234" t="n">
        <v>1</v>
      </c>
      <c r="U234" t="inlineStr"/>
      <c r="V234" t="inlineStr">
        <is>
          <t>Тариф с завтраком</t>
        </is>
      </c>
      <c r="W234" t="n">
        <v>18160</v>
      </c>
      <c r="X234" s="3" t="n">
        <v>0</v>
      </c>
      <c r="Y234" t="inlineStr"/>
      <c r="Z234" t="inlineStr"/>
      <c r="AA234" s="3" t="n">
        <v>18160</v>
      </c>
      <c r="AB234" t="inlineStr">
        <is>
          <t>Сошлось по ночным тарифам</t>
        </is>
      </c>
      <c r="AC234" s="2" t="inlineStr"/>
      <c r="AD234" t="n">
        <v>0</v>
      </c>
      <c r="AE234" t="n">
        <v>0</v>
      </c>
      <c r="AF234" t="inlineStr">
        <is>
          <t>Скидки нет</t>
        </is>
      </c>
      <c r="AG234" t="n">
        <v>18160</v>
      </c>
      <c r="AH234" t="n">
        <v>18160</v>
      </c>
      <c r="AI234" t="inlineStr">
        <is>
          <t>Полное проживание в выбранном периоде</t>
        </is>
      </c>
    </row>
    <row r="235">
      <c r="A235" t="inlineStr">
        <is>
          <t>20260831-8186-462238401</t>
        </is>
      </c>
      <c r="B235" t="n">
        <v>1</v>
      </c>
      <c r="C235" s="2" t="inlineStr">
        <is>
          <t>Даниил Чугунов</t>
        </is>
      </c>
      <c r="D235" s="3" t="n">
        <v>5687.99</v>
      </c>
      <c r="E235" s="4" t="n">
        <v>17</v>
      </c>
      <c r="F235" t="inlineStr">
        <is>
          <t>ООО «Интернет Трэвел» (OZON) [Чайковский]</t>
        </is>
      </c>
      <c r="G235" s="3">
        <f>ROUND(D235/(100-E235)*100,2)</f>
        <v/>
      </c>
      <c r="H235" s="3" t="n">
        <v>0</v>
      </c>
      <c r="I235" s="3">
        <f>ROUND(IF(ISNUMBER(AG235),AG235,G235)+H235,2)</f>
        <v/>
      </c>
      <c r="J235" s="2" t="inlineStr">
        <is>
          <t>Завтрак "Шведский стол"</t>
        </is>
      </c>
      <c r="K235" s="5" t="n">
        <v>46265.58333333334</v>
      </c>
      <c r="L235" t="n">
        <v>1</v>
      </c>
      <c r="M235" s="3">
        <f>I235/L235</f>
        <v/>
      </c>
      <c r="N235">
        <f>IF(M235&gt;=5100,"ставка","мин.ставка")</f>
        <v/>
      </c>
      <c r="O235" s="3">
        <f>ROUND(IF(N235="мин.ставка",L235*100,I235/102*2),2)</f>
        <v/>
      </c>
      <c r="P235" s="5" t="n">
        <v>46266.5</v>
      </c>
      <c r="Q235" t="inlineStr">
        <is>
          <t>TravelLine OZ2</t>
        </is>
      </c>
      <c r="R235" s="2" t="inlineStr">
        <is>
          <t>СТАНДАРТНЫЙ ДВУХМЕСТНЫЙ НОМЕР</t>
        </is>
      </c>
      <c r="S235" t="n">
        <v>36</v>
      </c>
      <c r="T235" t="n">
        <v>1</v>
      </c>
      <c r="U235" t="inlineStr"/>
      <c r="V235" t="inlineStr">
        <is>
          <t>Тариф с завтраком</t>
        </is>
      </c>
      <c r="W235" t="n">
        <v>5687.99</v>
      </c>
      <c r="X235" s="3" t="n">
        <v>1165.01</v>
      </c>
      <c r="Y235" t="inlineStr">
        <is>
          <t>17%</t>
        </is>
      </c>
      <c r="Z235" t="inlineStr">
        <is>
          <t>2026-08-31</t>
        </is>
      </c>
      <c r="AA235" s="3" t="n">
        <v>5687.99</v>
      </c>
      <c r="AB235" t="inlineStr">
        <is>
          <t>Сошлось по ночным тарифам</t>
        </is>
      </c>
      <c r="AC235" s="2" t="inlineStr"/>
      <c r="AD235" t="n">
        <v>1165.01</v>
      </c>
      <c r="AE235" t="n">
        <v>0</v>
      </c>
      <c r="AF235" t="inlineStr">
        <is>
          <t>Скидка добавлена к налоговой базе</t>
        </is>
      </c>
      <c r="AG235" t="n">
        <v>6853</v>
      </c>
      <c r="AH235" t="n">
        <v>5687.99</v>
      </c>
      <c r="AI235" t="inlineStr">
        <is>
          <t>Полное проживание в выбранном периоде</t>
        </is>
      </c>
    </row>
    <row r="236">
      <c r="A236" t="inlineStr">
        <is>
          <t>20260818-8186-458712643</t>
        </is>
      </c>
      <c r="B236" t="n">
        <v>1</v>
      </c>
      <c r="C236" s="2" t="inlineStr">
        <is>
          <t>Дарья Адамович</t>
        </is>
      </c>
      <c r="D236" s="3" t="n">
        <v>11020</v>
      </c>
      <c r="E236" s="4" t="n">
        <v>18</v>
      </c>
      <c r="F236" t="inlineStr">
        <is>
          <t>Яндекс.Путешествия [Чайковский]</t>
        </is>
      </c>
      <c r="G236" s="3">
        <f>ROUND(D236/(100-E236)*100,2)</f>
        <v/>
      </c>
      <c r="H236" s="3" t="n">
        <v>0</v>
      </c>
      <c r="I236" s="3">
        <f>ROUND(IF(ISNUMBER(AG236),AG236,G236)+H236,2)</f>
        <v/>
      </c>
      <c r="J236" s="2" t="inlineStr">
        <is>
          <t>Завтрак "Шведский стол"</t>
        </is>
      </c>
      <c r="K236" s="5" t="n">
        <v>46252.58333333334</v>
      </c>
      <c r="L236" t="n">
        <v>1</v>
      </c>
      <c r="M236" s="3">
        <f>I236/L236</f>
        <v/>
      </c>
      <c r="N236">
        <f>IF(M236&gt;=5100,"ставка","мин.ставка")</f>
        <v/>
      </c>
      <c r="O236" s="3">
        <f>ROUND(IF(N236="мин.ставка",L236*100,I236/102*2),2)</f>
        <v/>
      </c>
      <c r="P236" s="5" t="n">
        <v>46253.5</v>
      </c>
      <c r="Q236" t="inlineStr">
        <is>
          <t>TravelLine YAX</t>
        </is>
      </c>
      <c r="R236" s="2" t="inlineStr">
        <is>
          <t>ПОЛУЛЮКС</t>
        </is>
      </c>
      <c r="S236" t="n">
        <v>25</v>
      </c>
      <c r="T236" t="n">
        <v>1</v>
      </c>
      <c r="U236" t="inlineStr"/>
      <c r="V236" t="inlineStr">
        <is>
          <t>Тариф с завтраком</t>
        </is>
      </c>
      <c r="W236" t="n">
        <v>11020</v>
      </c>
      <c r="X236" s="3" t="n">
        <v>2755</v>
      </c>
      <c r="Y236" t="inlineStr">
        <is>
          <t>20%</t>
        </is>
      </c>
      <c r="Z236" t="inlineStr">
        <is>
          <t>2026-08-18</t>
        </is>
      </c>
      <c r="AA236" s="3" t="n">
        <v>11020</v>
      </c>
      <c r="AB236" t="inlineStr">
        <is>
          <t>Сошлось по ночным тарифам</t>
        </is>
      </c>
      <c r="AC236" s="2" t="inlineStr"/>
      <c r="AD236" t="n">
        <v>2755</v>
      </c>
      <c r="AE236" t="n">
        <v>0</v>
      </c>
      <c r="AF236" t="inlineStr">
        <is>
          <t>Скидка добавлена к налоговой базе</t>
        </is>
      </c>
      <c r="AG236" t="n">
        <v>13775</v>
      </c>
      <c r="AH236" t="n">
        <v>11020</v>
      </c>
      <c r="AI236" t="inlineStr">
        <is>
          <t>Полное проживание в выбранном периоде</t>
        </is>
      </c>
    </row>
    <row r="237">
      <c r="A237" t="inlineStr">
        <is>
          <t>20260910-8186-427551341</t>
        </is>
      </c>
      <c r="B237" t="n">
        <v>1</v>
      </c>
      <c r="C237" s="2" t="inlineStr">
        <is>
          <t>Дарья Гордеева, Дина Щербакова</t>
        </is>
      </c>
      <c r="D237" s="3" t="n">
        <v>36045</v>
      </c>
      <c r="E237" s="4" t="n">
        <v>0</v>
      </c>
      <c r="F237" t="inlineStr">
        <is>
          <t>Прямые бронирования (стойка) [Чайковский]</t>
        </is>
      </c>
      <c r="G237" s="3">
        <f>ROUND(D237/(100-E237)*100,2)</f>
        <v/>
      </c>
      <c r="H237" s="3" t="n">
        <v>0</v>
      </c>
      <c r="I237" s="3">
        <f>ROUND(IF(ISNUMBER(AG237),AG237,G237)+H237,2)</f>
        <v/>
      </c>
      <c r="J237" s="2" t="inlineStr">
        <is>
          <t>Завтрак "Шведский стол"</t>
        </is>
      </c>
      <c r="K237" s="5" t="n">
        <v>46275.58333333334</v>
      </c>
      <c r="L237" t="n">
        <v>3</v>
      </c>
      <c r="M237" s="3">
        <f>I237/L237</f>
        <v/>
      </c>
      <c r="N237">
        <f>IF(M237&gt;=5100,"ставка","мин.ставка")</f>
        <v/>
      </c>
      <c r="O237" s="3">
        <f>ROUND(IF(N237="мин.ставка",L237*100,I237/102*2),2)</f>
        <v/>
      </c>
      <c r="P237" s="5" t="n">
        <v>46278.5</v>
      </c>
      <c r="Q237" t="inlineStr">
        <is>
          <t>TravelLine ресепшен</t>
        </is>
      </c>
      <c r="R237" s="2" t="inlineStr">
        <is>
          <t>СТАНДАРТНЫЙ ДВУХМЕСТНЫЙ НОМЕР</t>
        </is>
      </c>
      <c r="S237" t="n">
        <v>26</v>
      </c>
      <c r="T237" t="n">
        <v>1</v>
      </c>
      <c r="U237" t="inlineStr"/>
      <c r="V237" t="inlineStr">
        <is>
          <t>Тариф с завтраком</t>
        </is>
      </c>
      <c r="W237" t="n">
        <v>216270</v>
      </c>
      <c r="X237" s="3" t="n">
        <v>4005</v>
      </c>
      <c r="Y237" t="inlineStr">
        <is>
          <t>10%</t>
        </is>
      </c>
      <c r="Z237" t="inlineStr">
        <is>
          <t>2026-09-10, 2026-09-11, 2026-09-12</t>
        </is>
      </c>
      <c r="AA237" s="3" t="n">
        <v>36045</v>
      </c>
      <c r="AB237" t="inlineStr">
        <is>
          <t>Сошлось по ночным тарифам</t>
        </is>
      </c>
      <c r="AC237" s="2" t="inlineStr"/>
      <c r="AD237" t="n">
        <v>4005</v>
      </c>
      <c r="AE237" t="n">
        <v>0</v>
      </c>
      <c r="AF237" t="inlineStr">
        <is>
          <t>Скидка добавлена к налоговой базе</t>
        </is>
      </c>
      <c r="AG237" t="n">
        <v>40050</v>
      </c>
      <c r="AH237" t="n">
        <v>36045</v>
      </c>
      <c r="AI237" t="inlineStr">
        <is>
          <t>Полное проживание в выбранном периоде</t>
        </is>
      </c>
    </row>
    <row r="238">
      <c r="A238" t="inlineStr">
        <is>
          <t>20260930-8186-461353021</t>
        </is>
      </c>
      <c r="B238" t="n">
        <v>1</v>
      </c>
      <c r="C238" s="2" t="inlineStr">
        <is>
          <t>ДАРЬЯ ДЕМЧЕНКО</t>
        </is>
      </c>
      <c r="D238" s="3" t="n">
        <v>12264</v>
      </c>
      <c r="E238" s="4" t="n">
        <v>16</v>
      </c>
      <c r="F238" t="inlineStr">
        <is>
          <t>ООО "БРОНИРОВАНИЕ ГОСТИНИЦ" (OSTROVOK) [Чайковский]</t>
        </is>
      </c>
      <c r="G238" s="3">
        <f>ROUND(D238/(100-E238)*100,2)</f>
        <v/>
      </c>
      <c r="H238" s="3" t="n">
        <v>0</v>
      </c>
      <c r="I238" s="3">
        <f>ROUND(IF(ISNUMBER(AG238),AG238,G238)+H238,2)</f>
        <v/>
      </c>
      <c r="J238" s="2" t="inlineStr"/>
      <c r="K238" s="5" t="n">
        <v>46295.58333333334</v>
      </c>
      <c r="L238" t="n">
        <v>1</v>
      </c>
      <c r="M238" s="3">
        <f>I238/L238</f>
        <v/>
      </c>
      <c r="N238">
        <f>IF(M238&gt;=5100,"ставка","мин.ставка")</f>
        <v/>
      </c>
      <c r="O238" s="3">
        <f>ROUND(IF(N238="мин.ставка",L238*100,I238/102*2),2)</f>
        <v/>
      </c>
      <c r="P238" s="5" t="n">
        <v>46297.5</v>
      </c>
      <c r="Q238" t="inlineStr">
        <is>
          <t>TravelLine OTK</t>
        </is>
      </c>
      <c r="R238" s="2" t="inlineStr">
        <is>
          <t>СТАНДАРТНЫЙ ОДНОМЕСТНЫЙ НОМЕР</t>
        </is>
      </c>
      <c r="S238" t="n">
        <v>24</v>
      </c>
      <c r="T238" t="n">
        <v>1</v>
      </c>
      <c r="U238" t="inlineStr"/>
      <c r="V238" t="inlineStr">
        <is>
          <t>Тариф с завтраком</t>
        </is>
      </c>
      <c r="W238" t="n">
        <v>12264</v>
      </c>
      <c r="X238" s="3" t="n">
        <v>2336</v>
      </c>
      <c r="Y238" t="inlineStr">
        <is>
          <t>16%</t>
        </is>
      </c>
      <c r="Z238" t="inlineStr">
        <is>
          <t>Не распределена по датам</t>
        </is>
      </c>
      <c r="AA238" s="3" t="n">
        <v>12264</v>
      </c>
      <c r="AB238" t="inlineStr">
        <is>
          <t>Сошлось по ночным тарифам</t>
        </is>
      </c>
      <c r="AC238" s="2" t="inlineStr"/>
      <c r="AD238" t="n">
        <v>0</v>
      </c>
      <c r="AE238" t="n">
        <v>0</v>
      </c>
      <c r="AF238" t="inlineStr">
        <is>
          <t>Частичный период: дата агрегированной скидки не определена; скидка не добавлена к базе</t>
        </is>
      </c>
      <c r="AG238" t="n">
        <v>6468</v>
      </c>
      <c r="AH238" t="n">
        <v>6468</v>
      </c>
      <c r="AI238" t="inlineStr">
        <is>
          <t>Частичное проживание распределено по dailyRates; скидка без даты не восстановлена</t>
        </is>
      </c>
    </row>
    <row r="239">
      <c r="A239" t="inlineStr">
        <is>
          <t>20260802-8186-428643420</t>
        </is>
      </c>
      <c r="B239" t="n">
        <v>1</v>
      </c>
      <c r="C239" s="2" t="inlineStr">
        <is>
          <t>Дарья Задорина, ДМИТРИЙ ЗАХАРОВ</t>
        </is>
      </c>
      <c r="D239" s="3" t="n">
        <v>91922.60000000001</v>
      </c>
      <c r="E239" s="4" t="n">
        <v>4</v>
      </c>
      <c r="F239" t="inlineStr">
        <is>
          <t>TravelLine Booking Engine [Чайковский]</t>
        </is>
      </c>
      <c r="G239" s="3">
        <f>ROUND(D239/(100-E239)*100,2)</f>
        <v/>
      </c>
      <c r="H239" s="3" t="n">
        <v>0</v>
      </c>
      <c r="I239" s="3">
        <f>ROUND(IF(ISNUMBER(AG239),AG239,G239)+H239,2)</f>
        <v/>
      </c>
      <c r="J239" s="2" t="inlineStr">
        <is>
          <t>Завтрак "Шведский стол"</t>
        </is>
      </c>
      <c r="K239" s="5" t="n">
        <v>46236.72916666666</v>
      </c>
      <c r="L239" t="n">
        <v>6</v>
      </c>
      <c r="M239" s="3">
        <f>I239/L239</f>
        <v/>
      </c>
      <c r="N239">
        <f>IF(M239&gt;=5100,"ставка","мин.ставка")</f>
        <v/>
      </c>
      <c r="O239" s="3">
        <f>ROUND(IF(N239="мин.ставка",L239*100,I239/102*2),2)</f>
        <v/>
      </c>
      <c r="P239" s="5" t="n">
        <v>46242.5</v>
      </c>
      <c r="Q239" t="inlineStr">
        <is>
          <t>TravelLine сайт</t>
        </is>
      </c>
      <c r="R239" s="2" t="inlineStr">
        <is>
          <t>УЛУЧШЕННЫЙ ДВУХМЕСТНЫЙ НОМЕР</t>
        </is>
      </c>
      <c r="S239" t="n">
        <v>31</v>
      </c>
      <c r="T239" t="n">
        <v>1</v>
      </c>
      <c r="U239" t="inlineStr"/>
      <c r="V239" t="inlineStr">
        <is>
          <t>Тариф с завтраком</t>
        </is>
      </c>
      <c r="W239" t="n">
        <v>91922.60000000001</v>
      </c>
      <c r="X239" s="3" t="n">
        <v>477.4</v>
      </c>
      <c r="Y239" t="inlineStr">
        <is>
          <t>3.1%</t>
        </is>
      </c>
      <c r="Z239" t="inlineStr">
        <is>
          <t>2026-08-02</t>
        </is>
      </c>
      <c r="AA239" s="3" t="n">
        <v>91922.60000000001</v>
      </c>
      <c r="AB239" t="inlineStr">
        <is>
          <t>Сошлось по ночным тарифам</t>
        </is>
      </c>
      <c r="AC239" s="2" t="inlineStr"/>
      <c r="AD239" t="n">
        <v>477.4</v>
      </c>
      <c r="AE239" t="n">
        <v>0</v>
      </c>
      <c r="AF239" t="inlineStr">
        <is>
          <t>Скидка добавлена к налоговой базе</t>
        </is>
      </c>
      <c r="AG239" t="n">
        <v>92400</v>
      </c>
      <c r="AH239" t="n">
        <v>91922.60000000001</v>
      </c>
      <c r="AI239" t="inlineStr">
        <is>
          <t>Полное проживание в выбранном периоде</t>
        </is>
      </c>
    </row>
    <row r="240">
      <c r="A240" t="inlineStr">
        <is>
          <t>20260717-8186-433932355</t>
        </is>
      </c>
      <c r="B240" t="n">
        <v>1</v>
      </c>
      <c r="C240" s="2" t="inlineStr">
        <is>
          <t>Дарья Кондрашина, ВЛАДИМИР ГУРИКОВ</t>
        </is>
      </c>
      <c r="D240" s="3" t="n">
        <v>22161</v>
      </c>
      <c r="E240" s="4" t="n">
        <v>17</v>
      </c>
      <c r="F240" t="inlineStr">
        <is>
          <t>ООО «Дубль Гис» (OTELLO) [Чайковский]</t>
        </is>
      </c>
      <c r="G240" s="3">
        <f>ROUND(D240/(100-E240)*100,2)</f>
        <v/>
      </c>
      <c r="H240" s="3" t="n">
        <v>0</v>
      </c>
      <c r="I240" s="3">
        <f>ROUND(IF(ISNUMBER(AG240),AG240,G240)+H240,2)</f>
        <v/>
      </c>
      <c r="J240" s="2" t="inlineStr">
        <is>
          <t>Завтрак "Шведский стол"</t>
        </is>
      </c>
      <c r="K240" s="5" t="n">
        <v>46220.58333333334</v>
      </c>
      <c r="L240" t="n">
        <v>2</v>
      </c>
      <c r="M240" s="3">
        <f>I240/L240</f>
        <v/>
      </c>
      <c r="N240">
        <f>IF(M240&gt;=5100,"ставка","мин.ставка")</f>
        <v/>
      </c>
      <c r="O240" s="3">
        <f>ROUND(IF(N240="мин.ставка",L240*100,I240/102*2),2)</f>
        <v/>
      </c>
      <c r="P240" s="5" t="n">
        <v>46222.5</v>
      </c>
      <c r="Q240" t="inlineStr">
        <is>
          <t>TravelLine OL2</t>
        </is>
      </c>
      <c r="R240" s="2" t="inlineStr">
        <is>
          <t>СТАНДАРТНЫЙ ДВУХМЕСТНЫЙ НОМЕР</t>
        </is>
      </c>
      <c r="S240" t="n">
        <v>23</v>
      </c>
      <c r="T240" t="n">
        <v>1</v>
      </c>
      <c r="U240" t="inlineStr"/>
      <c r="V240" t="inlineStr">
        <is>
          <t>Тариф с завтраком</t>
        </is>
      </c>
      <c r="W240" t="n">
        <v>22161</v>
      </c>
      <c r="X240" s="3" t="n">
        <v>4539</v>
      </c>
      <c r="Y240" t="inlineStr">
        <is>
          <t>17%</t>
        </is>
      </c>
      <c r="Z240" t="inlineStr">
        <is>
          <t>2026-07-17, 2026-07-18</t>
        </is>
      </c>
      <c r="AA240" s="3" t="n">
        <v>22161</v>
      </c>
      <c r="AB240" t="inlineStr">
        <is>
          <t>Сошлось по ночным тарифам</t>
        </is>
      </c>
      <c r="AC240" s="2" t="inlineStr"/>
      <c r="AD240" t="n">
        <v>4539</v>
      </c>
      <c r="AE240" t="n">
        <v>0</v>
      </c>
      <c r="AF240" t="inlineStr">
        <is>
          <t>Скидка добавлена к налоговой базе</t>
        </is>
      </c>
      <c r="AG240" t="n">
        <v>26700</v>
      </c>
      <c r="AH240" t="n">
        <v>22161</v>
      </c>
      <c r="AI240" t="inlineStr">
        <is>
          <t>Полное проживание в выбранном периоде</t>
        </is>
      </c>
    </row>
    <row r="241">
      <c r="A241" t="inlineStr">
        <is>
          <t>20260728-8186-453096527</t>
        </is>
      </c>
      <c r="B241" t="n">
        <v>1</v>
      </c>
      <c r="C241" s="2" t="inlineStr">
        <is>
          <t>Дарья Лихачева</t>
        </is>
      </c>
      <c r="D241" s="3" t="n">
        <v>7120</v>
      </c>
      <c r="E241" s="4" t="n">
        <v>20</v>
      </c>
      <c r="F241" t="inlineStr">
        <is>
          <t>ООО "УК ГЦБ и Т" [Чайковский]</t>
        </is>
      </c>
      <c r="G241" s="3">
        <f>ROUND(D241/(100-E241)*100,2)</f>
        <v/>
      </c>
      <c r="H241" s="3" t="n">
        <v>0</v>
      </c>
      <c r="I241" s="3">
        <f>ROUND(IF(ISNUMBER(AG241),AG241,G241)+H241,2)</f>
        <v/>
      </c>
      <c r="J241" s="2" t="inlineStr">
        <is>
          <t>Завтрак; Завтрак "Шведский стол"</t>
        </is>
      </c>
      <c r="K241" s="5" t="n">
        <v>46231.58333333334</v>
      </c>
      <c r="L241" t="n">
        <v>1</v>
      </c>
      <c r="M241" s="3">
        <f>I241/L241</f>
        <v/>
      </c>
      <c r="N241">
        <f>IF(M241&gt;=5100,"ставка","мин.ставка")</f>
        <v/>
      </c>
      <c r="O241" s="3">
        <f>ROUND(IF(N241="мин.ставка",L241*100,I241/102*2),2)</f>
        <v/>
      </c>
      <c r="P241" s="5" t="n">
        <v>46232.5</v>
      </c>
      <c r="Q241" t="inlineStr">
        <is>
          <t>TravelLine CBC</t>
        </is>
      </c>
      <c r="R241" s="2" t="inlineStr">
        <is>
          <t>СТАНДАРТНЫЙ ДВУХМЕСТНЫЙ НОМЕР</t>
        </is>
      </c>
      <c r="S241" t="n">
        <v>22</v>
      </c>
      <c r="T241" t="n">
        <v>1</v>
      </c>
      <c r="U241" t="inlineStr"/>
      <c r="V241" t="inlineStr">
        <is>
          <t>Тариф с завтраком</t>
        </is>
      </c>
      <c r="W241" t="n">
        <v>7120</v>
      </c>
      <c r="X241" s="3" t="n">
        <v>1780</v>
      </c>
      <c r="Y241" t="inlineStr">
        <is>
          <t>20%</t>
        </is>
      </c>
      <c r="Z241" t="inlineStr">
        <is>
          <t>2026-07-28</t>
        </is>
      </c>
      <c r="AA241" s="3" t="n">
        <v>7120</v>
      </c>
      <c r="AB241" t="inlineStr">
        <is>
          <t>Сошлось по ночным тарифам</t>
        </is>
      </c>
      <c r="AC241" s="2" t="inlineStr"/>
      <c r="AD241" t="n">
        <v>1780</v>
      </c>
      <c r="AE241" t="n">
        <v>0</v>
      </c>
      <c r="AF241" t="inlineStr">
        <is>
          <t>Скидка добавлена к налоговой базе</t>
        </is>
      </c>
      <c r="AG241" t="n">
        <v>8900</v>
      </c>
      <c r="AH241" t="n">
        <v>7120</v>
      </c>
      <c r="AI241" t="inlineStr">
        <is>
          <t>Полное проживание в выбранном периоде</t>
        </is>
      </c>
    </row>
    <row r="242">
      <c r="A242" t="inlineStr">
        <is>
          <t>20260919-8186-466367569</t>
        </is>
      </c>
      <c r="B242" t="n">
        <v>1</v>
      </c>
      <c r="C242" s="2" t="inlineStr">
        <is>
          <t>Дарья Сенникова, Никита Веселков</t>
        </is>
      </c>
      <c r="D242" s="3" t="n">
        <v>14850</v>
      </c>
      <c r="E242" s="4" t="n">
        <v>18</v>
      </c>
      <c r="F242" t="inlineStr">
        <is>
          <t>Яндекс.Путешествия [Чайковский]</t>
        </is>
      </c>
      <c r="G242" s="3">
        <f>ROUND(D242/(100-E242)*100,2)</f>
        <v/>
      </c>
      <c r="H242" s="3" t="n">
        <v>0</v>
      </c>
      <c r="I242" s="3">
        <f>ROUND(IF(ISNUMBER(AG242),AG242,G242)+H242,2)</f>
        <v/>
      </c>
      <c r="J242" s="2" t="inlineStr">
        <is>
          <t>Завтрак "Шведский стол"</t>
        </is>
      </c>
      <c r="K242" s="5" t="n">
        <v>46284.58333333334</v>
      </c>
      <c r="L242" t="n">
        <v>2</v>
      </c>
      <c r="M242" s="3">
        <f>I242/L242</f>
        <v/>
      </c>
      <c r="N242">
        <f>IF(M242&gt;=5100,"ставка","мин.ставка")</f>
        <v/>
      </c>
      <c r="O242" s="3">
        <f>ROUND(IF(N242="мин.ставка",L242*100,I242/102*2),2)</f>
        <v/>
      </c>
      <c r="P242" s="5" t="n">
        <v>46286.5</v>
      </c>
      <c r="Q242" t="inlineStr">
        <is>
          <t>TravelLine YAX</t>
        </is>
      </c>
      <c r="R242" s="2" t="inlineStr">
        <is>
          <t>СТАНДАРТНЫЙ ДВУХМЕСТНЫЙ НОМЕР (МАНСАРДА)</t>
        </is>
      </c>
      <c r="S242" t="n">
        <v>45</v>
      </c>
      <c r="T242" t="n">
        <v>1</v>
      </c>
      <c r="U242" t="inlineStr"/>
      <c r="V242" t="inlineStr">
        <is>
          <t>Тариф с завтраком</t>
        </is>
      </c>
      <c r="W242" t="n">
        <v>14850</v>
      </c>
      <c r="X242" s="3" t="n">
        <v>4950</v>
      </c>
      <c r="Y242" t="inlineStr">
        <is>
          <t>25%</t>
        </is>
      </c>
      <c r="Z242" t="inlineStr">
        <is>
          <t>2026-09-19, 2026-09-20</t>
        </is>
      </c>
      <c r="AA242" s="3" t="n">
        <v>14850</v>
      </c>
      <c r="AB242" t="inlineStr">
        <is>
          <t>Сошлось по ночным тарифам</t>
        </is>
      </c>
      <c r="AC242" s="2" t="inlineStr"/>
      <c r="AD242" t="n">
        <v>4950</v>
      </c>
      <c r="AE242" t="n">
        <v>0</v>
      </c>
      <c r="AF242" t="inlineStr">
        <is>
          <t>Скидка добавлена к налоговой базе</t>
        </is>
      </c>
      <c r="AG242" t="n">
        <v>19800</v>
      </c>
      <c r="AH242" t="n">
        <v>14850</v>
      </c>
      <c r="AI242" t="inlineStr">
        <is>
          <t>Полное проживание в выбранном периоде</t>
        </is>
      </c>
    </row>
    <row r="243">
      <c r="A243" t="inlineStr">
        <is>
          <t>20260703-8186-442896088</t>
        </is>
      </c>
      <c r="B243" t="n">
        <v>1</v>
      </c>
      <c r="C243" s="2" t="inlineStr">
        <is>
          <t>Дарья Ханеева</t>
        </is>
      </c>
      <c r="D243" s="3" t="n">
        <v>45400</v>
      </c>
      <c r="E243" s="4" t="n">
        <v>20</v>
      </c>
      <c r="F243" t="inlineStr">
        <is>
          <t>ООО "КОМПАНИЯ БРОНЕВИК" [Чайковский]</t>
        </is>
      </c>
      <c r="G243" s="3">
        <f>ROUND(D243/(100-E243)*100,2)</f>
        <v/>
      </c>
      <c r="H243" s="3" t="n">
        <v>0</v>
      </c>
      <c r="I243" s="3">
        <f>ROUND(IF(ISNUMBER(AG243),AG243,G243)+H243,2)</f>
        <v/>
      </c>
      <c r="J243" s="2" t="inlineStr">
        <is>
          <t>Завтрак "Шведский стол"</t>
        </is>
      </c>
      <c r="K243" s="5" t="n">
        <v>46206.58333333334</v>
      </c>
      <c r="L243" t="n">
        <v>5</v>
      </c>
      <c r="M243" s="3">
        <f>I243/L243</f>
        <v/>
      </c>
      <c r="N243">
        <f>IF(M243&gt;=5100,"ставка","мин.ставка")</f>
        <v/>
      </c>
      <c r="O243" s="3">
        <f>ROUND(IF(N243="мин.ставка",L243*100,I243/102*2),2)</f>
        <v/>
      </c>
      <c r="P243" s="5" t="n">
        <v>46211.5</v>
      </c>
      <c r="Q243" t="inlineStr">
        <is>
          <t>TravelLine BR2</t>
        </is>
      </c>
      <c r="R243" s="2" t="inlineStr">
        <is>
          <t>СТАНДАРТНЫЙ ДВУХМЕСТНЫЙ НОМЕР</t>
        </is>
      </c>
      <c r="S243" t="n">
        <v>44</v>
      </c>
      <c r="T243" t="n">
        <v>1</v>
      </c>
      <c r="U243" t="inlineStr"/>
      <c r="V243" t="inlineStr">
        <is>
          <t>Тариф с завтраком</t>
        </is>
      </c>
      <c r="W243" t="n">
        <v>45400</v>
      </c>
      <c r="X243" s="3" t="n">
        <v>0</v>
      </c>
      <c r="Y243" t="inlineStr"/>
      <c r="Z243" t="inlineStr"/>
      <c r="AA243" s="3" t="n">
        <v>45400</v>
      </c>
      <c r="AB243" t="inlineStr">
        <is>
          <t>Сошлось по ночным тарифам</t>
        </is>
      </c>
      <c r="AC243" s="2" t="inlineStr"/>
      <c r="AD243" t="n">
        <v>0</v>
      </c>
      <c r="AE243" t="n">
        <v>0</v>
      </c>
      <c r="AF243" t="inlineStr">
        <is>
          <t>Скидки нет</t>
        </is>
      </c>
      <c r="AG243" t="n">
        <v>45400</v>
      </c>
      <c r="AH243" t="n">
        <v>45400</v>
      </c>
      <c r="AI243" t="inlineStr">
        <is>
          <t>Полное проживание в выбранном периоде</t>
        </is>
      </c>
    </row>
    <row r="244">
      <c r="A244" t="inlineStr">
        <is>
          <t>20260724-8186-448787264</t>
        </is>
      </c>
      <c r="B244" t="n">
        <v>1</v>
      </c>
      <c r="C244" s="2" t="inlineStr">
        <is>
          <t>Дарья Цявук</t>
        </is>
      </c>
      <c r="D244" s="3" t="n">
        <v>27240</v>
      </c>
      <c r="E244" s="4" t="n">
        <v>18</v>
      </c>
      <c r="F244" t="inlineStr">
        <is>
          <t>Яндекс.Путешествия [Чайковский]</t>
        </is>
      </c>
      <c r="G244" s="3">
        <f>ROUND(D244/(100-E244)*100,2)</f>
        <v/>
      </c>
      <c r="H244" s="3" t="n">
        <v>0</v>
      </c>
      <c r="I244" s="3">
        <f>ROUND(IF(ISNUMBER(AG244),AG244,G244)+H244,2)</f>
        <v/>
      </c>
      <c r="J244" s="2" t="inlineStr">
        <is>
          <t>Завтрак "Шведский стол"</t>
        </is>
      </c>
      <c r="K244" s="5" t="n">
        <v>46227.58333333334</v>
      </c>
      <c r="L244" t="n">
        <v>3</v>
      </c>
      <c r="M244" s="3">
        <f>I244/L244</f>
        <v/>
      </c>
      <c r="N244">
        <f>IF(M244&gt;=5100,"ставка","мин.ставка")</f>
        <v/>
      </c>
      <c r="O244" s="3">
        <f>ROUND(IF(N244="мин.ставка",L244*100,I244/102*2),2)</f>
        <v/>
      </c>
      <c r="P244" s="5" t="n">
        <v>46230.5</v>
      </c>
      <c r="Q244" t="inlineStr">
        <is>
          <t>TravelLine YAX</t>
        </is>
      </c>
      <c r="R244" s="2" t="inlineStr">
        <is>
          <t>СТАНДАРТНЫЙ ДВУХМЕСТНЫЙ НОМЕР</t>
        </is>
      </c>
      <c r="S244" t="n">
        <v>46</v>
      </c>
      <c r="T244" t="n">
        <v>1</v>
      </c>
      <c r="U244" t="inlineStr"/>
      <c r="V244" t="inlineStr">
        <is>
          <t>Тариф с завтраком</t>
        </is>
      </c>
      <c r="W244" t="n">
        <v>27240</v>
      </c>
      <c r="X244" s="3" t="n">
        <v>6810</v>
      </c>
      <c r="Y244" t="inlineStr">
        <is>
          <t>20%</t>
        </is>
      </c>
      <c r="Z244" t="inlineStr">
        <is>
          <t>2026-07-24, 2026-07-25, 2026-07-26</t>
        </is>
      </c>
      <c r="AA244" s="3" t="n">
        <v>27240</v>
      </c>
      <c r="AB244" t="inlineStr">
        <is>
          <t>Сошлось по ночным тарифам</t>
        </is>
      </c>
      <c r="AC244" s="2" t="inlineStr"/>
      <c r="AD244" t="n">
        <v>6810</v>
      </c>
      <c r="AE244" t="n">
        <v>0</v>
      </c>
      <c r="AF244" t="inlineStr">
        <is>
          <t>Скидка добавлена к налоговой базе</t>
        </is>
      </c>
      <c r="AG244" t="n">
        <v>34050</v>
      </c>
      <c r="AH244" t="n">
        <v>27240</v>
      </c>
      <c r="AI244" t="inlineStr">
        <is>
          <t>Полное проживание в выбранном периоде</t>
        </is>
      </c>
    </row>
    <row r="245">
      <c r="A245" t="inlineStr">
        <is>
          <t>20260930-8186-466725363</t>
        </is>
      </c>
      <c r="B245" t="n">
        <v>1</v>
      </c>
      <c r="C245" s="2" t="inlineStr">
        <is>
          <t>ДАРЬЯ ЩИГОЛЕВА</t>
        </is>
      </c>
      <c r="D245" s="3" t="n">
        <v>11115</v>
      </c>
      <c r="E245" s="4" t="n">
        <v>18</v>
      </c>
      <c r="F245" t="inlineStr">
        <is>
          <t>Яндекс.Путешествия [Чайковский]</t>
        </is>
      </c>
      <c r="G245" s="3">
        <f>ROUND(D245/(100-E245)*100,2)</f>
        <v/>
      </c>
      <c r="H245" s="3" t="n">
        <v>0</v>
      </c>
      <c r="I245" s="3">
        <f>ROUND(IF(ISNUMBER(AG245),AG245,G245)+H245,2)</f>
        <v/>
      </c>
      <c r="J245" s="2" t="inlineStr"/>
      <c r="K245" s="5" t="n">
        <v>46295.58333333334</v>
      </c>
      <c r="L245" t="n">
        <v>1</v>
      </c>
      <c r="M245" s="3">
        <f>I245/L245</f>
        <v/>
      </c>
      <c r="N245">
        <f>IF(M245&gt;=5100,"ставка","мин.ставка")</f>
        <v/>
      </c>
      <c r="O245" s="3">
        <f>ROUND(IF(N245="мин.ставка",L245*100,I245/102*2),2)</f>
        <v/>
      </c>
      <c r="P245" s="5" t="n">
        <v>46297.5</v>
      </c>
      <c r="Q245" t="inlineStr">
        <is>
          <t>TravelLine YAX</t>
        </is>
      </c>
      <c r="R245" s="2" t="inlineStr">
        <is>
          <t>СТАНДАРТНЫЙ ДВУХМЕСТНЫЙ НОМЕР (МАНСАРДА)</t>
        </is>
      </c>
      <c r="S245" t="n">
        <v>43</v>
      </c>
      <c r="T245" t="n">
        <v>1</v>
      </c>
      <c r="U245" t="inlineStr"/>
      <c r="V245" t="inlineStr">
        <is>
          <t>Тариф с завтраком</t>
        </is>
      </c>
      <c r="W245" t="n">
        <v>11115</v>
      </c>
      <c r="X245" s="3" t="n">
        <v>3705</v>
      </c>
      <c r="Y245" t="inlineStr">
        <is>
          <t>25%</t>
        </is>
      </c>
      <c r="Z245" t="inlineStr">
        <is>
          <t>Не распределена по датам</t>
        </is>
      </c>
      <c r="AA245" s="3" t="n">
        <v>11115</v>
      </c>
      <c r="AB245" t="inlineStr">
        <is>
          <t>Сошлось по ночным тарифам</t>
        </is>
      </c>
      <c r="AC245" s="2" t="inlineStr"/>
      <c r="AD245" t="n">
        <v>0</v>
      </c>
      <c r="AE245" t="n">
        <v>0</v>
      </c>
      <c r="AF245" t="inlineStr">
        <is>
          <t>Частичный период: дата агрегированной скидки не определена; скидка не добавлена к базе</t>
        </is>
      </c>
      <c r="AG245" t="n">
        <v>5628.75</v>
      </c>
      <c r="AH245" t="n">
        <v>5628.75</v>
      </c>
      <c r="AI245" t="inlineStr">
        <is>
          <t>Частичное проживание распределено по dailyRates; скидка без даты не восстановлена</t>
        </is>
      </c>
    </row>
    <row r="246">
      <c r="A246" t="inlineStr">
        <is>
          <t>20260906-8186-461460789</t>
        </is>
      </c>
      <c r="B246" t="n">
        <v>1</v>
      </c>
      <c r="C246" s="2" t="inlineStr">
        <is>
          <t>ДЕНИС АФАНАСЬЕВ, Дарья Афанасьева</t>
        </is>
      </c>
      <c r="D246" s="3" t="n">
        <v>9751.5</v>
      </c>
      <c r="E246" s="4" t="n">
        <v>4</v>
      </c>
      <c r="F246" t="inlineStr">
        <is>
          <t>TravelLine Booking Engine [Чайковский]</t>
        </is>
      </c>
      <c r="G246" s="3">
        <f>ROUND(D246/(100-E246)*100,2)</f>
        <v/>
      </c>
      <c r="H246" s="3" t="n">
        <v>0</v>
      </c>
      <c r="I246" s="3">
        <f>ROUND(IF(ISNUMBER(AG246),AG246,G246)+H246,2)</f>
        <v/>
      </c>
      <c r="J246" s="2" t="inlineStr">
        <is>
          <t>Завтрак "Шведский стол"</t>
        </is>
      </c>
      <c r="K246" s="5" t="n">
        <v>46271.58333333334</v>
      </c>
      <c r="L246" t="n">
        <v>1</v>
      </c>
      <c r="M246" s="3">
        <f>I246/L246</f>
        <v/>
      </c>
      <c r="N246">
        <f>IF(M246&gt;=5100,"ставка","мин.ставка")</f>
        <v/>
      </c>
      <c r="O246" s="3">
        <f>ROUND(IF(N246="мин.ставка",L246*100,I246/102*2),2)</f>
        <v/>
      </c>
      <c r="P246" s="5" t="n">
        <v>46272.5</v>
      </c>
      <c r="Q246" t="inlineStr">
        <is>
          <t>TravelLine сайт</t>
        </is>
      </c>
      <c r="R246" s="2" t="inlineStr">
        <is>
          <t>СТАНДАРТНЫЙ ДВУХМЕСТНЫЙ НОМЕР</t>
        </is>
      </c>
      <c r="S246" t="n">
        <v>44</v>
      </c>
      <c r="T246" t="n">
        <v>1</v>
      </c>
      <c r="U246" t="inlineStr"/>
      <c r="V246" t="inlineStr">
        <is>
          <t>Тариф с завтраком</t>
        </is>
      </c>
      <c r="W246" t="n">
        <v>9751.5</v>
      </c>
      <c r="X246" s="3" t="n">
        <v>148.5</v>
      </c>
      <c r="Y246" t="inlineStr">
        <is>
          <t>1.5%</t>
        </is>
      </c>
      <c r="Z246" t="inlineStr">
        <is>
          <t>2026-09-06</t>
        </is>
      </c>
      <c r="AA246" s="3" t="n">
        <v>9751.5</v>
      </c>
      <c r="AB246" t="inlineStr">
        <is>
          <t>Сошлось по ночным тарифам</t>
        </is>
      </c>
      <c r="AC246" s="2" t="inlineStr"/>
      <c r="AD246" t="n">
        <v>148.5</v>
      </c>
      <c r="AE246" t="n">
        <v>0</v>
      </c>
      <c r="AF246" t="inlineStr">
        <is>
          <t>Скидка добавлена к налоговой базе</t>
        </is>
      </c>
      <c r="AG246" t="n">
        <v>9900</v>
      </c>
      <c r="AH246" t="n">
        <v>9751.5</v>
      </c>
      <c r="AI246" t="inlineStr">
        <is>
          <t>Полное проживание в выбранном периоде</t>
        </is>
      </c>
    </row>
    <row r="247">
      <c r="A247" t="inlineStr">
        <is>
          <t>20260905-8186-460958284</t>
        </is>
      </c>
      <c r="B247" t="n">
        <v>1</v>
      </c>
      <c r="C247" s="2" t="inlineStr">
        <is>
          <t>Денис Борисов, Екатерина Полосухина</t>
        </is>
      </c>
      <c r="D247" s="3" t="n">
        <v>21360</v>
      </c>
      <c r="E247" s="4" t="n">
        <v>17</v>
      </c>
      <c r="F247" t="inlineStr">
        <is>
          <t>ООО «Интернет Трэвел» (OZON) [Чайковский]</t>
        </is>
      </c>
      <c r="G247" s="3">
        <f>ROUND(D247/(100-E247)*100,2)</f>
        <v/>
      </c>
      <c r="H247" s="3" t="n">
        <v>0</v>
      </c>
      <c r="I247" s="3">
        <f>ROUND(IF(ISNUMBER(AG247),AG247,G247)+H247,2)</f>
        <v/>
      </c>
      <c r="J247" s="2" t="inlineStr">
        <is>
          <t>Завтрак "Шведский стол"</t>
        </is>
      </c>
      <c r="K247" s="5" t="n">
        <v>46270.58333333334</v>
      </c>
      <c r="L247" t="n">
        <v>2</v>
      </c>
      <c r="M247" s="3">
        <f>I247/L247</f>
        <v/>
      </c>
      <c r="N247">
        <f>IF(M247&gt;=5100,"ставка","мин.ставка")</f>
        <v/>
      </c>
      <c r="O247" s="3">
        <f>ROUND(IF(N247="мин.ставка",L247*100,I247/102*2),2)</f>
        <v/>
      </c>
      <c r="P247" s="5" t="n">
        <v>46272.5</v>
      </c>
      <c r="Q247" t="inlineStr">
        <is>
          <t>TravelLine OZ2</t>
        </is>
      </c>
      <c r="R247" s="2" t="inlineStr">
        <is>
          <t>СТАНДАРТНЫЙ ДВУХМЕСТНЫЙ НОМЕР</t>
        </is>
      </c>
      <c r="S247" t="n">
        <v>22</v>
      </c>
      <c r="T247" t="n">
        <v>1</v>
      </c>
      <c r="U247" t="inlineStr"/>
      <c r="V247" t="inlineStr">
        <is>
          <t>Тариф с завтраком</t>
        </is>
      </c>
      <c r="W247" t="n">
        <v>21360</v>
      </c>
      <c r="X247" s="3" t="n">
        <v>5340</v>
      </c>
      <c r="Y247" t="inlineStr">
        <is>
          <t>20%</t>
        </is>
      </c>
      <c r="Z247" t="inlineStr">
        <is>
          <t>2026-09-05, 2026-09-06</t>
        </is>
      </c>
      <c r="AA247" s="3" t="n">
        <v>21360</v>
      </c>
      <c r="AB247" t="inlineStr">
        <is>
          <t>Сошлось по ночным тарифам</t>
        </is>
      </c>
      <c r="AC247" s="2" t="inlineStr"/>
      <c r="AD247" t="n">
        <v>5340</v>
      </c>
      <c r="AE247" t="n">
        <v>0</v>
      </c>
      <c r="AF247" t="inlineStr">
        <is>
          <t>Скидка добавлена к налоговой базе</t>
        </is>
      </c>
      <c r="AG247" t="n">
        <v>26700</v>
      </c>
      <c r="AH247" t="n">
        <v>21360</v>
      </c>
      <c r="AI247" t="inlineStr">
        <is>
          <t>Полное проживание в выбранном периоде</t>
        </is>
      </c>
    </row>
    <row r="248">
      <c r="A248" t="inlineStr">
        <is>
          <t>20260724-8186-449406216</t>
        </is>
      </c>
      <c r="B248" t="n">
        <v>1</v>
      </c>
      <c r="C248" s="2" t="inlineStr">
        <is>
          <t>Денис Грузинов</t>
        </is>
      </c>
      <c r="D248" s="3" t="n">
        <v>20430</v>
      </c>
      <c r="E248" s="4" t="n">
        <v>0</v>
      </c>
      <c r="F248" t="inlineStr">
        <is>
          <t>Прямые бронирования (стойка) [Чайковский]</t>
        </is>
      </c>
      <c r="G248" s="3">
        <f>ROUND(D248/(100-E248)*100,2)</f>
        <v/>
      </c>
      <c r="H248" s="3" t="n">
        <v>0</v>
      </c>
      <c r="I248" s="3">
        <f>ROUND(IF(ISNUMBER(AG248),AG248,G248)+H248,2)</f>
        <v/>
      </c>
      <c r="J248" s="2" t="inlineStr">
        <is>
          <t>Завтрак "Шведский стол"</t>
        </is>
      </c>
      <c r="K248" s="5" t="n">
        <v>46227.58333333334</v>
      </c>
      <c r="L248" t="n">
        <v>2</v>
      </c>
      <c r="M248" s="3">
        <f>I248/L248</f>
        <v/>
      </c>
      <c r="N248">
        <f>IF(M248&gt;=5100,"ставка","мин.ставка")</f>
        <v/>
      </c>
      <c r="O248" s="3">
        <f>ROUND(IF(N248="мин.ставка",L248*100,I248/102*2),2)</f>
        <v/>
      </c>
      <c r="P248" s="5" t="n">
        <v>46229.5</v>
      </c>
      <c r="Q248" t="inlineStr">
        <is>
          <t>TravelLine ресепшен</t>
        </is>
      </c>
      <c r="R248" s="2" t="inlineStr">
        <is>
          <t>СТАНДАРТНЫЙ ДВУХМЕСТНЫЙ НОМЕР</t>
        </is>
      </c>
      <c r="S248" t="n">
        <v>23</v>
      </c>
      <c r="T248" t="n">
        <v>1</v>
      </c>
      <c r="U248" t="inlineStr"/>
      <c r="V248" t="inlineStr">
        <is>
          <t>Тариф с завтраком</t>
        </is>
      </c>
      <c r="W248" t="n">
        <v>20430</v>
      </c>
      <c r="X248" s="3" t="n">
        <v>2270</v>
      </c>
      <c r="Y248" t="inlineStr">
        <is>
          <t>10%</t>
        </is>
      </c>
      <c r="Z248" t="inlineStr">
        <is>
          <t>2026-07-24, 2026-07-25</t>
        </is>
      </c>
      <c r="AA248" s="3" t="n">
        <v>20430</v>
      </c>
      <c r="AB248" t="inlineStr">
        <is>
          <t>Сошлось по ночным тарифам</t>
        </is>
      </c>
      <c r="AC248" s="2" t="inlineStr"/>
      <c r="AD248" t="n">
        <v>2270</v>
      </c>
      <c r="AE248" t="n">
        <v>0</v>
      </c>
      <c r="AF248" t="inlineStr">
        <is>
          <t>Скидка добавлена к налоговой базе</t>
        </is>
      </c>
      <c r="AG248" t="n">
        <v>22700</v>
      </c>
      <c r="AH248" t="n">
        <v>20430</v>
      </c>
      <c r="AI248" t="inlineStr">
        <is>
          <t>Полное проживание в выбранном периоде</t>
        </is>
      </c>
    </row>
    <row r="249">
      <c r="A249" t="inlineStr">
        <is>
          <t>20260924-8186-466578898</t>
        </is>
      </c>
      <c r="B249" t="n">
        <v>1</v>
      </c>
      <c r="C249" s="2" t="inlineStr">
        <is>
          <t>Денис Дроздов</t>
        </is>
      </c>
      <c r="D249" s="3" t="n">
        <v>18160</v>
      </c>
      <c r="E249" s="4" t="n">
        <v>20</v>
      </c>
      <c r="F249" t="inlineStr">
        <is>
          <t>ООО «Дубль Гис» (OTELLO) [Чайковский]</t>
        </is>
      </c>
      <c r="G249" s="3">
        <f>ROUND(D249/(100-E249)*100,2)</f>
        <v/>
      </c>
      <c r="H249" s="3" t="n">
        <v>0</v>
      </c>
      <c r="I249" s="3">
        <f>ROUND(IF(ISNUMBER(AG249),AG249,G249)+H249,2)</f>
        <v/>
      </c>
      <c r="J249" s="2" t="inlineStr">
        <is>
          <t>Завтрак "Шведский стол"</t>
        </is>
      </c>
      <c r="K249" s="5" t="n">
        <v>46289.58333333334</v>
      </c>
      <c r="L249" t="n">
        <v>2</v>
      </c>
      <c r="M249" s="3">
        <f>I249/L249</f>
        <v/>
      </c>
      <c r="N249">
        <f>IF(M249&gt;=5100,"ставка","мин.ставка")</f>
        <v/>
      </c>
      <c r="O249" s="3">
        <f>ROUND(IF(N249="мин.ставка",L249*100,I249/102*2),2)</f>
        <v/>
      </c>
      <c r="P249" s="5" t="n">
        <v>46291.5</v>
      </c>
      <c r="Q249" t="inlineStr">
        <is>
          <t>TravelLine OL2</t>
        </is>
      </c>
      <c r="R249" s="2" t="inlineStr">
        <is>
          <t>СТАНДАРТНЫЙ ДВУХМЕСТНЫЙ НОМЕР</t>
        </is>
      </c>
      <c r="S249" t="n">
        <v>22</v>
      </c>
      <c r="T249" t="n">
        <v>1</v>
      </c>
      <c r="U249" t="inlineStr"/>
      <c r="V249" t="inlineStr">
        <is>
          <t>Тариф с завтраком</t>
        </is>
      </c>
      <c r="W249" t="n">
        <v>36320</v>
      </c>
      <c r="X249" s="3" t="n">
        <v>4540</v>
      </c>
      <c r="Y249" t="inlineStr">
        <is>
          <t>20%</t>
        </is>
      </c>
      <c r="Z249" t="inlineStr">
        <is>
          <t>2026-09-24, 2026-09-25</t>
        </is>
      </c>
      <c r="AA249" s="3" t="n">
        <v>18160</v>
      </c>
      <c r="AB249" t="inlineStr">
        <is>
          <t>Сошлось по ночным тарифам</t>
        </is>
      </c>
      <c r="AC249" s="2" t="inlineStr"/>
      <c r="AD249" t="n">
        <v>4540</v>
      </c>
      <c r="AE249" t="n">
        <v>0</v>
      </c>
      <c r="AF249" t="inlineStr">
        <is>
          <t>Скидка добавлена к налоговой базе</t>
        </is>
      </c>
      <c r="AG249" t="n">
        <v>22700</v>
      </c>
      <c r="AH249" t="n">
        <v>18160</v>
      </c>
      <c r="AI249" t="inlineStr">
        <is>
          <t>Полное проживание в выбранном периоде</t>
        </is>
      </c>
    </row>
    <row r="250">
      <c r="A250" t="inlineStr">
        <is>
          <t>20260811-8186-457632332</t>
        </is>
      </c>
      <c r="B250" t="n">
        <v>1</v>
      </c>
      <c r="C250" s="2" t="inlineStr">
        <is>
          <t>Денис Евдокимов</t>
        </is>
      </c>
      <c r="D250" s="3" t="n">
        <v>13050</v>
      </c>
      <c r="E250" s="4" t="n">
        <v>0</v>
      </c>
      <c r="F250" t="inlineStr">
        <is>
          <t>Прямые бронирования (стойка) [Чайковский]</t>
        </is>
      </c>
      <c r="G250" s="3">
        <f>ROUND(D250/(100-E250)*100,2)</f>
        <v/>
      </c>
      <c r="H250" s="3" t="n">
        <v>0</v>
      </c>
      <c r="I250" s="3">
        <f>ROUND(IF(ISNUMBER(AG250),AG250,G250)+H250,2)</f>
        <v/>
      </c>
      <c r="J250" s="2" t="inlineStr">
        <is>
          <t>Завтрак "Шведский стол"</t>
        </is>
      </c>
      <c r="K250" s="5" t="n">
        <v>46245.58333333334</v>
      </c>
      <c r="L250" t="n">
        <v>1</v>
      </c>
      <c r="M250" s="3">
        <f>I250/L250</f>
        <v/>
      </c>
      <c r="N250">
        <f>IF(M250&gt;=5100,"ставка","мин.ставка")</f>
        <v/>
      </c>
      <c r="O250" s="3">
        <f>ROUND(IF(N250="мин.ставка",L250*100,I250/102*2),2)</f>
        <v/>
      </c>
      <c r="P250" s="5" t="n">
        <v>46246.5</v>
      </c>
      <c r="Q250" t="inlineStr">
        <is>
          <t>TravelLine ресепшен</t>
        </is>
      </c>
      <c r="R250" s="2" t="inlineStr">
        <is>
          <t>ПОЛУЛЮКС</t>
        </is>
      </c>
      <c r="S250" t="n">
        <v>35</v>
      </c>
      <c r="T250" t="n">
        <v>1</v>
      </c>
      <c r="U250" t="inlineStr"/>
      <c r="V250" t="inlineStr">
        <is>
          <t>Тариф с завтраком</t>
        </is>
      </c>
      <c r="W250" t="n">
        <v>13050</v>
      </c>
      <c r="X250" s="3" t="n">
        <v>1450</v>
      </c>
      <c r="Y250" t="inlineStr">
        <is>
          <t>10%</t>
        </is>
      </c>
      <c r="Z250" t="inlineStr">
        <is>
          <t>2026-08-11</t>
        </is>
      </c>
      <c r="AA250" s="3" t="n">
        <v>13050</v>
      </c>
      <c r="AB250" t="inlineStr">
        <is>
          <t>Сошлось по ночным тарифам</t>
        </is>
      </c>
      <c r="AC250" s="2" t="inlineStr"/>
      <c r="AD250" t="n">
        <v>1450</v>
      </c>
      <c r="AE250" t="n">
        <v>0</v>
      </c>
      <c r="AF250" t="inlineStr">
        <is>
          <t>Скидка добавлена к налоговой базе</t>
        </is>
      </c>
      <c r="AG250" t="n">
        <v>14500</v>
      </c>
      <c r="AH250" t="n">
        <v>13050</v>
      </c>
      <c r="AI250" t="inlineStr">
        <is>
          <t>Полное проживание в выбранном периоде</t>
        </is>
      </c>
    </row>
    <row r="251">
      <c r="A251" t="inlineStr">
        <is>
          <t>20260812-8186-458096485</t>
        </is>
      </c>
      <c r="B251" t="n">
        <v>1</v>
      </c>
      <c r="C251" s="2" t="inlineStr">
        <is>
          <t>Денис Евдокимов</t>
        </is>
      </c>
      <c r="D251" s="3" t="n">
        <v>13050</v>
      </c>
      <c r="E251" s="4" t="n">
        <v>0</v>
      </c>
      <c r="F251" t="inlineStr">
        <is>
          <t>Прямые бронирования (стойка) [Чайковский]</t>
        </is>
      </c>
      <c r="G251" s="3">
        <f>ROUND(D251/(100-E251)*100,2)</f>
        <v/>
      </c>
      <c r="H251" s="3" t="n">
        <v>0</v>
      </c>
      <c r="I251" s="3">
        <f>ROUND(IF(ISNUMBER(AG251),AG251,G251)+H251,2)</f>
        <v/>
      </c>
      <c r="J251" s="2" t="inlineStr">
        <is>
          <t>Завтрак "Шведский стол"</t>
        </is>
      </c>
      <c r="K251" s="5" t="n">
        <v>46246.58333333334</v>
      </c>
      <c r="L251" t="n">
        <v>1</v>
      </c>
      <c r="M251" s="3">
        <f>I251/L251</f>
        <v/>
      </c>
      <c r="N251">
        <f>IF(M251&gt;=5100,"ставка","мин.ставка")</f>
        <v/>
      </c>
      <c r="O251" s="3">
        <f>ROUND(IF(N251="мин.ставка",L251*100,I251/102*2),2)</f>
        <v/>
      </c>
      <c r="P251" s="5" t="n">
        <v>46247.5</v>
      </c>
      <c r="Q251" t="inlineStr">
        <is>
          <t>TravelLine ресепшен</t>
        </is>
      </c>
      <c r="R251" s="2" t="inlineStr">
        <is>
          <t>ПОЛУЛЮКС</t>
        </is>
      </c>
      <c r="S251" t="n">
        <v>35</v>
      </c>
      <c r="T251" t="n">
        <v>1</v>
      </c>
      <c r="U251" t="inlineStr"/>
      <c r="V251" t="inlineStr">
        <is>
          <t>Тариф с завтраком</t>
        </is>
      </c>
      <c r="W251" t="n">
        <v>13050</v>
      </c>
      <c r="X251" s="3" t="n">
        <v>1450</v>
      </c>
      <c r="Y251" t="inlineStr">
        <is>
          <t>10%</t>
        </is>
      </c>
      <c r="Z251" t="inlineStr">
        <is>
          <t>2026-08-12</t>
        </is>
      </c>
      <c r="AA251" s="3" t="n">
        <v>13050</v>
      </c>
      <c r="AB251" t="inlineStr">
        <is>
          <t>Сошлось по ночным тарифам</t>
        </is>
      </c>
      <c r="AC251" s="2" t="inlineStr"/>
      <c r="AD251" t="n">
        <v>1450</v>
      </c>
      <c r="AE251" t="n">
        <v>0</v>
      </c>
      <c r="AF251" t="inlineStr">
        <is>
          <t>Скидка добавлена к налоговой базе</t>
        </is>
      </c>
      <c r="AG251" t="n">
        <v>14500</v>
      </c>
      <c r="AH251" t="n">
        <v>13050</v>
      </c>
      <c r="AI251" t="inlineStr">
        <is>
          <t>Полное проживание в выбранном периоде</t>
        </is>
      </c>
    </row>
    <row r="252">
      <c r="A252" t="inlineStr">
        <is>
          <t>20260915-8186-466067897</t>
        </is>
      </c>
      <c r="B252" t="n">
        <v>1</v>
      </c>
      <c r="C252" s="2" t="inlineStr">
        <is>
          <t>Денис Евдокимов</t>
        </is>
      </c>
      <c r="D252" s="3" t="n">
        <v>13050</v>
      </c>
      <c r="E252" s="4" t="n">
        <v>0</v>
      </c>
      <c r="F252" t="inlineStr">
        <is>
          <t>Прямые бронирования (стойка) [Чайковский]</t>
        </is>
      </c>
      <c r="G252" s="3">
        <f>ROUND(D252/(100-E252)*100,2)</f>
        <v/>
      </c>
      <c r="H252" s="3" t="n">
        <v>0</v>
      </c>
      <c r="I252" s="3">
        <f>ROUND(IF(ISNUMBER(AG252),AG252,G252)+H252,2)</f>
        <v/>
      </c>
      <c r="J252" s="2" t="inlineStr">
        <is>
          <t>Завтрак "Шведский стол"</t>
        </is>
      </c>
      <c r="K252" s="5" t="n">
        <v>46280.58333333334</v>
      </c>
      <c r="L252" t="n">
        <v>1</v>
      </c>
      <c r="M252" s="3">
        <f>I252/L252</f>
        <v/>
      </c>
      <c r="N252">
        <f>IF(M252&gt;=5100,"ставка","мин.ставка")</f>
        <v/>
      </c>
      <c r="O252" s="3">
        <f>ROUND(IF(N252="мин.ставка",L252*100,I252/102*2),2)</f>
        <v/>
      </c>
      <c r="P252" s="5" t="n">
        <v>46281.5</v>
      </c>
      <c r="Q252" t="inlineStr">
        <is>
          <t>TravelLine ресепшен</t>
        </is>
      </c>
      <c r="R252" s="2" t="inlineStr">
        <is>
          <t>ПОЛУЛЮКС</t>
        </is>
      </c>
      <c r="S252" t="n">
        <v>11</v>
      </c>
      <c r="T252" t="n">
        <v>1</v>
      </c>
      <c r="U252" t="inlineStr"/>
      <c r="V252" t="inlineStr">
        <is>
          <t>Тариф с завтраком</t>
        </is>
      </c>
      <c r="W252" t="n">
        <v>13050</v>
      </c>
      <c r="X252" s="3" t="n">
        <v>1450</v>
      </c>
      <c r="Y252" t="inlineStr">
        <is>
          <t>10%</t>
        </is>
      </c>
      <c r="Z252" t="inlineStr">
        <is>
          <t>2026-09-15</t>
        </is>
      </c>
      <c r="AA252" s="3" t="n">
        <v>13050</v>
      </c>
      <c r="AB252" t="inlineStr">
        <is>
          <t>Сошлось по ночным тарифам</t>
        </is>
      </c>
      <c r="AC252" s="2" t="inlineStr"/>
      <c r="AD252" t="n">
        <v>1450</v>
      </c>
      <c r="AE252" t="n">
        <v>0</v>
      </c>
      <c r="AF252" t="inlineStr">
        <is>
          <t>Скидка добавлена к налоговой базе</t>
        </is>
      </c>
      <c r="AG252" t="n">
        <v>14500</v>
      </c>
      <c r="AH252" t="n">
        <v>13050</v>
      </c>
      <c r="AI252" t="inlineStr">
        <is>
          <t>Полное проживание в выбранном периоде</t>
        </is>
      </c>
    </row>
    <row r="253">
      <c r="A253" t="inlineStr">
        <is>
          <t>20260726-8186-453457921</t>
        </is>
      </c>
      <c r="B253" t="n">
        <v>1</v>
      </c>
      <c r="C253" s="2" t="inlineStr">
        <is>
          <t>Денис Зуев, Софья Артемьева</t>
        </is>
      </c>
      <c r="D253" s="3" t="n">
        <v>10900</v>
      </c>
      <c r="E253" s="4" t="n">
        <v>0</v>
      </c>
      <c r="F253" t="inlineStr">
        <is>
          <t>Прямые бронирования (стойка) [Чайковский]</t>
        </is>
      </c>
      <c r="G253" s="3">
        <f>ROUND(D253/(100-E253)*100,2)</f>
        <v/>
      </c>
      <c r="H253" s="3" t="n">
        <v>0</v>
      </c>
      <c r="I253" s="3">
        <f>ROUND(IF(ISNUMBER(AG253),AG253,G253)+H253,2)</f>
        <v/>
      </c>
      <c r="J253" s="2" t="inlineStr">
        <is>
          <t>Завтрак "Шведский стол"</t>
        </is>
      </c>
      <c r="K253" s="5" t="n">
        <v>46229.58333333334</v>
      </c>
      <c r="L253" t="n">
        <v>1</v>
      </c>
      <c r="M253" s="3">
        <f>I253/L253</f>
        <v/>
      </c>
      <c r="N253">
        <f>IF(M253&gt;=5100,"ставка","мин.ставка")</f>
        <v/>
      </c>
      <c r="O253" s="3">
        <f>ROUND(IF(N253="мин.ставка",L253*100,I253/102*2),2)</f>
        <v/>
      </c>
      <c r="P253" s="5" t="n">
        <v>46230.5</v>
      </c>
      <c r="Q253" t="inlineStr">
        <is>
          <t>TravelLine ресепшен</t>
        </is>
      </c>
      <c r="R253" s="2" t="inlineStr">
        <is>
          <t>СТАНДАРТНЫЙ ДВУХМЕСТНЫЙ НОМЕР</t>
        </is>
      </c>
      <c r="S253" t="n">
        <v>36</v>
      </c>
      <c r="T253" t="n">
        <v>1</v>
      </c>
      <c r="U253" t="inlineStr"/>
      <c r="V253" t="inlineStr">
        <is>
          <t>Тариф с завтраком</t>
        </is>
      </c>
      <c r="W253" t="n">
        <v>10900</v>
      </c>
      <c r="X253" s="3" t="n">
        <v>0</v>
      </c>
      <c r="Y253" t="inlineStr"/>
      <c r="Z253" t="inlineStr"/>
      <c r="AA253" s="3" t="n">
        <v>10900</v>
      </c>
      <c r="AB253" t="inlineStr">
        <is>
          <t>Сошлось по ночным тарифам</t>
        </is>
      </c>
      <c r="AC253" s="2" t="inlineStr"/>
      <c r="AD253" t="n">
        <v>0</v>
      </c>
      <c r="AE253" t="n">
        <v>0</v>
      </c>
      <c r="AF253" t="inlineStr">
        <is>
          <t>Скидки нет</t>
        </is>
      </c>
      <c r="AG253" t="n">
        <v>10900</v>
      </c>
      <c r="AH253" t="n">
        <v>10900</v>
      </c>
      <c r="AI253" t="inlineStr">
        <is>
          <t>Полное проживание в выбранном периоде</t>
        </is>
      </c>
    </row>
    <row r="254">
      <c r="A254" t="inlineStr">
        <is>
          <t>20260826-8186-430091613</t>
        </is>
      </c>
      <c r="B254" t="n">
        <v>1</v>
      </c>
      <c r="C254" s="2" t="inlineStr">
        <is>
          <t>Денис Клевцов, Екатерина Клевцова</t>
        </is>
      </c>
      <c r="D254" s="3" t="n">
        <v>13200</v>
      </c>
      <c r="E254" s="4" t="n">
        <v>18</v>
      </c>
      <c r="F254" t="inlineStr">
        <is>
          <t>Яндекс.Путешествия [Чайковский]</t>
        </is>
      </c>
      <c r="G254" s="3">
        <f>ROUND(D254/(100-E254)*100,2)</f>
        <v/>
      </c>
      <c r="H254" s="3" t="n">
        <v>0</v>
      </c>
      <c r="I254" s="3">
        <f>ROUND(IF(ISNUMBER(AG254),AG254,G254)+H254,2)</f>
        <v/>
      </c>
      <c r="J254" s="2" t="inlineStr">
        <is>
          <t>Завтрак "Шведский стол"</t>
        </is>
      </c>
      <c r="K254" s="5" t="n">
        <v>46260.58333333334</v>
      </c>
      <c r="L254" t="n">
        <v>1</v>
      </c>
      <c r="M254" s="3">
        <f>I254/L254</f>
        <v/>
      </c>
      <c r="N254">
        <f>IF(M254&gt;=5100,"ставка","мин.ставка")</f>
        <v/>
      </c>
      <c r="O254" s="3">
        <f>ROUND(IF(N254="мин.ставка",L254*100,I254/102*2),2)</f>
        <v/>
      </c>
      <c r="P254" s="5" t="n">
        <v>46261.5</v>
      </c>
      <c r="Q254" t="inlineStr">
        <is>
          <t>TravelLine YAX</t>
        </is>
      </c>
      <c r="R254" s="2" t="inlineStr">
        <is>
          <t>ПОЛУЛЮКС</t>
        </is>
      </c>
      <c r="S254" t="n">
        <v>25</v>
      </c>
      <c r="T254" t="n">
        <v>1</v>
      </c>
      <c r="U254" t="inlineStr"/>
      <c r="V254" t="inlineStr">
        <is>
          <t>Тариф с завтраком</t>
        </is>
      </c>
      <c r="W254" t="n">
        <v>13200</v>
      </c>
      <c r="X254" s="3" t="n">
        <v>3300</v>
      </c>
      <c r="Y254" t="inlineStr">
        <is>
          <t>20%</t>
        </is>
      </c>
      <c r="Z254" t="inlineStr">
        <is>
          <t>2026-08-26</t>
        </is>
      </c>
      <c r="AA254" s="3" t="n">
        <v>13200</v>
      </c>
      <c r="AB254" t="inlineStr">
        <is>
          <t>Сошлось по ночным тарифам</t>
        </is>
      </c>
      <c r="AC254" s="2" t="inlineStr"/>
      <c r="AD254" t="n">
        <v>3300</v>
      </c>
      <c r="AE254" t="n">
        <v>0</v>
      </c>
      <c r="AF254" t="inlineStr">
        <is>
          <t>Скидка добавлена к налоговой базе</t>
        </is>
      </c>
      <c r="AG254" t="n">
        <v>16500</v>
      </c>
      <c r="AH254" t="n">
        <v>13200</v>
      </c>
      <c r="AI254" t="inlineStr">
        <is>
          <t>Полное проживание в выбранном периоде</t>
        </is>
      </c>
    </row>
    <row r="255">
      <c r="A255" t="inlineStr">
        <is>
          <t>20260720-8186-450692954</t>
        </is>
      </c>
      <c r="B255" t="n">
        <v>1</v>
      </c>
      <c r="C255" s="2" t="inlineStr">
        <is>
          <t>ДЕНИС ЛАЗУРЕНКО</t>
        </is>
      </c>
      <c r="D255" s="3" t="n">
        <v>11390</v>
      </c>
      <c r="E255" s="4" t="n">
        <v>15</v>
      </c>
      <c r="F255" t="inlineStr">
        <is>
          <t>ООО "БРОНИРОВАНИЕ ГОСТИНИЦ" (OSTROVOK) [Чайковский]</t>
        </is>
      </c>
      <c r="G255" s="3">
        <f>ROUND(D255/(100-E255)*100,2)</f>
        <v/>
      </c>
      <c r="H255" s="3" t="n">
        <v>0</v>
      </c>
      <c r="I255" s="3">
        <f>ROUND(IF(ISNUMBER(AG255),AG255,G255)+H255,2)</f>
        <v/>
      </c>
      <c r="J255" s="2" t="inlineStr">
        <is>
          <t>Завтрак "Шведский стол"</t>
        </is>
      </c>
      <c r="K255" s="5" t="n">
        <v>46223.58333333334</v>
      </c>
      <c r="L255" t="n">
        <v>1</v>
      </c>
      <c r="M255" s="3">
        <f>I255/L255</f>
        <v/>
      </c>
      <c r="N255">
        <f>IF(M255&gt;=5100,"ставка","мин.ставка")</f>
        <v/>
      </c>
      <c r="O255" s="3">
        <f>ROUND(IF(N255="мин.ставка",L255*100,I255/102*2),2)</f>
        <v/>
      </c>
      <c r="P255" s="5" t="n">
        <v>46224.5</v>
      </c>
      <c r="Q255" t="inlineStr">
        <is>
          <t>TravelLine OTK</t>
        </is>
      </c>
      <c r="R255" s="2" t="inlineStr">
        <is>
          <t>УЛУЧШЕННЫЙ ДВУХМЕСТНЫЙ НОМЕР</t>
        </is>
      </c>
      <c r="S255" t="n">
        <v>31</v>
      </c>
      <c r="T255" t="n">
        <v>1</v>
      </c>
      <c r="U255" t="inlineStr"/>
      <c r="V255" t="inlineStr">
        <is>
          <t>Тариф с завтраком</t>
        </is>
      </c>
      <c r="W255" t="n">
        <v>11390</v>
      </c>
      <c r="X255" s="3" t="n">
        <v>2010</v>
      </c>
      <c r="Y255" t="inlineStr">
        <is>
          <t>15%</t>
        </is>
      </c>
      <c r="Z255" t="inlineStr">
        <is>
          <t>2026-07-20</t>
        </is>
      </c>
      <c r="AA255" s="3" t="n">
        <v>11390</v>
      </c>
      <c r="AB255" t="inlineStr">
        <is>
          <t>Сошлось по ночным тарифам</t>
        </is>
      </c>
      <c r="AC255" s="2" t="inlineStr"/>
      <c r="AD255" t="n">
        <v>2010</v>
      </c>
      <c r="AE255" t="n">
        <v>0</v>
      </c>
      <c r="AF255" t="inlineStr">
        <is>
          <t>Скидка добавлена к налоговой базе</t>
        </is>
      </c>
      <c r="AG255" t="n">
        <v>13400</v>
      </c>
      <c r="AH255" t="n">
        <v>11390</v>
      </c>
      <c r="AI255" t="inlineStr">
        <is>
          <t>Полное проживание в выбранном периоде</t>
        </is>
      </c>
    </row>
    <row r="256">
      <c r="A256" t="inlineStr">
        <is>
          <t>20260901-8186-455767839</t>
        </is>
      </c>
      <c r="B256" t="n">
        <v>1</v>
      </c>
      <c r="C256" s="2" t="inlineStr">
        <is>
          <t>Денис Петров</t>
        </is>
      </c>
      <c r="D256" s="3" t="n">
        <v>27240</v>
      </c>
      <c r="E256" s="4" t="n">
        <v>20</v>
      </c>
      <c r="F256" t="inlineStr">
        <is>
          <t>ООО "КОМПАНИЯ БРОНЕВИК" [Чайковский]</t>
        </is>
      </c>
      <c r="G256" s="3">
        <f>ROUND(D256/(100-E256)*100,2)</f>
        <v/>
      </c>
      <c r="H256" s="3" t="n">
        <v>9080</v>
      </c>
      <c r="I256" s="3">
        <f>ROUND(IF(ISNUMBER(AG256),AG256,G256)+H256,2)</f>
        <v/>
      </c>
      <c r="J256" s="2" t="inlineStr">
        <is>
          <t>Завтрак "Шведский стол"; Поздний выезд — 9 080,00 ₽</t>
        </is>
      </c>
      <c r="K256" s="5" t="n">
        <v>46266.58333333334</v>
      </c>
      <c r="L256" t="n">
        <v>3</v>
      </c>
      <c r="M256" s="3">
        <f>I256/L256</f>
        <v/>
      </c>
      <c r="N256">
        <f>IF(M256&gt;=5100,"ставка","мин.ставка")</f>
        <v/>
      </c>
      <c r="O256" s="3">
        <f>ROUND(IF(N256="мин.ставка",L256*100,I256/102*2),2)</f>
        <v/>
      </c>
      <c r="P256" s="5" t="n">
        <v>46269.875</v>
      </c>
      <c r="Q256" t="inlineStr">
        <is>
          <t>TravelLine BR2</t>
        </is>
      </c>
      <c r="R256" s="2" t="inlineStr">
        <is>
          <t>СТАНДАРТНЫЙ ДВУХМЕСТНЫЙ НОМЕР</t>
        </is>
      </c>
      <c r="S256" t="n">
        <v>36</v>
      </c>
      <c r="T256" t="n">
        <v>1</v>
      </c>
      <c r="U256" t="inlineStr"/>
      <c r="V256" t="inlineStr">
        <is>
          <t>Тариф с завтраком</t>
        </is>
      </c>
      <c r="W256" t="n">
        <v>36320</v>
      </c>
      <c r="X256" s="3" t="n">
        <v>0</v>
      </c>
      <c r="Y256" t="inlineStr"/>
      <c r="Z256" t="inlineStr"/>
      <c r="AA256" s="3" t="n">
        <v>27240</v>
      </c>
      <c r="AB256" t="inlineStr">
        <is>
          <t>Расхождение -9080.00 ₽</t>
        </is>
      </c>
      <c r="AC256" s="2" t="inlineStr"/>
      <c r="AD256" t="n">
        <v>0</v>
      </c>
      <c r="AE256" t="n">
        <v>0</v>
      </c>
      <c r="AF256" t="inlineStr">
        <is>
          <t>Скидки нет</t>
        </is>
      </c>
      <c r="AG256" t="n">
        <v>27240</v>
      </c>
      <c r="AH256" t="n">
        <v>27240</v>
      </c>
      <c r="AI256" t="inlineStr">
        <is>
          <t>Полное проживание в выбранном периоде</t>
        </is>
      </c>
    </row>
    <row r="257">
      <c r="A257" t="inlineStr">
        <is>
          <t>20260810-8186-453530368</t>
        </is>
      </c>
      <c r="B257" t="n">
        <v>1</v>
      </c>
      <c r="C257" s="2" t="inlineStr">
        <is>
          <t>Денис Рыбин</t>
        </is>
      </c>
      <c r="D257" s="3" t="n">
        <v>6314</v>
      </c>
      <c r="E257" s="4" t="n">
        <v>18</v>
      </c>
      <c r="F257" t="inlineStr">
        <is>
          <t>ООО "ТРИВИО СЕРВИС" [Чайковский]</t>
        </is>
      </c>
      <c r="G257" s="3">
        <f>ROUND(D257/(100-E257)*100,2)</f>
        <v/>
      </c>
      <c r="H257" s="3" t="n">
        <v>0</v>
      </c>
      <c r="I257" s="3">
        <f>ROUND(IF(ISNUMBER(AG257),AG257,G257)+H257,2)</f>
        <v/>
      </c>
      <c r="J257" s="2" t="inlineStr">
        <is>
          <t>Завтрак "Шведский стол"</t>
        </is>
      </c>
      <c r="K257" s="5" t="n">
        <v>46245.58333333334</v>
      </c>
      <c r="L257" t="n">
        <v>1</v>
      </c>
      <c r="M257" s="3">
        <f>I257/L257</f>
        <v/>
      </c>
      <c r="N257">
        <f>IF(M257&gt;=5100,"ставка","мин.ставка")</f>
        <v/>
      </c>
      <c r="O257" s="3">
        <f>ROUND(IF(N257="мин.ставка",L257*100,I257/102*2),2)</f>
        <v/>
      </c>
      <c r="P257" s="5" t="n">
        <v>46246.5</v>
      </c>
      <c r="Q257" t="inlineStr">
        <is>
          <t>TravelLine TIO</t>
        </is>
      </c>
      <c r="R257" s="2" t="inlineStr">
        <is>
          <t>СТАНДАРТНЫЙ ОДНОМЕСТНЫЙ НОМЕР</t>
        </is>
      </c>
      <c r="S257" t="n">
        <v>34</v>
      </c>
      <c r="T257" t="n">
        <v>1</v>
      </c>
      <c r="U257" t="inlineStr"/>
      <c r="V257" t="inlineStr">
        <is>
          <t>Тариф с завтраком</t>
        </is>
      </c>
      <c r="W257" t="n">
        <v>6314</v>
      </c>
      <c r="X257" s="3" t="n">
        <v>1386</v>
      </c>
      <c r="Y257" t="inlineStr">
        <is>
          <t>18%</t>
        </is>
      </c>
      <c r="Z257" t="inlineStr">
        <is>
          <t>2026-08-11</t>
        </is>
      </c>
      <c r="AA257" s="3" t="n">
        <v>6314</v>
      </c>
      <c r="AB257" t="inlineStr">
        <is>
          <t>Сошлось по ночным тарифам</t>
        </is>
      </c>
      <c r="AC257" s="2" t="inlineStr"/>
      <c r="AD257" t="n">
        <v>1386</v>
      </c>
      <c r="AE257" t="n">
        <v>0</v>
      </c>
      <c r="AF257" t="inlineStr">
        <is>
          <t>Скидка добавлена к налоговой базе</t>
        </is>
      </c>
      <c r="AG257" t="n">
        <v>7700</v>
      </c>
      <c r="AH257" t="n">
        <v>6314</v>
      </c>
      <c r="AI257" t="inlineStr">
        <is>
          <t>Полное проживание в выбранном периоде</t>
        </is>
      </c>
    </row>
    <row r="258">
      <c r="A258" t="inlineStr">
        <is>
          <t>20260708-8186-448169391</t>
        </is>
      </c>
      <c r="B258" t="n">
        <v>1</v>
      </c>
      <c r="C258" s="2" t="inlineStr">
        <is>
          <t>Денис Янке, Ксения Гнатишина</t>
        </is>
      </c>
      <c r="D258" s="3" t="n">
        <v>13695</v>
      </c>
      <c r="E258" s="4" t="n">
        <v>17</v>
      </c>
      <c r="F258" t="inlineStr">
        <is>
          <t>ООО «Интернет Трэвел» (OZON) [Чайковский]</t>
        </is>
      </c>
      <c r="G258" s="3">
        <f>ROUND(D258/(100-E258)*100,2)</f>
        <v/>
      </c>
      <c r="H258" s="3" t="n">
        <v>0</v>
      </c>
      <c r="I258" s="3">
        <f>ROUND(IF(ISNUMBER(AG258),AG258,G258)+H258,2)</f>
        <v/>
      </c>
      <c r="J258" s="2" t="inlineStr">
        <is>
          <t>Завтрак "Шведский стол"</t>
        </is>
      </c>
      <c r="K258" s="5" t="n">
        <v>46211.58333333334</v>
      </c>
      <c r="L258" t="n">
        <v>1</v>
      </c>
      <c r="M258" s="3">
        <f>I258/L258</f>
        <v/>
      </c>
      <c r="N258">
        <f>IF(M258&gt;=5100,"ставка","мин.ставка")</f>
        <v/>
      </c>
      <c r="O258" s="3">
        <f>ROUND(IF(N258="мин.ставка",L258*100,I258/102*2),2)</f>
        <v/>
      </c>
      <c r="P258" s="5" t="n">
        <v>46212.5</v>
      </c>
      <c r="Q258" t="inlineStr">
        <is>
          <t>TravelLine OZ2</t>
        </is>
      </c>
      <c r="R258" s="2" t="inlineStr">
        <is>
          <t>ПОЛУЛЮКС</t>
        </is>
      </c>
      <c r="S258" t="n">
        <v>25</v>
      </c>
      <c r="T258" t="n">
        <v>1</v>
      </c>
      <c r="U258" t="inlineStr"/>
      <c r="V258" t="inlineStr">
        <is>
          <t>Тариф с завтраком</t>
        </is>
      </c>
      <c r="W258" t="n">
        <v>13695</v>
      </c>
      <c r="X258" s="3" t="n">
        <v>2805</v>
      </c>
      <c r="Y258" t="inlineStr">
        <is>
          <t>17%</t>
        </is>
      </c>
      <c r="Z258" t="inlineStr">
        <is>
          <t>2026-07-08</t>
        </is>
      </c>
      <c r="AA258" s="3" t="n">
        <v>13695</v>
      </c>
      <c r="AB258" t="inlineStr">
        <is>
          <t>Сошлось по ночным тарифам</t>
        </is>
      </c>
      <c r="AC258" s="2" t="inlineStr"/>
      <c r="AD258" t="n">
        <v>2805</v>
      </c>
      <c r="AE258" t="n">
        <v>0</v>
      </c>
      <c r="AF258" t="inlineStr">
        <is>
          <t>Скидка добавлена к налоговой базе</t>
        </is>
      </c>
      <c r="AG258" t="n">
        <v>16500</v>
      </c>
      <c r="AH258" t="n">
        <v>13695</v>
      </c>
      <c r="AI258" t="inlineStr">
        <is>
          <t>Полное проживание в выбранном периоде</t>
        </is>
      </c>
    </row>
    <row r="259">
      <c r="A259" t="inlineStr">
        <is>
          <t>20260810-8186-438161193</t>
        </is>
      </c>
      <c r="B259" t="n">
        <v>1</v>
      </c>
      <c r="C259" s="2" t="inlineStr">
        <is>
          <t>Диляра Газизова, Ралина Газизова</t>
        </is>
      </c>
      <c r="D259" s="3" t="n">
        <v>42075</v>
      </c>
      <c r="E259" s="4" t="n">
        <v>0</v>
      </c>
      <c r="F259" t="inlineStr">
        <is>
          <t>ООО «ХОМЛИН ЛЭНД» (ПЕГАС) [Чайковский]</t>
        </is>
      </c>
      <c r="G259" s="3">
        <f>ROUND(D259/(100-E259)*100,2)</f>
        <v/>
      </c>
      <c r="H259" s="3" t="n">
        <v>0</v>
      </c>
      <c r="I259" s="3">
        <f>ROUND(IF(ISNUMBER(AG259),AG259,G259)+H259,2)</f>
        <v/>
      </c>
      <c r="J259" s="2" t="inlineStr">
        <is>
          <t>Завтрак "Шведский стол"</t>
        </is>
      </c>
      <c r="K259" s="5" t="n">
        <v>46244.58333333334</v>
      </c>
      <c r="L259" t="n">
        <v>5</v>
      </c>
      <c r="M259" s="3">
        <f>I259/L259</f>
        <v/>
      </c>
      <c r="N259">
        <f>IF(M259&gt;=5100,"ставка","мин.ставка")</f>
        <v/>
      </c>
      <c r="O259" s="3">
        <f>ROUND(IF(N259="мин.ставка",L259*100,I259/102*2),2)</f>
        <v/>
      </c>
      <c r="P259" s="5" t="n">
        <v>46249.5</v>
      </c>
      <c r="Q259" t="inlineStr">
        <is>
          <t>TravelLine PGS</t>
        </is>
      </c>
      <c r="R259" s="2" t="inlineStr">
        <is>
          <t>СТАНДАРТНЫЙ ДВУХМЕСТНЫЙ НОМЕР (МАНСАРДА)</t>
        </is>
      </c>
      <c r="S259" t="n">
        <v>45</v>
      </c>
      <c r="T259" t="n">
        <v>1</v>
      </c>
      <c r="U259" t="inlineStr"/>
      <c r="V259" t="inlineStr">
        <is>
          <t>Тариф с завтраком</t>
        </is>
      </c>
      <c r="W259" t="n">
        <v>42075</v>
      </c>
      <c r="X259" s="3" t="n">
        <v>7425</v>
      </c>
      <c r="Y259" t="inlineStr">
        <is>
          <t>15%</t>
        </is>
      </c>
      <c r="Z259" t="inlineStr">
        <is>
          <t>2026-08-10, 2026-08-11, 2026-08-12, 2026-08-13, 2026-08-14</t>
        </is>
      </c>
      <c r="AA259" s="3" t="n">
        <v>42075</v>
      </c>
      <c r="AB259" t="inlineStr">
        <is>
          <t>Сошлось по ночным тарифам</t>
        </is>
      </c>
      <c r="AC259" s="2" t="inlineStr"/>
      <c r="AD259" t="n">
        <v>7425</v>
      </c>
      <c r="AE259" t="n">
        <v>0</v>
      </c>
      <c r="AF259" t="inlineStr">
        <is>
          <t>Скидка добавлена к налоговой базе</t>
        </is>
      </c>
      <c r="AG259" t="n">
        <v>49500</v>
      </c>
      <c r="AH259" t="n">
        <v>42075</v>
      </c>
      <c r="AI259" t="inlineStr">
        <is>
          <t>Полное проживание в выбранном периоде</t>
        </is>
      </c>
    </row>
    <row r="260">
      <c r="A260" t="inlineStr">
        <is>
          <t>20260720-8186-451489596</t>
        </is>
      </c>
      <c r="B260" t="n">
        <v>1</v>
      </c>
      <c r="C260" s="2" t="inlineStr">
        <is>
          <t>Динара Гарипова, Наталья Зубкова</t>
        </is>
      </c>
      <c r="D260" s="3" t="n">
        <v>10680</v>
      </c>
      <c r="E260" s="4" t="n">
        <v>18</v>
      </c>
      <c r="F260" t="inlineStr">
        <is>
          <t>Яндекс.Путешествия [Чайковский]</t>
        </is>
      </c>
      <c r="G260" s="3">
        <f>ROUND(D260/(100-E260)*100,2)</f>
        <v/>
      </c>
      <c r="H260" s="3" t="n">
        <v>0</v>
      </c>
      <c r="I260" s="3">
        <f>ROUND(IF(ISNUMBER(AG260),AG260,G260)+H260,2)</f>
        <v/>
      </c>
      <c r="J260" s="2" t="inlineStr">
        <is>
          <t>Завтрак "Шведский стол"</t>
        </is>
      </c>
      <c r="K260" s="5" t="n">
        <v>46223.58333333334</v>
      </c>
      <c r="L260" t="n">
        <v>1</v>
      </c>
      <c r="M260" s="3">
        <f>I260/L260</f>
        <v/>
      </c>
      <c r="N260">
        <f>IF(M260&gt;=5100,"ставка","мин.ставка")</f>
        <v/>
      </c>
      <c r="O260" s="3">
        <f>ROUND(IF(N260="мин.ставка",L260*100,I260/102*2),2)</f>
        <v/>
      </c>
      <c r="P260" s="5" t="n">
        <v>46224.5</v>
      </c>
      <c r="Q260" t="inlineStr">
        <is>
          <t>TravelLine YAX</t>
        </is>
      </c>
      <c r="R260" s="2" t="inlineStr">
        <is>
          <t>СТАНДАРТНЫЙ ДВУХМЕСТНЫЙ НОМЕР</t>
        </is>
      </c>
      <c r="S260" t="n">
        <v>26</v>
      </c>
      <c r="T260" t="n">
        <v>1</v>
      </c>
      <c r="U260" t="inlineStr"/>
      <c r="V260" t="inlineStr">
        <is>
          <t>Тариф с завтраком</t>
        </is>
      </c>
      <c r="W260" t="n">
        <v>10680</v>
      </c>
      <c r="X260" s="3" t="n">
        <v>2670</v>
      </c>
      <c r="Y260" t="inlineStr">
        <is>
          <t>20%</t>
        </is>
      </c>
      <c r="Z260" t="inlineStr">
        <is>
          <t>2026-07-20</t>
        </is>
      </c>
      <c r="AA260" s="3" t="n">
        <v>10680</v>
      </c>
      <c r="AB260" t="inlineStr">
        <is>
          <t>Сошлось по ночным тарифам</t>
        </is>
      </c>
      <c r="AC260" s="2" t="inlineStr"/>
      <c r="AD260" t="n">
        <v>2670</v>
      </c>
      <c r="AE260" t="n">
        <v>0</v>
      </c>
      <c r="AF260" t="inlineStr">
        <is>
          <t>Скидка добавлена к налоговой базе</t>
        </is>
      </c>
      <c r="AG260" t="n">
        <v>13350</v>
      </c>
      <c r="AH260" t="n">
        <v>10680</v>
      </c>
      <c r="AI260" t="inlineStr">
        <is>
          <t>Полное проживание в выбранном периоде</t>
        </is>
      </c>
    </row>
    <row r="261">
      <c r="A261" t="inlineStr">
        <is>
          <t>20260808-8186-457026340</t>
        </is>
      </c>
      <c r="B261" t="n">
        <v>1</v>
      </c>
      <c r="C261" s="2" t="inlineStr">
        <is>
          <t>Дмитрий Агеев</t>
        </is>
      </c>
      <c r="D261" s="3" t="n">
        <v>13350</v>
      </c>
      <c r="E261" s="4" t="n">
        <v>0</v>
      </c>
      <c r="F261" t="inlineStr">
        <is>
          <t>Прямые бронирования (стойка) [Чайковский]</t>
        </is>
      </c>
      <c r="G261" s="3">
        <f>ROUND(D261/(100-E261)*100,2)</f>
        <v/>
      </c>
      <c r="H261" s="3" t="n">
        <v>0</v>
      </c>
      <c r="I261" s="3">
        <f>ROUND(IF(ISNUMBER(AG261),AG261,G261)+H261,2)</f>
        <v/>
      </c>
      <c r="J261" s="2" t="inlineStr">
        <is>
          <t>Завтрак "Шведский стол"</t>
        </is>
      </c>
      <c r="K261" s="5" t="n">
        <v>46242.58333333334</v>
      </c>
      <c r="L261" t="n">
        <v>1</v>
      </c>
      <c r="M261" s="3">
        <f>I261/L261</f>
        <v/>
      </c>
      <c r="N261">
        <f>IF(M261&gt;=5100,"ставка","мин.ставка")</f>
        <v/>
      </c>
      <c r="O261" s="3">
        <f>ROUND(IF(N261="мин.ставка",L261*100,I261/102*2),2)</f>
        <v/>
      </c>
      <c r="P261" s="5" t="n">
        <v>46243.5</v>
      </c>
      <c r="Q261" t="inlineStr">
        <is>
          <t>TravelLine ресепшен</t>
        </is>
      </c>
      <c r="R261" s="2" t="inlineStr">
        <is>
          <t>СТАНДАРТНЫЙ ДВУХМЕСТНЫЙ НОМЕР</t>
        </is>
      </c>
      <c r="S261" t="n">
        <v>44</v>
      </c>
      <c r="T261" t="n">
        <v>1</v>
      </c>
      <c r="U261" t="inlineStr"/>
      <c r="V261" t="inlineStr">
        <is>
          <t>Тариф с завтраком</t>
        </is>
      </c>
      <c r="W261" t="n">
        <v>13350</v>
      </c>
      <c r="X261" s="3" t="n">
        <v>0</v>
      </c>
      <c r="Y261" t="inlineStr"/>
      <c r="Z261" t="inlineStr"/>
      <c r="AA261" s="3" t="n">
        <v>13350</v>
      </c>
      <c r="AB261" t="inlineStr">
        <is>
          <t>Сошлось по ночным тарифам</t>
        </is>
      </c>
      <c r="AC261" s="2" t="inlineStr"/>
      <c r="AD261" t="n">
        <v>0</v>
      </c>
      <c r="AE261" t="n">
        <v>0</v>
      </c>
      <c r="AF261" t="inlineStr">
        <is>
          <t>Скидки нет</t>
        </is>
      </c>
      <c r="AG261" t="n">
        <v>13350</v>
      </c>
      <c r="AH261" t="n">
        <v>13350</v>
      </c>
      <c r="AI261" t="inlineStr">
        <is>
          <t>Полное проживание в выбранном периоде</t>
        </is>
      </c>
    </row>
    <row r="262">
      <c r="A262" t="inlineStr">
        <is>
          <t>20260920-8186-467291466</t>
        </is>
      </c>
      <c r="B262" t="n">
        <v>1</v>
      </c>
      <c r="C262" s="2" t="inlineStr">
        <is>
          <t>Дмитрий Алешков, Кристина аЛЕШКОВА</t>
        </is>
      </c>
      <c r="D262" s="3" t="n">
        <v>9900</v>
      </c>
      <c r="E262" s="4" t="n">
        <v>0</v>
      </c>
      <c r="F262" t="inlineStr">
        <is>
          <t>Прямые бронирования (стойка) [Чайковский]</t>
        </is>
      </c>
      <c r="G262" s="3">
        <f>ROUND(D262/(100-E262)*100,2)</f>
        <v/>
      </c>
      <c r="H262" s="3" t="n">
        <v>0</v>
      </c>
      <c r="I262" s="3">
        <f>ROUND(IF(ISNUMBER(AG262),AG262,G262)+H262,2)</f>
        <v/>
      </c>
      <c r="J262" s="2" t="inlineStr">
        <is>
          <t>Завтрак "Шведский стол"</t>
        </is>
      </c>
      <c r="K262" s="5" t="n">
        <v>46285.58333333334</v>
      </c>
      <c r="L262" t="n">
        <v>1</v>
      </c>
      <c r="M262" s="3">
        <f>I262/L262</f>
        <v/>
      </c>
      <c r="N262">
        <f>IF(M262&gt;=5100,"ставка","мин.ставка")</f>
        <v/>
      </c>
      <c r="O262" s="3">
        <f>ROUND(IF(N262="мин.ставка",L262*100,I262/102*2),2)</f>
        <v/>
      </c>
      <c r="P262" s="5" t="n">
        <v>46286.5</v>
      </c>
      <c r="Q262" t="inlineStr">
        <is>
          <t>TravelLine ресепшен</t>
        </is>
      </c>
      <c r="R262" s="2" t="inlineStr">
        <is>
          <t>СТАНДАРТНЫЙ ДВУХМЕСТНЫЙ НОМЕР (МАНСАРДА)</t>
        </is>
      </c>
      <c r="S262" t="n">
        <v>43</v>
      </c>
      <c r="T262" t="n">
        <v>1</v>
      </c>
      <c r="U262" t="inlineStr"/>
      <c r="V262" t="inlineStr">
        <is>
          <t>Тариф с завтраком</t>
        </is>
      </c>
      <c r="W262" t="n">
        <v>9900</v>
      </c>
      <c r="X262" s="3" t="n">
        <v>0</v>
      </c>
      <c r="Y262" t="inlineStr"/>
      <c r="Z262" t="inlineStr"/>
      <c r="AA262" s="3" t="n">
        <v>9900</v>
      </c>
      <c r="AB262" t="inlineStr">
        <is>
          <t>Сошлось по ночным тарифам</t>
        </is>
      </c>
      <c r="AC262" s="2" t="inlineStr"/>
      <c r="AD262" t="n">
        <v>0</v>
      </c>
      <c r="AE262" t="n">
        <v>0</v>
      </c>
      <c r="AF262" t="inlineStr">
        <is>
          <t>Скидки нет</t>
        </is>
      </c>
      <c r="AG262" t="n">
        <v>9900</v>
      </c>
      <c r="AH262" t="n">
        <v>9900</v>
      </c>
      <c r="AI262" t="inlineStr">
        <is>
          <t>Полное проживание в выбранном периоде</t>
        </is>
      </c>
    </row>
    <row r="263">
      <c r="A263" t="inlineStr">
        <is>
          <t>20260713-8186-449918669</t>
        </is>
      </c>
      <c r="B263" t="n">
        <v>1</v>
      </c>
      <c r="C263" s="2" t="inlineStr">
        <is>
          <t>Дмитрий Барменков</t>
        </is>
      </c>
      <c r="D263" s="3" t="n">
        <v>9647.5</v>
      </c>
      <c r="E263" s="4" t="n">
        <v>15</v>
      </c>
      <c r="F263" t="inlineStr">
        <is>
          <t>ООО "БРОНИРОВАНИЕ ГОСТИНИЦ" (OSTROVOK) [Чайковский]</t>
        </is>
      </c>
      <c r="G263" s="3">
        <f>ROUND(D263/(100-E263)*100,2)</f>
        <v/>
      </c>
      <c r="H263" s="3" t="n">
        <v>0</v>
      </c>
      <c r="I263" s="3">
        <f>ROUND(IF(ISNUMBER(AG263),AG263,G263)+H263,2)</f>
        <v/>
      </c>
      <c r="J263" s="2" t="inlineStr">
        <is>
          <t>Завтрак "Шведский стол"</t>
        </is>
      </c>
      <c r="K263" s="5" t="n">
        <v>46216.58333333334</v>
      </c>
      <c r="L263" t="n">
        <v>1</v>
      </c>
      <c r="M263" s="3">
        <f>I263/L263</f>
        <v/>
      </c>
      <c r="N263">
        <f>IF(M263&gt;=5100,"ставка","мин.ставка")</f>
        <v/>
      </c>
      <c r="O263" s="3">
        <f>ROUND(IF(N263="мин.ставка",L263*100,I263/102*2),2)</f>
        <v/>
      </c>
      <c r="P263" s="5" t="n">
        <v>46217.5</v>
      </c>
      <c r="Q263" t="inlineStr">
        <is>
          <t>TravelLine OTK</t>
        </is>
      </c>
      <c r="R263" s="2" t="inlineStr">
        <is>
          <t>СТАНДАРТНЫЙ ДВУХМЕСТНЫЙ НОМЕР</t>
        </is>
      </c>
      <c r="S263" t="n">
        <v>42</v>
      </c>
      <c r="T263" t="n">
        <v>1</v>
      </c>
      <c r="U263" t="inlineStr"/>
      <c r="V263" t="inlineStr">
        <is>
          <t>Тариф с завтраком</t>
        </is>
      </c>
      <c r="W263" t="n">
        <v>9647.5</v>
      </c>
      <c r="X263" s="3" t="n">
        <v>1702.5</v>
      </c>
      <c r="Y263" t="inlineStr">
        <is>
          <t>15%</t>
        </is>
      </c>
      <c r="Z263" t="inlineStr">
        <is>
          <t>2026-07-13</t>
        </is>
      </c>
      <c r="AA263" s="3" t="n">
        <v>9647.5</v>
      </c>
      <c r="AB263" t="inlineStr">
        <is>
          <t>Сошлось по ночным тарифам</t>
        </is>
      </c>
      <c r="AC263" s="2" t="inlineStr"/>
      <c r="AD263" t="n">
        <v>1702.5</v>
      </c>
      <c r="AE263" t="n">
        <v>0</v>
      </c>
      <c r="AF263" t="inlineStr">
        <is>
          <t>Скидка добавлена к налоговой базе</t>
        </is>
      </c>
      <c r="AG263" t="n">
        <v>11350</v>
      </c>
      <c r="AH263" t="n">
        <v>9647.5</v>
      </c>
      <c r="AI263" t="inlineStr">
        <is>
          <t>Полное проживание в выбранном периоде</t>
        </is>
      </c>
    </row>
    <row r="264">
      <c r="A264" t="inlineStr">
        <is>
          <t>20260722-8186-443640267</t>
        </is>
      </c>
      <c r="B264" t="n">
        <v>1</v>
      </c>
      <c r="C264" s="2" t="inlineStr">
        <is>
          <t>Дмитрий Батюшенков</t>
        </is>
      </c>
      <c r="D264" s="3" t="n">
        <v>18160</v>
      </c>
      <c r="E264" s="4" t="n">
        <v>20</v>
      </c>
      <c r="F264" t="inlineStr">
        <is>
          <t>ООО "ХБ-ПРО" [Чайковский]</t>
        </is>
      </c>
      <c r="G264" s="3">
        <f>ROUND(D264/(100-E264)*100,2)</f>
        <v/>
      </c>
      <c r="H264" s="3" t="n">
        <v>0</v>
      </c>
      <c r="I264" s="3">
        <f>ROUND(IF(ISNUMBER(AG264),AG264,G264)+H264,2)</f>
        <v/>
      </c>
      <c r="J264" s="2" t="inlineStr">
        <is>
          <t>Завтрак "Шведский стол"</t>
        </is>
      </c>
      <c r="K264" s="5" t="n">
        <v>46225.58333333334</v>
      </c>
      <c r="L264" t="n">
        <v>2</v>
      </c>
      <c r="M264" s="3">
        <f>I264/L264</f>
        <v/>
      </c>
      <c r="N264">
        <f>IF(M264&gt;=5100,"ставка","мин.ставка")</f>
        <v/>
      </c>
      <c r="O264" s="3">
        <f>ROUND(IF(N264="мин.ставка",L264*100,I264/102*2),2)</f>
        <v/>
      </c>
      <c r="P264" s="5" t="n">
        <v>46227.5</v>
      </c>
      <c r="Q264" t="inlineStr">
        <is>
          <t>TravelLine UTS</t>
        </is>
      </c>
      <c r="R264" s="2" t="inlineStr">
        <is>
          <t>СТАНДАРТНЫЙ ДВУХМЕСТНЫЙ НОМЕР</t>
        </is>
      </c>
      <c r="S264" t="n">
        <v>23</v>
      </c>
      <c r="T264" t="n">
        <v>1</v>
      </c>
      <c r="U264" t="inlineStr"/>
      <c r="V264" t="inlineStr">
        <is>
          <t>Тариф с завтраком</t>
        </is>
      </c>
      <c r="W264" t="n">
        <v>18160</v>
      </c>
      <c r="X264" s="3" t="n">
        <v>0</v>
      </c>
      <c r="Y264" t="inlineStr"/>
      <c r="Z264" t="inlineStr"/>
      <c r="AA264" s="3" t="n">
        <v>18160</v>
      </c>
      <c r="AB264" t="inlineStr">
        <is>
          <t>Сошлось по ночным тарифам</t>
        </is>
      </c>
      <c r="AC264" s="2" t="inlineStr"/>
      <c r="AD264" t="n">
        <v>0</v>
      </c>
      <c r="AE264" t="n">
        <v>0</v>
      </c>
      <c r="AF264" t="inlineStr">
        <is>
          <t>Скидки нет</t>
        </is>
      </c>
      <c r="AG264" t="n">
        <v>18160</v>
      </c>
      <c r="AH264" t="n">
        <v>18160</v>
      </c>
      <c r="AI264" t="inlineStr">
        <is>
          <t>Полное проживание в выбранном периоде</t>
        </is>
      </c>
    </row>
    <row r="265">
      <c r="A265" t="inlineStr">
        <is>
          <t>20260706-8186-447671235</t>
        </is>
      </c>
      <c r="B265" t="n">
        <v>1</v>
      </c>
      <c r="C265" s="2" t="inlineStr">
        <is>
          <t>Дмитрий Ермолин, Эллина Ермолина</t>
        </is>
      </c>
      <c r="D265" s="3" t="n">
        <v>13346.75</v>
      </c>
      <c r="E265" s="4" t="n">
        <v>4</v>
      </c>
      <c r="F265" t="inlineStr">
        <is>
          <t>TravelLine Booking Engine [Чайковский]</t>
        </is>
      </c>
      <c r="G265" s="3">
        <f>ROUND(D265/(100-E265)*100,2)</f>
        <v/>
      </c>
      <c r="H265" s="3" t="n">
        <v>0</v>
      </c>
      <c r="I265" s="3">
        <f>ROUND(IF(ISNUMBER(AG265),AG265,G265)+H265,2)</f>
        <v/>
      </c>
      <c r="J265" s="2" t="inlineStr">
        <is>
          <t>Завтрак "Шведский стол"</t>
        </is>
      </c>
      <c r="K265" s="5" t="n">
        <v>46209.58333333334</v>
      </c>
      <c r="L265" t="n">
        <v>1</v>
      </c>
      <c r="M265" s="3">
        <f>I265/L265</f>
        <v/>
      </c>
      <c r="N265">
        <f>IF(M265&gt;=5100,"ставка","мин.ставка")</f>
        <v/>
      </c>
      <c r="O265" s="3">
        <f>ROUND(IF(N265="мин.ставка",L265*100,I265/102*2),2)</f>
        <v/>
      </c>
      <c r="P265" s="5" t="n">
        <v>46210.5</v>
      </c>
      <c r="Q265" t="inlineStr">
        <is>
          <t>TravelLine сайт</t>
        </is>
      </c>
      <c r="R265" s="2" t="inlineStr">
        <is>
          <t>ПОЛУЛЮКС</t>
        </is>
      </c>
      <c r="S265" t="n">
        <v>35</v>
      </c>
      <c r="T265" t="n">
        <v>1</v>
      </c>
      <c r="U265" t="inlineStr"/>
      <c r="V265" t="inlineStr">
        <is>
          <t>Тариф с завтраком</t>
        </is>
      </c>
      <c r="W265" t="n">
        <v>13346.75</v>
      </c>
      <c r="X265" s="3" t="n">
        <v>203.25</v>
      </c>
      <c r="Y265" t="inlineStr">
        <is>
          <t>1.5%</t>
        </is>
      </c>
      <c r="Z265" t="inlineStr">
        <is>
          <t>2026-07-06</t>
        </is>
      </c>
      <c r="AA265" s="3" t="n">
        <v>13346.75</v>
      </c>
      <c r="AB265" t="inlineStr">
        <is>
          <t>Сошлось по ночным тарифам</t>
        </is>
      </c>
      <c r="AC265" s="2" t="inlineStr"/>
      <c r="AD265" t="n">
        <v>203.25</v>
      </c>
      <c r="AE265" t="n">
        <v>0</v>
      </c>
      <c r="AF265" t="inlineStr">
        <is>
          <t>Скидка добавлена к налоговой базе</t>
        </is>
      </c>
      <c r="AG265" t="n">
        <v>13550</v>
      </c>
      <c r="AH265" t="n">
        <v>13346.75</v>
      </c>
      <c r="AI265" t="inlineStr">
        <is>
          <t>Полное проживание в выбранном периоде</t>
        </is>
      </c>
    </row>
    <row r="266">
      <c r="A266" t="inlineStr">
        <is>
          <t>20260919-8186-465134993</t>
        </is>
      </c>
      <c r="B266" t="n">
        <v>1</v>
      </c>
      <c r="C266" s="2" t="inlineStr">
        <is>
          <t>ДМИТРИЙ Козлов</t>
        </is>
      </c>
      <c r="D266" s="3" t="n">
        <v>11850</v>
      </c>
      <c r="E266" s="4" t="n">
        <v>18</v>
      </c>
      <c r="F266" t="inlineStr">
        <is>
          <t>Яндекс.Путешествия [Чайковский]</t>
        </is>
      </c>
      <c r="G266" s="3">
        <f>ROUND(D266/(100-E266)*100,2)</f>
        <v/>
      </c>
      <c r="H266" s="3" t="n">
        <v>0</v>
      </c>
      <c r="I266" s="3">
        <f>ROUND(IF(ISNUMBER(AG266),AG266,G266)+H266,2)</f>
        <v/>
      </c>
      <c r="J266" s="2" t="inlineStr">
        <is>
          <t>Завтрак "Шведский стол"</t>
        </is>
      </c>
      <c r="K266" s="5" t="n">
        <v>46284.58333333334</v>
      </c>
      <c r="L266" t="n">
        <v>2</v>
      </c>
      <c r="M266" s="3">
        <f>I266/L266</f>
        <v/>
      </c>
      <c r="N266">
        <f>IF(M266&gt;=5100,"ставка","мин.ставка")</f>
        <v/>
      </c>
      <c r="O266" s="3">
        <f>ROUND(IF(N266="мин.ставка",L266*100,I266/102*2),2)</f>
        <v/>
      </c>
      <c r="P266" s="5" t="n">
        <v>46286.5</v>
      </c>
      <c r="Q266" t="inlineStr">
        <is>
          <t>TravelLine YAX</t>
        </is>
      </c>
      <c r="R266" s="2" t="inlineStr">
        <is>
          <t>СТАНДАРТНЫЙ ДВУХМЕСТНЫЙ НОМЕР (МАНСАРДА)</t>
        </is>
      </c>
      <c r="S266" t="n">
        <v>47</v>
      </c>
      <c r="T266" t="n">
        <v>1</v>
      </c>
      <c r="U266" t="inlineStr"/>
      <c r="V266" t="inlineStr">
        <is>
          <t>Тариф с завтраком</t>
        </is>
      </c>
      <c r="W266" t="n">
        <v>11850</v>
      </c>
      <c r="X266" s="3" t="n">
        <v>3950</v>
      </c>
      <c r="Y266" t="inlineStr">
        <is>
          <t>25%</t>
        </is>
      </c>
      <c r="Z266" t="inlineStr">
        <is>
          <t>2026-09-19, 2026-09-20</t>
        </is>
      </c>
      <c r="AA266" s="3" t="n">
        <v>11850</v>
      </c>
      <c r="AB266" t="inlineStr">
        <is>
          <t>Сошлось по ночным тарифам</t>
        </is>
      </c>
      <c r="AC266" s="2" t="inlineStr"/>
      <c r="AD266" t="n">
        <v>3950</v>
      </c>
      <c r="AE266" t="n">
        <v>0</v>
      </c>
      <c r="AF266" t="inlineStr">
        <is>
          <t>Скидка добавлена к налоговой базе</t>
        </is>
      </c>
      <c r="AG266" t="n">
        <v>15800</v>
      </c>
      <c r="AH266" t="n">
        <v>11850</v>
      </c>
      <c r="AI266" t="inlineStr">
        <is>
          <t>Полное проживание в выбранном периоде</t>
        </is>
      </c>
    </row>
    <row r="267">
      <c r="A267" t="inlineStr">
        <is>
          <t>20260830-8186-441259447</t>
        </is>
      </c>
      <c r="B267" t="n">
        <v>1</v>
      </c>
      <c r="C267" s="2" t="inlineStr">
        <is>
          <t>Дмитрий Куковенко, Оксана Патрова</t>
        </is>
      </c>
      <c r="D267" s="3" t="n">
        <v>16434</v>
      </c>
      <c r="E267" s="4" t="n">
        <v>17</v>
      </c>
      <c r="F267" t="inlineStr">
        <is>
          <t>ООО «Интернет Трэвел» (OZON) [Чайковский]</t>
        </is>
      </c>
      <c r="G267" s="3">
        <f>ROUND(D267/(100-E267)*100,2)</f>
        <v/>
      </c>
      <c r="H267" s="3" t="n">
        <v>0</v>
      </c>
      <c r="I267" s="3">
        <f>ROUND(IF(ISNUMBER(AG267),AG267,G267)+H267,2)</f>
        <v/>
      </c>
      <c r="J267" s="2" t="inlineStr">
        <is>
          <t>Завтрак "Шведский стол"</t>
        </is>
      </c>
      <c r="K267" s="5" t="n">
        <v>46264.58333333334</v>
      </c>
      <c r="L267" t="n">
        <v>2</v>
      </c>
      <c r="M267" s="3">
        <f>I267/L267</f>
        <v/>
      </c>
      <c r="N267">
        <f>IF(M267&gt;=5100,"ставка","мин.ставка")</f>
        <v/>
      </c>
      <c r="O267" s="3">
        <f>ROUND(IF(N267="мин.ставка",L267*100,I267/102*2),2)</f>
        <v/>
      </c>
      <c r="P267" s="5" t="n">
        <v>46266.5</v>
      </c>
      <c r="Q267" t="inlineStr">
        <is>
          <t>TravelLine OZ2</t>
        </is>
      </c>
      <c r="R267" s="2" t="inlineStr">
        <is>
          <t>СТАНДАРТНЫЙ ДВУХМЕСТНЫЙ НОМЕР</t>
        </is>
      </c>
      <c r="S267" t="n">
        <v>46</v>
      </c>
      <c r="T267" t="n">
        <v>1</v>
      </c>
      <c r="U267" t="inlineStr"/>
      <c r="V267" t="inlineStr">
        <is>
          <t>Тариф с завтраком</t>
        </is>
      </c>
      <c r="W267" t="n">
        <v>16434</v>
      </c>
      <c r="X267" s="3" t="n">
        <v>3366</v>
      </c>
      <c r="Y267" t="inlineStr">
        <is>
          <t>17%</t>
        </is>
      </c>
      <c r="Z267" t="inlineStr">
        <is>
          <t>2026-08-30, 2026-08-31</t>
        </is>
      </c>
      <c r="AA267" s="3" t="n">
        <v>16434</v>
      </c>
      <c r="AB267" t="inlineStr">
        <is>
          <t>Сошлось по ночным тарифам</t>
        </is>
      </c>
      <c r="AC267" s="2" t="inlineStr"/>
      <c r="AD267" t="n">
        <v>3366</v>
      </c>
      <c r="AE267" t="n">
        <v>0</v>
      </c>
      <c r="AF267" t="inlineStr">
        <is>
          <t>Скидка добавлена к налоговой базе</t>
        </is>
      </c>
      <c r="AG267" t="n">
        <v>19800</v>
      </c>
      <c r="AH267" t="n">
        <v>16434</v>
      </c>
      <c r="AI267" t="inlineStr">
        <is>
          <t>Полное проживание в выбранном периоде</t>
        </is>
      </c>
    </row>
    <row r="268">
      <c r="A268" t="inlineStr">
        <is>
          <t>20260801-8186-441245788</t>
        </is>
      </c>
      <c r="B268" t="n">
        <v>1</v>
      </c>
      <c r="C268" s="2" t="inlineStr">
        <is>
          <t>Дмитрий Кусков</t>
        </is>
      </c>
      <c r="D268" s="3" t="n">
        <v>7461.3</v>
      </c>
      <c r="E268" s="4" t="n">
        <v>4</v>
      </c>
      <c r="F268" t="inlineStr">
        <is>
          <t>TravelLine Booking Engine [Чайковский]</t>
        </is>
      </c>
      <c r="G268" s="3">
        <f>ROUND(D268/(100-E268)*100,2)</f>
        <v/>
      </c>
      <c r="H268" s="3" t="n">
        <v>0</v>
      </c>
      <c r="I268" s="3">
        <f>ROUND(IF(ISNUMBER(AG268),AG268,G268)+H268,2)</f>
        <v/>
      </c>
      <c r="J268" s="2" t="inlineStr">
        <is>
          <t>Завтрак "Шведский стол"</t>
        </is>
      </c>
      <c r="K268" s="5" t="n">
        <v>46235.58333333334</v>
      </c>
      <c r="L268" t="n">
        <v>1</v>
      </c>
      <c r="M268" s="3">
        <f>I268/L268</f>
        <v/>
      </c>
      <c r="N268">
        <f>IF(M268&gt;=5100,"ставка","мин.ставка")</f>
        <v/>
      </c>
      <c r="O268" s="3">
        <f>ROUND(IF(N268="мин.ставка",L268*100,I268/102*2),2)</f>
        <v/>
      </c>
      <c r="P268" s="5" t="n">
        <v>46236.5</v>
      </c>
      <c r="Q268" t="inlineStr">
        <is>
          <t>TravelLine сайт</t>
        </is>
      </c>
      <c r="R268" s="2" t="inlineStr">
        <is>
          <t>СТАНДАРТНЫЙ ОДНОМЕСТНЫЙ НОМЕР</t>
        </is>
      </c>
      <c r="S268" t="n">
        <v>24</v>
      </c>
      <c r="T268" t="n">
        <v>1</v>
      </c>
      <c r="U268" t="inlineStr"/>
      <c r="V268" t="inlineStr">
        <is>
          <t>Тариф с завтраком</t>
        </is>
      </c>
      <c r="W268" t="n">
        <v>7461.3</v>
      </c>
      <c r="X268" s="3" t="n">
        <v>238.7</v>
      </c>
      <c r="Y268" t="inlineStr">
        <is>
          <t>3.1%</t>
        </is>
      </c>
      <c r="Z268" t="inlineStr">
        <is>
          <t>2026-08-01</t>
        </is>
      </c>
      <c r="AA268" s="3" t="n">
        <v>7461.3</v>
      </c>
      <c r="AB268" t="inlineStr">
        <is>
          <t>Сошлось по ночным тарифам</t>
        </is>
      </c>
      <c r="AC268" s="2" t="inlineStr"/>
      <c r="AD268" t="n">
        <v>238.7</v>
      </c>
      <c r="AE268" t="n">
        <v>0</v>
      </c>
      <c r="AF268" t="inlineStr">
        <is>
          <t>Скидка добавлена к налоговой базе</t>
        </is>
      </c>
      <c r="AG268" t="n">
        <v>7700</v>
      </c>
      <c r="AH268" t="n">
        <v>7461.3</v>
      </c>
      <c r="AI268" t="inlineStr">
        <is>
          <t>Полное проживание в выбранном периоде</t>
        </is>
      </c>
    </row>
    <row r="269">
      <c r="A269" t="inlineStr">
        <is>
          <t>20260925-8186-467835315</t>
        </is>
      </c>
      <c r="B269" t="n">
        <v>1</v>
      </c>
      <c r="C269" s="2" t="inlineStr">
        <is>
          <t>Дмитрий ЛЕБЕДЕВ, Анастасия Сирык</t>
        </is>
      </c>
      <c r="D269" s="3" t="n">
        <v>33000</v>
      </c>
      <c r="E269" s="4" t="n">
        <v>0</v>
      </c>
      <c r="F269" t="inlineStr">
        <is>
          <t>Прямые бронирования (стойка) [Чайковский]</t>
        </is>
      </c>
      <c r="G269" s="3">
        <f>ROUND(D269/(100-E269)*100,2)</f>
        <v/>
      </c>
      <c r="H269" s="3" t="n">
        <v>0</v>
      </c>
      <c r="I269" s="3">
        <f>ROUND(IF(ISNUMBER(AG269),AG269,G269)+H269,2)</f>
        <v/>
      </c>
      <c r="J269" s="2" t="inlineStr">
        <is>
          <t>Завтрак "Шведский стол"</t>
        </is>
      </c>
      <c r="K269" s="5" t="n">
        <v>46290.64583333334</v>
      </c>
      <c r="L269" t="n">
        <v>2</v>
      </c>
      <c r="M269" s="3">
        <f>I269/L269</f>
        <v/>
      </c>
      <c r="N269">
        <f>IF(M269&gt;=5100,"ставка","мин.ставка")</f>
        <v/>
      </c>
      <c r="O269" s="3">
        <f>ROUND(IF(N269="мин.ставка",L269*100,I269/102*2),2)</f>
        <v/>
      </c>
      <c r="P269" s="5" t="n">
        <v>46292.5</v>
      </c>
      <c r="Q269" t="inlineStr">
        <is>
          <t>TravelLine ресепшен</t>
        </is>
      </c>
      <c r="R269" s="2" t="inlineStr">
        <is>
          <t>ПОЛУЛЮКС</t>
        </is>
      </c>
      <c r="S269" t="n">
        <v>25</v>
      </c>
      <c r="T269" t="n">
        <v>1</v>
      </c>
      <c r="U269" t="inlineStr"/>
      <c r="V269" t="inlineStr">
        <is>
          <t>Тариф с завтраком</t>
        </is>
      </c>
      <c r="W269" t="n">
        <v>33000</v>
      </c>
      <c r="X269" s="3" t="n">
        <v>0</v>
      </c>
      <c r="Y269" t="inlineStr"/>
      <c r="Z269" t="inlineStr"/>
      <c r="AA269" s="3" t="n">
        <v>33000</v>
      </c>
      <c r="AB269" t="inlineStr">
        <is>
          <t>Сошлось по ночным тарифам</t>
        </is>
      </c>
      <c r="AC269" s="2" t="inlineStr"/>
      <c r="AD269" t="n">
        <v>0</v>
      </c>
      <c r="AE269" t="n">
        <v>0</v>
      </c>
      <c r="AF269" t="inlineStr">
        <is>
          <t>Скидки нет</t>
        </is>
      </c>
      <c r="AG269" t="n">
        <v>33000</v>
      </c>
      <c r="AH269" t="n">
        <v>33000</v>
      </c>
      <c r="AI269" t="inlineStr">
        <is>
          <t>Полное проживание в выбранном периоде</t>
        </is>
      </c>
    </row>
    <row r="270">
      <c r="A270" t="inlineStr">
        <is>
          <t>20260826-8186-460136123</t>
        </is>
      </c>
      <c r="B270" t="n">
        <v>1</v>
      </c>
      <c r="C270" s="2" t="inlineStr">
        <is>
          <t>Дмитрий Лемешов</t>
        </is>
      </c>
      <c r="D270" s="3" t="n">
        <v>18614</v>
      </c>
      <c r="E270" s="4" t="n">
        <v>18</v>
      </c>
      <c r="F270" t="inlineStr">
        <is>
          <t>ООО "Эй энд Эй" [Чайковский]</t>
        </is>
      </c>
      <c r="G270" s="3">
        <f>ROUND(D270/(100-E270)*100,2)</f>
        <v/>
      </c>
      <c r="H270" s="3" t="n">
        <v>0</v>
      </c>
      <c r="I270" s="3">
        <f>ROUND(IF(ISNUMBER(AG270),AG270,G270)+H270,2)</f>
        <v/>
      </c>
      <c r="J270" s="2" t="inlineStr">
        <is>
          <t>Завтрак "Шведский стол"</t>
        </is>
      </c>
      <c r="K270" s="5" t="n">
        <v>46260.58333333334</v>
      </c>
      <c r="L270" t="n">
        <v>2</v>
      </c>
      <c r="M270" s="3">
        <f>I270/L270</f>
        <v/>
      </c>
      <c r="N270">
        <f>IF(M270&gt;=5100,"ставка","мин.ставка")</f>
        <v/>
      </c>
      <c r="O270" s="3">
        <f>ROUND(IF(N270="мин.ставка",L270*100,I270/102*2),2)</f>
        <v/>
      </c>
      <c r="P270" s="5" t="n">
        <v>46262.5</v>
      </c>
      <c r="Q270" t="inlineStr">
        <is>
          <t>TravelLine ANA</t>
        </is>
      </c>
      <c r="R270" s="2" t="inlineStr">
        <is>
          <t>СТАНДАРТНЫЙ ДВУХМЕСТНЫЙ НОМЕР</t>
        </is>
      </c>
      <c r="S270" t="n">
        <v>42</v>
      </c>
      <c r="T270" t="n">
        <v>1</v>
      </c>
      <c r="U270" t="inlineStr"/>
      <c r="V270" t="inlineStr">
        <is>
          <t>Тариф с завтраком</t>
        </is>
      </c>
      <c r="W270" t="n">
        <v>18614</v>
      </c>
      <c r="X270" s="3" t="n">
        <v>4086</v>
      </c>
      <c r="Y270" t="inlineStr">
        <is>
          <t>18%</t>
        </is>
      </c>
      <c r="Z270" t="inlineStr">
        <is>
          <t>2026-08-26, 2026-08-27</t>
        </is>
      </c>
      <c r="AA270" s="3" t="n">
        <v>18614</v>
      </c>
      <c r="AB270" t="inlineStr">
        <is>
          <t>Сошлось по ночным тарифам</t>
        </is>
      </c>
      <c r="AC270" s="2" t="inlineStr"/>
      <c r="AD270" t="n">
        <v>4086</v>
      </c>
      <c r="AE270" t="n">
        <v>0</v>
      </c>
      <c r="AF270" t="inlineStr">
        <is>
          <t>Скидка добавлена к налоговой базе</t>
        </is>
      </c>
      <c r="AG270" t="n">
        <v>22700</v>
      </c>
      <c r="AH270" t="n">
        <v>18614</v>
      </c>
      <c r="AI270" t="inlineStr">
        <is>
          <t>Полное проживание в выбранном периоде</t>
        </is>
      </c>
    </row>
    <row r="271">
      <c r="A271" t="inlineStr">
        <is>
          <t>20260913-8186-455450232</t>
        </is>
      </c>
      <c r="B271" t="n">
        <v>1</v>
      </c>
      <c r="C271" s="2" t="inlineStr">
        <is>
          <t>Дмитрий Липсон</t>
        </is>
      </c>
      <c r="D271" s="3" t="n">
        <v>56750</v>
      </c>
      <c r="E271" s="4" t="n">
        <v>0</v>
      </c>
      <c r="F271" t="inlineStr">
        <is>
          <t>Прямые бронирования (стойка) [Чайковский]</t>
        </is>
      </c>
      <c r="G271" s="3">
        <f>ROUND(D271/(100-E271)*100,2)</f>
        <v/>
      </c>
      <c r="H271" s="3" t="n">
        <v>5675</v>
      </c>
      <c r="I271" s="3">
        <f>ROUND(IF(ISNUMBER(AG271),AG271,G271)+H271,2)</f>
        <v/>
      </c>
      <c r="J271" s="2" t="inlineStr">
        <is>
          <t>Завтрак "Шведский стол"; Поздний выезд — 5 675,00 ₽</t>
        </is>
      </c>
      <c r="K271" s="5" t="n">
        <v>46278.58333333334</v>
      </c>
      <c r="L271" t="n">
        <v>5</v>
      </c>
      <c r="M271" s="3">
        <f>I271/L271</f>
        <v/>
      </c>
      <c r="N271">
        <f>IF(M271&gt;=5100,"ставка","мин.ставка")</f>
        <v/>
      </c>
      <c r="O271" s="3">
        <f>ROUND(IF(N271="мин.ставка",L271*100,I271/102*2),2)</f>
        <v/>
      </c>
      <c r="P271" s="5" t="n">
        <v>46283.75</v>
      </c>
      <c r="Q271" t="inlineStr">
        <is>
          <t>TravelLine ресепшен</t>
        </is>
      </c>
      <c r="R271" s="2" t="inlineStr">
        <is>
          <t>СТАНДАРТНЫЙ ДВУХМЕСТНЫЙ НОМЕР</t>
        </is>
      </c>
      <c r="S271" t="n">
        <v>32</v>
      </c>
      <c r="T271" t="n">
        <v>1</v>
      </c>
      <c r="U271" t="inlineStr"/>
      <c r="V271" t="inlineStr">
        <is>
          <t>Тариф с завтраком</t>
        </is>
      </c>
      <c r="W271" t="n">
        <v>62425</v>
      </c>
      <c r="X271" s="3" t="n">
        <v>0</v>
      </c>
      <c r="Y271" t="inlineStr"/>
      <c r="Z271" t="inlineStr"/>
      <c r="AA271" s="3" t="n">
        <v>56750</v>
      </c>
      <c r="AB271" t="inlineStr">
        <is>
          <t>Расхождение -5675.00 ₽</t>
        </is>
      </c>
      <c r="AC271" s="2" t="inlineStr"/>
      <c r="AD271" t="n">
        <v>0</v>
      </c>
      <c r="AE271" t="n">
        <v>0</v>
      </c>
      <c r="AF271" t="inlineStr">
        <is>
          <t>Скидки нет</t>
        </is>
      </c>
      <c r="AG271" t="n">
        <v>56750</v>
      </c>
      <c r="AH271" t="n">
        <v>56750</v>
      </c>
      <c r="AI271" t="inlineStr">
        <is>
          <t>Полное проживание в выбранном периоде</t>
        </is>
      </c>
    </row>
    <row r="272">
      <c r="A272" t="inlineStr">
        <is>
          <t>20260706-8186-446293658</t>
        </is>
      </c>
      <c r="B272" t="n">
        <v>1</v>
      </c>
      <c r="C272" s="2" t="inlineStr">
        <is>
          <t>Дмитрий Марченко</t>
        </is>
      </c>
      <c r="D272" s="3" t="n">
        <v>30000</v>
      </c>
      <c r="E272" s="4" t="n">
        <v>0</v>
      </c>
      <c r="F272" t="inlineStr">
        <is>
          <t>Прямые бронирования (стойка) [Чайковский]</t>
        </is>
      </c>
      <c r="G272" s="3">
        <f>ROUND(D272/(100-E272)*100,2)</f>
        <v/>
      </c>
      <c r="H272" s="3" t="n">
        <v>0</v>
      </c>
      <c r="I272" s="3">
        <f>ROUND(IF(ISNUMBER(AG272),AG272,G272)+H272,2)</f>
        <v/>
      </c>
      <c r="J272" s="2" t="inlineStr">
        <is>
          <t>Завтрак "Шведский стол"</t>
        </is>
      </c>
      <c r="K272" s="5" t="n">
        <v>46209.58333333334</v>
      </c>
      <c r="L272" t="n">
        <v>2</v>
      </c>
      <c r="M272" s="3">
        <f>I272/L272</f>
        <v/>
      </c>
      <c r="N272">
        <f>IF(M272&gt;=5100,"ставка","мин.ставка")</f>
        <v/>
      </c>
      <c r="O272" s="3">
        <f>ROUND(IF(N272="мин.ставка",L272*100,I272/102*2),2)</f>
        <v/>
      </c>
      <c r="P272" s="5" t="n">
        <v>46211.5</v>
      </c>
      <c r="Q272" t="inlineStr">
        <is>
          <t>TravelLine ресепшен</t>
        </is>
      </c>
      <c r="R272" s="2" t="inlineStr">
        <is>
          <t>СТАНДАРТНЫЙ ДВУХМЕСТНЫЙ НОМЕР</t>
        </is>
      </c>
      <c r="S272" t="n">
        <v>46</v>
      </c>
      <c r="T272" t="n">
        <v>1</v>
      </c>
      <c r="U272" t="inlineStr"/>
      <c r="V272" t="inlineStr">
        <is>
          <t>Тариф с завтраком</t>
        </is>
      </c>
      <c r="W272" t="n">
        <v>30000</v>
      </c>
      <c r="X272" s="3" t="n">
        <v>0</v>
      </c>
      <c r="Y272" t="inlineStr"/>
      <c r="Z272" t="inlineStr"/>
      <c r="AA272" s="3" t="n">
        <v>30000</v>
      </c>
      <c r="AB272" t="inlineStr">
        <is>
          <t>Сошлось по ночным тарифам</t>
        </is>
      </c>
      <c r="AC272" s="2" t="inlineStr"/>
      <c r="AD272" t="n">
        <v>0</v>
      </c>
      <c r="AE272" t="n">
        <v>0</v>
      </c>
      <c r="AF272" t="inlineStr">
        <is>
          <t>Скидки нет</t>
        </is>
      </c>
      <c r="AG272" t="n">
        <v>30000</v>
      </c>
      <c r="AH272" t="n">
        <v>30000</v>
      </c>
      <c r="AI272" t="inlineStr">
        <is>
          <t>Полное проживание в выбранном периоде</t>
        </is>
      </c>
    </row>
    <row r="273">
      <c r="A273" t="inlineStr">
        <is>
          <t>20260720-8186-446146197</t>
        </is>
      </c>
      <c r="B273" t="n">
        <v>1</v>
      </c>
      <c r="C273" s="2" t="inlineStr">
        <is>
          <t>ДМИТРИЙ МЕШКОВ, НАДЕЖДА ЕВДОКИМОВА</t>
        </is>
      </c>
      <c r="D273" s="3" t="n">
        <v>21360</v>
      </c>
      <c r="E273" s="4" t="n">
        <v>20</v>
      </c>
      <c r="F273" t="inlineStr">
        <is>
          <t>ООО "КОМПАНИЯ БРОНЕВИК" [Чайковский]</t>
        </is>
      </c>
      <c r="G273" s="3">
        <f>ROUND(D273/(100-E273)*100,2)</f>
        <v/>
      </c>
      <c r="H273" s="3" t="n">
        <v>0</v>
      </c>
      <c r="I273" s="3">
        <f>ROUND(IF(ISNUMBER(AG273),AG273,G273)+H273,2)</f>
        <v/>
      </c>
      <c r="J273" s="2" t="inlineStr">
        <is>
          <t>Завтрак "Шведский стол"</t>
        </is>
      </c>
      <c r="K273" s="5" t="n">
        <v>46223.58333333334</v>
      </c>
      <c r="L273" t="n">
        <v>2</v>
      </c>
      <c r="M273" s="3">
        <f>I273/L273</f>
        <v/>
      </c>
      <c r="N273">
        <f>IF(M273&gt;=5100,"ставка","мин.ставка")</f>
        <v/>
      </c>
      <c r="O273" s="3">
        <f>ROUND(IF(N273="мин.ставка",L273*100,I273/102*2),2)</f>
        <v/>
      </c>
      <c r="P273" s="5" t="n">
        <v>46225.5</v>
      </c>
      <c r="Q273" t="inlineStr">
        <is>
          <t>TravelLine BR2</t>
        </is>
      </c>
      <c r="R273" s="2" t="inlineStr">
        <is>
          <t>СТАНДАРТНЫЙ ДВУХМЕСТНЫЙ НОМЕР</t>
        </is>
      </c>
      <c r="S273" t="n">
        <v>23</v>
      </c>
      <c r="T273" t="n">
        <v>1</v>
      </c>
      <c r="U273" t="inlineStr"/>
      <c r="V273" t="inlineStr">
        <is>
          <t>Тариф с завтраком</t>
        </is>
      </c>
      <c r="W273" t="n">
        <v>21360</v>
      </c>
      <c r="X273" s="3" t="n">
        <v>0</v>
      </c>
      <c r="Y273" t="inlineStr"/>
      <c r="Z273" t="inlineStr"/>
      <c r="AA273" s="3" t="n">
        <v>21360</v>
      </c>
      <c r="AB273" t="inlineStr">
        <is>
          <t>Сошлось по ночным тарифам</t>
        </is>
      </c>
      <c r="AC273" s="2" t="inlineStr"/>
      <c r="AD273" t="n">
        <v>0</v>
      </c>
      <c r="AE273" t="n">
        <v>0</v>
      </c>
      <c r="AF273" t="inlineStr">
        <is>
          <t>Скидки нет</t>
        </is>
      </c>
      <c r="AG273" t="n">
        <v>21360</v>
      </c>
      <c r="AH273" t="n">
        <v>21360</v>
      </c>
      <c r="AI273" t="inlineStr">
        <is>
          <t>Полное проживание в выбранном периоде</t>
        </is>
      </c>
    </row>
    <row r="274">
      <c r="A274" t="inlineStr">
        <is>
          <t>20260907-8186-434979838</t>
        </is>
      </c>
      <c r="B274" t="n">
        <v>1</v>
      </c>
      <c r="C274" s="2" t="inlineStr">
        <is>
          <t>Дмитрий Мироненков</t>
        </is>
      </c>
      <c r="D274" s="3" t="n">
        <v>31600</v>
      </c>
      <c r="E274" s="4" t="n">
        <v>0</v>
      </c>
      <c r="F274" t="inlineStr">
        <is>
          <t>Прямые бронирования (стойка) [Чайковский]</t>
        </is>
      </c>
      <c r="G274" s="3">
        <f>ROUND(D274/(100-E274)*100,2)</f>
        <v/>
      </c>
      <c r="H274" s="3" t="n">
        <v>0</v>
      </c>
      <c r="I274" s="3">
        <f>ROUND(IF(ISNUMBER(AG274),AG274,G274)+H274,2)</f>
        <v/>
      </c>
      <c r="J274" s="2" t="inlineStr">
        <is>
          <t>Завтрак "Шведский стол"</t>
        </is>
      </c>
      <c r="K274" s="5" t="n">
        <v>46272.58333333334</v>
      </c>
      <c r="L274" t="n">
        <v>4</v>
      </c>
      <c r="M274" s="3">
        <f>I274/L274</f>
        <v/>
      </c>
      <c r="N274">
        <f>IF(M274&gt;=5100,"ставка","мин.ставка")</f>
        <v/>
      </c>
      <c r="O274" s="3">
        <f>ROUND(IF(N274="мин.ставка",L274*100,I274/102*2),2)</f>
        <v/>
      </c>
      <c r="P274" s="5" t="n">
        <v>46276.5</v>
      </c>
      <c r="Q274" t="inlineStr">
        <is>
          <t>TravelLine ресепшен</t>
        </is>
      </c>
      <c r="R274" s="2" t="inlineStr">
        <is>
          <t>СТАНДАРТНЫЙ ДВУХМЕСТНЫЙ НОМЕР (МАНСАРДА)</t>
        </is>
      </c>
      <c r="S274" t="n">
        <v>43</v>
      </c>
      <c r="T274" t="n">
        <v>1</v>
      </c>
      <c r="U274" t="inlineStr"/>
      <c r="V274" t="inlineStr">
        <is>
          <t>Тариф с завтраком</t>
        </is>
      </c>
      <c r="W274" t="n">
        <v>31600</v>
      </c>
      <c r="X274" s="3" t="n">
        <v>0</v>
      </c>
      <c r="Y274" t="inlineStr"/>
      <c r="Z274" t="inlineStr"/>
      <c r="AA274" s="3" t="n">
        <v>31600</v>
      </c>
      <c r="AB274" t="inlineStr">
        <is>
          <t>Сошлось по ночным тарифам</t>
        </is>
      </c>
      <c r="AC274" s="2" t="inlineStr"/>
      <c r="AD274" t="n">
        <v>0</v>
      </c>
      <c r="AE274" t="n">
        <v>0</v>
      </c>
      <c r="AF274" t="inlineStr">
        <is>
          <t>Скидки нет</t>
        </is>
      </c>
      <c r="AG274" t="n">
        <v>31600</v>
      </c>
      <c r="AH274" t="n">
        <v>31600</v>
      </c>
      <c r="AI274" t="inlineStr">
        <is>
          <t>Полное проживание в выбранном периоде</t>
        </is>
      </c>
    </row>
    <row r="275">
      <c r="A275" t="inlineStr">
        <is>
          <t>20260728-8186-453942448</t>
        </is>
      </c>
      <c r="B275" t="n">
        <v>1</v>
      </c>
      <c r="C275" s="2" t="inlineStr">
        <is>
          <t>ДМИТРИЙ МУРАНОВ</t>
        </is>
      </c>
      <c r="D275" s="3" t="n">
        <v>13400</v>
      </c>
      <c r="E275" s="4" t="n">
        <v>0</v>
      </c>
      <c r="F275" t="inlineStr">
        <is>
          <t>Прямые бронирования (стойка) [Чайковский]</t>
        </is>
      </c>
      <c r="G275" s="3">
        <f>ROUND(D275/(100-E275)*100,2)</f>
        <v/>
      </c>
      <c r="H275" s="3" t="n">
        <v>0</v>
      </c>
      <c r="I275" s="3">
        <f>ROUND(IF(ISNUMBER(AG275),AG275,G275)+H275,2)</f>
        <v/>
      </c>
      <c r="J275" s="2" t="inlineStr">
        <is>
          <t>Завтрак "Шведский стол"</t>
        </is>
      </c>
      <c r="K275" s="5" t="n">
        <v>46231.58333333334</v>
      </c>
      <c r="L275" t="n">
        <v>1</v>
      </c>
      <c r="M275" s="3">
        <f>I275/L275</f>
        <v/>
      </c>
      <c r="N275">
        <f>IF(M275&gt;=5100,"ставка","мин.ставка")</f>
        <v/>
      </c>
      <c r="O275" s="3">
        <f>ROUND(IF(N275="мин.ставка",L275*100,I275/102*2),2)</f>
        <v/>
      </c>
      <c r="P275" s="5" t="n">
        <v>46232.5</v>
      </c>
      <c r="Q275" t="inlineStr">
        <is>
          <t>TravelLine ресепшен</t>
        </is>
      </c>
      <c r="R275" s="2" t="inlineStr">
        <is>
          <t>УЛУЧШЕННЫЙ ДВУХМЕСТНЫЙ НОМЕР</t>
        </is>
      </c>
      <c r="S275" t="n">
        <v>31</v>
      </c>
      <c r="T275" t="n">
        <v>1</v>
      </c>
      <c r="U275" t="inlineStr"/>
      <c r="V275" t="inlineStr">
        <is>
          <t>Тариф с завтраком</t>
        </is>
      </c>
      <c r="W275" t="n">
        <v>13400</v>
      </c>
      <c r="X275" s="3" t="n">
        <v>0</v>
      </c>
      <c r="Y275" t="inlineStr"/>
      <c r="Z275" t="inlineStr"/>
      <c r="AA275" s="3" t="n">
        <v>13400</v>
      </c>
      <c r="AB275" t="inlineStr">
        <is>
          <t>Сошлось по ночным тарифам</t>
        </is>
      </c>
      <c r="AC275" s="2" t="inlineStr"/>
      <c r="AD275" t="n">
        <v>0</v>
      </c>
      <c r="AE275" t="n">
        <v>0</v>
      </c>
      <c r="AF275" t="inlineStr">
        <is>
          <t>Скидки нет</t>
        </is>
      </c>
      <c r="AG275" t="n">
        <v>13400</v>
      </c>
      <c r="AH275" t="n">
        <v>13400</v>
      </c>
      <c r="AI275" t="inlineStr">
        <is>
          <t>Полное проживание в выбранном периоде</t>
        </is>
      </c>
    </row>
    <row r="276">
      <c r="A276" t="inlineStr">
        <is>
          <t>20260911-8186-426784331</t>
        </is>
      </c>
      <c r="B276" t="n">
        <v>1</v>
      </c>
      <c r="C276" s="2" t="inlineStr">
        <is>
          <t>ДМИТРИЙ МЯСНИКОВ, СОФЬЯ МЯСНИКОВА</t>
        </is>
      </c>
      <c r="D276" s="3" t="n">
        <v>45390</v>
      </c>
      <c r="E276" s="4" t="n">
        <v>0</v>
      </c>
      <c r="F276" t="inlineStr">
        <is>
          <t>ООО "АЛЕАН ОТДЫХ" [Чайковский]</t>
        </is>
      </c>
      <c r="G276" s="3">
        <f>ROUND(D276/(100-E276)*100,2)</f>
        <v/>
      </c>
      <c r="H276" s="3" t="n">
        <v>0</v>
      </c>
      <c r="I276" s="3">
        <f>ROUND(IF(ISNUMBER(AG276),AG276,G276)+H276,2)</f>
        <v/>
      </c>
      <c r="J276" s="2" t="inlineStr">
        <is>
          <t>meal_bf_buffet_1; meal_bf_buffet_1; Завтрак "Шведский стол"</t>
        </is>
      </c>
      <c r="K276" s="5" t="n">
        <v>46276.58333333334</v>
      </c>
      <c r="L276" t="n">
        <v>4</v>
      </c>
      <c r="M276" s="3">
        <f>I276/L276</f>
        <v/>
      </c>
      <c r="N276">
        <f>IF(M276&gt;=5100,"ставка","мин.ставка")</f>
        <v/>
      </c>
      <c r="O276" s="3">
        <f>ROUND(IF(N276="мин.ставка",L276*100,I276/102*2),2)</f>
        <v/>
      </c>
      <c r="P276" s="5" t="n">
        <v>46280.5</v>
      </c>
      <c r="Q276" t="inlineStr">
        <is>
          <t>TravelLine ALN</t>
        </is>
      </c>
      <c r="R276" s="2" t="inlineStr">
        <is>
          <t>УЛУЧШЕННЫЙ ДВУХМЕСТНЫЙ НОМЕР</t>
        </is>
      </c>
      <c r="S276" t="n">
        <v>31</v>
      </c>
      <c r="T276" t="n">
        <v>1</v>
      </c>
      <c r="U276" t="inlineStr"/>
      <c r="V276" t="inlineStr">
        <is>
          <t>Тариф с завтраком</t>
        </is>
      </c>
      <c r="W276" t="n">
        <v>45390</v>
      </c>
      <c r="X276" s="3" t="n">
        <v>8010</v>
      </c>
      <c r="Y276" t="inlineStr">
        <is>
          <t>15%</t>
        </is>
      </c>
      <c r="Z276" t="inlineStr">
        <is>
          <t>2026-09-11, 2026-09-12, 2026-09-13, 2026-09-14</t>
        </is>
      </c>
      <c r="AA276" s="3" t="n">
        <v>45390</v>
      </c>
      <c r="AB276" t="inlineStr">
        <is>
          <t>Сошлось по ночным тарифам</t>
        </is>
      </c>
      <c r="AC276" s="2" t="inlineStr"/>
      <c r="AD276" t="n">
        <v>8010</v>
      </c>
      <c r="AE276" t="n">
        <v>0</v>
      </c>
      <c r="AF276" t="inlineStr">
        <is>
          <t>Скидка добавлена к налоговой базе</t>
        </is>
      </c>
      <c r="AG276" t="n">
        <v>53400</v>
      </c>
      <c r="AH276" t="n">
        <v>45390</v>
      </c>
      <c r="AI276" t="inlineStr">
        <is>
          <t>Полное проживание в выбранном периоде</t>
        </is>
      </c>
    </row>
    <row r="277">
      <c r="A277" t="inlineStr">
        <is>
          <t>20260710-8186-421541572</t>
        </is>
      </c>
      <c r="B277" t="n">
        <v>1</v>
      </c>
      <c r="C277" s="2" t="inlineStr">
        <is>
          <t>Дмитрий Семенов, Татьяна Семенова</t>
        </is>
      </c>
      <c r="D277" s="3" t="n">
        <v>26286.15</v>
      </c>
      <c r="E277" s="4" t="n">
        <v>4</v>
      </c>
      <c r="F277" t="inlineStr">
        <is>
          <t>TravelLine Booking Engine [Чайковский]</t>
        </is>
      </c>
      <c r="G277" s="3">
        <f>ROUND(D277/(100-E277)*100,2)</f>
        <v/>
      </c>
      <c r="H277" s="3" t="n">
        <v>0</v>
      </c>
      <c r="I277" s="3">
        <f>ROUND(IF(ISNUMBER(AG277),AG277,G277)+H277,2)</f>
        <v/>
      </c>
      <c r="J277" s="2" t="inlineStr">
        <is>
          <t>Завтрак "Шведский стол"</t>
        </is>
      </c>
      <c r="K277" s="5" t="n">
        <v>46213.58333333334</v>
      </c>
      <c r="L277" t="n">
        <v>2</v>
      </c>
      <c r="M277" s="3">
        <f>I277/L277</f>
        <v/>
      </c>
      <c r="N277">
        <f>IF(M277&gt;=5100,"ставка","мин.ставка")</f>
        <v/>
      </c>
      <c r="O277" s="3">
        <f>ROUND(IF(N277="мин.ставка",L277*100,I277/102*2),2)</f>
        <v/>
      </c>
      <c r="P277" s="5" t="n">
        <v>46215.5</v>
      </c>
      <c r="Q277" t="inlineStr">
        <is>
          <t>TravelLine сайт</t>
        </is>
      </c>
      <c r="R277" s="2" t="inlineStr">
        <is>
          <t>СТАНДАРТНЫЙ ДВУХМЕСТНЫЙ НОМЕР</t>
        </is>
      </c>
      <c r="S277" t="n">
        <v>44</v>
      </c>
      <c r="T277" t="n">
        <v>1</v>
      </c>
      <c r="U277" t="inlineStr"/>
      <c r="V277" t="inlineStr">
        <is>
          <t>Тариф с завтраком</t>
        </is>
      </c>
      <c r="W277" t="n">
        <v>26286.15</v>
      </c>
      <c r="X277" s="3" t="n">
        <v>413.85</v>
      </c>
      <c r="Y277" t="inlineStr">
        <is>
          <t>3.1%</t>
        </is>
      </c>
      <c r="Z277" t="inlineStr">
        <is>
          <t>2026-07-10</t>
        </is>
      </c>
      <c r="AA277" s="3" t="n">
        <v>26286.15</v>
      </c>
      <c r="AB277" t="inlineStr">
        <is>
          <t>Сошлось по ночным тарифам</t>
        </is>
      </c>
      <c r="AC277" s="2" t="inlineStr"/>
      <c r="AD277" t="n">
        <v>413.85</v>
      </c>
      <c r="AE277" t="n">
        <v>0</v>
      </c>
      <c r="AF277" t="inlineStr">
        <is>
          <t>Скидка добавлена к налоговой базе</t>
        </is>
      </c>
      <c r="AG277" t="n">
        <v>26700</v>
      </c>
      <c r="AH277" t="n">
        <v>26286.15</v>
      </c>
      <c r="AI277" t="inlineStr">
        <is>
          <t>Полное проживание в выбранном периоде</t>
        </is>
      </c>
    </row>
    <row r="278">
      <c r="A278" t="inlineStr">
        <is>
          <t>20260811-8186-457810096</t>
        </is>
      </c>
      <c r="B278" t="n">
        <v>1</v>
      </c>
      <c r="C278" s="2" t="inlineStr">
        <is>
          <t>ДМИТРИЙ СЕРОВ</t>
        </is>
      </c>
      <c r="D278" s="3" t="n">
        <v>12180</v>
      </c>
      <c r="E278" s="4" t="n">
        <v>16</v>
      </c>
      <c r="F278" t="inlineStr">
        <is>
          <t>ООО "БРОНИРОВАНИЕ ГОСТИНИЦ" (OSTROVOK) [Чайковский]</t>
        </is>
      </c>
      <c r="G278" s="3">
        <f>ROUND(D278/(100-E278)*100,2)</f>
        <v/>
      </c>
      <c r="H278" s="3" t="n">
        <v>350</v>
      </c>
      <c r="I278" s="3">
        <f>ROUND(IF(ISNUMBER(AG278),AG278,G278)+H278,2)</f>
        <v/>
      </c>
      <c r="J278" s="2" t="inlineStr">
        <is>
          <t>продление номера — 350,00 ₽; Завтрак "Шведский стол"</t>
        </is>
      </c>
      <c r="K278" s="5" t="n">
        <v>46245.58333333334</v>
      </c>
      <c r="L278" t="n">
        <v>1</v>
      </c>
      <c r="M278" s="3">
        <f>I278/L278</f>
        <v/>
      </c>
      <c r="N278">
        <f>IF(M278&gt;=5100,"ставка","мин.ставка")</f>
        <v/>
      </c>
      <c r="O278" s="3">
        <f>ROUND(IF(N278="мин.ставка",L278*100,I278/102*2),2)</f>
        <v/>
      </c>
      <c r="P278" s="5" t="n">
        <v>46246.5</v>
      </c>
      <c r="Q278" t="inlineStr">
        <is>
          <t>TravelLine OTK</t>
        </is>
      </c>
      <c r="R278" s="2" t="inlineStr">
        <is>
          <t>ПОЛУЛЮКС</t>
        </is>
      </c>
      <c r="S278" t="n">
        <v>11</v>
      </c>
      <c r="T278" t="n">
        <v>1</v>
      </c>
      <c r="U278" t="inlineStr"/>
      <c r="V278" t="inlineStr">
        <is>
          <t>Тариф с завтраком</t>
        </is>
      </c>
      <c r="W278" t="n">
        <v>12530</v>
      </c>
      <c r="X278" s="3" t="n">
        <v>2320</v>
      </c>
      <c r="Y278" t="inlineStr">
        <is>
          <t>16%</t>
        </is>
      </c>
      <c r="Z278" t="inlineStr">
        <is>
          <t>2026-08-11</t>
        </is>
      </c>
      <c r="AA278" s="3" t="n">
        <v>12180</v>
      </c>
      <c r="AB278" t="inlineStr">
        <is>
          <t>Сошлось с услугами</t>
        </is>
      </c>
      <c r="AC278" s="2" t="inlineStr"/>
      <c r="AD278" t="n">
        <v>2320</v>
      </c>
      <c r="AE278" t="n">
        <v>0</v>
      </c>
      <c r="AF278" t="inlineStr">
        <is>
          <t>Скидка добавлена к налоговой базе</t>
        </is>
      </c>
      <c r="AG278" t="n">
        <v>14500</v>
      </c>
      <c r="AH278" t="n">
        <v>12180</v>
      </c>
      <c r="AI278" t="inlineStr">
        <is>
          <t>Полное проживание в выбранном периоде</t>
        </is>
      </c>
    </row>
    <row r="279">
      <c r="A279" t="inlineStr">
        <is>
          <t>20260812-8186-458120356</t>
        </is>
      </c>
      <c r="B279" t="n">
        <v>1</v>
      </c>
      <c r="C279" s="2" t="inlineStr">
        <is>
          <t>ДМИТРИЙ СЕРОВ</t>
        </is>
      </c>
      <c r="D279" s="3" t="n">
        <v>12180</v>
      </c>
      <c r="E279" s="4" t="n">
        <v>16</v>
      </c>
      <c r="F279" t="inlineStr">
        <is>
          <t>ООО "БРОНИРОВАНИЕ ГОСТИНИЦ" (OSTROVOK) [Чайковский]</t>
        </is>
      </c>
      <c r="G279" s="3">
        <f>ROUND(D279/(100-E279)*100,2)</f>
        <v/>
      </c>
      <c r="H279" s="3" t="n">
        <v>0</v>
      </c>
      <c r="I279" s="3">
        <f>ROUND(IF(ISNUMBER(AG279),AG279,G279)+H279,2)</f>
        <v/>
      </c>
      <c r="J279" s="2" t="inlineStr">
        <is>
          <t>Завтрак "Шведский стол"</t>
        </is>
      </c>
      <c r="K279" s="5" t="n">
        <v>46246.58333333334</v>
      </c>
      <c r="L279" t="n">
        <v>1</v>
      </c>
      <c r="M279" s="3">
        <f>I279/L279</f>
        <v/>
      </c>
      <c r="N279">
        <f>IF(M279&gt;=5100,"ставка","мин.ставка")</f>
        <v/>
      </c>
      <c r="O279" s="3">
        <f>ROUND(IF(N279="мин.ставка",L279*100,I279/102*2),2)</f>
        <v/>
      </c>
      <c r="P279" s="5" t="n">
        <v>46247.5</v>
      </c>
      <c r="Q279" t="inlineStr">
        <is>
          <t>TravelLine OTK</t>
        </is>
      </c>
      <c r="R279" s="2" t="inlineStr">
        <is>
          <t>ПОЛУЛЮКС</t>
        </is>
      </c>
      <c r="S279" t="n">
        <v>11</v>
      </c>
      <c r="T279" t="n">
        <v>1</v>
      </c>
      <c r="U279" t="inlineStr"/>
      <c r="V279" t="inlineStr">
        <is>
          <t>Тариф с завтраком</t>
        </is>
      </c>
      <c r="W279" t="n">
        <v>12180</v>
      </c>
      <c r="X279" s="3" t="n">
        <v>2320</v>
      </c>
      <c r="Y279" t="inlineStr">
        <is>
          <t>16%</t>
        </is>
      </c>
      <c r="Z279" t="inlineStr">
        <is>
          <t>2026-08-12</t>
        </is>
      </c>
      <c r="AA279" s="3" t="n">
        <v>12180</v>
      </c>
      <c r="AB279" t="inlineStr">
        <is>
          <t>Сошлось по ночным тарифам</t>
        </is>
      </c>
      <c r="AC279" s="2" t="inlineStr"/>
      <c r="AD279" t="n">
        <v>2320</v>
      </c>
      <c r="AE279" t="n">
        <v>0</v>
      </c>
      <c r="AF279" t="inlineStr">
        <is>
          <t>Скидка добавлена к налоговой базе</t>
        </is>
      </c>
      <c r="AG279" t="n">
        <v>14500</v>
      </c>
      <c r="AH279" t="n">
        <v>12180</v>
      </c>
      <c r="AI279" t="inlineStr">
        <is>
          <t>Полное проживание в выбранном периоде</t>
        </is>
      </c>
    </row>
    <row r="280">
      <c r="A280" t="inlineStr">
        <is>
          <t>20260907-8186-464086254</t>
        </is>
      </c>
      <c r="B280" t="n">
        <v>1</v>
      </c>
      <c r="C280" s="2" t="inlineStr">
        <is>
          <t>ДМИТРИЙ СЕРОВ</t>
        </is>
      </c>
      <c r="D280" s="3" t="n">
        <v>38136</v>
      </c>
      <c r="E280" s="4" t="n">
        <v>16</v>
      </c>
      <c r="F280" t="inlineStr">
        <is>
          <t>ООО "БРОНИРОВАНИЕ ГОСТИНИЦ" (OSTROVOK) [Чайковский]</t>
        </is>
      </c>
      <c r="G280" s="3">
        <f>ROUND(D280/(100-E280)*100,2)</f>
        <v/>
      </c>
      <c r="H280" s="3" t="n">
        <v>0</v>
      </c>
      <c r="I280" s="3">
        <f>ROUND(IF(ISNUMBER(AG280),AG280,G280)+H280,2)</f>
        <v/>
      </c>
      <c r="J280" s="2" t="inlineStr">
        <is>
          <t>Завтрак "Шведский стол"</t>
        </is>
      </c>
      <c r="K280" s="5" t="n">
        <v>46273.58333333334</v>
      </c>
      <c r="L280" t="n">
        <v>4</v>
      </c>
      <c r="M280" s="3">
        <f>I280/L280</f>
        <v/>
      </c>
      <c r="N280">
        <f>IF(M280&gt;=5100,"ставка","мин.ставка")</f>
        <v/>
      </c>
      <c r="O280" s="3">
        <f>ROUND(IF(N280="мин.ставка",L280*100,I280/102*2),2)</f>
        <v/>
      </c>
      <c r="P280" s="5" t="n">
        <v>46277.5</v>
      </c>
      <c r="Q280" t="inlineStr">
        <is>
          <t>TravelLine OTK</t>
        </is>
      </c>
      <c r="R280" s="2" t="inlineStr">
        <is>
          <t>СТАНДАРТНЫЙ ДВУХМЕСТНЫЙ НОМЕР</t>
        </is>
      </c>
      <c r="S280" t="n">
        <v>23</v>
      </c>
      <c r="T280" t="n">
        <v>1</v>
      </c>
      <c r="U280" t="inlineStr"/>
      <c r="V280" t="inlineStr">
        <is>
          <t>Тариф с завтраком</t>
        </is>
      </c>
      <c r="W280" t="n">
        <v>47670</v>
      </c>
      <c r="X280" s="3" t="n">
        <v>7264</v>
      </c>
      <c r="Y280" t="inlineStr">
        <is>
          <t>16%</t>
        </is>
      </c>
      <c r="Z280" t="inlineStr">
        <is>
          <t>2026-09-08, 2026-09-09, 2026-09-10, 2026-09-11</t>
        </is>
      </c>
      <c r="AA280" s="3" t="n">
        <v>38136</v>
      </c>
      <c r="AB280" t="inlineStr">
        <is>
          <t>Сошлось по ночным тарифам</t>
        </is>
      </c>
      <c r="AC280" s="2" t="inlineStr"/>
      <c r="AD280" t="n">
        <v>7264</v>
      </c>
      <c r="AE280" t="n">
        <v>0</v>
      </c>
      <c r="AF280" t="inlineStr">
        <is>
          <t>Скидка добавлена к налоговой базе</t>
        </is>
      </c>
      <c r="AG280" t="n">
        <v>45400</v>
      </c>
      <c r="AH280" t="n">
        <v>38136</v>
      </c>
      <c r="AI280" t="inlineStr">
        <is>
          <t>Полное проживание в выбранном периоде</t>
        </is>
      </c>
    </row>
    <row r="281">
      <c r="A281" t="inlineStr">
        <is>
          <t>20260912-8186-465262841</t>
        </is>
      </c>
      <c r="B281" t="n">
        <v>1</v>
      </c>
      <c r="C281" s="2" t="inlineStr">
        <is>
          <t>ДМИТРИЙ СЕРОВ</t>
        </is>
      </c>
      <c r="D281" s="3" t="n">
        <v>34050</v>
      </c>
      <c r="E281" s="4" t="n">
        <v>0</v>
      </c>
      <c r="F281" t="inlineStr">
        <is>
          <t>Прямые бронирования (стойка) [Чайковский]</t>
        </is>
      </c>
      <c r="G281" s="3">
        <f>ROUND(D281/(100-E281)*100,2)</f>
        <v/>
      </c>
      <c r="H281" s="3" t="n">
        <v>0</v>
      </c>
      <c r="I281" s="3">
        <f>ROUND(IF(ISNUMBER(AG281),AG281,G281)+H281,2)</f>
        <v/>
      </c>
      <c r="J281" s="2" t="inlineStr">
        <is>
          <t>Завтрак "Шведский стол"</t>
        </is>
      </c>
      <c r="K281" s="5" t="n">
        <v>46277.58333333334</v>
      </c>
      <c r="L281" t="n">
        <v>3</v>
      </c>
      <c r="M281" s="3">
        <f>I281/L281</f>
        <v/>
      </c>
      <c r="N281">
        <f>IF(M281&gt;=5100,"ставка","мин.ставка")</f>
        <v/>
      </c>
      <c r="O281" s="3">
        <f>ROUND(IF(N281="мин.ставка",L281*100,I281/102*2),2)</f>
        <v/>
      </c>
      <c r="P281" s="5" t="n">
        <v>46280.5</v>
      </c>
      <c r="Q281" t="inlineStr">
        <is>
          <t>TravelLine ресепшен</t>
        </is>
      </c>
      <c r="R281" s="2" t="inlineStr">
        <is>
          <t>СТАНДАРТНЫЙ ДВУХМЕСТНЫЙ НОМЕР</t>
        </is>
      </c>
      <c r="S281" t="n">
        <v>23</v>
      </c>
      <c r="T281" t="n">
        <v>1</v>
      </c>
      <c r="U281" t="inlineStr"/>
      <c r="V281" t="inlineStr">
        <is>
          <t>Тариф с завтраком</t>
        </is>
      </c>
      <c r="W281" t="n">
        <v>34050</v>
      </c>
      <c r="X281" s="3" t="n">
        <v>0</v>
      </c>
      <c r="Y281" t="inlineStr"/>
      <c r="Z281" t="inlineStr"/>
      <c r="AA281" s="3" t="n">
        <v>34050</v>
      </c>
      <c r="AB281" t="inlineStr">
        <is>
          <t>Сошлось по ночным тарифам</t>
        </is>
      </c>
      <c r="AC281" s="2" t="inlineStr"/>
      <c r="AD281" t="n">
        <v>0</v>
      </c>
      <c r="AE281" t="n">
        <v>0</v>
      </c>
      <c r="AF281" t="inlineStr">
        <is>
          <t>Скидки нет</t>
        </is>
      </c>
      <c r="AG281" t="n">
        <v>34050</v>
      </c>
      <c r="AH281" t="n">
        <v>34050</v>
      </c>
      <c r="AI281" t="inlineStr">
        <is>
          <t>Полное проживание в выбранном периоде</t>
        </is>
      </c>
    </row>
    <row r="282">
      <c r="A282" t="inlineStr">
        <is>
          <t>20260728-8186-452916857</t>
        </is>
      </c>
      <c r="B282" t="n">
        <v>1</v>
      </c>
      <c r="C282" s="2" t="inlineStr">
        <is>
          <t>Дмитрий Шкирдов</t>
        </is>
      </c>
      <c r="D282" s="3" t="n">
        <v>6160</v>
      </c>
      <c r="E282" s="4" t="n">
        <v>20</v>
      </c>
      <c r="F282" t="inlineStr">
        <is>
          <t>ООО "УК ГЦБ и Т" [Чайковский]</t>
        </is>
      </c>
      <c r="G282" s="3">
        <f>ROUND(D282/(100-E282)*100,2)</f>
        <v/>
      </c>
      <c r="H282" s="3" t="n">
        <v>0</v>
      </c>
      <c r="I282" s="3">
        <f>ROUND(IF(ISNUMBER(AG282),AG282,G282)+H282,2)</f>
        <v/>
      </c>
      <c r="J282" s="2" t="inlineStr">
        <is>
          <t>Завтрак; Завтрак "Шведский стол"</t>
        </is>
      </c>
      <c r="K282" s="5" t="n">
        <v>46231.58333333334</v>
      </c>
      <c r="L282" t="n">
        <v>1</v>
      </c>
      <c r="M282" s="3">
        <f>I282/L282</f>
        <v/>
      </c>
      <c r="N282">
        <f>IF(M282&gt;=5100,"ставка","мин.ставка")</f>
        <v/>
      </c>
      <c r="O282" s="3">
        <f>ROUND(IF(N282="мин.ставка",L282*100,I282/102*2),2)</f>
        <v/>
      </c>
      <c r="P282" s="5" t="n">
        <v>46232.5</v>
      </c>
      <c r="Q282" t="inlineStr">
        <is>
          <t>TravelLine CBC</t>
        </is>
      </c>
      <c r="R282" s="2" t="inlineStr">
        <is>
          <t>СТАНДАРТНЫЙ ОДНОМЕСТНЫЙ НОМЕР</t>
        </is>
      </c>
      <c r="S282" t="n">
        <v>34</v>
      </c>
      <c r="T282" t="n">
        <v>1</v>
      </c>
      <c r="U282" t="inlineStr"/>
      <c r="V282" t="inlineStr">
        <is>
          <t>Тариф с завтраком</t>
        </is>
      </c>
      <c r="W282" t="n">
        <v>6160</v>
      </c>
      <c r="X282" s="3" t="n">
        <v>1540</v>
      </c>
      <c r="Y282" t="inlineStr">
        <is>
          <t>20%</t>
        </is>
      </c>
      <c r="Z282" t="inlineStr">
        <is>
          <t>2026-07-28</t>
        </is>
      </c>
      <c r="AA282" s="3" t="n">
        <v>6160</v>
      </c>
      <c r="AB282" t="inlineStr">
        <is>
          <t>Сошлось по ночным тарифам</t>
        </is>
      </c>
      <c r="AC282" s="2" t="inlineStr"/>
      <c r="AD282" t="n">
        <v>1540</v>
      </c>
      <c r="AE282" t="n">
        <v>0</v>
      </c>
      <c r="AF282" t="inlineStr">
        <is>
          <t>Скидка добавлена к налоговой базе</t>
        </is>
      </c>
      <c r="AG282" t="n">
        <v>7700</v>
      </c>
      <c r="AH282" t="n">
        <v>6160</v>
      </c>
      <c r="AI282" t="inlineStr">
        <is>
          <t>Полное проживание в выбранном периоде</t>
        </is>
      </c>
    </row>
    <row r="283">
      <c r="A283" t="inlineStr">
        <is>
          <t>20260811-8186-453519352</t>
        </is>
      </c>
      <c r="B283" t="n">
        <v>1</v>
      </c>
      <c r="C283" s="2" t="inlineStr">
        <is>
          <t>Евгений Ванчик</t>
        </is>
      </c>
      <c r="D283" s="3" t="n">
        <v>18614</v>
      </c>
      <c r="E283" s="4" t="n">
        <v>18</v>
      </c>
      <c r="F283" t="inlineStr">
        <is>
          <t>ООО "ТРИВИО СЕРВИС" [Чайковский]</t>
        </is>
      </c>
      <c r="G283" s="3">
        <f>ROUND(D283/(100-E283)*100,2)</f>
        <v/>
      </c>
      <c r="H283" s="3" t="n">
        <v>0</v>
      </c>
      <c r="I283" s="3">
        <f>ROUND(IF(ISNUMBER(AG283),AG283,G283)+H283,2)</f>
        <v/>
      </c>
      <c r="J283" s="2" t="inlineStr">
        <is>
          <t>Завтрак "Шведский стол"</t>
        </is>
      </c>
      <c r="K283" s="5" t="n">
        <v>46245.58333333334</v>
      </c>
      <c r="L283" t="n">
        <v>2</v>
      </c>
      <c r="M283" s="3">
        <f>I283/L283</f>
        <v/>
      </c>
      <c r="N283">
        <f>IF(M283&gt;=5100,"ставка","мин.ставка")</f>
        <v/>
      </c>
      <c r="O283" s="3">
        <f>ROUND(IF(N283="мин.ставка",L283*100,I283/102*2),2)</f>
        <v/>
      </c>
      <c r="P283" s="5" t="n">
        <v>46247.5</v>
      </c>
      <c r="Q283" t="inlineStr">
        <is>
          <t>TravelLine TIO</t>
        </is>
      </c>
      <c r="R283" s="2" t="inlineStr">
        <is>
          <t>СТАНДАРТНЫЙ ДВУХМЕСТНЫЙ НОМЕР</t>
        </is>
      </c>
      <c r="S283" t="n">
        <v>46</v>
      </c>
      <c r="T283" t="n">
        <v>1</v>
      </c>
      <c r="U283" t="inlineStr"/>
      <c r="V283" t="inlineStr">
        <is>
          <t>Тариф с завтраком</t>
        </is>
      </c>
      <c r="W283" t="n">
        <v>18614</v>
      </c>
      <c r="X283" s="3" t="n">
        <v>4086</v>
      </c>
      <c r="Y283" t="inlineStr">
        <is>
          <t>18%</t>
        </is>
      </c>
      <c r="Z283" t="inlineStr">
        <is>
          <t>2026-08-11, 2026-08-12</t>
        </is>
      </c>
      <c r="AA283" s="3" t="n">
        <v>18614</v>
      </c>
      <c r="AB283" t="inlineStr">
        <is>
          <t>Сошлось по ночным тарифам</t>
        </is>
      </c>
      <c r="AC283" s="2" t="inlineStr"/>
      <c r="AD283" t="n">
        <v>4086</v>
      </c>
      <c r="AE283" t="n">
        <v>0</v>
      </c>
      <c r="AF283" t="inlineStr">
        <is>
          <t>Скидка добавлена к налоговой базе</t>
        </is>
      </c>
      <c r="AG283" t="n">
        <v>22700</v>
      </c>
      <c r="AH283" t="n">
        <v>18614</v>
      </c>
      <c r="AI283" t="inlineStr">
        <is>
          <t>Полное проживание в выбранном периоде</t>
        </is>
      </c>
    </row>
    <row r="284">
      <c r="A284" t="inlineStr">
        <is>
          <t>20260810-8186-456644582</t>
        </is>
      </c>
      <c r="B284" t="n">
        <v>1</v>
      </c>
      <c r="C284" s="2" t="inlineStr">
        <is>
          <t>ЕВГЕНИЙ ВАХРАМЕЕВ</t>
        </is>
      </c>
      <c r="D284" s="3" t="n">
        <v>11600</v>
      </c>
      <c r="E284" s="4" t="n">
        <v>20</v>
      </c>
      <c r="F284" t="inlineStr">
        <is>
          <t>ООО "КОМПАНИЯ БРОНЕВИК" [Чайковский]</t>
        </is>
      </c>
      <c r="G284" s="3">
        <f>ROUND(D284/(100-E284)*100,2)</f>
        <v/>
      </c>
      <c r="H284" s="3" t="n">
        <v>0</v>
      </c>
      <c r="I284" s="3">
        <f>ROUND(IF(ISNUMBER(AG284),AG284,G284)+H284,2)</f>
        <v/>
      </c>
      <c r="J284" s="2" t="inlineStr">
        <is>
          <t>Завтрак "Шведский стол"</t>
        </is>
      </c>
      <c r="K284" s="5" t="n">
        <v>46244.58333333334</v>
      </c>
      <c r="L284" t="n">
        <v>1</v>
      </c>
      <c r="M284" s="3">
        <f>I284/L284</f>
        <v/>
      </c>
      <c r="N284">
        <f>IF(M284&gt;=5100,"ставка","мин.ставка")</f>
        <v/>
      </c>
      <c r="O284" s="3">
        <f>ROUND(IF(N284="мин.ставка",L284*100,I284/102*2),2)</f>
        <v/>
      </c>
      <c r="P284" s="5" t="n">
        <v>46245.5</v>
      </c>
      <c r="Q284" t="inlineStr">
        <is>
          <t>TravelLine BR2</t>
        </is>
      </c>
      <c r="R284" s="2" t="inlineStr">
        <is>
          <t>ПОЛУЛЮКС</t>
        </is>
      </c>
      <c r="S284" t="n">
        <v>25</v>
      </c>
      <c r="T284" t="n">
        <v>1</v>
      </c>
      <c r="U284" t="inlineStr"/>
      <c r="V284" t="inlineStr">
        <is>
          <t>Тариф с завтраком</t>
        </is>
      </c>
      <c r="W284" t="n">
        <v>11600</v>
      </c>
      <c r="X284" s="3" t="n">
        <v>0</v>
      </c>
      <c r="Y284" t="inlineStr"/>
      <c r="Z284" t="inlineStr"/>
      <c r="AA284" s="3" t="n">
        <v>11600</v>
      </c>
      <c r="AB284" t="inlineStr">
        <is>
          <t>Сошлось по ночным тарифам</t>
        </is>
      </c>
      <c r="AC284" s="2" t="inlineStr"/>
      <c r="AD284" t="n">
        <v>0</v>
      </c>
      <c r="AE284" t="n">
        <v>0</v>
      </c>
      <c r="AF284" t="inlineStr">
        <is>
          <t>Скидки нет</t>
        </is>
      </c>
      <c r="AG284" t="n">
        <v>11600</v>
      </c>
      <c r="AH284" t="n">
        <v>11600</v>
      </c>
      <c r="AI284" t="inlineStr">
        <is>
          <t>Полное проживание в выбранном периоде</t>
        </is>
      </c>
    </row>
    <row r="285">
      <c r="A285" t="inlineStr">
        <is>
          <t>20260720-8186-451630545</t>
        </is>
      </c>
      <c r="B285" t="n">
        <v>1</v>
      </c>
      <c r="C285" s="2" t="inlineStr">
        <is>
          <t>Евгений Езеев</t>
        </is>
      </c>
      <c r="D285" s="3" t="n">
        <v>15400</v>
      </c>
      <c r="E285" s="4" t="n">
        <v>0</v>
      </c>
      <c r="F285" t="inlineStr">
        <is>
          <t>Прямые бронирования (стойка) [Чайковский]</t>
        </is>
      </c>
      <c r="G285" s="3">
        <f>ROUND(D285/(100-E285)*100,2)</f>
        <v/>
      </c>
      <c r="H285" s="3" t="n">
        <v>0</v>
      </c>
      <c r="I285" s="3">
        <f>ROUND(IF(ISNUMBER(AG285),AG285,G285)+H285,2)</f>
        <v/>
      </c>
      <c r="J285" s="2" t="inlineStr">
        <is>
          <t>Завтрак "Шведский стол"</t>
        </is>
      </c>
      <c r="K285" s="5" t="n">
        <v>46223.58333333334</v>
      </c>
      <c r="L285" t="n">
        <v>2</v>
      </c>
      <c r="M285" s="3">
        <f>I285/L285</f>
        <v/>
      </c>
      <c r="N285">
        <f>IF(M285&gt;=5100,"ставка","мин.ставка")</f>
        <v/>
      </c>
      <c r="O285" s="3">
        <f>ROUND(IF(N285="мин.ставка",L285*100,I285/102*2),2)</f>
        <v/>
      </c>
      <c r="P285" s="5" t="n">
        <v>46225.5</v>
      </c>
      <c r="Q285" t="inlineStr">
        <is>
          <t>TravelLine ресепшен</t>
        </is>
      </c>
      <c r="R285" s="2" t="inlineStr">
        <is>
          <t>СТАНДАРТНЫЙ ОДНОМЕСТНЫЙ НОМЕР</t>
        </is>
      </c>
      <c r="S285" t="n">
        <v>24</v>
      </c>
      <c r="T285" t="n">
        <v>1</v>
      </c>
      <c r="U285" t="inlineStr"/>
      <c r="V285" t="inlineStr">
        <is>
          <t>Тариф с завтраком</t>
        </is>
      </c>
      <c r="W285" t="n">
        <v>15400</v>
      </c>
      <c r="X285" s="3" t="n">
        <v>0</v>
      </c>
      <c r="Y285" t="inlineStr"/>
      <c r="Z285" t="inlineStr"/>
      <c r="AA285" s="3" t="n">
        <v>15400</v>
      </c>
      <c r="AB285" t="inlineStr">
        <is>
          <t>Сошлось по ночным тарифам</t>
        </is>
      </c>
      <c r="AC285" s="2" t="inlineStr"/>
      <c r="AD285" t="n">
        <v>0</v>
      </c>
      <c r="AE285" t="n">
        <v>0</v>
      </c>
      <c r="AF285" t="inlineStr">
        <is>
          <t>Скидки нет</t>
        </is>
      </c>
      <c r="AG285" t="n">
        <v>15400</v>
      </c>
      <c r="AH285" t="n">
        <v>15400</v>
      </c>
      <c r="AI285" t="inlineStr">
        <is>
          <t>Полное проживание в выбранном периоде</t>
        </is>
      </c>
    </row>
    <row r="286">
      <c r="A286" t="inlineStr">
        <is>
          <t>20260906-8186-463599556</t>
        </is>
      </c>
      <c r="B286" t="n">
        <v>1</v>
      </c>
      <c r="C286" s="2" t="inlineStr">
        <is>
          <t>Евгений Езеев</t>
        </is>
      </c>
      <c r="D286" s="3" t="n">
        <v>15800</v>
      </c>
      <c r="E286" s="4" t="n">
        <v>0</v>
      </c>
      <c r="F286" t="inlineStr">
        <is>
          <t>Прямые бронирования (стойка) [Чайковский]</t>
        </is>
      </c>
      <c r="G286" s="3">
        <f>ROUND(D286/(100-E286)*100,2)</f>
        <v/>
      </c>
      <c r="H286" s="3" t="n">
        <v>0</v>
      </c>
      <c r="I286" s="3">
        <f>ROUND(IF(ISNUMBER(AG286),AG286,G286)+H286,2)</f>
        <v/>
      </c>
      <c r="J286" s="2" t="inlineStr">
        <is>
          <t>Завтрак "Шведский стол"</t>
        </is>
      </c>
      <c r="K286" s="5" t="n">
        <v>46271.58333333334</v>
      </c>
      <c r="L286" t="n">
        <v>2</v>
      </c>
      <c r="M286" s="3">
        <f>I286/L286</f>
        <v/>
      </c>
      <c r="N286">
        <f>IF(M286&gt;=5100,"ставка","мин.ставка")</f>
        <v/>
      </c>
      <c r="O286" s="3">
        <f>ROUND(IF(N286="мин.ставка",L286*100,I286/102*2),2)</f>
        <v/>
      </c>
      <c r="P286" s="5" t="n">
        <v>46273.5</v>
      </c>
      <c r="Q286" t="inlineStr">
        <is>
          <t>TravelLine ресепшен</t>
        </is>
      </c>
      <c r="R286" s="2" t="inlineStr">
        <is>
          <t>УЛУЧШЕННЫЙ ДВУХМЕСТНЫЙ НОМЕР</t>
        </is>
      </c>
      <c r="S286" t="n">
        <v>21</v>
      </c>
      <c r="T286" t="n">
        <v>1</v>
      </c>
      <c r="U286" t="inlineStr"/>
      <c r="V286" t="inlineStr">
        <is>
          <t>Тариф с завтраком</t>
        </is>
      </c>
      <c r="W286" t="n">
        <v>15800</v>
      </c>
      <c r="X286" s="3" t="n">
        <v>0</v>
      </c>
      <c r="Y286" t="inlineStr"/>
      <c r="Z286" t="inlineStr"/>
      <c r="AA286" s="3" t="n">
        <v>15800</v>
      </c>
      <c r="AB286" t="inlineStr">
        <is>
          <t>Сошлось по ночным тарифам</t>
        </is>
      </c>
      <c r="AC286" s="2" t="inlineStr"/>
      <c r="AD286" t="n">
        <v>0</v>
      </c>
      <c r="AE286" t="n">
        <v>0</v>
      </c>
      <c r="AF286" t="inlineStr">
        <is>
          <t>Скидки нет</t>
        </is>
      </c>
      <c r="AG286" t="n">
        <v>15800</v>
      </c>
      <c r="AH286" t="n">
        <v>15800</v>
      </c>
      <c r="AI286" t="inlineStr">
        <is>
          <t>Полное проживание в выбранном периоде</t>
        </is>
      </c>
    </row>
    <row r="287">
      <c r="A287" t="inlineStr">
        <is>
          <t>20260723-8186-449923724</t>
        </is>
      </c>
      <c r="B287" t="n">
        <v>1</v>
      </c>
      <c r="C287" s="2" t="inlineStr">
        <is>
          <t>Евгений МИХАЙЛОВ</t>
        </is>
      </c>
      <c r="D287" s="3" t="n">
        <v>7700</v>
      </c>
      <c r="E287" s="4" t="n">
        <v>0</v>
      </c>
      <c r="F287" t="inlineStr">
        <is>
          <t>Прямые бронирования (стойка) [Чайковский]</t>
        </is>
      </c>
      <c r="G287" s="3">
        <f>ROUND(D287/(100-E287)*100,2)</f>
        <v/>
      </c>
      <c r="H287" s="3" t="n">
        <v>0</v>
      </c>
      <c r="I287" s="3">
        <f>ROUND(IF(ISNUMBER(AG287),AG287,G287)+H287,2)</f>
        <v/>
      </c>
      <c r="J287" s="2" t="inlineStr">
        <is>
          <t>Завтрак "Шведский стол"</t>
        </is>
      </c>
      <c r="K287" s="5" t="n">
        <v>46226.58333333334</v>
      </c>
      <c r="L287" t="n">
        <v>1</v>
      </c>
      <c r="M287" s="3">
        <f>I287/L287</f>
        <v/>
      </c>
      <c r="N287">
        <f>IF(M287&gt;=5100,"ставка","мин.ставка")</f>
        <v/>
      </c>
      <c r="O287" s="3">
        <f>ROUND(IF(N287="мин.ставка",L287*100,I287/102*2),2)</f>
        <v/>
      </c>
      <c r="P287" s="5" t="n">
        <v>46227.5</v>
      </c>
      <c r="Q287" t="inlineStr">
        <is>
          <t>TravelLine ресепшен</t>
        </is>
      </c>
      <c r="R287" s="2" t="inlineStr">
        <is>
          <t>СТАНДАРТНЫЙ ОДНОМЕСТНЫЙ НОМЕР</t>
        </is>
      </c>
      <c r="S287" t="n">
        <v>24</v>
      </c>
      <c r="T287" t="n">
        <v>1</v>
      </c>
      <c r="U287" t="inlineStr"/>
      <c r="V287" t="inlineStr">
        <is>
          <t>Тариф с завтраком</t>
        </is>
      </c>
      <c r="W287" t="n">
        <v>7700</v>
      </c>
      <c r="X287" s="3" t="n">
        <v>0</v>
      </c>
      <c r="Y287" t="inlineStr"/>
      <c r="Z287" t="inlineStr"/>
      <c r="AA287" s="3" t="n">
        <v>7700</v>
      </c>
      <c r="AB287" t="inlineStr">
        <is>
          <t>Сошлось по ночным тарифам</t>
        </is>
      </c>
      <c r="AC287" s="2" t="inlineStr"/>
      <c r="AD287" t="n">
        <v>0</v>
      </c>
      <c r="AE287" t="n">
        <v>0</v>
      </c>
      <c r="AF287" t="inlineStr">
        <is>
          <t>Скидки нет</t>
        </is>
      </c>
      <c r="AG287" t="n">
        <v>7700</v>
      </c>
      <c r="AH287" t="n">
        <v>7700</v>
      </c>
      <c r="AI287" t="inlineStr">
        <is>
          <t>Полное проживание в выбранном периоде</t>
        </is>
      </c>
    </row>
    <row r="288">
      <c r="A288" t="inlineStr">
        <is>
          <t>20260705-8186-444726111</t>
        </is>
      </c>
      <c r="B288" t="n">
        <v>1</v>
      </c>
      <c r="C288" s="2" t="inlineStr">
        <is>
          <t>Евгений МИХАЙЛОВ, Надежда Матвеева</t>
        </is>
      </c>
      <c r="D288" s="3" t="n">
        <v>26700</v>
      </c>
      <c r="E288" s="4" t="n">
        <v>0</v>
      </c>
      <c r="F288" t="inlineStr">
        <is>
          <t>Прямые бронирования (стойка) [Чайковский]</t>
        </is>
      </c>
      <c r="G288" s="3">
        <f>ROUND(D288/(100-E288)*100,2)</f>
        <v/>
      </c>
      <c r="H288" s="3" t="n">
        <v>0</v>
      </c>
      <c r="I288" s="3">
        <f>ROUND(IF(ISNUMBER(AG288),AG288,G288)+H288,2)</f>
        <v/>
      </c>
      <c r="J288" s="2" t="inlineStr">
        <is>
          <t>Завтрак "Шведский стол"</t>
        </is>
      </c>
      <c r="K288" s="5" t="n">
        <v>46208.58333333334</v>
      </c>
      <c r="L288" t="n">
        <v>2</v>
      </c>
      <c r="M288" s="3">
        <f>I288/L288</f>
        <v/>
      </c>
      <c r="N288">
        <f>IF(M288&gt;=5100,"ставка","мин.ставка")</f>
        <v/>
      </c>
      <c r="O288" s="3">
        <f>ROUND(IF(N288="мин.ставка",L288*100,I288/102*2),2)</f>
        <v/>
      </c>
      <c r="P288" s="5" t="n">
        <v>46210.5</v>
      </c>
      <c r="Q288" t="inlineStr">
        <is>
          <t>TravelLine ресепшен</t>
        </is>
      </c>
      <c r="R288" s="2" t="inlineStr">
        <is>
          <t>СТАНДАРТНЫЙ ДВУХМЕСТНЫЙ НОМЕР</t>
        </is>
      </c>
      <c r="S288" t="n">
        <v>26</v>
      </c>
      <c r="T288" t="n">
        <v>1</v>
      </c>
      <c r="U288" t="inlineStr"/>
      <c r="V288" t="inlineStr">
        <is>
          <t>Тариф с завтраком</t>
        </is>
      </c>
      <c r="W288" t="n">
        <v>26700</v>
      </c>
      <c r="X288" s="3" t="n">
        <v>0</v>
      </c>
      <c r="Y288" t="inlineStr"/>
      <c r="Z288" t="inlineStr"/>
      <c r="AA288" s="3" t="n">
        <v>26700</v>
      </c>
      <c r="AB288" t="inlineStr">
        <is>
          <t>Сошлось по ночным тарифам</t>
        </is>
      </c>
      <c r="AC288" s="2" t="inlineStr"/>
      <c r="AD288" t="n">
        <v>0</v>
      </c>
      <c r="AE288" t="n">
        <v>0</v>
      </c>
      <c r="AF288" t="inlineStr">
        <is>
          <t>Скидки нет</t>
        </is>
      </c>
      <c r="AG288" t="n">
        <v>26700</v>
      </c>
      <c r="AH288" t="n">
        <v>26700</v>
      </c>
      <c r="AI288" t="inlineStr">
        <is>
          <t>Полное проживание в выбранном периоде</t>
        </is>
      </c>
    </row>
    <row r="289">
      <c r="A289" t="inlineStr">
        <is>
          <t>20260814-8186-455467392</t>
        </is>
      </c>
      <c r="B289" t="n">
        <v>1</v>
      </c>
      <c r="C289" s="2" t="inlineStr">
        <is>
          <t>Евгений Рафаилов, Вячеслав Рафаилов</t>
        </is>
      </c>
      <c r="D289" s="3" t="n">
        <v>22161</v>
      </c>
      <c r="E289" s="4" t="n">
        <v>18</v>
      </c>
      <c r="F289" t="inlineStr">
        <is>
          <t>Яндекс.Путешествия [Чайковский]</t>
        </is>
      </c>
      <c r="G289" s="3">
        <f>ROUND(D289/(100-E289)*100,2)</f>
        <v/>
      </c>
      <c r="H289" s="3" t="n">
        <v>0</v>
      </c>
      <c r="I289" s="3">
        <f>ROUND(IF(ISNUMBER(AG289),AG289,G289)+H289,2)</f>
        <v/>
      </c>
      <c r="J289" s="2" t="inlineStr">
        <is>
          <t>Завтрак "Шведский стол"</t>
        </is>
      </c>
      <c r="K289" s="5" t="n">
        <v>46248.58333333334</v>
      </c>
      <c r="L289" t="n">
        <v>2</v>
      </c>
      <c r="M289" s="3">
        <f>I289/L289</f>
        <v/>
      </c>
      <c r="N289">
        <f>IF(M289&gt;=5100,"ставка","мин.ставка")</f>
        <v/>
      </c>
      <c r="O289" s="3">
        <f>ROUND(IF(N289="мин.ставка",L289*100,I289/102*2),2)</f>
        <v/>
      </c>
      <c r="P289" s="5" t="n">
        <v>46250.5</v>
      </c>
      <c r="Q289" t="inlineStr">
        <is>
          <t>TravelLine YAX</t>
        </is>
      </c>
      <c r="R289" s="2" t="inlineStr">
        <is>
          <t>СТАНДАРТНЫЙ ДВУХМЕСТНЫЙ НОМЕР</t>
        </is>
      </c>
      <c r="S289" t="n">
        <v>36</v>
      </c>
      <c r="T289" t="n">
        <v>1</v>
      </c>
      <c r="U289" t="inlineStr"/>
      <c r="V289" t="inlineStr">
        <is>
          <t>Тариф с завтраком</t>
        </is>
      </c>
      <c r="W289" t="n">
        <v>44322</v>
      </c>
      <c r="X289" s="3" t="n">
        <v>4539</v>
      </c>
      <c r="Y289" t="inlineStr">
        <is>
          <t>17%</t>
        </is>
      </c>
      <c r="Z289" t="inlineStr">
        <is>
          <t>2026-08-14, 2026-08-15</t>
        </is>
      </c>
      <c r="AA289" s="3" t="n">
        <v>22161</v>
      </c>
      <c r="AB289" t="inlineStr">
        <is>
          <t>Сошлось по ночным тарифам</t>
        </is>
      </c>
      <c r="AC289" s="2" t="inlineStr"/>
      <c r="AD289" t="n">
        <v>4539</v>
      </c>
      <c r="AE289" t="n">
        <v>0</v>
      </c>
      <c r="AF289" t="inlineStr">
        <is>
          <t>Скидка добавлена к налоговой базе</t>
        </is>
      </c>
      <c r="AG289" t="n">
        <v>26700</v>
      </c>
      <c r="AH289" t="n">
        <v>22161</v>
      </c>
      <c r="AI289" t="inlineStr">
        <is>
          <t>Полное проживание в выбранном периоде</t>
        </is>
      </c>
    </row>
    <row r="290">
      <c r="A290" t="inlineStr">
        <is>
          <t>20260922-8186-466786045</t>
        </is>
      </c>
      <c r="B290" t="n">
        <v>1</v>
      </c>
      <c r="C290" s="2" t="inlineStr">
        <is>
          <t>Евгения Бердникова</t>
        </is>
      </c>
      <c r="D290" s="3" t="n">
        <v>9080</v>
      </c>
      <c r="E290" s="4" t="n">
        <v>20</v>
      </c>
      <c r="F290" t="inlineStr">
        <is>
          <t>ООО "КОМПАНИЯ БРОНЕВИК" [Чайковский]</t>
        </is>
      </c>
      <c r="G290" s="3">
        <f>ROUND(D290/(100-E290)*100,2)</f>
        <v/>
      </c>
      <c r="H290" s="3" t="n">
        <v>0</v>
      </c>
      <c r="I290" s="3">
        <f>ROUND(IF(ISNUMBER(AG290),AG290,G290)+H290,2)</f>
        <v/>
      </c>
      <c r="J290" s="2" t="inlineStr">
        <is>
          <t>Завтрак "Шведский стол"</t>
        </is>
      </c>
      <c r="K290" s="5" t="n">
        <v>46287.58333333334</v>
      </c>
      <c r="L290" t="n">
        <v>1</v>
      </c>
      <c r="M290" s="3">
        <f>I290/L290</f>
        <v/>
      </c>
      <c r="N290">
        <f>IF(M290&gt;=5100,"ставка","мин.ставка")</f>
        <v/>
      </c>
      <c r="O290" s="3">
        <f>ROUND(IF(N290="мин.ставка",L290*100,I290/102*2),2)</f>
        <v/>
      </c>
      <c r="P290" s="5" t="n">
        <v>46288.5</v>
      </c>
      <c r="Q290" t="inlineStr">
        <is>
          <t>TravelLine BR2</t>
        </is>
      </c>
      <c r="R290" s="2" t="inlineStr">
        <is>
          <t>СТАНДАРТНЫЙ ДВУХМЕСТНЫЙ НОМЕР</t>
        </is>
      </c>
      <c r="S290" t="n">
        <v>32</v>
      </c>
      <c r="T290" t="n">
        <v>1</v>
      </c>
      <c r="U290" t="inlineStr"/>
      <c r="V290" t="inlineStr">
        <is>
          <t>Тариф с завтраком</t>
        </is>
      </c>
      <c r="W290" t="n">
        <v>9080</v>
      </c>
      <c r="X290" s="3" t="n">
        <v>0</v>
      </c>
      <c r="Y290" t="inlineStr"/>
      <c r="Z290" t="inlineStr"/>
      <c r="AA290" s="3" t="n">
        <v>9080</v>
      </c>
      <c r="AB290" t="inlineStr">
        <is>
          <t>Сошлось по ночным тарифам</t>
        </is>
      </c>
      <c r="AC290" s="2" t="inlineStr"/>
      <c r="AD290" t="n">
        <v>0</v>
      </c>
      <c r="AE290" t="n">
        <v>0</v>
      </c>
      <c r="AF290" t="inlineStr">
        <is>
          <t>Скидки нет</t>
        </is>
      </c>
      <c r="AG290" t="n">
        <v>9080</v>
      </c>
      <c r="AH290" t="n">
        <v>9080</v>
      </c>
      <c r="AI290" t="inlineStr">
        <is>
          <t>Полное проживание в выбранном периоде</t>
        </is>
      </c>
    </row>
    <row r="291">
      <c r="A291" t="inlineStr">
        <is>
          <t>20260930-8186-462775980</t>
        </is>
      </c>
      <c r="B291" t="n">
        <v>1</v>
      </c>
      <c r="C291" s="2" t="inlineStr">
        <is>
          <t>Евгения Каменщикова, Константин Попов</t>
        </is>
      </c>
      <c r="D291" s="3" t="n">
        <v>20957.5</v>
      </c>
      <c r="E291" s="4" t="n">
        <v>18</v>
      </c>
      <c r="F291" t="inlineStr">
        <is>
          <t>Яндекс.Путешествия [Чайковский]</t>
        </is>
      </c>
      <c r="G291" s="3">
        <f>ROUND(D291/(100-E291)*100,2)</f>
        <v/>
      </c>
      <c r="H291" s="3" t="n">
        <v>0</v>
      </c>
      <c r="I291" s="3">
        <f>ROUND(IF(ISNUMBER(AG291),AG291,G291)+H291,2)</f>
        <v/>
      </c>
      <c r="J291" s="2" t="inlineStr"/>
      <c r="K291" s="5" t="n">
        <v>46295.58333333334</v>
      </c>
      <c r="L291" t="n">
        <v>1</v>
      </c>
      <c r="M291" s="3">
        <f>I291/L291</f>
        <v/>
      </c>
      <c r="N291">
        <f>IF(M291&gt;=5100,"ставка","мин.ставка")</f>
        <v/>
      </c>
      <c r="O291" s="3">
        <f>ROUND(IF(N291="мин.ставка",L291*100,I291/102*2),2)</f>
        <v/>
      </c>
      <c r="P291" s="5" t="n">
        <v>46297.5</v>
      </c>
      <c r="Q291" t="inlineStr">
        <is>
          <t>TravelLine YAX</t>
        </is>
      </c>
      <c r="R291" s="2" t="inlineStr">
        <is>
          <t>СТАНДАРТНЫЙ ДВУХМЕСТНЫЙ НОМЕР</t>
        </is>
      </c>
      <c r="S291" t="n">
        <v>22</v>
      </c>
      <c r="T291" t="n">
        <v>1</v>
      </c>
      <c r="U291" t="inlineStr"/>
      <c r="V291" t="inlineStr">
        <is>
          <t>Тариф с завтраком</t>
        </is>
      </c>
      <c r="W291" t="n">
        <v>20957.5</v>
      </c>
      <c r="X291" s="3" t="n">
        <v>4292.5</v>
      </c>
      <c r="Y291" t="inlineStr">
        <is>
          <t>17%</t>
        </is>
      </c>
      <c r="Z291" t="inlineStr">
        <is>
          <t>Не распределена по датам</t>
        </is>
      </c>
      <c r="AA291" s="3" t="n">
        <v>20957.5</v>
      </c>
      <c r="AB291" t="inlineStr">
        <is>
          <t>Сошлось по ночным тарифам</t>
        </is>
      </c>
      <c r="AC291" s="2" t="inlineStr"/>
      <c r="AD291" t="n">
        <v>0</v>
      </c>
      <c r="AE291" t="n">
        <v>0</v>
      </c>
      <c r="AF291" t="inlineStr">
        <is>
          <t>Частичный период: дата агрегированной скидки не определена; скидка не добавлена к базе</t>
        </is>
      </c>
      <c r="AG291" t="n">
        <v>11080.5</v>
      </c>
      <c r="AH291" t="n">
        <v>11080.5</v>
      </c>
      <c r="AI291" t="inlineStr">
        <is>
          <t>Частичное проживание распределено по dailyRates; скидка без даты не восстановлена</t>
        </is>
      </c>
    </row>
    <row r="292">
      <c r="A292" t="inlineStr">
        <is>
          <t>20260709-8186-415694678</t>
        </is>
      </c>
      <c r="B292" t="n">
        <v>1</v>
      </c>
      <c r="C292" s="2" t="inlineStr">
        <is>
          <t>Евгения Комарова</t>
        </is>
      </c>
      <c r="D292" s="3" t="n">
        <v>25878</v>
      </c>
      <c r="E292" s="4" t="n">
        <v>18</v>
      </c>
      <c r="F292" t="inlineStr">
        <is>
          <t>Яндекс.Путешествия [Чайковский]</t>
        </is>
      </c>
      <c r="G292" s="3">
        <f>ROUND(D292/(100-E292)*100,2)</f>
        <v/>
      </c>
      <c r="H292" s="3" t="n">
        <v>0</v>
      </c>
      <c r="I292" s="3">
        <f>ROUND(IF(ISNUMBER(AG292),AG292,G292)+H292,2)</f>
        <v/>
      </c>
      <c r="J292" s="2" t="inlineStr">
        <is>
          <t>Завтрак "Шведский стол"</t>
        </is>
      </c>
      <c r="K292" s="5" t="n">
        <v>46212.58333333334</v>
      </c>
      <c r="L292" t="n">
        <v>3</v>
      </c>
      <c r="M292" s="3">
        <f>I292/L292</f>
        <v/>
      </c>
      <c r="N292">
        <f>IF(M292&gt;=5100,"ставка","мин.ставка")</f>
        <v/>
      </c>
      <c r="O292" s="3">
        <f>ROUND(IF(N292="мин.ставка",L292*100,I292/102*2),2)</f>
        <v/>
      </c>
      <c r="P292" s="5" t="n">
        <v>46215.5</v>
      </c>
      <c r="Q292" t="inlineStr">
        <is>
          <t>TravelLine YAX</t>
        </is>
      </c>
      <c r="R292" s="2" t="inlineStr">
        <is>
          <t>СТАНДАРТНЫЙ ДВУХМЕСТНЫЙ НОМЕР</t>
        </is>
      </c>
      <c r="S292" t="n">
        <v>23</v>
      </c>
      <c r="T292" t="n">
        <v>1</v>
      </c>
      <c r="U292" t="inlineStr"/>
      <c r="V292" t="inlineStr">
        <is>
          <t>Тариф с завтраком</t>
        </is>
      </c>
      <c r="W292" t="n">
        <v>25878</v>
      </c>
      <c r="X292" s="3" t="n">
        <v>6469.5</v>
      </c>
      <c r="Y292" t="inlineStr">
        <is>
          <t>20%</t>
        </is>
      </c>
      <c r="Z292" t="inlineStr">
        <is>
          <t>2026-07-09, 2026-07-10, 2026-07-11</t>
        </is>
      </c>
      <c r="AA292" s="3" t="n">
        <v>25878</v>
      </c>
      <c r="AB292" t="inlineStr">
        <is>
          <t>Сошлось по ночным тарифам</t>
        </is>
      </c>
      <c r="AC292" s="2" t="inlineStr"/>
      <c r="AD292" t="n">
        <v>6469.5</v>
      </c>
      <c r="AE292" t="n">
        <v>0</v>
      </c>
      <c r="AF292" t="inlineStr">
        <is>
          <t>Скидка добавлена к налоговой базе</t>
        </is>
      </c>
      <c r="AG292" t="n">
        <v>32347.5</v>
      </c>
      <c r="AH292" t="n">
        <v>25878</v>
      </c>
      <c r="AI292" t="inlineStr">
        <is>
          <t>Полное проживание в выбранном периоде</t>
        </is>
      </c>
    </row>
    <row r="293">
      <c r="A293" t="inlineStr">
        <is>
          <t>20260823-8186-456417085</t>
        </is>
      </c>
      <c r="B293" t="n">
        <v>1</v>
      </c>
      <c r="C293" s="2" t="inlineStr">
        <is>
          <t>Евгения Мельникова, Кирилл Мельников</t>
        </is>
      </c>
      <c r="D293" s="3" t="n">
        <v>8217</v>
      </c>
      <c r="E293" s="4" t="n">
        <v>17</v>
      </c>
      <c r="F293" t="inlineStr">
        <is>
          <t>ООО «Интернет Трэвел» (OZON) [Чайковский]</t>
        </is>
      </c>
      <c r="G293" s="3">
        <f>ROUND(D293/(100-E293)*100,2)</f>
        <v/>
      </c>
      <c r="H293" s="3" t="n">
        <v>0</v>
      </c>
      <c r="I293" s="3">
        <f>ROUND(IF(ISNUMBER(AG293),AG293,G293)+H293,2)</f>
        <v/>
      </c>
      <c r="J293" s="2" t="inlineStr">
        <is>
          <t>Завтрак "Шведский стол"</t>
        </is>
      </c>
      <c r="K293" s="5" t="n">
        <v>46257.58333333334</v>
      </c>
      <c r="L293" t="n">
        <v>1</v>
      </c>
      <c r="M293" s="3">
        <f>I293/L293</f>
        <v/>
      </c>
      <c r="N293">
        <f>IF(M293&gt;=5100,"ставка","мин.ставка")</f>
        <v/>
      </c>
      <c r="O293" s="3">
        <f>ROUND(IF(N293="мин.ставка",L293*100,I293/102*2),2)</f>
        <v/>
      </c>
      <c r="P293" s="5" t="n">
        <v>46258.5</v>
      </c>
      <c r="Q293" t="inlineStr">
        <is>
          <t>TravelLine OZ2</t>
        </is>
      </c>
      <c r="R293" s="2" t="inlineStr">
        <is>
          <t>СТАНДАРТНЫЙ ДВУХМЕСТНЫЙ НОМЕР (МАНСАРДА)</t>
        </is>
      </c>
      <c r="S293" t="n">
        <v>43</v>
      </c>
      <c r="T293" t="n">
        <v>1</v>
      </c>
      <c r="U293" t="inlineStr"/>
      <c r="V293" t="inlineStr">
        <is>
          <t>Тариф с завтраком</t>
        </is>
      </c>
      <c r="W293" t="n">
        <v>8217</v>
      </c>
      <c r="X293" s="3" t="n">
        <v>1683</v>
      </c>
      <c r="Y293" t="inlineStr">
        <is>
          <t>17%</t>
        </is>
      </c>
      <c r="Z293" t="inlineStr">
        <is>
          <t>2026-08-23</t>
        </is>
      </c>
      <c r="AA293" s="3" t="n">
        <v>8217</v>
      </c>
      <c r="AB293" t="inlineStr">
        <is>
          <t>Сошлось по ночным тарифам</t>
        </is>
      </c>
      <c r="AC293" s="2" t="inlineStr"/>
      <c r="AD293" t="n">
        <v>1683</v>
      </c>
      <c r="AE293" t="n">
        <v>0</v>
      </c>
      <c r="AF293" t="inlineStr">
        <is>
          <t>Скидка добавлена к налоговой базе</t>
        </is>
      </c>
      <c r="AG293" t="n">
        <v>9900</v>
      </c>
      <c r="AH293" t="n">
        <v>8217</v>
      </c>
      <c r="AI293" t="inlineStr">
        <is>
          <t>Полное проживание в выбранном периоде</t>
        </is>
      </c>
    </row>
    <row r="294">
      <c r="A294" t="inlineStr">
        <is>
          <t>20260831-8186-449066045</t>
        </is>
      </c>
      <c r="B294" t="n">
        <v>1</v>
      </c>
      <c r="C294" s="2" t="inlineStr">
        <is>
          <t>Евгения Михеева, Василий Михеев</t>
        </is>
      </c>
      <c r="D294" s="3" t="n">
        <v>42075</v>
      </c>
      <c r="E294" s="4" t="n">
        <v>15</v>
      </c>
      <c r="F294" t="inlineStr">
        <is>
          <t>ООО Тинькофф Путешествия [Чайковский]</t>
        </is>
      </c>
      <c r="G294" s="3">
        <f>ROUND(D294/(100-E294)*100,2)</f>
        <v/>
      </c>
      <c r="H294" s="3" t="n">
        <v>0</v>
      </c>
      <c r="I294" s="3">
        <f>ROUND(IF(ISNUMBER(AG294),AG294,G294)+H294,2)</f>
        <v/>
      </c>
      <c r="J294" s="2" t="inlineStr">
        <is>
          <t>Завтрак "Шведский стол"</t>
        </is>
      </c>
      <c r="K294" s="5" t="n">
        <v>46265.58333333334</v>
      </c>
      <c r="L294" t="n">
        <v>5</v>
      </c>
      <c r="M294" s="3">
        <f>I294/L294</f>
        <v/>
      </c>
      <c r="N294">
        <f>IF(M294&gt;=5100,"ставка","мин.ставка")</f>
        <v/>
      </c>
      <c r="O294" s="3">
        <f>ROUND(IF(N294="мин.ставка",L294*100,I294/102*2),2)</f>
        <v/>
      </c>
      <c r="P294" s="5" t="n">
        <v>46270.5</v>
      </c>
      <c r="Q294" t="inlineStr">
        <is>
          <t>TravelLine TNK</t>
        </is>
      </c>
      <c r="R294" s="2" t="inlineStr">
        <is>
          <t>СТАНДАРТНЫЙ ДВУХМЕСТНЫЙ НОМЕР (МАНСАРДА)</t>
        </is>
      </c>
      <c r="S294" t="n">
        <v>47</v>
      </c>
      <c r="T294" t="n">
        <v>1</v>
      </c>
      <c r="U294" t="inlineStr"/>
      <c r="V294" t="inlineStr">
        <is>
          <t>Тариф с завтраком</t>
        </is>
      </c>
      <c r="W294" t="n">
        <v>42075</v>
      </c>
      <c r="X294" s="3" t="n">
        <v>7425</v>
      </c>
      <c r="Y294" t="inlineStr">
        <is>
          <t>15%</t>
        </is>
      </c>
      <c r="Z294" t="inlineStr">
        <is>
          <t>2026-08-31, 2026-09-01, 2026-09-02, 2026-09-03, 2026-09-04</t>
        </is>
      </c>
      <c r="AA294" s="3" t="n">
        <v>42075</v>
      </c>
      <c r="AB294" t="inlineStr">
        <is>
          <t>Сошлось по ночным тарифам</t>
        </is>
      </c>
      <c r="AC294" s="2" t="inlineStr"/>
      <c r="AD294" t="n">
        <v>7425</v>
      </c>
      <c r="AE294" t="n">
        <v>0</v>
      </c>
      <c r="AF294" t="inlineStr">
        <is>
          <t>Скидка добавлена к налоговой базе</t>
        </is>
      </c>
      <c r="AG294" t="n">
        <v>49500</v>
      </c>
      <c r="AH294" t="n">
        <v>42075</v>
      </c>
      <c r="AI294" t="inlineStr">
        <is>
          <t>Полное проживание в выбранном периоде</t>
        </is>
      </c>
    </row>
    <row r="295">
      <c r="A295" t="inlineStr">
        <is>
          <t>20260807-8186-456741568</t>
        </is>
      </c>
      <c r="B295" t="n">
        <v>1</v>
      </c>
      <c r="C295" s="2" t="inlineStr">
        <is>
          <t>Егор Михайлов, Инна Михайлова</t>
        </is>
      </c>
      <c r="D295" s="3" t="n">
        <v>13695</v>
      </c>
      <c r="E295" s="4" t="n">
        <v>18</v>
      </c>
      <c r="F295" t="inlineStr">
        <is>
          <t>Яндекс.Путешествия [Чайковский]</t>
        </is>
      </c>
      <c r="G295" s="3">
        <f>ROUND(D295/(100-E295)*100,2)</f>
        <v/>
      </c>
      <c r="H295" s="3" t="n">
        <v>0</v>
      </c>
      <c r="I295" s="3">
        <f>ROUND(IF(ISNUMBER(AG295),AG295,G295)+H295,2)</f>
        <v/>
      </c>
      <c r="J295" s="2" t="inlineStr">
        <is>
          <t>Завтрак "Шведский стол"</t>
        </is>
      </c>
      <c r="K295" s="5" t="n">
        <v>46241.58333333334</v>
      </c>
      <c r="L295" t="n">
        <v>1</v>
      </c>
      <c r="M295" s="3">
        <f>I295/L295</f>
        <v/>
      </c>
      <c r="N295">
        <f>IF(M295&gt;=5100,"ставка","мин.ставка")</f>
        <v/>
      </c>
      <c r="O295" s="3">
        <f>ROUND(IF(N295="мин.ставка",L295*100,I295/102*2),2)</f>
        <v/>
      </c>
      <c r="P295" s="5" t="n">
        <v>46242.5</v>
      </c>
      <c r="Q295" t="inlineStr">
        <is>
          <t>TravelLine YAX</t>
        </is>
      </c>
      <c r="R295" s="2" t="inlineStr">
        <is>
          <t>ПОЛУЛЮКС</t>
        </is>
      </c>
      <c r="S295" t="n">
        <v>35</v>
      </c>
      <c r="T295" t="n">
        <v>1</v>
      </c>
      <c r="U295" t="inlineStr"/>
      <c r="V295" t="inlineStr">
        <is>
          <t>Тариф с завтраком</t>
        </is>
      </c>
      <c r="W295" t="n">
        <v>13695</v>
      </c>
      <c r="X295" s="3" t="n">
        <v>2805</v>
      </c>
      <c r="Y295" t="inlineStr">
        <is>
          <t>17%</t>
        </is>
      </c>
      <c r="Z295" t="inlineStr">
        <is>
          <t>2026-08-07</t>
        </is>
      </c>
      <c r="AA295" s="3" t="n">
        <v>13695</v>
      </c>
      <c r="AB295" t="inlineStr">
        <is>
          <t>Сошлось по ночным тарифам</t>
        </is>
      </c>
      <c r="AC295" s="2" t="inlineStr"/>
      <c r="AD295" t="n">
        <v>2805</v>
      </c>
      <c r="AE295" t="n">
        <v>0</v>
      </c>
      <c r="AF295" t="inlineStr">
        <is>
          <t>Скидка добавлена к налоговой базе</t>
        </is>
      </c>
      <c r="AG295" t="n">
        <v>16500</v>
      </c>
      <c r="AH295" t="n">
        <v>13695</v>
      </c>
      <c r="AI295" t="inlineStr">
        <is>
          <t>Полное проживание в выбранном периоде</t>
        </is>
      </c>
    </row>
    <row r="296">
      <c r="A296" t="inlineStr">
        <is>
          <t>20260905-8186-454296159</t>
        </is>
      </c>
      <c r="B296" t="n">
        <v>1</v>
      </c>
      <c r="C296" s="2" t="inlineStr">
        <is>
          <t>Егор Яковлев, Дарья Мухина</t>
        </is>
      </c>
      <c r="D296" s="3" t="n">
        <v>52800</v>
      </c>
      <c r="E296" s="4" t="n">
        <v>18</v>
      </c>
      <c r="F296" t="inlineStr">
        <is>
          <t>Яндекс.Путешествия [Чайковский]</t>
        </is>
      </c>
      <c r="G296" s="3">
        <f>ROUND(D296/(100-E296)*100,2)</f>
        <v/>
      </c>
      <c r="H296" s="3" t="n">
        <v>0</v>
      </c>
      <c r="I296" s="3">
        <f>ROUND(IF(ISNUMBER(AG296),AG296,G296)+H296,2)</f>
        <v/>
      </c>
      <c r="J296" s="2" t="inlineStr">
        <is>
          <t>Завтрак "Шведский стол"</t>
        </is>
      </c>
      <c r="K296" s="5" t="n">
        <v>46270.58333333334</v>
      </c>
      <c r="L296" t="n">
        <v>4</v>
      </c>
      <c r="M296" s="3">
        <f>I296/L296</f>
        <v/>
      </c>
      <c r="N296">
        <f>IF(M296&gt;=5100,"ставка","мин.ставка")</f>
        <v/>
      </c>
      <c r="O296" s="3">
        <f>ROUND(IF(N296="мин.ставка",L296*100,I296/102*2),2)</f>
        <v/>
      </c>
      <c r="P296" s="5" t="n">
        <v>46274.5</v>
      </c>
      <c r="Q296" t="inlineStr">
        <is>
          <t>TravelLine YAX</t>
        </is>
      </c>
      <c r="R296" s="2" t="inlineStr">
        <is>
          <t>ПОЛУЛЮКС</t>
        </is>
      </c>
      <c r="S296" t="n">
        <v>25</v>
      </c>
      <c r="T296" t="n">
        <v>1</v>
      </c>
      <c r="U296" t="inlineStr"/>
      <c r="V296" t="inlineStr">
        <is>
          <t>Тариф с завтраком</t>
        </is>
      </c>
      <c r="W296" t="n">
        <v>52800</v>
      </c>
      <c r="X296" s="3" t="n">
        <v>13200</v>
      </c>
      <c r="Y296" t="inlineStr">
        <is>
          <t>20%</t>
        </is>
      </c>
      <c r="Z296" t="inlineStr">
        <is>
          <t>2026-09-05, 2026-09-06, 2026-09-07, 2026-09-08</t>
        </is>
      </c>
      <c r="AA296" s="3" t="n">
        <v>52800</v>
      </c>
      <c r="AB296" t="inlineStr">
        <is>
          <t>Сошлось по ночным тарифам</t>
        </is>
      </c>
      <c r="AC296" s="2" t="inlineStr"/>
      <c r="AD296" t="n">
        <v>13200</v>
      </c>
      <c r="AE296" t="n">
        <v>0</v>
      </c>
      <c r="AF296" t="inlineStr">
        <is>
          <t>Скидка добавлена к налоговой базе</t>
        </is>
      </c>
      <c r="AG296" t="n">
        <v>66000</v>
      </c>
      <c r="AH296" t="n">
        <v>52800</v>
      </c>
      <c r="AI296" t="inlineStr">
        <is>
          <t>Полное проживание в выбранном периоде</t>
        </is>
      </c>
    </row>
    <row r="297">
      <c r="A297" t="inlineStr">
        <is>
          <t>20260819-8186-459277807</t>
        </is>
      </c>
      <c r="B297" t="n">
        <v>1</v>
      </c>
      <c r="C297" s="2" t="inlineStr">
        <is>
          <t>ЕКАТЕРИНА БАСАРАБЕЦ</t>
        </is>
      </c>
      <c r="D297" s="3" t="n">
        <v>9647.5</v>
      </c>
      <c r="E297" s="4" t="n">
        <v>15</v>
      </c>
      <c r="F297" t="inlineStr">
        <is>
          <t>ООО "АКАДЕМ-ОНЛАЙН" [Чайковский]</t>
        </is>
      </c>
      <c r="G297" s="3">
        <f>ROUND(D297/(100-E297)*100,2)</f>
        <v/>
      </c>
      <c r="H297" s="3" t="n">
        <v>0</v>
      </c>
      <c r="I297" s="3">
        <f>ROUND(IF(ISNUMBER(AG297),AG297,G297)+H297,2)</f>
        <v/>
      </c>
      <c r="J297" s="2" t="inlineStr">
        <is>
          <t>Завтрак "Шведский стол"</t>
        </is>
      </c>
      <c r="K297" s="5" t="n">
        <v>46253.58333333334</v>
      </c>
      <c r="L297" t="n">
        <v>1</v>
      </c>
      <c r="M297" s="3">
        <f>I297/L297</f>
        <v/>
      </c>
      <c r="N297">
        <f>IF(M297&gt;=5100,"ставка","мин.ставка")</f>
        <v/>
      </c>
      <c r="O297" s="3">
        <f>ROUND(IF(N297="мин.ставка",L297*100,I297/102*2),2)</f>
        <v/>
      </c>
      <c r="P297" s="5" t="n">
        <v>46254.5</v>
      </c>
      <c r="Q297" t="inlineStr">
        <is>
          <t>TravelLine ACS</t>
        </is>
      </c>
      <c r="R297" s="2" t="inlineStr">
        <is>
          <t>СТАНДАРТНЫЙ ДВУХМЕСТНЫЙ НОМЕР</t>
        </is>
      </c>
      <c r="S297" t="n">
        <v>23</v>
      </c>
      <c r="T297" t="n">
        <v>1</v>
      </c>
      <c r="U297" t="inlineStr"/>
      <c r="V297" t="inlineStr">
        <is>
          <t>Тариф с завтраком</t>
        </is>
      </c>
      <c r="W297" t="n">
        <v>9647.5</v>
      </c>
      <c r="X297" s="3" t="n">
        <v>1702.5</v>
      </c>
      <c r="Y297" t="inlineStr">
        <is>
          <t>15%</t>
        </is>
      </c>
      <c r="Z297" t="inlineStr">
        <is>
          <t>2026-08-19</t>
        </is>
      </c>
      <c r="AA297" s="3" t="n">
        <v>9647.5</v>
      </c>
      <c r="AB297" t="inlineStr">
        <is>
          <t>Сошлось по ночным тарифам</t>
        </is>
      </c>
      <c r="AC297" s="2" t="inlineStr"/>
      <c r="AD297" t="n">
        <v>1702.5</v>
      </c>
      <c r="AE297" t="n">
        <v>0</v>
      </c>
      <c r="AF297" t="inlineStr">
        <is>
          <t>Скидка добавлена к налоговой базе</t>
        </is>
      </c>
      <c r="AG297" t="n">
        <v>11350</v>
      </c>
      <c r="AH297" t="n">
        <v>9647.5</v>
      </c>
      <c r="AI297" t="inlineStr">
        <is>
          <t>Полное проживание в выбранном периоде</t>
        </is>
      </c>
    </row>
    <row r="298">
      <c r="A298" t="inlineStr">
        <is>
          <t>20260922-8186-459295837</t>
        </is>
      </c>
      <c r="B298" t="n">
        <v>1</v>
      </c>
      <c r="C298" s="2" t="inlineStr">
        <is>
          <t>ЕКАТЕРИНА ЕВТУШЕНКО</t>
        </is>
      </c>
      <c r="D298" s="3" t="n">
        <v>11704</v>
      </c>
      <c r="E298" s="4" t="n">
        <v>18</v>
      </c>
      <c r="F298" t="inlineStr">
        <is>
          <t>Яндекс.Путешествия [Чайковский]</t>
        </is>
      </c>
      <c r="G298" s="3">
        <f>ROUND(D298/(100-E298)*100,2)</f>
        <v/>
      </c>
      <c r="H298" s="3" t="n">
        <v>0</v>
      </c>
      <c r="I298" s="3">
        <f>ROUND(IF(ISNUMBER(AG298),AG298,G298)+H298,2)</f>
        <v/>
      </c>
      <c r="J298" s="2" t="inlineStr">
        <is>
          <t>Завтрак "Шведский стол"</t>
        </is>
      </c>
      <c r="K298" s="5" t="n">
        <v>46287.58333333334</v>
      </c>
      <c r="L298" t="n">
        <v>2</v>
      </c>
      <c r="M298" s="3">
        <f>I298/L298</f>
        <v/>
      </c>
      <c r="N298">
        <f>IF(M298&gt;=5100,"ставка","мин.ставка")</f>
        <v/>
      </c>
      <c r="O298" s="3">
        <f>ROUND(IF(N298="мин.ставка",L298*100,I298/102*2),2)</f>
        <v/>
      </c>
      <c r="P298" s="5" t="n">
        <v>46289.5</v>
      </c>
      <c r="Q298" t="inlineStr">
        <is>
          <t>TravelLine YAX</t>
        </is>
      </c>
      <c r="R298" s="2" t="inlineStr">
        <is>
          <t>СТАНДАРТНЫЙ ОДНОМЕСТНЫЙ НОМЕР</t>
        </is>
      </c>
      <c r="S298" t="n">
        <v>34</v>
      </c>
      <c r="T298" t="n">
        <v>1</v>
      </c>
      <c r="U298" t="inlineStr"/>
      <c r="V298" t="inlineStr">
        <is>
          <t>Тариф с завтраком</t>
        </is>
      </c>
      <c r="W298" t="n">
        <v>11704</v>
      </c>
      <c r="X298" s="3" t="n">
        <v>2926</v>
      </c>
      <c r="Y298" t="inlineStr">
        <is>
          <t>20%</t>
        </is>
      </c>
      <c r="Z298" t="inlineStr">
        <is>
          <t>2026-09-22, 2026-09-23</t>
        </is>
      </c>
      <c r="AA298" s="3" t="n">
        <v>11704</v>
      </c>
      <c r="AB298" t="inlineStr">
        <is>
          <t>Сошлось по ночным тарифам</t>
        </is>
      </c>
      <c r="AC298" s="2" t="inlineStr"/>
      <c r="AD298" t="n">
        <v>2926</v>
      </c>
      <c r="AE298" t="n">
        <v>0</v>
      </c>
      <c r="AF298" t="inlineStr">
        <is>
          <t>Скидка добавлена к налоговой базе</t>
        </is>
      </c>
      <c r="AG298" t="n">
        <v>14630</v>
      </c>
      <c r="AH298" t="n">
        <v>11704</v>
      </c>
      <c r="AI298" t="inlineStr">
        <is>
          <t>Полное проживание в выбранном периоде</t>
        </is>
      </c>
    </row>
    <row r="299">
      <c r="A299" t="inlineStr">
        <is>
          <t>20260715-8186-423873505</t>
        </is>
      </c>
      <c r="B299" t="n">
        <v>1</v>
      </c>
      <c r="C299" s="2" t="inlineStr">
        <is>
          <t>Екатерина Егорова</t>
        </is>
      </c>
      <c r="D299" s="3" t="n">
        <v>25280</v>
      </c>
      <c r="E299" s="4" t="n">
        <v>18</v>
      </c>
      <c r="F299" t="inlineStr">
        <is>
          <t>Яндекс.Путешествия [Чайковский]</t>
        </is>
      </c>
      <c r="G299" s="3">
        <f>ROUND(D299/(100-E299)*100,2)</f>
        <v/>
      </c>
      <c r="H299" s="3" t="n">
        <v>0</v>
      </c>
      <c r="I299" s="3">
        <f>ROUND(IF(ISNUMBER(AG299),AG299,G299)+H299,2)</f>
        <v/>
      </c>
      <c r="J299" s="2" t="inlineStr">
        <is>
          <t>Завтрак "Шведский стол"</t>
        </is>
      </c>
      <c r="K299" s="5" t="n">
        <v>46218.58333333334</v>
      </c>
      <c r="L299" t="n">
        <v>4</v>
      </c>
      <c r="M299" s="3">
        <f>I299/L299</f>
        <v/>
      </c>
      <c r="N299">
        <f>IF(M299&gt;=5100,"ставка","мин.ставка")</f>
        <v/>
      </c>
      <c r="O299" s="3">
        <f>ROUND(IF(N299="мин.ставка",L299*100,I299/102*2),2)</f>
        <v/>
      </c>
      <c r="P299" s="5" t="n">
        <v>46222.5</v>
      </c>
      <c r="Q299" t="inlineStr">
        <is>
          <t>TravelLine YAX</t>
        </is>
      </c>
      <c r="R299" s="2" t="inlineStr">
        <is>
          <t>СТАНДАРТНЫЙ ДВУХМЕСТНЫЙ НОМЕР (МАНСАРДА)</t>
        </is>
      </c>
      <c r="S299" t="n">
        <v>47</v>
      </c>
      <c r="T299" t="n">
        <v>1</v>
      </c>
      <c r="U299" t="inlineStr"/>
      <c r="V299" t="inlineStr">
        <is>
          <t>Тариф с завтраком</t>
        </is>
      </c>
      <c r="W299" t="n">
        <v>25280</v>
      </c>
      <c r="X299" s="3" t="n">
        <v>6320</v>
      </c>
      <c r="Y299" t="inlineStr">
        <is>
          <t>20%</t>
        </is>
      </c>
      <c r="Z299" t="inlineStr">
        <is>
          <t>2026-07-15, 2026-07-16, 2026-07-17, 2026-07-18</t>
        </is>
      </c>
      <c r="AA299" s="3" t="n">
        <v>25280</v>
      </c>
      <c r="AB299" t="inlineStr">
        <is>
          <t>Сошлось по ночным тарифам</t>
        </is>
      </c>
      <c r="AC299" s="2" t="inlineStr"/>
      <c r="AD299" t="n">
        <v>6320</v>
      </c>
      <c r="AE299" t="n">
        <v>0</v>
      </c>
      <c r="AF299" t="inlineStr">
        <is>
          <t>Скидка добавлена к налоговой базе</t>
        </is>
      </c>
      <c r="AG299" t="n">
        <v>31600</v>
      </c>
      <c r="AH299" t="n">
        <v>25280</v>
      </c>
      <c r="AI299" t="inlineStr">
        <is>
          <t>Полное проживание в выбранном периоде</t>
        </is>
      </c>
    </row>
    <row r="300">
      <c r="A300" t="inlineStr">
        <is>
          <t>20260829-8186-460256896</t>
        </is>
      </c>
      <c r="B300" t="n">
        <v>1</v>
      </c>
      <c r="C300" s="2" t="inlineStr">
        <is>
          <t>ЕКАТЕРИНА ЕГОРОВА</t>
        </is>
      </c>
      <c r="D300" s="3" t="n">
        <v>15555.1</v>
      </c>
      <c r="E300" s="4" t="n">
        <v>4</v>
      </c>
      <c r="F300" t="inlineStr">
        <is>
          <t>TravelLine Booking Engine [Чайковский]</t>
        </is>
      </c>
      <c r="G300" s="3">
        <f>ROUND(D300/(100-E300)*100,2)</f>
        <v/>
      </c>
      <c r="H300" s="3" t="n">
        <v>0</v>
      </c>
      <c r="I300" s="3">
        <f>ROUND(IF(ISNUMBER(AG300),AG300,G300)+H300,2)</f>
        <v/>
      </c>
      <c r="J300" s="2" t="inlineStr">
        <is>
          <t>Завтрак "Шведский стол"</t>
        </is>
      </c>
      <c r="K300" s="5" t="n">
        <v>46263.58333333334</v>
      </c>
      <c r="L300" t="n">
        <v>2</v>
      </c>
      <c r="M300" s="3">
        <f>I300/L300</f>
        <v/>
      </c>
      <c r="N300">
        <f>IF(M300&gt;=5100,"ставка","мин.ставка")</f>
        <v/>
      </c>
      <c r="O300" s="3">
        <f>ROUND(IF(N300="мин.ставка",L300*100,I300/102*2),2)</f>
        <v/>
      </c>
      <c r="P300" s="5" t="n">
        <v>46265.5</v>
      </c>
      <c r="Q300" t="inlineStr">
        <is>
          <t>TravelLine сайт</t>
        </is>
      </c>
      <c r="R300" s="2" t="inlineStr">
        <is>
          <t>СТАНДАРТНЫЙ ДВУХМЕСТНЫЙ НОМЕР (МАНСАРДА)</t>
        </is>
      </c>
      <c r="S300" t="n">
        <v>47</v>
      </c>
      <c r="T300" t="n">
        <v>1</v>
      </c>
      <c r="U300" t="inlineStr"/>
      <c r="V300" t="inlineStr">
        <is>
          <t>Тариф с завтраком</t>
        </is>
      </c>
      <c r="W300" t="n">
        <v>15555.1</v>
      </c>
      <c r="X300" s="3" t="n">
        <v>244.9</v>
      </c>
      <c r="Y300" t="inlineStr">
        <is>
          <t>3.1%</t>
        </is>
      </c>
      <c r="Z300" t="inlineStr">
        <is>
          <t>2026-08-29</t>
        </is>
      </c>
      <c r="AA300" s="3" t="n">
        <v>15555.1</v>
      </c>
      <c r="AB300" t="inlineStr">
        <is>
          <t>Сошлось по ночным тарифам</t>
        </is>
      </c>
      <c r="AC300" s="2" t="inlineStr"/>
      <c r="AD300" t="n">
        <v>244.9</v>
      </c>
      <c r="AE300" t="n">
        <v>0</v>
      </c>
      <c r="AF300" t="inlineStr">
        <is>
          <t>Скидка добавлена к налоговой базе</t>
        </is>
      </c>
      <c r="AG300" t="n">
        <v>15800</v>
      </c>
      <c r="AH300" t="n">
        <v>15555.1</v>
      </c>
      <c r="AI300" t="inlineStr">
        <is>
          <t>Полное проживание в выбранном периоде</t>
        </is>
      </c>
    </row>
    <row r="301">
      <c r="A301" t="inlineStr">
        <is>
          <t>20260724-8186-452008771</t>
        </is>
      </c>
      <c r="B301" t="n">
        <v>1</v>
      </c>
      <c r="C301" s="2" t="inlineStr">
        <is>
          <t>Екатерина Закревская</t>
        </is>
      </c>
      <c r="D301" s="3" t="n">
        <v>6160</v>
      </c>
      <c r="E301" s="4" t="n">
        <v>20</v>
      </c>
      <c r="F301" t="inlineStr">
        <is>
          <t>ООО "КОМПАНИЯ БРОНЕВИК" [Чайковский]</t>
        </is>
      </c>
      <c r="G301" s="3">
        <f>ROUND(D301/(100-E301)*100,2)</f>
        <v/>
      </c>
      <c r="H301" s="3" t="n">
        <v>0</v>
      </c>
      <c r="I301" s="3">
        <f>ROUND(IF(ISNUMBER(AG301),AG301,G301)+H301,2)</f>
        <v/>
      </c>
      <c r="J301" s="2" t="inlineStr">
        <is>
          <t>Завтрак "Шведский стол"</t>
        </is>
      </c>
      <c r="K301" s="5" t="n">
        <v>46227.58333333334</v>
      </c>
      <c r="L301" t="n">
        <v>1</v>
      </c>
      <c r="M301" s="3">
        <f>I301/L301</f>
        <v/>
      </c>
      <c r="N301">
        <f>IF(M301&gt;=5100,"ставка","мин.ставка")</f>
        <v/>
      </c>
      <c r="O301" s="3">
        <f>ROUND(IF(N301="мин.ставка",L301*100,I301/102*2),2)</f>
        <v/>
      </c>
      <c r="P301" s="5" t="n">
        <v>46228.5</v>
      </c>
      <c r="Q301" t="inlineStr">
        <is>
          <t>TravelLine BR2</t>
        </is>
      </c>
      <c r="R301" s="2" t="inlineStr">
        <is>
          <t>СТАНДАРТНЫЙ ОДНОМЕСТНЫЙ НОМЕР</t>
        </is>
      </c>
      <c r="S301" t="n">
        <v>24</v>
      </c>
      <c r="T301" t="n">
        <v>1</v>
      </c>
      <c r="U301" t="inlineStr"/>
      <c r="V301" t="inlineStr">
        <is>
          <t>Тариф с завтраком</t>
        </is>
      </c>
      <c r="W301" t="n">
        <v>6160</v>
      </c>
      <c r="X301" s="3" t="n">
        <v>0</v>
      </c>
      <c r="Y301" t="inlineStr"/>
      <c r="Z301" t="inlineStr"/>
      <c r="AA301" s="3" t="n">
        <v>6160</v>
      </c>
      <c r="AB301" t="inlineStr">
        <is>
          <t>Сошлось по ночным тарифам</t>
        </is>
      </c>
      <c r="AC301" s="2" t="inlineStr"/>
      <c r="AD301" t="n">
        <v>0</v>
      </c>
      <c r="AE301" t="n">
        <v>0</v>
      </c>
      <c r="AF301" t="inlineStr">
        <is>
          <t>Скидки нет</t>
        </is>
      </c>
      <c r="AG301" t="n">
        <v>6160</v>
      </c>
      <c r="AH301" t="n">
        <v>6160</v>
      </c>
      <c r="AI301" t="inlineStr">
        <is>
          <t>Полное проживание в выбранном периоде</t>
        </is>
      </c>
    </row>
    <row r="302">
      <c r="A302" t="inlineStr">
        <is>
          <t>20260707-8186-425680261</t>
        </is>
      </c>
      <c r="B302" t="n">
        <v>1</v>
      </c>
      <c r="C302" s="2" t="inlineStr">
        <is>
          <t>Екатерина Лобанова</t>
        </is>
      </c>
      <c r="D302" s="3" t="n">
        <v>21945</v>
      </c>
      <c r="E302" s="4" t="n">
        <v>17</v>
      </c>
      <c r="F302" t="inlineStr">
        <is>
          <t>ООО "ОНЛАЙН ИННОВАЦИИ" (101 Отель) [Чайковский]</t>
        </is>
      </c>
      <c r="G302" s="3">
        <f>ROUND(D302/(100-E302)*100,2)</f>
        <v/>
      </c>
      <c r="H302" s="3" t="n">
        <v>0</v>
      </c>
      <c r="I302" s="3">
        <f>ROUND(IF(ISNUMBER(AG302),AG302,G302)+H302,2)</f>
        <v/>
      </c>
      <c r="J302" s="2" t="inlineStr">
        <is>
          <t>Завтрак "Шведский стол"</t>
        </is>
      </c>
      <c r="K302" s="5" t="n">
        <v>46210.58333333334</v>
      </c>
      <c r="L302" t="n">
        <v>3</v>
      </c>
      <c r="M302" s="3">
        <f>I302/L302</f>
        <v/>
      </c>
      <c r="N302">
        <f>IF(M302&gt;=5100,"ставка","мин.ставка")</f>
        <v/>
      </c>
      <c r="O302" s="3">
        <f>ROUND(IF(N302="мин.ставка",L302*100,I302/102*2),2)</f>
        <v/>
      </c>
      <c r="P302" s="5" t="n">
        <v>46213.5</v>
      </c>
      <c r="Q302" t="inlineStr">
        <is>
          <t>TravelLine H1C</t>
        </is>
      </c>
      <c r="R302" s="2" t="inlineStr">
        <is>
          <t>СТАНДАРТНЫЙ ОДНОМЕСТНЫЙ НОМЕР</t>
        </is>
      </c>
      <c r="S302" t="n">
        <v>34</v>
      </c>
      <c r="T302" t="n">
        <v>1</v>
      </c>
      <c r="U302" t="inlineStr"/>
      <c r="V302" t="inlineStr">
        <is>
          <t>Тариф с завтраком</t>
        </is>
      </c>
      <c r="W302" t="n">
        <v>21945</v>
      </c>
      <c r="X302" s="3" t="n">
        <v>1155</v>
      </c>
      <c r="Y302" t="inlineStr">
        <is>
          <t>15%</t>
        </is>
      </c>
      <c r="Z302" t="inlineStr">
        <is>
          <t>2026-07-07</t>
        </is>
      </c>
      <c r="AA302" s="3" t="n">
        <v>21945</v>
      </c>
      <c r="AB302" t="inlineStr">
        <is>
          <t>Сошлось по ночным тарифам</t>
        </is>
      </c>
      <c r="AC302" s="2" t="inlineStr"/>
      <c r="AD302" t="n">
        <v>1155</v>
      </c>
      <c r="AE302" t="n">
        <v>0</v>
      </c>
      <c r="AF302" t="inlineStr">
        <is>
          <t>Скидка добавлена к налоговой базе</t>
        </is>
      </c>
      <c r="AG302" t="n">
        <v>23100</v>
      </c>
      <c r="AH302" t="n">
        <v>21945</v>
      </c>
      <c r="AI302" t="inlineStr">
        <is>
          <t>Полное проживание в выбранном периоде</t>
        </is>
      </c>
    </row>
    <row r="303">
      <c r="A303" t="inlineStr">
        <is>
          <t>20260829-8186-459139578</t>
        </is>
      </c>
      <c r="B303" t="n">
        <v>1</v>
      </c>
      <c r="C303" s="2" t="inlineStr">
        <is>
          <t>Екатерина Лотова, константин лотов</t>
        </is>
      </c>
      <c r="D303" s="3" t="n">
        <v>8217</v>
      </c>
      <c r="E303" s="4" t="n">
        <v>18</v>
      </c>
      <c r="F303" t="inlineStr">
        <is>
          <t>Яндекс.Путешествия [Чайковский]</t>
        </is>
      </c>
      <c r="G303" s="3">
        <f>ROUND(D303/(100-E303)*100,2)</f>
        <v/>
      </c>
      <c r="H303" s="3" t="n">
        <v>0</v>
      </c>
      <c r="I303" s="3">
        <f>ROUND(IF(ISNUMBER(AG303),AG303,G303)+H303,2)</f>
        <v/>
      </c>
      <c r="J303" s="2" t="inlineStr">
        <is>
          <t>Завтрак "Шведский стол"</t>
        </is>
      </c>
      <c r="K303" s="5" t="n">
        <v>46263.58333333334</v>
      </c>
      <c r="L303" t="n">
        <v>1</v>
      </c>
      <c r="M303" s="3">
        <f>I303/L303</f>
        <v/>
      </c>
      <c r="N303">
        <f>IF(M303&gt;=5100,"ставка","мин.ставка")</f>
        <v/>
      </c>
      <c r="O303" s="3">
        <f>ROUND(IF(N303="мин.ставка",L303*100,I303/102*2),2)</f>
        <v/>
      </c>
      <c r="P303" s="5" t="n">
        <v>46264.5</v>
      </c>
      <c r="Q303" t="inlineStr">
        <is>
          <t>TravelLine YAX</t>
        </is>
      </c>
      <c r="R303" s="2" t="inlineStr">
        <is>
          <t>СТАНДАРТНЫЙ ДВУХМЕСТНЫЙ НОМЕР</t>
        </is>
      </c>
      <c r="S303" t="n">
        <v>46</v>
      </c>
      <c r="T303" t="n">
        <v>1</v>
      </c>
      <c r="U303" t="inlineStr"/>
      <c r="V303" t="inlineStr">
        <is>
          <t>Тариф с завтраком</t>
        </is>
      </c>
      <c r="W303" t="n">
        <v>8217</v>
      </c>
      <c r="X303" s="3" t="n">
        <v>1683</v>
      </c>
      <c r="Y303" t="inlineStr">
        <is>
          <t>17%</t>
        </is>
      </c>
      <c r="Z303" t="inlineStr">
        <is>
          <t>2026-08-29</t>
        </is>
      </c>
      <c r="AA303" s="3" t="n">
        <v>8217</v>
      </c>
      <c r="AB303" t="inlineStr">
        <is>
          <t>Сошлось по ночным тарифам</t>
        </is>
      </c>
      <c r="AC303" s="2" t="inlineStr"/>
      <c r="AD303" t="n">
        <v>1683</v>
      </c>
      <c r="AE303" t="n">
        <v>0</v>
      </c>
      <c r="AF303" t="inlineStr">
        <is>
          <t>Скидка добавлена к налоговой базе</t>
        </is>
      </c>
      <c r="AG303" t="n">
        <v>9900</v>
      </c>
      <c r="AH303" t="n">
        <v>8217</v>
      </c>
      <c r="AI303" t="inlineStr">
        <is>
          <t>Полное проживание в выбранном периоде</t>
        </is>
      </c>
    </row>
    <row r="304">
      <c r="A304" t="inlineStr">
        <is>
          <t>20260705-8186-445487488</t>
        </is>
      </c>
      <c r="B304" t="n">
        <v>1</v>
      </c>
      <c r="C304" s="2" t="inlineStr">
        <is>
          <t>ЕКАТЕРИНА МАТУСЕВИЧ</t>
        </is>
      </c>
      <c r="D304" s="3" t="n">
        <v>9080</v>
      </c>
      <c r="E304" s="4" t="n">
        <v>20</v>
      </c>
      <c r="F304" t="inlineStr">
        <is>
          <t>ООО "ХБ-ПРО" [Чайковский]</t>
        </is>
      </c>
      <c r="G304" s="3">
        <f>ROUND(D304/(100-E304)*100,2)</f>
        <v/>
      </c>
      <c r="H304" s="3" t="n">
        <v>0</v>
      </c>
      <c r="I304" s="3">
        <f>ROUND(IF(ISNUMBER(AG304),AG304,G304)+H304,2)</f>
        <v/>
      </c>
      <c r="J304" s="2" t="inlineStr">
        <is>
          <t>Завтрак "Шведский стол"</t>
        </is>
      </c>
      <c r="K304" s="5" t="n">
        <v>46208.58333333334</v>
      </c>
      <c r="L304" t="n">
        <v>1</v>
      </c>
      <c r="M304" s="3">
        <f>I304/L304</f>
        <v/>
      </c>
      <c r="N304">
        <f>IF(M304&gt;=5100,"ставка","мин.ставка")</f>
        <v/>
      </c>
      <c r="O304" s="3">
        <f>ROUND(IF(N304="мин.ставка",L304*100,I304/102*2),2)</f>
        <v/>
      </c>
      <c r="P304" s="5" t="n">
        <v>46209.5</v>
      </c>
      <c r="Q304" t="inlineStr">
        <is>
          <t>TravelLine UTS</t>
        </is>
      </c>
      <c r="R304" s="2" t="inlineStr">
        <is>
          <t>СТАНДАРТНЫЙ ДВУХМЕСТНЫЙ НОМЕР</t>
        </is>
      </c>
      <c r="S304" t="n">
        <v>46</v>
      </c>
      <c r="T304" t="n">
        <v>1</v>
      </c>
      <c r="U304" t="inlineStr"/>
      <c r="V304" t="inlineStr">
        <is>
          <t>Тариф с завтраком</t>
        </is>
      </c>
      <c r="W304" t="n">
        <v>9080</v>
      </c>
      <c r="X304" s="3" t="n">
        <v>0</v>
      </c>
      <c r="Y304" t="inlineStr"/>
      <c r="Z304" t="inlineStr"/>
      <c r="AA304" s="3" t="n">
        <v>9080</v>
      </c>
      <c r="AB304" t="inlineStr">
        <is>
          <t>Сошлось по ночным тарифам</t>
        </is>
      </c>
      <c r="AC304" s="2" t="inlineStr"/>
      <c r="AD304" t="n">
        <v>0</v>
      </c>
      <c r="AE304" t="n">
        <v>0</v>
      </c>
      <c r="AF304" t="inlineStr">
        <is>
          <t>Скидки нет</t>
        </is>
      </c>
      <c r="AG304" t="n">
        <v>9080</v>
      </c>
      <c r="AH304" t="n">
        <v>9080</v>
      </c>
      <c r="AI304" t="inlineStr">
        <is>
          <t>Полное проживание в выбранном периоде</t>
        </is>
      </c>
    </row>
    <row r="305">
      <c r="A305" t="inlineStr">
        <is>
          <t>20260914-8186-465905610</t>
        </is>
      </c>
      <c r="B305" t="n">
        <v>1</v>
      </c>
      <c r="C305" s="2" t="inlineStr">
        <is>
          <t>ЕКАТЕРИНА МОЛОДЦОВА</t>
        </is>
      </c>
      <c r="D305" s="3" t="n">
        <v>6545</v>
      </c>
      <c r="E305" s="4" t="n">
        <v>15</v>
      </c>
      <c r="F305" t="inlineStr">
        <is>
          <t>ООО «12Т» (ранее ONE TWO TRIP) [Чайковский]</t>
        </is>
      </c>
      <c r="G305" s="3">
        <f>ROUND(D305/(100-E305)*100,2)</f>
        <v/>
      </c>
      <c r="H305" s="3" t="n">
        <v>0</v>
      </c>
      <c r="I305" s="3">
        <f>ROUND(IF(ISNUMBER(AG305),AG305,G305)+H305,2)</f>
        <v/>
      </c>
      <c r="J305" s="2" t="inlineStr">
        <is>
          <t>Завтрак "Шведский стол"</t>
        </is>
      </c>
      <c r="K305" s="5" t="n">
        <v>46279.58333333334</v>
      </c>
      <c r="L305" t="n">
        <v>1</v>
      </c>
      <c r="M305" s="3">
        <f>I305/L305</f>
        <v/>
      </c>
      <c r="N305">
        <f>IF(M305&gt;=5100,"ставка","мин.ставка")</f>
        <v/>
      </c>
      <c r="O305" s="3">
        <f>ROUND(IF(N305="мин.ставка",L305*100,I305/102*2),2)</f>
        <v/>
      </c>
      <c r="P305" s="5" t="n">
        <v>46280.5</v>
      </c>
      <c r="Q305" t="inlineStr">
        <is>
          <t>TravelLine OTT</t>
        </is>
      </c>
      <c r="R305" s="2" t="inlineStr">
        <is>
          <t>СТАНДАРТНЫЙ ОДНОМЕСТНЫЙ НОМЕР</t>
        </is>
      </c>
      <c r="S305" t="n">
        <v>34</v>
      </c>
      <c r="T305" t="n">
        <v>1</v>
      </c>
      <c r="U305" t="inlineStr"/>
      <c r="V305" t="inlineStr">
        <is>
          <t>Тариф с завтраком</t>
        </is>
      </c>
      <c r="W305" t="n">
        <v>6545</v>
      </c>
      <c r="X305" s="3" t="n">
        <v>1155</v>
      </c>
      <c r="Y305" t="inlineStr">
        <is>
          <t>15%</t>
        </is>
      </c>
      <c r="Z305" t="inlineStr">
        <is>
          <t>2026-09-14</t>
        </is>
      </c>
      <c r="AA305" s="3" t="n">
        <v>6545</v>
      </c>
      <c r="AB305" t="inlineStr">
        <is>
          <t>Сошлось по ночным тарифам</t>
        </is>
      </c>
      <c r="AC305" s="2" t="inlineStr"/>
      <c r="AD305" t="n">
        <v>1155</v>
      </c>
      <c r="AE305" t="n">
        <v>0</v>
      </c>
      <c r="AF305" t="inlineStr">
        <is>
          <t>Скидка добавлена к налоговой базе</t>
        </is>
      </c>
      <c r="AG305" t="n">
        <v>7700</v>
      </c>
      <c r="AH305" t="n">
        <v>6545</v>
      </c>
      <c r="AI305" t="inlineStr">
        <is>
          <t>Полное проживание в выбранном периоде</t>
        </is>
      </c>
    </row>
    <row r="306">
      <c r="A306" t="inlineStr">
        <is>
          <t>20260826-8186-459009003</t>
        </is>
      </c>
      <c r="B306" t="n">
        <v>1</v>
      </c>
      <c r="C306" s="2" t="inlineStr">
        <is>
          <t>Екатерина Назарова</t>
        </is>
      </c>
      <c r="D306" s="3" t="n">
        <v>7584.5</v>
      </c>
      <c r="E306" s="4" t="n">
        <v>4</v>
      </c>
      <c r="F306" t="inlineStr">
        <is>
          <t>TravelLine Booking Engine [Чайковский]</t>
        </is>
      </c>
      <c r="G306" s="3">
        <f>ROUND(D306/(100-E306)*100,2)</f>
        <v/>
      </c>
      <c r="H306" s="3" t="n">
        <v>0</v>
      </c>
      <c r="I306" s="3">
        <f>ROUND(IF(ISNUMBER(AG306),AG306,G306)+H306,2)</f>
        <v/>
      </c>
      <c r="J306" s="2" t="inlineStr">
        <is>
          <t>Завтрак "Шведский стол"</t>
        </is>
      </c>
      <c r="K306" s="5" t="n">
        <v>46260.58333333334</v>
      </c>
      <c r="L306" t="n">
        <v>1</v>
      </c>
      <c r="M306" s="3">
        <f>I306/L306</f>
        <v/>
      </c>
      <c r="N306">
        <f>IF(M306&gt;=5100,"ставка","мин.ставка")</f>
        <v/>
      </c>
      <c r="O306" s="3">
        <f>ROUND(IF(N306="мин.ставка",L306*100,I306/102*2),2)</f>
        <v/>
      </c>
      <c r="P306" s="5" t="n">
        <v>46261.5</v>
      </c>
      <c r="Q306" t="inlineStr">
        <is>
          <t>TravelLine сайт</t>
        </is>
      </c>
      <c r="R306" s="2" t="inlineStr">
        <is>
          <t>СТАНДАРТНЫЙ ОДНОМЕСТНЫЙ НОМЕР</t>
        </is>
      </c>
      <c r="S306" t="n">
        <v>34</v>
      </c>
      <c r="T306" t="n">
        <v>1</v>
      </c>
      <c r="U306" t="inlineStr"/>
      <c r="V306" t="inlineStr">
        <is>
          <t>Тариф с завтраком</t>
        </is>
      </c>
      <c r="W306" t="n">
        <v>7584.5</v>
      </c>
      <c r="X306" s="3" t="n">
        <v>115.5</v>
      </c>
      <c r="Y306" t="inlineStr">
        <is>
          <t>1.5%</t>
        </is>
      </c>
      <c r="Z306" t="inlineStr">
        <is>
          <t>2026-08-26</t>
        </is>
      </c>
      <c r="AA306" s="3" t="n">
        <v>7584.5</v>
      </c>
      <c r="AB306" t="inlineStr">
        <is>
          <t>Сошлось по ночным тарифам</t>
        </is>
      </c>
      <c r="AC306" s="2" t="inlineStr"/>
      <c r="AD306" t="n">
        <v>115.5</v>
      </c>
      <c r="AE306" t="n">
        <v>0</v>
      </c>
      <c r="AF306" t="inlineStr">
        <is>
          <t>Скидка добавлена к налоговой базе</t>
        </is>
      </c>
      <c r="AG306" t="n">
        <v>7700</v>
      </c>
      <c r="AH306" t="n">
        <v>7584.5</v>
      </c>
      <c r="AI306" t="inlineStr">
        <is>
          <t>Полное проживание в выбранном периоде</t>
        </is>
      </c>
    </row>
    <row r="307">
      <c r="A307" t="inlineStr">
        <is>
          <t>20260710-8186-448939418</t>
        </is>
      </c>
      <c r="B307" t="n">
        <v>1</v>
      </c>
      <c r="C307" s="2" t="inlineStr">
        <is>
          <t>Екатерина Привалова, Семен Лаврин</t>
        </is>
      </c>
      <c r="D307" s="3" t="n">
        <v>8415</v>
      </c>
      <c r="E307" s="4" t="n">
        <v>15</v>
      </c>
      <c r="F307" t="inlineStr">
        <is>
          <t>ООО "БРОНИРОВАНИЕ ГОСТИНИЦ" (OSTROVOK) [Чайковский]</t>
        </is>
      </c>
      <c r="G307" s="3">
        <f>ROUND(D307/(100-E307)*100,2)</f>
        <v/>
      </c>
      <c r="H307" s="3" t="n">
        <v>0</v>
      </c>
      <c r="I307" s="3">
        <f>ROUND(IF(ISNUMBER(AG307),AG307,G307)+H307,2)</f>
        <v/>
      </c>
      <c r="J307" s="2" t="inlineStr">
        <is>
          <t>Завтрак "Шведский стол"</t>
        </is>
      </c>
      <c r="K307" s="5" t="n">
        <v>46213.58333333334</v>
      </c>
      <c r="L307" t="n">
        <v>1</v>
      </c>
      <c r="M307" s="3">
        <f>I307/L307</f>
        <v/>
      </c>
      <c r="N307">
        <f>IF(M307&gt;=5100,"ставка","мин.ставка")</f>
        <v/>
      </c>
      <c r="O307" s="3">
        <f>ROUND(IF(N307="мин.ставка",L307*100,I307/102*2),2)</f>
        <v/>
      </c>
      <c r="P307" s="5" t="n">
        <v>46214.5</v>
      </c>
      <c r="Q307" t="inlineStr">
        <is>
          <t>TravelLine OTK</t>
        </is>
      </c>
      <c r="R307" s="2" t="inlineStr">
        <is>
          <t>СТАНДАРТНЫЙ ДВУХМЕСТНЫЙ НОМЕР (МАНСАРДА)</t>
        </is>
      </c>
      <c r="S307" t="n">
        <v>41</v>
      </c>
      <c r="T307" t="n">
        <v>1</v>
      </c>
      <c r="U307" t="inlineStr"/>
      <c r="V307" t="inlineStr">
        <is>
          <t>Тариф с завтраком</t>
        </is>
      </c>
      <c r="W307" t="n">
        <v>8415</v>
      </c>
      <c r="X307" s="3" t="n">
        <v>1485</v>
      </c>
      <c r="Y307" t="inlineStr">
        <is>
          <t>15%</t>
        </is>
      </c>
      <c r="Z307" t="inlineStr">
        <is>
          <t>2026-07-10</t>
        </is>
      </c>
      <c r="AA307" s="3" t="n">
        <v>8415</v>
      </c>
      <c r="AB307" t="inlineStr">
        <is>
          <t>Сошлось по ночным тарифам</t>
        </is>
      </c>
      <c r="AC307" s="2" t="inlineStr"/>
      <c r="AD307" t="n">
        <v>1485</v>
      </c>
      <c r="AE307" t="n">
        <v>0</v>
      </c>
      <c r="AF307" t="inlineStr">
        <is>
          <t>Скидка добавлена к налоговой базе</t>
        </is>
      </c>
      <c r="AG307" t="n">
        <v>9900</v>
      </c>
      <c r="AH307" t="n">
        <v>8415</v>
      </c>
      <c r="AI307" t="inlineStr">
        <is>
          <t>Полное проживание в выбранном периоде</t>
        </is>
      </c>
    </row>
    <row r="308">
      <c r="A308" t="inlineStr">
        <is>
          <t>20260704-8186-447564209</t>
        </is>
      </c>
      <c r="B308" t="n">
        <v>1</v>
      </c>
      <c r="C308" s="2" t="inlineStr">
        <is>
          <t>ЕКАТЕРИНА ПРОВОЗИНА, ФЁДОР ПРОВОЗИН</t>
        </is>
      </c>
      <c r="D308" s="3" t="n">
        <v>21100</v>
      </c>
      <c r="E308" s="4" t="n">
        <v>18</v>
      </c>
      <c r="F308" t="inlineStr">
        <is>
          <t>Яндекс.Путешествия [Чайковский]</t>
        </is>
      </c>
      <c r="G308" s="3">
        <f>ROUND(D308/(100-E308)*100,2)</f>
        <v/>
      </c>
      <c r="H308" s="3" t="n">
        <v>0</v>
      </c>
      <c r="I308" s="3">
        <f>ROUND(IF(ISNUMBER(AG308),AG308,G308)+H308,2)</f>
        <v/>
      </c>
      <c r="J308" s="2" t="inlineStr"/>
      <c r="K308" s="5" t="n">
        <v>46207.58333333334</v>
      </c>
      <c r="L308" t="n">
        <v>2</v>
      </c>
      <c r="M308" s="3">
        <f>I308/L308</f>
        <v/>
      </c>
      <c r="N308">
        <f>IF(M308&gt;=5100,"ставка","мин.ставка")</f>
        <v/>
      </c>
      <c r="O308" s="3">
        <f>ROUND(IF(N308="мин.ставка",L308*100,I308/102*2),2)</f>
        <v/>
      </c>
      <c r="P308" s="5" t="n">
        <v>46209.5</v>
      </c>
      <c r="Q308" t="inlineStr">
        <is>
          <t>TravelLine YAX</t>
        </is>
      </c>
      <c r="R308" s="2" t="inlineStr">
        <is>
          <t>ПОЛУЛЮКС</t>
        </is>
      </c>
      <c r="S308" t="n">
        <v>35</v>
      </c>
      <c r="T308" t="n">
        <v>1</v>
      </c>
      <c r="U308" t="inlineStr"/>
      <c r="V308" t="inlineStr">
        <is>
          <t>Основной тариф без завтрака</t>
        </is>
      </c>
      <c r="W308" t="n">
        <v>21100</v>
      </c>
      <c r="X308" s="3" t="n">
        <v>0</v>
      </c>
      <c r="Y308" t="inlineStr"/>
      <c r="Z308" t="inlineStr"/>
      <c r="AA308" s="3" t="n">
        <v>21100</v>
      </c>
      <c r="AB308" t="inlineStr">
        <is>
          <t>Сошлось по ночным тарифам</t>
        </is>
      </c>
      <c r="AC308" s="2" t="inlineStr"/>
      <c r="AD308" t="n">
        <v>0</v>
      </c>
      <c r="AE308" t="n">
        <v>0</v>
      </c>
      <c r="AF308" t="inlineStr">
        <is>
          <t>Скидки нет</t>
        </is>
      </c>
      <c r="AG308" t="n">
        <v>21100</v>
      </c>
      <c r="AH308" t="n">
        <v>21100</v>
      </c>
      <c r="AI308" t="inlineStr">
        <is>
          <t>Полное проживание в выбранном периоде</t>
        </is>
      </c>
    </row>
    <row r="309">
      <c r="A309" t="inlineStr">
        <is>
          <t>20260929-8186-468407727</t>
        </is>
      </c>
      <c r="B309" t="n">
        <v>1</v>
      </c>
      <c r="C309" s="2" t="inlineStr">
        <is>
          <t>Екатерина Сабайда</t>
        </is>
      </c>
      <c r="D309" s="3" t="n">
        <v>8512.5</v>
      </c>
      <c r="E309" s="4" t="n">
        <v>18</v>
      </c>
      <c r="F309" t="inlineStr">
        <is>
          <t>Яндекс.Путешествия [Чайковский]</t>
        </is>
      </c>
      <c r="G309" s="3">
        <f>ROUND(D309/(100-E309)*100,2)</f>
        <v/>
      </c>
      <c r="H309" s="3" t="n">
        <v>0</v>
      </c>
      <c r="I309" s="3">
        <f>ROUND(IF(ISNUMBER(AG309),AG309,G309)+H309,2)</f>
        <v/>
      </c>
      <c r="J309" s="2" t="inlineStr">
        <is>
          <t>Завтрак "Шведский стол"</t>
        </is>
      </c>
      <c r="K309" s="5" t="n">
        <v>46294.58333333334</v>
      </c>
      <c r="L309" t="n">
        <v>1</v>
      </c>
      <c r="M309" s="3">
        <f>I309/L309</f>
        <v/>
      </c>
      <c r="N309">
        <f>IF(M309&gt;=5100,"ставка","мин.ставка")</f>
        <v/>
      </c>
      <c r="O309" s="3">
        <f>ROUND(IF(N309="мин.ставка",L309*100,I309/102*2),2)</f>
        <v/>
      </c>
      <c r="P309" s="5" t="n">
        <v>46295.5</v>
      </c>
      <c r="Q309" t="inlineStr">
        <is>
          <t>TravelLine YAX</t>
        </is>
      </c>
      <c r="R309" s="2" t="inlineStr">
        <is>
          <t>СТАНДАРТНЫЙ ДВУХМЕСТНЫЙ НОМЕР</t>
        </is>
      </c>
      <c r="S309" t="n">
        <v>23</v>
      </c>
      <c r="T309" t="n">
        <v>1</v>
      </c>
      <c r="U309" t="inlineStr"/>
      <c r="V309" t="inlineStr">
        <is>
          <t>Тариф с завтраком</t>
        </is>
      </c>
      <c r="W309" t="n">
        <v>8512.5</v>
      </c>
      <c r="X309" s="3" t="n">
        <v>2837.5</v>
      </c>
      <c r="Y309" t="inlineStr">
        <is>
          <t>25%</t>
        </is>
      </c>
      <c r="Z309" t="inlineStr">
        <is>
          <t>2026-09-29</t>
        </is>
      </c>
      <c r="AA309" s="3" t="n">
        <v>8512.5</v>
      </c>
      <c r="AB309" t="inlineStr">
        <is>
          <t>Сошлось по ночным тарифам</t>
        </is>
      </c>
      <c r="AC309" s="2" t="inlineStr"/>
      <c r="AD309" t="n">
        <v>2837.5</v>
      </c>
      <c r="AE309" t="n">
        <v>0</v>
      </c>
      <c r="AF309" t="inlineStr">
        <is>
          <t>Скидка добавлена к налоговой базе</t>
        </is>
      </c>
      <c r="AG309" t="n">
        <v>11350</v>
      </c>
      <c r="AH309" t="n">
        <v>8512.5</v>
      </c>
      <c r="AI309" t="inlineStr">
        <is>
          <t>Полное проживание в выбранном периоде</t>
        </is>
      </c>
    </row>
    <row r="310">
      <c r="A310" t="inlineStr">
        <is>
          <t>20260930-8186-467222109</t>
        </is>
      </c>
      <c r="B310" t="n">
        <v>1</v>
      </c>
      <c r="C310" s="2" t="inlineStr">
        <is>
          <t>ЕКАТЕРИНА СОКОЛОВА, АНДРЕЙ СОКОЛОВ</t>
        </is>
      </c>
      <c r="D310" s="3" t="n">
        <v>17052</v>
      </c>
      <c r="E310" s="4" t="n">
        <v>16</v>
      </c>
      <c r="F310" t="inlineStr">
        <is>
          <t>ООО "БРОНИРОВАНИЕ ГОСТИНИЦ" (OSTROVOK) [Чайковский]</t>
        </is>
      </c>
      <c r="G310" s="3">
        <f>ROUND(D310/(100-E310)*100,2)</f>
        <v/>
      </c>
      <c r="H310" s="3" t="n">
        <v>0</v>
      </c>
      <c r="I310" s="3">
        <f>ROUND(IF(ISNUMBER(AG310),AG310,G310)+H310,2)</f>
        <v/>
      </c>
      <c r="J310" s="2" t="inlineStr"/>
      <c r="K310" s="5" t="n">
        <v>46295.58333333334</v>
      </c>
      <c r="L310" t="n">
        <v>1</v>
      </c>
      <c r="M310" s="3">
        <f>I310/L310</f>
        <v/>
      </c>
      <c r="N310">
        <f>IF(M310&gt;=5100,"ставка","мин.ставка")</f>
        <v/>
      </c>
      <c r="O310" s="3">
        <f>ROUND(IF(N310="мин.ставка",L310*100,I310/102*2),2)</f>
        <v/>
      </c>
      <c r="P310" s="5" t="n">
        <v>46297.5</v>
      </c>
      <c r="Q310" t="inlineStr">
        <is>
          <t>TravelLine OTK</t>
        </is>
      </c>
      <c r="R310" s="2" t="inlineStr">
        <is>
          <t>СТАНДАРТНЫЙ ДВУХМЕСТНЫЙ НОМЕР</t>
        </is>
      </c>
      <c r="S310" t="n">
        <v>44</v>
      </c>
      <c r="T310" t="n">
        <v>1</v>
      </c>
      <c r="U310" t="inlineStr"/>
      <c r="V310" t="inlineStr">
        <is>
          <t>Основной тариф без завтрака</t>
        </is>
      </c>
      <c r="W310" t="n">
        <v>17052</v>
      </c>
      <c r="X310" s="3" t="n">
        <v>3248</v>
      </c>
      <c r="Y310" t="inlineStr">
        <is>
          <t>16%</t>
        </is>
      </c>
      <c r="Z310" t="inlineStr">
        <is>
          <t>Не распределена по датам</t>
        </is>
      </c>
      <c r="AA310" s="3" t="n">
        <v>17052</v>
      </c>
      <c r="AB310" t="inlineStr">
        <is>
          <t>Сошлось по ночным тарифам</t>
        </is>
      </c>
      <c r="AC310" s="2" t="inlineStr"/>
      <c r="AD310" t="n">
        <v>0</v>
      </c>
      <c r="AE310" t="n">
        <v>0</v>
      </c>
      <c r="AF310" t="inlineStr">
        <is>
          <t>Частичный период: дата агрегированной скидки не определена; скидка не добавлена к базе</t>
        </is>
      </c>
      <c r="AG310" t="n">
        <v>9954</v>
      </c>
      <c r="AH310" t="n">
        <v>9954</v>
      </c>
      <c r="AI310" t="inlineStr">
        <is>
          <t>Частичное проживание распределено по dailyRates; скидка без даты не восстановлена</t>
        </is>
      </c>
    </row>
    <row r="311">
      <c r="A311" t="inlineStr">
        <is>
          <t>20260918-8186-466279182</t>
        </is>
      </c>
      <c r="B311" t="n">
        <v>1</v>
      </c>
      <c r="C311" s="2" t="inlineStr">
        <is>
          <t>ЕЛЕНА АНДРЕЕВА</t>
        </is>
      </c>
      <c r="D311" s="3" t="n">
        <v>7700</v>
      </c>
      <c r="E311" s="4" t="n">
        <v>0</v>
      </c>
      <c r="F311" t="inlineStr">
        <is>
          <t>Прямые бронирования (стойка) [Чайковский]</t>
        </is>
      </c>
      <c r="G311" s="3">
        <f>ROUND(D311/(100-E311)*100,2)</f>
        <v/>
      </c>
      <c r="H311" s="3" t="n">
        <v>0</v>
      </c>
      <c r="I311" s="3">
        <f>ROUND(IF(ISNUMBER(AG311),AG311,G311)+H311,2)</f>
        <v/>
      </c>
      <c r="J311" s="2" t="inlineStr">
        <is>
          <t>Завтрак "Шведский стол"</t>
        </is>
      </c>
      <c r="K311" s="5" t="n">
        <v>46283.58333333334</v>
      </c>
      <c r="L311" t="n">
        <v>1</v>
      </c>
      <c r="M311" s="3">
        <f>I311/L311</f>
        <v/>
      </c>
      <c r="N311">
        <f>IF(M311&gt;=5100,"ставка","мин.ставка")</f>
        <v/>
      </c>
      <c r="O311" s="3">
        <f>ROUND(IF(N311="мин.ставка",L311*100,I311/102*2),2)</f>
        <v/>
      </c>
      <c r="P311" s="5" t="n">
        <v>46284.5</v>
      </c>
      <c r="Q311" t="inlineStr">
        <is>
          <t>TravelLine ресепшен</t>
        </is>
      </c>
      <c r="R311" s="2" t="inlineStr">
        <is>
          <t>СТАНДАРТНЫЙ ОДНОМЕСТНЫЙ НОМЕР</t>
        </is>
      </c>
      <c r="S311" t="n">
        <v>34</v>
      </c>
      <c r="T311" t="n">
        <v>1</v>
      </c>
      <c r="U311" t="inlineStr"/>
      <c r="V311" t="inlineStr">
        <is>
          <t>Тариф с завтраком</t>
        </is>
      </c>
      <c r="W311" t="n">
        <v>7700</v>
      </c>
      <c r="X311" s="3" t="n">
        <v>0</v>
      </c>
      <c r="Y311" t="inlineStr"/>
      <c r="Z311" t="inlineStr"/>
      <c r="AA311" s="3" t="n">
        <v>7700</v>
      </c>
      <c r="AB311" t="inlineStr">
        <is>
          <t>Сошлось по ночным тарифам</t>
        </is>
      </c>
      <c r="AC311" s="2" t="inlineStr"/>
      <c r="AD311" t="n">
        <v>0</v>
      </c>
      <c r="AE311" t="n">
        <v>0</v>
      </c>
      <c r="AF311" t="inlineStr">
        <is>
          <t>Скидки нет</t>
        </is>
      </c>
      <c r="AG311" t="n">
        <v>7700</v>
      </c>
      <c r="AH311" t="n">
        <v>7700</v>
      </c>
      <c r="AI311" t="inlineStr">
        <is>
          <t>Полное проживание в выбранном периоде</t>
        </is>
      </c>
    </row>
    <row r="312">
      <c r="A312" t="inlineStr">
        <is>
          <t>20260627-8186-410538800</t>
        </is>
      </c>
      <c r="B312" t="n">
        <v>1</v>
      </c>
      <c r="C312" s="2" t="inlineStr">
        <is>
          <t>Елена Белова</t>
        </is>
      </c>
      <c r="D312" s="3" t="n">
        <v>61600</v>
      </c>
      <c r="E312" s="4" t="n">
        <v>0</v>
      </c>
      <c r="F312" t="inlineStr">
        <is>
          <t>Прямые бронирования (стойка) [Чайковский]</t>
        </is>
      </c>
      <c r="G312" s="3">
        <f>ROUND(D312/(100-E312)*100,2)</f>
        <v/>
      </c>
      <c r="H312" s="3" t="n">
        <v>0</v>
      </c>
      <c r="I312" s="3">
        <f>ROUND(IF(ISNUMBER(AG312),AG312,G312)+H312,2)</f>
        <v/>
      </c>
      <c r="J312" s="2" t="inlineStr"/>
      <c r="K312" s="5" t="n">
        <v>46200.58333333334</v>
      </c>
      <c r="L312" t="n">
        <v>4</v>
      </c>
      <c r="M312" s="3">
        <f>I312/L312</f>
        <v/>
      </c>
      <c r="N312">
        <f>IF(M312&gt;=5100,"ставка","мин.ставка")</f>
        <v/>
      </c>
      <c r="O312" s="3">
        <f>ROUND(IF(N312="мин.ставка",L312*100,I312/102*2),2)</f>
        <v/>
      </c>
      <c r="P312" s="5" t="n">
        <v>46208.5</v>
      </c>
      <c r="Q312" t="inlineStr">
        <is>
          <t>TravelLine ресепшен</t>
        </is>
      </c>
      <c r="R312" s="2" t="inlineStr">
        <is>
          <t>СТАНДАРТНЫЙ ОДНОМЕСТНЫЙ НОМЕР</t>
        </is>
      </c>
      <c r="S312" t="n">
        <v>24</v>
      </c>
      <c r="T312" t="n">
        <v>1</v>
      </c>
      <c r="U312" t="inlineStr"/>
      <c r="V312" t="inlineStr">
        <is>
          <t>Тариф с завтраком</t>
        </is>
      </c>
      <c r="W312" t="n">
        <v>61600</v>
      </c>
      <c r="X312" s="3" t="n">
        <v>0</v>
      </c>
      <c r="Y312" t="inlineStr"/>
      <c r="Z312" t="inlineStr"/>
      <c r="AA312" s="3" t="n">
        <v>61600</v>
      </c>
      <c r="AB312" t="inlineStr">
        <is>
          <t>Сошлось по ночным тарифам</t>
        </is>
      </c>
      <c r="AC312" s="2" t="inlineStr"/>
      <c r="AD312" t="n">
        <v>0</v>
      </c>
      <c r="AE312" t="n">
        <v>0</v>
      </c>
      <c r="AF312" t="inlineStr">
        <is>
          <t>Скидки нет</t>
        </is>
      </c>
      <c r="AG312" t="n">
        <v>30800</v>
      </c>
      <c r="AH312" t="n">
        <v>30800</v>
      </c>
      <c r="AI312" t="inlineStr">
        <is>
          <t>Частичное проживание распределено по dailyRates</t>
        </is>
      </c>
    </row>
    <row r="313">
      <c r="A313" t="inlineStr">
        <is>
          <t>20260710-8186-443713905</t>
        </is>
      </c>
      <c r="B313" t="n">
        <v>1</v>
      </c>
      <c r="C313" s="2" t="inlineStr">
        <is>
          <t>Елена Веретенина</t>
        </is>
      </c>
      <c r="D313" s="3" t="n">
        <v>38261.3</v>
      </c>
      <c r="E313" s="4" t="n">
        <v>4</v>
      </c>
      <c r="F313" t="inlineStr">
        <is>
          <t>TravelLine Booking Engine [Чайковский]</t>
        </is>
      </c>
      <c r="G313" s="3">
        <f>ROUND(D313/(100-E313)*100,2)</f>
        <v/>
      </c>
      <c r="H313" s="3" t="n">
        <v>0</v>
      </c>
      <c r="I313" s="3">
        <f>ROUND(IF(ISNUMBER(AG313),AG313,G313)+H313,2)</f>
        <v/>
      </c>
      <c r="J313" s="2" t="inlineStr">
        <is>
          <t>Завтрак "Шведский стол"</t>
        </is>
      </c>
      <c r="K313" s="5" t="n">
        <v>46213.58333333334</v>
      </c>
      <c r="L313" t="n">
        <v>5</v>
      </c>
      <c r="M313" s="3">
        <f>I313/L313</f>
        <v/>
      </c>
      <c r="N313">
        <f>IF(M313&gt;=5100,"ставка","мин.ставка")</f>
        <v/>
      </c>
      <c r="O313" s="3">
        <f>ROUND(IF(N313="мин.ставка",L313*100,I313/102*2),2)</f>
        <v/>
      </c>
      <c r="P313" s="5" t="n">
        <v>46218.5</v>
      </c>
      <c r="Q313" t="inlineStr">
        <is>
          <t>TravelLine сайт</t>
        </is>
      </c>
      <c r="R313" s="2" t="inlineStr">
        <is>
          <t>СТАНДАРТНЫЙ ОДНОМЕСТНЫЙ НОМЕР</t>
        </is>
      </c>
      <c r="S313" t="n">
        <v>24</v>
      </c>
      <c r="T313" t="n">
        <v>1</v>
      </c>
      <c r="U313" t="inlineStr"/>
      <c r="V313" t="inlineStr">
        <is>
          <t>Тариф с завтраком</t>
        </is>
      </c>
      <c r="W313" t="n">
        <v>38261.3</v>
      </c>
      <c r="X313" s="3" t="n">
        <v>238.7</v>
      </c>
      <c r="Y313" t="inlineStr">
        <is>
          <t>3.1%</t>
        </is>
      </c>
      <c r="Z313" t="inlineStr">
        <is>
          <t>2026-07-10</t>
        </is>
      </c>
      <c r="AA313" s="3" t="n">
        <v>38261.3</v>
      </c>
      <c r="AB313" t="inlineStr">
        <is>
          <t>Сошлось по ночным тарифам</t>
        </is>
      </c>
      <c r="AC313" s="2" t="inlineStr"/>
      <c r="AD313" t="n">
        <v>238.7</v>
      </c>
      <c r="AE313" t="n">
        <v>0</v>
      </c>
      <c r="AF313" t="inlineStr">
        <is>
          <t>Скидка добавлена к налоговой базе</t>
        </is>
      </c>
      <c r="AG313" t="n">
        <v>38500</v>
      </c>
      <c r="AH313" t="n">
        <v>38261.3</v>
      </c>
      <c r="AI313" t="inlineStr">
        <is>
          <t>Полное проживание в выбранном периоде</t>
        </is>
      </c>
    </row>
    <row r="314">
      <c r="A314" t="inlineStr">
        <is>
          <t>20260819-8186-409104448</t>
        </is>
      </c>
      <c r="B314" t="n">
        <v>1</v>
      </c>
      <c r="C314" s="2" t="inlineStr">
        <is>
          <t>Елена Гончарова, Варвара Гонсарова</t>
        </is>
      </c>
      <c r="D314" s="3" t="n">
        <v>24354</v>
      </c>
      <c r="E314" s="4" t="n">
        <v>18</v>
      </c>
      <c r="F314" t="inlineStr">
        <is>
          <t>Яндекс.Путешествия [Чайковский]</t>
        </is>
      </c>
      <c r="G314" s="3">
        <f>ROUND(D314/(100-E314)*100,2)</f>
        <v/>
      </c>
      <c r="H314" s="3" t="n">
        <v>0</v>
      </c>
      <c r="I314" s="3">
        <f>ROUND(IF(ISNUMBER(AG314),AG314,G314)+H314,2)</f>
        <v/>
      </c>
      <c r="J314" s="2" t="inlineStr">
        <is>
          <t>Завтрак "Шведский стол"</t>
        </is>
      </c>
      <c r="K314" s="5" t="n">
        <v>46253.58333333334</v>
      </c>
      <c r="L314" t="n">
        <v>3</v>
      </c>
      <c r="M314" s="3">
        <f>I314/L314</f>
        <v/>
      </c>
      <c r="N314">
        <f>IF(M314&gt;=5100,"ставка","мин.ставка")</f>
        <v/>
      </c>
      <c r="O314" s="3">
        <f>ROUND(IF(N314="мин.ставка",L314*100,I314/102*2),2)</f>
        <v/>
      </c>
      <c r="P314" s="5" t="n">
        <v>46256.58333333334</v>
      </c>
      <c r="Q314" t="inlineStr">
        <is>
          <t>TravelLine YAX</t>
        </is>
      </c>
      <c r="R314" s="2" t="inlineStr">
        <is>
          <t>СТАНДАРТНЫЙ ДВУХМЕСТНЫЙ НОМЕР (МАНСАРДА)</t>
        </is>
      </c>
      <c r="S314" t="n">
        <v>45</v>
      </c>
      <c r="T314" t="n">
        <v>1</v>
      </c>
      <c r="U314" t="inlineStr"/>
      <c r="V314" t="inlineStr">
        <is>
          <t>Тариф с завтраком</t>
        </is>
      </c>
      <c r="W314" t="n">
        <v>32472</v>
      </c>
      <c r="X314" s="3" t="n">
        <v>5346</v>
      </c>
      <c r="Y314" t="inlineStr">
        <is>
          <t>18%</t>
        </is>
      </c>
      <c r="Z314" t="inlineStr">
        <is>
          <t>2026-08-19, 2026-08-20, 2026-08-21</t>
        </is>
      </c>
      <c r="AA314" s="3" t="n">
        <v>24354</v>
      </c>
      <c r="AB314" t="inlineStr">
        <is>
          <t>Сошлось по ночным тарифам</t>
        </is>
      </c>
      <c r="AC314" s="2" t="inlineStr"/>
      <c r="AD314" t="n">
        <v>5346</v>
      </c>
      <c r="AE314" t="n">
        <v>0</v>
      </c>
      <c r="AF314" t="inlineStr">
        <is>
          <t>Скидка добавлена к налоговой базе</t>
        </is>
      </c>
      <c r="AG314" t="n">
        <v>29700</v>
      </c>
      <c r="AH314" t="n">
        <v>24354</v>
      </c>
      <c r="AI314" t="inlineStr">
        <is>
          <t>Полное проживание в выбранном периоде</t>
        </is>
      </c>
    </row>
    <row r="315">
      <c r="A315" t="inlineStr">
        <is>
          <t>20260819-8186-409104448</t>
        </is>
      </c>
      <c r="B315" t="n">
        <v>1</v>
      </c>
      <c r="C315" s="2" t="inlineStr">
        <is>
          <t>Елена Гончарова, Варвара Гонсарова</t>
        </is>
      </c>
      <c r="D315" s="3" t="n">
        <v>8118</v>
      </c>
      <c r="E315" s="4" t="n">
        <v>18</v>
      </c>
      <c r="F315" t="inlineStr">
        <is>
          <t>Яндекс.Путешествия [Чайковский]</t>
        </is>
      </c>
      <c r="G315" s="3">
        <f>ROUND(D315/(100-E315)*100,2)</f>
        <v/>
      </c>
      <c r="H315" s="3" t="n">
        <v>0</v>
      </c>
      <c r="I315" s="3">
        <f>ROUND(IF(ISNUMBER(AG315),AG315,G315)+H315,2)</f>
        <v/>
      </c>
      <c r="J315" s="2" t="inlineStr">
        <is>
          <t>Завтрак "Шведский стол"</t>
        </is>
      </c>
      <c r="K315" s="5" t="n">
        <v>46256.58333333334</v>
      </c>
      <c r="L315" t="n">
        <v>1</v>
      </c>
      <c r="M315" s="3">
        <f>I315/L315</f>
        <v/>
      </c>
      <c r="N315">
        <f>IF(M315&gt;=5100,"ставка","мин.ставка")</f>
        <v/>
      </c>
      <c r="O315" s="3">
        <f>ROUND(IF(N315="мин.ставка",L315*100,I315/102*2),2)</f>
        <v/>
      </c>
      <c r="P315" s="5" t="n">
        <v>46257.5</v>
      </c>
      <c r="Q315" t="inlineStr">
        <is>
          <t>TravelLine YAX</t>
        </is>
      </c>
      <c r="R315" s="2" t="inlineStr">
        <is>
          <t>СТАНДАРТНЫЙ ДВУХМЕСТНЫЙ НОМЕР (МАНСАРДА)</t>
        </is>
      </c>
      <c r="S315" t="n">
        <v>41</v>
      </c>
      <c r="T315" t="n">
        <v>1</v>
      </c>
      <c r="U315" t="inlineStr"/>
      <c r="V315" t="inlineStr">
        <is>
          <t>Тариф с завтраком</t>
        </is>
      </c>
      <c r="W315" t="n">
        <v>32472</v>
      </c>
      <c r="X315" s="3" t="n">
        <v>1782</v>
      </c>
      <c r="Y315" t="inlineStr">
        <is>
          <t>18%</t>
        </is>
      </c>
      <c r="Z315" t="inlineStr">
        <is>
          <t>2026-08-22</t>
        </is>
      </c>
      <c r="AA315" s="3" t="n">
        <v>8118</v>
      </c>
      <c r="AB315" t="inlineStr">
        <is>
          <t>Сошлось по ночным тарифам</t>
        </is>
      </c>
      <c r="AC315" s="2" t="inlineStr"/>
      <c r="AD315" t="n">
        <v>1782</v>
      </c>
      <c r="AE315" t="n">
        <v>0</v>
      </c>
      <c r="AF315" t="inlineStr">
        <is>
          <t>Скидка добавлена к налоговой базе</t>
        </is>
      </c>
      <c r="AG315" t="n">
        <v>9900</v>
      </c>
      <c r="AH315" t="n">
        <v>8118</v>
      </c>
      <c r="AI315" t="inlineStr">
        <is>
          <t>Полное проживание в выбранном периоде</t>
        </is>
      </c>
    </row>
    <row r="316">
      <c r="A316" t="inlineStr">
        <is>
          <t>20260711-8186-428820979</t>
        </is>
      </c>
      <c r="B316" t="n">
        <v>1</v>
      </c>
      <c r="C316" s="2" t="inlineStr">
        <is>
          <t>Елена Губарева, Любовь Балинова</t>
        </is>
      </c>
      <c r="D316" s="3" t="n">
        <v>10680</v>
      </c>
      <c r="E316" s="4" t="n">
        <v>18</v>
      </c>
      <c r="F316" t="inlineStr">
        <is>
          <t>Яндекс.Путешествия [Чайковский]</t>
        </is>
      </c>
      <c r="G316" s="3">
        <f>ROUND(D316/(100-E316)*100,2)</f>
        <v/>
      </c>
      <c r="H316" s="3" t="n">
        <v>0</v>
      </c>
      <c r="I316" s="3">
        <f>ROUND(IF(ISNUMBER(AG316),AG316,G316)+H316,2)</f>
        <v/>
      </c>
      <c r="J316" s="2" t="inlineStr">
        <is>
          <t>Завтрак "Шведский стол"</t>
        </is>
      </c>
      <c r="K316" s="5" t="n">
        <v>46214.58333333334</v>
      </c>
      <c r="L316" t="n">
        <v>1</v>
      </c>
      <c r="M316" s="3">
        <f>I316/L316</f>
        <v/>
      </c>
      <c r="N316">
        <f>IF(M316&gt;=5100,"ставка","мин.ставка")</f>
        <v/>
      </c>
      <c r="O316" s="3">
        <f>ROUND(IF(N316="мин.ставка",L316*100,I316/102*2),2)</f>
        <v/>
      </c>
      <c r="P316" s="5" t="n">
        <v>46215.5</v>
      </c>
      <c r="Q316" t="inlineStr">
        <is>
          <t>TravelLine YAX</t>
        </is>
      </c>
      <c r="R316" s="2" t="inlineStr">
        <is>
          <t>СТАНДАРТНЫЙ ДВУХМЕСТНЫЙ НОМЕР</t>
        </is>
      </c>
      <c r="S316" t="n">
        <v>33</v>
      </c>
      <c r="T316" t="n">
        <v>1</v>
      </c>
      <c r="U316" t="inlineStr"/>
      <c r="V316" t="inlineStr">
        <is>
          <t>Тариф с завтраком</t>
        </is>
      </c>
      <c r="W316" t="n">
        <v>10680</v>
      </c>
      <c r="X316" s="3" t="n">
        <v>2670</v>
      </c>
      <c r="Y316" t="inlineStr">
        <is>
          <t>20%</t>
        </is>
      </c>
      <c r="Z316" t="inlineStr">
        <is>
          <t>2026-07-11</t>
        </is>
      </c>
      <c r="AA316" s="3" t="n">
        <v>10680</v>
      </c>
      <c r="AB316" t="inlineStr">
        <is>
          <t>Сошлось по ночным тарифам</t>
        </is>
      </c>
      <c r="AC316" s="2" t="inlineStr"/>
      <c r="AD316" t="n">
        <v>2670</v>
      </c>
      <c r="AE316" t="n">
        <v>0</v>
      </c>
      <c r="AF316" t="inlineStr">
        <is>
          <t>Скидка добавлена к налоговой базе</t>
        </is>
      </c>
      <c r="AG316" t="n">
        <v>13350</v>
      </c>
      <c r="AH316" t="n">
        <v>10680</v>
      </c>
      <c r="AI316" t="inlineStr">
        <is>
          <t>Полное проживание в выбранном периоде</t>
        </is>
      </c>
    </row>
    <row r="317">
      <c r="A317" t="inlineStr">
        <is>
          <t>20260806-8186-450640950</t>
        </is>
      </c>
      <c r="B317" t="n">
        <v>1</v>
      </c>
      <c r="C317" s="2" t="inlineStr">
        <is>
          <t>ЕЛЕНА ЖУЧКОВА</t>
        </is>
      </c>
      <c r="D317" s="3" t="n">
        <v>28942.5</v>
      </c>
      <c r="E317" s="4" t="n">
        <v>15</v>
      </c>
      <c r="F317" t="inlineStr">
        <is>
          <t>ООО «12Т» (ранее ONE TWO TRIP) [Чайковский]</t>
        </is>
      </c>
      <c r="G317" s="3">
        <f>ROUND(D317/(100-E317)*100,2)</f>
        <v/>
      </c>
      <c r="H317" s="3" t="n">
        <v>0</v>
      </c>
      <c r="I317" s="3">
        <f>ROUND(IF(ISNUMBER(AG317),AG317,G317)+H317,2)</f>
        <v/>
      </c>
      <c r="J317" s="2" t="inlineStr">
        <is>
          <t>Завтрак "Шведский стол"</t>
        </is>
      </c>
      <c r="K317" s="5" t="n">
        <v>46240.58333333334</v>
      </c>
      <c r="L317" t="n">
        <v>3</v>
      </c>
      <c r="M317" s="3">
        <f>I317/L317</f>
        <v/>
      </c>
      <c r="N317">
        <f>IF(M317&gt;=5100,"ставка","мин.ставка")</f>
        <v/>
      </c>
      <c r="O317" s="3">
        <f>ROUND(IF(N317="мин.ставка",L317*100,I317/102*2),2)</f>
        <v/>
      </c>
      <c r="P317" s="5" t="n">
        <v>46243.5</v>
      </c>
      <c r="Q317" t="inlineStr">
        <is>
          <t>TravelLine OTT</t>
        </is>
      </c>
      <c r="R317" s="2" t="inlineStr">
        <is>
          <t>СТАНДАРТНЫЙ ДВУХМЕСТНЫЙ НОМЕР</t>
        </is>
      </c>
      <c r="S317" t="n">
        <v>46</v>
      </c>
      <c r="T317" t="n">
        <v>1</v>
      </c>
      <c r="U317" t="inlineStr"/>
      <c r="V317" t="inlineStr">
        <is>
          <t>Тариф с завтраком</t>
        </is>
      </c>
      <c r="W317" t="n">
        <v>86827.5</v>
      </c>
      <c r="X317" s="3" t="n">
        <v>5107.5</v>
      </c>
      <c r="Y317" t="inlineStr">
        <is>
          <t>15%</t>
        </is>
      </c>
      <c r="Z317" t="inlineStr">
        <is>
          <t>2026-08-06, 2026-08-07, 2026-08-08</t>
        </is>
      </c>
      <c r="AA317" s="3" t="n">
        <v>28942.5</v>
      </c>
      <c r="AB317" t="inlineStr">
        <is>
          <t>Сошлось по ночным тарифам</t>
        </is>
      </c>
      <c r="AC317" s="2" t="inlineStr"/>
      <c r="AD317" t="n">
        <v>5107.5</v>
      </c>
      <c r="AE317" t="n">
        <v>0</v>
      </c>
      <c r="AF317" t="inlineStr">
        <is>
          <t>Скидка добавлена к налоговой базе</t>
        </is>
      </c>
      <c r="AG317" t="n">
        <v>34050</v>
      </c>
      <c r="AH317" t="n">
        <v>28942.5</v>
      </c>
      <c r="AI317" t="inlineStr">
        <is>
          <t>Полное проживание в выбранном периоде</t>
        </is>
      </c>
    </row>
    <row r="318">
      <c r="A318" t="inlineStr">
        <is>
          <t>20260916-8186-460139143</t>
        </is>
      </c>
      <c r="B318" t="n">
        <v>1</v>
      </c>
      <c r="C318" s="2" t="inlineStr">
        <is>
          <t>ЕЛЕНА ЗАДНЕПРОВСКАЯ</t>
        </is>
      </c>
      <c r="D318" s="3" t="n">
        <v>9080</v>
      </c>
      <c r="E318" s="4" t="n">
        <v>20</v>
      </c>
      <c r="F318" t="inlineStr">
        <is>
          <t>ООО "ХБ-ПРО" [Чайковский]</t>
        </is>
      </c>
      <c r="G318" s="3">
        <f>ROUND(D318/(100-E318)*100,2)</f>
        <v/>
      </c>
      <c r="H318" s="3" t="n">
        <v>0</v>
      </c>
      <c r="I318" s="3">
        <f>ROUND(IF(ISNUMBER(AG318),AG318,G318)+H318,2)</f>
        <v/>
      </c>
      <c r="J318" s="2" t="inlineStr">
        <is>
          <t>Завтрак "Шведский стол"</t>
        </is>
      </c>
      <c r="K318" s="5" t="n">
        <v>46281.58333333334</v>
      </c>
      <c r="L318" t="n">
        <v>1</v>
      </c>
      <c r="M318" s="3">
        <f>I318/L318</f>
        <v/>
      </c>
      <c r="N318">
        <f>IF(M318&gt;=5100,"ставка","мин.ставка")</f>
        <v/>
      </c>
      <c r="O318" s="3">
        <f>ROUND(IF(N318="мин.ставка",L318*100,I318/102*2),2)</f>
        <v/>
      </c>
      <c r="P318" s="5" t="n">
        <v>46282.5</v>
      </c>
      <c r="Q318" t="inlineStr">
        <is>
          <t>TravelLine UTS</t>
        </is>
      </c>
      <c r="R318" s="2" t="inlineStr">
        <is>
          <t>СТАНДАРТНЫЙ ДВУХМЕСТНЫЙ НОМЕР</t>
        </is>
      </c>
      <c r="S318" t="n">
        <v>42</v>
      </c>
      <c r="T318" t="n">
        <v>1</v>
      </c>
      <c r="U318" t="inlineStr"/>
      <c r="V318" t="inlineStr">
        <is>
          <t>Тариф с завтраком</t>
        </is>
      </c>
      <c r="W318" t="n">
        <v>9080</v>
      </c>
      <c r="X318" s="3" t="n">
        <v>0</v>
      </c>
      <c r="Y318" t="inlineStr"/>
      <c r="Z318" t="inlineStr"/>
      <c r="AA318" s="3" t="n">
        <v>9080</v>
      </c>
      <c r="AB318" t="inlineStr">
        <is>
          <t>Сошлось по ночным тарифам</t>
        </is>
      </c>
      <c r="AC318" s="2" t="inlineStr"/>
      <c r="AD318" t="n">
        <v>0</v>
      </c>
      <c r="AE318" t="n">
        <v>0</v>
      </c>
      <c r="AF318" t="inlineStr">
        <is>
          <t>Скидки нет</t>
        </is>
      </c>
      <c r="AG318" t="n">
        <v>9080</v>
      </c>
      <c r="AH318" t="n">
        <v>9080</v>
      </c>
      <c r="AI318" t="inlineStr">
        <is>
          <t>Полное проживание в выбранном периоде</t>
        </is>
      </c>
    </row>
    <row r="319">
      <c r="A319" t="inlineStr">
        <is>
          <t>20260802-8186-452038545</t>
        </is>
      </c>
      <c r="B319" t="n">
        <v>1</v>
      </c>
      <c r="C319" s="2" t="inlineStr">
        <is>
          <t>Елена Комова, МАРИЯ ДЬЯЧЕНКО</t>
        </is>
      </c>
      <c r="D319" s="3" t="n">
        <v>39600</v>
      </c>
      <c r="E319" s="4" t="n">
        <v>0</v>
      </c>
      <c r="F319" t="inlineStr">
        <is>
          <t>Прямые бронирования (стойка) [Чайковский]</t>
        </is>
      </c>
      <c r="G319" s="3">
        <f>ROUND(D319/(100-E319)*100,2)</f>
        <v/>
      </c>
      <c r="H319" s="3" t="n">
        <v>0</v>
      </c>
      <c r="I319" s="3">
        <f>ROUND(IF(ISNUMBER(AG319),AG319,G319)+H319,2)</f>
        <v/>
      </c>
      <c r="J319" s="2" t="inlineStr">
        <is>
          <t>Завтрак "Шведский стол"</t>
        </is>
      </c>
      <c r="K319" s="5" t="n">
        <v>46236.58333333334</v>
      </c>
      <c r="L319" t="n">
        <v>3</v>
      </c>
      <c r="M319" s="3">
        <f>I319/L319</f>
        <v/>
      </c>
      <c r="N319">
        <f>IF(M319&gt;=5100,"ставка","мин.ставка")</f>
        <v/>
      </c>
      <c r="O319" s="3">
        <f>ROUND(IF(N319="мин.ставка",L319*100,I319/102*2),2)</f>
        <v/>
      </c>
      <c r="P319" s="5" t="n">
        <v>46239.5</v>
      </c>
      <c r="Q319" t="inlineStr">
        <is>
          <t>TravelLine ресепшен</t>
        </is>
      </c>
      <c r="R319" s="2" t="inlineStr">
        <is>
          <t>ПОЛУЛЮКС</t>
        </is>
      </c>
      <c r="S319" t="n">
        <v>25</v>
      </c>
      <c r="T319" t="n">
        <v>1</v>
      </c>
      <c r="U319" t="inlineStr"/>
      <c r="V319" t="inlineStr">
        <is>
          <t>Тариф с завтраком</t>
        </is>
      </c>
      <c r="W319" t="n">
        <v>39600</v>
      </c>
      <c r="X319" s="3" t="n">
        <v>9900</v>
      </c>
      <c r="Y319" t="inlineStr">
        <is>
          <t>20%</t>
        </is>
      </c>
      <c r="Z319" t="inlineStr">
        <is>
          <t>2026-08-02, 2026-08-03, 2026-08-04</t>
        </is>
      </c>
      <c r="AA319" s="3" t="n">
        <v>39600</v>
      </c>
      <c r="AB319" t="inlineStr">
        <is>
          <t>Сошлось по ночным тарифам</t>
        </is>
      </c>
      <c r="AC319" s="2" t="inlineStr"/>
      <c r="AD319" t="n">
        <v>9900</v>
      </c>
      <c r="AE319" t="n">
        <v>0</v>
      </c>
      <c r="AF319" t="inlineStr">
        <is>
          <t>Скидка добавлена к налоговой базе</t>
        </is>
      </c>
      <c r="AG319" t="n">
        <v>49500</v>
      </c>
      <c r="AH319" t="n">
        <v>39600</v>
      </c>
      <c r="AI319" t="inlineStr">
        <is>
          <t>Полное проживание в выбранном периоде</t>
        </is>
      </c>
    </row>
    <row r="320">
      <c r="A320" t="inlineStr">
        <is>
          <t>20260922-8186-464443892</t>
        </is>
      </c>
      <c r="B320" t="n">
        <v>1</v>
      </c>
      <c r="C320" s="2" t="inlineStr">
        <is>
          <t>ЕЛЕНА КОРНИЕНКО</t>
        </is>
      </c>
      <c r="D320" s="3" t="n">
        <v>38590</v>
      </c>
      <c r="E320" s="4" t="n">
        <v>15</v>
      </c>
      <c r="F320" t="inlineStr">
        <is>
          <t>ООО «12Т» (ранее ONE TWO TRIP) [Чайковский]</t>
        </is>
      </c>
      <c r="G320" s="3">
        <f>ROUND(D320/(100-E320)*100,2)</f>
        <v/>
      </c>
      <c r="H320" s="3" t="n">
        <v>0</v>
      </c>
      <c r="I320" s="3">
        <f>ROUND(IF(ISNUMBER(AG320),AG320,G320)+H320,2)</f>
        <v/>
      </c>
      <c r="J320" s="2" t="inlineStr">
        <is>
          <t>Завтрак "Шведский стол"</t>
        </is>
      </c>
      <c r="K320" s="5" t="n">
        <v>46287.58333333334</v>
      </c>
      <c r="L320" t="n">
        <v>4</v>
      </c>
      <c r="M320" s="3">
        <f>I320/L320</f>
        <v/>
      </c>
      <c r="N320">
        <f>IF(M320&gt;=5100,"ставка","мин.ставка")</f>
        <v/>
      </c>
      <c r="O320" s="3">
        <f>ROUND(IF(N320="мин.ставка",L320*100,I320/102*2),2)</f>
        <v/>
      </c>
      <c r="P320" s="5" t="n">
        <v>46291.5</v>
      </c>
      <c r="Q320" t="inlineStr">
        <is>
          <t>TravelLine OTT</t>
        </is>
      </c>
      <c r="R320" s="2" t="inlineStr">
        <is>
          <t>СТАНДАРТНЫЙ ДВУХМЕСТНЫЙ НОМЕР</t>
        </is>
      </c>
      <c r="S320" t="n">
        <v>42</v>
      </c>
      <c r="T320" t="n">
        <v>1</v>
      </c>
      <c r="U320" t="inlineStr"/>
      <c r="V320" t="inlineStr">
        <is>
          <t>Тариф с завтраком</t>
        </is>
      </c>
      <c r="W320" t="n">
        <v>38590</v>
      </c>
      <c r="X320" s="3" t="n">
        <v>6810</v>
      </c>
      <c r="Y320" t="inlineStr">
        <is>
          <t>15%</t>
        </is>
      </c>
      <c r="Z320" t="inlineStr">
        <is>
          <t>2026-09-22, 2026-09-23, 2026-09-24, 2026-09-25</t>
        </is>
      </c>
      <c r="AA320" s="3" t="n">
        <v>38590</v>
      </c>
      <c r="AB320" t="inlineStr">
        <is>
          <t>Сошлось по ночным тарифам</t>
        </is>
      </c>
      <c r="AC320" s="2" t="inlineStr"/>
      <c r="AD320" t="n">
        <v>6810</v>
      </c>
      <c r="AE320" t="n">
        <v>0</v>
      </c>
      <c r="AF320" t="inlineStr">
        <is>
          <t>Скидка добавлена к налоговой базе</t>
        </is>
      </c>
      <c r="AG320" t="n">
        <v>45400</v>
      </c>
      <c r="AH320" t="n">
        <v>38590</v>
      </c>
      <c r="AI320" t="inlineStr">
        <is>
          <t>Полное проживание в выбранном периоде</t>
        </is>
      </c>
    </row>
    <row r="321">
      <c r="A321" t="inlineStr">
        <is>
          <t>20260922-8186-444240000</t>
        </is>
      </c>
      <c r="B321" t="n">
        <v>1</v>
      </c>
      <c r="C321" s="2" t="inlineStr">
        <is>
          <t>ЕЛЕНА КОСТРЫКИНА, Альбина Лоншакова</t>
        </is>
      </c>
      <c r="D321" s="3" t="n">
        <v>19493.1</v>
      </c>
      <c r="E321" s="4" t="n">
        <v>4</v>
      </c>
      <c r="F321" t="inlineStr">
        <is>
          <t>TravelLine Booking Engine [Чайковский]</t>
        </is>
      </c>
      <c r="G321" s="3">
        <f>ROUND(D321/(100-E321)*100,2)</f>
        <v/>
      </c>
      <c r="H321" s="3" t="n">
        <v>0</v>
      </c>
      <c r="I321" s="3">
        <f>ROUND(IF(ISNUMBER(AG321),AG321,G321)+H321,2)</f>
        <v/>
      </c>
      <c r="J321" s="2" t="inlineStr">
        <is>
          <t>Завтрак "Шведский стол"</t>
        </is>
      </c>
      <c r="K321" s="5" t="n">
        <v>46287.72916666666</v>
      </c>
      <c r="L321" t="n">
        <v>2</v>
      </c>
      <c r="M321" s="3">
        <f>I321/L321</f>
        <v/>
      </c>
      <c r="N321">
        <f>IF(M321&gt;=5100,"ставка","мин.ставка")</f>
        <v/>
      </c>
      <c r="O321" s="3">
        <f>ROUND(IF(N321="мин.ставка",L321*100,I321/102*2),2)</f>
        <v/>
      </c>
      <c r="P321" s="5" t="n">
        <v>46289.5</v>
      </c>
      <c r="Q321" t="inlineStr">
        <is>
          <t>TravelLine сайт</t>
        </is>
      </c>
      <c r="R321" s="2" t="inlineStr">
        <is>
          <t>СТАНДАРТНЫЙ ДВУХМЕСТНЫЙ НОМЕР (МАНСАРДА)</t>
        </is>
      </c>
      <c r="S321" t="n">
        <v>43</v>
      </c>
      <c r="T321" t="n">
        <v>1</v>
      </c>
      <c r="U321" t="inlineStr"/>
      <c r="V321" t="inlineStr">
        <is>
          <t>Тариф с завтраком</t>
        </is>
      </c>
      <c r="W321" t="n">
        <v>19493.1</v>
      </c>
      <c r="X321" s="3" t="n">
        <v>306.9</v>
      </c>
      <c r="Y321" t="inlineStr">
        <is>
          <t>3.1%</t>
        </is>
      </c>
      <c r="Z321" t="inlineStr">
        <is>
          <t>2026-09-22</t>
        </is>
      </c>
      <c r="AA321" s="3" t="n">
        <v>19493.1</v>
      </c>
      <c r="AB321" t="inlineStr">
        <is>
          <t>Сошлось по ночным тарифам</t>
        </is>
      </c>
      <c r="AC321" s="2" t="inlineStr"/>
      <c r="AD321" t="n">
        <v>306.9</v>
      </c>
      <c r="AE321" t="n">
        <v>0</v>
      </c>
      <c r="AF321" t="inlineStr">
        <is>
          <t>Скидка добавлена к налоговой базе</t>
        </is>
      </c>
      <c r="AG321" t="n">
        <v>19800</v>
      </c>
      <c r="AH321" t="n">
        <v>19493.1</v>
      </c>
      <c r="AI321" t="inlineStr">
        <is>
          <t>Полное проживание в выбранном периоде</t>
        </is>
      </c>
    </row>
    <row r="322">
      <c r="A322" t="inlineStr">
        <is>
          <t>20260913-8186-463968378</t>
        </is>
      </c>
      <c r="B322" t="n">
        <v>1</v>
      </c>
      <c r="C322" s="2" t="inlineStr">
        <is>
          <t>Елена Котова, Сергей Котов</t>
        </is>
      </c>
      <c r="D322" s="3" t="n">
        <v>14025</v>
      </c>
      <c r="E322" s="4" t="n">
        <v>15</v>
      </c>
      <c r="F322" t="inlineStr">
        <is>
          <t>ООО Тинькофф Путешествия [Чайковский]</t>
        </is>
      </c>
      <c r="G322" s="3">
        <f>ROUND(D322/(100-E322)*100,2)</f>
        <v/>
      </c>
      <c r="H322" s="3" t="n">
        <v>0</v>
      </c>
      <c r="I322" s="3">
        <f>ROUND(IF(ISNUMBER(AG322),AG322,G322)+H322,2)</f>
        <v/>
      </c>
      <c r="J322" s="2" t="inlineStr">
        <is>
          <t>Завтрак "Шведский стол"</t>
        </is>
      </c>
      <c r="K322" s="5" t="n">
        <v>46278.66666666666</v>
      </c>
      <c r="L322" t="n">
        <v>1</v>
      </c>
      <c r="M322" s="3">
        <f>I322/L322</f>
        <v/>
      </c>
      <c r="N322">
        <f>IF(M322&gt;=5100,"ставка","мин.ставка")</f>
        <v/>
      </c>
      <c r="O322" s="3">
        <f>ROUND(IF(N322="мин.ставка",L322*100,I322/102*2),2)</f>
        <v/>
      </c>
      <c r="P322" s="5" t="n">
        <v>46279.5</v>
      </c>
      <c r="Q322" t="inlineStr">
        <is>
          <t>TravelLine TNK</t>
        </is>
      </c>
      <c r="R322" s="2" t="inlineStr">
        <is>
          <t>ПОЛУЛЮКС</t>
        </is>
      </c>
      <c r="S322" t="n">
        <v>35</v>
      </c>
      <c r="T322" t="n">
        <v>1</v>
      </c>
      <c r="U322" t="inlineStr"/>
      <c r="V322" t="inlineStr">
        <is>
          <t>Тариф с завтраком</t>
        </is>
      </c>
      <c r="W322" t="n">
        <v>14025</v>
      </c>
      <c r="X322" s="3" t="n">
        <v>2475</v>
      </c>
      <c r="Y322" t="inlineStr">
        <is>
          <t>15%</t>
        </is>
      </c>
      <c r="Z322" t="inlineStr">
        <is>
          <t>2026-09-13</t>
        </is>
      </c>
      <c r="AA322" s="3" t="n">
        <v>14025</v>
      </c>
      <c r="AB322" t="inlineStr">
        <is>
          <t>Сошлось по ночным тарифам</t>
        </is>
      </c>
      <c r="AC322" s="2" t="inlineStr"/>
      <c r="AD322" t="n">
        <v>2475</v>
      </c>
      <c r="AE322" t="n">
        <v>0</v>
      </c>
      <c r="AF322" t="inlineStr">
        <is>
          <t>Скидка добавлена к налоговой базе</t>
        </is>
      </c>
      <c r="AG322" t="n">
        <v>16500</v>
      </c>
      <c r="AH322" t="n">
        <v>14025</v>
      </c>
      <c r="AI322" t="inlineStr">
        <is>
          <t>Полное проживание в выбранном периоде</t>
        </is>
      </c>
    </row>
    <row r="323">
      <c r="A323" t="inlineStr">
        <is>
          <t>20260922-8186-466727212</t>
        </is>
      </c>
      <c r="B323" t="n">
        <v>1</v>
      </c>
      <c r="C323" s="2" t="inlineStr">
        <is>
          <t>ЕЛЕНА КРОТОВА</t>
        </is>
      </c>
      <c r="D323" s="3" t="n">
        <v>19068</v>
      </c>
      <c r="E323" s="4" t="n">
        <v>16</v>
      </c>
      <c r="F323" t="inlineStr">
        <is>
          <t>ООО "БРОНИРОВАНИЕ ГОСТИНИЦ" (OSTROVOK) [Чайковский]</t>
        </is>
      </c>
      <c r="G323" s="3">
        <f>ROUND(D323/(100-E323)*100,2)</f>
        <v/>
      </c>
      <c r="H323" s="3" t="n">
        <v>0</v>
      </c>
      <c r="I323" s="3">
        <f>ROUND(IF(ISNUMBER(AG323),AG323,G323)+H323,2)</f>
        <v/>
      </c>
      <c r="J323" s="2" t="inlineStr">
        <is>
          <t>Завтрак "Шведский стол"</t>
        </is>
      </c>
      <c r="K323" s="5" t="n">
        <v>46287.58333333334</v>
      </c>
      <c r="L323" t="n">
        <v>2</v>
      </c>
      <c r="M323" s="3">
        <f>I323/L323</f>
        <v/>
      </c>
      <c r="N323">
        <f>IF(M323&gt;=5100,"ставка","мин.ставка")</f>
        <v/>
      </c>
      <c r="O323" s="3">
        <f>ROUND(IF(N323="мин.ставка",L323*100,I323/102*2),2)</f>
        <v/>
      </c>
      <c r="P323" s="5" t="n">
        <v>46289.5</v>
      </c>
      <c r="Q323" t="inlineStr">
        <is>
          <t>TravelLine OTK</t>
        </is>
      </c>
      <c r="R323" s="2" t="inlineStr">
        <is>
          <t>СТАНДАРТНЫЙ ДВУХМЕСТНЫЙ НОМЕР</t>
        </is>
      </c>
      <c r="S323" t="n">
        <v>44</v>
      </c>
      <c r="T323" t="n">
        <v>1</v>
      </c>
      <c r="U323" t="inlineStr"/>
      <c r="V323" t="inlineStr">
        <is>
          <t>Тариф с завтраком</t>
        </is>
      </c>
      <c r="W323" t="n">
        <v>19068</v>
      </c>
      <c r="X323" s="3" t="n">
        <v>3632</v>
      </c>
      <c r="Y323" t="inlineStr">
        <is>
          <t>16%</t>
        </is>
      </c>
      <c r="Z323" t="inlineStr">
        <is>
          <t>2026-09-22, 2026-09-23</t>
        </is>
      </c>
      <c r="AA323" s="3" t="n">
        <v>19068</v>
      </c>
      <c r="AB323" t="inlineStr">
        <is>
          <t>Сошлось по ночным тарифам</t>
        </is>
      </c>
      <c r="AC323" s="2" t="inlineStr"/>
      <c r="AD323" t="n">
        <v>3632</v>
      </c>
      <c r="AE323" t="n">
        <v>0</v>
      </c>
      <c r="AF323" t="inlineStr">
        <is>
          <t>Скидка добавлена к налоговой базе</t>
        </is>
      </c>
      <c r="AG323" t="n">
        <v>22700</v>
      </c>
      <c r="AH323" t="n">
        <v>19068</v>
      </c>
      <c r="AI323" t="inlineStr">
        <is>
          <t>Полное проживание в выбранном периоде</t>
        </is>
      </c>
    </row>
    <row r="324">
      <c r="A324" t="inlineStr">
        <is>
          <t>20260926-8186-466754555</t>
        </is>
      </c>
      <c r="B324" t="n">
        <v>1</v>
      </c>
      <c r="C324" s="2" t="inlineStr">
        <is>
          <t>Елена Маевских</t>
        </is>
      </c>
      <c r="D324" s="3" t="n">
        <v>30684.5</v>
      </c>
      <c r="E324" s="4" t="n">
        <v>4</v>
      </c>
      <c r="F324" t="inlineStr">
        <is>
          <t>TravelLine Booking Engine [Чайковский]</t>
        </is>
      </c>
      <c r="G324" s="3">
        <f>ROUND(D324/(100-E324)*100,2)</f>
        <v/>
      </c>
      <c r="H324" s="3" t="n">
        <v>0</v>
      </c>
      <c r="I324" s="3">
        <f>ROUND(IF(ISNUMBER(AG324),AG324,G324)+H324,2)</f>
        <v/>
      </c>
      <c r="J324" s="2" t="inlineStr">
        <is>
          <t>Завтрак "Шведский стол"</t>
        </is>
      </c>
      <c r="K324" s="5" t="n">
        <v>46291.58333333334</v>
      </c>
      <c r="L324" t="n">
        <v>4</v>
      </c>
      <c r="M324" s="3">
        <f>I324/L324</f>
        <v/>
      </c>
      <c r="N324">
        <f>IF(M324&gt;=5100,"ставка","мин.ставка")</f>
        <v/>
      </c>
      <c r="O324" s="3">
        <f>ROUND(IF(N324="мин.ставка",L324*100,I324/102*2),2)</f>
        <v/>
      </c>
      <c r="P324" s="5" t="n">
        <v>46295.5</v>
      </c>
      <c r="Q324" t="inlineStr">
        <is>
          <t>TravelLine сайт</t>
        </is>
      </c>
      <c r="R324" s="2" t="inlineStr">
        <is>
          <t>СТАНДАРТНЫЙ ОДНОМЕСТНЫЙ НОМЕР</t>
        </is>
      </c>
      <c r="S324" t="n">
        <v>34</v>
      </c>
      <c r="T324" t="n">
        <v>1</v>
      </c>
      <c r="U324" t="inlineStr"/>
      <c r="V324" t="inlineStr">
        <is>
          <t>Тариф с завтраком</t>
        </is>
      </c>
      <c r="W324" t="n">
        <v>30684.5</v>
      </c>
      <c r="X324" s="3" t="n">
        <v>115.5</v>
      </c>
      <c r="Y324" t="inlineStr">
        <is>
          <t>1.5%</t>
        </is>
      </c>
      <c r="Z324" t="inlineStr">
        <is>
          <t>2026-09-26</t>
        </is>
      </c>
      <c r="AA324" s="3" t="n">
        <v>30684.5</v>
      </c>
      <c r="AB324" t="inlineStr">
        <is>
          <t>Сошлось по ночным тарифам</t>
        </is>
      </c>
      <c r="AC324" s="2" t="inlineStr"/>
      <c r="AD324" t="n">
        <v>115.5</v>
      </c>
      <c r="AE324" t="n">
        <v>0</v>
      </c>
      <c r="AF324" t="inlineStr">
        <is>
          <t>Скидка добавлена к налоговой базе</t>
        </is>
      </c>
      <c r="AG324" t="n">
        <v>30800</v>
      </c>
      <c r="AH324" t="n">
        <v>30684.5</v>
      </c>
      <c r="AI324" t="inlineStr">
        <is>
          <t>Полное проживание в выбранном периоде</t>
        </is>
      </c>
    </row>
    <row r="325">
      <c r="A325" t="inlineStr">
        <is>
          <t>20260803-8186-414251130</t>
        </is>
      </c>
      <c r="B325" t="n">
        <v>1</v>
      </c>
      <c r="C325" s="2" t="inlineStr">
        <is>
          <t>Елена Мастрюкова</t>
        </is>
      </c>
      <c r="D325" s="3" t="n">
        <v>13090</v>
      </c>
      <c r="E325" s="4" t="n">
        <v>15</v>
      </c>
      <c r="F325" t="inlineStr">
        <is>
          <t>ООО Тинькофф Путешествия [Чайковский]</t>
        </is>
      </c>
      <c r="G325" s="3">
        <f>ROUND(D325/(100-E325)*100,2)</f>
        <v/>
      </c>
      <c r="H325" s="3" t="n">
        <v>0</v>
      </c>
      <c r="I325" s="3">
        <f>ROUND(IF(ISNUMBER(AG325),AG325,G325)+H325,2)</f>
        <v/>
      </c>
      <c r="J325" s="2" t="inlineStr">
        <is>
          <t>Завтрак "Шведский стол"</t>
        </is>
      </c>
      <c r="K325" s="5" t="n">
        <v>46237.58333333334</v>
      </c>
      <c r="L325" t="n">
        <v>2</v>
      </c>
      <c r="M325" s="3">
        <f>I325/L325</f>
        <v/>
      </c>
      <c r="N325">
        <f>IF(M325&gt;=5100,"ставка","мин.ставка")</f>
        <v/>
      </c>
      <c r="O325" s="3">
        <f>ROUND(IF(N325="мин.ставка",L325*100,I325/102*2),2)</f>
        <v/>
      </c>
      <c r="P325" s="5" t="n">
        <v>46239.5</v>
      </c>
      <c r="Q325" t="inlineStr">
        <is>
          <t>TravelLine TNK</t>
        </is>
      </c>
      <c r="R325" s="2" t="inlineStr">
        <is>
          <t>СТАНДАРТНЫЙ ОДНОМЕСТНЫЙ НОМЕР</t>
        </is>
      </c>
      <c r="S325" t="n">
        <v>24</v>
      </c>
      <c r="T325" t="n">
        <v>1</v>
      </c>
      <c r="U325" t="inlineStr"/>
      <c r="V325" t="inlineStr">
        <is>
          <t>Тариф с завтраком</t>
        </is>
      </c>
      <c r="W325" t="n">
        <v>13090</v>
      </c>
      <c r="X325" s="3" t="n">
        <v>2310</v>
      </c>
      <c r="Y325" t="inlineStr">
        <is>
          <t>15%</t>
        </is>
      </c>
      <c r="Z325" t="inlineStr">
        <is>
          <t>2026-08-03, 2026-08-04</t>
        </is>
      </c>
      <c r="AA325" s="3" t="n">
        <v>13090</v>
      </c>
      <c r="AB325" t="inlineStr">
        <is>
          <t>Сошлось по ночным тарифам</t>
        </is>
      </c>
      <c r="AC325" s="2" t="inlineStr"/>
      <c r="AD325" t="n">
        <v>2310</v>
      </c>
      <c r="AE325" t="n">
        <v>0</v>
      </c>
      <c r="AF325" t="inlineStr">
        <is>
          <t>Скидка добавлена к налоговой базе</t>
        </is>
      </c>
      <c r="AG325" t="n">
        <v>15400</v>
      </c>
      <c r="AH325" t="n">
        <v>13090</v>
      </c>
      <c r="AI325" t="inlineStr">
        <is>
          <t>Полное проживание в выбранном периоде</t>
        </is>
      </c>
    </row>
    <row r="326">
      <c r="A326" t="inlineStr">
        <is>
          <t>20260901-8186-432644424</t>
        </is>
      </c>
      <c r="B326" t="n">
        <v>1</v>
      </c>
      <c r="C326" s="2" t="inlineStr">
        <is>
          <t>ЕЛЕНА МАХАЛЬСКАЯ, СВЕТЛАНА САВИНА</t>
        </is>
      </c>
      <c r="D326" s="3" t="n">
        <v>25245</v>
      </c>
      <c r="E326" s="4" t="n">
        <v>0</v>
      </c>
      <c r="F326" t="inlineStr">
        <is>
          <t>ООО "АЛЕАН ОТДЫХ" [Чайковский]</t>
        </is>
      </c>
      <c r="G326" s="3">
        <f>ROUND(D326/(100-E326)*100,2)</f>
        <v/>
      </c>
      <c r="H326" s="3" t="n">
        <v>0</v>
      </c>
      <c r="I326" s="3">
        <f>ROUND(IF(ISNUMBER(AG326),AG326,G326)+H326,2)</f>
        <v/>
      </c>
      <c r="J326" s="2" t="inlineStr">
        <is>
          <t>meal_bf_buffet_1; meal_bf_buffet_1; Завтрак "Шведский стол"</t>
        </is>
      </c>
      <c r="K326" s="5" t="n">
        <v>46266.58333333334</v>
      </c>
      <c r="L326" t="n">
        <v>3</v>
      </c>
      <c r="M326" s="3">
        <f>I326/L326</f>
        <v/>
      </c>
      <c r="N326">
        <f>IF(M326&gt;=5100,"ставка","мин.ставка")</f>
        <v/>
      </c>
      <c r="O326" s="3">
        <f>ROUND(IF(N326="мин.ставка",L326*100,I326/102*2),2)</f>
        <v/>
      </c>
      <c r="P326" s="5" t="n">
        <v>46269.5</v>
      </c>
      <c r="Q326" t="inlineStr">
        <is>
          <t>TravelLine ALN</t>
        </is>
      </c>
      <c r="R326" s="2" t="inlineStr">
        <is>
          <t>СТАНДАРТНЫЙ ДВУХМЕСТНЫЙ НОМЕР</t>
        </is>
      </c>
      <c r="S326" t="n">
        <v>46</v>
      </c>
      <c r="T326" t="n">
        <v>1</v>
      </c>
      <c r="U326" t="inlineStr"/>
      <c r="V326" t="inlineStr">
        <is>
          <t>Тариф с завтраком</t>
        </is>
      </c>
      <c r="W326" t="n">
        <v>25245</v>
      </c>
      <c r="X326" s="3" t="n">
        <v>4455</v>
      </c>
      <c r="Y326" t="inlineStr">
        <is>
          <t>15%</t>
        </is>
      </c>
      <c r="Z326" t="inlineStr">
        <is>
          <t>2026-09-01, 2026-09-02, 2026-09-03</t>
        </is>
      </c>
      <c r="AA326" s="3" t="n">
        <v>25245</v>
      </c>
      <c r="AB326" t="inlineStr">
        <is>
          <t>Сошлось по ночным тарифам</t>
        </is>
      </c>
      <c r="AC326" s="2" t="inlineStr"/>
      <c r="AD326" t="n">
        <v>4455</v>
      </c>
      <c r="AE326" t="n">
        <v>0</v>
      </c>
      <c r="AF326" t="inlineStr">
        <is>
          <t>Скидка добавлена к налоговой базе</t>
        </is>
      </c>
      <c r="AG326" t="n">
        <v>29700</v>
      </c>
      <c r="AH326" t="n">
        <v>25245</v>
      </c>
      <c r="AI326" t="inlineStr">
        <is>
          <t>Полное проживание в выбранном периоде</t>
        </is>
      </c>
    </row>
    <row r="327">
      <c r="A327" t="inlineStr">
        <is>
          <t>20260809-8186-434031511</t>
        </is>
      </c>
      <c r="B327" t="n">
        <v>1</v>
      </c>
      <c r="C327" s="2" t="inlineStr">
        <is>
          <t>Елена Митина, ЕКАТЕРИНА МИТИНА</t>
        </is>
      </c>
      <c r="D327" s="3" t="n">
        <v>41085</v>
      </c>
      <c r="E327" s="4" t="n">
        <v>20</v>
      </c>
      <c r="F327" t="inlineStr">
        <is>
          <t>ООО «Дубль Гис» (OTELLO) [Чайковский]</t>
        </is>
      </c>
      <c r="G327" s="3">
        <f>ROUND(D327/(100-E327)*100,2)</f>
        <v/>
      </c>
      <c r="H327" s="3" t="n">
        <v>0</v>
      </c>
      <c r="I327" s="3">
        <f>ROUND(IF(ISNUMBER(AG327),AG327,G327)+H327,2)</f>
        <v/>
      </c>
      <c r="J327" s="2" t="inlineStr">
        <is>
          <t>Завтрак "Шведский стол"</t>
        </is>
      </c>
      <c r="K327" s="5" t="n">
        <v>46243.58333333334</v>
      </c>
      <c r="L327" t="n">
        <v>5</v>
      </c>
      <c r="M327" s="3">
        <f>I327/L327</f>
        <v/>
      </c>
      <c r="N327">
        <f>IF(M327&gt;=5100,"ставка","мин.ставка")</f>
        <v/>
      </c>
      <c r="O327" s="3">
        <f>ROUND(IF(N327="мин.ставка",L327*100,I327/102*2),2)</f>
        <v/>
      </c>
      <c r="P327" s="5" t="n">
        <v>46248.5</v>
      </c>
      <c r="Q327" t="inlineStr">
        <is>
          <t>TravelLine OL2</t>
        </is>
      </c>
      <c r="R327" s="2" t="inlineStr">
        <is>
          <t>СТАНДАРТНЫЙ ДВУХМЕСТНЫЙ НОМЕР (МАНСАРДА)</t>
        </is>
      </c>
      <c r="S327" t="n">
        <v>47</v>
      </c>
      <c r="T327" t="n">
        <v>1</v>
      </c>
      <c r="U327" t="inlineStr"/>
      <c r="V327" t="inlineStr">
        <is>
          <t>Тариф с завтраком</t>
        </is>
      </c>
      <c r="W327" t="n">
        <v>41085</v>
      </c>
      <c r="X327" s="3" t="n">
        <v>8415</v>
      </c>
      <c r="Y327" t="inlineStr">
        <is>
          <t>17%</t>
        </is>
      </c>
      <c r="Z327" t="inlineStr">
        <is>
          <t>2026-08-09, 2026-08-10, 2026-08-11, 2026-08-12, 2026-08-13</t>
        </is>
      </c>
      <c r="AA327" s="3" t="n">
        <v>41085</v>
      </c>
      <c r="AB327" t="inlineStr">
        <is>
          <t>Сошлось по ночным тарифам</t>
        </is>
      </c>
      <c r="AC327" s="2" t="inlineStr"/>
      <c r="AD327" t="n">
        <v>8415</v>
      </c>
      <c r="AE327" t="n">
        <v>0</v>
      </c>
      <c r="AF327" t="inlineStr">
        <is>
          <t>Скидка добавлена к налоговой базе</t>
        </is>
      </c>
      <c r="AG327" t="n">
        <v>49500</v>
      </c>
      <c r="AH327" t="n">
        <v>41085</v>
      </c>
      <c r="AI327" t="inlineStr">
        <is>
          <t>Полное проживание в выбранном периоде</t>
        </is>
      </c>
    </row>
    <row r="328">
      <c r="A328" t="inlineStr">
        <is>
          <t>20260713-8186-449269362</t>
        </is>
      </c>
      <c r="B328" t="n">
        <v>1</v>
      </c>
      <c r="C328" s="2" t="inlineStr">
        <is>
          <t>Елена Мишина</t>
        </is>
      </c>
      <c r="D328" s="3" t="n">
        <v>6557</v>
      </c>
      <c r="E328" s="4" t="n">
        <v>17</v>
      </c>
      <c r="F328" t="inlineStr">
        <is>
          <t>ООО «Интернет Трэвел» (OZON) [Чайковский]</t>
        </is>
      </c>
      <c r="G328" s="3">
        <f>ROUND(D328/(100-E328)*100,2)</f>
        <v/>
      </c>
      <c r="H328" s="3" t="n">
        <v>0</v>
      </c>
      <c r="I328" s="3">
        <f>ROUND(IF(ISNUMBER(AG328),AG328,G328)+H328,2)</f>
        <v/>
      </c>
      <c r="J328" s="2" t="inlineStr">
        <is>
          <t>Завтрак "Шведский стол"</t>
        </is>
      </c>
      <c r="K328" s="5" t="n">
        <v>46216.58333333334</v>
      </c>
      <c r="L328" t="n">
        <v>1</v>
      </c>
      <c r="M328" s="3">
        <f>I328/L328</f>
        <v/>
      </c>
      <c r="N328">
        <f>IF(M328&gt;=5100,"ставка","мин.ставка")</f>
        <v/>
      </c>
      <c r="O328" s="3">
        <f>ROUND(IF(N328="мин.ставка",L328*100,I328/102*2),2)</f>
        <v/>
      </c>
      <c r="P328" s="5" t="n">
        <v>46217.5</v>
      </c>
      <c r="Q328" t="inlineStr">
        <is>
          <t>TravelLine OZ2</t>
        </is>
      </c>
      <c r="R328" s="2" t="inlineStr">
        <is>
          <t>СТАНДАРТНЫЙ ДВУХМЕСТНЫЙ НОМЕР (МАНСАРДА)</t>
        </is>
      </c>
      <c r="S328" t="n">
        <v>45</v>
      </c>
      <c r="T328" t="n">
        <v>1</v>
      </c>
      <c r="U328" t="inlineStr"/>
      <c r="V328" t="inlineStr">
        <is>
          <t>Тариф с завтраком</t>
        </is>
      </c>
      <c r="W328" t="n">
        <v>6557</v>
      </c>
      <c r="X328" s="3" t="n">
        <v>1343</v>
      </c>
      <c r="Y328" t="inlineStr">
        <is>
          <t>17%</t>
        </is>
      </c>
      <c r="Z328" t="inlineStr">
        <is>
          <t>2026-07-13</t>
        </is>
      </c>
      <c r="AA328" s="3" t="n">
        <v>6557</v>
      </c>
      <c r="AB328" t="inlineStr">
        <is>
          <t>Сошлось по ночным тарифам</t>
        </is>
      </c>
      <c r="AC328" s="2" t="inlineStr"/>
      <c r="AD328" t="n">
        <v>1343</v>
      </c>
      <c r="AE328" t="n">
        <v>0</v>
      </c>
      <c r="AF328" t="inlineStr">
        <is>
          <t>Скидка добавлена к налоговой базе</t>
        </is>
      </c>
      <c r="AG328" t="n">
        <v>7900</v>
      </c>
      <c r="AH328" t="n">
        <v>6557</v>
      </c>
      <c r="AI328" t="inlineStr">
        <is>
          <t>Полное проживание в выбранном периоде</t>
        </is>
      </c>
    </row>
    <row r="329">
      <c r="A329" t="inlineStr">
        <is>
          <t>20260706-8186-446718602</t>
        </is>
      </c>
      <c r="B329" t="n">
        <v>1</v>
      </c>
      <c r="C329" s="2" t="inlineStr">
        <is>
          <t>Елена Мороз</t>
        </is>
      </c>
      <c r="D329" s="3" t="n">
        <v>34050</v>
      </c>
      <c r="E329" s="4" t="n">
        <v>4</v>
      </c>
      <c r="F329" t="inlineStr">
        <is>
          <t>TravelLine Booking Engine [Чайковский]</t>
        </is>
      </c>
      <c r="G329" s="3">
        <f>ROUND(D329/(100-E329)*100,2)</f>
        <v/>
      </c>
      <c r="H329" s="3" t="n">
        <v>0</v>
      </c>
      <c r="I329" s="3">
        <f>ROUND(IF(ISNUMBER(AG329),AG329,G329)+H329,2)</f>
        <v/>
      </c>
      <c r="J329" s="2" t="inlineStr">
        <is>
          <t>Завтрак "Шведский стол"</t>
        </is>
      </c>
      <c r="K329" s="5" t="n">
        <v>46209.58333333334</v>
      </c>
      <c r="L329" t="n">
        <v>3</v>
      </c>
      <c r="M329" s="3">
        <f>I329/L329</f>
        <v/>
      </c>
      <c r="N329">
        <f>IF(M329&gt;=5100,"ставка","мин.ставка")</f>
        <v/>
      </c>
      <c r="O329" s="3">
        <f>ROUND(IF(N329="мин.ставка",L329*100,I329/102*2),2)</f>
        <v/>
      </c>
      <c r="P329" s="5" t="n">
        <v>46212.5</v>
      </c>
      <c r="Q329" t="inlineStr">
        <is>
          <t>TravelLine сайт</t>
        </is>
      </c>
      <c r="R329" s="2" t="inlineStr">
        <is>
          <t>СТАНДАРТНЫЙ ДВУХМЕСТНЫЙ НОМЕР</t>
        </is>
      </c>
      <c r="S329" t="n">
        <v>22</v>
      </c>
      <c r="T329" t="n">
        <v>1</v>
      </c>
      <c r="U329" t="inlineStr"/>
      <c r="V329" t="inlineStr">
        <is>
          <t>Тариф с завтраком</t>
        </is>
      </c>
      <c r="W329" t="n">
        <v>34050</v>
      </c>
      <c r="X329" s="3" t="n">
        <v>0</v>
      </c>
      <c r="Y329" t="inlineStr"/>
      <c r="Z329" t="inlineStr"/>
      <c r="AA329" s="3" t="n">
        <v>34050</v>
      </c>
      <c r="AB329" t="inlineStr">
        <is>
          <t>Сошлось по ночным тарифам</t>
        </is>
      </c>
      <c r="AC329" s="2" t="inlineStr"/>
      <c r="AD329" t="n">
        <v>0</v>
      </c>
      <c r="AE329" t="n">
        <v>0</v>
      </c>
      <c r="AF329" t="inlineStr">
        <is>
          <t>Скидки нет</t>
        </is>
      </c>
      <c r="AG329" t="n">
        <v>34050</v>
      </c>
      <c r="AH329" t="n">
        <v>34050</v>
      </c>
      <c r="AI329" t="inlineStr">
        <is>
          <t>Полное проживание в выбранном периоде</t>
        </is>
      </c>
    </row>
    <row r="330">
      <c r="A330" t="inlineStr">
        <is>
          <t>20260829-8186-460361195</t>
        </is>
      </c>
      <c r="B330" t="n">
        <v>1</v>
      </c>
      <c r="C330" s="2" t="inlineStr">
        <is>
          <t>ЕЛЕНА МУЛЛАНУРОВА</t>
        </is>
      </c>
      <c r="D330" s="3" t="n">
        <v>11256</v>
      </c>
      <c r="E330" s="4" t="n">
        <v>16</v>
      </c>
      <c r="F330" t="inlineStr">
        <is>
          <t>ООО "БРОНИРОВАНИЕ ГОСТИНИЦ" (OSTROVOK) [Чайковский]</t>
        </is>
      </c>
      <c r="G330" s="3">
        <f>ROUND(D330/(100-E330)*100,2)</f>
        <v/>
      </c>
      <c r="H330" s="3" t="n">
        <v>2240</v>
      </c>
      <c r="I330" s="3">
        <f>ROUND(IF(ISNUMBER(AG330),AG330,G330)+H330,2)</f>
        <v/>
      </c>
      <c r="J330" s="2" t="inlineStr">
        <is>
          <t>продление номера — 2 240,00 ₽; Завтрак "Шведский стол"</t>
        </is>
      </c>
      <c r="K330" s="5" t="n">
        <v>46263.58333333334</v>
      </c>
      <c r="L330" t="n">
        <v>1</v>
      </c>
      <c r="M330" s="3">
        <f>I330/L330</f>
        <v/>
      </c>
      <c r="N330">
        <f>IF(M330&gt;=5100,"ставка","мин.ставка")</f>
        <v/>
      </c>
      <c r="O330" s="3">
        <f>ROUND(IF(N330="мин.ставка",L330*100,I330/102*2),2)</f>
        <v/>
      </c>
      <c r="P330" s="5" t="n">
        <v>46264.66666666666</v>
      </c>
      <c r="Q330" t="inlineStr">
        <is>
          <t>TravelLine OTK</t>
        </is>
      </c>
      <c r="R330" s="2" t="inlineStr">
        <is>
          <t>ПОЛУЛЮКС</t>
        </is>
      </c>
      <c r="S330" t="n">
        <v>11</v>
      </c>
      <c r="T330" t="n">
        <v>1</v>
      </c>
      <c r="U330" t="inlineStr"/>
      <c r="V330" t="inlineStr">
        <is>
          <t>Тариф с завтраком</t>
        </is>
      </c>
      <c r="W330" t="n">
        <v>13496</v>
      </c>
      <c r="X330" s="3" t="n">
        <v>2144</v>
      </c>
      <c r="Y330" t="inlineStr">
        <is>
          <t>16%</t>
        </is>
      </c>
      <c r="Z330" t="inlineStr">
        <is>
          <t>2026-08-29</t>
        </is>
      </c>
      <c r="AA330" s="3" t="n">
        <v>11256</v>
      </c>
      <c r="AB330" t="inlineStr">
        <is>
          <t>Сошлось с услугами</t>
        </is>
      </c>
      <c r="AC330" s="2" t="inlineStr"/>
      <c r="AD330" t="n">
        <v>2144</v>
      </c>
      <c r="AE330" t="n">
        <v>0</v>
      </c>
      <c r="AF330" t="inlineStr">
        <is>
          <t>Скидка добавлена к налоговой базе</t>
        </is>
      </c>
      <c r="AG330" t="n">
        <v>13400</v>
      </c>
      <c r="AH330" t="n">
        <v>11256</v>
      </c>
      <c r="AI330" t="inlineStr">
        <is>
          <t>Полное проживание в выбранном периоде</t>
        </is>
      </c>
    </row>
    <row r="331">
      <c r="A331" t="inlineStr">
        <is>
          <t>20260703-8186-445213205</t>
        </is>
      </c>
      <c r="B331" t="n">
        <v>1</v>
      </c>
      <c r="C331" s="2" t="inlineStr">
        <is>
          <t>Елена Мухаметшина</t>
        </is>
      </c>
      <c r="D331" s="3" t="n">
        <v>27240</v>
      </c>
      <c r="E331" s="4" t="n">
        <v>20</v>
      </c>
      <c r="F331" t="inlineStr">
        <is>
          <t>ООО "УК ГЦБ и Т" [Чайковский]</t>
        </is>
      </c>
      <c r="G331" s="3">
        <f>ROUND(D331/(100-E331)*100,2)</f>
        <v/>
      </c>
      <c r="H331" s="3" t="n">
        <v>0</v>
      </c>
      <c r="I331" s="3">
        <f>ROUND(IF(ISNUMBER(AG331),AG331,G331)+H331,2)</f>
        <v/>
      </c>
      <c r="J331" s="2" t="inlineStr">
        <is>
          <t>Завтрак; Завтрак "Шведский стол"</t>
        </is>
      </c>
      <c r="K331" s="5" t="n">
        <v>46206.58333333334</v>
      </c>
      <c r="L331" t="n">
        <v>3</v>
      </c>
      <c r="M331" s="3">
        <f>I331/L331</f>
        <v/>
      </c>
      <c r="N331">
        <f>IF(M331&gt;=5100,"ставка","мин.ставка")</f>
        <v/>
      </c>
      <c r="O331" s="3">
        <f>ROUND(IF(N331="мин.ставка",L331*100,I331/102*2),2)</f>
        <v/>
      </c>
      <c r="P331" s="5" t="n">
        <v>46209.5</v>
      </c>
      <c r="Q331" t="inlineStr">
        <is>
          <t>TravelLine CBC</t>
        </is>
      </c>
      <c r="R331" s="2" t="inlineStr">
        <is>
          <t>СТАНДАРТНЫЙ ДВУХМЕСТНЫЙ НОМЕР</t>
        </is>
      </c>
      <c r="S331" t="n">
        <v>23</v>
      </c>
      <c r="T331" t="n">
        <v>1</v>
      </c>
      <c r="U331" t="inlineStr"/>
      <c r="V331" t="inlineStr">
        <is>
          <t>Тариф с завтраком</t>
        </is>
      </c>
      <c r="W331" t="n">
        <v>27240</v>
      </c>
      <c r="X331" s="3" t="n">
        <v>6810</v>
      </c>
      <c r="Y331" t="inlineStr">
        <is>
          <t>20%</t>
        </is>
      </c>
      <c r="Z331" t="inlineStr">
        <is>
          <t>2026-07-03, 2026-07-04, 2026-07-05</t>
        </is>
      </c>
      <c r="AA331" s="3" t="n">
        <v>27240</v>
      </c>
      <c r="AB331" t="inlineStr">
        <is>
          <t>Сошлось по ночным тарифам</t>
        </is>
      </c>
      <c r="AC331" s="2" t="inlineStr"/>
      <c r="AD331" t="n">
        <v>6810</v>
      </c>
      <c r="AE331" t="n">
        <v>0</v>
      </c>
      <c r="AF331" t="inlineStr">
        <is>
          <t>Скидка добавлена к налоговой базе</t>
        </is>
      </c>
      <c r="AG331" t="n">
        <v>34050</v>
      </c>
      <c r="AH331" t="n">
        <v>27240</v>
      </c>
      <c r="AI331" t="inlineStr">
        <is>
          <t>Полное проживание в выбранном периоде</t>
        </is>
      </c>
    </row>
    <row r="332">
      <c r="A332" t="inlineStr">
        <is>
          <t>20260730-8186-451555879</t>
        </is>
      </c>
      <c r="B332" t="n">
        <v>1</v>
      </c>
      <c r="C332" s="2" t="inlineStr">
        <is>
          <t>Елена Огородникова, Дарья Огородникова</t>
        </is>
      </c>
      <c r="D332" s="3" t="n">
        <v>26286.15</v>
      </c>
      <c r="E332" s="4" t="n">
        <v>4</v>
      </c>
      <c r="F332" t="inlineStr">
        <is>
          <t>TravelLine Booking Engine [Чайковский]</t>
        </is>
      </c>
      <c r="G332" s="3">
        <f>ROUND(D332/(100-E332)*100,2)</f>
        <v/>
      </c>
      <c r="H332" s="3" t="n">
        <v>0</v>
      </c>
      <c r="I332" s="3">
        <f>ROUND(IF(ISNUMBER(AG332),AG332,G332)+H332,2)</f>
        <v/>
      </c>
      <c r="J332" s="2" t="inlineStr">
        <is>
          <t>Завтрак "Шведский стол"</t>
        </is>
      </c>
      <c r="K332" s="5" t="n">
        <v>46233.58333333334</v>
      </c>
      <c r="L332" t="n">
        <v>2</v>
      </c>
      <c r="M332" s="3">
        <f>I332/L332</f>
        <v/>
      </c>
      <c r="N332">
        <f>IF(M332&gt;=5100,"ставка","мин.ставка")</f>
        <v/>
      </c>
      <c r="O332" s="3">
        <f>ROUND(IF(N332="мин.ставка",L332*100,I332/102*2),2)</f>
        <v/>
      </c>
      <c r="P332" s="5" t="n">
        <v>46235.5</v>
      </c>
      <c r="Q332" t="inlineStr">
        <is>
          <t>TravelLine сайт</t>
        </is>
      </c>
      <c r="R332" s="2" t="inlineStr">
        <is>
          <t>СТАНДАРТНЫЙ ДВУХМЕСТНЫЙ НОМЕР</t>
        </is>
      </c>
      <c r="S332" t="n">
        <v>32</v>
      </c>
      <c r="T332" t="n">
        <v>1</v>
      </c>
      <c r="U332" t="inlineStr"/>
      <c r="V332" t="inlineStr">
        <is>
          <t>Тариф с завтраком</t>
        </is>
      </c>
      <c r="W332" t="n">
        <v>26286.15</v>
      </c>
      <c r="X332" s="3" t="n">
        <v>413.85</v>
      </c>
      <c r="Y332" t="inlineStr">
        <is>
          <t>3.1%</t>
        </is>
      </c>
      <c r="Z332" t="inlineStr">
        <is>
          <t>2026-07-30</t>
        </is>
      </c>
      <c r="AA332" s="3" t="n">
        <v>26286.15</v>
      </c>
      <c r="AB332" t="inlineStr">
        <is>
          <t>Сошлось по ночным тарифам</t>
        </is>
      </c>
      <c r="AC332" s="2" t="inlineStr"/>
      <c r="AD332" t="n">
        <v>413.85</v>
      </c>
      <c r="AE332" t="n">
        <v>0</v>
      </c>
      <c r="AF332" t="inlineStr">
        <is>
          <t>Скидка добавлена к налоговой базе</t>
        </is>
      </c>
      <c r="AG332" t="n">
        <v>26700</v>
      </c>
      <c r="AH332" t="n">
        <v>26286.15</v>
      </c>
      <c r="AI332" t="inlineStr">
        <is>
          <t>Полное проживание в выбранном периоде</t>
        </is>
      </c>
    </row>
    <row r="333">
      <c r="A333" t="inlineStr">
        <is>
          <t>20260806-8186-454695826</t>
        </is>
      </c>
      <c r="B333" t="n">
        <v>1</v>
      </c>
      <c r="C333" s="2" t="inlineStr">
        <is>
          <t>ЕЛЕНА ПЕРМЯКОВА</t>
        </is>
      </c>
      <c r="D333" s="3" t="n">
        <v>6004</v>
      </c>
      <c r="E333" s="4" t="n">
        <v>18</v>
      </c>
      <c r="F333" t="inlineStr">
        <is>
          <t>Яндекс.Путешествия [Чайковский]</t>
        </is>
      </c>
      <c r="G333" s="3">
        <f>ROUND(D333/(100-E333)*100,2)</f>
        <v/>
      </c>
      <c r="H333" s="3" t="n">
        <v>0</v>
      </c>
      <c r="I333" s="3">
        <f>ROUND(IF(ISNUMBER(AG333),AG333,G333)+H333,2)</f>
        <v/>
      </c>
      <c r="J333" s="2" t="inlineStr">
        <is>
          <t>Завтрак "Шведский стол"</t>
        </is>
      </c>
      <c r="K333" s="5" t="n">
        <v>46240.58333333334</v>
      </c>
      <c r="L333" t="n">
        <v>1</v>
      </c>
      <c r="M333" s="3">
        <f>I333/L333</f>
        <v/>
      </c>
      <c r="N333">
        <f>IF(M333&gt;=5100,"ставка","мин.ставка")</f>
        <v/>
      </c>
      <c r="O333" s="3">
        <f>ROUND(IF(N333="мин.ставка",L333*100,I333/102*2),2)</f>
        <v/>
      </c>
      <c r="P333" s="5" t="n">
        <v>46241.5</v>
      </c>
      <c r="Q333" t="inlineStr">
        <is>
          <t>TravelLine YAX</t>
        </is>
      </c>
      <c r="R333" s="2" t="inlineStr">
        <is>
          <t>СТАНДАРТНЫЙ ДВУХМЕСТНЫЙ НОМЕР (МАНСАРДА)</t>
        </is>
      </c>
      <c r="S333" t="n">
        <v>41</v>
      </c>
      <c r="T333" t="n">
        <v>1</v>
      </c>
      <c r="U333" t="inlineStr"/>
      <c r="V333" t="inlineStr">
        <is>
          <t>Тариф с завтраком</t>
        </is>
      </c>
      <c r="W333" t="n">
        <v>6004</v>
      </c>
      <c r="X333" s="3" t="n">
        <v>1501</v>
      </c>
      <c r="Y333" t="inlineStr">
        <is>
          <t>20%</t>
        </is>
      </c>
      <c r="Z333" t="inlineStr">
        <is>
          <t>2026-08-06</t>
        </is>
      </c>
      <c r="AA333" s="3" t="n">
        <v>6004</v>
      </c>
      <c r="AB333" t="inlineStr">
        <is>
          <t>Сошлось по ночным тарифам</t>
        </is>
      </c>
      <c r="AC333" s="2" t="inlineStr"/>
      <c r="AD333" t="n">
        <v>1501</v>
      </c>
      <c r="AE333" t="n">
        <v>0</v>
      </c>
      <c r="AF333" t="inlineStr">
        <is>
          <t>Скидка добавлена к налоговой базе</t>
        </is>
      </c>
      <c r="AG333" t="n">
        <v>7505</v>
      </c>
      <c r="AH333" t="n">
        <v>6004</v>
      </c>
      <c r="AI333" t="inlineStr">
        <is>
          <t>Полное проживание в выбранном периоде</t>
        </is>
      </c>
    </row>
    <row r="334">
      <c r="A334" t="inlineStr">
        <is>
          <t>20260727-8186-445278925</t>
        </is>
      </c>
      <c r="B334" t="n">
        <v>1</v>
      </c>
      <c r="C334" s="2" t="inlineStr">
        <is>
          <t>Елена Петрова, Антон Прокофьев</t>
        </is>
      </c>
      <c r="D334" s="3" t="n">
        <v>106800</v>
      </c>
      <c r="E334" s="4" t="n">
        <v>20</v>
      </c>
      <c r="F334" t="inlineStr">
        <is>
          <t>ООО "КОМПАНИЯ БРОНЕВИК" [Чайковский]</t>
        </is>
      </c>
      <c r="G334" s="3">
        <f>ROUND(D334/(100-E334)*100,2)</f>
        <v/>
      </c>
      <c r="H334" s="3" t="n">
        <v>0</v>
      </c>
      <c r="I334" s="3">
        <f>ROUND(IF(ISNUMBER(AG334),AG334,G334)+H334,2)</f>
        <v/>
      </c>
      <c r="J334" s="2" t="inlineStr">
        <is>
          <t>Завтрак "Шведский стол"</t>
        </is>
      </c>
      <c r="K334" s="5" t="n">
        <v>46230.58333333334</v>
      </c>
      <c r="L334" t="n">
        <v>10</v>
      </c>
      <c r="M334" s="3">
        <f>I334/L334</f>
        <v/>
      </c>
      <c r="N334">
        <f>IF(M334&gt;=5100,"ставка","мин.ставка")</f>
        <v/>
      </c>
      <c r="O334" s="3">
        <f>ROUND(IF(N334="мин.ставка",L334*100,I334/102*2),2)</f>
        <v/>
      </c>
      <c r="P334" s="5" t="n">
        <v>46240.5</v>
      </c>
      <c r="Q334" t="inlineStr">
        <is>
          <t>TravelLine BR2</t>
        </is>
      </c>
      <c r="R334" s="2" t="inlineStr">
        <is>
          <t>СТАНДАРТНЫЙ ДВУХМЕСТНЫЙ НОМЕР</t>
        </is>
      </c>
      <c r="S334" t="n">
        <v>46</v>
      </c>
      <c r="T334" t="n">
        <v>1</v>
      </c>
      <c r="U334" t="inlineStr"/>
      <c r="V334" t="inlineStr">
        <is>
          <t>Тариф с завтраком</t>
        </is>
      </c>
      <c r="W334" t="n">
        <v>106800</v>
      </c>
      <c r="X334" s="3" t="n">
        <v>0</v>
      </c>
      <c r="Y334" t="inlineStr"/>
      <c r="Z334" t="inlineStr"/>
      <c r="AA334" s="3" t="n">
        <v>106800</v>
      </c>
      <c r="AB334" t="inlineStr">
        <is>
          <t>Сошлось по ночным тарифам</t>
        </is>
      </c>
      <c r="AC334" s="2" t="inlineStr"/>
      <c r="AD334" t="n">
        <v>0</v>
      </c>
      <c r="AE334" t="n">
        <v>0</v>
      </c>
      <c r="AF334" t="inlineStr">
        <is>
          <t>Скидки нет</t>
        </is>
      </c>
      <c r="AG334" t="n">
        <v>106800</v>
      </c>
      <c r="AH334" t="n">
        <v>106800</v>
      </c>
      <c r="AI334" t="inlineStr">
        <is>
          <t>Полное проживание в выбранном периоде</t>
        </is>
      </c>
    </row>
    <row r="335">
      <c r="A335" t="inlineStr">
        <is>
          <t>20260917-8186-466532217</t>
        </is>
      </c>
      <c r="B335" t="n">
        <v>1</v>
      </c>
      <c r="C335" s="2" t="inlineStr">
        <is>
          <t>Елена Соколова, Иван Соколов</t>
        </is>
      </c>
      <c r="D335" s="3" t="n">
        <v>11214</v>
      </c>
      <c r="E335" s="4" t="n">
        <v>16</v>
      </c>
      <c r="F335" t="inlineStr">
        <is>
          <t>ООО "БРОНИРОВАНИЕ ГОСТИНИЦ" (OSTROVOK) [Чайковский]</t>
        </is>
      </c>
      <c r="G335" s="3">
        <f>ROUND(D335/(100-E335)*100,2)</f>
        <v/>
      </c>
      <c r="H335" s="3" t="n">
        <v>0</v>
      </c>
      <c r="I335" s="3">
        <f>ROUND(IF(ISNUMBER(AG335),AG335,G335)+H335,2)</f>
        <v/>
      </c>
      <c r="J335" s="2" t="inlineStr">
        <is>
          <t>Завтрак "Шведский стол"</t>
        </is>
      </c>
      <c r="K335" s="5" t="n">
        <v>46282.58333333334</v>
      </c>
      <c r="L335" t="n">
        <v>1</v>
      </c>
      <c r="M335" s="3">
        <f>I335/L335</f>
        <v/>
      </c>
      <c r="N335">
        <f>IF(M335&gt;=5100,"ставка","мин.ставка")</f>
        <v/>
      </c>
      <c r="O335" s="3">
        <f>ROUND(IF(N335="мин.ставка",L335*100,I335/102*2),2)</f>
        <v/>
      </c>
      <c r="P335" s="5" t="n">
        <v>46283.5</v>
      </c>
      <c r="Q335" t="inlineStr">
        <is>
          <t>TravelLine OTK</t>
        </is>
      </c>
      <c r="R335" s="2" t="inlineStr">
        <is>
          <t>СТАНДАРТНЫЙ ДВУХМЕСТНЫЙ НОМЕР</t>
        </is>
      </c>
      <c r="S335" t="n">
        <v>23</v>
      </c>
      <c r="T335" t="n">
        <v>1</v>
      </c>
      <c r="U335" t="inlineStr"/>
      <c r="V335" t="inlineStr">
        <is>
          <t>Тариф с завтраком</t>
        </is>
      </c>
      <c r="W335" t="n">
        <v>11214</v>
      </c>
      <c r="X335" s="3" t="n">
        <v>2136</v>
      </c>
      <c r="Y335" t="inlineStr">
        <is>
          <t>16%</t>
        </is>
      </c>
      <c r="Z335" t="inlineStr">
        <is>
          <t>2026-09-17</t>
        </is>
      </c>
      <c r="AA335" s="3" t="n">
        <v>11214</v>
      </c>
      <c r="AB335" t="inlineStr">
        <is>
          <t>Сошлось по ночным тарифам</t>
        </is>
      </c>
      <c r="AC335" s="2" t="inlineStr"/>
      <c r="AD335" t="n">
        <v>2136</v>
      </c>
      <c r="AE335" t="n">
        <v>0</v>
      </c>
      <c r="AF335" t="inlineStr">
        <is>
          <t>Скидка добавлена к налоговой базе</t>
        </is>
      </c>
      <c r="AG335" t="n">
        <v>13350</v>
      </c>
      <c r="AH335" t="n">
        <v>11214</v>
      </c>
      <c r="AI335" t="inlineStr">
        <is>
          <t>Полное проживание в выбранном периоде</t>
        </is>
      </c>
    </row>
    <row r="336">
      <c r="A336" t="inlineStr">
        <is>
          <t>20260715-8186-449585741</t>
        </is>
      </c>
      <c r="B336" t="n">
        <v>1</v>
      </c>
      <c r="C336" s="2" t="inlineStr">
        <is>
          <t>Елена Сорокина</t>
        </is>
      </c>
      <c r="D336" s="3" t="n">
        <v>22861.3</v>
      </c>
      <c r="E336" s="4" t="n">
        <v>4</v>
      </c>
      <c r="F336" t="inlineStr">
        <is>
          <t>TravelLine Booking Engine [Чайковский]</t>
        </is>
      </c>
      <c r="G336" s="3">
        <f>ROUND(D336/(100-E336)*100,2)</f>
        <v/>
      </c>
      <c r="H336" s="3" t="n">
        <v>0</v>
      </c>
      <c r="I336" s="3">
        <f>ROUND(IF(ISNUMBER(AG336),AG336,G336)+H336,2)</f>
        <v/>
      </c>
      <c r="J336" s="2" t="inlineStr">
        <is>
          <t>Завтрак "Шведский стол"</t>
        </is>
      </c>
      <c r="K336" s="5" t="n">
        <v>46218.58333333334</v>
      </c>
      <c r="L336" t="n">
        <v>3</v>
      </c>
      <c r="M336" s="3">
        <f>I336/L336</f>
        <v/>
      </c>
      <c r="N336">
        <f>IF(M336&gt;=5100,"ставка","мин.ставка")</f>
        <v/>
      </c>
      <c r="O336" s="3">
        <f>ROUND(IF(N336="мин.ставка",L336*100,I336/102*2),2)</f>
        <v/>
      </c>
      <c r="P336" s="5" t="n">
        <v>46221.5</v>
      </c>
      <c r="Q336" t="inlineStr">
        <is>
          <t>TravelLine сайт</t>
        </is>
      </c>
      <c r="R336" s="2" t="inlineStr">
        <is>
          <t>СТАНДАРТНЫЙ ОДНОМЕСТНЫЙ НОМЕР</t>
        </is>
      </c>
      <c r="S336" t="n">
        <v>34</v>
      </c>
      <c r="T336" t="n">
        <v>1</v>
      </c>
      <c r="U336" t="inlineStr"/>
      <c r="V336" t="inlineStr">
        <is>
          <t>Тариф с завтраком</t>
        </is>
      </c>
      <c r="W336" t="n">
        <v>22861.3</v>
      </c>
      <c r="X336" s="3" t="n">
        <v>238.7</v>
      </c>
      <c r="Y336" t="inlineStr">
        <is>
          <t>3.1%</t>
        </is>
      </c>
      <c r="Z336" t="inlineStr">
        <is>
          <t>2026-07-15</t>
        </is>
      </c>
      <c r="AA336" s="3" t="n">
        <v>22861.3</v>
      </c>
      <c r="AB336" t="inlineStr">
        <is>
          <t>Сошлось по ночным тарифам</t>
        </is>
      </c>
      <c r="AC336" s="2" t="inlineStr"/>
      <c r="AD336" t="n">
        <v>238.7</v>
      </c>
      <c r="AE336" t="n">
        <v>0</v>
      </c>
      <c r="AF336" t="inlineStr">
        <is>
          <t>Скидка добавлена к налоговой базе</t>
        </is>
      </c>
      <c r="AG336" t="n">
        <v>23100</v>
      </c>
      <c r="AH336" t="n">
        <v>22861.3</v>
      </c>
      <c r="AI336" t="inlineStr">
        <is>
          <t>Полное проживание в выбранном периоде</t>
        </is>
      </c>
    </row>
    <row r="337">
      <c r="A337" t="inlineStr">
        <is>
          <t>20260923-8186-410840730</t>
        </is>
      </c>
      <c r="B337" t="n">
        <v>1</v>
      </c>
      <c r="C337" s="2" t="inlineStr">
        <is>
          <t>Елена Харисова, ДМИТРИЙ АЛЕКСЕЕВ</t>
        </is>
      </c>
      <c r="D337" s="3" t="n">
        <v>29452.5</v>
      </c>
      <c r="E337" s="4" t="n">
        <v>4</v>
      </c>
      <c r="F337" t="inlineStr">
        <is>
          <t>TravelLine Booking Engine [Чайковский]</t>
        </is>
      </c>
      <c r="G337" s="3">
        <f>ROUND(D337/(100-E337)*100,2)</f>
        <v/>
      </c>
      <c r="H337" s="3" t="n">
        <v>0</v>
      </c>
      <c r="I337" s="3">
        <f>ROUND(IF(ISNUMBER(AG337),AG337,G337)+H337,2)</f>
        <v/>
      </c>
      <c r="J337" s="2" t="inlineStr">
        <is>
          <t>Завтрак "Шведский стол"</t>
        </is>
      </c>
      <c r="K337" s="5" t="n">
        <v>46288.58333333334</v>
      </c>
      <c r="L337" t="n">
        <v>3</v>
      </c>
      <c r="M337" s="3">
        <f>I337/L337</f>
        <v/>
      </c>
      <c r="N337">
        <f>IF(M337&gt;=5100,"ставка","мин.ставка")</f>
        <v/>
      </c>
      <c r="O337" s="3">
        <f>ROUND(IF(N337="мин.ставка",L337*100,I337/102*2),2)</f>
        <v/>
      </c>
      <c r="P337" s="5" t="n">
        <v>46291.5</v>
      </c>
      <c r="Q337" t="inlineStr">
        <is>
          <t>TravelLine сайт</t>
        </is>
      </c>
      <c r="R337" s="2" t="inlineStr">
        <is>
          <t>СТАНДАРТНЫЙ ДВУХМЕСТНЫЙ НОМЕР (МАНСАРДА)</t>
        </is>
      </c>
      <c r="S337" t="n">
        <v>41</v>
      </c>
      <c r="T337" t="n">
        <v>1</v>
      </c>
      <c r="U337" t="inlineStr"/>
      <c r="V337" t="inlineStr">
        <is>
          <t>Тариф с завтраком</t>
        </is>
      </c>
      <c r="W337" t="n">
        <v>29452.5</v>
      </c>
      <c r="X337" s="3" t="n">
        <v>247.5</v>
      </c>
      <c r="Y337" t="inlineStr">
        <is>
          <t>2.5%</t>
        </is>
      </c>
      <c r="Z337" t="inlineStr">
        <is>
          <t>2026-09-23</t>
        </is>
      </c>
      <c r="AA337" s="3" t="n">
        <v>29452.5</v>
      </c>
      <c r="AB337" t="inlineStr">
        <is>
          <t>Сошлось по ночным тарифам</t>
        </is>
      </c>
      <c r="AC337" s="2" t="inlineStr"/>
      <c r="AD337" t="n">
        <v>247.5</v>
      </c>
      <c r="AE337" t="n">
        <v>0</v>
      </c>
      <c r="AF337" t="inlineStr">
        <is>
          <t>Скидка добавлена к налоговой базе</t>
        </is>
      </c>
      <c r="AG337" t="n">
        <v>29700</v>
      </c>
      <c r="AH337" t="n">
        <v>29452.5</v>
      </c>
      <c r="AI337" t="inlineStr">
        <is>
          <t>Полное проживание в выбранном периоде</t>
        </is>
      </c>
    </row>
    <row r="338">
      <c r="A338" t="inlineStr">
        <is>
          <t>20260925-8186-434543735</t>
        </is>
      </c>
      <c r="B338" t="n">
        <v>1</v>
      </c>
      <c r="C338" s="2" t="inlineStr">
        <is>
          <t>ЕЛЕНА ХРАПУНОВА, АНАСТАСИЯ ДИЕСПЕРОВА</t>
        </is>
      </c>
      <c r="D338" s="3" t="n">
        <v>16830</v>
      </c>
      <c r="E338" s="4" t="n">
        <v>15</v>
      </c>
      <c r="F338" t="inlineStr">
        <is>
          <t>ООО "АКАДЕМ-ОНЛАЙН" [Чайковский]</t>
        </is>
      </c>
      <c r="G338" s="3">
        <f>ROUND(D338/(100-E338)*100,2)</f>
        <v/>
      </c>
      <c r="H338" s="3" t="n">
        <v>0</v>
      </c>
      <c r="I338" s="3">
        <f>ROUND(IF(ISNUMBER(AG338),AG338,G338)+H338,2)</f>
        <v/>
      </c>
      <c r="J338" s="2" t="inlineStr">
        <is>
          <t>Завтрак "Шведский стол"</t>
        </is>
      </c>
      <c r="K338" s="5" t="n">
        <v>46290.58333333334</v>
      </c>
      <c r="L338" t="n">
        <v>2</v>
      </c>
      <c r="M338" s="3">
        <f>I338/L338</f>
        <v/>
      </c>
      <c r="N338">
        <f>IF(M338&gt;=5100,"ставка","мин.ставка")</f>
        <v/>
      </c>
      <c r="O338" s="3">
        <f>ROUND(IF(N338="мин.ставка",L338*100,I338/102*2),2)</f>
        <v/>
      </c>
      <c r="P338" s="5" t="n">
        <v>46292.5</v>
      </c>
      <c r="Q338" t="inlineStr">
        <is>
          <t>TravelLine ACS</t>
        </is>
      </c>
      <c r="R338" s="2" t="inlineStr">
        <is>
          <t>СТАНДАРТНЫЙ ДВУХМЕСТНЫЙ НОМЕР (МАНСАРДА)</t>
        </is>
      </c>
      <c r="S338" t="n">
        <v>45</v>
      </c>
      <c r="T338" t="n">
        <v>1</v>
      </c>
      <c r="U338" t="inlineStr"/>
      <c r="V338" t="inlineStr">
        <is>
          <t>Тариф с завтраком</t>
        </is>
      </c>
      <c r="W338" t="n">
        <v>16830</v>
      </c>
      <c r="X338" s="3" t="n">
        <v>2970</v>
      </c>
      <c r="Y338" t="inlineStr">
        <is>
          <t>15%</t>
        </is>
      </c>
      <c r="Z338" t="inlineStr">
        <is>
          <t>2026-09-25, 2026-09-26</t>
        </is>
      </c>
      <c r="AA338" s="3" t="n">
        <v>16830</v>
      </c>
      <c r="AB338" t="inlineStr">
        <is>
          <t>Сошлось по ночным тарифам</t>
        </is>
      </c>
      <c r="AC338" s="2" t="inlineStr"/>
      <c r="AD338" t="n">
        <v>2970</v>
      </c>
      <c r="AE338" t="n">
        <v>0</v>
      </c>
      <c r="AF338" t="inlineStr">
        <is>
          <t>Скидка добавлена к налоговой базе</t>
        </is>
      </c>
      <c r="AG338" t="n">
        <v>19800</v>
      </c>
      <c r="AH338" t="n">
        <v>16830</v>
      </c>
      <c r="AI338" t="inlineStr">
        <is>
          <t>Полное проживание в выбранном периоде</t>
        </is>
      </c>
    </row>
    <row r="339">
      <c r="A339" t="inlineStr">
        <is>
          <t>20260818-8186-438764363</t>
        </is>
      </c>
      <c r="B339" t="n">
        <v>1</v>
      </c>
      <c r="C339" s="2" t="inlineStr">
        <is>
          <t>Елена Шершикова</t>
        </is>
      </c>
      <c r="D339" s="3" t="n">
        <v>31481.5</v>
      </c>
      <c r="E339" s="4" t="n">
        <v>4</v>
      </c>
      <c r="F339" t="inlineStr">
        <is>
          <t>TravelLine Booking Engine [Чайковский]</t>
        </is>
      </c>
      <c r="G339" s="3">
        <f>ROUND(D339/(100-E339)*100,2)</f>
        <v/>
      </c>
      <c r="H339" s="3" t="n">
        <v>0</v>
      </c>
      <c r="I339" s="3">
        <f>ROUND(IF(ISNUMBER(AG339),AG339,G339)+H339,2)</f>
        <v/>
      </c>
      <c r="J339" s="2" t="inlineStr">
        <is>
          <t>Завтрак "Шведский стол"</t>
        </is>
      </c>
      <c r="K339" s="5" t="n">
        <v>46252.58333333334</v>
      </c>
      <c r="L339" t="n">
        <v>4</v>
      </c>
      <c r="M339" s="3">
        <f>I339/L339</f>
        <v/>
      </c>
      <c r="N339">
        <f>IF(M339&gt;=5100,"ставка","мин.ставка")</f>
        <v/>
      </c>
      <c r="O339" s="3">
        <f>ROUND(IF(N339="мин.ставка",L339*100,I339/102*2),2)</f>
        <v/>
      </c>
      <c r="P339" s="5" t="n">
        <v>46256.5</v>
      </c>
      <c r="Q339" t="inlineStr">
        <is>
          <t>TravelLine сайт</t>
        </is>
      </c>
      <c r="R339" s="2" t="inlineStr">
        <is>
          <t>СТАНДАРТНЫЙ ДВУХМЕСТНЫЙ НОМЕР (МАНСАРДА)</t>
        </is>
      </c>
      <c r="S339" t="n">
        <v>47</v>
      </c>
      <c r="T339" t="n">
        <v>1</v>
      </c>
      <c r="U339" t="inlineStr"/>
      <c r="V339" t="inlineStr">
        <is>
          <t>Тариф с завтраком</t>
        </is>
      </c>
      <c r="W339" t="n">
        <v>31481.5</v>
      </c>
      <c r="X339" s="3" t="n">
        <v>118.5</v>
      </c>
      <c r="Y339" t="inlineStr">
        <is>
          <t>1.5%</t>
        </is>
      </c>
      <c r="Z339" t="inlineStr">
        <is>
          <t>2026-08-18</t>
        </is>
      </c>
      <c r="AA339" s="3" t="n">
        <v>31481.5</v>
      </c>
      <c r="AB339" t="inlineStr">
        <is>
          <t>Сошлось по ночным тарифам</t>
        </is>
      </c>
      <c r="AC339" s="2" t="inlineStr"/>
      <c r="AD339" t="n">
        <v>118.5</v>
      </c>
      <c r="AE339" t="n">
        <v>0</v>
      </c>
      <c r="AF339" t="inlineStr">
        <is>
          <t>Скидка добавлена к налоговой базе</t>
        </is>
      </c>
      <c r="AG339" t="n">
        <v>31600</v>
      </c>
      <c r="AH339" t="n">
        <v>31481.5</v>
      </c>
      <c r="AI339" t="inlineStr">
        <is>
          <t>Полное проживание в выбранном периоде</t>
        </is>
      </c>
    </row>
    <row r="340">
      <c r="A340" t="inlineStr">
        <is>
          <t>20260817-8186-445978911</t>
        </is>
      </c>
      <c r="B340" t="n">
        <v>1</v>
      </c>
      <c r="C340" s="2" t="inlineStr">
        <is>
          <t>ЕЛИЗАВЕТА ГОРБАЧ, АННА МАЛЬНЕВА</t>
        </is>
      </c>
      <c r="D340" s="3" t="n">
        <v>53400</v>
      </c>
      <c r="E340" s="4" t="n">
        <v>18</v>
      </c>
      <c r="F340" t="inlineStr">
        <is>
          <t>Яндекс.Путешествия [Чайковский]</t>
        </is>
      </c>
      <c r="G340" s="3">
        <f>ROUND(D340/(100-E340)*100,2)</f>
        <v/>
      </c>
      <c r="H340" s="3" t="n">
        <v>0</v>
      </c>
      <c r="I340" s="3">
        <f>ROUND(IF(ISNUMBER(AG340),AG340,G340)+H340,2)</f>
        <v/>
      </c>
      <c r="J340" s="2" t="inlineStr">
        <is>
          <t>Завтрак "Шведский стол"</t>
        </is>
      </c>
      <c r="K340" s="5" t="n">
        <v>46251.58333333334</v>
      </c>
      <c r="L340" t="n">
        <v>5</v>
      </c>
      <c r="M340" s="3">
        <f>I340/L340</f>
        <v/>
      </c>
      <c r="N340">
        <f>IF(M340&gt;=5100,"ставка","мин.ставка")</f>
        <v/>
      </c>
      <c r="O340" s="3">
        <f>ROUND(IF(N340="мин.ставка",L340*100,I340/102*2),2)</f>
        <v/>
      </c>
      <c r="P340" s="5" t="n">
        <v>46256.5</v>
      </c>
      <c r="Q340" t="inlineStr">
        <is>
          <t>TravelLine YAX</t>
        </is>
      </c>
      <c r="R340" s="2" t="inlineStr">
        <is>
          <t>СТАНДАРТНЫЙ ДВУХМЕСТНЫЙ НОМЕР</t>
        </is>
      </c>
      <c r="S340" t="n">
        <v>36</v>
      </c>
      <c r="T340" t="n">
        <v>1</v>
      </c>
      <c r="U340" t="inlineStr"/>
      <c r="V340" t="inlineStr">
        <is>
          <t>Тариф с завтраком</t>
        </is>
      </c>
      <c r="W340" t="n">
        <v>53400</v>
      </c>
      <c r="X340" s="3" t="n">
        <v>13350</v>
      </c>
      <c r="Y340" t="inlineStr">
        <is>
          <t>20%</t>
        </is>
      </c>
      <c r="Z340" t="inlineStr">
        <is>
          <t>2026-08-17, 2026-08-18, 2026-08-19, 2026-08-20, 2026-08-21</t>
        </is>
      </c>
      <c r="AA340" s="3" t="n">
        <v>53400</v>
      </c>
      <c r="AB340" t="inlineStr">
        <is>
          <t>Сошлось по ночным тарифам</t>
        </is>
      </c>
      <c r="AC340" s="2" t="inlineStr"/>
      <c r="AD340" t="n">
        <v>13350</v>
      </c>
      <c r="AE340" t="n">
        <v>0</v>
      </c>
      <c r="AF340" t="inlineStr">
        <is>
          <t>Скидка добавлена к налоговой базе</t>
        </is>
      </c>
      <c r="AG340" t="n">
        <v>66750</v>
      </c>
      <c r="AH340" t="n">
        <v>53400</v>
      </c>
      <c r="AI340" t="inlineStr">
        <is>
          <t>Полное проживание в выбранном периоде</t>
        </is>
      </c>
    </row>
    <row r="341">
      <c r="A341" t="inlineStr">
        <is>
          <t>20260910-8186-439466148</t>
        </is>
      </c>
      <c r="B341" t="n">
        <v>1</v>
      </c>
      <c r="C341" s="2" t="inlineStr">
        <is>
          <t>Елизавета Сыщикова, АЛЕКСАНДР ВОЗНЮК</t>
        </is>
      </c>
      <c r="D341" s="3" t="n">
        <v>29700</v>
      </c>
      <c r="E341" s="4" t="n">
        <v>0</v>
      </c>
      <c r="F341" t="inlineStr">
        <is>
          <t>Прямые бронирования (стойка) [Чайковский]</t>
        </is>
      </c>
      <c r="G341" s="3">
        <f>ROUND(D341/(100-E341)*100,2)</f>
        <v/>
      </c>
      <c r="H341" s="3" t="n">
        <v>0</v>
      </c>
      <c r="I341" s="3">
        <f>ROUND(IF(ISNUMBER(AG341),AG341,G341)+H341,2)</f>
        <v/>
      </c>
      <c r="J341" s="2" t="inlineStr">
        <is>
          <t>Завтрак "Шведский стол"</t>
        </is>
      </c>
      <c r="K341" s="5" t="n">
        <v>46275.58333333334</v>
      </c>
      <c r="L341" t="n">
        <v>2</v>
      </c>
      <c r="M341" s="3">
        <f>I341/L341</f>
        <v/>
      </c>
      <c r="N341">
        <f>IF(M341&gt;=5100,"ставка","мин.ставка")</f>
        <v/>
      </c>
      <c r="O341" s="3">
        <f>ROUND(IF(N341="мин.ставка",L341*100,I341/102*2),2)</f>
        <v/>
      </c>
      <c r="P341" s="5" t="n">
        <v>46277.5</v>
      </c>
      <c r="Q341" t="inlineStr">
        <is>
          <t>TravelLine ресепшен</t>
        </is>
      </c>
      <c r="R341" s="2" t="inlineStr">
        <is>
          <t>ПОЛУЛЮКС</t>
        </is>
      </c>
      <c r="S341" t="n">
        <v>35</v>
      </c>
      <c r="T341" t="n">
        <v>1</v>
      </c>
      <c r="U341" t="inlineStr"/>
      <c r="V341" t="inlineStr">
        <is>
          <t>Тариф с завтраком</t>
        </is>
      </c>
      <c r="W341" t="n">
        <v>29700</v>
      </c>
      <c r="X341" s="3" t="n">
        <v>3300</v>
      </c>
      <c r="Y341" t="inlineStr">
        <is>
          <t>10%</t>
        </is>
      </c>
      <c r="Z341" t="inlineStr">
        <is>
          <t>2026-09-10, 2026-09-11</t>
        </is>
      </c>
      <c r="AA341" s="3" t="n">
        <v>29700</v>
      </c>
      <c r="AB341" t="inlineStr">
        <is>
          <t>Сошлось по ночным тарифам</t>
        </is>
      </c>
      <c r="AC341" s="2" t="inlineStr"/>
      <c r="AD341" t="n">
        <v>3300</v>
      </c>
      <c r="AE341" t="n">
        <v>0</v>
      </c>
      <c r="AF341" t="inlineStr">
        <is>
          <t>Скидка добавлена к налоговой базе</t>
        </is>
      </c>
      <c r="AG341" t="n">
        <v>33000</v>
      </c>
      <c r="AH341" t="n">
        <v>29700</v>
      </c>
      <c r="AI341" t="inlineStr">
        <is>
          <t>Полное проживание в выбранном периоде</t>
        </is>
      </c>
    </row>
    <row r="342">
      <c r="A342" t="inlineStr">
        <is>
          <t>20260913-8186-455450563</t>
        </is>
      </c>
      <c r="B342" t="n">
        <v>1</v>
      </c>
      <c r="C342" s="2" t="inlineStr">
        <is>
          <t>Жанна Денисова</t>
        </is>
      </c>
      <c r="D342" s="3" t="n">
        <v>56750</v>
      </c>
      <c r="E342" s="4" t="n">
        <v>0</v>
      </c>
      <c r="F342" t="inlineStr">
        <is>
          <t>Прямые бронирования (стойка) [Чайковский]</t>
        </is>
      </c>
      <c r="G342" s="3">
        <f>ROUND(D342/(100-E342)*100,2)</f>
        <v/>
      </c>
      <c r="H342" s="3" t="n">
        <v>5675</v>
      </c>
      <c r="I342" s="3">
        <f>ROUND(IF(ISNUMBER(AG342),AG342,G342)+H342,2)</f>
        <v/>
      </c>
      <c r="J342" s="2" t="inlineStr">
        <is>
          <t>Завтрак "Шведский стол"; Поздний выезд — 5 675,00 ₽</t>
        </is>
      </c>
      <c r="K342" s="5" t="n">
        <v>46278.58333333334</v>
      </c>
      <c r="L342" t="n">
        <v>5</v>
      </c>
      <c r="M342" s="3">
        <f>I342/L342</f>
        <v/>
      </c>
      <c r="N342">
        <f>IF(M342&gt;=5100,"ставка","мин.ставка")</f>
        <v/>
      </c>
      <c r="O342" s="3">
        <f>ROUND(IF(N342="мин.ставка",L342*100,I342/102*2),2)</f>
        <v/>
      </c>
      <c r="P342" s="5" t="n">
        <v>46283.75</v>
      </c>
      <c r="Q342" t="inlineStr">
        <is>
          <t>TravelLine ресепшен</t>
        </is>
      </c>
      <c r="R342" s="2" t="inlineStr">
        <is>
          <t>СТАНДАРТНЫЙ ДВУХМЕСТНЫЙ НОМЕР</t>
        </is>
      </c>
      <c r="S342" t="n">
        <v>36</v>
      </c>
      <c r="T342" t="n">
        <v>1</v>
      </c>
      <c r="U342" t="inlineStr"/>
      <c r="V342" t="inlineStr">
        <is>
          <t>Тариф с завтраком</t>
        </is>
      </c>
      <c r="W342" t="n">
        <v>62425</v>
      </c>
      <c r="X342" s="3" t="n">
        <v>0</v>
      </c>
      <c r="Y342" t="inlineStr"/>
      <c r="Z342" t="inlineStr"/>
      <c r="AA342" s="3" t="n">
        <v>56750</v>
      </c>
      <c r="AB342" t="inlineStr">
        <is>
          <t>Расхождение -5675.00 ₽</t>
        </is>
      </c>
      <c r="AC342" s="2" t="inlineStr"/>
      <c r="AD342" t="n">
        <v>0</v>
      </c>
      <c r="AE342" t="n">
        <v>0</v>
      </c>
      <c r="AF342" t="inlineStr">
        <is>
          <t>Скидки нет</t>
        </is>
      </c>
      <c r="AG342" t="n">
        <v>56750</v>
      </c>
      <c r="AH342" t="n">
        <v>56750</v>
      </c>
      <c r="AI342" t="inlineStr">
        <is>
          <t>Полное проживание в выбранном периоде</t>
        </is>
      </c>
    </row>
    <row r="343">
      <c r="A343" t="inlineStr">
        <is>
          <t>20260921-8186-458585384</t>
        </is>
      </c>
      <c r="B343" t="n">
        <v>1</v>
      </c>
      <c r="C343" s="2" t="inlineStr">
        <is>
          <t>Жанна Садовникова</t>
        </is>
      </c>
      <c r="D343" s="3" t="n">
        <v>6557</v>
      </c>
      <c r="E343" s="4" t="n">
        <v>0</v>
      </c>
      <c r="F343" t="inlineStr">
        <is>
          <t>Прямые бронирования (стойка) [Чайковский]</t>
        </is>
      </c>
      <c r="G343" s="3">
        <f>ROUND(D343/(100-E343)*100,2)</f>
        <v/>
      </c>
      <c r="H343" s="3" t="n">
        <v>0</v>
      </c>
      <c r="I343" s="3">
        <f>ROUND(IF(ISNUMBER(AG343),AG343,G343)+H343,2)</f>
        <v/>
      </c>
      <c r="J343" s="2" t="inlineStr">
        <is>
          <t>Завтрак "Шведский стол"</t>
        </is>
      </c>
      <c r="K343" s="5" t="n">
        <v>46286.58333333334</v>
      </c>
      <c r="L343" t="n">
        <v>1</v>
      </c>
      <c r="M343" s="3">
        <f>I343/L343</f>
        <v/>
      </c>
      <c r="N343">
        <f>IF(M343&gt;=5100,"ставка","мин.ставка")</f>
        <v/>
      </c>
      <c r="O343" s="3">
        <f>ROUND(IF(N343="мин.ставка",L343*100,I343/102*2),2)</f>
        <v/>
      </c>
      <c r="P343" s="5" t="n">
        <v>46287.5</v>
      </c>
      <c r="Q343" t="inlineStr">
        <is>
          <t>TravelLine CMB</t>
        </is>
      </c>
      <c r="R343" s="2" t="inlineStr">
        <is>
          <t>СТАНДАРТНЫЙ ДВУХМЕСТНЫЙ НОМЕР (МАНСАРДА)</t>
        </is>
      </c>
      <c r="S343" t="n">
        <v>43</v>
      </c>
      <c r="T343" t="n">
        <v>1</v>
      </c>
      <c r="U343" t="inlineStr"/>
      <c r="V343" t="inlineStr">
        <is>
          <t>Тариф с завтраком</t>
        </is>
      </c>
      <c r="W343" t="n">
        <v>6557</v>
      </c>
      <c r="X343" s="3" t="n">
        <v>1343</v>
      </c>
      <c r="Y343" t="inlineStr">
        <is>
          <t>17%</t>
        </is>
      </c>
      <c r="Z343" t="inlineStr">
        <is>
          <t>2026-09-21</t>
        </is>
      </c>
      <c r="AA343" s="3" t="n">
        <v>6557</v>
      </c>
      <c r="AB343" t="inlineStr">
        <is>
          <t>Сошлось по ночным тарифам</t>
        </is>
      </c>
      <c r="AC343" s="2" t="inlineStr"/>
      <c r="AD343" t="n">
        <v>1343</v>
      </c>
      <c r="AE343" t="n">
        <v>0</v>
      </c>
      <c r="AF343" t="inlineStr">
        <is>
          <t>Скидка добавлена к налоговой базе</t>
        </is>
      </c>
      <c r="AG343" t="n">
        <v>7900</v>
      </c>
      <c r="AH343" t="n">
        <v>6557</v>
      </c>
      <c r="AI343" t="inlineStr">
        <is>
          <t>Полное проживание в выбранном периоде</t>
        </is>
      </c>
    </row>
    <row r="344">
      <c r="A344" t="inlineStr">
        <is>
          <t>20260727-8186-414990787</t>
        </is>
      </c>
      <c r="B344" t="n">
        <v>1</v>
      </c>
      <c r="C344" s="2" t="inlineStr">
        <is>
          <t>Зеки Мамутов, Светлана Мамутова</t>
        </is>
      </c>
      <c r="D344" s="3" t="n">
        <v>10680</v>
      </c>
      <c r="E344" s="4" t="n">
        <v>18</v>
      </c>
      <c r="F344" t="inlineStr">
        <is>
          <t>Яндекс.Путешествия [Чайковский]</t>
        </is>
      </c>
      <c r="G344" s="3">
        <f>ROUND(D344/(100-E344)*100,2)</f>
        <v/>
      </c>
      <c r="H344" s="3" t="n">
        <v>0</v>
      </c>
      <c r="I344" s="3">
        <f>ROUND(IF(ISNUMBER(AG344),AG344,G344)+H344,2)</f>
        <v/>
      </c>
      <c r="J344" s="2" t="inlineStr">
        <is>
          <t>Завтрак "Шведский стол"</t>
        </is>
      </c>
      <c r="K344" s="5" t="n">
        <v>46230.58333333334</v>
      </c>
      <c r="L344" t="n">
        <v>1</v>
      </c>
      <c r="M344" s="3">
        <f>I344/L344</f>
        <v/>
      </c>
      <c r="N344">
        <f>IF(M344&gt;=5100,"ставка","мин.ставка")</f>
        <v/>
      </c>
      <c r="O344" s="3">
        <f>ROUND(IF(N344="мин.ставка",L344*100,I344/102*2),2)</f>
        <v/>
      </c>
      <c r="P344" s="5" t="n">
        <v>46231.5</v>
      </c>
      <c r="Q344" t="inlineStr">
        <is>
          <t>TravelLine YAX</t>
        </is>
      </c>
      <c r="R344" s="2" t="inlineStr">
        <is>
          <t>СТАНДАРТНЫЙ ДВУХМЕСТНЫЙ НОМЕР</t>
        </is>
      </c>
      <c r="S344" t="n">
        <v>23</v>
      </c>
      <c r="T344" t="n">
        <v>1</v>
      </c>
      <c r="U344" t="inlineStr"/>
      <c r="V344" t="inlineStr">
        <is>
          <t>Тариф с завтраком</t>
        </is>
      </c>
      <c r="W344" t="n">
        <v>10680</v>
      </c>
      <c r="X344" s="3" t="n">
        <v>2670</v>
      </c>
      <c r="Y344" t="inlineStr">
        <is>
          <t>20%</t>
        </is>
      </c>
      <c r="Z344" t="inlineStr">
        <is>
          <t>2026-07-27</t>
        </is>
      </c>
      <c r="AA344" s="3" t="n">
        <v>10680</v>
      </c>
      <c r="AB344" t="inlineStr">
        <is>
          <t>Сошлось по ночным тарифам</t>
        </is>
      </c>
      <c r="AC344" s="2" t="inlineStr"/>
      <c r="AD344" t="n">
        <v>2670</v>
      </c>
      <c r="AE344" t="n">
        <v>0</v>
      </c>
      <c r="AF344" t="inlineStr">
        <is>
          <t>Скидка добавлена к налоговой базе</t>
        </is>
      </c>
      <c r="AG344" t="n">
        <v>13350</v>
      </c>
      <c r="AH344" t="n">
        <v>10680</v>
      </c>
      <c r="AI344" t="inlineStr">
        <is>
          <t>Полное проживание в выбранном периоде</t>
        </is>
      </c>
    </row>
    <row r="345">
      <c r="A345" t="inlineStr">
        <is>
          <t>20260730-8186-450690442</t>
        </is>
      </c>
      <c r="B345" t="n">
        <v>1</v>
      </c>
      <c r="C345" s="2" t="inlineStr">
        <is>
          <t>Зиля Мазитова, Лейсан Садретдинова</t>
        </is>
      </c>
      <c r="D345" s="3" t="n">
        <v>45390</v>
      </c>
      <c r="E345" s="4" t="n">
        <v>0</v>
      </c>
      <c r="F345" t="inlineStr">
        <is>
          <t>ООО «ХОМЛИН ЛЭНД» (ПЕГАС) [Чайковский]</t>
        </is>
      </c>
      <c r="G345" s="3">
        <f>ROUND(D345/(100-E345)*100,2)</f>
        <v/>
      </c>
      <c r="H345" s="3" t="n">
        <v>0</v>
      </c>
      <c r="I345" s="3">
        <f>ROUND(IF(ISNUMBER(AG345),AG345,G345)+H345,2)</f>
        <v/>
      </c>
      <c r="J345" s="2" t="inlineStr">
        <is>
          <t>Завтрак "Шведский стол"</t>
        </is>
      </c>
      <c r="K345" s="5" t="n">
        <v>46233.58333333334</v>
      </c>
      <c r="L345" t="n">
        <v>4</v>
      </c>
      <c r="M345" s="3">
        <f>I345/L345</f>
        <v/>
      </c>
      <c r="N345">
        <f>IF(M345&gt;=5100,"ставка","мин.ставка")</f>
        <v/>
      </c>
      <c r="O345" s="3">
        <f>ROUND(IF(N345="мин.ставка",L345*100,I345/102*2),2)</f>
        <v/>
      </c>
      <c r="P345" s="5" t="n">
        <v>46237.5</v>
      </c>
      <c r="Q345" t="inlineStr">
        <is>
          <t>TravelLine PGS</t>
        </is>
      </c>
      <c r="R345" s="2" t="inlineStr">
        <is>
          <t>СТАНДАРТНЫЙ ДВУХМЕСТНЫЙ НОМЕР</t>
        </is>
      </c>
      <c r="S345" t="n">
        <v>22</v>
      </c>
      <c r="T345" t="n">
        <v>1</v>
      </c>
      <c r="U345" t="inlineStr"/>
      <c r="V345" t="inlineStr">
        <is>
          <t>Тариф с завтраком</t>
        </is>
      </c>
      <c r="W345" t="n">
        <v>45390</v>
      </c>
      <c r="X345" s="3" t="n">
        <v>8010</v>
      </c>
      <c r="Y345" t="inlineStr">
        <is>
          <t>15%</t>
        </is>
      </c>
      <c r="Z345" t="inlineStr">
        <is>
          <t>2026-07-30, 2026-07-31, 2026-08-01, 2026-08-02</t>
        </is>
      </c>
      <c r="AA345" s="3" t="n">
        <v>45390</v>
      </c>
      <c r="AB345" t="inlineStr">
        <is>
          <t>Сошлось по ночным тарифам</t>
        </is>
      </c>
      <c r="AC345" s="2" t="inlineStr"/>
      <c r="AD345" t="n">
        <v>8010</v>
      </c>
      <c r="AE345" t="n">
        <v>0</v>
      </c>
      <c r="AF345" t="inlineStr">
        <is>
          <t>Скидка добавлена к налоговой базе</t>
        </is>
      </c>
      <c r="AG345" t="n">
        <v>53400</v>
      </c>
      <c r="AH345" t="n">
        <v>45390</v>
      </c>
      <c r="AI345" t="inlineStr">
        <is>
          <t>Полное проживание в выбранном периоде</t>
        </is>
      </c>
    </row>
    <row r="346">
      <c r="A346" t="inlineStr">
        <is>
          <t>20260828-8186-461344488</t>
        </is>
      </c>
      <c r="B346" t="n">
        <v>1</v>
      </c>
      <c r="C346" s="2" t="inlineStr">
        <is>
          <t>ЗОЯ КОВНАЦКАЯ, Илья Романов</t>
        </is>
      </c>
      <c r="D346" s="3" t="n">
        <v>26286.15</v>
      </c>
      <c r="E346" s="4" t="n">
        <v>4</v>
      </c>
      <c r="F346" t="inlineStr">
        <is>
          <t>TravelLine Booking Engine [Чайковский]</t>
        </is>
      </c>
      <c r="G346" s="3">
        <f>ROUND(D346/(100-E346)*100,2)</f>
        <v/>
      </c>
      <c r="H346" s="3" t="n">
        <v>0</v>
      </c>
      <c r="I346" s="3">
        <f>ROUND(IF(ISNUMBER(AG346),AG346,G346)+H346,2)</f>
        <v/>
      </c>
      <c r="J346" s="2" t="inlineStr">
        <is>
          <t>Завтрак "Шведский стол"</t>
        </is>
      </c>
      <c r="K346" s="5" t="n">
        <v>46262.58333333334</v>
      </c>
      <c r="L346" t="n">
        <v>2</v>
      </c>
      <c r="M346" s="3">
        <f>I346/L346</f>
        <v/>
      </c>
      <c r="N346">
        <f>IF(M346&gt;=5100,"ставка","мин.ставка")</f>
        <v/>
      </c>
      <c r="O346" s="3">
        <f>ROUND(IF(N346="мин.ставка",L346*100,I346/102*2),2)</f>
        <v/>
      </c>
      <c r="P346" s="5" t="n">
        <v>46264.5</v>
      </c>
      <c r="Q346" t="inlineStr">
        <is>
          <t>TravelLine сайт</t>
        </is>
      </c>
      <c r="R346" s="2" t="inlineStr">
        <is>
          <t>СТАНДАРТНЫЙ ДВУХМЕСТНЫЙ НОМЕР</t>
        </is>
      </c>
      <c r="S346" t="n">
        <v>26</v>
      </c>
      <c r="T346" t="n">
        <v>1</v>
      </c>
      <c r="U346" t="inlineStr"/>
      <c r="V346" t="inlineStr">
        <is>
          <t>Тариф с завтраком</t>
        </is>
      </c>
      <c r="W346" t="n">
        <v>26286.15</v>
      </c>
      <c r="X346" s="3" t="n">
        <v>413.85</v>
      </c>
      <c r="Y346" t="inlineStr">
        <is>
          <t>3.1%</t>
        </is>
      </c>
      <c r="Z346" t="inlineStr">
        <is>
          <t>2026-08-28</t>
        </is>
      </c>
      <c r="AA346" s="3" t="n">
        <v>26286.15</v>
      </c>
      <c r="AB346" t="inlineStr">
        <is>
          <t>Сошлось по ночным тарифам</t>
        </is>
      </c>
      <c r="AC346" s="2" t="inlineStr"/>
      <c r="AD346" t="n">
        <v>413.85</v>
      </c>
      <c r="AE346" t="n">
        <v>0</v>
      </c>
      <c r="AF346" t="inlineStr">
        <is>
          <t>Скидка добавлена к налоговой базе</t>
        </is>
      </c>
      <c r="AG346" t="n">
        <v>26700</v>
      </c>
      <c r="AH346" t="n">
        <v>26286.15</v>
      </c>
      <c r="AI346" t="inlineStr">
        <is>
          <t>Полное проживание в выбранном периоде</t>
        </is>
      </c>
    </row>
    <row r="347">
      <c r="A347" t="inlineStr">
        <is>
          <t>20260913-8186-465006249</t>
        </is>
      </c>
      <c r="B347" t="n">
        <v>1</v>
      </c>
      <c r="C347" s="2" t="inlineStr">
        <is>
          <t>Зураб Кикалишвили, Ирина Черенкова</t>
        </is>
      </c>
      <c r="D347" s="3" t="n">
        <v>63910</v>
      </c>
      <c r="E347" s="4" t="n">
        <v>17</v>
      </c>
      <c r="F347" t="inlineStr">
        <is>
          <t>ООО «Интернет Трэвел» (OZON) [Чайковский]</t>
        </is>
      </c>
      <c r="G347" s="3">
        <f>ROUND(D347/(100-E347)*100,2)</f>
        <v/>
      </c>
      <c r="H347" s="3" t="n">
        <v>0</v>
      </c>
      <c r="I347" s="3">
        <f>ROUND(IF(ISNUMBER(AG347),AG347,G347)+H347,2)</f>
        <v/>
      </c>
      <c r="J347" s="2" t="inlineStr">
        <is>
          <t>Завтрак "Шведский стол"</t>
        </is>
      </c>
      <c r="K347" s="5" t="n">
        <v>46278.58333333334</v>
      </c>
      <c r="L347" t="n">
        <v>5</v>
      </c>
      <c r="M347" s="3">
        <f>I347/L347</f>
        <v/>
      </c>
      <c r="N347">
        <f>IF(M347&gt;=5100,"ставка","мин.ставка")</f>
        <v/>
      </c>
      <c r="O347" s="3">
        <f>ROUND(IF(N347="мин.ставка",L347*100,I347/102*2),2)</f>
        <v/>
      </c>
      <c r="P347" s="5" t="n">
        <v>46283.5</v>
      </c>
      <c r="Q347" t="inlineStr">
        <is>
          <t>TravelLine OZ2</t>
        </is>
      </c>
      <c r="R347" s="2" t="inlineStr">
        <is>
          <t>УЛУЧШЕННЫЙ ДВУХМЕСТНЫЙ НОМЕР</t>
        </is>
      </c>
      <c r="S347" t="n">
        <v>21</v>
      </c>
      <c r="T347" t="n">
        <v>1</v>
      </c>
      <c r="U347" t="inlineStr"/>
      <c r="V347" t="inlineStr">
        <is>
          <t>Тариф с завтраком</t>
        </is>
      </c>
      <c r="W347" t="n">
        <v>63910</v>
      </c>
      <c r="X347" s="3" t="n">
        <v>13090</v>
      </c>
      <c r="Y347" t="inlineStr">
        <is>
          <t>17%</t>
        </is>
      </c>
      <c r="Z347" t="inlineStr">
        <is>
          <t>2026-09-13, 2026-09-14, 2026-09-15, 2026-09-16, 2026-09-17</t>
        </is>
      </c>
      <c r="AA347" s="3" t="n">
        <v>63910</v>
      </c>
      <c r="AB347" t="inlineStr">
        <is>
          <t>Сошлось по ночным тарифам</t>
        </is>
      </c>
      <c r="AC347" s="2" t="inlineStr"/>
      <c r="AD347" t="n">
        <v>13090</v>
      </c>
      <c r="AE347" t="n">
        <v>0</v>
      </c>
      <c r="AF347" t="inlineStr">
        <is>
          <t>Скидка добавлена к налоговой базе</t>
        </is>
      </c>
      <c r="AG347" t="n">
        <v>77000</v>
      </c>
      <c r="AH347" t="n">
        <v>63910</v>
      </c>
      <c r="AI347" t="inlineStr">
        <is>
          <t>Полное проживание в выбранном периоде</t>
        </is>
      </c>
    </row>
    <row r="348">
      <c r="A348" t="inlineStr">
        <is>
          <t>20260903-8186-463379903</t>
        </is>
      </c>
      <c r="B348" t="n">
        <v>1</v>
      </c>
      <c r="C348" s="2" t="inlineStr">
        <is>
          <t>и Грунтович</t>
        </is>
      </c>
      <c r="D348" s="3" t="n">
        <v>12936</v>
      </c>
      <c r="E348" s="4" t="n">
        <v>0</v>
      </c>
      <c r="F348" t="inlineStr">
        <is>
          <t>Прямые бронирования (стойка) [Чайковский]</t>
        </is>
      </c>
      <c r="G348" s="3">
        <f>ROUND(D348/(100-E348)*100,2)</f>
        <v/>
      </c>
      <c r="H348" s="3" t="n">
        <v>0</v>
      </c>
      <c r="I348" s="3">
        <f>ROUND(IF(ISNUMBER(AG348),AG348,G348)+H348,2)</f>
        <v/>
      </c>
      <c r="J348" s="2" t="inlineStr">
        <is>
          <t>Завтрак "Шведский стол"</t>
        </is>
      </c>
      <c r="K348" s="5" t="n">
        <v>46268.58333333334</v>
      </c>
      <c r="L348" t="n">
        <v>1</v>
      </c>
      <c r="M348" s="3">
        <f>I348/L348</f>
        <v/>
      </c>
      <c r="N348">
        <f>IF(M348&gt;=5100,"ставка","мин.ставка")</f>
        <v/>
      </c>
      <c r="O348" s="3">
        <f>ROUND(IF(N348="мин.ставка",L348*100,I348/102*2),2)</f>
        <v/>
      </c>
      <c r="P348" s="5" t="n">
        <v>46269.5</v>
      </c>
      <c r="Q348" t="inlineStr">
        <is>
          <t>TravelLine ресепшен</t>
        </is>
      </c>
      <c r="R348" s="2" t="inlineStr">
        <is>
          <t>УЛУЧШЕННЫЙ ДВУХМЕСТНЫЙ НОМЕР</t>
        </is>
      </c>
      <c r="S348" t="n">
        <v>31</v>
      </c>
      <c r="T348" t="n">
        <v>1</v>
      </c>
      <c r="U348" t="inlineStr"/>
      <c r="V348" t="inlineStr">
        <is>
          <t>Тариф с завтраком</t>
        </is>
      </c>
      <c r="W348" t="n">
        <v>12936</v>
      </c>
      <c r="X348" s="3" t="n">
        <v>2464</v>
      </c>
      <c r="Y348" t="inlineStr">
        <is>
          <t>16%</t>
        </is>
      </c>
      <c r="Z348" t="inlineStr">
        <is>
          <t>2026-09-03</t>
        </is>
      </c>
      <c r="AA348" s="3" t="n">
        <v>12936</v>
      </c>
      <c r="AB348" t="inlineStr">
        <is>
          <t>Сошлось по ночным тарифам</t>
        </is>
      </c>
      <c r="AC348" s="2" t="inlineStr"/>
      <c r="AD348" t="n">
        <v>2464</v>
      </c>
      <c r="AE348" t="n">
        <v>0</v>
      </c>
      <c r="AF348" t="inlineStr">
        <is>
          <t>Скидка добавлена к налоговой базе</t>
        </is>
      </c>
      <c r="AG348" t="n">
        <v>15400</v>
      </c>
      <c r="AH348" t="n">
        <v>12936</v>
      </c>
      <c r="AI348" t="inlineStr">
        <is>
          <t>Полное проживание в выбранном периоде</t>
        </is>
      </c>
    </row>
    <row r="349">
      <c r="A349" t="inlineStr">
        <is>
          <t>20260724-8186-452688342</t>
        </is>
      </c>
      <c r="B349" t="n">
        <v>1</v>
      </c>
      <c r="C349" s="2" t="inlineStr">
        <is>
          <t>и Картвелишвилли</t>
        </is>
      </c>
      <c r="D349" s="3" t="n">
        <v>13350</v>
      </c>
      <c r="E349" s="4" t="n">
        <v>0</v>
      </c>
      <c r="F349" t="inlineStr">
        <is>
          <t>Прямые бронирования (стойка) [Чайковский]</t>
        </is>
      </c>
      <c r="G349" s="3">
        <f>ROUND(D349/(100-E349)*100,2)</f>
        <v/>
      </c>
      <c r="H349" s="3" t="n">
        <v>0</v>
      </c>
      <c r="I349" s="3">
        <f>ROUND(IF(ISNUMBER(AG349),AG349,G349)+H349,2)</f>
        <v/>
      </c>
      <c r="J349" s="2" t="inlineStr">
        <is>
          <t>Завтрак "Шведский стол"</t>
        </is>
      </c>
      <c r="K349" s="5" t="n">
        <v>46227.58333333334</v>
      </c>
      <c r="L349" t="n">
        <v>1</v>
      </c>
      <c r="M349" s="3">
        <f>I349/L349</f>
        <v/>
      </c>
      <c r="N349">
        <f>IF(M349&gt;=5100,"ставка","мин.ставка")</f>
        <v/>
      </c>
      <c r="O349" s="3">
        <f>ROUND(IF(N349="мин.ставка",L349*100,I349/102*2),2)</f>
        <v/>
      </c>
      <c r="P349" s="5" t="n">
        <v>46228.5</v>
      </c>
      <c r="Q349" t="inlineStr">
        <is>
          <t>TravelLine ресепшен</t>
        </is>
      </c>
      <c r="R349" s="2" t="inlineStr">
        <is>
          <t>СТАНДАРТНЫЙ ДВУХМЕСТНЫЙ НОМЕР</t>
        </is>
      </c>
      <c r="S349" t="n">
        <v>32</v>
      </c>
      <c r="T349" t="n">
        <v>1</v>
      </c>
      <c r="U349" t="inlineStr"/>
      <c r="V349" t="inlineStr">
        <is>
          <t>Тариф с завтраком</t>
        </is>
      </c>
      <c r="W349" t="n">
        <v>13350</v>
      </c>
      <c r="X349" s="3" t="n">
        <v>0</v>
      </c>
      <c r="Y349" t="inlineStr"/>
      <c r="Z349" t="inlineStr"/>
      <c r="AA349" s="3" t="n">
        <v>13350</v>
      </c>
      <c r="AB349" t="inlineStr">
        <is>
          <t>Сошлось по ночным тарифам</t>
        </is>
      </c>
      <c r="AC349" s="2" t="inlineStr"/>
      <c r="AD349" t="n">
        <v>0</v>
      </c>
      <c r="AE349" t="n">
        <v>0</v>
      </c>
      <c r="AF349" t="inlineStr">
        <is>
          <t>Скидки нет</t>
        </is>
      </c>
      <c r="AG349" t="n">
        <v>13350</v>
      </c>
      <c r="AH349" t="n">
        <v>13350</v>
      </c>
      <c r="AI349" t="inlineStr">
        <is>
          <t>Полное проживание в выбранном периоде</t>
        </is>
      </c>
    </row>
    <row r="350">
      <c r="A350" t="inlineStr">
        <is>
          <t>20260825-8186-461132014</t>
        </is>
      </c>
      <c r="B350" t="n">
        <v>1</v>
      </c>
      <c r="C350" s="2" t="inlineStr">
        <is>
          <t>и Киташина</t>
        </is>
      </c>
      <c r="D350" s="3" t="n">
        <v>40050</v>
      </c>
      <c r="E350" s="4" t="n">
        <v>0</v>
      </c>
      <c r="F350" t="inlineStr">
        <is>
          <t>Прямые бронирования (стойка) [Чайковский]</t>
        </is>
      </c>
      <c r="G350" s="3">
        <f>ROUND(D350/(100-E350)*100,2)</f>
        <v/>
      </c>
      <c r="H350" s="3" t="n">
        <v>0</v>
      </c>
      <c r="I350" s="3">
        <f>ROUND(IF(ISNUMBER(AG350),AG350,G350)+H350,2)</f>
        <v/>
      </c>
      <c r="J350" s="2" t="inlineStr">
        <is>
          <t>Завтрак "Шведский стол"</t>
        </is>
      </c>
      <c r="K350" s="5" t="n">
        <v>46259.58333333334</v>
      </c>
      <c r="L350" t="n">
        <v>3</v>
      </c>
      <c r="M350" s="3">
        <f>I350/L350</f>
        <v/>
      </c>
      <c r="N350">
        <f>IF(M350&gt;=5100,"ставка","мин.ставка")</f>
        <v/>
      </c>
      <c r="O350" s="3">
        <f>ROUND(IF(N350="мин.ставка",L350*100,I350/102*2),2)</f>
        <v/>
      </c>
      <c r="P350" s="5" t="n">
        <v>46262.5</v>
      </c>
      <c r="Q350" t="inlineStr">
        <is>
          <t>TravelLine ресепшен</t>
        </is>
      </c>
      <c r="R350" s="2" t="inlineStr">
        <is>
          <t>СТАНДАРТНЫЙ ДВУХМЕСТНЫЙ НОМЕР</t>
        </is>
      </c>
      <c r="S350" t="n">
        <v>22</v>
      </c>
      <c r="T350" t="n">
        <v>1</v>
      </c>
      <c r="U350" t="inlineStr"/>
      <c r="V350" t="inlineStr">
        <is>
          <t>Тариф с завтраком</t>
        </is>
      </c>
      <c r="W350" t="n">
        <v>40050</v>
      </c>
      <c r="X350" s="3" t="n">
        <v>0</v>
      </c>
      <c r="Y350" t="inlineStr"/>
      <c r="Z350" t="inlineStr"/>
      <c r="AA350" s="3" t="n">
        <v>40050</v>
      </c>
      <c r="AB350" t="inlineStr">
        <is>
          <t>Сошлось по ночным тарифам</t>
        </is>
      </c>
      <c r="AC350" s="2" t="inlineStr"/>
      <c r="AD350" t="n">
        <v>0</v>
      </c>
      <c r="AE350" t="n">
        <v>0</v>
      </c>
      <c r="AF350" t="inlineStr">
        <is>
          <t>Скидки нет</t>
        </is>
      </c>
      <c r="AG350" t="n">
        <v>40050</v>
      </c>
      <c r="AH350" t="n">
        <v>40050</v>
      </c>
      <c r="AI350" t="inlineStr">
        <is>
          <t>Полное проживание в выбранном периоде</t>
        </is>
      </c>
    </row>
    <row r="351">
      <c r="A351" t="inlineStr">
        <is>
          <t>20260805-8186-455800466</t>
        </is>
      </c>
      <c r="B351" t="n">
        <v>1</v>
      </c>
      <c r="C351" s="2" t="inlineStr">
        <is>
          <t>и Кочин</t>
        </is>
      </c>
      <c r="D351" s="3" t="n">
        <v>15400</v>
      </c>
      <c r="E351" s="4" t="n">
        <v>0</v>
      </c>
      <c r="F351" t="inlineStr">
        <is>
          <t>Прямые бронирования (стойка) [Чайковский]</t>
        </is>
      </c>
      <c r="G351" s="3">
        <f>ROUND(D351/(100-E351)*100,2)</f>
        <v/>
      </c>
      <c r="H351" s="3" t="n">
        <v>0</v>
      </c>
      <c r="I351" s="3">
        <f>ROUND(IF(ISNUMBER(AG351),AG351,G351)+H351,2)</f>
        <v/>
      </c>
      <c r="J351" s="2" t="inlineStr">
        <is>
          <t>Завтрак "Шведский стол"</t>
        </is>
      </c>
      <c r="K351" s="5" t="n">
        <v>46239.58333333334</v>
      </c>
      <c r="L351" t="n">
        <v>2</v>
      </c>
      <c r="M351" s="3">
        <f>I351/L351</f>
        <v/>
      </c>
      <c r="N351">
        <f>IF(M351&gt;=5100,"ставка","мин.ставка")</f>
        <v/>
      </c>
      <c r="O351" s="3">
        <f>ROUND(IF(N351="мин.ставка",L351*100,I351/102*2),2)</f>
        <v/>
      </c>
      <c r="P351" s="5" t="n">
        <v>46241.5</v>
      </c>
      <c r="Q351" t="inlineStr">
        <is>
          <t>TravelLine ресепшен</t>
        </is>
      </c>
      <c r="R351" s="2" t="inlineStr">
        <is>
          <t>СТАНДАРТНЫЙ ОДНОМЕСТНЫЙ НОМЕР</t>
        </is>
      </c>
      <c r="S351" t="n">
        <v>34</v>
      </c>
      <c r="T351" t="n">
        <v>1</v>
      </c>
      <c r="U351" t="inlineStr"/>
      <c r="V351" t="inlineStr">
        <is>
          <t>Тариф с завтраком</t>
        </is>
      </c>
      <c r="W351" t="n">
        <v>15400</v>
      </c>
      <c r="X351" s="3" t="n">
        <v>0</v>
      </c>
      <c r="Y351" t="inlineStr"/>
      <c r="Z351" t="inlineStr"/>
      <c r="AA351" s="3" t="n">
        <v>15400</v>
      </c>
      <c r="AB351" t="inlineStr">
        <is>
          <t>Сошлось по ночным тарифам</t>
        </is>
      </c>
      <c r="AC351" s="2" t="inlineStr"/>
      <c r="AD351" t="n">
        <v>0</v>
      </c>
      <c r="AE351" t="n">
        <v>0</v>
      </c>
      <c r="AF351" t="inlineStr">
        <is>
          <t>Скидки нет</t>
        </is>
      </c>
      <c r="AG351" t="n">
        <v>15400</v>
      </c>
      <c r="AH351" t="n">
        <v>15400</v>
      </c>
      <c r="AI351" t="inlineStr">
        <is>
          <t>Полное проживание в выбранном периоде</t>
        </is>
      </c>
    </row>
    <row r="352">
      <c r="A352" t="inlineStr">
        <is>
          <t>20260817-8186-442297769</t>
        </is>
      </c>
      <c r="B352" t="n">
        <v>1</v>
      </c>
      <c r="C352" s="2" t="inlineStr">
        <is>
          <t>ИВАН АНДРЕЕВ</t>
        </is>
      </c>
      <c r="D352" s="3" t="n">
        <v>45229.75</v>
      </c>
      <c r="E352" s="4" t="n">
        <v>4</v>
      </c>
      <c r="F352" t="inlineStr">
        <is>
          <t>TravelLine Booking Engine [Чайковский]</t>
        </is>
      </c>
      <c r="G352" s="3">
        <f>ROUND(D352/(100-E352)*100,2)</f>
        <v/>
      </c>
      <c r="H352" s="3" t="n">
        <v>0</v>
      </c>
      <c r="I352" s="3">
        <f>ROUND(IF(ISNUMBER(AG352),AG352,G352)+H352,2)</f>
        <v/>
      </c>
      <c r="J352" s="2" t="inlineStr">
        <is>
          <t>Завтрак "Шведский стол"</t>
        </is>
      </c>
      <c r="K352" s="5" t="n">
        <v>46251.58333333334</v>
      </c>
      <c r="L352" t="n">
        <v>4</v>
      </c>
      <c r="M352" s="3">
        <f>I352/L352</f>
        <v/>
      </c>
      <c r="N352">
        <f>IF(M352&gt;=5100,"ставка","мин.ставка")</f>
        <v/>
      </c>
      <c r="O352" s="3">
        <f>ROUND(IF(N352="мин.ставка",L352*100,I352/102*2),2)</f>
        <v/>
      </c>
      <c r="P352" s="5" t="n">
        <v>46255.5</v>
      </c>
      <c r="Q352" t="inlineStr">
        <is>
          <t>TravelLine сайт</t>
        </is>
      </c>
      <c r="R352" s="2" t="inlineStr">
        <is>
          <t>СТАНДАРТНЫЙ ДВУХМЕСТНЫЙ НОМЕР</t>
        </is>
      </c>
      <c r="S352" t="n">
        <v>33</v>
      </c>
      <c r="T352" t="n">
        <v>1</v>
      </c>
      <c r="U352" t="inlineStr"/>
      <c r="V352" t="inlineStr">
        <is>
          <t>Тариф с завтраком</t>
        </is>
      </c>
      <c r="W352" t="n">
        <v>98628.75</v>
      </c>
      <c r="X352" s="3" t="n">
        <v>170.25</v>
      </c>
      <c r="Y352" t="inlineStr">
        <is>
          <t>1.5%</t>
        </is>
      </c>
      <c r="Z352" t="inlineStr">
        <is>
          <t>2026-08-17</t>
        </is>
      </c>
      <c r="AA352" s="3" t="n">
        <v>45229.75</v>
      </c>
      <c r="AB352" t="inlineStr">
        <is>
          <t>Сошлось по ночным тарифам</t>
        </is>
      </c>
      <c r="AC352" s="2" t="inlineStr"/>
      <c r="AD352" t="n">
        <v>170.25</v>
      </c>
      <c r="AE352" t="n">
        <v>0</v>
      </c>
      <c r="AF352" t="inlineStr">
        <is>
          <t>Скидка добавлена к налоговой базе</t>
        </is>
      </c>
      <c r="AG352" t="n">
        <v>45400</v>
      </c>
      <c r="AH352" t="n">
        <v>45229.75</v>
      </c>
      <c r="AI352" t="inlineStr">
        <is>
          <t>Полное проживание в выбранном периоде</t>
        </is>
      </c>
    </row>
    <row r="353">
      <c r="A353" t="inlineStr">
        <is>
          <t>20260805-8186-450472293</t>
        </is>
      </c>
      <c r="B353" t="n">
        <v>1</v>
      </c>
      <c r="C353" s="2" t="inlineStr">
        <is>
          <t>ИВАН БУЛЬДЕНКОВ</t>
        </is>
      </c>
      <c r="D353" s="3" t="n">
        <v>5852</v>
      </c>
      <c r="E353" s="4" t="n">
        <v>18</v>
      </c>
      <c r="F353" t="inlineStr">
        <is>
          <t>Яндекс.Путешествия [Чайковский]</t>
        </is>
      </c>
      <c r="G353" s="3">
        <f>ROUND(D353/(100-E353)*100,2)</f>
        <v/>
      </c>
      <c r="H353" s="3" t="n">
        <v>0</v>
      </c>
      <c r="I353" s="3">
        <f>ROUND(IF(ISNUMBER(AG353),AG353,G353)+H353,2)</f>
        <v/>
      </c>
      <c r="J353" s="2" t="inlineStr">
        <is>
          <t>Завтрак "Шведский стол"</t>
        </is>
      </c>
      <c r="K353" s="5" t="n">
        <v>46239.58333333334</v>
      </c>
      <c r="L353" t="n">
        <v>1</v>
      </c>
      <c r="M353" s="3">
        <f>I353/L353</f>
        <v/>
      </c>
      <c r="N353">
        <f>IF(M353&gt;=5100,"ставка","мин.ставка")</f>
        <v/>
      </c>
      <c r="O353" s="3">
        <f>ROUND(IF(N353="мин.ставка",L353*100,I353/102*2),2)</f>
        <v/>
      </c>
      <c r="P353" s="5" t="n">
        <v>46240.5</v>
      </c>
      <c r="Q353" t="inlineStr">
        <is>
          <t>TravelLine YAX</t>
        </is>
      </c>
      <c r="R353" s="2" t="inlineStr">
        <is>
          <t>СТАНДАРТНЫЙ ОДНОМЕСТНЫЙ НОМЕР</t>
        </is>
      </c>
      <c r="S353" t="n">
        <v>24</v>
      </c>
      <c r="T353" t="n">
        <v>1</v>
      </c>
      <c r="U353" t="inlineStr"/>
      <c r="V353" t="inlineStr">
        <is>
          <t>Тариф с завтраком</t>
        </is>
      </c>
      <c r="W353" t="n">
        <v>5852</v>
      </c>
      <c r="X353" s="3" t="n">
        <v>1463</v>
      </c>
      <c r="Y353" t="inlineStr">
        <is>
          <t>20%</t>
        </is>
      </c>
      <c r="Z353" t="inlineStr">
        <is>
          <t>2026-08-05</t>
        </is>
      </c>
      <c r="AA353" s="3" t="n">
        <v>5852</v>
      </c>
      <c r="AB353" t="inlineStr">
        <is>
          <t>Сошлось по ночным тарифам</t>
        </is>
      </c>
      <c r="AC353" s="2" t="inlineStr"/>
      <c r="AD353" t="n">
        <v>1463</v>
      </c>
      <c r="AE353" t="n">
        <v>0</v>
      </c>
      <c r="AF353" t="inlineStr">
        <is>
          <t>Скидка добавлена к налоговой базе</t>
        </is>
      </c>
      <c r="AG353" t="n">
        <v>7315</v>
      </c>
      <c r="AH353" t="n">
        <v>5852</v>
      </c>
      <c r="AI353" t="inlineStr">
        <is>
          <t>Полное проживание в выбранном периоде</t>
        </is>
      </c>
    </row>
    <row r="354">
      <c r="A354" t="inlineStr">
        <is>
          <t>20260902-8186-459355198</t>
        </is>
      </c>
      <c r="B354" t="n">
        <v>1</v>
      </c>
      <c r="C354" s="2" t="inlineStr">
        <is>
          <t>ИВАН БУЛЬДЕНКОВ</t>
        </is>
      </c>
      <c r="D354" s="3" t="n">
        <v>5852</v>
      </c>
      <c r="E354" s="4" t="n">
        <v>18</v>
      </c>
      <c r="F354" t="inlineStr">
        <is>
          <t>Яндекс.Путешествия [Чайковский]</t>
        </is>
      </c>
      <c r="G354" s="3">
        <f>ROUND(D354/(100-E354)*100,2)</f>
        <v/>
      </c>
      <c r="H354" s="3" t="n">
        <v>0</v>
      </c>
      <c r="I354" s="3">
        <f>ROUND(IF(ISNUMBER(AG354),AG354,G354)+H354,2)</f>
        <v/>
      </c>
      <c r="J354" s="2" t="inlineStr">
        <is>
          <t>Завтрак "Шведский стол"</t>
        </is>
      </c>
      <c r="K354" s="5" t="n">
        <v>46267.58333333334</v>
      </c>
      <c r="L354" t="n">
        <v>1</v>
      </c>
      <c r="M354" s="3">
        <f>I354/L354</f>
        <v/>
      </c>
      <c r="N354">
        <f>IF(M354&gt;=5100,"ставка","мин.ставка")</f>
        <v/>
      </c>
      <c r="O354" s="3">
        <f>ROUND(IF(N354="мин.ставка",L354*100,I354/102*2),2)</f>
        <v/>
      </c>
      <c r="P354" s="5" t="n">
        <v>46268.5</v>
      </c>
      <c r="Q354" t="inlineStr">
        <is>
          <t>TravelLine YAX</t>
        </is>
      </c>
      <c r="R354" s="2" t="inlineStr">
        <is>
          <t>СТАНДАРТНЫЙ ОДНОМЕСТНЫЙ НОМЕР</t>
        </is>
      </c>
      <c r="S354" t="n">
        <v>24</v>
      </c>
      <c r="T354" t="n">
        <v>1</v>
      </c>
      <c r="U354" t="inlineStr"/>
      <c r="V354" t="inlineStr">
        <is>
          <t>Тариф с завтраком</t>
        </is>
      </c>
      <c r="W354" t="n">
        <v>5852</v>
      </c>
      <c r="X354" s="3" t="n">
        <v>0</v>
      </c>
      <c r="Y354" t="inlineStr"/>
      <c r="Z354" t="inlineStr"/>
      <c r="AA354" s="3" t="n">
        <v>5852</v>
      </c>
      <c r="AB354" t="inlineStr">
        <is>
          <t>Сошлось по ночным тарифам</t>
        </is>
      </c>
      <c r="AC354" s="2" t="inlineStr"/>
      <c r="AD354" t="n">
        <v>0</v>
      </c>
      <c r="AE354" t="n">
        <v>0</v>
      </c>
      <c r="AF354" t="inlineStr">
        <is>
          <t>Скидки нет</t>
        </is>
      </c>
      <c r="AG354" t="n">
        <v>5852</v>
      </c>
      <c r="AH354" t="n">
        <v>5852</v>
      </c>
      <c r="AI354" t="inlineStr">
        <is>
          <t>Полное проживание в выбранном периоде</t>
        </is>
      </c>
    </row>
    <row r="355">
      <c r="A355" t="inlineStr">
        <is>
          <t>20260903-8186-461173385</t>
        </is>
      </c>
      <c r="B355" t="n">
        <v>1</v>
      </c>
      <c r="C355" s="2" t="inlineStr">
        <is>
          <t>Игорь Карташев</t>
        </is>
      </c>
      <c r="D355" s="3" t="n">
        <v>15284.5</v>
      </c>
      <c r="E355" s="4" t="n">
        <v>4</v>
      </c>
      <c r="F355" t="inlineStr">
        <is>
          <t>TravelLine Booking Engine [Чайковский]</t>
        </is>
      </c>
      <c r="G355" s="3">
        <f>ROUND(D355/(100-E355)*100,2)</f>
        <v/>
      </c>
      <c r="H355" s="3" t="n">
        <v>0</v>
      </c>
      <c r="I355" s="3">
        <f>ROUND(IF(ISNUMBER(AG355),AG355,G355)+H355,2)</f>
        <v/>
      </c>
      <c r="J355" s="2" t="inlineStr">
        <is>
          <t>Завтрак "Шведский стол"</t>
        </is>
      </c>
      <c r="K355" s="5" t="n">
        <v>46268.58333333334</v>
      </c>
      <c r="L355" t="n">
        <v>2</v>
      </c>
      <c r="M355" s="3">
        <f>I355/L355</f>
        <v/>
      </c>
      <c r="N355">
        <f>IF(M355&gt;=5100,"ставка","мин.ставка")</f>
        <v/>
      </c>
      <c r="O355" s="3">
        <f>ROUND(IF(N355="мин.ставка",L355*100,I355/102*2),2)</f>
        <v/>
      </c>
      <c r="P355" s="5" t="n">
        <v>46270.5</v>
      </c>
      <c r="Q355" t="inlineStr">
        <is>
          <t>TravelLine сайт</t>
        </is>
      </c>
      <c r="R355" s="2" t="inlineStr">
        <is>
          <t>СТАНДАРТНЫЙ ОДНОМЕСТНЫЙ НОМЕР</t>
        </is>
      </c>
      <c r="S355" t="n">
        <v>24</v>
      </c>
      <c r="T355" t="n">
        <v>1</v>
      </c>
      <c r="U355" t="inlineStr"/>
      <c r="V355" t="inlineStr">
        <is>
          <t>Тариф с завтраком</t>
        </is>
      </c>
      <c r="W355" t="n">
        <v>15284.5</v>
      </c>
      <c r="X355" s="3" t="n">
        <v>115.5</v>
      </c>
      <c r="Y355" t="inlineStr">
        <is>
          <t>1.5%</t>
        </is>
      </c>
      <c r="Z355" t="inlineStr">
        <is>
          <t>2026-09-03</t>
        </is>
      </c>
      <c r="AA355" s="3" t="n">
        <v>15284.5</v>
      </c>
      <c r="AB355" t="inlineStr">
        <is>
          <t>Сошлось по ночным тарифам</t>
        </is>
      </c>
      <c r="AC355" s="2" t="inlineStr"/>
      <c r="AD355" t="n">
        <v>115.5</v>
      </c>
      <c r="AE355" t="n">
        <v>0</v>
      </c>
      <c r="AF355" t="inlineStr">
        <is>
          <t>Скидка добавлена к налоговой базе</t>
        </is>
      </c>
      <c r="AG355" t="n">
        <v>15400</v>
      </c>
      <c r="AH355" t="n">
        <v>15284.5</v>
      </c>
      <c r="AI355" t="inlineStr">
        <is>
          <t>Полное проживание в выбранном периоде</t>
        </is>
      </c>
    </row>
    <row r="356">
      <c r="A356" t="inlineStr">
        <is>
          <t>20260911-8186-464839871</t>
        </is>
      </c>
      <c r="B356" t="n">
        <v>1</v>
      </c>
      <c r="C356" s="2" t="inlineStr">
        <is>
          <t>Игорь Козлов</t>
        </is>
      </c>
      <c r="D356" s="3" t="n">
        <v>13350</v>
      </c>
      <c r="E356" s="4" t="n">
        <v>0</v>
      </c>
      <c r="F356" t="inlineStr">
        <is>
          <t>Прямые бронирования (стойка) [Чайковский]</t>
        </is>
      </c>
      <c r="G356" s="3">
        <f>ROUND(D356/(100-E356)*100,2)</f>
        <v/>
      </c>
      <c r="H356" s="3" t="n">
        <v>0</v>
      </c>
      <c r="I356" s="3">
        <f>ROUND(IF(ISNUMBER(AG356),AG356,G356)+H356,2)</f>
        <v/>
      </c>
      <c r="J356" s="2" t="inlineStr">
        <is>
          <t>Завтрак "Шведский стол"</t>
        </is>
      </c>
      <c r="K356" s="5" t="n">
        <v>46276.58333333334</v>
      </c>
      <c r="L356" t="n">
        <v>1</v>
      </c>
      <c r="M356" s="3">
        <f>I356/L356</f>
        <v/>
      </c>
      <c r="N356">
        <f>IF(M356&gt;=5100,"ставка","мин.ставка")</f>
        <v/>
      </c>
      <c r="O356" s="3">
        <f>ROUND(IF(N356="мин.ставка",L356*100,I356/102*2),2)</f>
        <v/>
      </c>
      <c r="P356" s="5" t="n">
        <v>46277.5</v>
      </c>
      <c r="Q356" t="inlineStr">
        <is>
          <t>TravelLine ресепшен</t>
        </is>
      </c>
      <c r="R356" s="2" t="inlineStr">
        <is>
          <t>СТАНДАРТНЫЙ ДВУХМЕСТНЫЙ НОМЕР</t>
        </is>
      </c>
      <c r="S356" t="n">
        <v>46</v>
      </c>
      <c r="T356" t="n">
        <v>1</v>
      </c>
      <c r="U356" t="inlineStr"/>
      <c r="V356" t="inlineStr">
        <is>
          <t>Тариф с завтраком</t>
        </is>
      </c>
      <c r="W356" t="n">
        <v>13350</v>
      </c>
      <c r="X356" s="3" t="n">
        <v>0</v>
      </c>
      <c r="Y356" t="inlineStr"/>
      <c r="Z356" t="inlineStr"/>
      <c r="AA356" s="3" t="n">
        <v>13350</v>
      </c>
      <c r="AB356" t="inlineStr">
        <is>
          <t>Сошлось по ночным тарифам</t>
        </is>
      </c>
      <c r="AC356" s="2" t="inlineStr"/>
      <c r="AD356" t="n">
        <v>0</v>
      </c>
      <c r="AE356" t="n">
        <v>0</v>
      </c>
      <c r="AF356" t="inlineStr">
        <is>
          <t>Скидки нет</t>
        </is>
      </c>
      <c r="AG356" t="n">
        <v>13350</v>
      </c>
      <c r="AH356" t="n">
        <v>13350</v>
      </c>
      <c r="AI356" t="inlineStr">
        <is>
          <t>Полное проживание в выбранном периоде</t>
        </is>
      </c>
    </row>
    <row r="357">
      <c r="A357" t="inlineStr">
        <is>
          <t>20260727-8186-451197084</t>
        </is>
      </c>
      <c r="B357" t="n">
        <v>1</v>
      </c>
      <c r="C357" s="2" t="inlineStr">
        <is>
          <t>Игорь Краснов</t>
        </is>
      </c>
      <c r="D357" s="3" t="n">
        <v>6320</v>
      </c>
      <c r="E357" s="4" t="n">
        <v>18</v>
      </c>
      <c r="F357" t="inlineStr">
        <is>
          <t>Яндекс.Путешествия [Чайковский]</t>
        </is>
      </c>
      <c r="G357" s="3">
        <f>ROUND(D357/(100-E357)*100,2)</f>
        <v/>
      </c>
      <c r="H357" s="3" t="n">
        <v>0</v>
      </c>
      <c r="I357" s="3">
        <f>ROUND(IF(ISNUMBER(AG357),AG357,G357)+H357,2)</f>
        <v/>
      </c>
      <c r="J357" s="2" t="inlineStr">
        <is>
          <t>Завтрак "Шведский стол"</t>
        </is>
      </c>
      <c r="K357" s="5" t="n">
        <v>46230.58333333334</v>
      </c>
      <c r="L357" t="n">
        <v>1</v>
      </c>
      <c r="M357" s="3">
        <f>I357/L357</f>
        <v/>
      </c>
      <c r="N357">
        <f>IF(M357&gt;=5100,"ставка","мин.ставка")</f>
        <v/>
      </c>
      <c r="O357" s="3">
        <f>ROUND(IF(N357="мин.ставка",L357*100,I357/102*2),2)</f>
        <v/>
      </c>
      <c r="P357" s="5" t="n">
        <v>46231.5</v>
      </c>
      <c r="Q357" t="inlineStr">
        <is>
          <t>TravelLine YAX</t>
        </is>
      </c>
      <c r="R357" s="2" t="inlineStr">
        <is>
          <t>СТАНДАРТНЫЙ ДВУХМЕСТНЫЙ НОМЕР (МАНСАРДА)</t>
        </is>
      </c>
      <c r="S357" t="n">
        <v>45</v>
      </c>
      <c r="T357" t="n">
        <v>1</v>
      </c>
      <c r="U357" t="inlineStr"/>
      <c r="V357" t="inlineStr">
        <is>
          <t>Тариф с завтраком</t>
        </is>
      </c>
      <c r="W357" t="n">
        <v>6320</v>
      </c>
      <c r="X357" s="3" t="n">
        <v>1580</v>
      </c>
      <c r="Y357" t="inlineStr">
        <is>
          <t>20%</t>
        </is>
      </c>
      <c r="Z357" t="inlineStr">
        <is>
          <t>2026-07-27</t>
        </is>
      </c>
      <c r="AA357" s="3" t="n">
        <v>6320</v>
      </c>
      <c r="AB357" t="inlineStr">
        <is>
          <t>Сошлось по ночным тарифам</t>
        </is>
      </c>
      <c r="AC357" s="2" t="inlineStr"/>
      <c r="AD357" t="n">
        <v>1580</v>
      </c>
      <c r="AE357" t="n">
        <v>0</v>
      </c>
      <c r="AF357" t="inlineStr">
        <is>
          <t>Скидка добавлена к налоговой базе</t>
        </is>
      </c>
      <c r="AG357" t="n">
        <v>7900</v>
      </c>
      <c r="AH357" t="n">
        <v>6320</v>
      </c>
      <c r="AI357" t="inlineStr">
        <is>
          <t>Полное проживание в выбранном периоде</t>
        </is>
      </c>
    </row>
    <row r="358">
      <c r="A358" t="inlineStr">
        <is>
          <t>20260824-8186-459510208</t>
        </is>
      </c>
      <c r="B358" t="n">
        <v>1</v>
      </c>
      <c r="C358" s="2" t="inlineStr">
        <is>
          <t>Игорь Кудрявцев</t>
        </is>
      </c>
      <c r="D358" s="3" t="n">
        <v>20160</v>
      </c>
      <c r="E358" s="4" t="n">
        <v>17</v>
      </c>
      <c r="F358" t="inlineStr">
        <is>
          <t>ООО «Интернет Трэвел» (OZON) [Чайковский]</t>
        </is>
      </c>
      <c r="G358" s="3">
        <f>ROUND(D358/(100-E358)*100,2)</f>
        <v/>
      </c>
      <c r="H358" s="3" t="n">
        <v>0</v>
      </c>
      <c r="I358" s="3">
        <f>ROUND(IF(ISNUMBER(AG358),AG358,G358)+H358,2)</f>
        <v/>
      </c>
      <c r="J358" s="2" t="inlineStr">
        <is>
          <t>Завтрак "Шведский стол"</t>
        </is>
      </c>
      <c r="K358" s="5" t="n">
        <v>46258.58333333334</v>
      </c>
      <c r="L358" t="n">
        <v>2</v>
      </c>
      <c r="M358" s="3">
        <f>I358/L358</f>
        <v/>
      </c>
      <c r="N358">
        <f>IF(M358&gt;=5100,"ставка","мин.ставка")</f>
        <v/>
      </c>
      <c r="O358" s="3">
        <f>ROUND(IF(N358="мин.ставка",L358*100,I358/102*2),2)</f>
        <v/>
      </c>
      <c r="P358" s="5" t="n">
        <v>46260.5</v>
      </c>
      <c r="Q358" t="inlineStr">
        <is>
          <t>TravelLine OZ2</t>
        </is>
      </c>
      <c r="R358" s="2" t="inlineStr">
        <is>
          <t>СТАНДАРТНЫЙ ДВУХМЕСТНЫЙ НОМЕР</t>
        </is>
      </c>
      <c r="S358" t="n">
        <v>32</v>
      </c>
      <c r="T358" t="n">
        <v>1</v>
      </c>
      <c r="U358" t="inlineStr"/>
      <c r="V358" t="inlineStr">
        <is>
          <t>Тариф с завтраком</t>
        </is>
      </c>
      <c r="W358" t="n">
        <v>20160</v>
      </c>
      <c r="X358" s="3" t="n">
        <v>0</v>
      </c>
      <c r="Y358" t="inlineStr"/>
      <c r="Z358" t="inlineStr"/>
      <c r="AA358" s="3" t="n">
        <v>20160</v>
      </c>
      <c r="AB358" t="inlineStr">
        <is>
          <t>Сошлось по ночным тарифам</t>
        </is>
      </c>
      <c r="AC358" s="2" t="inlineStr"/>
      <c r="AD358" t="n">
        <v>0</v>
      </c>
      <c r="AE358" t="n">
        <v>0</v>
      </c>
      <c r="AF358" t="inlineStr">
        <is>
          <t>Скидки нет</t>
        </is>
      </c>
      <c r="AG358" t="n">
        <v>20160</v>
      </c>
      <c r="AH358" t="n">
        <v>20160</v>
      </c>
      <c r="AI358" t="inlineStr">
        <is>
          <t>Полное проживание в выбранном периоде</t>
        </is>
      </c>
    </row>
    <row r="359">
      <c r="A359" t="inlineStr">
        <is>
          <t>20260828-8186-442571726</t>
        </is>
      </c>
      <c r="B359" t="n">
        <v>1</v>
      </c>
      <c r="C359" s="2" t="inlineStr">
        <is>
          <t>Игорь Мокан, Оксана Макеенко</t>
        </is>
      </c>
      <c r="D359" s="3" t="n">
        <v>15988.5</v>
      </c>
      <c r="E359" s="4" t="n">
        <v>4</v>
      </c>
      <c r="F359" t="inlineStr">
        <is>
          <t>TravelLine Booking Engine [Чайковский]</t>
        </is>
      </c>
      <c r="G359" s="3">
        <f>ROUND(D359/(100-E359)*100,2)</f>
        <v/>
      </c>
      <c r="H359" s="3" t="n">
        <v>0</v>
      </c>
      <c r="I359" s="3">
        <f>ROUND(IF(ISNUMBER(AG359),AG359,G359)+H359,2)</f>
        <v/>
      </c>
      <c r="J359" s="2" t="inlineStr">
        <is>
          <t>Завтрак "Шведский стол"</t>
        </is>
      </c>
      <c r="K359" s="5" t="n">
        <v>46262.58333333334</v>
      </c>
      <c r="L359" t="n">
        <v>1</v>
      </c>
      <c r="M359" s="3">
        <f>I359/L359</f>
        <v/>
      </c>
      <c r="N359">
        <f>IF(M359&gt;=5100,"ставка","мин.ставка")</f>
        <v/>
      </c>
      <c r="O359" s="3">
        <f>ROUND(IF(N359="мин.ставка",L359*100,I359/102*2),2)</f>
        <v/>
      </c>
      <c r="P359" s="5" t="n">
        <v>46263.5</v>
      </c>
      <c r="Q359" t="inlineStr">
        <is>
          <t>TravelLine сайт</t>
        </is>
      </c>
      <c r="R359" s="2" t="inlineStr">
        <is>
          <t>ПОЛУЛЮКС</t>
        </is>
      </c>
      <c r="S359" t="n">
        <v>11</v>
      </c>
      <c r="T359" t="n">
        <v>1</v>
      </c>
      <c r="U359" t="inlineStr"/>
      <c r="V359" t="inlineStr">
        <is>
          <t>Тариф с завтраком</t>
        </is>
      </c>
      <c r="W359" t="n">
        <v>15988.5</v>
      </c>
      <c r="X359" s="3" t="n">
        <v>511.5</v>
      </c>
      <c r="Y359" t="inlineStr">
        <is>
          <t>3.1%</t>
        </is>
      </c>
      <c r="Z359" t="inlineStr">
        <is>
          <t>2026-08-28</t>
        </is>
      </c>
      <c r="AA359" s="3" t="n">
        <v>15988.5</v>
      </c>
      <c r="AB359" t="inlineStr">
        <is>
          <t>Сошлось по ночным тарифам</t>
        </is>
      </c>
      <c r="AC359" s="2" t="inlineStr"/>
      <c r="AD359" t="n">
        <v>511.5</v>
      </c>
      <c r="AE359" t="n">
        <v>0</v>
      </c>
      <c r="AF359" t="inlineStr">
        <is>
          <t>Скидка добавлена к налоговой базе</t>
        </is>
      </c>
      <c r="AG359" t="n">
        <v>16500</v>
      </c>
      <c r="AH359" t="n">
        <v>15988.5</v>
      </c>
      <c r="AI359" t="inlineStr">
        <is>
          <t>Полное проживание в выбранном периоде</t>
        </is>
      </c>
    </row>
    <row r="360">
      <c r="A360" t="inlineStr">
        <is>
          <t>20260815-8186-441303646</t>
        </is>
      </c>
      <c r="B360" t="n">
        <v>1</v>
      </c>
      <c r="C360" s="2" t="inlineStr">
        <is>
          <t>Игорь Паршин, Анна Хрулева</t>
        </is>
      </c>
      <c r="D360" s="3" t="n">
        <v>16500</v>
      </c>
      <c r="E360" s="4" t="n">
        <v>0</v>
      </c>
      <c r="F360" t="inlineStr">
        <is>
          <t>Прямые бронирования (стойка) [Чайковский]</t>
        </is>
      </c>
      <c r="G360" s="3">
        <f>ROUND(D360/(100-E360)*100,2)</f>
        <v/>
      </c>
      <c r="H360" s="3" t="n">
        <v>0</v>
      </c>
      <c r="I360" s="3">
        <f>ROUND(IF(ISNUMBER(AG360),AG360,G360)+H360,2)</f>
        <v/>
      </c>
      <c r="J360" s="2" t="inlineStr">
        <is>
          <t>Завтрак "Шведский стол"</t>
        </is>
      </c>
      <c r="K360" s="5" t="n">
        <v>46249.58333333334</v>
      </c>
      <c r="L360" t="n">
        <v>1</v>
      </c>
      <c r="M360" s="3">
        <f>I360/L360</f>
        <v/>
      </c>
      <c r="N360">
        <f>IF(M360&gt;=5100,"ставка","мин.ставка")</f>
        <v/>
      </c>
      <c r="O360" s="3">
        <f>ROUND(IF(N360="мин.ставка",L360*100,I360/102*2),2)</f>
        <v/>
      </c>
      <c r="P360" s="5" t="n">
        <v>46250.5</v>
      </c>
      <c r="Q360" t="inlineStr">
        <is>
          <t>TravelLine ресепшен</t>
        </is>
      </c>
      <c r="R360" s="2" t="inlineStr">
        <is>
          <t>ПОЛУЛЮКС</t>
        </is>
      </c>
      <c r="S360" t="n">
        <v>35</v>
      </c>
      <c r="T360" t="n">
        <v>1</v>
      </c>
      <c r="U360" t="inlineStr"/>
      <c r="V360" t="inlineStr">
        <is>
          <t>Тариф с завтраком</t>
        </is>
      </c>
      <c r="W360" t="n">
        <v>16500</v>
      </c>
      <c r="X360" s="3" t="n">
        <v>0</v>
      </c>
      <c r="Y360" t="inlineStr"/>
      <c r="Z360" t="inlineStr"/>
      <c r="AA360" s="3" t="n">
        <v>16500</v>
      </c>
      <c r="AB360" t="inlineStr">
        <is>
          <t>Сошлось по ночным тарифам</t>
        </is>
      </c>
      <c r="AC360" s="2" t="inlineStr"/>
      <c r="AD360" t="n">
        <v>0</v>
      </c>
      <c r="AE360" t="n">
        <v>0</v>
      </c>
      <c r="AF360" t="inlineStr">
        <is>
          <t>Скидки нет</t>
        </is>
      </c>
      <c r="AG360" t="n">
        <v>16500</v>
      </c>
      <c r="AH360" t="n">
        <v>16500</v>
      </c>
      <c r="AI360" t="inlineStr">
        <is>
          <t>Полное проживание в выбранном периоде</t>
        </is>
      </c>
    </row>
    <row r="361">
      <c r="A361" t="inlineStr">
        <is>
          <t>20260906-8186-459333840</t>
        </is>
      </c>
      <c r="B361" t="n">
        <v>1</v>
      </c>
      <c r="C361" s="2" t="inlineStr">
        <is>
          <t>Игорь Погодин</t>
        </is>
      </c>
      <c r="D361" s="3" t="n">
        <v>6320</v>
      </c>
      <c r="E361" s="4" t="n">
        <v>20</v>
      </c>
      <c r="F361" t="inlineStr">
        <is>
          <t>ООО "КОМПАНИЯ БРОНЕВИК" [Чайковский]</t>
        </is>
      </c>
      <c r="G361" s="3">
        <f>ROUND(D361/(100-E361)*100,2)</f>
        <v/>
      </c>
      <c r="H361" s="3" t="n">
        <v>6320</v>
      </c>
      <c r="I361" s="3">
        <f>ROUND(IF(ISNUMBER(AG361),AG361,G361)+H361,2)</f>
        <v/>
      </c>
      <c r="J361" s="2" t="inlineStr">
        <is>
          <t>Завтрак "Шведский стол"; Ранний заезд — 6 320,00 ₽</t>
        </is>
      </c>
      <c r="K361" s="5" t="n">
        <v>46271.375</v>
      </c>
      <c r="L361" t="n">
        <v>1</v>
      </c>
      <c r="M361" s="3">
        <f>I361/L361</f>
        <v/>
      </c>
      <c r="N361">
        <f>IF(M361&gt;=5100,"ставка","мин.ставка")</f>
        <v/>
      </c>
      <c r="O361" s="3">
        <f>ROUND(IF(N361="мин.ставка",L361*100,I361/102*2),2)</f>
        <v/>
      </c>
      <c r="P361" s="5" t="n">
        <v>46272.5</v>
      </c>
      <c r="Q361" t="inlineStr">
        <is>
          <t>TravelLine BR2</t>
        </is>
      </c>
      <c r="R361" s="2" t="inlineStr">
        <is>
          <t>СТАНДАРТНЫЙ ДВУХМЕСТНЫЙ НОМЕР (МАНСАРДА)</t>
        </is>
      </c>
      <c r="S361" t="n">
        <v>43</v>
      </c>
      <c r="T361" t="n">
        <v>1</v>
      </c>
      <c r="U361" t="inlineStr"/>
      <c r="V361" t="inlineStr">
        <is>
          <t>Тариф с завтраком</t>
        </is>
      </c>
      <c r="W361" t="n">
        <v>12640</v>
      </c>
      <c r="X361" s="3" t="n">
        <v>0</v>
      </c>
      <c r="Y361" t="inlineStr"/>
      <c r="Z361" t="inlineStr"/>
      <c r="AA361" s="3" t="n">
        <v>6320</v>
      </c>
      <c r="AB361" t="inlineStr">
        <is>
          <t>Расхождение -6320.00 ₽</t>
        </is>
      </c>
      <c r="AC361" s="2" t="inlineStr"/>
      <c r="AD361" t="n">
        <v>0</v>
      </c>
      <c r="AE361" t="n">
        <v>0</v>
      </c>
      <c r="AF361" t="inlineStr">
        <is>
          <t>Скидки нет</t>
        </is>
      </c>
      <c r="AG361" t="n">
        <v>6320</v>
      </c>
      <c r="AH361" t="n">
        <v>6320</v>
      </c>
      <c r="AI361" t="inlineStr">
        <is>
          <t>Полное проживание в выбранном периоде</t>
        </is>
      </c>
    </row>
    <row r="362">
      <c r="A362" t="inlineStr">
        <is>
          <t>20260929-8186-460774925</t>
        </is>
      </c>
      <c r="B362" t="n">
        <v>1</v>
      </c>
      <c r="C362" s="2" t="inlineStr">
        <is>
          <t>Игорь Сапожников, Екатерина Франц</t>
        </is>
      </c>
      <c r="D362" s="3" t="n">
        <v>9900</v>
      </c>
      <c r="E362" s="4" t="n">
        <v>15</v>
      </c>
      <c r="F362" t="inlineStr">
        <is>
          <t>ООО «12Т» (ранее ONE TWO TRIP) [Чайковский]</t>
        </is>
      </c>
      <c r="G362" s="3">
        <f>ROUND(D362/(100-E362)*100,2)</f>
        <v/>
      </c>
      <c r="H362" s="3" t="n">
        <v>0</v>
      </c>
      <c r="I362" s="3">
        <f>ROUND(IF(ISNUMBER(AG362),AG362,G362)+H362,2)</f>
        <v/>
      </c>
      <c r="J362" s="2" t="inlineStr">
        <is>
          <t>Завтрак "Шведский стол"</t>
        </is>
      </c>
      <c r="K362" s="5" t="n">
        <v>46294.58333333334</v>
      </c>
      <c r="L362" t="n">
        <v>1</v>
      </c>
      <c r="M362" s="3">
        <f>I362/L362</f>
        <v/>
      </c>
      <c r="N362">
        <f>IF(M362&gt;=5100,"ставка","мин.ставка")</f>
        <v/>
      </c>
      <c r="O362" s="3">
        <f>ROUND(IF(N362="мин.ставка",L362*100,I362/102*2),2)</f>
        <v/>
      </c>
      <c r="P362" s="5" t="n">
        <v>46295.5</v>
      </c>
      <c r="Q362" t="inlineStr">
        <is>
          <t>TravelLine OTT</t>
        </is>
      </c>
      <c r="R362" s="2" t="inlineStr">
        <is>
          <t>СТАНДАРТНЫЙ ДВУХМЕСТНЫЙ НОМЕР (МАНСАРДА)</t>
        </is>
      </c>
      <c r="S362" t="n">
        <v>47</v>
      </c>
      <c r="T362" t="n">
        <v>1</v>
      </c>
      <c r="U362" t="inlineStr"/>
      <c r="V362" t="inlineStr">
        <is>
          <t>Тариф с завтраком</t>
        </is>
      </c>
      <c r="W362" t="n">
        <v>9900</v>
      </c>
      <c r="X362" s="3" t="n">
        <v>0</v>
      </c>
      <c r="Y362" t="inlineStr"/>
      <c r="Z362" t="inlineStr"/>
      <c r="AA362" s="3" t="n">
        <v>9900</v>
      </c>
      <c r="AB362" t="inlineStr">
        <is>
          <t>Сошлось по ночным тарифам</t>
        </is>
      </c>
      <c r="AC362" s="2" t="inlineStr"/>
      <c r="AD362" t="n">
        <v>0</v>
      </c>
      <c r="AE362" t="n">
        <v>0</v>
      </c>
      <c r="AF362" t="inlineStr">
        <is>
          <t>Скидки нет</t>
        </is>
      </c>
      <c r="AG362" t="n">
        <v>9900</v>
      </c>
      <c r="AH362" t="n">
        <v>9900</v>
      </c>
      <c r="AI362" t="inlineStr">
        <is>
          <t>Полное проживание в выбранном периоде</t>
        </is>
      </c>
    </row>
    <row r="363">
      <c r="A363" t="inlineStr">
        <is>
          <t>20260707-8186-447992636</t>
        </is>
      </c>
      <c r="B363" t="n">
        <v>1</v>
      </c>
      <c r="C363" s="2" t="inlineStr">
        <is>
          <t>Игорь Сафиуллин</t>
        </is>
      </c>
      <c r="D363" s="3" t="n">
        <v>18160</v>
      </c>
      <c r="E363" s="4" t="n">
        <v>20</v>
      </c>
      <c r="F363" t="inlineStr">
        <is>
          <t>ООО "ХБ-ПРО" [Чайковский]</t>
        </is>
      </c>
      <c r="G363" s="3">
        <f>ROUND(D363/(100-E363)*100,2)</f>
        <v/>
      </c>
      <c r="H363" s="3" t="n">
        <v>0</v>
      </c>
      <c r="I363" s="3">
        <f>ROUND(IF(ISNUMBER(AG363),AG363,G363)+H363,2)</f>
        <v/>
      </c>
      <c r="J363" s="2" t="inlineStr">
        <is>
          <t>Завтрак "Шведский стол"</t>
        </is>
      </c>
      <c r="K363" s="5" t="n">
        <v>46210.58333333334</v>
      </c>
      <c r="L363" t="n">
        <v>2</v>
      </c>
      <c r="M363" s="3">
        <f>I363/L363</f>
        <v/>
      </c>
      <c r="N363">
        <f>IF(M363&gt;=5100,"ставка","мин.ставка")</f>
        <v/>
      </c>
      <c r="O363" s="3">
        <f>ROUND(IF(N363="мин.ставка",L363*100,I363/102*2),2)</f>
        <v/>
      </c>
      <c r="P363" s="5" t="n">
        <v>46212.5</v>
      </c>
      <c r="Q363" t="inlineStr">
        <is>
          <t>TravelLine UTS</t>
        </is>
      </c>
      <c r="R363" s="2" t="inlineStr">
        <is>
          <t>СТАНДАРТНЫЙ ДВУХМЕСТНЫЙ НОМЕР</t>
        </is>
      </c>
      <c r="S363" t="n">
        <v>32</v>
      </c>
      <c r="T363" t="n">
        <v>1</v>
      </c>
      <c r="U363" t="inlineStr"/>
      <c r="V363" t="inlineStr">
        <is>
          <t>Тариф с завтраком</t>
        </is>
      </c>
      <c r="W363" t="n">
        <v>18160</v>
      </c>
      <c r="X363" s="3" t="n">
        <v>0</v>
      </c>
      <c r="Y363" t="inlineStr"/>
      <c r="Z363" t="inlineStr"/>
      <c r="AA363" s="3" t="n">
        <v>18160</v>
      </c>
      <c r="AB363" t="inlineStr">
        <is>
          <t>Сошлось по ночным тарифам</t>
        </is>
      </c>
      <c r="AC363" s="2" t="inlineStr"/>
      <c r="AD363" t="n">
        <v>0</v>
      </c>
      <c r="AE363" t="n">
        <v>0</v>
      </c>
      <c r="AF363" t="inlineStr">
        <is>
          <t>Скидки нет</t>
        </is>
      </c>
      <c r="AG363" t="n">
        <v>18160</v>
      </c>
      <c r="AH363" t="n">
        <v>18160</v>
      </c>
      <c r="AI363" t="inlineStr">
        <is>
          <t>Полное проживание в выбранном периоде</t>
        </is>
      </c>
    </row>
    <row r="364">
      <c r="A364" t="inlineStr">
        <is>
          <t>20260713-8186-449857736</t>
        </is>
      </c>
      <c r="B364" t="n">
        <v>1</v>
      </c>
      <c r="C364" s="2" t="inlineStr">
        <is>
          <t>Игорь Смирнов</t>
        </is>
      </c>
      <c r="D364" s="3" t="n">
        <v>14775</v>
      </c>
      <c r="E364" s="4" t="n">
        <v>4</v>
      </c>
      <c r="F364" t="inlineStr">
        <is>
          <t>TravelLine Booking Engine [Чайковский]</t>
        </is>
      </c>
      <c r="G364" s="3">
        <f>ROUND(D364/(100-E364)*100,2)</f>
        <v/>
      </c>
      <c r="H364" s="3" t="n">
        <v>0</v>
      </c>
      <c r="I364" s="3">
        <f>ROUND(IF(ISNUMBER(AG364),AG364,G364)+H364,2)</f>
        <v/>
      </c>
      <c r="J364" s="2" t="inlineStr"/>
      <c r="K364" s="5" t="n">
        <v>46216.58333333334</v>
      </c>
      <c r="L364" t="n">
        <v>1</v>
      </c>
      <c r="M364" s="3">
        <f>I364/L364</f>
        <v/>
      </c>
      <c r="N364">
        <f>IF(M364&gt;=5100,"ставка","мин.ставка")</f>
        <v/>
      </c>
      <c r="O364" s="3">
        <f>ROUND(IF(N364="мин.ставка",L364*100,I364/102*2),2)</f>
        <v/>
      </c>
      <c r="P364" s="5" t="n">
        <v>46217.5</v>
      </c>
      <c r="Q364" t="inlineStr">
        <is>
          <t>TravelLine сайт</t>
        </is>
      </c>
      <c r="R364" s="2" t="inlineStr">
        <is>
          <t>ПОЛУЛЮКС</t>
        </is>
      </c>
      <c r="S364" t="n">
        <v>25</v>
      </c>
      <c r="T364" t="n">
        <v>1</v>
      </c>
      <c r="U364" t="inlineStr"/>
      <c r="V364" t="inlineStr">
        <is>
          <t>Основной тариф без завтрака</t>
        </is>
      </c>
      <c r="W364" t="n">
        <v>14775</v>
      </c>
      <c r="X364" s="3" t="n">
        <v>225</v>
      </c>
      <c r="Y364" t="inlineStr">
        <is>
          <t>1.5%</t>
        </is>
      </c>
      <c r="Z364" t="inlineStr">
        <is>
          <t>2026-07-13</t>
        </is>
      </c>
      <c r="AA364" s="3" t="n">
        <v>14775</v>
      </c>
      <c r="AB364" t="inlineStr">
        <is>
          <t>Сошлось по ночным тарифам</t>
        </is>
      </c>
      <c r="AC364" s="2" t="inlineStr"/>
      <c r="AD364" t="n">
        <v>225</v>
      </c>
      <c r="AE364" t="n">
        <v>0</v>
      </c>
      <c r="AF364" t="inlineStr">
        <is>
          <t>Скидка добавлена к налоговой базе</t>
        </is>
      </c>
      <c r="AG364" t="n">
        <v>15000</v>
      </c>
      <c r="AH364" t="n">
        <v>14775</v>
      </c>
      <c r="AI364" t="inlineStr">
        <is>
          <t>Полное проживание в выбранном периоде</t>
        </is>
      </c>
    </row>
    <row r="365">
      <c r="A365" t="inlineStr">
        <is>
          <t>20260709-8186-448314556</t>
        </is>
      </c>
      <c r="B365" t="n">
        <v>1</v>
      </c>
      <c r="C365" s="2" t="inlineStr">
        <is>
          <t>ИГОРЬ ХОМУТОВСКИЙ, София Новосад</t>
        </is>
      </c>
      <c r="D365" s="3" t="n">
        <v>22991</v>
      </c>
      <c r="E365" s="4" t="n">
        <v>17</v>
      </c>
      <c r="F365" t="inlineStr">
        <is>
          <t>ООО «Дубль Гис» (OTELLO) [Чайковский]</t>
        </is>
      </c>
      <c r="G365" s="3">
        <f>ROUND(D365/(100-E365)*100,2)</f>
        <v/>
      </c>
      <c r="H365" s="3" t="n">
        <v>0</v>
      </c>
      <c r="I365" s="3">
        <f>ROUND(IF(ISNUMBER(AG365),AG365,G365)+H365,2)</f>
        <v/>
      </c>
      <c r="J365" s="2" t="inlineStr">
        <is>
          <t>Завтрак "Шведский стол"</t>
        </is>
      </c>
      <c r="K365" s="5" t="n">
        <v>46212.58333333334</v>
      </c>
      <c r="L365" t="n">
        <v>2</v>
      </c>
      <c r="M365" s="3">
        <f>I365/L365</f>
        <v/>
      </c>
      <c r="N365">
        <f>IF(M365&gt;=5100,"ставка","мин.ставка")</f>
        <v/>
      </c>
      <c r="O365" s="3">
        <f>ROUND(IF(N365="мин.ставка",L365*100,I365/102*2),2)</f>
        <v/>
      </c>
      <c r="P365" s="5" t="n">
        <v>46214.5</v>
      </c>
      <c r="Q365" t="inlineStr">
        <is>
          <t>TravelLine OL2</t>
        </is>
      </c>
      <c r="R365" s="2" t="inlineStr">
        <is>
          <t>ПОЛУЛЮКС</t>
        </is>
      </c>
      <c r="S365" t="n">
        <v>35</v>
      </c>
      <c r="T365" t="n">
        <v>1</v>
      </c>
      <c r="U365" t="inlineStr"/>
      <c r="V365" t="inlineStr">
        <is>
          <t>Тариф с завтраком</t>
        </is>
      </c>
      <c r="W365" t="n">
        <v>22991</v>
      </c>
      <c r="X365" s="3" t="n">
        <v>4709</v>
      </c>
      <c r="Y365" t="inlineStr">
        <is>
          <t>17%</t>
        </is>
      </c>
      <c r="Z365" t="inlineStr">
        <is>
          <t>2026-07-09, 2026-07-10</t>
        </is>
      </c>
      <c r="AA365" s="3" t="n">
        <v>22991</v>
      </c>
      <c r="AB365" t="inlineStr">
        <is>
          <t>Сошлось по ночным тарифам</t>
        </is>
      </c>
      <c r="AC365" s="2" t="inlineStr"/>
      <c r="AD365" t="n">
        <v>4709</v>
      </c>
      <c r="AE365" t="n">
        <v>0</v>
      </c>
      <c r="AF365" t="inlineStr">
        <is>
          <t>Скидка добавлена к налоговой базе</t>
        </is>
      </c>
      <c r="AG365" t="n">
        <v>27700</v>
      </c>
      <c r="AH365" t="n">
        <v>22991</v>
      </c>
      <c r="AI365" t="inlineStr">
        <is>
          <t>Полное проживание в выбранном периоде</t>
        </is>
      </c>
    </row>
    <row r="366">
      <c r="A366" t="inlineStr">
        <is>
          <t>20260822-8186-425651545</t>
        </is>
      </c>
      <c r="B366" t="n">
        <v>1</v>
      </c>
      <c r="C366" s="2" t="inlineStr">
        <is>
          <t>Игорь Шведов, Виктория Максимова</t>
        </is>
      </c>
      <c r="D366" s="3" t="n">
        <v>60876</v>
      </c>
      <c r="E366" s="4" t="n">
        <v>18</v>
      </c>
      <c r="F366" t="inlineStr">
        <is>
          <t>Яндекс.Путешествия [Чайковский]</t>
        </is>
      </c>
      <c r="G366" s="3">
        <f>ROUND(D366/(100-E366)*100,2)</f>
        <v/>
      </c>
      <c r="H366" s="3" t="n">
        <v>0</v>
      </c>
      <c r="I366" s="3">
        <f>ROUND(IF(ISNUMBER(AG366),AG366,G366)+H366,2)</f>
        <v/>
      </c>
      <c r="J366" s="2" t="inlineStr">
        <is>
          <t>Завтрак "Шведский стол"</t>
        </is>
      </c>
      <c r="K366" s="5" t="n">
        <v>46256.58333333334</v>
      </c>
      <c r="L366" t="n">
        <v>6</v>
      </c>
      <c r="M366" s="3">
        <f>I366/L366</f>
        <v/>
      </c>
      <c r="N366">
        <f>IF(M366&gt;=5100,"ставка","мин.ставка")</f>
        <v/>
      </c>
      <c r="O366" s="3">
        <f>ROUND(IF(N366="мин.ставка",L366*100,I366/102*2),2)</f>
        <v/>
      </c>
      <c r="P366" s="5" t="n">
        <v>46262.5</v>
      </c>
      <c r="Q366" t="inlineStr">
        <is>
          <t>TravelLine YAX</t>
        </is>
      </c>
      <c r="R366" s="2" t="inlineStr">
        <is>
          <t>СТАНДАРТНЫЙ ДВУХМЕСТНЫЙ НОМЕР</t>
        </is>
      </c>
      <c r="S366" t="n">
        <v>23</v>
      </c>
      <c r="T366" t="n">
        <v>1</v>
      </c>
      <c r="U366" t="inlineStr"/>
      <c r="V366" t="inlineStr">
        <is>
          <t>Тариф с завтраком</t>
        </is>
      </c>
      <c r="W366" t="n">
        <v>182928</v>
      </c>
      <c r="X366" s="3" t="n">
        <v>15219</v>
      </c>
      <c r="Y366" t="inlineStr">
        <is>
          <t>20%</t>
        </is>
      </c>
      <c r="Z366" t="inlineStr">
        <is>
          <t>2026-08-22, 2026-08-23, 2026-08-24, 2026-08-25, 2026-08-26, 2026-08-27</t>
        </is>
      </c>
      <c r="AA366" s="3" t="n">
        <v>60876</v>
      </c>
      <c r="AB366" t="inlineStr">
        <is>
          <t>Сошлось по ночным тарифам</t>
        </is>
      </c>
      <c r="AC366" s="2" t="inlineStr"/>
      <c r="AD366" t="n">
        <v>15219</v>
      </c>
      <c r="AE366" t="n">
        <v>0</v>
      </c>
      <c r="AF366" t="inlineStr">
        <is>
          <t>Скидка добавлена к налоговой базе</t>
        </is>
      </c>
      <c r="AG366" t="n">
        <v>76095</v>
      </c>
      <c r="AH366" t="n">
        <v>60876</v>
      </c>
      <c r="AI366" t="inlineStr">
        <is>
          <t>Полное проживание в выбранном периоде</t>
        </is>
      </c>
    </row>
    <row r="367">
      <c r="A367" t="inlineStr">
        <is>
          <t>20260924-8186-468104031</t>
        </is>
      </c>
      <c r="B367" t="n">
        <v>1</v>
      </c>
      <c r="C367" s="2" t="inlineStr">
        <is>
          <t>Игорь Широков, Дарья Гигина</t>
        </is>
      </c>
      <c r="D367" s="3" t="n">
        <v>16252.5</v>
      </c>
      <c r="E367" s="4" t="n">
        <v>4</v>
      </c>
      <c r="F367" t="inlineStr">
        <is>
          <t>TravelLine Booking Engine [Чайковский]</t>
        </is>
      </c>
      <c r="G367" s="3">
        <f>ROUND(D367/(100-E367)*100,2)</f>
        <v/>
      </c>
      <c r="H367" s="3" t="n">
        <v>2064</v>
      </c>
      <c r="I367" s="3">
        <f>ROUND(IF(ISNUMBER(AG367),AG367,G367)+H367,2)</f>
        <v/>
      </c>
      <c r="J367" s="2" t="inlineStr">
        <is>
          <t>продление номера — 2 064,00 ₽; Завтрак "Шведский стол"</t>
        </is>
      </c>
      <c r="K367" s="5" t="n">
        <v>46289.58333333334</v>
      </c>
      <c r="L367" t="n">
        <v>1</v>
      </c>
      <c r="M367" s="3">
        <f>I367/L367</f>
        <v/>
      </c>
      <c r="N367">
        <f>IF(M367&gt;=5100,"ставка","мин.ставка")</f>
        <v/>
      </c>
      <c r="O367" s="3">
        <f>ROUND(IF(N367="мин.ставка",L367*100,I367/102*2),2)</f>
        <v/>
      </c>
      <c r="P367" s="5" t="n">
        <v>46290.625</v>
      </c>
      <c r="Q367" t="inlineStr">
        <is>
          <t>TravelLine сайт</t>
        </is>
      </c>
      <c r="R367" s="2" t="inlineStr">
        <is>
          <t>ПОЛУЛЮКС</t>
        </is>
      </c>
      <c r="S367" t="n">
        <v>25</v>
      </c>
      <c r="T367" t="n">
        <v>1</v>
      </c>
      <c r="U367" t="inlineStr"/>
      <c r="V367" t="inlineStr">
        <is>
          <t>Тариф с завтраком</t>
        </is>
      </c>
      <c r="W367" t="n">
        <v>18316.5</v>
      </c>
      <c r="X367" s="3" t="n">
        <v>247.5</v>
      </c>
      <c r="Y367" t="inlineStr">
        <is>
          <t>1.5%</t>
        </is>
      </c>
      <c r="Z367" t="inlineStr">
        <is>
          <t>2026-09-24</t>
        </is>
      </c>
      <c r="AA367" s="3" t="n">
        <v>16252.5</v>
      </c>
      <c r="AB367" t="inlineStr">
        <is>
          <t>Сошлось с услугами</t>
        </is>
      </c>
      <c r="AC367" s="2" t="inlineStr"/>
      <c r="AD367" t="n">
        <v>247.5</v>
      </c>
      <c r="AE367" t="n">
        <v>0</v>
      </c>
      <c r="AF367" t="inlineStr">
        <is>
          <t>Скидка добавлена к налоговой базе</t>
        </is>
      </c>
      <c r="AG367" t="n">
        <v>16500</v>
      </c>
      <c r="AH367" t="n">
        <v>16252.5</v>
      </c>
      <c r="AI367" t="inlineStr">
        <is>
          <t>Полное проживание в выбранном периоде</t>
        </is>
      </c>
    </row>
    <row r="368">
      <c r="A368" t="inlineStr">
        <is>
          <t>20260910-8186-452434191</t>
        </is>
      </c>
      <c r="B368" t="n">
        <v>1</v>
      </c>
      <c r="C368" s="2" t="inlineStr">
        <is>
          <t>Илона Замышляева</t>
        </is>
      </c>
      <c r="D368" s="3" t="n">
        <v>18960</v>
      </c>
      <c r="E368" s="4" t="n">
        <v>20</v>
      </c>
      <c r="F368" t="inlineStr">
        <is>
          <t>ООО "КОМПАНИЯ БРОНЕВИК" [Чайковский]</t>
        </is>
      </c>
      <c r="G368" s="3">
        <f>ROUND(D368/(100-E368)*100,2)</f>
        <v/>
      </c>
      <c r="H368" s="3" t="n">
        <v>0</v>
      </c>
      <c r="I368" s="3">
        <f>ROUND(IF(ISNUMBER(AG368),AG368,G368)+H368,2)</f>
        <v/>
      </c>
      <c r="J368" s="2" t="inlineStr">
        <is>
          <t>Завтрак "Шведский стол"</t>
        </is>
      </c>
      <c r="K368" s="5" t="n">
        <v>46275.58333333334</v>
      </c>
      <c r="L368" t="n">
        <v>3</v>
      </c>
      <c r="M368" s="3">
        <f>I368/L368</f>
        <v/>
      </c>
      <c r="N368">
        <f>IF(M368&gt;=5100,"ставка","мин.ставка")</f>
        <v/>
      </c>
      <c r="O368" s="3">
        <f>ROUND(IF(N368="мин.ставка",L368*100,I368/102*2),2)</f>
        <v/>
      </c>
      <c r="P368" s="5" t="n">
        <v>46278.5</v>
      </c>
      <c r="Q368" t="inlineStr">
        <is>
          <t>TravelLine BR2</t>
        </is>
      </c>
      <c r="R368" s="2" t="inlineStr">
        <is>
          <t>СТАНДАРТНЫЙ ДВУХМЕСТНЫЙ НОМЕР (МАНСАРДА)</t>
        </is>
      </c>
      <c r="S368" t="n">
        <v>47</v>
      </c>
      <c r="T368" t="n">
        <v>1</v>
      </c>
      <c r="U368" t="inlineStr"/>
      <c r="V368" t="inlineStr">
        <is>
          <t>Тариф с завтраком</t>
        </is>
      </c>
      <c r="W368" t="n">
        <v>18960</v>
      </c>
      <c r="X368" s="3" t="n">
        <v>0</v>
      </c>
      <c r="Y368" t="inlineStr"/>
      <c r="Z368" t="inlineStr"/>
      <c r="AA368" s="3" t="n">
        <v>18960</v>
      </c>
      <c r="AB368" t="inlineStr">
        <is>
          <t>Сошлось по ночным тарифам</t>
        </is>
      </c>
      <c r="AC368" s="2" t="inlineStr"/>
      <c r="AD368" t="n">
        <v>0</v>
      </c>
      <c r="AE368" t="n">
        <v>0</v>
      </c>
      <c r="AF368" t="inlineStr">
        <is>
          <t>Скидки нет</t>
        </is>
      </c>
      <c r="AG368" t="n">
        <v>18960</v>
      </c>
      <c r="AH368" t="n">
        <v>18960</v>
      </c>
      <c r="AI368" t="inlineStr">
        <is>
          <t>Полное проживание в выбранном периоде</t>
        </is>
      </c>
    </row>
    <row r="369">
      <c r="A369" t="inlineStr">
        <is>
          <t>20260930-8186-468476975</t>
        </is>
      </c>
      <c r="B369" t="n">
        <v>1</v>
      </c>
      <c r="C369" s="2" t="inlineStr">
        <is>
          <t>Илья Бобовников</t>
        </is>
      </c>
      <c r="D369" s="3" t="n">
        <v>16601.25</v>
      </c>
      <c r="E369" s="4" t="n">
        <v>18</v>
      </c>
      <c r="F369" t="inlineStr">
        <is>
          <t>Яндекс.Путешествия [Чайковский]</t>
        </is>
      </c>
      <c r="G369" s="3">
        <f>ROUND(D369/(100-E369)*100,2)</f>
        <v/>
      </c>
      <c r="H369" s="3" t="n">
        <v>0</v>
      </c>
      <c r="I369" s="3">
        <f>ROUND(IF(ISNUMBER(AG369),AG369,G369)+H369,2)</f>
        <v/>
      </c>
      <c r="J369" s="2" t="inlineStr"/>
      <c r="K369" s="5" t="n">
        <v>46295.58333333334</v>
      </c>
      <c r="L369" t="n">
        <v>1</v>
      </c>
      <c r="M369" s="3">
        <f>I369/L369</f>
        <v/>
      </c>
      <c r="N369">
        <f>IF(M369&gt;=5100,"ставка","мин.ставка")</f>
        <v/>
      </c>
      <c r="O369" s="3">
        <f>ROUND(IF(N369="мин.ставка",L369*100,I369/102*2),2)</f>
        <v/>
      </c>
      <c r="P369" s="5" t="n">
        <v>46298.5</v>
      </c>
      <c r="Q369" t="inlineStr">
        <is>
          <t>TravelLine YAX</t>
        </is>
      </c>
      <c r="R369" s="2" t="inlineStr">
        <is>
          <t>СТАНДАРТНЫЙ ДВУХМЕСТНЫЙ НОМЕР (МАНСАРДА)</t>
        </is>
      </c>
      <c r="S369" t="n">
        <v>41</v>
      </c>
      <c r="T369" t="n">
        <v>1</v>
      </c>
      <c r="U369" t="inlineStr"/>
      <c r="V369" t="inlineStr">
        <is>
          <t>Тариф с завтраком</t>
        </is>
      </c>
      <c r="W369" t="n">
        <v>16601.25</v>
      </c>
      <c r="X369" s="3" t="n">
        <v>5533.75</v>
      </c>
      <c r="Y369" t="inlineStr">
        <is>
          <t>25%</t>
        </is>
      </c>
      <c r="Z369" t="inlineStr">
        <is>
          <t>Не распределена по датам</t>
        </is>
      </c>
      <c r="AA369" s="3" t="n">
        <v>16601.25</v>
      </c>
      <c r="AB369" t="inlineStr">
        <is>
          <t>Сошлось по ночным тарифам</t>
        </is>
      </c>
      <c r="AC369" s="2" t="inlineStr"/>
      <c r="AD369" t="n">
        <v>0</v>
      </c>
      <c r="AE369" t="n">
        <v>0</v>
      </c>
      <c r="AF369" t="inlineStr">
        <is>
          <t>Частичный период: дата агрегированной скидки не определена; скидка не добавлена к базе</t>
        </is>
      </c>
      <c r="AG369" t="n">
        <v>5628.75</v>
      </c>
      <c r="AH369" t="n">
        <v>5628.75</v>
      </c>
      <c r="AI369" t="inlineStr">
        <is>
          <t>Частичное проживание распределено по dailyRates; скидка без даты не восстановлена</t>
        </is>
      </c>
    </row>
    <row r="370">
      <c r="A370" t="inlineStr">
        <is>
          <t>20260816-8186-459082892</t>
        </is>
      </c>
      <c r="B370" t="n">
        <v>1</v>
      </c>
      <c r="C370" s="2" t="inlineStr">
        <is>
          <t>Илья Веселов, Наталья Панюшкина</t>
        </is>
      </c>
      <c r="D370" s="3" t="n">
        <v>12936</v>
      </c>
      <c r="E370" s="4" t="n">
        <v>16</v>
      </c>
      <c r="F370" t="inlineStr">
        <is>
          <t>ООО "БРОНИРОВАНИЕ ГОСТИНИЦ" (OSTROVOK) [Чайковский]</t>
        </is>
      </c>
      <c r="G370" s="3">
        <f>ROUND(D370/(100-E370)*100,2)</f>
        <v/>
      </c>
      <c r="H370" s="3" t="n">
        <v>0</v>
      </c>
      <c r="I370" s="3">
        <f>ROUND(IF(ISNUMBER(AG370),AG370,G370)+H370,2)</f>
        <v/>
      </c>
      <c r="J370" s="2" t="inlineStr">
        <is>
          <t>Завтрак "Шведский стол"</t>
        </is>
      </c>
      <c r="K370" s="5" t="n">
        <v>46250.58333333334</v>
      </c>
      <c r="L370" t="n">
        <v>1</v>
      </c>
      <c r="M370" s="3">
        <f>I370/L370</f>
        <v/>
      </c>
      <c r="N370">
        <f>IF(M370&gt;=5100,"ставка","мин.ставка")</f>
        <v/>
      </c>
      <c r="O370" s="3">
        <f>ROUND(IF(N370="мин.ставка",L370*100,I370/102*2),2)</f>
        <v/>
      </c>
      <c r="P370" s="5" t="n">
        <v>46251.5</v>
      </c>
      <c r="Q370" t="inlineStr">
        <is>
          <t>TravelLine OTK</t>
        </is>
      </c>
      <c r="R370" s="2" t="inlineStr">
        <is>
          <t>УЛУЧШЕННЫЙ ДВУХМЕСТНЫЙ НОМЕР</t>
        </is>
      </c>
      <c r="S370" t="n">
        <v>31</v>
      </c>
      <c r="T370" t="n">
        <v>1</v>
      </c>
      <c r="U370" t="inlineStr"/>
      <c r="V370" t="inlineStr">
        <is>
          <t>Тариф с завтраком</t>
        </is>
      </c>
      <c r="W370" t="n">
        <v>12936</v>
      </c>
      <c r="X370" s="3" t="n">
        <v>2464</v>
      </c>
      <c r="Y370" t="inlineStr">
        <is>
          <t>16%</t>
        </is>
      </c>
      <c r="Z370" t="inlineStr">
        <is>
          <t>2026-08-16</t>
        </is>
      </c>
      <c r="AA370" s="3" t="n">
        <v>12936</v>
      </c>
      <c r="AB370" t="inlineStr">
        <is>
          <t>Сошлось по ночным тарифам</t>
        </is>
      </c>
      <c r="AC370" s="2" t="inlineStr"/>
      <c r="AD370" t="n">
        <v>2464</v>
      </c>
      <c r="AE370" t="n">
        <v>0</v>
      </c>
      <c r="AF370" t="inlineStr">
        <is>
          <t>Скидка добавлена к налоговой базе</t>
        </is>
      </c>
      <c r="AG370" t="n">
        <v>15400</v>
      </c>
      <c r="AH370" t="n">
        <v>12936</v>
      </c>
      <c r="AI370" t="inlineStr">
        <is>
          <t>Полное проживание в выбранном периоде</t>
        </is>
      </c>
    </row>
    <row r="371">
      <c r="A371" t="inlineStr">
        <is>
          <t>20260903-8186-463301767</t>
        </is>
      </c>
      <c r="B371" t="n">
        <v>1</v>
      </c>
      <c r="C371" s="2" t="inlineStr">
        <is>
          <t>Илья Виленский</t>
        </is>
      </c>
      <c r="D371" s="3" t="n">
        <v>8512.5</v>
      </c>
      <c r="E371" s="4" t="n">
        <v>18</v>
      </c>
      <c r="F371" t="inlineStr">
        <is>
          <t>Яндекс.Путешествия [Чайковский]</t>
        </is>
      </c>
      <c r="G371" s="3">
        <f>ROUND(D371/(100-E371)*100,2)</f>
        <v/>
      </c>
      <c r="H371" s="3" t="n">
        <v>0</v>
      </c>
      <c r="I371" s="3">
        <f>ROUND(IF(ISNUMBER(AG371),AG371,G371)+H371,2)</f>
        <v/>
      </c>
      <c r="J371" s="2" t="inlineStr">
        <is>
          <t>Завтрак "Шведский стол"</t>
        </is>
      </c>
      <c r="K371" s="5" t="n">
        <v>46268.58333333334</v>
      </c>
      <c r="L371" t="n">
        <v>1</v>
      </c>
      <c r="M371" s="3">
        <f>I371/L371</f>
        <v/>
      </c>
      <c r="N371">
        <f>IF(M371&gt;=5100,"ставка","мин.ставка")</f>
        <v/>
      </c>
      <c r="O371" s="3">
        <f>ROUND(IF(N371="мин.ставка",L371*100,I371/102*2),2)</f>
        <v/>
      </c>
      <c r="P371" s="5" t="n">
        <v>46269.5</v>
      </c>
      <c r="Q371" t="inlineStr">
        <is>
          <t>TravelLine YAX</t>
        </is>
      </c>
      <c r="R371" s="2" t="inlineStr">
        <is>
          <t>СТАНДАРТНЫЙ ДВУХМЕСТНЫЙ НОМЕР</t>
        </is>
      </c>
      <c r="S371" t="n">
        <v>44</v>
      </c>
      <c r="T371" t="n">
        <v>1</v>
      </c>
      <c r="U371" t="inlineStr"/>
      <c r="V371" t="inlineStr">
        <is>
          <t>Тариф с завтраком</t>
        </is>
      </c>
      <c r="W371" t="n">
        <v>8512.5</v>
      </c>
      <c r="X371" s="3" t="n">
        <v>2837.5</v>
      </c>
      <c r="Y371" t="inlineStr">
        <is>
          <t>25%</t>
        </is>
      </c>
      <c r="Z371" t="inlineStr">
        <is>
          <t>2026-09-03</t>
        </is>
      </c>
      <c r="AA371" s="3" t="n">
        <v>8512.5</v>
      </c>
      <c r="AB371" t="inlineStr">
        <is>
          <t>Сошлось по ночным тарифам</t>
        </is>
      </c>
      <c r="AC371" s="2" t="inlineStr"/>
      <c r="AD371" t="n">
        <v>2837.5</v>
      </c>
      <c r="AE371" t="n">
        <v>0</v>
      </c>
      <c r="AF371" t="inlineStr">
        <is>
          <t>Скидка добавлена к налоговой базе</t>
        </is>
      </c>
      <c r="AG371" t="n">
        <v>11350</v>
      </c>
      <c r="AH371" t="n">
        <v>8512.5</v>
      </c>
      <c r="AI371" t="inlineStr">
        <is>
          <t>Полное проживание в выбранном периоде</t>
        </is>
      </c>
    </row>
    <row r="372">
      <c r="A372" t="inlineStr">
        <is>
          <t>20260804-8186-454591056</t>
        </is>
      </c>
      <c r="B372" t="n">
        <v>1</v>
      </c>
      <c r="C372" s="2" t="inlineStr">
        <is>
          <t>Илья Мартьянов, Екатерина Жукова</t>
        </is>
      </c>
      <c r="D372" s="3" t="n">
        <v>32488.5</v>
      </c>
      <c r="E372" s="4" t="n">
        <v>4</v>
      </c>
      <c r="F372" t="inlineStr">
        <is>
          <t>TravelLine Booking Engine [Чайковский]</t>
        </is>
      </c>
      <c r="G372" s="3">
        <f>ROUND(D372/(100-E372)*100,2)</f>
        <v/>
      </c>
      <c r="H372" s="3" t="n">
        <v>0</v>
      </c>
      <c r="I372" s="3">
        <f>ROUND(IF(ISNUMBER(AG372),AG372,G372)+H372,2)</f>
        <v/>
      </c>
      <c r="J372" s="2" t="inlineStr">
        <is>
          <t>Завтрак "Шведский стол"</t>
        </is>
      </c>
      <c r="K372" s="5" t="n">
        <v>46238.58333333334</v>
      </c>
      <c r="L372" t="n">
        <v>2</v>
      </c>
      <c r="M372" s="3">
        <f>I372/L372</f>
        <v/>
      </c>
      <c r="N372">
        <f>IF(M372&gt;=5100,"ставка","мин.ставка")</f>
        <v/>
      </c>
      <c r="O372" s="3">
        <f>ROUND(IF(N372="мин.ставка",L372*100,I372/102*2),2)</f>
        <v/>
      </c>
      <c r="P372" s="5" t="n">
        <v>46240.5</v>
      </c>
      <c r="Q372" t="inlineStr">
        <is>
          <t>TravelLine сайт</t>
        </is>
      </c>
      <c r="R372" s="2" t="inlineStr">
        <is>
          <t>ПОЛУЛЮКС</t>
        </is>
      </c>
      <c r="S372" t="n">
        <v>35</v>
      </c>
      <c r="T372" t="n">
        <v>1</v>
      </c>
      <c r="U372" t="inlineStr"/>
      <c r="V372" t="inlineStr">
        <is>
          <t>Тариф с завтраком</t>
        </is>
      </c>
      <c r="W372" t="n">
        <v>32488.5</v>
      </c>
      <c r="X372" s="3" t="n">
        <v>511.5</v>
      </c>
      <c r="Y372" t="inlineStr">
        <is>
          <t>3.1%</t>
        </is>
      </c>
      <c r="Z372" t="inlineStr">
        <is>
          <t>2026-08-04</t>
        </is>
      </c>
      <c r="AA372" s="3" t="n">
        <v>32488.5</v>
      </c>
      <c r="AB372" t="inlineStr">
        <is>
          <t>Сошлось по ночным тарифам</t>
        </is>
      </c>
      <c r="AC372" s="2" t="inlineStr"/>
      <c r="AD372" t="n">
        <v>511.5</v>
      </c>
      <c r="AE372" t="n">
        <v>0</v>
      </c>
      <c r="AF372" t="inlineStr">
        <is>
          <t>Скидка добавлена к налоговой базе</t>
        </is>
      </c>
      <c r="AG372" t="n">
        <v>33000</v>
      </c>
      <c r="AH372" t="n">
        <v>32488.5</v>
      </c>
      <c r="AI372" t="inlineStr">
        <is>
          <t>Полное проживание в выбранном периоде</t>
        </is>
      </c>
    </row>
    <row r="373">
      <c r="A373" t="inlineStr">
        <is>
          <t>20260917-8186-463151267</t>
        </is>
      </c>
      <c r="B373" t="n">
        <v>1</v>
      </c>
      <c r="C373" s="2" t="inlineStr">
        <is>
          <t>Илья Тихонович, Анастасия Юдикс</t>
        </is>
      </c>
      <c r="D373" s="3" t="n">
        <v>15840</v>
      </c>
      <c r="E373" s="4" t="n">
        <v>20</v>
      </c>
      <c r="F373" t="inlineStr">
        <is>
          <t>ООО "ХБ-ПРО" [Чайковский]</t>
        </is>
      </c>
      <c r="G373" s="3">
        <f>ROUND(D373/(100-E373)*100,2)</f>
        <v/>
      </c>
      <c r="H373" s="3" t="n">
        <v>0</v>
      </c>
      <c r="I373" s="3">
        <f>ROUND(IF(ISNUMBER(AG373),AG373,G373)+H373,2)</f>
        <v/>
      </c>
      <c r="J373" s="2" t="inlineStr">
        <is>
          <t>Завтрак "Шведский стол"</t>
        </is>
      </c>
      <c r="K373" s="5" t="n">
        <v>46282.58333333334</v>
      </c>
      <c r="L373" t="n">
        <v>2</v>
      </c>
      <c r="M373" s="3">
        <f>I373/L373</f>
        <v/>
      </c>
      <c r="N373">
        <f>IF(M373&gt;=5100,"ставка","мин.ставка")</f>
        <v/>
      </c>
      <c r="O373" s="3">
        <f>ROUND(IF(N373="мин.ставка",L373*100,I373/102*2),2)</f>
        <v/>
      </c>
      <c r="P373" s="5" t="n">
        <v>46284.5</v>
      </c>
      <c r="Q373" t="inlineStr">
        <is>
          <t>TravelLine UTS</t>
        </is>
      </c>
      <c r="R373" s="2" t="inlineStr">
        <is>
          <t>СТАНДАРТНЫЙ ДВУХМЕСТНЫЙ НОМЕР (МАНСАРДА)</t>
        </is>
      </c>
      <c r="S373" t="n">
        <v>45</v>
      </c>
      <c r="T373" t="n">
        <v>1</v>
      </c>
      <c r="U373" t="inlineStr"/>
      <c r="V373" t="inlineStr">
        <is>
          <t>Тариф с завтраком</t>
        </is>
      </c>
      <c r="W373" t="n">
        <v>15840</v>
      </c>
      <c r="X373" s="3" t="n">
        <v>0</v>
      </c>
      <c r="Y373" t="inlineStr"/>
      <c r="Z373" t="inlineStr"/>
      <c r="AA373" s="3" t="n">
        <v>15840</v>
      </c>
      <c r="AB373" t="inlineStr">
        <is>
          <t>Сошлось по ночным тарифам</t>
        </is>
      </c>
      <c r="AC373" s="2" t="inlineStr"/>
      <c r="AD373" t="n">
        <v>0</v>
      </c>
      <c r="AE373" t="n">
        <v>0</v>
      </c>
      <c r="AF373" t="inlineStr">
        <is>
          <t>Скидки нет</t>
        </is>
      </c>
      <c r="AG373" t="n">
        <v>15840</v>
      </c>
      <c r="AH373" t="n">
        <v>15840</v>
      </c>
      <c r="AI373" t="inlineStr">
        <is>
          <t>Полное проживание в выбранном периоде</t>
        </is>
      </c>
    </row>
    <row r="374">
      <c r="A374" t="inlineStr">
        <is>
          <t>20260926-8186-468708384</t>
        </is>
      </c>
      <c r="B374" t="n">
        <v>1</v>
      </c>
      <c r="C374" s="2" t="inlineStr">
        <is>
          <t>Инга Авалиани, Цотне Шалвашвили</t>
        </is>
      </c>
      <c r="D374" s="3" t="n">
        <v>14535</v>
      </c>
      <c r="E374" s="4" t="n">
        <v>4</v>
      </c>
      <c r="F374" t="inlineStr">
        <is>
          <t>TravelLine Booking Engine [Чайковский]</t>
        </is>
      </c>
      <c r="G374" s="3">
        <f>ROUND(D374/(100-E374)*100,2)</f>
        <v/>
      </c>
      <c r="H374" s="3" t="n">
        <v>0</v>
      </c>
      <c r="I374" s="3">
        <f>ROUND(IF(ISNUMBER(AG374),AG374,G374)+H374,2)</f>
        <v/>
      </c>
      <c r="J374" s="2" t="inlineStr"/>
      <c r="K374" s="5" t="n">
        <v>46291.58333333334</v>
      </c>
      <c r="L374" t="n">
        <v>1</v>
      </c>
      <c r="M374" s="3">
        <f>I374/L374</f>
        <v/>
      </c>
      <c r="N374">
        <f>IF(M374&gt;=5100,"ставка","мин.ставка")</f>
        <v/>
      </c>
      <c r="O374" s="3">
        <f>ROUND(IF(N374="мин.ставка",L374*100,I374/102*2),2)</f>
        <v/>
      </c>
      <c r="P374" s="5" t="n">
        <v>46292.5</v>
      </c>
      <c r="Q374" t="inlineStr">
        <is>
          <t>TravelLine сайт</t>
        </is>
      </c>
      <c r="R374" s="2" t="inlineStr">
        <is>
          <t>ПОЛУЛЮКС</t>
        </is>
      </c>
      <c r="S374" t="n">
        <v>11</v>
      </c>
      <c r="T374" t="n">
        <v>1</v>
      </c>
      <c r="U374" t="inlineStr"/>
      <c r="V374" t="inlineStr">
        <is>
          <t>Основной тариф без завтрака</t>
        </is>
      </c>
      <c r="W374" t="n">
        <v>14535</v>
      </c>
      <c r="X374" s="3" t="n">
        <v>465</v>
      </c>
      <c r="Y374" t="inlineStr">
        <is>
          <t>3.1%</t>
        </is>
      </c>
      <c r="Z374" t="inlineStr">
        <is>
          <t>2026-09-26</t>
        </is>
      </c>
      <c r="AA374" s="3" t="n">
        <v>14535</v>
      </c>
      <c r="AB374" t="inlineStr">
        <is>
          <t>Сошлось по ночным тарифам</t>
        </is>
      </c>
      <c r="AC374" s="2" t="inlineStr"/>
      <c r="AD374" t="n">
        <v>465</v>
      </c>
      <c r="AE374" t="n">
        <v>0</v>
      </c>
      <c r="AF374" t="inlineStr">
        <is>
          <t>Скидка добавлена к налоговой базе</t>
        </is>
      </c>
      <c r="AG374" t="n">
        <v>15000</v>
      </c>
      <c r="AH374" t="n">
        <v>14535</v>
      </c>
      <c r="AI374" t="inlineStr">
        <is>
          <t>Полное проживание в выбранном периоде</t>
        </is>
      </c>
    </row>
    <row r="375">
      <c r="A375" t="inlineStr">
        <is>
          <t>20260702-8186-439080625</t>
        </is>
      </c>
      <c r="B375" t="n">
        <v>1</v>
      </c>
      <c r="C375" s="2" t="inlineStr">
        <is>
          <t>Инга Гогленкова, Алексей Гогленков</t>
        </is>
      </c>
      <c r="D375" s="3" t="n">
        <v>26499.75</v>
      </c>
      <c r="E375" s="4" t="n">
        <v>4</v>
      </c>
      <c r="F375" t="inlineStr">
        <is>
          <t>TravelLine Booking Engine [Чайковский]</t>
        </is>
      </c>
      <c r="G375" s="3">
        <f>ROUND(D375/(100-E375)*100,2)</f>
        <v/>
      </c>
      <c r="H375" s="3" t="n">
        <v>0</v>
      </c>
      <c r="I375" s="3">
        <f>ROUND(IF(ISNUMBER(AG375),AG375,G375)+H375,2)</f>
        <v/>
      </c>
      <c r="J375" s="2" t="inlineStr">
        <is>
          <t>Завтрак "Шведский стол"</t>
        </is>
      </c>
      <c r="K375" s="5" t="n">
        <v>46205.58333333334</v>
      </c>
      <c r="L375" t="n">
        <v>2</v>
      </c>
      <c r="M375" s="3">
        <f>I375/L375</f>
        <v/>
      </c>
      <c r="N375">
        <f>IF(M375&gt;=5100,"ставка","мин.ставка")</f>
        <v/>
      </c>
      <c r="O375" s="3">
        <f>ROUND(IF(N375="мин.ставка",L375*100,I375/102*2),2)</f>
        <v/>
      </c>
      <c r="P375" s="5" t="n">
        <v>46207.5</v>
      </c>
      <c r="Q375" t="inlineStr">
        <is>
          <t>TravelLine сайт</t>
        </is>
      </c>
      <c r="R375" s="2" t="inlineStr">
        <is>
          <t>СТАНДАРТНЫЙ ДВУХМЕСТНЫЙ НОМЕР</t>
        </is>
      </c>
      <c r="S375" t="n">
        <v>32</v>
      </c>
      <c r="T375" t="n">
        <v>1</v>
      </c>
      <c r="U375" t="inlineStr"/>
      <c r="V375" t="inlineStr">
        <is>
          <t>Тариф с завтраком</t>
        </is>
      </c>
      <c r="W375" t="n">
        <v>26499.75</v>
      </c>
      <c r="X375" s="3" t="n">
        <v>200.25</v>
      </c>
      <c r="Y375" t="inlineStr">
        <is>
          <t>1.5%</t>
        </is>
      </c>
      <c r="Z375" t="inlineStr">
        <is>
          <t>2026-07-02</t>
        </is>
      </c>
      <c r="AA375" s="3" t="n">
        <v>26499.75</v>
      </c>
      <c r="AB375" t="inlineStr">
        <is>
          <t>Сошлось по ночным тарифам</t>
        </is>
      </c>
      <c r="AC375" s="2" t="inlineStr"/>
      <c r="AD375" t="n">
        <v>200.25</v>
      </c>
      <c r="AE375" t="n">
        <v>0</v>
      </c>
      <c r="AF375" t="inlineStr">
        <is>
          <t>Скидка добавлена к налоговой базе</t>
        </is>
      </c>
      <c r="AG375" t="n">
        <v>26700</v>
      </c>
      <c r="AH375" t="n">
        <v>26499.75</v>
      </c>
      <c r="AI375" t="inlineStr">
        <is>
          <t>Полное проживание в выбранном периоде</t>
        </is>
      </c>
    </row>
    <row r="376">
      <c r="A376" t="inlineStr">
        <is>
          <t>20260710-8186-442927054</t>
        </is>
      </c>
      <c r="B376" t="n">
        <v>1</v>
      </c>
      <c r="C376" s="2" t="inlineStr">
        <is>
          <t>Инна Кондрахина</t>
        </is>
      </c>
      <c r="D376" s="3" t="n">
        <v>9647.5</v>
      </c>
      <c r="E376" s="4" t="n">
        <v>15</v>
      </c>
      <c r="F376" t="inlineStr">
        <is>
          <t>ООО "БРОНИРОВАНИЕ ГОСТИНИЦ" (OSTROVOK) [Чайковский]</t>
        </is>
      </c>
      <c r="G376" s="3">
        <f>ROUND(D376/(100-E376)*100,2)</f>
        <v/>
      </c>
      <c r="H376" s="3" t="n">
        <v>0</v>
      </c>
      <c r="I376" s="3">
        <f>ROUND(IF(ISNUMBER(AG376),AG376,G376)+H376,2)</f>
        <v/>
      </c>
      <c r="J376" s="2" t="inlineStr">
        <is>
          <t>Завтрак "Шведский стол"</t>
        </is>
      </c>
      <c r="K376" s="5" t="n">
        <v>46213.58333333334</v>
      </c>
      <c r="L376" t="n">
        <v>1</v>
      </c>
      <c r="M376" s="3">
        <f>I376/L376</f>
        <v/>
      </c>
      <c r="N376">
        <f>IF(M376&gt;=5100,"ставка","мин.ставка")</f>
        <v/>
      </c>
      <c r="O376" s="3">
        <f>ROUND(IF(N376="мин.ставка",L376*100,I376/102*2),2)</f>
        <v/>
      </c>
      <c r="P376" s="5" t="n">
        <v>46214.5</v>
      </c>
      <c r="Q376" t="inlineStr">
        <is>
          <t>TravelLine OTK</t>
        </is>
      </c>
      <c r="R376" s="2" t="inlineStr">
        <is>
          <t>СТАНДАРТНЫЙ ДВУХМЕСТНЫЙ НОМЕР</t>
        </is>
      </c>
      <c r="S376" t="n">
        <v>42</v>
      </c>
      <c r="T376" t="n">
        <v>1</v>
      </c>
      <c r="U376" t="inlineStr"/>
      <c r="V376" t="inlineStr">
        <is>
          <t>Тариф с завтраком</t>
        </is>
      </c>
      <c r="W376" t="n">
        <v>9647.5</v>
      </c>
      <c r="X376" s="3" t="n">
        <v>1702.5</v>
      </c>
      <c r="Y376" t="inlineStr">
        <is>
          <t>15%</t>
        </is>
      </c>
      <c r="Z376" t="inlineStr">
        <is>
          <t>2026-07-10</t>
        </is>
      </c>
      <c r="AA376" s="3" t="n">
        <v>9647.5</v>
      </c>
      <c r="AB376" t="inlineStr">
        <is>
          <t>Сошлось по ночным тарифам</t>
        </is>
      </c>
      <c r="AC376" s="2" t="inlineStr"/>
      <c r="AD376" t="n">
        <v>1702.5</v>
      </c>
      <c r="AE376" t="n">
        <v>0</v>
      </c>
      <c r="AF376" t="inlineStr">
        <is>
          <t>Скидка добавлена к налоговой базе</t>
        </is>
      </c>
      <c r="AG376" t="n">
        <v>11350</v>
      </c>
      <c r="AH376" t="n">
        <v>9647.5</v>
      </c>
      <c r="AI376" t="inlineStr">
        <is>
          <t>Полное проживание в выбранном периоде</t>
        </is>
      </c>
    </row>
    <row r="377">
      <c r="A377" t="inlineStr">
        <is>
          <t>20260716-8186-450105684</t>
        </is>
      </c>
      <c r="B377" t="n">
        <v>1</v>
      </c>
      <c r="C377" s="2" t="inlineStr">
        <is>
          <t>ИННА ФИРСОВА</t>
        </is>
      </c>
      <c r="D377" s="3" t="n">
        <v>21976</v>
      </c>
      <c r="E377" s="4" t="n">
        <v>18</v>
      </c>
      <c r="F377" t="inlineStr">
        <is>
          <t>ООО "ТРИВИО СЕРВИС" [Чайковский]</t>
        </is>
      </c>
      <c r="G377" s="3">
        <f>ROUND(D377/(100-E377)*100,2)</f>
        <v/>
      </c>
      <c r="H377" s="3" t="n">
        <v>0</v>
      </c>
      <c r="I377" s="3">
        <f>ROUND(IF(ISNUMBER(AG377),AG377,G377)+H377,2)</f>
        <v/>
      </c>
      <c r="J377" s="2" t="inlineStr">
        <is>
          <t>Завтрак "Шведский стол"</t>
        </is>
      </c>
      <c r="K377" s="5" t="n">
        <v>46219.58333333334</v>
      </c>
      <c r="L377" t="n">
        <v>2</v>
      </c>
      <c r="M377" s="3">
        <f>I377/L377</f>
        <v/>
      </c>
      <c r="N377">
        <f>IF(M377&gt;=5100,"ставка","мин.ставка")</f>
        <v/>
      </c>
      <c r="O377" s="3">
        <f>ROUND(IF(N377="мин.ставка",L377*100,I377/102*2),2)</f>
        <v/>
      </c>
      <c r="P377" s="5" t="n">
        <v>46221.5</v>
      </c>
      <c r="Q377" t="inlineStr">
        <is>
          <t>TravelLine TIO</t>
        </is>
      </c>
      <c r="R377" s="2" t="inlineStr">
        <is>
          <t>УЛУЧШЕННЫЙ ДВУХМЕСТНЫЙ НОМЕР</t>
        </is>
      </c>
      <c r="S377" t="n">
        <v>21</v>
      </c>
      <c r="T377" t="n">
        <v>1</v>
      </c>
      <c r="U377" t="inlineStr"/>
      <c r="V377" t="inlineStr">
        <is>
          <t>Тариф с завтраком</t>
        </is>
      </c>
      <c r="W377" t="n">
        <v>21976</v>
      </c>
      <c r="X377" s="3" t="n">
        <v>4824</v>
      </c>
      <c r="Y377" t="inlineStr">
        <is>
          <t>18%</t>
        </is>
      </c>
      <c r="Z377" t="inlineStr">
        <is>
          <t>2026-07-16, 2026-07-17</t>
        </is>
      </c>
      <c r="AA377" s="3" t="n">
        <v>21976</v>
      </c>
      <c r="AB377" t="inlineStr">
        <is>
          <t>Сошлось по ночным тарифам</t>
        </is>
      </c>
      <c r="AC377" s="2" t="inlineStr"/>
      <c r="AD377" t="n">
        <v>4824</v>
      </c>
      <c r="AE377" t="n">
        <v>0</v>
      </c>
      <c r="AF377" t="inlineStr">
        <is>
          <t>Скидка добавлена к налоговой базе</t>
        </is>
      </c>
      <c r="AG377" t="n">
        <v>26800</v>
      </c>
      <c r="AH377" t="n">
        <v>21976</v>
      </c>
      <c r="AI377" t="inlineStr">
        <is>
          <t>Полное проживание в выбранном периоде</t>
        </is>
      </c>
    </row>
    <row r="378">
      <c r="A378" t="inlineStr">
        <is>
          <t>20260818-8186-444575341</t>
        </is>
      </c>
      <c r="B378" t="n">
        <v>1</v>
      </c>
      <c r="C378" s="2" t="inlineStr">
        <is>
          <t>Иннокентий Грибанов</t>
        </is>
      </c>
      <c r="D378" s="3" t="n">
        <v>12320</v>
      </c>
      <c r="E378" s="4" t="n">
        <v>20</v>
      </c>
      <c r="F378" t="inlineStr">
        <is>
          <t>ООО "ХБ-ПРО" [Чайковский]</t>
        </is>
      </c>
      <c r="G378" s="3">
        <f>ROUND(D378/(100-E378)*100,2)</f>
        <v/>
      </c>
      <c r="H378" s="3" t="n">
        <v>0</v>
      </c>
      <c r="I378" s="3">
        <f>ROUND(IF(ISNUMBER(AG378),AG378,G378)+H378,2)</f>
        <v/>
      </c>
      <c r="J378" s="2" t="inlineStr">
        <is>
          <t>Завтрак "Шведский стол"</t>
        </is>
      </c>
      <c r="K378" s="5" t="n">
        <v>46252.58333333334</v>
      </c>
      <c r="L378" t="n">
        <v>2</v>
      </c>
      <c r="M378" s="3">
        <f>I378/L378</f>
        <v/>
      </c>
      <c r="N378">
        <f>IF(M378&gt;=5100,"ставка","мин.ставка")</f>
        <v/>
      </c>
      <c r="O378" s="3">
        <f>ROUND(IF(N378="мин.ставка",L378*100,I378/102*2),2)</f>
        <v/>
      </c>
      <c r="P378" s="5" t="n">
        <v>46254.5</v>
      </c>
      <c r="Q378" t="inlineStr">
        <is>
          <t>TravelLine UTS</t>
        </is>
      </c>
      <c r="R378" s="2" t="inlineStr">
        <is>
          <t>СТАНДАРТНЫЙ ОДНОМЕСТНЫЙ НОМЕР</t>
        </is>
      </c>
      <c r="S378" t="n">
        <v>24</v>
      </c>
      <c r="T378" t="n">
        <v>1</v>
      </c>
      <c r="U378" t="inlineStr"/>
      <c r="V378" t="inlineStr">
        <is>
          <t>Тариф с завтраком</t>
        </is>
      </c>
      <c r="W378" t="n">
        <v>12320</v>
      </c>
      <c r="X378" s="3" t="n">
        <v>0</v>
      </c>
      <c r="Y378" t="inlineStr"/>
      <c r="Z378" t="inlineStr"/>
      <c r="AA378" s="3" t="n">
        <v>12320</v>
      </c>
      <c r="AB378" t="inlineStr">
        <is>
          <t>Сошлось по ночным тарифам</t>
        </is>
      </c>
      <c r="AC378" s="2" t="inlineStr"/>
      <c r="AD378" t="n">
        <v>0</v>
      </c>
      <c r="AE378" t="n">
        <v>0</v>
      </c>
      <c r="AF378" t="inlineStr">
        <is>
          <t>Скидки нет</t>
        </is>
      </c>
      <c r="AG378" t="n">
        <v>12320</v>
      </c>
      <c r="AH378" t="n">
        <v>12320</v>
      </c>
      <c r="AI378" t="inlineStr">
        <is>
          <t>Полное проживание в выбранном периоде</t>
        </is>
      </c>
    </row>
    <row r="379">
      <c r="A379" t="inlineStr">
        <is>
          <t>20260928-8186-467484877</t>
        </is>
      </c>
      <c r="B379" t="n">
        <v>1</v>
      </c>
      <c r="C379" s="2" t="inlineStr">
        <is>
          <t>Ирина Балашова</t>
        </is>
      </c>
      <c r="D379" s="3" t="n">
        <v>6314</v>
      </c>
      <c r="E379" s="4" t="n">
        <v>18</v>
      </c>
      <c r="F379" t="inlineStr">
        <is>
          <t>ООО "Эй энд Эй" [Чайковский]</t>
        </is>
      </c>
      <c r="G379" s="3">
        <f>ROUND(D379/(100-E379)*100,2)</f>
        <v/>
      </c>
      <c r="H379" s="3" t="n">
        <v>0</v>
      </c>
      <c r="I379" s="3">
        <f>ROUND(IF(ISNUMBER(AG379),AG379,G379)+H379,2)</f>
        <v/>
      </c>
      <c r="J379" s="2" t="inlineStr">
        <is>
          <t>Завтрак "Шведский стол"</t>
        </is>
      </c>
      <c r="K379" s="5" t="n">
        <v>46293.58333333334</v>
      </c>
      <c r="L379" t="n">
        <v>1</v>
      </c>
      <c r="M379" s="3">
        <f>I379/L379</f>
        <v/>
      </c>
      <c r="N379">
        <f>IF(M379&gt;=5100,"ставка","мин.ставка")</f>
        <v/>
      </c>
      <c r="O379" s="3">
        <f>ROUND(IF(N379="мин.ставка",L379*100,I379/102*2),2)</f>
        <v/>
      </c>
      <c r="P379" s="5" t="n">
        <v>46294.5</v>
      </c>
      <c r="Q379" t="inlineStr">
        <is>
          <t>TravelLine ANA</t>
        </is>
      </c>
      <c r="R379" s="2" t="inlineStr">
        <is>
          <t>СТАНДАРТНЫЙ ОДНОМЕСТНЫЙ НОМЕР</t>
        </is>
      </c>
      <c r="S379" t="n">
        <v>24</v>
      </c>
      <c r="T379" t="n">
        <v>1</v>
      </c>
      <c r="U379" t="inlineStr"/>
      <c r="V379" t="inlineStr">
        <is>
          <t>Тариф с завтраком</t>
        </is>
      </c>
      <c r="W379" t="n">
        <v>6314</v>
      </c>
      <c r="X379" s="3" t="n">
        <v>1386</v>
      </c>
      <c r="Y379" t="inlineStr">
        <is>
          <t>18%</t>
        </is>
      </c>
      <c r="Z379" t="inlineStr">
        <is>
          <t>2026-09-28</t>
        </is>
      </c>
      <c r="AA379" s="3" t="n">
        <v>6314</v>
      </c>
      <c r="AB379" t="inlineStr">
        <is>
          <t>Сошлось по ночным тарифам</t>
        </is>
      </c>
      <c r="AC379" s="2" t="inlineStr"/>
      <c r="AD379" t="n">
        <v>1386</v>
      </c>
      <c r="AE379" t="n">
        <v>0</v>
      </c>
      <c r="AF379" t="inlineStr">
        <is>
          <t>Скидка добавлена к налоговой базе</t>
        </is>
      </c>
      <c r="AG379" t="n">
        <v>7700</v>
      </c>
      <c r="AH379" t="n">
        <v>6314</v>
      </c>
      <c r="AI379" t="inlineStr">
        <is>
          <t>Полное проживание в выбранном периоде</t>
        </is>
      </c>
    </row>
    <row r="380">
      <c r="A380" t="inlineStr">
        <is>
          <t>20260913-8186-464847619</t>
        </is>
      </c>
      <c r="B380" t="n">
        <v>1</v>
      </c>
      <c r="C380" s="2" t="inlineStr">
        <is>
          <t>Ирина Карпова, Анна Чурилова</t>
        </is>
      </c>
      <c r="D380" s="3" t="n">
        <v>16434</v>
      </c>
      <c r="E380" s="4" t="n">
        <v>17</v>
      </c>
      <c r="F380" t="inlineStr">
        <is>
          <t>ООО «Интернет Трэвел» (OZON) [Чайковский]</t>
        </is>
      </c>
      <c r="G380" s="3">
        <f>ROUND(D380/(100-E380)*100,2)</f>
        <v/>
      </c>
      <c r="H380" s="3" t="n">
        <v>0</v>
      </c>
      <c r="I380" s="3">
        <f>ROUND(IF(ISNUMBER(AG380),AG380,G380)+H380,2)</f>
        <v/>
      </c>
      <c r="J380" s="2" t="inlineStr">
        <is>
          <t>Завтрак "Шведский стол"</t>
        </is>
      </c>
      <c r="K380" s="5" t="n">
        <v>46278.58333333334</v>
      </c>
      <c r="L380" t="n">
        <v>2</v>
      </c>
      <c r="M380" s="3">
        <f>I380/L380</f>
        <v/>
      </c>
      <c r="N380">
        <f>IF(M380&gt;=5100,"ставка","мин.ставка")</f>
        <v/>
      </c>
      <c r="O380" s="3">
        <f>ROUND(IF(N380="мин.ставка",L380*100,I380/102*2),2)</f>
        <v/>
      </c>
      <c r="P380" s="5" t="n">
        <v>46280.5</v>
      </c>
      <c r="Q380" t="inlineStr">
        <is>
          <t>TravelLine OZ2</t>
        </is>
      </c>
      <c r="R380" s="2" t="inlineStr">
        <is>
          <t>СТАНДАРТНЫЙ ДВУХМЕСТНЫЙ НОМЕР (МАНСАРДА)</t>
        </is>
      </c>
      <c r="S380" t="n">
        <v>47</v>
      </c>
      <c r="T380" t="n">
        <v>1</v>
      </c>
      <c r="U380" t="inlineStr"/>
      <c r="V380" t="inlineStr">
        <is>
          <t>Тариф с завтраком</t>
        </is>
      </c>
      <c r="W380" t="n">
        <v>16434</v>
      </c>
      <c r="X380" s="3" t="n">
        <v>3366</v>
      </c>
      <c r="Y380" t="inlineStr">
        <is>
          <t>17%</t>
        </is>
      </c>
      <c r="Z380" t="inlineStr">
        <is>
          <t>2026-09-13, 2026-09-14</t>
        </is>
      </c>
      <c r="AA380" s="3" t="n">
        <v>16434</v>
      </c>
      <c r="AB380" t="inlineStr">
        <is>
          <t>Сошлось по ночным тарифам</t>
        </is>
      </c>
      <c r="AC380" s="2" t="inlineStr"/>
      <c r="AD380" t="n">
        <v>3366</v>
      </c>
      <c r="AE380" t="n">
        <v>0</v>
      </c>
      <c r="AF380" t="inlineStr">
        <is>
          <t>Скидка добавлена к налоговой базе</t>
        </is>
      </c>
      <c r="AG380" t="n">
        <v>19800</v>
      </c>
      <c r="AH380" t="n">
        <v>16434</v>
      </c>
      <c r="AI380" t="inlineStr">
        <is>
          <t>Полное проживание в выбранном периоде</t>
        </is>
      </c>
    </row>
    <row r="381">
      <c r="A381" t="inlineStr">
        <is>
          <t>20260928-8186-463600860</t>
        </is>
      </c>
      <c r="B381" t="n">
        <v>1</v>
      </c>
      <c r="C381" s="2" t="inlineStr">
        <is>
          <t>ИРИНА КИМ</t>
        </is>
      </c>
      <c r="D381" s="3" t="n">
        <v>36918</v>
      </c>
      <c r="E381" s="4" t="n">
        <v>16</v>
      </c>
      <c r="F381" t="inlineStr">
        <is>
          <t>ООО "БРОНИРОВАНИЕ ГОСТИНИЦ" (OSTROVOK) [Чайковский]</t>
        </is>
      </c>
      <c r="G381" s="3">
        <f>ROUND(D381/(100-E381)*100,2)</f>
        <v/>
      </c>
      <c r="H381" s="3" t="n">
        <v>0</v>
      </c>
      <c r="I381" s="3">
        <f>ROUND(IF(ISNUMBER(AG381),AG381,G381)+H381,2)</f>
        <v/>
      </c>
      <c r="J381" s="2" t="inlineStr"/>
      <c r="K381" s="5" t="n">
        <v>46293.58333333334</v>
      </c>
      <c r="L381" t="n">
        <v>3</v>
      </c>
      <c r="M381" s="3">
        <f>I381/L381</f>
        <v/>
      </c>
      <c r="N381">
        <f>IF(M381&gt;=5100,"ставка","мин.ставка")</f>
        <v/>
      </c>
      <c r="O381" s="3">
        <f>ROUND(IF(N381="мин.ставка",L381*100,I381/102*2),2)</f>
        <v/>
      </c>
      <c r="P381" s="5" t="n">
        <v>46297.5</v>
      </c>
      <c r="Q381" t="inlineStr">
        <is>
          <t>TravelLine OTK</t>
        </is>
      </c>
      <c r="R381" s="2" t="inlineStr">
        <is>
          <t>СТАНДАРТНЫЙ ДВУХМЕСТНЫЙ НОМЕР</t>
        </is>
      </c>
      <c r="S381" t="n">
        <v>26</v>
      </c>
      <c r="T381" t="n">
        <v>1</v>
      </c>
      <c r="U381" t="inlineStr"/>
      <c r="V381" t="inlineStr">
        <is>
          <t>Тариф с завтраком</t>
        </is>
      </c>
      <c r="W381" t="n">
        <v>36918</v>
      </c>
      <c r="X381" s="3" t="n">
        <v>7032</v>
      </c>
      <c r="Y381" t="inlineStr">
        <is>
          <t>16%</t>
        </is>
      </c>
      <c r="Z381" t="inlineStr">
        <is>
          <t>Не распределена по датам</t>
        </is>
      </c>
      <c r="AA381" s="3" t="n">
        <v>36918</v>
      </c>
      <c r="AB381" t="inlineStr">
        <is>
          <t>Сошлось по ночным тарифам</t>
        </is>
      </c>
      <c r="AC381" s="2" t="inlineStr"/>
      <c r="AD381" t="n">
        <v>0</v>
      </c>
      <c r="AE381" t="n">
        <v>0</v>
      </c>
      <c r="AF381" t="inlineStr">
        <is>
          <t>Частичный период: дата агрегированной скидки не определена; скидка не добавлена к базе</t>
        </is>
      </c>
      <c r="AG381" t="n">
        <v>28602</v>
      </c>
      <c r="AH381" t="n">
        <v>28602</v>
      </c>
      <c r="AI381" t="inlineStr">
        <is>
          <t>Частичное проживание распределено по dailyRates; скидка без даты не восстановлена</t>
        </is>
      </c>
    </row>
    <row r="382">
      <c r="A382" t="inlineStr">
        <is>
          <t>20260801-8186-455059774</t>
        </is>
      </c>
      <c r="B382" t="n">
        <v>1</v>
      </c>
      <c r="C382" s="2" t="inlineStr">
        <is>
          <t>ИРИНА КИСЕЛЬ</t>
        </is>
      </c>
      <c r="D382" s="3" t="n">
        <v>9534</v>
      </c>
      <c r="E382" s="4" t="n">
        <v>16</v>
      </c>
      <c r="F382" t="inlineStr">
        <is>
          <t>ООО "БРОНИРОВАНИЕ ГОСТИНИЦ" (OSTROVOK) [Чайковский]</t>
        </is>
      </c>
      <c r="G382" s="3">
        <f>ROUND(D382/(100-E382)*100,2)</f>
        <v/>
      </c>
      <c r="H382" s="3" t="n">
        <v>0</v>
      </c>
      <c r="I382" s="3">
        <f>ROUND(IF(ISNUMBER(AG382),AG382,G382)+H382,2)</f>
        <v/>
      </c>
      <c r="J382" s="2" t="inlineStr">
        <is>
          <t>Завтрак "Шведский стол"</t>
        </is>
      </c>
      <c r="K382" s="5" t="n">
        <v>46235.58333333334</v>
      </c>
      <c r="L382" t="n">
        <v>1</v>
      </c>
      <c r="M382" s="3">
        <f>I382/L382</f>
        <v/>
      </c>
      <c r="N382">
        <f>IF(M382&gt;=5100,"ставка","мин.ставка")</f>
        <v/>
      </c>
      <c r="O382" s="3">
        <f>ROUND(IF(N382="мин.ставка",L382*100,I382/102*2),2)</f>
        <v/>
      </c>
      <c r="P382" s="5" t="n">
        <v>46236.5</v>
      </c>
      <c r="Q382" t="inlineStr">
        <is>
          <t>TravelLine OTK</t>
        </is>
      </c>
      <c r="R382" s="2" t="inlineStr">
        <is>
          <t>СТАНДАРТНЫЙ ДВУХМЕСТНЫЙ НОМЕР</t>
        </is>
      </c>
      <c r="S382" t="n">
        <v>23</v>
      </c>
      <c r="T382" t="n">
        <v>1</v>
      </c>
      <c r="U382" t="inlineStr"/>
      <c r="V382" t="inlineStr">
        <is>
          <t>Тариф с завтраком</t>
        </is>
      </c>
      <c r="W382" t="n">
        <v>9534</v>
      </c>
      <c r="X382" s="3" t="n">
        <v>1816</v>
      </c>
      <c r="Y382" t="inlineStr">
        <is>
          <t>16%</t>
        </is>
      </c>
      <c r="Z382" t="inlineStr">
        <is>
          <t>2026-08-01</t>
        </is>
      </c>
      <c r="AA382" s="3" t="n">
        <v>9534</v>
      </c>
      <c r="AB382" t="inlineStr">
        <is>
          <t>Сошлось по ночным тарифам</t>
        </is>
      </c>
      <c r="AC382" s="2" t="inlineStr"/>
      <c r="AD382" t="n">
        <v>1816</v>
      </c>
      <c r="AE382" t="n">
        <v>0</v>
      </c>
      <c r="AF382" t="inlineStr">
        <is>
          <t>Скидка добавлена к налоговой базе</t>
        </is>
      </c>
      <c r="AG382" t="n">
        <v>11350</v>
      </c>
      <c r="AH382" t="n">
        <v>9534</v>
      </c>
      <c r="AI382" t="inlineStr">
        <is>
          <t>Полное проживание в выбранном периоде</t>
        </is>
      </c>
    </row>
    <row r="383">
      <c r="A383" t="inlineStr">
        <is>
          <t>20260714-8186-449060920</t>
        </is>
      </c>
      <c r="B383" t="n">
        <v>1</v>
      </c>
      <c r="C383" s="2" t="inlineStr">
        <is>
          <t>Ирина Колобродова</t>
        </is>
      </c>
      <c r="D383" s="3" t="n">
        <v>6320</v>
      </c>
      <c r="E383" s="4" t="n">
        <v>20</v>
      </c>
      <c r="F383" t="inlineStr">
        <is>
          <t>ООО "КОМПАНИЯ БРОНЕВИК" [Чайковский]</t>
        </is>
      </c>
      <c r="G383" s="3">
        <f>ROUND(D383/(100-E383)*100,2)</f>
        <v/>
      </c>
      <c r="H383" s="3" t="n">
        <v>0</v>
      </c>
      <c r="I383" s="3">
        <f>ROUND(IF(ISNUMBER(AG383),AG383,G383)+H383,2)</f>
        <v/>
      </c>
      <c r="J383" s="2" t="inlineStr">
        <is>
          <t>Завтрак "Шведский стол"</t>
        </is>
      </c>
      <c r="K383" s="5" t="n">
        <v>46217.58333333334</v>
      </c>
      <c r="L383" t="n">
        <v>1</v>
      </c>
      <c r="M383" s="3">
        <f>I383/L383</f>
        <v/>
      </c>
      <c r="N383">
        <f>IF(M383&gt;=5100,"ставка","мин.ставка")</f>
        <v/>
      </c>
      <c r="O383" s="3">
        <f>ROUND(IF(N383="мин.ставка",L383*100,I383/102*2),2)</f>
        <v/>
      </c>
      <c r="P383" s="5" t="n">
        <v>46218.5</v>
      </c>
      <c r="Q383" t="inlineStr">
        <is>
          <t>TravelLine BR2</t>
        </is>
      </c>
      <c r="R383" s="2" t="inlineStr">
        <is>
          <t>СТАНДАРТНЫЙ ДВУХМЕСТНЫЙ НОМЕР (МАНСАРДА)</t>
        </is>
      </c>
      <c r="S383" t="n">
        <v>41</v>
      </c>
      <c r="T383" t="n">
        <v>1</v>
      </c>
      <c r="U383" t="inlineStr"/>
      <c r="V383" t="inlineStr">
        <is>
          <t>Тариф с завтраком</t>
        </is>
      </c>
      <c r="W383" t="n">
        <v>6320</v>
      </c>
      <c r="X383" s="3" t="n">
        <v>0</v>
      </c>
      <c r="Y383" t="inlineStr"/>
      <c r="Z383" t="inlineStr"/>
      <c r="AA383" s="3" t="n">
        <v>6320</v>
      </c>
      <c r="AB383" t="inlineStr">
        <is>
          <t>Сошлось по ночным тарифам</t>
        </is>
      </c>
      <c r="AC383" s="2" t="inlineStr"/>
      <c r="AD383" t="n">
        <v>0</v>
      </c>
      <c r="AE383" t="n">
        <v>0</v>
      </c>
      <c r="AF383" t="inlineStr">
        <is>
          <t>Скидки нет</t>
        </is>
      </c>
      <c r="AG383" t="n">
        <v>6320</v>
      </c>
      <c r="AH383" t="n">
        <v>6320</v>
      </c>
      <c r="AI383" t="inlineStr">
        <is>
          <t>Полное проживание в выбранном периоде</t>
        </is>
      </c>
    </row>
    <row r="384">
      <c r="A384" t="inlineStr">
        <is>
          <t>20260919-8186-467095647</t>
        </is>
      </c>
      <c r="B384" t="n">
        <v>1</v>
      </c>
      <c r="C384" s="2" t="inlineStr">
        <is>
          <t>Ирина Курандина, СЕРГЕЙ КУРАНДИН</t>
        </is>
      </c>
      <c r="D384" s="3" t="n">
        <v>13149.75</v>
      </c>
      <c r="E384" s="4" t="n">
        <v>4</v>
      </c>
      <c r="F384" t="inlineStr">
        <is>
          <t>TravelLine Booking Engine [Чайковский]</t>
        </is>
      </c>
      <c r="G384" s="3">
        <f>ROUND(D384/(100-E384)*100,2)</f>
        <v/>
      </c>
      <c r="H384" s="3" t="n">
        <v>0</v>
      </c>
      <c r="I384" s="3">
        <f>ROUND(IF(ISNUMBER(AG384),AG384,G384)+H384,2)</f>
        <v/>
      </c>
      <c r="J384" s="2" t="inlineStr">
        <is>
          <t>Завтрак "Шведский стол"</t>
        </is>
      </c>
      <c r="K384" s="5" t="n">
        <v>46284.58333333334</v>
      </c>
      <c r="L384" t="n">
        <v>1</v>
      </c>
      <c r="M384" s="3">
        <f>I384/L384</f>
        <v/>
      </c>
      <c r="N384">
        <f>IF(M384&gt;=5100,"ставка","мин.ставка")</f>
        <v/>
      </c>
      <c r="O384" s="3">
        <f>ROUND(IF(N384="мин.ставка",L384*100,I384/102*2),2)</f>
        <v/>
      </c>
      <c r="P384" s="5" t="n">
        <v>46285.5</v>
      </c>
      <c r="Q384" t="inlineStr">
        <is>
          <t>TravelLine сайт</t>
        </is>
      </c>
      <c r="R384" s="2" t="inlineStr">
        <is>
          <t>СТАНДАРТНЫЙ ДВУХМЕСТНЫЙ НОМЕР</t>
        </is>
      </c>
      <c r="S384" t="n">
        <v>33</v>
      </c>
      <c r="T384" t="n">
        <v>1</v>
      </c>
      <c r="U384" t="inlineStr"/>
      <c r="V384" t="inlineStr">
        <is>
          <t>Тариф с завтраком</t>
        </is>
      </c>
      <c r="W384" t="n">
        <v>13149.75</v>
      </c>
      <c r="X384" s="3" t="n">
        <v>200.25</v>
      </c>
      <c r="Y384" t="inlineStr">
        <is>
          <t>1.5%</t>
        </is>
      </c>
      <c r="Z384" t="inlineStr">
        <is>
          <t>2026-09-19</t>
        </is>
      </c>
      <c r="AA384" s="3" t="n">
        <v>13149.75</v>
      </c>
      <c r="AB384" t="inlineStr">
        <is>
          <t>Сошлось по ночным тарифам</t>
        </is>
      </c>
      <c r="AC384" s="2" t="inlineStr"/>
      <c r="AD384" t="n">
        <v>200.25</v>
      </c>
      <c r="AE384" t="n">
        <v>0</v>
      </c>
      <c r="AF384" t="inlineStr">
        <is>
          <t>Скидка добавлена к налоговой базе</t>
        </is>
      </c>
      <c r="AG384" t="n">
        <v>13350</v>
      </c>
      <c r="AH384" t="n">
        <v>13149.75</v>
      </c>
      <c r="AI384" t="inlineStr">
        <is>
          <t>Полное проживание в выбранном периоде</t>
        </is>
      </c>
    </row>
    <row r="385">
      <c r="A385" t="inlineStr">
        <is>
          <t>20260921-8186-448932640</t>
        </is>
      </c>
      <c r="B385" t="n">
        <v>1</v>
      </c>
      <c r="C385" s="2" t="inlineStr">
        <is>
          <t>Ирина Лисицкая, Андрей Лисицкий</t>
        </is>
      </c>
      <c r="D385" s="3" t="n">
        <v>31680</v>
      </c>
      <c r="E385" s="4" t="n">
        <v>20</v>
      </c>
      <c r="F385" t="inlineStr">
        <is>
          <t>ООО "КОМПАНИЯ БРОНЕВИК" [Чайковский]</t>
        </is>
      </c>
      <c r="G385" s="3">
        <f>ROUND(D385/(100-E385)*100,2)</f>
        <v/>
      </c>
      <c r="H385" s="3" t="n">
        <v>0</v>
      </c>
      <c r="I385" s="3">
        <f>ROUND(IF(ISNUMBER(AG385),AG385,G385)+H385,2)</f>
        <v/>
      </c>
      <c r="J385" s="2" t="inlineStr">
        <is>
          <t>Завтрак "Шведский стол"</t>
        </is>
      </c>
      <c r="K385" s="5" t="n">
        <v>46286.58333333334</v>
      </c>
      <c r="L385" t="n">
        <v>4</v>
      </c>
      <c r="M385" s="3">
        <f>I385/L385</f>
        <v/>
      </c>
      <c r="N385">
        <f>IF(M385&gt;=5100,"ставка","мин.ставка")</f>
        <v/>
      </c>
      <c r="O385" s="3">
        <f>ROUND(IF(N385="мин.ставка",L385*100,I385/102*2),2)</f>
        <v/>
      </c>
      <c r="P385" s="5" t="n">
        <v>46290.5</v>
      </c>
      <c r="Q385" t="inlineStr">
        <is>
          <t>TravelLine BR2</t>
        </is>
      </c>
      <c r="R385" s="2" t="inlineStr">
        <is>
          <t>СТАНДАРТНЫЙ ДВУХМЕСТНЫЙ НОМЕР (МАНСАРДА)</t>
        </is>
      </c>
      <c r="S385" t="n">
        <v>47</v>
      </c>
      <c r="T385" t="n">
        <v>1</v>
      </c>
      <c r="U385" t="inlineStr"/>
      <c r="V385" t="inlineStr">
        <is>
          <t>Тариф с завтраком</t>
        </is>
      </c>
      <c r="W385" t="n">
        <v>31680</v>
      </c>
      <c r="X385" s="3" t="n">
        <v>0</v>
      </c>
      <c r="Y385" t="inlineStr"/>
      <c r="Z385" t="inlineStr"/>
      <c r="AA385" s="3" t="n">
        <v>31680</v>
      </c>
      <c r="AB385" t="inlineStr">
        <is>
          <t>Сошлось по ночным тарифам</t>
        </is>
      </c>
      <c r="AC385" s="2" t="inlineStr"/>
      <c r="AD385" t="n">
        <v>0</v>
      </c>
      <c r="AE385" t="n">
        <v>0</v>
      </c>
      <c r="AF385" t="inlineStr">
        <is>
          <t>Скидки нет</t>
        </is>
      </c>
      <c r="AG385" t="n">
        <v>31680</v>
      </c>
      <c r="AH385" t="n">
        <v>31680</v>
      </c>
      <c r="AI385" t="inlineStr">
        <is>
          <t>Полное проживание в выбранном периоде</t>
        </is>
      </c>
    </row>
    <row r="386">
      <c r="A386" t="inlineStr">
        <is>
          <t>20260905-8186-463074554</t>
        </is>
      </c>
      <c r="B386" t="n">
        <v>1</v>
      </c>
      <c r="C386" s="2" t="inlineStr">
        <is>
          <t>Ирина Мазий, Антон Иванчиков</t>
        </is>
      </c>
      <c r="D386" s="3" t="n">
        <v>53400</v>
      </c>
      <c r="E386" s="4" t="n">
        <v>20</v>
      </c>
      <c r="F386" t="inlineStr">
        <is>
          <t>ООО "КОМПАНИЯ БРОНЕВИК" [Чайковский]</t>
        </is>
      </c>
      <c r="G386" s="3">
        <f>ROUND(D386/(100-E386)*100,2)</f>
        <v/>
      </c>
      <c r="H386" s="3" t="n">
        <v>0</v>
      </c>
      <c r="I386" s="3">
        <f>ROUND(IF(ISNUMBER(AG386),AG386,G386)+H386,2)</f>
        <v/>
      </c>
      <c r="J386" s="2" t="inlineStr">
        <is>
          <t>Завтрак "Шведский стол"</t>
        </is>
      </c>
      <c r="K386" s="5" t="n">
        <v>46270.58333333334</v>
      </c>
      <c r="L386" t="n">
        <v>5</v>
      </c>
      <c r="M386" s="3">
        <f>I386/L386</f>
        <v/>
      </c>
      <c r="N386">
        <f>IF(M386&gt;=5100,"ставка","мин.ставка")</f>
        <v/>
      </c>
      <c r="O386" s="3">
        <f>ROUND(IF(N386="мин.ставка",L386*100,I386/102*2),2)</f>
        <v/>
      </c>
      <c r="P386" s="5" t="n">
        <v>46275.5</v>
      </c>
      <c r="Q386" t="inlineStr">
        <is>
          <t>TravelLine BR2</t>
        </is>
      </c>
      <c r="R386" s="2" t="inlineStr">
        <is>
          <t>СТАНДАРТНЫЙ ДВУХМЕСТНЫЙ НОМЕР</t>
        </is>
      </c>
      <c r="S386" t="n">
        <v>46</v>
      </c>
      <c r="T386" t="n">
        <v>1</v>
      </c>
      <c r="U386" t="inlineStr"/>
      <c r="V386" t="inlineStr">
        <is>
          <t>Тариф с завтраком</t>
        </is>
      </c>
      <c r="W386" t="n">
        <v>53400</v>
      </c>
      <c r="X386" s="3" t="n">
        <v>0</v>
      </c>
      <c r="Y386" t="inlineStr"/>
      <c r="Z386" t="inlineStr"/>
      <c r="AA386" s="3" t="n">
        <v>53400</v>
      </c>
      <c r="AB386" t="inlineStr">
        <is>
          <t>Сошлось по ночным тарифам</t>
        </is>
      </c>
      <c r="AC386" s="2" t="inlineStr"/>
      <c r="AD386" t="n">
        <v>0</v>
      </c>
      <c r="AE386" t="n">
        <v>0</v>
      </c>
      <c r="AF386" t="inlineStr">
        <is>
          <t>Скидки нет</t>
        </is>
      </c>
      <c r="AG386" t="n">
        <v>53400</v>
      </c>
      <c r="AH386" t="n">
        <v>53400</v>
      </c>
      <c r="AI386" t="inlineStr">
        <is>
          <t>Полное проживание в выбранном периоде</t>
        </is>
      </c>
    </row>
    <row r="387">
      <c r="A387" t="inlineStr">
        <is>
          <t>20260816-8186-449235439</t>
        </is>
      </c>
      <c r="B387" t="n">
        <v>1</v>
      </c>
      <c r="C387" s="2" t="inlineStr">
        <is>
          <t>Ирина Николаева, Александр Николаев</t>
        </is>
      </c>
      <c r="D387" s="3" t="n">
        <v>8415</v>
      </c>
      <c r="E387" s="4" t="n">
        <v>15</v>
      </c>
      <c r="F387" t="inlineStr">
        <is>
          <t>ООО Тинькофф Путешествия [Чайковский]</t>
        </is>
      </c>
      <c r="G387" s="3">
        <f>ROUND(D387/(100-E387)*100,2)</f>
        <v/>
      </c>
      <c r="H387" s="3" t="n">
        <v>0</v>
      </c>
      <c r="I387" s="3">
        <f>ROUND(IF(ISNUMBER(AG387),AG387,G387)+H387,2)</f>
        <v/>
      </c>
      <c r="J387" s="2" t="inlineStr">
        <is>
          <t>Завтрак "Шведский стол"</t>
        </is>
      </c>
      <c r="K387" s="5" t="n">
        <v>46250.58333333334</v>
      </c>
      <c r="L387" t="n">
        <v>1</v>
      </c>
      <c r="M387" s="3">
        <f>I387/L387</f>
        <v/>
      </c>
      <c r="N387">
        <f>IF(M387&gt;=5100,"ставка","мин.ставка")</f>
        <v/>
      </c>
      <c r="O387" s="3">
        <f>ROUND(IF(N387="мин.ставка",L387*100,I387/102*2),2)</f>
        <v/>
      </c>
      <c r="P387" s="5" t="n">
        <v>46251.5</v>
      </c>
      <c r="Q387" t="inlineStr">
        <is>
          <t>TravelLine TNK</t>
        </is>
      </c>
      <c r="R387" s="2" t="inlineStr">
        <is>
          <t>СТАНДАРТНЫЙ ДВУХМЕСТНЫЙ НОМЕР (МАНСАРДА)</t>
        </is>
      </c>
      <c r="S387" t="n">
        <v>41</v>
      </c>
      <c r="T387" t="n">
        <v>1</v>
      </c>
      <c r="U387" t="inlineStr"/>
      <c r="V387" t="inlineStr">
        <is>
          <t>Тариф с завтраком</t>
        </is>
      </c>
      <c r="W387" t="n">
        <v>8415</v>
      </c>
      <c r="X387" s="3" t="n">
        <v>1485</v>
      </c>
      <c r="Y387" t="inlineStr">
        <is>
          <t>15%</t>
        </is>
      </c>
      <c r="Z387" t="inlineStr">
        <is>
          <t>2026-08-16</t>
        </is>
      </c>
      <c r="AA387" s="3" t="n">
        <v>8415</v>
      </c>
      <c r="AB387" t="inlineStr">
        <is>
          <t>Сошлось по ночным тарифам</t>
        </is>
      </c>
      <c r="AC387" s="2" t="inlineStr"/>
      <c r="AD387" t="n">
        <v>1485</v>
      </c>
      <c r="AE387" t="n">
        <v>0</v>
      </c>
      <c r="AF387" t="inlineStr">
        <is>
          <t>Скидка добавлена к налоговой базе</t>
        </is>
      </c>
      <c r="AG387" t="n">
        <v>9900</v>
      </c>
      <c r="AH387" t="n">
        <v>8415</v>
      </c>
      <c r="AI387" t="inlineStr">
        <is>
          <t>Полное проживание в выбранном периоде</t>
        </is>
      </c>
    </row>
    <row r="388">
      <c r="A388" t="inlineStr">
        <is>
          <t>20260720-8186-410480708</t>
        </is>
      </c>
      <c r="B388" t="n">
        <v>1</v>
      </c>
      <c r="C388" s="2" t="inlineStr">
        <is>
          <t>Ирина Уткина, ВСЕНИЯ УТКИНА</t>
        </is>
      </c>
      <c r="D388" s="3" t="n">
        <v>39451.5</v>
      </c>
      <c r="E388" s="4" t="n">
        <v>4</v>
      </c>
      <c r="F388" t="inlineStr">
        <is>
          <t>TravelLine Booking Engine [Чайковский]</t>
        </is>
      </c>
      <c r="G388" s="3">
        <f>ROUND(D388/(100-E388)*100,2)</f>
        <v/>
      </c>
      <c r="H388" s="3" t="n">
        <v>0</v>
      </c>
      <c r="I388" s="3">
        <f>ROUND(IF(ISNUMBER(AG388),AG388,G388)+H388,2)</f>
        <v/>
      </c>
      <c r="J388" s="2" t="inlineStr">
        <is>
          <t>Завтрак "Шведский стол"</t>
        </is>
      </c>
      <c r="K388" s="5" t="n">
        <v>46223.9375</v>
      </c>
      <c r="L388" t="n">
        <v>4</v>
      </c>
      <c r="M388" s="3">
        <f>I388/L388</f>
        <v/>
      </c>
      <c r="N388">
        <f>IF(M388&gt;=5100,"ставка","мин.ставка")</f>
        <v/>
      </c>
      <c r="O388" s="3">
        <f>ROUND(IF(N388="мин.ставка",L388*100,I388/102*2),2)</f>
        <v/>
      </c>
      <c r="P388" s="5" t="n">
        <v>46227.5</v>
      </c>
      <c r="Q388" t="inlineStr">
        <is>
          <t>TravelLine сайт</t>
        </is>
      </c>
      <c r="R388" s="2" t="inlineStr">
        <is>
          <t>СТАНДАРТНЫЙ ДВУХМЕСТНЫЙ НОМЕР (МАНСАРДА)</t>
        </is>
      </c>
      <c r="S388" t="n">
        <v>47</v>
      </c>
      <c r="T388" t="n">
        <v>1</v>
      </c>
      <c r="U388" t="inlineStr"/>
      <c r="V388" t="inlineStr">
        <is>
          <t>Тариф с завтраком</t>
        </is>
      </c>
      <c r="W388" t="n">
        <v>39451.5</v>
      </c>
      <c r="X388" s="3" t="n">
        <v>148.5</v>
      </c>
      <c r="Y388" t="inlineStr">
        <is>
          <t>1.5%</t>
        </is>
      </c>
      <c r="Z388" t="inlineStr">
        <is>
          <t>2026-07-20</t>
        </is>
      </c>
      <c r="AA388" s="3" t="n">
        <v>39451.5</v>
      </c>
      <c r="AB388" t="inlineStr">
        <is>
          <t>Сошлось по ночным тарифам</t>
        </is>
      </c>
      <c r="AC388" s="2" t="inlineStr"/>
      <c r="AD388" t="n">
        <v>148.5</v>
      </c>
      <c r="AE388" t="n">
        <v>0</v>
      </c>
      <c r="AF388" t="inlineStr">
        <is>
          <t>Скидка добавлена к налоговой базе</t>
        </is>
      </c>
      <c r="AG388" t="n">
        <v>39600</v>
      </c>
      <c r="AH388" t="n">
        <v>39451.5</v>
      </c>
      <c r="AI388" t="inlineStr">
        <is>
          <t>Полное проживание в выбранном периоде</t>
        </is>
      </c>
    </row>
    <row r="389">
      <c r="A389" t="inlineStr">
        <is>
          <t>20260915-8186-427846724</t>
        </is>
      </c>
      <c r="B389" t="n">
        <v>1</v>
      </c>
      <c r="C389" s="2" t="inlineStr">
        <is>
          <t>ИРИНА ШАФИЕВА</t>
        </is>
      </c>
      <c r="D389" s="3" t="n">
        <v>12640</v>
      </c>
      <c r="E389" s="4" t="n">
        <v>20</v>
      </c>
      <c r="F389" t="inlineStr">
        <is>
          <t>ООО "КОМПАНИЯ БРОНЕВИК" [Чайковский]</t>
        </is>
      </c>
      <c r="G389" s="3">
        <f>ROUND(D389/(100-E389)*100,2)</f>
        <v/>
      </c>
      <c r="H389" s="3" t="n">
        <v>0</v>
      </c>
      <c r="I389" s="3">
        <f>ROUND(IF(ISNUMBER(AG389),AG389,G389)+H389,2)</f>
        <v/>
      </c>
      <c r="J389" s="2" t="inlineStr">
        <is>
          <t>Завтрак "Шведский стол"</t>
        </is>
      </c>
      <c r="K389" s="5" t="n">
        <v>46280.58333333334</v>
      </c>
      <c r="L389" t="n">
        <v>2</v>
      </c>
      <c r="M389" s="3">
        <f>I389/L389</f>
        <v/>
      </c>
      <c r="N389">
        <f>IF(M389&gt;=5100,"ставка","мин.ставка")</f>
        <v/>
      </c>
      <c r="O389" s="3">
        <f>ROUND(IF(N389="мин.ставка",L389*100,I389/102*2),2)</f>
        <v/>
      </c>
      <c r="P389" s="5" t="n">
        <v>46282.5</v>
      </c>
      <c r="Q389" t="inlineStr">
        <is>
          <t>TravelLine BR2</t>
        </is>
      </c>
      <c r="R389" s="2" t="inlineStr">
        <is>
          <t>СТАНДАРТНЫЙ ДВУХМЕСТНЫЙ НОМЕР (МАНСАРДА)</t>
        </is>
      </c>
      <c r="S389" t="n">
        <v>47</v>
      </c>
      <c r="T389" t="n">
        <v>1</v>
      </c>
      <c r="U389" t="inlineStr"/>
      <c r="V389" t="inlineStr">
        <is>
          <t>Тариф с завтраком</t>
        </is>
      </c>
      <c r="W389" t="n">
        <v>12640</v>
      </c>
      <c r="X389" s="3" t="n">
        <v>0</v>
      </c>
      <c r="Y389" t="inlineStr"/>
      <c r="Z389" t="inlineStr"/>
      <c r="AA389" s="3" t="n">
        <v>12640</v>
      </c>
      <c r="AB389" t="inlineStr">
        <is>
          <t>Сошлось по ночным тарифам</t>
        </is>
      </c>
      <c r="AC389" s="2" t="inlineStr"/>
      <c r="AD389" t="n">
        <v>0</v>
      </c>
      <c r="AE389" t="n">
        <v>0</v>
      </c>
      <c r="AF389" t="inlineStr">
        <is>
          <t>Скидки нет</t>
        </is>
      </c>
      <c r="AG389" t="n">
        <v>12640</v>
      </c>
      <c r="AH389" t="n">
        <v>12640</v>
      </c>
      <c r="AI389" t="inlineStr">
        <is>
          <t>Полное проживание в выбранном периоде</t>
        </is>
      </c>
    </row>
    <row r="390">
      <c r="A390" t="inlineStr">
        <is>
          <t>20260727-8186-412100558</t>
        </is>
      </c>
      <c r="B390" t="n">
        <v>1</v>
      </c>
      <c r="C390" s="2" t="inlineStr">
        <is>
          <t>Ирина Шафиева, Мария Шафиева</t>
        </is>
      </c>
      <c r="D390" s="3" t="n">
        <v>18960</v>
      </c>
      <c r="E390" s="4" t="n">
        <v>20</v>
      </c>
      <c r="F390" t="inlineStr">
        <is>
          <t>ООО "КОМПАНИЯ БРОНЕВИК" [Чайковский]</t>
        </is>
      </c>
      <c r="G390" s="3">
        <f>ROUND(D390/(100-E390)*100,2)</f>
        <v/>
      </c>
      <c r="H390" s="3" t="n">
        <v>6000</v>
      </c>
      <c r="I390" s="3">
        <f>ROUND(IF(ISNUMBER(AG390),AG390,G390)+H390,2)</f>
        <v/>
      </c>
      <c r="J390" s="2" t="inlineStr">
        <is>
          <t>продление номера — 6 000,00 ₽; Завтрак "Шведский стол"</t>
        </is>
      </c>
      <c r="K390" s="5" t="n">
        <v>46230.58333333334</v>
      </c>
      <c r="L390" t="n">
        <v>3</v>
      </c>
      <c r="M390" s="3">
        <f>I390/L390</f>
        <v/>
      </c>
      <c r="N390">
        <f>IF(M390&gt;=5100,"ставка","мин.ставка")</f>
        <v/>
      </c>
      <c r="O390" s="3">
        <f>ROUND(IF(N390="мин.ставка",L390*100,I390/102*2),2)</f>
        <v/>
      </c>
      <c r="P390" s="5" t="n">
        <v>46233.5</v>
      </c>
      <c r="Q390" t="inlineStr">
        <is>
          <t>TravelLine BR2</t>
        </is>
      </c>
      <c r="R390" s="2" t="inlineStr">
        <is>
          <t>СТАНДАРТНЫЙ ДВУХМЕСТНЫЙ НОМЕР (МАНСАРДА)</t>
        </is>
      </c>
      <c r="S390" t="n">
        <v>43</v>
      </c>
      <c r="T390" t="n">
        <v>1</v>
      </c>
      <c r="U390" t="inlineStr"/>
      <c r="V390" t="inlineStr">
        <is>
          <t>Тариф с завтраком</t>
        </is>
      </c>
      <c r="W390" t="n">
        <v>24960</v>
      </c>
      <c r="X390" s="3" t="n">
        <v>0</v>
      </c>
      <c r="Y390" t="inlineStr"/>
      <c r="Z390" t="inlineStr"/>
      <c r="AA390" s="3" t="n">
        <v>18960</v>
      </c>
      <c r="AB390" t="inlineStr">
        <is>
          <t>Сошлось с услугами</t>
        </is>
      </c>
      <c r="AC390" s="2" t="inlineStr"/>
      <c r="AD390" t="n">
        <v>0</v>
      </c>
      <c r="AE390" t="n">
        <v>0</v>
      </c>
      <c r="AF390" t="inlineStr">
        <is>
          <t>Скидки нет</t>
        </is>
      </c>
      <c r="AG390" t="n">
        <v>18960</v>
      </c>
      <c r="AH390" t="n">
        <v>18960</v>
      </c>
      <c r="AI390" t="inlineStr">
        <is>
          <t>Полное проживание в выбранном периоде</t>
        </is>
      </c>
    </row>
    <row r="391">
      <c r="A391" t="inlineStr">
        <is>
          <t>20260708-8186-445371788</t>
        </is>
      </c>
      <c r="B391" t="n">
        <v>1</v>
      </c>
      <c r="C391" s="2" t="inlineStr">
        <is>
          <t>Искандер Рафиков</t>
        </is>
      </c>
      <c r="D391" s="3" t="n">
        <v>19295</v>
      </c>
      <c r="E391" s="4" t="n">
        <v>15</v>
      </c>
      <c r="F391" t="inlineStr">
        <is>
          <t>ООО «СБО» (Ростелеком) [Чайковский]</t>
        </is>
      </c>
      <c r="G391" s="3">
        <f>ROUND(D391/(100-E391)*100,2)</f>
        <v/>
      </c>
      <c r="H391" s="3" t="n">
        <v>0</v>
      </c>
      <c r="I391" s="3">
        <f>ROUND(IF(ISNUMBER(AG391),AG391,G391)+H391,2)</f>
        <v/>
      </c>
      <c r="J391" s="2" t="inlineStr">
        <is>
          <t>Завтрак "Шведский стол"</t>
        </is>
      </c>
      <c r="K391" s="5" t="n">
        <v>46211.58333333334</v>
      </c>
      <c r="L391" t="n">
        <v>2</v>
      </c>
      <c r="M391" s="3">
        <f>I391/L391</f>
        <v/>
      </c>
      <c r="N391">
        <f>IF(M391&gt;=5100,"ставка","мин.ставка")</f>
        <v/>
      </c>
      <c r="O391" s="3">
        <f>ROUND(IF(N391="мин.ставка",L391*100,I391/102*2),2)</f>
        <v/>
      </c>
      <c r="P391" s="5" t="n">
        <v>46213.5</v>
      </c>
      <c r="Q391" t="inlineStr">
        <is>
          <t>TravelLine RTT</t>
        </is>
      </c>
      <c r="R391" s="2" t="inlineStr">
        <is>
          <t>СТАНДАРТНЫЙ ДВУХМЕСТНЫЙ НОМЕР</t>
        </is>
      </c>
      <c r="S391" t="n">
        <v>42</v>
      </c>
      <c r="T391" t="n">
        <v>1</v>
      </c>
      <c r="U391" t="inlineStr"/>
      <c r="V391" t="inlineStr">
        <is>
          <t>Тариф с завтраком</t>
        </is>
      </c>
      <c r="W391" t="n">
        <v>19295</v>
      </c>
      <c r="X391" s="3" t="n">
        <v>3405</v>
      </c>
      <c r="Y391" t="inlineStr">
        <is>
          <t>15%</t>
        </is>
      </c>
      <c r="Z391" t="inlineStr">
        <is>
          <t>2026-07-08, 2026-07-09</t>
        </is>
      </c>
      <c r="AA391" s="3" t="n">
        <v>19295</v>
      </c>
      <c r="AB391" t="inlineStr">
        <is>
          <t>Сошлось по ночным тарифам</t>
        </is>
      </c>
      <c r="AC391" s="2" t="inlineStr"/>
      <c r="AD391" t="n">
        <v>3405</v>
      </c>
      <c r="AE391" t="n">
        <v>0</v>
      </c>
      <c r="AF391" t="inlineStr">
        <is>
          <t>Скидка добавлена к налоговой базе</t>
        </is>
      </c>
      <c r="AG391" t="n">
        <v>22700</v>
      </c>
      <c r="AH391" t="n">
        <v>19295</v>
      </c>
      <c r="AI391" t="inlineStr">
        <is>
          <t>Полное проживание в выбранном периоде</t>
        </is>
      </c>
    </row>
    <row r="392">
      <c r="A392" t="inlineStr">
        <is>
          <t>20260719-8186-397290265</t>
        </is>
      </c>
      <c r="B392" t="n">
        <v>1</v>
      </c>
      <c r="C392" s="2" t="inlineStr">
        <is>
          <t>Карина Унанян, Татьяна Васина</t>
        </is>
      </c>
      <c r="D392" s="3" t="n">
        <v>15400</v>
      </c>
      <c r="E392" s="4" t="n">
        <v>0</v>
      </c>
      <c r="F392" t="inlineStr">
        <is>
          <t>Прямые бронирования (стойка) [Чайковский]</t>
        </is>
      </c>
      <c r="G392" s="3">
        <f>ROUND(D392/(100-E392)*100,2)</f>
        <v/>
      </c>
      <c r="H392" s="3" t="n">
        <v>0</v>
      </c>
      <c r="I392" s="3">
        <f>ROUND(IF(ISNUMBER(AG392),AG392,G392)+H392,2)</f>
        <v/>
      </c>
      <c r="J392" s="2" t="inlineStr">
        <is>
          <t>Завтрак "Шведский стол"</t>
        </is>
      </c>
      <c r="K392" s="5" t="n">
        <v>46222.58333333334</v>
      </c>
      <c r="L392" t="n">
        <v>1</v>
      </c>
      <c r="M392" s="3">
        <f>I392/L392</f>
        <v/>
      </c>
      <c r="N392">
        <f>IF(M392&gt;=5100,"ставка","мин.ставка")</f>
        <v/>
      </c>
      <c r="O392" s="3">
        <f>ROUND(IF(N392="мин.ставка",L392*100,I392/102*2),2)</f>
        <v/>
      </c>
      <c r="P392" s="5" t="n">
        <v>46223.5</v>
      </c>
      <c r="Q392" t="inlineStr">
        <is>
          <t>TravelLine ресепшен</t>
        </is>
      </c>
      <c r="R392" s="2" t="inlineStr">
        <is>
          <t>УЛУЧШЕННЫЙ ДВУХМЕСТНЫЙ НОМЕР</t>
        </is>
      </c>
      <c r="S392" t="n">
        <v>31</v>
      </c>
      <c r="T392" t="n">
        <v>1</v>
      </c>
      <c r="U392" t="inlineStr"/>
      <c r="V392" t="inlineStr">
        <is>
          <t>Тариф с завтраком</t>
        </is>
      </c>
      <c r="W392" t="n">
        <v>15400</v>
      </c>
      <c r="X392" s="3" t="n">
        <v>0</v>
      </c>
      <c r="Y392" t="inlineStr"/>
      <c r="Z392" t="inlineStr"/>
      <c r="AA392" s="3" t="n">
        <v>15400</v>
      </c>
      <c r="AB392" t="inlineStr">
        <is>
          <t>Сошлось по ночным тарифам</t>
        </is>
      </c>
      <c r="AC392" s="2" t="inlineStr"/>
      <c r="AD392" t="n">
        <v>0</v>
      </c>
      <c r="AE392" t="n">
        <v>0</v>
      </c>
      <c r="AF392" t="inlineStr">
        <is>
          <t>Скидки нет</t>
        </is>
      </c>
      <c r="AG392" t="n">
        <v>15400</v>
      </c>
      <c r="AH392" t="n">
        <v>15400</v>
      </c>
      <c r="AI392" t="inlineStr">
        <is>
          <t>Полное проживание в выбранном периоде</t>
        </is>
      </c>
    </row>
    <row r="393">
      <c r="A393" t="inlineStr">
        <is>
          <t>20260718-8186-434302975</t>
        </is>
      </c>
      <c r="B393" t="n">
        <v>1</v>
      </c>
      <c r="C393" s="2" t="inlineStr">
        <is>
          <t>Кахабер Картвелишвили, Виктория Поворова</t>
        </is>
      </c>
      <c r="D393" s="3" t="n">
        <v>13350</v>
      </c>
      <c r="E393" s="4" t="n">
        <v>0</v>
      </c>
      <c r="F393" t="inlineStr">
        <is>
          <t>Прямые бронирования (стойка) [Чайковский]</t>
        </is>
      </c>
      <c r="G393" s="3">
        <f>ROUND(D393/(100-E393)*100,2)</f>
        <v/>
      </c>
      <c r="H393" s="3" t="n">
        <v>0</v>
      </c>
      <c r="I393" s="3">
        <f>ROUND(IF(ISNUMBER(AG393),AG393,G393)+H393,2)</f>
        <v/>
      </c>
      <c r="J393" s="2" t="inlineStr">
        <is>
          <t>Завтрак "Шведский стол"</t>
        </is>
      </c>
      <c r="K393" s="5" t="n">
        <v>46226.58333333334</v>
      </c>
      <c r="L393" t="n">
        <v>1</v>
      </c>
      <c r="M393" s="3">
        <f>I393/L393</f>
        <v/>
      </c>
      <c r="N393">
        <f>IF(M393&gt;=5100,"ставка","мин.ставка")</f>
        <v/>
      </c>
      <c r="O393" s="3">
        <f>ROUND(IF(N393="мин.ставка",L393*100,I393/102*2),2)</f>
        <v/>
      </c>
      <c r="P393" s="5" t="n">
        <v>46227.5</v>
      </c>
      <c r="Q393" t="inlineStr">
        <is>
          <t>TravelLine ресепшен</t>
        </is>
      </c>
      <c r="R393" s="2" t="inlineStr">
        <is>
          <t>СТАНДАРТНЫЙ ДВУХМЕСТНЫЙ НОМЕР</t>
        </is>
      </c>
      <c r="S393" t="n">
        <v>32</v>
      </c>
      <c r="T393" t="n">
        <v>1</v>
      </c>
      <c r="U393" t="inlineStr"/>
      <c r="V393" t="inlineStr">
        <is>
          <t>Тариф с завтраком</t>
        </is>
      </c>
      <c r="W393" t="n">
        <v>13350</v>
      </c>
      <c r="X393" s="3" t="n">
        <v>0</v>
      </c>
      <c r="Y393" t="inlineStr"/>
      <c r="Z393" t="inlineStr"/>
      <c r="AA393" s="3" t="n">
        <v>13350</v>
      </c>
      <c r="AB393" t="inlineStr">
        <is>
          <t>Сошлось по ночным тарифам</t>
        </is>
      </c>
      <c r="AC393" s="2" t="inlineStr"/>
      <c r="AD393" t="n">
        <v>0</v>
      </c>
      <c r="AE393" t="n">
        <v>0</v>
      </c>
      <c r="AF393" t="inlineStr">
        <is>
          <t>Скидки нет</t>
        </is>
      </c>
      <c r="AG393" t="n">
        <v>13350</v>
      </c>
      <c r="AH393" t="n">
        <v>13350</v>
      </c>
      <c r="AI393" t="inlineStr">
        <is>
          <t>Полное проживание в выбранном периоде</t>
        </is>
      </c>
    </row>
    <row r="394">
      <c r="A394" t="inlineStr">
        <is>
          <t>20260806-8186-453943194</t>
        </is>
      </c>
      <c r="B394" t="n">
        <v>1</v>
      </c>
      <c r="C394" s="2" t="inlineStr">
        <is>
          <t>Кира Кудинова, Алексей Гордейчук</t>
        </is>
      </c>
      <c r="D394" s="3" t="n">
        <v>39600</v>
      </c>
      <c r="E394" s="4" t="n">
        <v>20</v>
      </c>
      <c r="F394" t="inlineStr">
        <is>
          <t>ООО "КОМПАНИЯ БРОНЕВИК" [Чайковский]</t>
        </is>
      </c>
      <c r="G394" s="3">
        <f>ROUND(D394/(100-E394)*100,2)</f>
        <v/>
      </c>
      <c r="H394" s="3" t="n">
        <v>3440</v>
      </c>
      <c r="I394" s="3">
        <f>ROUND(IF(ISNUMBER(AG394),AG394,G394)+H394,2)</f>
        <v/>
      </c>
      <c r="J394" s="2" t="inlineStr">
        <is>
          <t>продление номера — 3 440,00 ₽; Завтрак "Шведский стол"</t>
        </is>
      </c>
      <c r="K394" s="5" t="n">
        <v>46240.58333333334</v>
      </c>
      <c r="L394" t="n">
        <v>3</v>
      </c>
      <c r="M394" s="3">
        <f>I394/L394</f>
        <v/>
      </c>
      <c r="N394">
        <f>IF(M394&gt;=5100,"ставка","мин.ставка")</f>
        <v/>
      </c>
      <c r="O394" s="3">
        <f>ROUND(IF(N394="мин.ставка",L394*100,I394/102*2),2)</f>
        <v/>
      </c>
      <c r="P394" s="5" t="n">
        <v>46243.45833333334</v>
      </c>
      <c r="Q394" t="inlineStr">
        <is>
          <t>TravelLine BR2</t>
        </is>
      </c>
      <c r="R394" s="2" t="inlineStr">
        <is>
          <t>ПОЛУЛЮКС</t>
        </is>
      </c>
      <c r="S394" t="n">
        <v>11</v>
      </c>
      <c r="T394" t="n">
        <v>1</v>
      </c>
      <c r="U394" t="inlineStr"/>
      <c r="V394" t="inlineStr">
        <is>
          <t>Тариф с завтраком</t>
        </is>
      </c>
      <c r="W394" t="n">
        <v>43040</v>
      </c>
      <c r="X394" s="3" t="n">
        <v>0</v>
      </c>
      <c r="Y394" t="inlineStr"/>
      <c r="Z394" t="inlineStr"/>
      <c r="AA394" s="3" t="n">
        <v>39600</v>
      </c>
      <c r="AB394" t="inlineStr">
        <is>
          <t>Сошлось с услугами</t>
        </is>
      </c>
      <c r="AC394" s="2" t="inlineStr"/>
      <c r="AD394" t="n">
        <v>0</v>
      </c>
      <c r="AE394" t="n">
        <v>0</v>
      </c>
      <c r="AF394" t="inlineStr">
        <is>
          <t>Скидки нет</t>
        </is>
      </c>
      <c r="AG394" t="n">
        <v>39600</v>
      </c>
      <c r="AH394" t="n">
        <v>39600</v>
      </c>
      <c r="AI394" t="inlineStr">
        <is>
          <t>Полное проживание в выбранном периоде</t>
        </is>
      </c>
    </row>
    <row r="395">
      <c r="A395" t="inlineStr">
        <is>
          <t>20260901-8186-462888828</t>
        </is>
      </c>
      <c r="B395" t="n">
        <v>1</v>
      </c>
      <c r="C395" s="2" t="inlineStr">
        <is>
          <t>Кирилл Подволодских, Ксения Олифер</t>
        </is>
      </c>
      <c r="D395" s="3" t="n">
        <v>12540</v>
      </c>
      <c r="E395" s="4" t="n">
        <v>18</v>
      </c>
      <c r="F395" t="inlineStr">
        <is>
          <t>Яндекс.Путешествия [Чайковский]</t>
        </is>
      </c>
      <c r="G395" s="3">
        <f>ROUND(D395/(100-E395)*100,2)</f>
        <v/>
      </c>
      <c r="H395" s="3" t="n">
        <v>0</v>
      </c>
      <c r="I395" s="3">
        <f>ROUND(IF(ISNUMBER(AG395),AG395,G395)+H395,2)</f>
        <v/>
      </c>
      <c r="J395" s="2" t="inlineStr">
        <is>
          <t>Завтрак "Шведский стол"</t>
        </is>
      </c>
      <c r="K395" s="5" t="n">
        <v>46266.58333333334</v>
      </c>
      <c r="L395" t="n">
        <v>1</v>
      </c>
      <c r="M395" s="3">
        <f>I395/L395</f>
        <v/>
      </c>
      <c r="N395">
        <f>IF(M395&gt;=5100,"ставка","мин.ставка")</f>
        <v/>
      </c>
      <c r="O395" s="3">
        <f>ROUND(IF(N395="мин.ставка",L395*100,I395/102*2),2)</f>
        <v/>
      </c>
      <c r="P395" s="5" t="n">
        <v>46267.5</v>
      </c>
      <c r="Q395" t="inlineStr">
        <is>
          <t>TravelLine YAX</t>
        </is>
      </c>
      <c r="R395" s="2" t="inlineStr">
        <is>
          <t>ПОЛУЛЮКС</t>
        </is>
      </c>
      <c r="S395" t="n">
        <v>11</v>
      </c>
      <c r="T395" t="n">
        <v>1</v>
      </c>
      <c r="U395" t="inlineStr"/>
      <c r="V395" t="inlineStr">
        <is>
          <t>Тариф с завтраком</t>
        </is>
      </c>
      <c r="W395" t="n">
        <v>12540</v>
      </c>
      <c r="X395" s="3" t="n">
        <v>3135</v>
      </c>
      <c r="Y395" t="inlineStr">
        <is>
          <t>20%</t>
        </is>
      </c>
      <c r="Z395" t="inlineStr">
        <is>
          <t>2026-09-01</t>
        </is>
      </c>
      <c r="AA395" s="3" t="n">
        <v>12540</v>
      </c>
      <c r="AB395" t="inlineStr">
        <is>
          <t>Сошлось по ночным тарифам</t>
        </is>
      </c>
      <c r="AC395" s="2" t="inlineStr"/>
      <c r="AD395" t="n">
        <v>3135</v>
      </c>
      <c r="AE395" t="n">
        <v>0</v>
      </c>
      <c r="AF395" t="inlineStr">
        <is>
          <t>Скидка добавлена к налоговой базе</t>
        </is>
      </c>
      <c r="AG395" t="n">
        <v>15675</v>
      </c>
      <c r="AH395" t="n">
        <v>12540</v>
      </c>
      <c r="AI395" t="inlineStr">
        <is>
          <t>Полное проживание в выбранном периоде</t>
        </is>
      </c>
    </row>
    <row r="396">
      <c r="A396" t="inlineStr">
        <is>
          <t>20260812-8186-457852780</t>
        </is>
      </c>
      <c r="B396" t="n">
        <v>1</v>
      </c>
      <c r="C396" s="2" t="inlineStr">
        <is>
          <t>Кирилл Семёнов, Жанна Семёнова</t>
        </is>
      </c>
      <c r="D396" s="3" t="n">
        <v>15169</v>
      </c>
      <c r="E396" s="4" t="n">
        <v>4</v>
      </c>
      <c r="F396" t="inlineStr">
        <is>
          <t>TravelLine Booking Engine [Чайковский]</t>
        </is>
      </c>
      <c r="G396" s="3">
        <f>ROUND(D396/(100-E396)*100,2)</f>
        <v/>
      </c>
      <c r="H396" s="3" t="n">
        <v>0</v>
      </c>
      <c r="I396" s="3">
        <f>ROUND(IF(ISNUMBER(AG396),AG396,G396)+H396,2)</f>
        <v/>
      </c>
      <c r="J396" s="2" t="inlineStr">
        <is>
          <t>Завтрак "Шведский стол"</t>
        </is>
      </c>
      <c r="K396" s="5" t="n">
        <v>46246.58333333334</v>
      </c>
      <c r="L396" t="n">
        <v>1</v>
      </c>
      <c r="M396" s="3">
        <f>I396/L396</f>
        <v/>
      </c>
      <c r="N396">
        <f>IF(M396&gt;=5100,"ставка","мин.ставка")</f>
        <v/>
      </c>
      <c r="O396" s="3">
        <f>ROUND(IF(N396="мин.ставка",L396*100,I396/102*2),2)</f>
        <v/>
      </c>
      <c r="P396" s="5" t="n">
        <v>46247.5</v>
      </c>
      <c r="Q396" t="inlineStr">
        <is>
          <t>TravelLine сайт</t>
        </is>
      </c>
      <c r="R396" s="2" t="inlineStr">
        <is>
          <t>УЛУЧШЕННЫЙ ДВУХМЕСТНЫЙ НОМЕР</t>
        </is>
      </c>
      <c r="S396" t="n">
        <v>21</v>
      </c>
      <c r="T396" t="n">
        <v>1</v>
      </c>
      <c r="U396" t="inlineStr"/>
      <c r="V396" t="inlineStr">
        <is>
          <t>Тариф с завтраком</t>
        </is>
      </c>
      <c r="W396" t="n">
        <v>15169</v>
      </c>
      <c r="X396" s="3" t="n">
        <v>231</v>
      </c>
      <c r="Y396" t="inlineStr">
        <is>
          <t>1.5%</t>
        </is>
      </c>
      <c r="Z396" t="inlineStr">
        <is>
          <t>2026-08-12</t>
        </is>
      </c>
      <c r="AA396" s="3" t="n">
        <v>15169</v>
      </c>
      <c r="AB396" t="inlineStr">
        <is>
          <t>Сошлось по ночным тарифам</t>
        </is>
      </c>
      <c r="AC396" s="2" t="inlineStr"/>
      <c r="AD396" t="n">
        <v>231</v>
      </c>
      <c r="AE396" t="n">
        <v>0</v>
      </c>
      <c r="AF396" t="inlineStr">
        <is>
          <t>Скидка добавлена к налоговой базе</t>
        </is>
      </c>
      <c r="AG396" t="n">
        <v>15400</v>
      </c>
      <c r="AH396" t="n">
        <v>15169</v>
      </c>
      <c r="AI396" t="inlineStr">
        <is>
          <t>Полное проживание в выбранном периоде</t>
        </is>
      </c>
    </row>
    <row r="397">
      <c r="A397" t="inlineStr">
        <is>
          <t>20260714-8186-449199294</t>
        </is>
      </c>
      <c r="B397" t="n">
        <v>1</v>
      </c>
      <c r="C397" s="2" t="inlineStr">
        <is>
          <t>Кирилл Солодков</t>
        </is>
      </c>
      <c r="D397" s="3" t="n">
        <v>18160</v>
      </c>
      <c r="E397" s="4" t="n">
        <v>20</v>
      </c>
      <c r="F397" t="inlineStr">
        <is>
          <t>ООО "КОМПАНИЯ БРОНЕВИК" [Чайковский]</t>
        </is>
      </c>
      <c r="G397" s="3">
        <f>ROUND(D397/(100-E397)*100,2)</f>
        <v/>
      </c>
      <c r="H397" s="3" t="n">
        <v>0</v>
      </c>
      <c r="I397" s="3">
        <f>ROUND(IF(ISNUMBER(AG397),AG397,G397)+H397,2)</f>
        <v/>
      </c>
      <c r="J397" s="2" t="inlineStr">
        <is>
          <t>Завтрак "Шведский стол"</t>
        </is>
      </c>
      <c r="K397" s="5" t="n">
        <v>46217.58333333334</v>
      </c>
      <c r="L397" t="n">
        <v>2</v>
      </c>
      <c r="M397" s="3">
        <f>I397/L397</f>
        <v/>
      </c>
      <c r="N397">
        <f>IF(M397&gt;=5100,"ставка","мин.ставка")</f>
        <v/>
      </c>
      <c r="O397" s="3">
        <f>ROUND(IF(N397="мин.ставка",L397*100,I397/102*2),2)</f>
        <v/>
      </c>
      <c r="P397" s="5" t="n">
        <v>46219.5</v>
      </c>
      <c r="Q397" t="inlineStr">
        <is>
          <t>TravelLine BR2</t>
        </is>
      </c>
      <c r="R397" s="2" t="inlineStr">
        <is>
          <t>СТАНДАРТНЫЙ ДВУХМЕСТНЫЙ НОМЕР</t>
        </is>
      </c>
      <c r="S397" t="n">
        <v>33</v>
      </c>
      <c r="T397" t="n">
        <v>1</v>
      </c>
      <c r="U397" t="inlineStr"/>
      <c r="V397" t="inlineStr">
        <is>
          <t>Тариф с завтраком</t>
        </is>
      </c>
      <c r="W397" t="n">
        <v>18160</v>
      </c>
      <c r="X397" s="3" t="n">
        <v>0</v>
      </c>
      <c r="Y397" t="inlineStr"/>
      <c r="Z397" t="inlineStr"/>
      <c r="AA397" s="3" t="n">
        <v>18160</v>
      </c>
      <c r="AB397" t="inlineStr">
        <is>
          <t>Сошлось по ночным тарифам</t>
        </is>
      </c>
      <c r="AC397" s="2" t="inlineStr"/>
      <c r="AD397" t="n">
        <v>0</v>
      </c>
      <c r="AE397" t="n">
        <v>0</v>
      </c>
      <c r="AF397" t="inlineStr">
        <is>
          <t>Скидки нет</t>
        </is>
      </c>
      <c r="AG397" t="n">
        <v>18160</v>
      </c>
      <c r="AH397" t="n">
        <v>18160</v>
      </c>
      <c r="AI397" t="inlineStr">
        <is>
          <t>Полное проживание в выбранном периоде</t>
        </is>
      </c>
    </row>
    <row r="398">
      <c r="A398" t="inlineStr">
        <is>
          <t>20260704-8186-405164282</t>
        </is>
      </c>
      <c r="B398" t="n">
        <v>1</v>
      </c>
      <c r="C398" s="2" t="inlineStr">
        <is>
          <t>КИРИЛЛ СУНГУРОВ, МАТВЕЙ СУНГУРОВ</t>
        </is>
      </c>
      <c r="D398" s="3" t="n">
        <v>97515</v>
      </c>
      <c r="E398" s="4" t="n">
        <v>17</v>
      </c>
      <c r="F398" t="inlineStr">
        <is>
          <t>ООО "ОНЛАЙН ИННОВАЦИИ" (101 Отель) [Чайковский]</t>
        </is>
      </c>
      <c r="G398" s="3">
        <f>ROUND(D398/(100-E398)*100,2)</f>
        <v/>
      </c>
      <c r="H398" s="3" t="n">
        <v>0</v>
      </c>
      <c r="I398" s="3">
        <f>ROUND(IF(ISNUMBER(AG398),AG398,G398)+H398,2)</f>
        <v/>
      </c>
      <c r="J398" s="2" t="inlineStr">
        <is>
          <t>Завтрак "Шведский стол"</t>
        </is>
      </c>
      <c r="K398" s="5" t="n">
        <v>46204.58333333334</v>
      </c>
      <c r="L398" t="n">
        <v>10</v>
      </c>
      <c r="M398" s="3">
        <f>I398/L398</f>
        <v/>
      </c>
      <c r="N398">
        <f>IF(M398&gt;=5100,"ставка","мин.ставка")</f>
        <v/>
      </c>
      <c r="O398" s="3">
        <f>ROUND(IF(N398="мин.ставка",L398*100,I398/102*2),2)</f>
        <v/>
      </c>
      <c r="P398" s="5" t="n">
        <v>46214.5</v>
      </c>
      <c r="Q398" t="inlineStr">
        <is>
          <t>TravelLine H1C</t>
        </is>
      </c>
      <c r="R398" s="2" t="inlineStr">
        <is>
          <t>СТАНДАРТНЫЙ ДВУХМЕСТНЫЙ НОМЕР (МАНСАРДА)</t>
        </is>
      </c>
      <c r="S398" t="n">
        <v>47</v>
      </c>
      <c r="T398" t="n">
        <v>1</v>
      </c>
      <c r="U398" t="inlineStr"/>
      <c r="V398" t="inlineStr">
        <is>
          <t>Тариф с завтраком</t>
        </is>
      </c>
      <c r="W398" t="n">
        <v>195030</v>
      </c>
      <c r="X398" s="3" t="n">
        <v>1485</v>
      </c>
      <c r="Y398" t="inlineStr">
        <is>
          <t>15%</t>
        </is>
      </c>
      <c r="Z398" t="inlineStr">
        <is>
          <t>2026-07-01</t>
        </is>
      </c>
      <c r="AA398" s="3" t="n">
        <v>97515</v>
      </c>
      <c r="AB398" t="inlineStr">
        <is>
          <t>Сошлось по ночным тарифам</t>
        </is>
      </c>
      <c r="AC398" s="2" t="inlineStr"/>
      <c r="AD398" t="n">
        <v>1485</v>
      </c>
      <c r="AE398" t="n">
        <v>0</v>
      </c>
      <c r="AF398" t="inlineStr">
        <is>
          <t>Скидка добавлена к налоговой базе</t>
        </is>
      </c>
      <c r="AG398" t="n">
        <v>99000</v>
      </c>
      <c r="AH398" t="n">
        <v>97515</v>
      </c>
      <c r="AI398" t="inlineStr">
        <is>
          <t>Полное проживание в выбранном периоде</t>
        </is>
      </c>
    </row>
    <row r="399">
      <c r="A399" t="inlineStr">
        <is>
          <t>20260730-8186-449191340</t>
        </is>
      </c>
      <c r="B399" t="n">
        <v>1</v>
      </c>
      <c r="C399" s="2" t="inlineStr">
        <is>
          <t>Кирилл Черепков</t>
        </is>
      </c>
      <c r="D399" s="3" t="n">
        <v>6320</v>
      </c>
      <c r="E399" s="4" t="n">
        <v>20</v>
      </c>
      <c r="F399" t="inlineStr">
        <is>
          <t>ООО "КОМПАНИЯ БРОНЕВИК" [Чайковский]</t>
        </is>
      </c>
      <c r="G399" s="3">
        <f>ROUND(D399/(100-E399)*100,2)</f>
        <v/>
      </c>
      <c r="H399" s="3" t="n">
        <v>0</v>
      </c>
      <c r="I399" s="3">
        <f>ROUND(IF(ISNUMBER(AG399),AG399,G399)+H399,2)</f>
        <v/>
      </c>
      <c r="J399" s="2" t="inlineStr">
        <is>
          <t>Завтрак "Шведский стол"</t>
        </is>
      </c>
      <c r="K399" s="5" t="n">
        <v>46233.58333333334</v>
      </c>
      <c r="L399" t="n">
        <v>1</v>
      </c>
      <c r="M399" s="3">
        <f>I399/L399</f>
        <v/>
      </c>
      <c r="N399">
        <f>IF(M399&gt;=5100,"ставка","мин.ставка")</f>
        <v/>
      </c>
      <c r="O399" s="3">
        <f>ROUND(IF(N399="мин.ставка",L399*100,I399/102*2),2)</f>
        <v/>
      </c>
      <c r="P399" s="5" t="n">
        <v>46234.5</v>
      </c>
      <c r="Q399" t="inlineStr">
        <is>
          <t>TravelLine BR2</t>
        </is>
      </c>
      <c r="R399" s="2" t="inlineStr">
        <is>
          <t>СТАНДАРТНЫЙ ДВУХМЕСТНЫЙ НОМЕР (МАНСАРДА)</t>
        </is>
      </c>
      <c r="S399" t="n">
        <v>43</v>
      </c>
      <c r="T399" t="n">
        <v>1</v>
      </c>
      <c r="U399" t="inlineStr"/>
      <c r="V399" t="inlineStr">
        <is>
          <t>Тариф с завтраком</t>
        </is>
      </c>
      <c r="W399" t="n">
        <v>6320</v>
      </c>
      <c r="X399" s="3" t="n">
        <v>0</v>
      </c>
      <c r="Y399" t="inlineStr"/>
      <c r="Z399" t="inlineStr"/>
      <c r="AA399" s="3" t="n">
        <v>6320</v>
      </c>
      <c r="AB399" t="inlineStr">
        <is>
          <t>Сошлось по ночным тарифам</t>
        </is>
      </c>
      <c r="AC399" s="2" t="inlineStr"/>
      <c r="AD399" t="n">
        <v>0</v>
      </c>
      <c r="AE399" t="n">
        <v>0</v>
      </c>
      <c r="AF399" t="inlineStr">
        <is>
          <t>Скидки нет</t>
        </is>
      </c>
      <c r="AG399" t="n">
        <v>6320</v>
      </c>
      <c r="AH399" t="n">
        <v>6320</v>
      </c>
      <c r="AI399" t="inlineStr">
        <is>
          <t>Полное проживание в выбранном периоде</t>
        </is>
      </c>
    </row>
    <row r="400">
      <c r="A400" t="inlineStr">
        <is>
          <t>20260725-8186-443229095</t>
        </is>
      </c>
      <c r="B400" t="n">
        <v>1</v>
      </c>
      <c r="C400" s="2" t="inlineStr">
        <is>
          <t>Кирилл Якименков, Даниэла Абрамова</t>
        </is>
      </c>
      <c r="D400" s="3" t="n">
        <v>49252.5</v>
      </c>
      <c r="E400" s="4" t="n">
        <v>4</v>
      </c>
      <c r="F400" t="inlineStr">
        <is>
          <t>TravelLine Booking Engine [Чайковский]</t>
        </is>
      </c>
      <c r="G400" s="3">
        <f>ROUND(D400/(100-E400)*100,2)</f>
        <v/>
      </c>
      <c r="H400" s="3" t="n">
        <v>300</v>
      </c>
      <c r="I400" s="3">
        <f>ROUND(IF(ISNUMBER(AG400),AG400,G400)+H400,2)</f>
        <v/>
      </c>
      <c r="J400" s="2" t="inlineStr">
        <is>
          <t>продление номера — 300,00 ₽; Завтрак "Шведский стол"</t>
        </is>
      </c>
      <c r="K400" s="5" t="n">
        <v>46228.58333333334</v>
      </c>
      <c r="L400" t="n">
        <v>3</v>
      </c>
      <c r="M400" s="3">
        <f>I400/L400</f>
        <v/>
      </c>
      <c r="N400">
        <f>IF(M400&gt;=5100,"ставка","мин.ставка")</f>
        <v/>
      </c>
      <c r="O400" s="3">
        <f>ROUND(IF(N400="мин.ставка",L400*100,I400/102*2),2)</f>
        <v/>
      </c>
      <c r="P400" s="5" t="n">
        <v>46231.5</v>
      </c>
      <c r="Q400" t="inlineStr">
        <is>
          <t>TravelLine сайт</t>
        </is>
      </c>
      <c r="R400" s="2" t="inlineStr">
        <is>
          <t>ПОЛУЛЮКС</t>
        </is>
      </c>
      <c r="S400" t="n">
        <v>25</v>
      </c>
      <c r="T400" t="n">
        <v>1</v>
      </c>
      <c r="U400" t="inlineStr"/>
      <c r="V400" t="inlineStr">
        <is>
          <t>Тариф с завтраком</t>
        </is>
      </c>
      <c r="W400" t="n">
        <v>49552.5</v>
      </c>
      <c r="X400" s="3" t="n">
        <v>247.5</v>
      </c>
      <c r="Y400" t="inlineStr">
        <is>
          <t>1.5%</t>
        </is>
      </c>
      <c r="Z400" t="inlineStr">
        <is>
          <t>2026-07-25</t>
        </is>
      </c>
      <c r="AA400" s="3" t="n">
        <v>49252.5</v>
      </c>
      <c r="AB400" t="inlineStr">
        <is>
          <t>Сошлось с услугами</t>
        </is>
      </c>
      <c r="AC400" s="2" t="inlineStr"/>
      <c r="AD400" t="n">
        <v>247.5</v>
      </c>
      <c r="AE400" t="n">
        <v>0</v>
      </c>
      <c r="AF400" t="inlineStr">
        <is>
          <t>Скидка добавлена к налоговой базе</t>
        </is>
      </c>
      <c r="AG400" t="n">
        <v>49500</v>
      </c>
      <c r="AH400" t="n">
        <v>49252.5</v>
      </c>
      <c r="AI400" t="inlineStr">
        <is>
          <t>Полное проживание в выбранном периоде</t>
        </is>
      </c>
    </row>
    <row r="401">
      <c r="A401" t="inlineStr">
        <is>
          <t>20260711-8186-411331896</t>
        </is>
      </c>
      <c r="B401" t="n">
        <v>1</v>
      </c>
      <c r="C401" s="2" t="inlineStr">
        <is>
          <t>Клара Гольдберг</t>
        </is>
      </c>
      <c r="D401" s="3" t="n">
        <v>6320</v>
      </c>
      <c r="E401" s="4" t="n">
        <v>0</v>
      </c>
      <c r="F401" t="inlineStr">
        <is>
          <t>Прямые бронирования (стойка) [Чайковский]</t>
        </is>
      </c>
      <c r="G401" s="3">
        <f>ROUND(D401/(100-E401)*100,2)</f>
        <v/>
      </c>
      <c r="H401" s="3" t="n">
        <v>0</v>
      </c>
      <c r="I401" s="3">
        <f>ROUND(IF(ISNUMBER(AG401),AG401,G401)+H401,2)</f>
        <v/>
      </c>
      <c r="J401" s="2" t="inlineStr">
        <is>
          <t>Завтрак "Шведский стол"</t>
        </is>
      </c>
      <c r="K401" s="5" t="n">
        <v>46214.58333333334</v>
      </c>
      <c r="L401" t="n">
        <v>1</v>
      </c>
      <c r="M401" s="3">
        <f>I401/L401</f>
        <v/>
      </c>
      <c r="N401">
        <f>IF(M401&gt;=5100,"ставка","мин.ставка")</f>
        <v/>
      </c>
      <c r="O401" s="3">
        <f>ROUND(IF(N401="мин.ставка",L401*100,I401/102*2),2)</f>
        <v/>
      </c>
      <c r="P401" s="5" t="n">
        <v>46215.5</v>
      </c>
      <c r="Q401" t="inlineStr">
        <is>
          <t>TravelLine ресепшен</t>
        </is>
      </c>
      <c r="R401" s="2" t="inlineStr">
        <is>
          <t>СТАНДАРТНЫЙ ДВУХМЕСТНЫЙ НОМЕР (МАНСАРДА)</t>
        </is>
      </c>
      <c r="S401" t="n">
        <v>41</v>
      </c>
      <c r="T401" t="n">
        <v>1</v>
      </c>
      <c r="U401" t="inlineStr"/>
      <c r="V401" t="inlineStr">
        <is>
          <t>Тариф с завтраком</t>
        </is>
      </c>
      <c r="W401" t="n">
        <v>6320</v>
      </c>
      <c r="X401" s="3" t="n">
        <v>1580</v>
      </c>
      <c r="Y401" t="inlineStr">
        <is>
          <t>20%</t>
        </is>
      </c>
      <c r="Z401" t="inlineStr">
        <is>
          <t>2026-07-11</t>
        </is>
      </c>
      <c r="AA401" s="3" t="n">
        <v>6320</v>
      </c>
      <c r="AB401" t="inlineStr">
        <is>
          <t>Сошлось по ночным тарифам</t>
        </is>
      </c>
      <c r="AC401" s="2" t="inlineStr"/>
      <c r="AD401" t="n">
        <v>1580</v>
      </c>
      <c r="AE401" t="n">
        <v>0</v>
      </c>
      <c r="AF401" t="inlineStr">
        <is>
          <t>Скидка добавлена к налоговой базе</t>
        </is>
      </c>
      <c r="AG401" t="n">
        <v>7900</v>
      </c>
      <c r="AH401" t="n">
        <v>6320</v>
      </c>
      <c r="AI401" t="inlineStr">
        <is>
          <t>Полное проживание в выбранном периоде</t>
        </is>
      </c>
    </row>
    <row r="402">
      <c r="A402" t="inlineStr">
        <is>
          <t>20260719-8186-451589711</t>
        </is>
      </c>
      <c r="B402" t="n">
        <v>1</v>
      </c>
      <c r="C402" s="2" t="inlineStr">
        <is>
          <t>Константин Жар</t>
        </is>
      </c>
      <c r="D402" s="3" t="n">
        <v>5852</v>
      </c>
      <c r="E402" s="4" t="n">
        <v>18</v>
      </c>
      <c r="F402" t="inlineStr">
        <is>
          <t>Яндекс.Путешествия [Чайковский]</t>
        </is>
      </c>
      <c r="G402" s="3">
        <f>ROUND(D402/(100-E402)*100,2)</f>
        <v/>
      </c>
      <c r="H402" s="3" t="n">
        <v>0</v>
      </c>
      <c r="I402" s="3">
        <f>ROUND(IF(ISNUMBER(AG402),AG402,G402)+H402,2)</f>
        <v/>
      </c>
      <c r="J402" s="2" t="inlineStr">
        <is>
          <t>Завтрак "Шведский стол"</t>
        </is>
      </c>
      <c r="K402" s="5" t="n">
        <v>46222.58333333334</v>
      </c>
      <c r="L402" t="n">
        <v>1</v>
      </c>
      <c r="M402" s="3">
        <f>I402/L402</f>
        <v/>
      </c>
      <c r="N402">
        <f>IF(M402&gt;=5100,"ставка","мин.ставка")</f>
        <v/>
      </c>
      <c r="O402" s="3">
        <f>ROUND(IF(N402="мин.ставка",L402*100,I402/102*2),2)</f>
        <v/>
      </c>
      <c r="P402" s="5" t="n">
        <v>46223.5</v>
      </c>
      <c r="Q402" t="inlineStr">
        <is>
          <t>TravelLine YAX</t>
        </is>
      </c>
      <c r="R402" s="2" t="inlineStr">
        <is>
          <t>СТАНДАРТНЫЙ ОДНОМЕСТНЫЙ НОМЕР</t>
        </is>
      </c>
      <c r="S402" t="n">
        <v>34</v>
      </c>
      <c r="T402" t="n">
        <v>1</v>
      </c>
      <c r="U402" t="inlineStr"/>
      <c r="V402" t="inlineStr">
        <is>
          <t>Тариф с завтраком</t>
        </is>
      </c>
      <c r="W402" t="n">
        <v>5852</v>
      </c>
      <c r="X402" s="3" t="n">
        <v>1463</v>
      </c>
      <c r="Y402" t="inlineStr">
        <is>
          <t>20%</t>
        </is>
      </c>
      <c r="Z402" t="inlineStr">
        <is>
          <t>2026-07-19</t>
        </is>
      </c>
      <c r="AA402" s="3" t="n">
        <v>5852</v>
      </c>
      <c r="AB402" t="inlineStr">
        <is>
          <t>Сошлось по ночным тарифам</t>
        </is>
      </c>
      <c r="AC402" s="2" t="inlineStr"/>
      <c r="AD402" t="n">
        <v>1463</v>
      </c>
      <c r="AE402" t="n">
        <v>0</v>
      </c>
      <c r="AF402" t="inlineStr">
        <is>
          <t>Скидка добавлена к налоговой базе</t>
        </is>
      </c>
      <c r="AG402" t="n">
        <v>7315</v>
      </c>
      <c r="AH402" t="n">
        <v>5852</v>
      </c>
      <c r="AI402" t="inlineStr">
        <is>
          <t>Полное проживание в выбранном периоде</t>
        </is>
      </c>
    </row>
    <row r="403">
      <c r="A403" t="inlineStr">
        <is>
          <t>20260729-8186-448976597</t>
        </is>
      </c>
      <c r="B403" t="n">
        <v>1</v>
      </c>
      <c r="C403" s="2" t="inlineStr">
        <is>
          <t>КСЕНИЯ Корчик-Янович</t>
        </is>
      </c>
      <c r="D403" s="3" t="n">
        <v>18960</v>
      </c>
      <c r="E403" s="4" t="n">
        <v>20</v>
      </c>
      <c r="F403" t="inlineStr">
        <is>
          <t>ООО "ХБ-ПРО" [Чайковский]</t>
        </is>
      </c>
      <c r="G403" s="3">
        <f>ROUND(D403/(100-E403)*100,2)</f>
        <v/>
      </c>
      <c r="H403" s="3" t="n">
        <v>0</v>
      </c>
      <c r="I403" s="3">
        <f>ROUND(IF(ISNUMBER(AG403),AG403,G403)+H403,2)</f>
        <v/>
      </c>
      <c r="J403" s="2" t="inlineStr">
        <is>
          <t>Завтрак "Шведский стол"</t>
        </is>
      </c>
      <c r="K403" s="5" t="n">
        <v>46232.58333333334</v>
      </c>
      <c r="L403" t="n">
        <v>3</v>
      </c>
      <c r="M403" s="3">
        <f>I403/L403</f>
        <v/>
      </c>
      <c r="N403">
        <f>IF(M403&gt;=5100,"ставка","мин.ставка")</f>
        <v/>
      </c>
      <c r="O403" s="3">
        <f>ROUND(IF(N403="мин.ставка",L403*100,I403/102*2),2)</f>
        <v/>
      </c>
      <c r="P403" s="5" t="n">
        <v>46235.5</v>
      </c>
      <c r="Q403" t="inlineStr">
        <is>
          <t>TravelLine UTS</t>
        </is>
      </c>
      <c r="R403" s="2" t="inlineStr">
        <is>
          <t>СТАНДАРТНЫЙ ДВУХМЕСТНЫЙ НОМЕР (МАНСАРДА)</t>
        </is>
      </c>
      <c r="S403" t="n">
        <v>41</v>
      </c>
      <c r="T403" t="n">
        <v>1</v>
      </c>
      <c r="U403" t="inlineStr"/>
      <c r="V403" t="inlineStr">
        <is>
          <t>Тариф с завтраком</t>
        </is>
      </c>
      <c r="W403" t="n">
        <v>18960</v>
      </c>
      <c r="X403" s="3" t="n">
        <v>0</v>
      </c>
      <c r="Y403" t="inlineStr"/>
      <c r="Z403" t="inlineStr"/>
      <c r="AA403" s="3" t="n">
        <v>18960</v>
      </c>
      <c r="AB403" t="inlineStr">
        <is>
          <t>Сошлось по ночным тарифам</t>
        </is>
      </c>
      <c r="AC403" s="2" t="inlineStr"/>
      <c r="AD403" t="n">
        <v>0</v>
      </c>
      <c r="AE403" t="n">
        <v>0</v>
      </c>
      <c r="AF403" t="inlineStr">
        <is>
          <t>Скидки нет</t>
        </is>
      </c>
      <c r="AG403" t="n">
        <v>18960</v>
      </c>
      <c r="AH403" t="n">
        <v>18960</v>
      </c>
      <c r="AI403" t="inlineStr">
        <is>
          <t>Полное проживание в выбранном периоде</t>
        </is>
      </c>
    </row>
    <row r="404">
      <c r="A404" t="inlineStr">
        <is>
          <t>20260822-8186-447387839</t>
        </is>
      </c>
      <c r="B404" t="n">
        <v>1</v>
      </c>
      <c r="C404" s="2" t="inlineStr">
        <is>
          <t>Ксения Недорезова</t>
        </is>
      </c>
      <c r="D404" s="3" t="n">
        <v>6715</v>
      </c>
      <c r="E404" s="4" t="n">
        <v>15</v>
      </c>
      <c r="F404" t="inlineStr">
        <is>
          <t>ООО Тинькофф Путешествия [Чайковский]</t>
        </is>
      </c>
      <c r="G404" s="3">
        <f>ROUND(D404/(100-E404)*100,2)</f>
        <v/>
      </c>
      <c r="H404" s="3" t="n">
        <v>0</v>
      </c>
      <c r="I404" s="3">
        <f>ROUND(IF(ISNUMBER(AG404),AG404,G404)+H404,2)</f>
        <v/>
      </c>
      <c r="J404" s="2" t="inlineStr">
        <is>
          <t>Завтрак "Шведский стол"</t>
        </is>
      </c>
      <c r="K404" s="5" t="n">
        <v>46256.58333333334</v>
      </c>
      <c r="L404" t="n">
        <v>1</v>
      </c>
      <c r="M404" s="3">
        <f>I404/L404</f>
        <v/>
      </c>
      <c r="N404">
        <f>IF(M404&gt;=5100,"ставка","мин.ставка")</f>
        <v/>
      </c>
      <c r="O404" s="3">
        <f>ROUND(IF(N404="мин.ставка",L404*100,I404/102*2),2)</f>
        <v/>
      </c>
      <c r="P404" s="5" t="n">
        <v>46257.5</v>
      </c>
      <c r="Q404" t="inlineStr">
        <is>
          <t>TravelLine TNK</t>
        </is>
      </c>
      <c r="R404" s="2" t="inlineStr">
        <is>
          <t>СТАНДАРТНЫЙ ДВУХМЕСТНЫЙ НОМЕР (МАНСАРДА)</t>
        </is>
      </c>
      <c r="S404" t="n">
        <v>45</v>
      </c>
      <c r="T404" t="n">
        <v>1</v>
      </c>
      <c r="U404" t="inlineStr"/>
      <c r="V404" t="inlineStr">
        <is>
          <t>Тариф с завтраком</t>
        </is>
      </c>
      <c r="W404" t="n">
        <v>6715</v>
      </c>
      <c r="X404" s="3" t="n">
        <v>1185</v>
      </c>
      <c r="Y404" t="inlineStr">
        <is>
          <t>15%</t>
        </is>
      </c>
      <c r="Z404" t="inlineStr">
        <is>
          <t>2026-08-22</t>
        </is>
      </c>
      <c r="AA404" s="3" t="n">
        <v>6715</v>
      </c>
      <c r="AB404" t="inlineStr">
        <is>
          <t>Сошлось по ночным тарифам</t>
        </is>
      </c>
      <c r="AC404" s="2" t="inlineStr"/>
      <c r="AD404" t="n">
        <v>1185</v>
      </c>
      <c r="AE404" t="n">
        <v>0</v>
      </c>
      <c r="AF404" t="inlineStr">
        <is>
          <t>Скидка добавлена к налоговой базе</t>
        </is>
      </c>
      <c r="AG404" t="n">
        <v>7900</v>
      </c>
      <c r="AH404" t="n">
        <v>6715</v>
      </c>
      <c r="AI404" t="inlineStr">
        <is>
          <t>Полное проживание в выбранном периоде</t>
        </is>
      </c>
    </row>
    <row r="405">
      <c r="A405" t="inlineStr">
        <is>
          <t>20260724-8186-446893476</t>
        </is>
      </c>
      <c r="B405" t="n">
        <v>1</v>
      </c>
      <c r="C405" s="2" t="inlineStr">
        <is>
          <t>Ксения Новоселова</t>
        </is>
      </c>
      <c r="D405" s="3" t="n">
        <v>20230</v>
      </c>
      <c r="E405" s="4" t="n">
        <v>15</v>
      </c>
      <c r="F405" t="inlineStr">
        <is>
          <t>ООО Тинькофф Путешествия [Чайковский]</t>
        </is>
      </c>
      <c r="G405" s="3">
        <f>ROUND(D405/(100-E405)*100,2)</f>
        <v/>
      </c>
      <c r="H405" s="3" t="n">
        <v>0</v>
      </c>
      <c r="I405" s="3">
        <f>ROUND(IF(ISNUMBER(AG405),AG405,G405)+H405,2)</f>
        <v/>
      </c>
      <c r="J405" s="2" t="inlineStr"/>
      <c r="K405" s="5" t="n">
        <v>46227.58333333334</v>
      </c>
      <c r="L405" t="n">
        <v>2</v>
      </c>
      <c r="M405" s="3">
        <f>I405/L405</f>
        <v/>
      </c>
      <c r="N405">
        <f>IF(M405&gt;=5100,"ставка","мин.ставка")</f>
        <v/>
      </c>
      <c r="O405" s="3">
        <f>ROUND(IF(N405="мин.ставка",L405*100,I405/102*2),2)</f>
        <v/>
      </c>
      <c r="P405" s="5" t="n">
        <v>46229.5</v>
      </c>
      <c r="Q405" t="inlineStr">
        <is>
          <t>TravelLine TNK</t>
        </is>
      </c>
      <c r="R405" s="2" t="inlineStr">
        <is>
          <t>УЛУЧШЕННЫЙ ДВУХМЕСТНЫЙ НОМЕР</t>
        </is>
      </c>
      <c r="S405" t="n">
        <v>21</v>
      </c>
      <c r="T405" t="n">
        <v>1</v>
      </c>
      <c r="U405" t="inlineStr"/>
      <c r="V405" t="inlineStr">
        <is>
          <t>Основной тариф без завтрака</t>
        </is>
      </c>
      <c r="W405" t="n">
        <v>20230</v>
      </c>
      <c r="X405" s="3" t="n">
        <v>3570</v>
      </c>
      <c r="Y405" t="inlineStr">
        <is>
          <t>15%</t>
        </is>
      </c>
      <c r="Z405" t="inlineStr">
        <is>
          <t>2026-07-24, 2026-07-25</t>
        </is>
      </c>
      <c r="AA405" s="3" t="n">
        <v>20230</v>
      </c>
      <c r="AB405" t="inlineStr">
        <is>
          <t>Сошлось по ночным тарифам</t>
        </is>
      </c>
      <c r="AC405" s="2" t="inlineStr"/>
      <c r="AD405" t="n">
        <v>3570</v>
      </c>
      <c r="AE405" t="n">
        <v>0</v>
      </c>
      <c r="AF405" t="inlineStr">
        <is>
          <t>Скидка добавлена к налоговой базе</t>
        </is>
      </c>
      <c r="AG405" t="n">
        <v>23800</v>
      </c>
      <c r="AH405" t="n">
        <v>20230</v>
      </c>
      <c r="AI405" t="inlineStr">
        <is>
          <t>Полное проживание в выбранном периоде</t>
        </is>
      </c>
    </row>
    <row r="406">
      <c r="A406" t="inlineStr">
        <is>
          <t>20260915-8186-457386523</t>
        </is>
      </c>
      <c r="B406" t="n">
        <v>1</v>
      </c>
      <c r="C406" s="2" t="inlineStr">
        <is>
          <t>КСЕНИЯ ЯКОВЕНКО</t>
        </is>
      </c>
      <c r="D406" s="3" t="n">
        <v>9080</v>
      </c>
      <c r="E406" s="4" t="n">
        <v>20</v>
      </c>
      <c r="F406" t="inlineStr">
        <is>
          <t>ООО "ХБ-ПРО" [Чайковский]</t>
        </is>
      </c>
      <c r="G406" s="3">
        <f>ROUND(D406/(100-E406)*100,2)</f>
        <v/>
      </c>
      <c r="H406" s="3" t="n">
        <v>0</v>
      </c>
      <c r="I406" s="3">
        <f>ROUND(IF(ISNUMBER(AG406),AG406,G406)+H406,2)</f>
        <v/>
      </c>
      <c r="J406" s="2" t="inlineStr">
        <is>
          <t>Завтрак "Шведский стол"</t>
        </is>
      </c>
      <c r="K406" s="5" t="n">
        <v>46280.58333333334</v>
      </c>
      <c r="L406" t="n">
        <v>1</v>
      </c>
      <c r="M406" s="3">
        <f>I406/L406</f>
        <v/>
      </c>
      <c r="N406">
        <f>IF(M406&gt;=5100,"ставка","мин.ставка")</f>
        <v/>
      </c>
      <c r="O406" s="3">
        <f>ROUND(IF(N406="мин.ставка",L406*100,I406/102*2),2)</f>
        <v/>
      </c>
      <c r="P406" s="5" t="n">
        <v>46281.5</v>
      </c>
      <c r="Q406" t="inlineStr">
        <is>
          <t>TravelLine UTS</t>
        </is>
      </c>
      <c r="R406" s="2" t="inlineStr">
        <is>
          <t>СТАНДАРТНЫЙ ДВУХМЕСТНЫЙ НОМЕР</t>
        </is>
      </c>
      <c r="S406" t="n">
        <v>42</v>
      </c>
      <c r="T406" t="n">
        <v>1</v>
      </c>
      <c r="U406" t="inlineStr"/>
      <c r="V406" t="inlineStr">
        <is>
          <t>Тариф с завтраком</t>
        </is>
      </c>
      <c r="W406" t="n">
        <v>9080</v>
      </c>
      <c r="X406" s="3" t="n">
        <v>0</v>
      </c>
      <c r="Y406" t="inlineStr"/>
      <c r="Z406" t="inlineStr"/>
      <c r="AA406" s="3" t="n">
        <v>9080</v>
      </c>
      <c r="AB406" t="inlineStr">
        <is>
          <t>Сошлось по ночным тарифам</t>
        </is>
      </c>
      <c r="AC406" s="2" t="inlineStr"/>
      <c r="AD406" t="n">
        <v>0</v>
      </c>
      <c r="AE406" t="n">
        <v>0</v>
      </c>
      <c r="AF406" t="inlineStr">
        <is>
          <t>Скидки нет</t>
        </is>
      </c>
      <c r="AG406" t="n">
        <v>9080</v>
      </c>
      <c r="AH406" t="n">
        <v>9080</v>
      </c>
      <c r="AI406" t="inlineStr">
        <is>
          <t>Полное проживание в выбранном периоде</t>
        </is>
      </c>
    </row>
    <row r="407">
      <c r="A407" t="inlineStr">
        <is>
          <t>20260819-8186-412191182</t>
        </is>
      </c>
      <c r="B407" t="n">
        <v>1</v>
      </c>
      <c r="C407" s="2" t="inlineStr">
        <is>
          <t>ЛАРИСА БРИЛЛИАНТ</t>
        </is>
      </c>
      <c r="D407" s="3" t="n">
        <v>23700</v>
      </c>
      <c r="E407" s="4" t="n">
        <v>0</v>
      </c>
      <c r="F407" t="inlineStr">
        <is>
          <t>Прямые бронирования (стойка) [Чайковский]</t>
        </is>
      </c>
      <c r="G407" s="3">
        <f>ROUND(D407/(100-E407)*100,2)</f>
        <v/>
      </c>
      <c r="H407" s="3" t="n">
        <v>0</v>
      </c>
      <c r="I407" s="3">
        <f>ROUND(IF(ISNUMBER(AG407),AG407,G407)+H407,2)</f>
        <v/>
      </c>
      <c r="J407" s="2" t="inlineStr">
        <is>
          <t>Завтрак "Шведский стол"</t>
        </is>
      </c>
      <c r="K407" s="5" t="n">
        <v>46249.58333333334</v>
      </c>
      <c r="L407" t="n">
        <v>3</v>
      </c>
      <c r="M407" s="3">
        <f>I407/L407</f>
        <v/>
      </c>
      <c r="N407">
        <f>IF(M407&gt;=5100,"ставка","мин.ставка")</f>
        <v/>
      </c>
      <c r="O407" s="3">
        <f>ROUND(IF(N407="мин.ставка",L407*100,I407/102*2),2)</f>
        <v/>
      </c>
      <c r="P407" s="5" t="n">
        <v>46252.5</v>
      </c>
      <c r="Q407" t="inlineStr">
        <is>
          <t>TravelLine ресепшен</t>
        </is>
      </c>
      <c r="R407" s="2" t="inlineStr">
        <is>
          <t>СТАНДАРТНЫЙ ДВУХМЕСТНЫЙ НОМЕР (МАНСАРДА)</t>
        </is>
      </c>
      <c r="S407" t="n">
        <v>47</v>
      </c>
      <c r="T407" t="n">
        <v>1</v>
      </c>
      <c r="U407" t="inlineStr"/>
      <c r="V407" t="inlineStr">
        <is>
          <t>Тариф с завтраком</t>
        </is>
      </c>
      <c r="W407" t="n">
        <v>23700</v>
      </c>
      <c r="X407" s="3" t="n">
        <v>0</v>
      </c>
      <c r="Y407" t="inlineStr"/>
      <c r="Z407" t="inlineStr"/>
      <c r="AA407" s="3" t="n">
        <v>23700</v>
      </c>
      <c r="AB407" t="inlineStr">
        <is>
          <t>Сошлось по ночным тарифам</t>
        </is>
      </c>
      <c r="AC407" s="2" t="inlineStr"/>
      <c r="AD407" t="n">
        <v>0</v>
      </c>
      <c r="AE407" t="n">
        <v>0</v>
      </c>
      <c r="AF407" t="inlineStr">
        <is>
          <t>Скидки нет</t>
        </is>
      </c>
      <c r="AG407" t="n">
        <v>23700</v>
      </c>
      <c r="AH407" t="n">
        <v>23700</v>
      </c>
      <c r="AI407" t="inlineStr">
        <is>
          <t>Полное проживание в выбранном периоде</t>
        </is>
      </c>
    </row>
    <row r="408">
      <c r="A408" t="inlineStr">
        <is>
          <t>20260726-8186-440779552</t>
        </is>
      </c>
      <c r="B408" t="n">
        <v>1</v>
      </c>
      <c r="C408" s="2" t="inlineStr">
        <is>
          <t>Лариса Матвеева, Яна Матвеева</t>
        </is>
      </c>
      <c r="D408" s="3" t="n">
        <v>68085</v>
      </c>
      <c r="E408" s="4" t="n">
        <v>0</v>
      </c>
      <c r="F408" t="inlineStr">
        <is>
          <t>ООО «ХОМЛИН ЛЭНД» (ПЕГАС) [Чайковский]</t>
        </is>
      </c>
      <c r="G408" s="3">
        <f>ROUND(D408/(100-E408)*100,2)</f>
        <v/>
      </c>
      <c r="H408" s="3" t="n">
        <v>0</v>
      </c>
      <c r="I408" s="3">
        <f>ROUND(IF(ISNUMBER(AG408),AG408,G408)+H408,2)</f>
        <v/>
      </c>
      <c r="J408" s="2" t="inlineStr">
        <is>
          <t>Завтрак "Шведский стол"</t>
        </is>
      </c>
      <c r="K408" s="5" t="n">
        <v>46229.58333333334</v>
      </c>
      <c r="L408" t="n">
        <v>6</v>
      </c>
      <c r="M408" s="3">
        <f>I408/L408</f>
        <v/>
      </c>
      <c r="N408">
        <f>IF(M408&gt;=5100,"ставка","мин.ставка")</f>
        <v/>
      </c>
      <c r="O408" s="3">
        <f>ROUND(IF(N408="мин.ставка",L408*100,I408/102*2),2)</f>
        <v/>
      </c>
      <c r="P408" s="5" t="n">
        <v>46235.5</v>
      </c>
      <c r="Q408" t="inlineStr">
        <is>
          <t>TravelLine PGS</t>
        </is>
      </c>
      <c r="R408" s="2" t="inlineStr">
        <is>
          <t>СТАНДАРТНЫЙ ДВУХМЕСТНЫЙ НОМЕР</t>
        </is>
      </c>
      <c r="S408" t="n">
        <v>42</v>
      </c>
      <c r="T408" t="n">
        <v>1</v>
      </c>
      <c r="U408" t="inlineStr"/>
      <c r="V408" t="inlineStr">
        <is>
          <t>Тариф с завтраком</t>
        </is>
      </c>
      <c r="W408" t="n">
        <v>68085</v>
      </c>
      <c r="X408" s="3" t="n">
        <v>12015</v>
      </c>
      <c r="Y408" t="inlineStr">
        <is>
          <t>15%</t>
        </is>
      </c>
      <c r="Z408" t="inlineStr">
        <is>
          <t>2026-07-26, 2026-07-27, 2026-07-28, 2026-07-29, 2026-07-30, 2026-07-31</t>
        </is>
      </c>
      <c r="AA408" s="3" t="n">
        <v>68085</v>
      </c>
      <c r="AB408" t="inlineStr">
        <is>
          <t>Сошлось по ночным тарифам</t>
        </is>
      </c>
      <c r="AC408" s="2" t="inlineStr"/>
      <c r="AD408" t="n">
        <v>12015</v>
      </c>
      <c r="AE408" t="n">
        <v>0</v>
      </c>
      <c r="AF408" t="inlineStr">
        <is>
          <t>Скидка добавлена к налоговой базе</t>
        </is>
      </c>
      <c r="AG408" t="n">
        <v>80100</v>
      </c>
      <c r="AH408" t="n">
        <v>68085</v>
      </c>
      <c r="AI408" t="inlineStr">
        <is>
          <t>Полное проживание в выбранном периоде</t>
        </is>
      </c>
    </row>
    <row r="409">
      <c r="A409" t="inlineStr">
        <is>
          <t>20260925-8186-460121814</t>
        </is>
      </c>
      <c r="B409" t="n">
        <v>1</v>
      </c>
      <c r="C409" s="2" t="inlineStr">
        <is>
          <t>Лариса Хоменко, Мария Старкина</t>
        </is>
      </c>
      <c r="D409" s="3" t="n">
        <v>33660</v>
      </c>
      <c r="E409" s="4" t="n">
        <v>0</v>
      </c>
      <c r="F409" t="inlineStr">
        <is>
          <t>ООО «ХОМЛИН ЛЭНД» (ПЕГАС) [Чайковский]</t>
        </is>
      </c>
      <c r="G409" s="3">
        <f>ROUND(D409/(100-E409)*100,2)</f>
        <v/>
      </c>
      <c r="H409" s="3" t="n">
        <v>0</v>
      </c>
      <c r="I409" s="3">
        <f>ROUND(IF(ISNUMBER(AG409),AG409,G409)+H409,2)</f>
        <v/>
      </c>
      <c r="J409" s="2" t="inlineStr">
        <is>
          <t>Завтрак "Шведский стол"</t>
        </is>
      </c>
      <c r="K409" s="5" t="n">
        <v>46290.58333333334</v>
      </c>
      <c r="L409" t="n">
        <v>4</v>
      </c>
      <c r="M409" s="3">
        <f>I409/L409</f>
        <v/>
      </c>
      <c r="N409">
        <f>IF(M409&gt;=5100,"ставка","мин.ставка")</f>
        <v/>
      </c>
      <c r="O409" s="3">
        <f>ROUND(IF(N409="мин.ставка",L409*100,I409/102*2),2)</f>
        <v/>
      </c>
      <c r="P409" s="5" t="n">
        <v>46294.5</v>
      </c>
      <c r="Q409" t="inlineStr">
        <is>
          <t>TravelLine PGS</t>
        </is>
      </c>
      <c r="R409" s="2" t="inlineStr">
        <is>
          <t>СТАНДАРТНЫЙ ДВУХМЕСТНЫЙ НОМЕР (МАНСАРДА)</t>
        </is>
      </c>
      <c r="S409" t="n">
        <v>47</v>
      </c>
      <c r="T409" t="n">
        <v>1</v>
      </c>
      <c r="U409" t="inlineStr"/>
      <c r="V409" t="inlineStr">
        <is>
          <t>Тариф с завтраком</t>
        </is>
      </c>
      <c r="W409" t="n">
        <v>33660</v>
      </c>
      <c r="X409" s="3" t="n">
        <v>5940</v>
      </c>
      <c r="Y409" t="inlineStr">
        <is>
          <t>15%</t>
        </is>
      </c>
      <c r="Z409" t="inlineStr">
        <is>
          <t>2026-09-25, 2026-09-26, 2026-09-27, 2026-09-28</t>
        </is>
      </c>
      <c r="AA409" s="3" t="n">
        <v>33660</v>
      </c>
      <c r="AB409" t="inlineStr">
        <is>
          <t>Сошлось по ночным тарифам</t>
        </is>
      </c>
      <c r="AC409" s="2" t="inlineStr"/>
      <c r="AD409" t="n">
        <v>5940</v>
      </c>
      <c r="AE409" t="n">
        <v>0</v>
      </c>
      <c r="AF409" t="inlineStr">
        <is>
          <t>Скидка добавлена к налоговой базе</t>
        </is>
      </c>
      <c r="AG409" t="n">
        <v>39600</v>
      </c>
      <c r="AH409" t="n">
        <v>33660</v>
      </c>
      <c r="AI409" t="inlineStr">
        <is>
          <t>Полное проживание в выбранном периоде</t>
        </is>
      </c>
    </row>
    <row r="410">
      <c r="A410" t="inlineStr">
        <is>
          <t>20260830-8186-441265449</t>
        </is>
      </c>
      <c r="B410" t="n">
        <v>1</v>
      </c>
      <c r="C410" s="2" t="inlineStr">
        <is>
          <t>Лидия Куковенко</t>
        </is>
      </c>
      <c r="D410" s="3" t="n">
        <v>13114</v>
      </c>
      <c r="E410" s="4" t="n">
        <v>17</v>
      </c>
      <c r="F410" t="inlineStr">
        <is>
          <t>ООО «Интернет Трэвел» (OZON) [Чайковский]</t>
        </is>
      </c>
      <c r="G410" s="3">
        <f>ROUND(D410/(100-E410)*100,2)</f>
        <v/>
      </c>
      <c r="H410" s="3" t="n">
        <v>0</v>
      </c>
      <c r="I410" s="3">
        <f>ROUND(IF(ISNUMBER(AG410),AG410,G410)+H410,2)</f>
        <v/>
      </c>
      <c r="J410" s="2" t="inlineStr">
        <is>
          <t>Завтрак "Шведский стол"</t>
        </is>
      </c>
      <c r="K410" s="5" t="n">
        <v>46264.58333333334</v>
      </c>
      <c r="L410" t="n">
        <v>2</v>
      </c>
      <c r="M410" s="3">
        <f>I410/L410</f>
        <v/>
      </c>
      <c r="N410">
        <f>IF(M410&gt;=5100,"ставка","мин.ставка")</f>
        <v/>
      </c>
      <c r="O410" s="3">
        <f>ROUND(IF(N410="мин.ставка",L410*100,I410/102*2),2)</f>
        <v/>
      </c>
      <c r="P410" s="5" t="n">
        <v>46266.5</v>
      </c>
      <c r="Q410" t="inlineStr">
        <is>
          <t>TravelLine OZ2</t>
        </is>
      </c>
      <c r="R410" s="2" t="inlineStr">
        <is>
          <t>СТАНДАРТНЫЙ ДВУХМЕСТНЫЙ НОМЕР (МАНСАРДА)</t>
        </is>
      </c>
      <c r="S410" t="n">
        <v>43</v>
      </c>
      <c r="T410" t="n">
        <v>1</v>
      </c>
      <c r="U410" t="inlineStr"/>
      <c r="V410" t="inlineStr">
        <is>
          <t>Тариф с завтраком</t>
        </is>
      </c>
      <c r="W410" t="n">
        <v>13114</v>
      </c>
      <c r="X410" s="3" t="n">
        <v>2686</v>
      </c>
      <c r="Y410" t="inlineStr">
        <is>
          <t>17%</t>
        </is>
      </c>
      <c r="Z410" t="inlineStr">
        <is>
          <t>2026-08-30, 2026-08-31</t>
        </is>
      </c>
      <c r="AA410" s="3" t="n">
        <v>13114</v>
      </c>
      <c r="AB410" t="inlineStr">
        <is>
          <t>Сошлось по ночным тарифам</t>
        </is>
      </c>
      <c r="AC410" s="2" t="inlineStr"/>
      <c r="AD410" t="n">
        <v>2686</v>
      </c>
      <c r="AE410" t="n">
        <v>0</v>
      </c>
      <c r="AF410" t="inlineStr">
        <is>
          <t>Скидка добавлена к налоговой базе</t>
        </is>
      </c>
      <c r="AG410" t="n">
        <v>15800</v>
      </c>
      <c r="AH410" t="n">
        <v>13114</v>
      </c>
      <c r="AI410" t="inlineStr">
        <is>
          <t>Полное проживание в выбранном периоде</t>
        </is>
      </c>
    </row>
    <row r="411">
      <c r="A411" t="inlineStr">
        <is>
          <t>20260904-8186-419608255</t>
        </is>
      </c>
      <c r="B411" t="n">
        <v>1</v>
      </c>
      <c r="C411" s="2" t="inlineStr">
        <is>
          <t>Лидия Рассказова, Анна Рассказова</t>
        </is>
      </c>
      <c r="D411" s="3" t="n">
        <v>26286.15</v>
      </c>
      <c r="E411" s="4" t="n">
        <v>4</v>
      </c>
      <c r="F411" t="inlineStr">
        <is>
          <t>TravelLine Booking Engine [Чайковский]</t>
        </is>
      </c>
      <c r="G411" s="3">
        <f>ROUND(D411/(100-E411)*100,2)</f>
        <v/>
      </c>
      <c r="H411" s="3" t="n">
        <v>0</v>
      </c>
      <c r="I411" s="3">
        <f>ROUND(IF(ISNUMBER(AG411),AG411,G411)+H411,2)</f>
        <v/>
      </c>
      <c r="J411" s="2" t="inlineStr">
        <is>
          <t>Завтрак "Шведский стол"</t>
        </is>
      </c>
      <c r="K411" s="5" t="n">
        <v>46269.58333333334</v>
      </c>
      <c r="L411" t="n">
        <v>2</v>
      </c>
      <c r="M411" s="3">
        <f>I411/L411</f>
        <v/>
      </c>
      <c r="N411">
        <f>IF(M411&gt;=5100,"ставка","мин.ставка")</f>
        <v/>
      </c>
      <c r="O411" s="3">
        <f>ROUND(IF(N411="мин.ставка",L411*100,I411/102*2),2)</f>
        <v/>
      </c>
      <c r="P411" s="5" t="n">
        <v>46271.5</v>
      </c>
      <c r="Q411" t="inlineStr">
        <is>
          <t>TravelLine сайт</t>
        </is>
      </c>
      <c r="R411" s="2" t="inlineStr">
        <is>
          <t>СТАНДАРТНЫЙ ДВУХМЕСТНЫЙ НОМЕР</t>
        </is>
      </c>
      <c r="S411" t="n">
        <v>44</v>
      </c>
      <c r="T411" t="n">
        <v>1</v>
      </c>
      <c r="U411" t="inlineStr"/>
      <c r="V411" t="inlineStr">
        <is>
          <t>Тариф с завтраком</t>
        </is>
      </c>
      <c r="W411" t="n">
        <v>45779.25</v>
      </c>
      <c r="X411" s="3" t="n">
        <v>413.85</v>
      </c>
      <c r="Y411" t="inlineStr">
        <is>
          <t>3.1%</t>
        </is>
      </c>
      <c r="Z411" t="inlineStr">
        <is>
          <t>2026-09-04</t>
        </is>
      </c>
      <c r="AA411" s="3" t="n">
        <v>26286.15</v>
      </c>
      <c r="AB411" t="inlineStr">
        <is>
          <t>Сошлось по ночным тарифам</t>
        </is>
      </c>
      <c r="AC411" s="2" t="inlineStr"/>
      <c r="AD411" t="n">
        <v>413.85</v>
      </c>
      <c r="AE411" t="n">
        <v>0</v>
      </c>
      <c r="AF411" t="inlineStr">
        <is>
          <t>Скидка добавлена к налоговой базе</t>
        </is>
      </c>
      <c r="AG411" t="n">
        <v>26700</v>
      </c>
      <c r="AH411" t="n">
        <v>26286.15</v>
      </c>
      <c r="AI411" t="inlineStr">
        <is>
          <t>Полное проживание в выбранном периоде</t>
        </is>
      </c>
    </row>
    <row r="412">
      <c r="A412" t="inlineStr">
        <is>
          <t>20260910-8186-449873466</t>
        </is>
      </c>
      <c r="B412" t="n">
        <v>1</v>
      </c>
      <c r="C412" s="2" t="inlineStr">
        <is>
          <t>ЛИДИЯ СУРКОВА, ТАТЬЯНА СМИРНОВА</t>
        </is>
      </c>
      <c r="D412" s="3" t="n">
        <v>22695</v>
      </c>
      <c r="E412" s="4" t="n">
        <v>0</v>
      </c>
      <c r="F412" t="inlineStr">
        <is>
          <t>ООО «ХОМЛИН ЛЭНД» (ПЕГАС) [Чайковский]</t>
        </is>
      </c>
      <c r="G412" s="3">
        <f>ROUND(D412/(100-E412)*100,2)</f>
        <v/>
      </c>
      <c r="H412" s="3" t="n">
        <v>0</v>
      </c>
      <c r="I412" s="3">
        <f>ROUND(IF(ISNUMBER(AG412),AG412,G412)+H412,2)</f>
        <v/>
      </c>
      <c r="J412" s="2" t="inlineStr">
        <is>
          <t>Завтрак "Шведский стол"</t>
        </is>
      </c>
      <c r="K412" s="5" t="n">
        <v>46275.58333333334</v>
      </c>
      <c r="L412" t="n">
        <v>2</v>
      </c>
      <c r="M412" s="3">
        <f>I412/L412</f>
        <v/>
      </c>
      <c r="N412">
        <f>IF(M412&gt;=5100,"ставка","мин.ставка")</f>
        <v/>
      </c>
      <c r="O412" s="3">
        <f>ROUND(IF(N412="мин.ставка",L412*100,I412/102*2),2)</f>
        <v/>
      </c>
      <c r="P412" s="5" t="n">
        <v>46277.5</v>
      </c>
      <c r="Q412" t="inlineStr">
        <is>
          <t>TravelLine PGS</t>
        </is>
      </c>
      <c r="R412" s="2" t="inlineStr">
        <is>
          <t>ПОЛУЛЮКС</t>
        </is>
      </c>
      <c r="S412" t="n">
        <v>25</v>
      </c>
      <c r="T412" t="n">
        <v>1</v>
      </c>
      <c r="U412" t="inlineStr"/>
      <c r="V412" t="inlineStr">
        <is>
          <t>Тариф с завтраком</t>
        </is>
      </c>
      <c r="W412" t="n">
        <v>22695</v>
      </c>
      <c r="X412" s="3" t="n">
        <v>4005</v>
      </c>
      <c r="Y412" t="inlineStr">
        <is>
          <t>15%</t>
        </is>
      </c>
      <c r="Z412" t="inlineStr">
        <is>
          <t>2026-09-10, 2026-09-11</t>
        </is>
      </c>
      <c r="AA412" s="3" t="n">
        <v>22695</v>
      </c>
      <c r="AB412" t="inlineStr">
        <is>
          <t>Сошлось по ночным тарифам</t>
        </is>
      </c>
      <c r="AC412" s="2" t="inlineStr"/>
      <c r="AD412" t="n">
        <v>4005</v>
      </c>
      <c r="AE412" t="n">
        <v>0</v>
      </c>
      <c r="AF412" t="inlineStr">
        <is>
          <t>Скидка добавлена к налоговой базе</t>
        </is>
      </c>
      <c r="AG412" t="n">
        <v>26700</v>
      </c>
      <c r="AH412" t="n">
        <v>22695</v>
      </c>
      <c r="AI412" t="inlineStr">
        <is>
          <t>Полное проживание в выбранном периоде</t>
        </is>
      </c>
    </row>
    <row r="413">
      <c r="A413" t="inlineStr">
        <is>
          <t>20260918-8186-452114243</t>
        </is>
      </c>
      <c r="B413" t="n">
        <v>1</v>
      </c>
      <c r="C413" s="2" t="inlineStr">
        <is>
          <t>Лилия Бойко</t>
        </is>
      </c>
      <c r="D413" s="3" t="n">
        <v>22348.15</v>
      </c>
      <c r="E413" s="4" t="n">
        <v>4</v>
      </c>
      <c r="F413" t="inlineStr">
        <is>
          <t>TravelLine Booking Engine [Чайковский]</t>
        </is>
      </c>
      <c r="G413" s="3">
        <f>ROUND(D413/(100-E413)*100,2)</f>
        <v/>
      </c>
      <c r="H413" s="3" t="n">
        <v>0</v>
      </c>
      <c r="I413" s="3">
        <f>ROUND(IF(ISNUMBER(AG413),AG413,G413)+H413,2)</f>
        <v/>
      </c>
      <c r="J413" s="2" t="inlineStr">
        <is>
          <t>Завтрак "Шведский стол"</t>
        </is>
      </c>
      <c r="K413" s="5" t="n">
        <v>46283.58333333334</v>
      </c>
      <c r="L413" t="n">
        <v>2</v>
      </c>
      <c r="M413" s="3">
        <f>I413/L413</f>
        <v/>
      </c>
      <c r="N413">
        <f>IF(M413&gt;=5100,"ставка","мин.ставка")</f>
        <v/>
      </c>
      <c r="O413" s="3">
        <f>ROUND(IF(N413="мин.ставка",L413*100,I413/102*2),2)</f>
        <v/>
      </c>
      <c r="P413" s="5" t="n">
        <v>46285.5</v>
      </c>
      <c r="Q413" t="inlineStr">
        <is>
          <t>TravelLine сайт</t>
        </is>
      </c>
      <c r="R413" s="2" t="inlineStr">
        <is>
          <t>СТАНДАРТНЫЙ ДВУХМЕСТНЫЙ НОМЕР</t>
        </is>
      </c>
      <c r="S413" t="n">
        <v>22</v>
      </c>
      <c r="T413" t="n">
        <v>1</v>
      </c>
      <c r="U413" t="inlineStr"/>
      <c r="V413" t="inlineStr">
        <is>
          <t>Тариф с завтраком</t>
        </is>
      </c>
      <c r="W413" t="n">
        <v>22348.15</v>
      </c>
      <c r="X413" s="3" t="n">
        <v>351.85</v>
      </c>
      <c r="Y413" t="inlineStr">
        <is>
          <t>3.1%</t>
        </is>
      </c>
      <c r="Z413" t="inlineStr">
        <is>
          <t>2026-09-18</t>
        </is>
      </c>
      <c r="AA413" s="3" t="n">
        <v>22348.15</v>
      </c>
      <c r="AB413" t="inlineStr">
        <is>
          <t>Сошлось по ночным тарифам</t>
        </is>
      </c>
      <c r="AC413" s="2" t="inlineStr"/>
      <c r="AD413" t="n">
        <v>351.85</v>
      </c>
      <c r="AE413" t="n">
        <v>0</v>
      </c>
      <c r="AF413" t="inlineStr">
        <is>
          <t>Скидка добавлена к налоговой базе</t>
        </is>
      </c>
      <c r="AG413" t="n">
        <v>22700</v>
      </c>
      <c r="AH413" t="n">
        <v>22348.15</v>
      </c>
      <c r="AI413" t="inlineStr">
        <is>
          <t>Полное проживание в выбранном периоде</t>
        </is>
      </c>
    </row>
    <row r="414">
      <c r="A414" t="inlineStr">
        <is>
          <t>20260728-8186-453831391</t>
        </is>
      </c>
      <c r="B414" t="n">
        <v>1</v>
      </c>
      <c r="C414" s="2" t="inlineStr">
        <is>
          <t>лия виноградова</t>
        </is>
      </c>
      <c r="D414" s="3" t="n">
        <v>40200</v>
      </c>
      <c r="E414" s="4" t="n">
        <v>0</v>
      </c>
      <c r="F414" t="inlineStr">
        <is>
          <t>Прямые бронирования (стойка) [Чайковский]</t>
        </is>
      </c>
      <c r="G414" s="3">
        <f>ROUND(D414/(100-E414)*100,2)</f>
        <v/>
      </c>
      <c r="H414" s="3" t="n">
        <v>0</v>
      </c>
      <c r="I414" s="3">
        <f>ROUND(IF(ISNUMBER(AG414),AG414,G414)+H414,2)</f>
        <v/>
      </c>
      <c r="J414" s="2" t="inlineStr">
        <is>
          <t>Завтрак "Шведский стол"</t>
        </is>
      </c>
      <c r="K414" s="5" t="n">
        <v>46231.58333333334</v>
      </c>
      <c r="L414" t="n">
        <v>3</v>
      </c>
      <c r="M414" s="3">
        <f>I414/L414</f>
        <v/>
      </c>
      <c r="N414">
        <f>IF(M414&gt;=5100,"ставка","мин.ставка")</f>
        <v/>
      </c>
      <c r="O414" s="3">
        <f>ROUND(IF(N414="мин.ставка",L414*100,I414/102*2),2)</f>
        <v/>
      </c>
      <c r="P414" s="5" t="n">
        <v>46234.5</v>
      </c>
      <c r="Q414" t="inlineStr">
        <is>
          <t>TravelLine ресепшен</t>
        </is>
      </c>
      <c r="R414" s="2" t="inlineStr">
        <is>
          <t>УЛУЧШЕННЫЙ ДВУХМЕСТНЫЙ НОМЕР</t>
        </is>
      </c>
      <c r="S414" t="n">
        <v>21</v>
      </c>
      <c r="T414" t="n">
        <v>1</v>
      </c>
      <c r="U414" t="inlineStr"/>
      <c r="V414" t="inlineStr">
        <is>
          <t>Тариф с завтраком</t>
        </is>
      </c>
      <c r="W414" t="n">
        <v>40200</v>
      </c>
      <c r="X414" s="3" t="n">
        <v>0</v>
      </c>
      <c r="Y414" t="inlineStr"/>
      <c r="Z414" t="inlineStr"/>
      <c r="AA414" s="3" t="n">
        <v>40200</v>
      </c>
      <c r="AB414" t="inlineStr">
        <is>
          <t>Сошлось по ночным тарифам</t>
        </is>
      </c>
      <c r="AC414" s="2" t="inlineStr"/>
      <c r="AD414" t="n">
        <v>0</v>
      </c>
      <c r="AE414" t="n">
        <v>0</v>
      </c>
      <c r="AF414" t="inlineStr">
        <is>
          <t>Скидки нет</t>
        </is>
      </c>
      <c r="AG414" t="n">
        <v>40200</v>
      </c>
      <c r="AH414" t="n">
        <v>40200</v>
      </c>
      <c r="AI414" t="inlineStr">
        <is>
          <t>Полное проживание в выбранном периоде</t>
        </is>
      </c>
    </row>
    <row r="415">
      <c r="A415" t="inlineStr">
        <is>
          <t>20260729-8186-446362300</t>
        </is>
      </c>
      <c r="B415" t="n">
        <v>1</v>
      </c>
      <c r="C415" s="2" t="inlineStr">
        <is>
          <t>Любовь Дмитриева</t>
        </is>
      </c>
      <c r="D415" s="3" t="n">
        <v>6545</v>
      </c>
      <c r="E415" s="4" t="n">
        <v>15</v>
      </c>
      <c r="F415" t="inlineStr">
        <is>
          <t>ООО «СБО» (Ростелеком) [Чайковский]</t>
        </is>
      </c>
      <c r="G415" s="3">
        <f>ROUND(D415/(100-E415)*100,2)</f>
        <v/>
      </c>
      <c r="H415" s="3" t="n">
        <v>0</v>
      </c>
      <c r="I415" s="3">
        <f>ROUND(IF(ISNUMBER(AG415),AG415,G415)+H415,2)</f>
        <v/>
      </c>
      <c r="J415" s="2" t="inlineStr">
        <is>
          <t>Завтрак "Шведский стол"</t>
        </is>
      </c>
      <c r="K415" s="5" t="n">
        <v>46232.58333333334</v>
      </c>
      <c r="L415" t="n">
        <v>1</v>
      </c>
      <c r="M415" s="3">
        <f>I415/L415</f>
        <v/>
      </c>
      <c r="N415">
        <f>IF(M415&gt;=5100,"ставка","мин.ставка")</f>
        <v/>
      </c>
      <c r="O415" s="3">
        <f>ROUND(IF(N415="мин.ставка",L415*100,I415/102*2),2)</f>
        <v/>
      </c>
      <c r="P415" s="5" t="n">
        <v>46233.5</v>
      </c>
      <c r="Q415" t="inlineStr">
        <is>
          <t>TravelLine RTT</t>
        </is>
      </c>
      <c r="R415" s="2" t="inlineStr">
        <is>
          <t>СТАНДАРТНЫЙ ОДНОМЕСТНЫЙ НОМЕР</t>
        </is>
      </c>
      <c r="S415" t="n">
        <v>34</v>
      </c>
      <c r="T415" t="n">
        <v>1</v>
      </c>
      <c r="U415" t="inlineStr"/>
      <c r="V415" t="inlineStr">
        <is>
          <t>Тариф с завтраком</t>
        </is>
      </c>
      <c r="W415" t="n">
        <v>6545</v>
      </c>
      <c r="X415" s="3" t="n">
        <v>1155</v>
      </c>
      <c r="Y415" t="inlineStr">
        <is>
          <t>15%</t>
        </is>
      </c>
      <c r="Z415" t="inlineStr">
        <is>
          <t>2026-07-29</t>
        </is>
      </c>
      <c r="AA415" s="3" t="n">
        <v>6545</v>
      </c>
      <c r="AB415" t="inlineStr">
        <is>
          <t>Сошлось по ночным тарифам</t>
        </is>
      </c>
      <c r="AC415" s="2" t="inlineStr"/>
      <c r="AD415" t="n">
        <v>1155</v>
      </c>
      <c r="AE415" t="n">
        <v>0</v>
      </c>
      <c r="AF415" t="inlineStr">
        <is>
          <t>Скидка добавлена к налоговой базе</t>
        </is>
      </c>
      <c r="AG415" t="n">
        <v>7700</v>
      </c>
      <c r="AH415" t="n">
        <v>6545</v>
      </c>
      <c r="AI415" t="inlineStr">
        <is>
          <t>Полное проживание в выбранном периоде</t>
        </is>
      </c>
    </row>
    <row r="416">
      <c r="A416" t="inlineStr">
        <is>
          <t>20260930-8186-465893776</t>
        </is>
      </c>
      <c r="B416" t="n">
        <v>1</v>
      </c>
      <c r="C416" s="2" t="inlineStr">
        <is>
          <t>ЛЮБОВЬ ПУШКИНА</t>
        </is>
      </c>
      <c r="D416" s="3" t="n">
        <v>14820</v>
      </c>
      <c r="E416" s="4" t="n">
        <v>18</v>
      </c>
      <c r="F416" t="inlineStr">
        <is>
          <t>Яндекс.Путешествия [Чайковский]</t>
        </is>
      </c>
      <c r="G416" s="3">
        <f>ROUND(D416/(100-E416)*100,2)</f>
        <v/>
      </c>
      <c r="H416" s="3" t="n">
        <v>0</v>
      </c>
      <c r="I416" s="3">
        <f>ROUND(IF(ISNUMBER(AG416),AG416,G416)+H416,2)</f>
        <v/>
      </c>
      <c r="J416" s="2" t="inlineStr"/>
      <c r="K416" s="5" t="n">
        <v>46295.58333333334</v>
      </c>
      <c r="L416" t="n">
        <v>1</v>
      </c>
      <c r="M416" s="3">
        <f>I416/L416</f>
        <v/>
      </c>
      <c r="N416">
        <f>IF(M416&gt;=5100,"ставка","мин.ставка")</f>
        <v/>
      </c>
      <c r="O416" s="3">
        <f>ROUND(IF(N416="мин.ставка",L416*100,I416/102*2),2)</f>
        <v/>
      </c>
      <c r="P416" s="5" t="n">
        <v>46297.5</v>
      </c>
      <c r="Q416" t="inlineStr">
        <is>
          <t>TravelLine YAX</t>
        </is>
      </c>
      <c r="R416" s="2" t="inlineStr">
        <is>
          <t>СТАНДАРТНЫЙ ДВУХМЕСТНЫЙ НОМЕР (МАНСАРДА)</t>
        </is>
      </c>
      <c r="S416" t="n">
        <v>47</v>
      </c>
      <c r="T416" t="n">
        <v>1</v>
      </c>
      <c r="U416" t="inlineStr"/>
      <c r="V416" t="inlineStr">
        <is>
          <t>Тариф с завтраком</t>
        </is>
      </c>
      <c r="W416" t="n">
        <v>14820</v>
      </c>
      <c r="X416" s="3" t="n">
        <v>0</v>
      </c>
      <c r="Y416" t="inlineStr"/>
      <c r="Z416" t="inlineStr"/>
      <c r="AA416" s="3" t="n">
        <v>14820</v>
      </c>
      <c r="AB416" t="inlineStr">
        <is>
          <t>Сошлось по ночным тарифам</t>
        </is>
      </c>
      <c r="AC416" s="2" t="inlineStr"/>
      <c r="AD416" t="n">
        <v>0</v>
      </c>
      <c r="AE416" t="n">
        <v>0</v>
      </c>
      <c r="AF416" t="inlineStr">
        <is>
          <t>Скидки нет</t>
        </is>
      </c>
      <c r="AG416" t="n">
        <v>7505</v>
      </c>
      <c r="AH416" t="n">
        <v>7505</v>
      </c>
      <c r="AI416" t="inlineStr">
        <is>
          <t>Частичное проживание распределено по dailyRates</t>
        </is>
      </c>
    </row>
    <row r="417">
      <c r="A417" t="inlineStr">
        <is>
          <t>20260725-8186-452845758</t>
        </is>
      </c>
      <c r="B417" t="n">
        <v>1</v>
      </c>
      <c r="C417" s="2" t="inlineStr">
        <is>
          <t>Ляйсан Пушницына</t>
        </is>
      </c>
      <c r="D417" s="3" t="n">
        <v>6715</v>
      </c>
      <c r="E417" s="4" t="n">
        <v>15</v>
      </c>
      <c r="F417" t="inlineStr">
        <is>
          <t>ООО "БРОНИРОВАНИЕ ГОСТИНИЦ" (OSTROVOK) [Чайковский]</t>
        </is>
      </c>
      <c r="G417" s="3">
        <f>ROUND(D417/(100-E417)*100,2)</f>
        <v/>
      </c>
      <c r="H417" s="3" t="n">
        <v>0</v>
      </c>
      <c r="I417" s="3">
        <f>ROUND(IF(ISNUMBER(AG417),AG417,G417)+H417,2)</f>
        <v/>
      </c>
      <c r="J417" s="2" t="inlineStr">
        <is>
          <t>Завтрак "Шведский стол"</t>
        </is>
      </c>
      <c r="K417" s="5" t="n">
        <v>46228.58333333334</v>
      </c>
      <c r="L417" t="n">
        <v>1</v>
      </c>
      <c r="M417" s="3">
        <f>I417/L417</f>
        <v/>
      </c>
      <c r="N417">
        <f>IF(M417&gt;=5100,"ставка","мин.ставка")</f>
        <v/>
      </c>
      <c r="O417" s="3">
        <f>ROUND(IF(N417="мин.ставка",L417*100,I417/102*2),2)</f>
        <v/>
      </c>
      <c r="P417" s="5" t="n">
        <v>46229.5</v>
      </c>
      <c r="Q417" t="inlineStr">
        <is>
          <t>TravelLine OTK</t>
        </is>
      </c>
      <c r="R417" s="2" t="inlineStr">
        <is>
          <t>СТАНДАРТНЫЙ ДВУХМЕСТНЫЙ НОМЕР (МАНСАРДА)</t>
        </is>
      </c>
      <c r="S417" t="n">
        <v>41</v>
      </c>
      <c r="T417" t="n">
        <v>1</v>
      </c>
      <c r="U417" t="inlineStr"/>
      <c r="V417" t="inlineStr">
        <is>
          <t>Тариф с завтраком</t>
        </is>
      </c>
      <c r="W417" t="n">
        <v>6715</v>
      </c>
      <c r="X417" s="3" t="n">
        <v>1185</v>
      </c>
      <c r="Y417" t="inlineStr">
        <is>
          <t>15%</t>
        </is>
      </c>
      <c r="Z417" t="inlineStr">
        <is>
          <t>2026-07-25</t>
        </is>
      </c>
      <c r="AA417" s="3" t="n">
        <v>6715</v>
      </c>
      <c r="AB417" t="inlineStr">
        <is>
          <t>Сошлось по ночным тарифам</t>
        </is>
      </c>
      <c r="AC417" s="2" t="inlineStr"/>
      <c r="AD417" t="n">
        <v>1185</v>
      </c>
      <c r="AE417" t="n">
        <v>0</v>
      </c>
      <c r="AF417" t="inlineStr">
        <is>
          <t>Скидка добавлена к налоговой базе</t>
        </is>
      </c>
      <c r="AG417" t="n">
        <v>7900</v>
      </c>
      <c r="AH417" t="n">
        <v>6715</v>
      </c>
      <c r="AI417" t="inlineStr">
        <is>
          <t>Полное проживание в выбранном периоде</t>
        </is>
      </c>
    </row>
    <row r="418">
      <c r="A418" t="inlineStr">
        <is>
          <t>20260906-8186-464002736</t>
        </is>
      </c>
      <c r="B418" t="n">
        <v>1</v>
      </c>
      <c r="C418" s="2" t="inlineStr">
        <is>
          <t>МАГОМЕД РАМАЗАНОВ, НАДИЯ ГАДЖИМАГОМЕДОВА</t>
        </is>
      </c>
      <c r="D418" s="3" t="n">
        <v>22428</v>
      </c>
      <c r="E418" s="4" t="n">
        <v>16</v>
      </c>
      <c r="F418" t="inlineStr">
        <is>
          <t>ООО "БРОНИРОВАНИЕ ГОСТИНИЦ" (OSTROVOK) [Чайковский]</t>
        </is>
      </c>
      <c r="G418" s="3">
        <f>ROUND(D418/(100-E418)*100,2)</f>
        <v/>
      </c>
      <c r="H418" s="3" t="n">
        <v>0</v>
      </c>
      <c r="I418" s="3">
        <f>ROUND(IF(ISNUMBER(AG418),AG418,G418)+H418,2)</f>
        <v/>
      </c>
      <c r="J418" s="2" t="inlineStr">
        <is>
          <t>Завтрак "Шведский стол"</t>
        </is>
      </c>
      <c r="K418" s="5" t="n">
        <v>46271.58333333334</v>
      </c>
      <c r="L418" t="n">
        <v>2</v>
      </c>
      <c r="M418" s="3">
        <f>I418/L418</f>
        <v/>
      </c>
      <c r="N418">
        <f>IF(M418&gt;=5100,"ставка","мин.ставка")</f>
        <v/>
      </c>
      <c r="O418" s="3">
        <f>ROUND(IF(N418="мин.ставка",L418*100,I418/102*2),2)</f>
        <v/>
      </c>
      <c r="P418" s="5" t="n">
        <v>46273.5</v>
      </c>
      <c r="Q418" t="inlineStr">
        <is>
          <t>TravelLine OTK</t>
        </is>
      </c>
      <c r="R418" s="2" t="inlineStr">
        <is>
          <t>СТАНДАРТНЫЙ ДВУХМЕСТНЫЙ НОМЕР</t>
        </is>
      </c>
      <c r="S418" t="n">
        <v>23</v>
      </c>
      <c r="T418" t="n">
        <v>1</v>
      </c>
      <c r="U418" t="inlineStr"/>
      <c r="V418" t="inlineStr">
        <is>
          <t>Тариф с завтраком</t>
        </is>
      </c>
      <c r="W418" t="n">
        <v>22428</v>
      </c>
      <c r="X418" s="3" t="n">
        <v>4272</v>
      </c>
      <c r="Y418" t="inlineStr">
        <is>
          <t>16%</t>
        </is>
      </c>
      <c r="Z418" t="inlineStr">
        <is>
          <t>2026-09-06, 2026-09-07</t>
        </is>
      </c>
      <c r="AA418" s="3" t="n">
        <v>22428</v>
      </c>
      <c r="AB418" t="inlineStr">
        <is>
          <t>Сошлось по ночным тарифам</t>
        </is>
      </c>
      <c r="AC418" s="2" t="inlineStr"/>
      <c r="AD418" t="n">
        <v>4272</v>
      </c>
      <c r="AE418" t="n">
        <v>0</v>
      </c>
      <c r="AF418" t="inlineStr">
        <is>
          <t>Скидка добавлена к налоговой базе</t>
        </is>
      </c>
      <c r="AG418" t="n">
        <v>26700</v>
      </c>
      <c r="AH418" t="n">
        <v>22428</v>
      </c>
      <c r="AI418" t="inlineStr">
        <is>
          <t>Полное проживание в выбранном периоде</t>
        </is>
      </c>
    </row>
    <row r="419">
      <c r="A419" t="inlineStr">
        <is>
          <t>20260826-8186-461708578</t>
        </is>
      </c>
      <c r="B419" t="n">
        <v>1</v>
      </c>
      <c r="C419" s="2" t="inlineStr">
        <is>
          <t>МАКСИМ АБДУРАЗАКОВ</t>
        </is>
      </c>
      <c r="D419" s="3" t="n">
        <v>9080</v>
      </c>
      <c r="E419" s="4" t="n">
        <v>20</v>
      </c>
      <c r="F419" t="inlineStr">
        <is>
          <t>ООО "ХБ-ПРО" [Чайковский]</t>
        </is>
      </c>
      <c r="G419" s="3">
        <f>ROUND(D419/(100-E419)*100,2)</f>
        <v/>
      </c>
      <c r="H419" s="3" t="n">
        <v>0</v>
      </c>
      <c r="I419" s="3">
        <f>ROUND(IF(ISNUMBER(AG419),AG419,G419)+H419,2)</f>
        <v/>
      </c>
      <c r="J419" s="2" t="inlineStr">
        <is>
          <t>Завтрак "Шведский стол"</t>
        </is>
      </c>
      <c r="K419" s="5" t="n">
        <v>46260.58333333334</v>
      </c>
      <c r="L419" t="n">
        <v>1</v>
      </c>
      <c r="M419" s="3">
        <f>I419/L419</f>
        <v/>
      </c>
      <c r="N419">
        <f>IF(M419&gt;=5100,"ставка","мин.ставка")</f>
        <v/>
      </c>
      <c r="O419" s="3">
        <f>ROUND(IF(N419="мин.ставка",L419*100,I419/102*2),2)</f>
        <v/>
      </c>
      <c r="P419" s="5" t="n">
        <v>46261.5</v>
      </c>
      <c r="Q419" t="inlineStr">
        <is>
          <t>TravelLine UTS</t>
        </is>
      </c>
      <c r="R419" s="2" t="inlineStr">
        <is>
          <t>ПОЛУЛЮКС</t>
        </is>
      </c>
      <c r="S419" t="n">
        <v>35</v>
      </c>
      <c r="T419" t="n">
        <v>1</v>
      </c>
      <c r="U419" t="inlineStr"/>
      <c r="V419" t="inlineStr">
        <is>
          <t>Тариф с завтраком</t>
        </is>
      </c>
      <c r="W419" t="n">
        <v>9080</v>
      </c>
      <c r="X419" s="3" t="n">
        <v>0</v>
      </c>
      <c r="Y419" t="inlineStr"/>
      <c r="Z419" t="inlineStr"/>
      <c r="AA419" s="3" t="n">
        <v>9080</v>
      </c>
      <c r="AB419" t="inlineStr">
        <is>
          <t>Сошлось по ночным тарифам</t>
        </is>
      </c>
      <c r="AC419" s="2" t="inlineStr"/>
      <c r="AD419" t="n">
        <v>0</v>
      </c>
      <c r="AE419" t="n">
        <v>0</v>
      </c>
      <c r="AF419" t="inlineStr">
        <is>
          <t>Скидки нет</t>
        </is>
      </c>
      <c r="AG419" t="n">
        <v>9080</v>
      </c>
      <c r="AH419" t="n">
        <v>9080</v>
      </c>
      <c r="AI419" t="inlineStr">
        <is>
          <t>Полное проживание в выбранном периоде</t>
        </is>
      </c>
    </row>
    <row r="420">
      <c r="A420" t="inlineStr">
        <is>
          <t>20260812-8186-456611452</t>
        </is>
      </c>
      <c r="B420" t="n">
        <v>1</v>
      </c>
      <c r="C420" s="2" t="inlineStr">
        <is>
          <t>Максим Акентьев</t>
        </is>
      </c>
      <c r="D420" s="3" t="n">
        <v>6545</v>
      </c>
      <c r="E420" s="4" t="n">
        <v>15</v>
      </c>
      <c r="F420" t="inlineStr">
        <is>
          <t>ООО «СБО» (Ростелеком) [Чайковский]</t>
        </is>
      </c>
      <c r="G420" s="3">
        <f>ROUND(D420/(100-E420)*100,2)</f>
        <v/>
      </c>
      <c r="H420" s="3" t="n">
        <v>0</v>
      </c>
      <c r="I420" s="3">
        <f>ROUND(IF(ISNUMBER(AG420),AG420,G420)+H420,2)</f>
        <v/>
      </c>
      <c r="J420" s="2" t="inlineStr">
        <is>
          <t>Завтрак "Шведский стол"</t>
        </is>
      </c>
      <c r="K420" s="5" t="n">
        <v>46246.58333333334</v>
      </c>
      <c r="L420" t="n">
        <v>1</v>
      </c>
      <c r="M420" s="3">
        <f>I420/L420</f>
        <v/>
      </c>
      <c r="N420">
        <f>IF(M420&gt;=5100,"ставка","мин.ставка")</f>
        <v/>
      </c>
      <c r="O420" s="3">
        <f>ROUND(IF(N420="мин.ставка",L420*100,I420/102*2),2)</f>
        <v/>
      </c>
      <c r="P420" s="5" t="n">
        <v>46247.5</v>
      </c>
      <c r="Q420" t="inlineStr">
        <is>
          <t>TravelLine RTT</t>
        </is>
      </c>
      <c r="R420" s="2" t="inlineStr">
        <is>
          <t>СТАНДАРТНЫЙ ОДНОМЕСТНЫЙ НОМЕР</t>
        </is>
      </c>
      <c r="S420" t="n">
        <v>34</v>
      </c>
      <c r="T420" t="n">
        <v>1</v>
      </c>
      <c r="U420" t="inlineStr"/>
      <c r="V420" t="inlineStr">
        <is>
          <t>Тариф с завтраком</t>
        </is>
      </c>
      <c r="W420" t="n">
        <v>6545</v>
      </c>
      <c r="X420" s="3" t="n">
        <v>1155</v>
      </c>
      <c r="Y420" t="inlineStr">
        <is>
          <t>15%</t>
        </is>
      </c>
      <c r="Z420" t="inlineStr">
        <is>
          <t>2026-08-12</t>
        </is>
      </c>
      <c r="AA420" s="3" t="n">
        <v>6545</v>
      </c>
      <c r="AB420" t="inlineStr">
        <is>
          <t>Сошлось по ночным тарифам</t>
        </is>
      </c>
      <c r="AC420" s="2" t="inlineStr"/>
      <c r="AD420" t="n">
        <v>1155</v>
      </c>
      <c r="AE420" t="n">
        <v>0</v>
      </c>
      <c r="AF420" t="inlineStr">
        <is>
          <t>Скидка добавлена к налоговой базе</t>
        </is>
      </c>
      <c r="AG420" t="n">
        <v>7700</v>
      </c>
      <c r="AH420" t="n">
        <v>6545</v>
      </c>
      <c r="AI420" t="inlineStr">
        <is>
          <t>Полное проживание в выбранном периоде</t>
        </is>
      </c>
    </row>
    <row r="421">
      <c r="A421" t="inlineStr">
        <is>
          <t>20260814-8186-435423092</t>
        </is>
      </c>
      <c r="B421" t="n">
        <v>1</v>
      </c>
      <c r="C421" s="2" t="inlineStr">
        <is>
          <t>Максим Головенко, Анна Минакова</t>
        </is>
      </c>
      <c r="D421" s="3" t="n">
        <v>26400</v>
      </c>
      <c r="E421" s="4" t="n">
        <v>18</v>
      </c>
      <c r="F421" t="inlineStr">
        <is>
          <t>Яндекс.Путешествия [Чайковский]</t>
        </is>
      </c>
      <c r="G421" s="3">
        <f>ROUND(D421/(100-E421)*100,2)</f>
        <v/>
      </c>
      <c r="H421" s="3" t="n">
        <v>0</v>
      </c>
      <c r="I421" s="3">
        <f>ROUND(IF(ISNUMBER(AG421),AG421,G421)+H421,2)</f>
        <v/>
      </c>
      <c r="J421" s="2" t="inlineStr">
        <is>
          <t>Завтрак "Шведский стол"</t>
        </is>
      </c>
      <c r="K421" s="5" t="n">
        <v>46248.58333333334</v>
      </c>
      <c r="L421" t="n">
        <v>2</v>
      </c>
      <c r="M421" s="3">
        <f>I421/L421</f>
        <v/>
      </c>
      <c r="N421">
        <f>IF(M421&gt;=5100,"ставка","мин.ставка")</f>
        <v/>
      </c>
      <c r="O421" s="3">
        <f>ROUND(IF(N421="мин.ставка",L421*100,I421/102*2),2)</f>
        <v/>
      </c>
      <c r="P421" s="5" t="n">
        <v>46250.5</v>
      </c>
      <c r="Q421" t="inlineStr">
        <is>
          <t>TravelLine YAX</t>
        </is>
      </c>
      <c r="R421" s="2" t="inlineStr">
        <is>
          <t>ПОЛУЛЮКС</t>
        </is>
      </c>
      <c r="S421" t="n">
        <v>25</v>
      </c>
      <c r="T421" t="n">
        <v>1</v>
      </c>
      <c r="U421" t="inlineStr"/>
      <c r="V421" t="inlineStr">
        <is>
          <t>Тариф с завтраком</t>
        </is>
      </c>
      <c r="W421" t="n">
        <v>26400</v>
      </c>
      <c r="X421" s="3" t="n">
        <v>6600</v>
      </c>
      <c r="Y421" t="inlineStr">
        <is>
          <t>20%</t>
        </is>
      </c>
      <c r="Z421" t="inlineStr">
        <is>
          <t>2026-08-14, 2026-08-15</t>
        </is>
      </c>
      <c r="AA421" s="3" t="n">
        <v>26400</v>
      </c>
      <c r="AB421" t="inlineStr">
        <is>
          <t>Сошлось по ночным тарифам</t>
        </is>
      </c>
      <c r="AC421" s="2" t="inlineStr"/>
      <c r="AD421" t="n">
        <v>6600</v>
      </c>
      <c r="AE421" t="n">
        <v>0</v>
      </c>
      <c r="AF421" t="inlineStr">
        <is>
          <t>Скидка добавлена к налоговой базе</t>
        </is>
      </c>
      <c r="AG421" t="n">
        <v>33000</v>
      </c>
      <c r="AH421" t="n">
        <v>26400</v>
      </c>
      <c r="AI421" t="inlineStr">
        <is>
          <t>Полное проживание в выбранном периоде</t>
        </is>
      </c>
    </row>
    <row r="422">
      <c r="A422" t="inlineStr">
        <is>
          <t>20260808-8186-450140561</t>
        </is>
      </c>
      <c r="B422" t="n">
        <v>1</v>
      </c>
      <c r="C422" s="2" t="inlineStr">
        <is>
          <t>Максим Густайтис, Анна Шинкаренко</t>
        </is>
      </c>
      <c r="D422" s="3" t="n">
        <v>13860</v>
      </c>
      <c r="E422" s="4" t="n">
        <v>0</v>
      </c>
      <c r="F422" t="inlineStr">
        <is>
          <t>Прямые бронирования (стойка) [Чайковский]</t>
        </is>
      </c>
      <c r="G422" s="3">
        <f>ROUND(D422/(100-E422)*100,2)</f>
        <v/>
      </c>
      <c r="H422" s="3" t="n">
        <v>0</v>
      </c>
      <c r="I422" s="3">
        <f>ROUND(IF(ISNUMBER(AG422),AG422,G422)+H422,2)</f>
        <v/>
      </c>
      <c r="J422" s="2" t="inlineStr">
        <is>
          <t>Завтрак "Шведский стол"</t>
        </is>
      </c>
      <c r="K422" s="5" t="n">
        <v>46242.58333333334</v>
      </c>
      <c r="L422" t="n">
        <v>1</v>
      </c>
      <c r="M422" s="3">
        <f>I422/L422</f>
        <v/>
      </c>
      <c r="N422">
        <f>IF(M422&gt;=5100,"ставка","мин.ставка")</f>
        <v/>
      </c>
      <c r="O422" s="3">
        <f>ROUND(IF(N422="мин.ставка",L422*100,I422/102*2),2)</f>
        <v/>
      </c>
      <c r="P422" s="5" t="n">
        <v>46243.5</v>
      </c>
      <c r="Q422" t="inlineStr">
        <is>
          <t>TravelLine ресепшен</t>
        </is>
      </c>
      <c r="R422" s="2" t="inlineStr">
        <is>
          <t>УЛУЧШЕННЫЙ ДВУХМЕСТНЫЙ НОМЕР</t>
        </is>
      </c>
      <c r="S422" t="n">
        <v>31</v>
      </c>
      <c r="T422" t="n">
        <v>1</v>
      </c>
      <c r="U422" t="inlineStr"/>
      <c r="V422" t="inlineStr">
        <is>
          <t>Тариф с завтраком</t>
        </is>
      </c>
      <c r="W422" t="n">
        <v>13860</v>
      </c>
      <c r="X422" s="3" t="n">
        <v>1540</v>
      </c>
      <c r="Y422" t="inlineStr">
        <is>
          <t>10%</t>
        </is>
      </c>
      <c r="Z422" t="inlineStr">
        <is>
          <t>2026-08-08</t>
        </is>
      </c>
      <c r="AA422" s="3" t="n">
        <v>13860</v>
      </c>
      <c r="AB422" t="inlineStr">
        <is>
          <t>Сошлось по ночным тарифам</t>
        </is>
      </c>
      <c r="AC422" s="2" t="inlineStr"/>
      <c r="AD422" t="n">
        <v>1540</v>
      </c>
      <c r="AE422" t="n">
        <v>0</v>
      </c>
      <c r="AF422" t="inlineStr">
        <is>
          <t>Скидка добавлена к налоговой базе</t>
        </is>
      </c>
      <c r="AG422" t="n">
        <v>15400</v>
      </c>
      <c r="AH422" t="n">
        <v>13860</v>
      </c>
      <c r="AI422" t="inlineStr">
        <is>
          <t>Полное проживание в выбранном периоде</t>
        </is>
      </c>
    </row>
    <row r="423">
      <c r="A423" t="inlineStr">
        <is>
          <t>20260712-8186-429226347</t>
        </is>
      </c>
      <c r="B423" t="n">
        <v>1</v>
      </c>
      <c r="C423" s="2" t="inlineStr">
        <is>
          <t>Максим Дербеденев, Юлия Папина</t>
        </is>
      </c>
      <c r="D423" s="3" t="n">
        <v>73920</v>
      </c>
      <c r="E423" s="4" t="n">
        <v>18</v>
      </c>
      <c r="F423" t="inlineStr">
        <is>
          <t>Яндекс.Путешествия [Чайковский]</t>
        </is>
      </c>
      <c r="G423" s="3">
        <f>ROUND(D423/(100-E423)*100,2)</f>
        <v/>
      </c>
      <c r="H423" s="3" t="n">
        <v>0</v>
      </c>
      <c r="I423" s="3">
        <f>ROUND(IF(ISNUMBER(AG423),AG423,G423)+H423,2)</f>
        <v/>
      </c>
      <c r="J423" s="2" t="inlineStr">
        <is>
          <t>Завтрак "Шведский стол"</t>
        </is>
      </c>
      <c r="K423" s="5" t="n">
        <v>46215.58333333334</v>
      </c>
      <c r="L423" t="n">
        <v>6</v>
      </c>
      <c r="M423" s="3">
        <f>I423/L423</f>
        <v/>
      </c>
      <c r="N423">
        <f>IF(M423&gt;=5100,"ставка","мин.ставка")</f>
        <v/>
      </c>
      <c r="O423" s="3">
        <f>ROUND(IF(N423="мин.ставка",L423*100,I423/102*2),2)</f>
        <v/>
      </c>
      <c r="P423" s="5" t="n">
        <v>46221.5</v>
      </c>
      <c r="Q423" t="inlineStr">
        <is>
          <t>TravelLine YAX</t>
        </is>
      </c>
      <c r="R423" s="2" t="inlineStr">
        <is>
          <t>УЛУЧШЕННЫЙ ДВУХМЕСТНЫЙ НОМЕР</t>
        </is>
      </c>
      <c r="S423" t="n">
        <v>31</v>
      </c>
      <c r="T423" t="n">
        <v>1</v>
      </c>
      <c r="U423" t="inlineStr"/>
      <c r="V423" t="inlineStr">
        <is>
          <t>Тариф с завтраком</t>
        </is>
      </c>
      <c r="W423" t="n">
        <v>73920</v>
      </c>
      <c r="X423" s="3" t="n">
        <v>18480</v>
      </c>
      <c r="Y423" t="inlineStr">
        <is>
          <t>20%</t>
        </is>
      </c>
      <c r="Z423" t="inlineStr">
        <is>
          <t>2026-07-12, 2026-07-13, 2026-07-14, 2026-07-15, 2026-07-16, 2026-07-17</t>
        </is>
      </c>
      <c r="AA423" s="3" t="n">
        <v>73920</v>
      </c>
      <c r="AB423" t="inlineStr">
        <is>
          <t>Сошлось по ночным тарифам</t>
        </is>
      </c>
      <c r="AC423" s="2" t="inlineStr"/>
      <c r="AD423" t="n">
        <v>18480</v>
      </c>
      <c r="AE423" t="n">
        <v>0</v>
      </c>
      <c r="AF423" t="inlineStr">
        <is>
          <t>Скидка добавлена к налоговой базе</t>
        </is>
      </c>
      <c r="AG423" t="n">
        <v>92400</v>
      </c>
      <c r="AH423" t="n">
        <v>73920</v>
      </c>
      <c r="AI423" t="inlineStr">
        <is>
          <t>Полное проживание в выбранном периоде</t>
        </is>
      </c>
    </row>
    <row r="424">
      <c r="A424" t="inlineStr">
        <is>
          <t>20260927-8186-468959350</t>
        </is>
      </c>
      <c r="B424" t="n">
        <v>1</v>
      </c>
      <c r="C424" s="2" t="inlineStr">
        <is>
          <t>МАКСИМ ДРОЗДОВИЧ</t>
        </is>
      </c>
      <c r="D424" s="3" t="n">
        <v>11850</v>
      </c>
      <c r="E424" s="4" t="n">
        <v>0</v>
      </c>
      <c r="F424" t="inlineStr">
        <is>
          <t>Прямые бронирования (стойка) [Чайковский]</t>
        </is>
      </c>
      <c r="G424" s="3">
        <f>ROUND(D424/(100-E424)*100,2)</f>
        <v/>
      </c>
      <c r="H424" s="3" t="n">
        <v>0</v>
      </c>
      <c r="I424" s="3">
        <f>ROUND(IF(ISNUMBER(AG424),AG424,G424)+H424,2)</f>
        <v/>
      </c>
      <c r="J424" s="2" t="inlineStr"/>
      <c r="K424" s="5" t="n">
        <v>46292.58333333334</v>
      </c>
      <c r="L424" t="n">
        <v>1</v>
      </c>
      <c r="M424" s="3">
        <f>I424/L424</f>
        <v/>
      </c>
      <c r="N424">
        <f>IF(M424&gt;=5100,"ставка","мин.ставка")</f>
        <v/>
      </c>
      <c r="O424" s="3">
        <f>ROUND(IF(N424="мин.ставка",L424*100,I424/102*2),2)</f>
        <v/>
      </c>
      <c r="P424" s="5" t="n">
        <v>46293.5</v>
      </c>
      <c r="Q424" t="inlineStr">
        <is>
          <t>TravelLine ресепшен</t>
        </is>
      </c>
      <c r="R424" s="2" t="inlineStr">
        <is>
          <t>СТАНДАРТНЫЙ ДВУХМЕСТНЫЙ НОМЕР</t>
        </is>
      </c>
      <c r="S424" t="n">
        <v>33</v>
      </c>
      <c r="T424" t="n">
        <v>1</v>
      </c>
      <c r="U424" t="inlineStr"/>
      <c r="V424" t="inlineStr">
        <is>
          <t>Основной тариф без завтрака</t>
        </is>
      </c>
      <c r="W424" t="n">
        <v>11850</v>
      </c>
      <c r="X424" s="3" t="n">
        <v>0</v>
      </c>
      <c r="Y424" t="inlineStr"/>
      <c r="Z424" t="inlineStr"/>
      <c r="AA424" s="3" t="n">
        <v>11850</v>
      </c>
      <c r="AB424" t="inlineStr">
        <is>
          <t>Сошлось по ночным тарифам</t>
        </is>
      </c>
      <c r="AC424" s="2" t="inlineStr"/>
      <c r="AD424" t="n">
        <v>0</v>
      </c>
      <c r="AE424" t="n">
        <v>0</v>
      </c>
      <c r="AF424" t="inlineStr">
        <is>
          <t>Скидки нет</t>
        </is>
      </c>
      <c r="AG424" t="n">
        <v>11850</v>
      </c>
      <c r="AH424" t="n">
        <v>11850</v>
      </c>
      <c r="AI424" t="inlineStr">
        <is>
          <t>Полное проживание в выбранном периоде</t>
        </is>
      </c>
    </row>
    <row r="425">
      <c r="A425" t="inlineStr">
        <is>
          <t>20260901-8186-427494727</t>
        </is>
      </c>
      <c r="B425" t="n">
        <v>1</v>
      </c>
      <c r="C425" s="2" t="inlineStr">
        <is>
          <t>Максим Мусарин, Анастасия Михайлова</t>
        </is>
      </c>
      <c r="D425" s="3" t="n">
        <v>47520</v>
      </c>
      <c r="E425" s="4" t="n">
        <v>20</v>
      </c>
      <c r="F425" t="inlineStr">
        <is>
          <t>ООО "КОМПАНИЯ БРОНЕВИК" [Чайковский]</t>
        </is>
      </c>
      <c r="G425" s="3">
        <f>ROUND(D425/(100-E425)*100,2)</f>
        <v/>
      </c>
      <c r="H425" s="3" t="n">
        <v>0</v>
      </c>
      <c r="I425" s="3">
        <f>ROUND(IF(ISNUMBER(AG425),AG425,G425)+H425,2)</f>
        <v/>
      </c>
      <c r="J425" s="2" t="inlineStr">
        <is>
          <t>Завтрак "Шведский стол"</t>
        </is>
      </c>
      <c r="K425" s="5" t="n">
        <v>46266.58333333334</v>
      </c>
      <c r="L425" t="n">
        <v>6</v>
      </c>
      <c r="M425" s="3">
        <f>I425/L425</f>
        <v/>
      </c>
      <c r="N425">
        <f>IF(M425&gt;=5100,"ставка","мин.ставка")</f>
        <v/>
      </c>
      <c r="O425" s="3">
        <f>ROUND(IF(N425="мин.ставка",L425*100,I425/102*2),2)</f>
        <v/>
      </c>
      <c r="P425" s="5" t="n">
        <v>46272.5</v>
      </c>
      <c r="Q425" t="inlineStr">
        <is>
          <t>TravelLine BR2</t>
        </is>
      </c>
      <c r="R425" s="2" t="inlineStr">
        <is>
          <t>СТАНДАРТНЫЙ ДВУХМЕСТНЫЙ НОМЕР (МАНСАРДА)</t>
        </is>
      </c>
      <c r="S425" t="n">
        <v>41</v>
      </c>
      <c r="T425" t="n">
        <v>1</v>
      </c>
      <c r="U425" t="inlineStr"/>
      <c r="V425" t="inlineStr">
        <is>
          <t>Тариф с завтраком</t>
        </is>
      </c>
      <c r="W425" t="n">
        <v>47520</v>
      </c>
      <c r="X425" s="3" t="n">
        <v>0</v>
      </c>
      <c r="Y425" t="inlineStr"/>
      <c r="Z425" t="inlineStr"/>
      <c r="AA425" s="3" t="n">
        <v>47520</v>
      </c>
      <c r="AB425" t="inlineStr">
        <is>
          <t>Сошлось по ночным тарифам</t>
        </is>
      </c>
      <c r="AC425" s="2" t="inlineStr"/>
      <c r="AD425" t="n">
        <v>0</v>
      </c>
      <c r="AE425" t="n">
        <v>0</v>
      </c>
      <c r="AF425" t="inlineStr">
        <is>
          <t>Скидки нет</t>
        </is>
      </c>
      <c r="AG425" t="n">
        <v>47520</v>
      </c>
      <c r="AH425" t="n">
        <v>47520</v>
      </c>
      <c r="AI425" t="inlineStr">
        <is>
          <t>Полное проживание в выбранном периоде</t>
        </is>
      </c>
    </row>
    <row r="426">
      <c r="A426" t="inlineStr">
        <is>
          <t>20260822-8186-451850888</t>
        </is>
      </c>
      <c r="B426" t="n">
        <v>1</v>
      </c>
      <c r="C426" s="2" t="inlineStr">
        <is>
          <t>МАКСИМ Панов, ЕКАТЕРИНА Панова</t>
        </is>
      </c>
      <c r="D426" s="3" t="n">
        <v>53400</v>
      </c>
      <c r="E426" s="4" t="n">
        <v>20</v>
      </c>
      <c r="F426" t="inlineStr">
        <is>
          <t>ООО "КОМПАНИЯ БРОНЕВИК" [Чайковский]</t>
        </is>
      </c>
      <c r="G426" s="3">
        <f>ROUND(D426/(100-E426)*100,2)</f>
        <v/>
      </c>
      <c r="H426" s="3" t="n">
        <v>720</v>
      </c>
      <c r="I426" s="3">
        <f>ROUND(IF(ISNUMBER(AG426),AG426,G426)+H426,2)</f>
        <v/>
      </c>
      <c r="J426" s="2" t="inlineStr">
        <is>
          <t>продление номера — 720,00 ₽; Завтрак "Шведский стол"</t>
        </is>
      </c>
      <c r="K426" s="5" t="n">
        <v>46256.58333333334</v>
      </c>
      <c r="L426" t="n">
        <v>5</v>
      </c>
      <c r="M426" s="3">
        <f>I426/L426</f>
        <v/>
      </c>
      <c r="N426">
        <f>IF(M426&gt;=5100,"ставка","мин.ставка")</f>
        <v/>
      </c>
      <c r="O426" s="3">
        <f>ROUND(IF(N426="мин.ставка",L426*100,I426/102*2),2)</f>
        <v/>
      </c>
      <c r="P426" s="5" t="n">
        <v>46261.5</v>
      </c>
      <c r="Q426" t="inlineStr">
        <is>
          <t>TravelLine BR2</t>
        </is>
      </c>
      <c r="R426" s="2" t="inlineStr">
        <is>
          <t>СТАНДАРТНЫЙ ДВУХМЕСТНЫЙ НОМЕР</t>
        </is>
      </c>
      <c r="S426" t="n">
        <v>33</v>
      </c>
      <c r="T426" t="n">
        <v>1</v>
      </c>
      <c r="U426" t="inlineStr"/>
      <c r="V426" t="inlineStr">
        <is>
          <t>Тариф с завтраком</t>
        </is>
      </c>
      <c r="W426" t="n">
        <v>54120</v>
      </c>
      <c r="X426" s="3" t="n">
        <v>0</v>
      </c>
      <c r="Y426" t="inlineStr"/>
      <c r="Z426" t="inlineStr"/>
      <c r="AA426" s="3" t="n">
        <v>53400</v>
      </c>
      <c r="AB426" t="inlineStr">
        <is>
          <t>Сошлось с услугами</t>
        </is>
      </c>
      <c r="AC426" s="2" t="inlineStr"/>
      <c r="AD426" t="n">
        <v>0</v>
      </c>
      <c r="AE426" t="n">
        <v>0</v>
      </c>
      <c r="AF426" t="inlineStr">
        <is>
          <t>Скидки нет</t>
        </is>
      </c>
      <c r="AG426" t="n">
        <v>53400</v>
      </c>
      <c r="AH426" t="n">
        <v>53400</v>
      </c>
      <c r="AI426" t="inlineStr">
        <is>
          <t>Полное проживание в выбранном периоде</t>
        </is>
      </c>
    </row>
    <row r="427">
      <c r="A427" t="inlineStr">
        <is>
          <t>20260827-8186-457788846</t>
        </is>
      </c>
      <c r="B427" t="n">
        <v>1</v>
      </c>
      <c r="C427" s="2" t="inlineStr">
        <is>
          <t>Максим Пономарев</t>
        </is>
      </c>
      <c r="D427" s="3" t="n">
        <v>34050</v>
      </c>
      <c r="E427" s="4" t="n">
        <v>0</v>
      </c>
      <c r="F427" t="inlineStr">
        <is>
          <t>Прямые бронирования (стойка) [Чайковский]</t>
        </is>
      </c>
      <c r="G427" s="3">
        <f>ROUND(D427/(100-E427)*100,2)</f>
        <v/>
      </c>
      <c r="H427" s="3" t="n">
        <v>0</v>
      </c>
      <c r="I427" s="3">
        <f>ROUND(IF(ISNUMBER(AG427),AG427,G427)+H427,2)</f>
        <v/>
      </c>
      <c r="J427" s="2" t="inlineStr">
        <is>
          <t>Завтрак "Шведский стол"</t>
        </is>
      </c>
      <c r="K427" s="5" t="n">
        <v>46261.58333333334</v>
      </c>
      <c r="L427" t="n">
        <v>3</v>
      </c>
      <c r="M427" s="3">
        <f>I427/L427</f>
        <v/>
      </c>
      <c r="N427">
        <f>IF(M427&gt;=5100,"ставка","мин.ставка")</f>
        <v/>
      </c>
      <c r="O427" s="3">
        <f>ROUND(IF(N427="мин.ставка",L427*100,I427/102*2),2)</f>
        <v/>
      </c>
      <c r="P427" s="5" t="n">
        <v>46264.5</v>
      </c>
      <c r="Q427" t="inlineStr">
        <is>
          <t>TravelLine ресепшен</t>
        </is>
      </c>
      <c r="R427" s="2" t="inlineStr">
        <is>
          <t>СТАНДАРТНЫЙ ДВУХМЕСТНЫЙ НОМЕР</t>
        </is>
      </c>
      <c r="S427" t="n">
        <v>32</v>
      </c>
      <c r="T427" t="n">
        <v>1</v>
      </c>
      <c r="U427" t="inlineStr"/>
      <c r="V427" t="inlineStr">
        <is>
          <t>Тариф с завтраком</t>
        </is>
      </c>
      <c r="W427" t="n">
        <v>34050</v>
      </c>
      <c r="X427" s="3" t="n">
        <v>0</v>
      </c>
      <c r="Y427" t="inlineStr"/>
      <c r="Z427" t="inlineStr"/>
      <c r="AA427" s="3" t="n">
        <v>34050</v>
      </c>
      <c r="AB427" t="inlineStr">
        <is>
          <t>Сошлось по ночным тарифам</t>
        </is>
      </c>
      <c r="AC427" s="2" t="inlineStr"/>
      <c r="AD427" t="n">
        <v>0</v>
      </c>
      <c r="AE427" t="n">
        <v>0</v>
      </c>
      <c r="AF427" t="inlineStr">
        <is>
          <t>Скидки нет</t>
        </is>
      </c>
      <c r="AG427" t="n">
        <v>34050</v>
      </c>
      <c r="AH427" t="n">
        <v>34050</v>
      </c>
      <c r="AI427" t="inlineStr">
        <is>
          <t>Полное проживание в выбранном периоде</t>
        </is>
      </c>
    </row>
    <row r="428">
      <c r="A428" t="inlineStr">
        <is>
          <t>20260905-8186-463791547</t>
        </is>
      </c>
      <c r="B428" t="n">
        <v>1</v>
      </c>
      <c r="C428" s="2" t="inlineStr">
        <is>
          <t>Максим Сачков</t>
        </is>
      </c>
      <c r="D428" s="3" t="n">
        <v>5775</v>
      </c>
      <c r="E428" s="4" t="n">
        <v>18</v>
      </c>
      <c r="F428" t="inlineStr">
        <is>
          <t>Яндекс.Путешествия [Чайковский]</t>
        </is>
      </c>
      <c r="G428" s="3">
        <f>ROUND(D428/(100-E428)*100,2)</f>
        <v/>
      </c>
      <c r="H428" s="3" t="n">
        <v>0</v>
      </c>
      <c r="I428" s="3">
        <f>ROUND(IF(ISNUMBER(AG428),AG428,G428)+H428,2)</f>
        <v/>
      </c>
      <c r="J428" s="2" t="inlineStr">
        <is>
          <t>Завтрак "Шведский стол"</t>
        </is>
      </c>
      <c r="K428" s="5" t="n">
        <v>46270.58333333334</v>
      </c>
      <c r="L428" t="n">
        <v>1</v>
      </c>
      <c r="M428" s="3">
        <f>I428/L428</f>
        <v/>
      </c>
      <c r="N428">
        <f>IF(M428&gt;=5100,"ставка","мин.ставка")</f>
        <v/>
      </c>
      <c r="O428" s="3">
        <f>ROUND(IF(N428="мин.ставка",L428*100,I428/102*2),2)</f>
        <v/>
      </c>
      <c r="P428" s="5" t="n">
        <v>46271.5</v>
      </c>
      <c r="Q428" t="inlineStr">
        <is>
          <t>TravelLine YAX</t>
        </is>
      </c>
      <c r="R428" s="2" t="inlineStr">
        <is>
          <t>СТАНДАРТНЫЙ ОДНОМЕСТНЫЙ НОМЕР</t>
        </is>
      </c>
      <c r="S428" t="n">
        <v>24</v>
      </c>
      <c r="T428" t="n">
        <v>1</v>
      </c>
      <c r="U428" t="inlineStr"/>
      <c r="V428" t="inlineStr">
        <is>
          <t>Тариф с завтраком</t>
        </is>
      </c>
      <c r="W428" t="n">
        <v>5775</v>
      </c>
      <c r="X428" s="3" t="n">
        <v>1925</v>
      </c>
      <c r="Y428" t="inlineStr">
        <is>
          <t>25%</t>
        </is>
      </c>
      <c r="Z428" t="inlineStr">
        <is>
          <t>2026-09-05</t>
        </is>
      </c>
      <c r="AA428" s="3" t="n">
        <v>5775</v>
      </c>
      <c r="AB428" t="inlineStr">
        <is>
          <t>Сошлось по ночным тарифам</t>
        </is>
      </c>
      <c r="AC428" s="2" t="inlineStr"/>
      <c r="AD428" t="n">
        <v>1925</v>
      </c>
      <c r="AE428" t="n">
        <v>0</v>
      </c>
      <c r="AF428" t="inlineStr">
        <is>
          <t>Скидка добавлена к налоговой базе</t>
        </is>
      </c>
      <c r="AG428" t="n">
        <v>7700</v>
      </c>
      <c r="AH428" t="n">
        <v>5775</v>
      </c>
      <c r="AI428" t="inlineStr">
        <is>
          <t>Полное проживание в выбранном периоде</t>
        </is>
      </c>
    </row>
    <row r="429">
      <c r="A429" t="inlineStr">
        <is>
          <t>20260802-8186-454751117</t>
        </is>
      </c>
      <c r="B429" t="n">
        <v>1</v>
      </c>
      <c r="C429" s="2" t="inlineStr">
        <is>
          <t>Максим Серов, АННА СЕРОВА</t>
        </is>
      </c>
      <c r="D429" s="3" t="n">
        <v>7920</v>
      </c>
      <c r="E429" s="4" t="n">
        <v>18</v>
      </c>
      <c r="F429" t="inlineStr">
        <is>
          <t>Яндекс.Путешествия [Чайковский]</t>
        </is>
      </c>
      <c r="G429" s="3">
        <f>ROUND(D429/(100-E429)*100,2)</f>
        <v/>
      </c>
      <c r="H429" s="3" t="n">
        <v>0</v>
      </c>
      <c r="I429" s="3">
        <f>ROUND(IF(ISNUMBER(AG429),AG429,G429)+H429,2)</f>
        <v/>
      </c>
      <c r="J429" s="2" t="inlineStr">
        <is>
          <t>Завтрак "Шведский стол"</t>
        </is>
      </c>
      <c r="K429" s="5" t="n">
        <v>46236.58333333334</v>
      </c>
      <c r="L429" t="n">
        <v>1</v>
      </c>
      <c r="M429" s="3">
        <f>I429/L429</f>
        <v/>
      </c>
      <c r="N429">
        <f>IF(M429&gt;=5100,"ставка","мин.ставка")</f>
        <v/>
      </c>
      <c r="O429" s="3">
        <f>ROUND(IF(N429="мин.ставка",L429*100,I429/102*2),2)</f>
        <v/>
      </c>
      <c r="P429" s="5" t="n">
        <v>46237.5</v>
      </c>
      <c r="Q429" t="inlineStr">
        <is>
          <t>TravelLine YAX</t>
        </is>
      </c>
      <c r="R429" s="2" t="inlineStr">
        <is>
          <t>СТАНДАРТНЫЙ ДВУХМЕСТНЫЙ НОМЕР (МАНСАРДА)</t>
        </is>
      </c>
      <c r="S429" t="n">
        <v>41</v>
      </c>
      <c r="T429" t="n">
        <v>1</v>
      </c>
      <c r="U429" t="inlineStr"/>
      <c r="V429" t="inlineStr">
        <is>
          <t>Тариф с завтраком</t>
        </is>
      </c>
      <c r="W429" t="n">
        <v>7920</v>
      </c>
      <c r="X429" s="3" t="n">
        <v>1980</v>
      </c>
      <c r="Y429" t="inlineStr">
        <is>
          <t>20%</t>
        </is>
      </c>
      <c r="Z429" t="inlineStr">
        <is>
          <t>2026-08-02</t>
        </is>
      </c>
      <c r="AA429" s="3" t="n">
        <v>7920</v>
      </c>
      <c r="AB429" t="inlineStr">
        <is>
          <t>Сошлось по ночным тарифам</t>
        </is>
      </c>
      <c r="AC429" s="2" t="inlineStr"/>
      <c r="AD429" t="n">
        <v>1980</v>
      </c>
      <c r="AE429" t="n">
        <v>0</v>
      </c>
      <c r="AF429" t="inlineStr">
        <is>
          <t>Скидка добавлена к налоговой базе</t>
        </is>
      </c>
      <c r="AG429" t="n">
        <v>9900</v>
      </c>
      <c r="AH429" t="n">
        <v>7920</v>
      </c>
      <c r="AI429" t="inlineStr">
        <is>
          <t>Полное проживание в выбранном периоде</t>
        </is>
      </c>
    </row>
    <row r="430">
      <c r="A430" t="inlineStr">
        <is>
          <t>20260920-8186-467279770</t>
        </is>
      </c>
      <c r="B430" t="n">
        <v>1</v>
      </c>
      <c r="C430" s="2" t="inlineStr">
        <is>
          <t>Максим Симоненко, Софья Курдяева</t>
        </is>
      </c>
      <c r="D430" s="3" t="n">
        <v>10012.5</v>
      </c>
      <c r="E430" s="4" t="n">
        <v>18</v>
      </c>
      <c r="F430" t="inlineStr">
        <is>
          <t>Яндекс.Путешествия [Чайковский]</t>
        </is>
      </c>
      <c r="G430" s="3">
        <f>ROUND(D430/(100-E430)*100,2)</f>
        <v/>
      </c>
      <c r="H430" s="3" t="n">
        <v>0</v>
      </c>
      <c r="I430" s="3">
        <f>ROUND(IF(ISNUMBER(AG430),AG430,G430)+H430,2)</f>
        <v/>
      </c>
      <c r="J430" s="2" t="inlineStr">
        <is>
          <t>Завтрак "Шведский стол"</t>
        </is>
      </c>
      <c r="K430" s="5" t="n">
        <v>46285.58333333334</v>
      </c>
      <c r="L430" t="n">
        <v>1</v>
      </c>
      <c r="M430" s="3">
        <f>I430/L430</f>
        <v/>
      </c>
      <c r="N430">
        <f>IF(M430&gt;=5100,"ставка","мин.ставка")</f>
        <v/>
      </c>
      <c r="O430" s="3">
        <f>ROUND(IF(N430="мин.ставка",L430*100,I430/102*2),2)</f>
        <v/>
      </c>
      <c r="P430" s="5" t="n">
        <v>46286.5</v>
      </c>
      <c r="Q430" t="inlineStr">
        <is>
          <t>TravelLine YAX</t>
        </is>
      </c>
      <c r="R430" s="2" t="inlineStr">
        <is>
          <t>СТАНДАРТНЫЙ ДВУХМЕСТНЫЙ НОМЕР</t>
        </is>
      </c>
      <c r="S430" t="n">
        <v>33</v>
      </c>
      <c r="T430" t="n">
        <v>1</v>
      </c>
      <c r="U430" t="inlineStr"/>
      <c r="V430" t="inlineStr">
        <is>
          <t>Тариф с завтраком</t>
        </is>
      </c>
      <c r="W430" t="n">
        <v>10012.5</v>
      </c>
      <c r="X430" s="3" t="n">
        <v>3337.5</v>
      </c>
      <c r="Y430" t="inlineStr">
        <is>
          <t>25%</t>
        </is>
      </c>
      <c r="Z430" t="inlineStr">
        <is>
          <t>2026-09-20</t>
        </is>
      </c>
      <c r="AA430" s="3" t="n">
        <v>10012.5</v>
      </c>
      <c r="AB430" t="inlineStr">
        <is>
          <t>Сошлось по ночным тарифам</t>
        </is>
      </c>
      <c r="AC430" s="2" t="inlineStr"/>
      <c r="AD430" t="n">
        <v>3337.5</v>
      </c>
      <c r="AE430" t="n">
        <v>0</v>
      </c>
      <c r="AF430" t="inlineStr">
        <is>
          <t>Скидка добавлена к налоговой базе</t>
        </is>
      </c>
      <c r="AG430" t="n">
        <v>13350</v>
      </c>
      <c r="AH430" t="n">
        <v>10012.5</v>
      </c>
      <c r="AI430" t="inlineStr">
        <is>
          <t>Полное проживание в выбранном периоде</t>
        </is>
      </c>
    </row>
    <row r="431">
      <c r="A431" t="inlineStr">
        <is>
          <t>20260919-8186-452147983</t>
        </is>
      </c>
      <c r="B431" t="n">
        <v>1</v>
      </c>
      <c r="C431" s="2" t="inlineStr">
        <is>
          <t>Максим Ступин, АННА СТУПИНА</t>
        </is>
      </c>
      <c r="D431" s="3" t="n">
        <v>66549.75</v>
      </c>
      <c r="E431" s="4" t="n">
        <v>4</v>
      </c>
      <c r="F431" t="inlineStr">
        <is>
          <t>TravelLine Booking Engine [Чайковский]</t>
        </is>
      </c>
      <c r="G431" s="3">
        <f>ROUND(D431/(100-E431)*100,2)</f>
        <v/>
      </c>
      <c r="H431" s="3" t="n">
        <v>0</v>
      </c>
      <c r="I431" s="3">
        <f>ROUND(IF(ISNUMBER(AG431),AG431,G431)+H431,2)</f>
        <v/>
      </c>
      <c r="J431" s="2" t="inlineStr">
        <is>
          <t>Завтрак "Шведский стол"</t>
        </is>
      </c>
      <c r="K431" s="5" t="n">
        <v>46284.58333333334</v>
      </c>
      <c r="L431" t="n">
        <v>5</v>
      </c>
      <c r="M431" s="3">
        <f>I431/L431</f>
        <v/>
      </c>
      <c r="N431">
        <f>IF(M431&gt;=5100,"ставка","мин.ставка")</f>
        <v/>
      </c>
      <c r="O431" s="3">
        <f>ROUND(IF(N431="мин.ставка",L431*100,I431/102*2),2)</f>
        <v/>
      </c>
      <c r="P431" s="5" t="n">
        <v>46289.5</v>
      </c>
      <c r="Q431" t="inlineStr">
        <is>
          <t>TravelLine сайт</t>
        </is>
      </c>
      <c r="R431" s="2" t="inlineStr">
        <is>
          <t>СТАНДАРТНЫЙ ДВУХМЕСТНЫЙ НОМЕР</t>
        </is>
      </c>
      <c r="S431" t="n">
        <v>26</v>
      </c>
      <c r="T431" t="n">
        <v>1</v>
      </c>
      <c r="U431" t="inlineStr"/>
      <c r="V431" t="inlineStr">
        <is>
          <t>Тариф с завтраком</t>
        </is>
      </c>
      <c r="W431" t="n">
        <v>66549.75</v>
      </c>
      <c r="X431" s="3" t="n">
        <v>200.25</v>
      </c>
      <c r="Y431" t="inlineStr">
        <is>
          <t>1.5%</t>
        </is>
      </c>
      <c r="Z431" t="inlineStr">
        <is>
          <t>2026-09-19</t>
        </is>
      </c>
      <c r="AA431" s="3" t="n">
        <v>66549.75</v>
      </c>
      <c r="AB431" t="inlineStr">
        <is>
          <t>Сошлось по ночным тарифам</t>
        </is>
      </c>
      <c r="AC431" s="2" t="inlineStr"/>
      <c r="AD431" t="n">
        <v>200.25</v>
      </c>
      <c r="AE431" t="n">
        <v>0</v>
      </c>
      <c r="AF431" t="inlineStr">
        <is>
          <t>Скидка добавлена к налоговой базе</t>
        </is>
      </c>
      <c r="AG431" t="n">
        <v>66750</v>
      </c>
      <c r="AH431" t="n">
        <v>66549.75</v>
      </c>
      <c r="AI431" t="inlineStr">
        <is>
          <t>Полное проживание в выбранном периоде</t>
        </is>
      </c>
    </row>
    <row r="432">
      <c r="A432" t="inlineStr">
        <is>
          <t>20260715-8186-440834544</t>
        </is>
      </c>
      <c r="B432" t="n">
        <v>1</v>
      </c>
      <c r="C432" s="2" t="inlineStr">
        <is>
          <t>Максим Трофимов, Анастасия Трофимова</t>
        </is>
      </c>
      <c r="D432" s="3" t="n">
        <v>32040</v>
      </c>
      <c r="E432" s="4" t="n">
        <v>20</v>
      </c>
      <c r="F432" t="inlineStr">
        <is>
          <t>ООО "КОМПАНИЯ БРОНЕВИК" [Чайковский]</t>
        </is>
      </c>
      <c r="G432" s="3">
        <f>ROUND(D432/(100-E432)*100,2)</f>
        <v/>
      </c>
      <c r="H432" s="3" t="n">
        <v>0</v>
      </c>
      <c r="I432" s="3">
        <f>ROUND(IF(ISNUMBER(AG432),AG432,G432)+H432,2)</f>
        <v/>
      </c>
      <c r="J432" s="2" t="inlineStr">
        <is>
          <t>Завтрак "Шведский стол"</t>
        </is>
      </c>
      <c r="K432" s="5" t="n">
        <v>46218.58333333334</v>
      </c>
      <c r="L432" t="n">
        <v>3</v>
      </c>
      <c r="M432" s="3">
        <f>I432/L432</f>
        <v/>
      </c>
      <c r="N432">
        <f>IF(M432&gt;=5100,"ставка","мин.ставка")</f>
        <v/>
      </c>
      <c r="O432" s="3">
        <f>ROUND(IF(N432="мин.ставка",L432*100,I432/102*2),2)</f>
        <v/>
      </c>
      <c r="P432" s="5" t="n">
        <v>46221.5</v>
      </c>
      <c r="Q432" t="inlineStr">
        <is>
          <t>TravelLine BR2</t>
        </is>
      </c>
      <c r="R432" s="2" t="inlineStr">
        <is>
          <t>СТАНДАРТНЫЙ ДВУХМЕСТНЫЙ НОМЕР</t>
        </is>
      </c>
      <c r="S432" t="n">
        <v>42</v>
      </c>
      <c r="T432" t="n">
        <v>1</v>
      </c>
      <c r="U432" t="inlineStr"/>
      <c r="V432" t="inlineStr">
        <is>
          <t>Тариф с завтраком</t>
        </is>
      </c>
      <c r="W432" t="n">
        <v>32040</v>
      </c>
      <c r="X432" s="3" t="n">
        <v>0</v>
      </c>
      <c r="Y432" t="inlineStr"/>
      <c r="Z432" t="inlineStr"/>
      <c r="AA432" s="3" t="n">
        <v>32040</v>
      </c>
      <c r="AB432" t="inlineStr">
        <is>
          <t>Сошлось по ночным тарифам</t>
        </is>
      </c>
      <c r="AC432" s="2" t="inlineStr"/>
      <c r="AD432" t="n">
        <v>0</v>
      </c>
      <c r="AE432" t="n">
        <v>0</v>
      </c>
      <c r="AF432" t="inlineStr">
        <is>
          <t>Скидки нет</t>
        </is>
      </c>
      <c r="AG432" t="n">
        <v>32040</v>
      </c>
      <c r="AH432" t="n">
        <v>32040</v>
      </c>
      <c r="AI432" t="inlineStr">
        <is>
          <t>Полное проживание в выбранном периоде</t>
        </is>
      </c>
    </row>
    <row r="433">
      <c r="A433" t="inlineStr">
        <is>
          <t>20260715-8186-448563252</t>
        </is>
      </c>
      <c r="B433" t="n">
        <v>1</v>
      </c>
      <c r="C433" s="2" t="inlineStr">
        <is>
          <t>Марат Швайцер</t>
        </is>
      </c>
      <c r="D433" s="3" t="n">
        <v>6320</v>
      </c>
      <c r="E433" s="4" t="n">
        <v>20</v>
      </c>
      <c r="F433" t="inlineStr">
        <is>
          <t>ООО "ХБ-ПРО" [Чайковский]</t>
        </is>
      </c>
      <c r="G433" s="3">
        <f>ROUND(D433/(100-E433)*100,2)</f>
        <v/>
      </c>
      <c r="H433" s="3" t="n">
        <v>0</v>
      </c>
      <c r="I433" s="3">
        <f>ROUND(IF(ISNUMBER(AG433),AG433,G433)+H433,2)</f>
        <v/>
      </c>
      <c r="J433" s="2" t="inlineStr">
        <is>
          <t>Завтрак "Шведский стол"</t>
        </is>
      </c>
      <c r="K433" s="5" t="n">
        <v>46218.58333333334</v>
      </c>
      <c r="L433" t="n">
        <v>1</v>
      </c>
      <c r="M433" s="3">
        <f>I433/L433</f>
        <v/>
      </c>
      <c r="N433">
        <f>IF(M433&gt;=5100,"ставка","мин.ставка")</f>
        <v/>
      </c>
      <c r="O433" s="3">
        <f>ROUND(IF(N433="мин.ставка",L433*100,I433/102*2),2)</f>
        <v/>
      </c>
      <c r="P433" s="5" t="n">
        <v>46219.5</v>
      </c>
      <c r="Q433" t="inlineStr">
        <is>
          <t>TravelLine UTS</t>
        </is>
      </c>
      <c r="R433" s="2" t="inlineStr">
        <is>
          <t>СТАНДАРТНЫЙ ДВУХМЕСТНЫЙ НОМЕР (МАНСАРДА)</t>
        </is>
      </c>
      <c r="S433" t="n">
        <v>41</v>
      </c>
      <c r="T433" t="n">
        <v>1</v>
      </c>
      <c r="U433" t="inlineStr"/>
      <c r="V433" t="inlineStr">
        <is>
          <t>Тариф с завтраком</t>
        </is>
      </c>
      <c r="W433" t="n">
        <v>6320</v>
      </c>
      <c r="X433" s="3" t="n">
        <v>0</v>
      </c>
      <c r="Y433" t="inlineStr"/>
      <c r="Z433" t="inlineStr"/>
      <c r="AA433" s="3" t="n">
        <v>6320</v>
      </c>
      <c r="AB433" t="inlineStr">
        <is>
          <t>Сошлось по ночным тарифам</t>
        </is>
      </c>
      <c r="AC433" s="2" t="inlineStr"/>
      <c r="AD433" t="n">
        <v>0</v>
      </c>
      <c r="AE433" t="n">
        <v>0</v>
      </c>
      <c r="AF433" t="inlineStr">
        <is>
          <t>Скидки нет</t>
        </is>
      </c>
      <c r="AG433" t="n">
        <v>6320</v>
      </c>
      <c r="AH433" t="n">
        <v>6320</v>
      </c>
      <c r="AI433" t="inlineStr">
        <is>
          <t>Полное проживание в выбранном периоде</t>
        </is>
      </c>
    </row>
    <row r="434">
      <c r="A434" t="inlineStr">
        <is>
          <t>20260814-8186-458217555</t>
        </is>
      </c>
      <c r="B434" t="n">
        <v>1</v>
      </c>
      <c r="C434" s="2" t="inlineStr">
        <is>
          <t>МАРГАРИТА АНИСИМОВА</t>
        </is>
      </c>
      <c r="D434" s="3" t="n">
        <v>23200</v>
      </c>
      <c r="E434" s="4" t="n">
        <v>20</v>
      </c>
      <c r="F434" t="inlineStr">
        <is>
          <t>ООО "КОМПАНИЯ БРОНЕВИК" [Чайковский]</t>
        </is>
      </c>
      <c r="G434" s="3">
        <f>ROUND(D434/(100-E434)*100,2)</f>
        <v/>
      </c>
      <c r="H434" s="3" t="n">
        <v>0</v>
      </c>
      <c r="I434" s="3">
        <f>ROUND(IF(ISNUMBER(AG434),AG434,G434)+H434,2)</f>
        <v/>
      </c>
      <c r="J434" s="2" t="inlineStr">
        <is>
          <t>Завтрак "Шведский стол"</t>
        </is>
      </c>
      <c r="K434" s="5" t="n">
        <v>46248.58333333334</v>
      </c>
      <c r="L434" t="n">
        <v>2</v>
      </c>
      <c r="M434" s="3">
        <f>I434/L434</f>
        <v/>
      </c>
      <c r="N434">
        <f>IF(M434&gt;=5100,"ставка","мин.ставка")</f>
        <v/>
      </c>
      <c r="O434" s="3">
        <f>ROUND(IF(N434="мин.ставка",L434*100,I434/102*2),2)</f>
        <v/>
      </c>
      <c r="P434" s="5" t="n">
        <v>46250.5</v>
      </c>
      <c r="Q434" t="inlineStr">
        <is>
          <t>TravelLine BR2</t>
        </is>
      </c>
      <c r="R434" s="2" t="inlineStr">
        <is>
          <t>ПОЛУЛЮКС</t>
        </is>
      </c>
      <c r="S434" t="n">
        <v>11</v>
      </c>
      <c r="T434" t="n">
        <v>1</v>
      </c>
      <c r="U434" t="inlineStr"/>
      <c r="V434" t="inlineStr">
        <is>
          <t>Тариф с завтраком</t>
        </is>
      </c>
      <c r="W434" t="n">
        <v>23200</v>
      </c>
      <c r="X434" s="3" t="n">
        <v>0</v>
      </c>
      <c r="Y434" t="inlineStr"/>
      <c r="Z434" t="inlineStr"/>
      <c r="AA434" s="3" t="n">
        <v>23200</v>
      </c>
      <c r="AB434" t="inlineStr">
        <is>
          <t>Сошлось по ночным тарифам</t>
        </is>
      </c>
      <c r="AC434" s="2" t="inlineStr"/>
      <c r="AD434" t="n">
        <v>0</v>
      </c>
      <c r="AE434" t="n">
        <v>0</v>
      </c>
      <c r="AF434" t="inlineStr">
        <is>
          <t>Скидки нет</t>
        </is>
      </c>
      <c r="AG434" t="n">
        <v>23200</v>
      </c>
      <c r="AH434" t="n">
        <v>23200</v>
      </c>
      <c r="AI434" t="inlineStr">
        <is>
          <t>Полное проживание в выбранном периоде</t>
        </is>
      </c>
    </row>
    <row r="435">
      <c r="A435" t="inlineStr">
        <is>
          <t>20260907-8186-434979583</t>
        </is>
      </c>
      <c r="B435" t="n">
        <v>1</v>
      </c>
      <c r="C435" s="2" t="inlineStr">
        <is>
          <t>Маргарита Михина</t>
        </is>
      </c>
      <c r="D435" s="3" t="n">
        <v>31600</v>
      </c>
      <c r="E435" s="4" t="n">
        <v>0</v>
      </c>
      <c r="F435" t="inlineStr">
        <is>
          <t>Прямые бронирования (стойка) [Чайковский]</t>
        </is>
      </c>
      <c r="G435" s="3">
        <f>ROUND(D435/(100-E435)*100,2)</f>
        <v/>
      </c>
      <c r="H435" s="3" t="n">
        <v>0</v>
      </c>
      <c r="I435" s="3">
        <f>ROUND(IF(ISNUMBER(AG435),AG435,G435)+H435,2)</f>
        <v/>
      </c>
      <c r="J435" s="2" t="inlineStr">
        <is>
          <t>Завтрак "Шведский стол"</t>
        </is>
      </c>
      <c r="K435" s="5" t="n">
        <v>46272.58333333334</v>
      </c>
      <c r="L435" t="n">
        <v>4</v>
      </c>
      <c r="M435" s="3">
        <f>I435/L435</f>
        <v/>
      </c>
      <c r="N435">
        <f>IF(M435&gt;=5100,"ставка","мин.ставка")</f>
        <v/>
      </c>
      <c r="O435" s="3">
        <f>ROUND(IF(N435="мин.ставка",L435*100,I435/102*2),2)</f>
        <v/>
      </c>
      <c r="P435" s="5" t="n">
        <v>46276.5</v>
      </c>
      <c r="Q435" t="inlineStr">
        <is>
          <t>TravelLine ресепшен</t>
        </is>
      </c>
      <c r="R435" s="2" t="inlineStr">
        <is>
          <t>СТАНДАРТНЫЙ ДВУХМЕСТНЫЙ НОМЕР (МАНСАРДА)</t>
        </is>
      </c>
      <c r="S435" t="n">
        <v>41</v>
      </c>
      <c r="T435" t="n">
        <v>1</v>
      </c>
      <c r="U435" t="inlineStr"/>
      <c r="V435" t="inlineStr">
        <is>
          <t>Тариф с завтраком</t>
        </is>
      </c>
      <c r="W435" t="n">
        <v>31600</v>
      </c>
      <c r="X435" s="3" t="n">
        <v>0</v>
      </c>
      <c r="Y435" t="inlineStr"/>
      <c r="Z435" t="inlineStr"/>
      <c r="AA435" s="3" t="n">
        <v>31600</v>
      </c>
      <c r="AB435" t="inlineStr">
        <is>
          <t>Сошлось по ночным тарифам</t>
        </is>
      </c>
      <c r="AC435" s="2" t="inlineStr"/>
      <c r="AD435" t="n">
        <v>0</v>
      </c>
      <c r="AE435" t="n">
        <v>0</v>
      </c>
      <c r="AF435" t="inlineStr">
        <is>
          <t>Скидки нет</t>
        </is>
      </c>
      <c r="AG435" t="n">
        <v>31600</v>
      </c>
      <c r="AH435" t="n">
        <v>31600</v>
      </c>
      <c r="AI435" t="inlineStr">
        <is>
          <t>Полное проживание в выбранном периоде</t>
        </is>
      </c>
    </row>
    <row r="436">
      <c r="A436" t="inlineStr">
        <is>
          <t>20260715-8186-425955806</t>
        </is>
      </c>
      <c r="B436" t="n">
        <v>1</v>
      </c>
      <c r="C436" s="2" t="inlineStr">
        <is>
          <t>Маргарита Петрова</t>
        </is>
      </c>
      <c r="D436" s="3" t="n">
        <v>24640</v>
      </c>
      <c r="E436" s="4" t="n">
        <v>18</v>
      </c>
      <c r="F436" t="inlineStr">
        <is>
          <t>Яндекс.Путешествия [Чайковский]</t>
        </is>
      </c>
      <c r="G436" s="3">
        <f>ROUND(D436/(100-E436)*100,2)</f>
        <v/>
      </c>
      <c r="H436" s="3" t="n">
        <v>0</v>
      </c>
      <c r="I436" s="3">
        <f>ROUND(IF(ISNUMBER(AG436),AG436,G436)+H436,2)</f>
        <v/>
      </c>
      <c r="J436" s="2" t="inlineStr">
        <is>
          <t>Завтрак "Шведский стол"</t>
        </is>
      </c>
      <c r="K436" s="5" t="n">
        <v>46218.58333333334</v>
      </c>
      <c r="L436" t="n">
        <v>4</v>
      </c>
      <c r="M436" s="3">
        <f>I436/L436</f>
        <v/>
      </c>
      <c r="N436">
        <f>IF(M436&gt;=5100,"ставка","мин.ставка")</f>
        <v/>
      </c>
      <c r="O436" s="3">
        <f>ROUND(IF(N436="мин.ставка",L436*100,I436/102*2),2)</f>
        <v/>
      </c>
      <c r="P436" s="5" t="n">
        <v>46222.5</v>
      </c>
      <c r="Q436" t="inlineStr">
        <is>
          <t>TravelLine YAX</t>
        </is>
      </c>
      <c r="R436" s="2" t="inlineStr">
        <is>
          <t>СТАНДАРТНЫЙ ОДНОМЕСТНЫЙ НОМЕР</t>
        </is>
      </c>
      <c r="S436" t="n">
        <v>24</v>
      </c>
      <c r="T436" t="n">
        <v>1</v>
      </c>
      <c r="U436" t="inlineStr"/>
      <c r="V436" t="inlineStr">
        <is>
          <t>Тариф с завтраком</t>
        </is>
      </c>
      <c r="W436" t="n">
        <v>24640</v>
      </c>
      <c r="X436" s="3" t="n">
        <v>6160</v>
      </c>
      <c r="Y436" t="inlineStr">
        <is>
          <t>20%</t>
        </is>
      </c>
      <c r="Z436" t="inlineStr">
        <is>
          <t>2026-07-15, 2026-07-16, 2026-07-17, 2026-07-18</t>
        </is>
      </c>
      <c r="AA436" s="3" t="n">
        <v>24640</v>
      </c>
      <c r="AB436" t="inlineStr">
        <is>
          <t>Сошлось по ночным тарифам</t>
        </is>
      </c>
      <c r="AC436" s="2" t="inlineStr"/>
      <c r="AD436" t="n">
        <v>6160</v>
      </c>
      <c r="AE436" t="n">
        <v>0</v>
      </c>
      <c r="AF436" t="inlineStr">
        <is>
          <t>Скидка добавлена к налоговой базе</t>
        </is>
      </c>
      <c r="AG436" t="n">
        <v>30800</v>
      </c>
      <c r="AH436" t="n">
        <v>24640</v>
      </c>
      <c r="AI436" t="inlineStr">
        <is>
          <t>Полное проживание в выбранном периоде</t>
        </is>
      </c>
    </row>
    <row r="437">
      <c r="A437" t="inlineStr">
        <is>
          <t>20260706-8186-420338941</t>
        </is>
      </c>
      <c r="B437" t="n">
        <v>1</v>
      </c>
      <c r="C437" s="2" t="inlineStr">
        <is>
          <t>Марина Бурова</t>
        </is>
      </c>
      <c r="D437" s="3" t="n">
        <v>13090</v>
      </c>
      <c r="E437" s="4" t="n">
        <v>17</v>
      </c>
      <c r="F437" t="inlineStr">
        <is>
          <t>ООО «Дубль Гис» (OTELLO) [Чайковский]</t>
        </is>
      </c>
      <c r="G437" s="3">
        <f>ROUND(D437/(100-E437)*100,2)</f>
        <v/>
      </c>
      <c r="H437" s="3" t="n">
        <v>0</v>
      </c>
      <c r="I437" s="3">
        <f>ROUND(IF(ISNUMBER(AG437),AG437,G437)+H437,2)</f>
        <v/>
      </c>
      <c r="J437" s="2" t="inlineStr">
        <is>
          <t>Завтрак "Шведский стол"</t>
        </is>
      </c>
      <c r="K437" s="5" t="n">
        <v>46209.58333333334</v>
      </c>
      <c r="L437" t="n">
        <v>2</v>
      </c>
      <c r="M437" s="3">
        <f>I437/L437</f>
        <v/>
      </c>
      <c r="N437">
        <f>IF(M437&gt;=5100,"ставка","мин.ставка")</f>
        <v/>
      </c>
      <c r="O437" s="3">
        <f>ROUND(IF(N437="мин.ставка",L437*100,I437/102*2),2)</f>
        <v/>
      </c>
      <c r="P437" s="5" t="n">
        <v>46211.5</v>
      </c>
      <c r="Q437" t="inlineStr">
        <is>
          <t>TravelLine OL2</t>
        </is>
      </c>
      <c r="R437" s="2" t="inlineStr">
        <is>
          <t>СТАНДАРТНЫЙ ОДНОМЕСТНЫЙ НОМЕР</t>
        </is>
      </c>
      <c r="S437" t="n">
        <v>24</v>
      </c>
      <c r="T437" t="n">
        <v>1</v>
      </c>
      <c r="U437" t="inlineStr"/>
      <c r="V437" t="inlineStr">
        <is>
          <t>Тариф с завтраком</t>
        </is>
      </c>
      <c r="W437" t="n">
        <v>13090</v>
      </c>
      <c r="X437" s="3" t="n">
        <v>2310</v>
      </c>
      <c r="Y437" t="inlineStr">
        <is>
          <t>15%</t>
        </is>
      </c>
      <c r="Z437" t="inlineStr">
        <is>
          <t>2026-07-06, 2026-07-07</t>
        </is>
      </c>
      <c r="AA437" s="3" t="n">
        <v>13090</v>
      </c>
      <c r="AB437" t="inlineStr">
        <is>
          <t>Сошлось по ночным тарифам</t>
        </is>
      </c>
      <c r="AC437" s="2" t="inlineStr"/>
      <c r="AD437" t="n">
        <v>2310</v>
      </c>
      <c r="AE437" t="n">
        <v>0</v>
      </c>
      <c r="AF437" t="inlineStr">
        <is>
          <t>Скидка добавлена к налоговой базе</t>
        </is>
      </c>
      <c r="AG437" t="n">
        <v>15400</v>
      </c>
      <c r="AH437" t="n">
        <v>13090</v>
      </c>
      <c r="AI437" t="inlineStr">
        <is>
          <t>Полное проживание в выбранном периоде</t>
        </is>
      </c>
    </row>
    <row r="438">
      <c r="A438" t="inlineStr">
        <is>
          <t>20260708-8186-420258045</t>
        </is>
      </c>
      <c r="B438" t="n">
        <v>1</v>
      </c>
      <c r="C438" s="2" t="inlineStr">
        <is>
          <t>Марина Бурова</t>
        </is>
      </c>
      <c r="D438" s="3" t="n">
        <v>13090</v>
      </c>
      <c r="E438" s="4" t="n">
        <v>17</v>
      </c>
      <c r="F438" t="inlineStr">
        <is>
          <t>ООО «Дубль Гис» (OTELLO) [Чайковский]</t>
        </is>
      </c>
      <c r="G438" s="3">
        <f>ROUND(D438/(100-E438)*100,2)</f>
        <v/>
      </c>
      <c r="H438" s="3" t="n">
        <v>0</v>
      </c>
      <c r="I438" s="3">
        <f>ROUND(IF(ISNUMBER(AG438),AG438,G438)+H438,2)</f>
        <v/>
      </c>
      <c r="J438" s="2" t="inlineStr">
        <is>
          <t>Завтрак "Шведский стол"</t>
        </is>
      </c>
      <c r="K438" s="5" t="n">
        <v>46211.58333333334</v>
      </c>
      <c r="L438" t="n">
        <v>2</v>
      </c>
      <c r="M438" s="3">
        <f>I438/L438</f>
        <v/>
      </c>
      <c r="N438">
        <f>IF(M438&gt;=5100,"ставка","мин.ставка")</f>
        <v/>
      </c>
      <c r="O438" s="3">
        <f>ROUND(IF(N438="мин.ставка",L438*100,I438/102*2),2)</f>
        <v/>
      </c>
      <c r="P438" s="5" t="n">
        <v>46213.5</v>
      </c>
      <c r="Q438" t="inlineStr">
        <is>
          <t>TravelLine OL2</t>
        </is>
      </c>
      <c r="R438" s="2" t="inlineStr">
        <is>
          <t>СТАНДАРТНЫЙ ОДНОМЕСТНЫЙ НОМЕР</t>
        </is>
      </c>
      <c r="S438" t="n">
        <v>24</v>
      </c>
      <c r="T438" t="n">
        <v>1</v>
      </c>
      <c r="U438" t="inlineStr"/>
      <c r="V438" t="inlineStr">
        <is>
          <t>Тариф с завтраком</t>
        </is>
      </c>
      <c r="W438" t="n">
        <v>13090</v>
      </c>
      <c r="X438" s="3" t="n">
        <v>2310</v>
      </c>
      <c r="Y438" t="inlineStr">
        <is>
          <t>15%</t>
        </is>
      </c>
      <c r="Z438" t="inlineStr">
        <is>
          <t>2026-07-08, 2026-07-09</t>
        </is>
      </c>
      <c r="AA438" s="3" t="n">
        <v>13090</v>
      </c>
      <c r="AB438" t="inlineStr">
        <is>
          <t>Сошлось по ночным тарифам</t>
        </is>
      </c>
      <c r="AC438" s="2" t="inlineStr"/>
      <c r="AD438" t="n">
        <v>2310</v>
      </c>
      <c r="AE438" t="n">
        <v>0</v>
      </c>
      <c r="AF438" t="inlineStr">
        <is>
          <t>Скидка добавлена к налоговой базе</t>
        </is>
      </c>
      <c r="AG438" t="n">
        <v>15400</v>
      </c>
      <c r="AH438" t="n">
        <v>13090</v>
      </c>
      <c r="AI438" t="inlineStr">
        <is>
          <t>Полное проживание в выбранном периоде</t>
        </is>
      </c>
    </row>
    <row r="439">
      <c r="A439" t="inlineStr">
        <is>
          <t>20260720-8186-434462277</t>
        </is>
      </c>
      <c r="B439" t="n">
        <v>1</v>
      </c>
      <c r="C439" s="2" t="inlineStr">
        <is>
          <t>МАРИНА ГОНЧАРОВА</t>
        </is>
      </c>
      <c r="D439" s="3" t="n">
        <v>45400</v>
      </c>
      <c r="E439" s="4" t="n">
        <v>20</v>
      </c>
      <c r="F439" t="inlineStr">
        <is>
          <t>ООО "ХБ-ПРО" [Чайковский]</t>
        </is>
      </c>
      <c r="G439" s="3">
        <f>ROUND(D439/(100-E439)*100,2)</f>
        <v/>
      </c>
      <c r="H439" s="3" t="n">
        <v>5675</v>
      </c>
      <c r="I439" s="3">
        <f>ROUND(IF(ISNUMBER(AG439),AG439,G439)+H439,2)</f>
        <v/>
      </c>
      <c r="J439" s="2" t="inlineStr">
        <is>
          <t>продление номера — 5 675,00 ₽; Завтрак "Шведский стол"</t>
        </is>
      </c>
      <c r="K439" s="5" t="n">
        <v>46223.58333333334</v>
      </c>
      <c r="L439" t="n">
        <v>5</v>
      </c>
      <c r="M439" s="3">
        <f>I439/L439</f>
        <v/>
      </c>
      <c r="N439">
        <f>IF(M439&gt;=5100,"ставка","мин.ставка")</f>
        <v/>
      </c>
      <c r="O439" s="3">
        <f>ROUND(IF(N439="мин.ставка",L439*100,I439/102*2),2)</f>
        <v/>
      </c>
      <c r="P439" s="5" t="n">
        <v>46228.75</v>
      </c>
      <c r="Q439" t="inlineStr">
        <is>
          <t>TravelLine UTS</t>
        </is>
      </c>
      <c r="R439" s="2" t="inlineStr">
        <is>
          <t>СТАНДАРТНЫЙ ДВУХМЕСТНЫЙ НОМЕР</t>
        </is>
      </c>
      <c r="S439" t="n">
        <v>22</v>
      </c>
      <c r="T439" t="n">
        <v>1</v>
      </c>
      <c r="U439" t="inlineStr"/>
      <c r="V439" t="inlineStr">
        <is>
          <t>Тариф с завтраком</t>
        </is>
      </c>
      <c r="W439" t="n">
        <v>51075</v>
      </c>
      <c r="X439" s="3" t="n">
        <v>0</v>
      </c>
      <c r="Y439" t="inlineStr"/>
      <c r="Z439" t="inlineStr"/>
      <c r="AA439" s="3" t="n">
        <v>45400</v>
      </c>
      <c r="AB439" t="inlineStr">
        <is>
          <t>Сошлось с услугами</t>
        </is>
      </c>
      <c r="AC439" s="2" t="inlineStr"/>
      <c r="AD439" t="n">
        <v>0</v>
      </c>
      <c r="AE439" t="n">
        <v>0</v>
      </c>
      <c r="AF439" t="inlineStr">
        <is>
          <t>Скидки нет</t>
        </is>
      </c>
      <c r="AG439" t="n">
        <v>45400</v>
      </c>
      <c r="AH439" t="n">
        <v>45400</v>
      </c>
      <c r="AI439" t="inlineStr">
        <is>
          <t>Полное проживание в выбранном периоде</t>
        </is>
      </c>
    </row>
    <row r="440">
      <c r="A440" t="inlineStr">
        <is>
          <t>20260718-8186-439204883</t>
        </is>
      </c>
      <c r="B440" t="n">
        <v>1</v>
      </c>
      <c r="C440" s="2" t="inlineStr">
        <is>
          <t>Марина Невзорова, Наталья Гайдай</t>
        </is>
      </c>
      <c r="D440" s="3" t="n">
        <v>53199.75</v>
      </c>
      <c r="E440" s="4" t="n">
        <v>4</v>
      </c>
      <c r="F440" t="inlineStr">
        <is>
          <t>TravelLine Booking Engine [Чайковский]</t>
        </is>
      </c>
      <c r="G440" s="3">
        <f>ROUND(D440/(100-E440)*100,2)</f>
        <v/>
      </c>
      <c r="H440" s="3" t="n">
        <v>0</v>
      </c>
      <c r="I440" s="3">
        <f>ROUND(IF(ISNUMBER(AG440),AG440,G440)+H440,2)</f>
        <v/>
      </c>
      <c r="J440" s="2" t="inlineStr">
        <is>
          <t>Завтрак "Шведский стол"</t>
        </is>
      </c>
      <c r="K440" s="5" t="n">
        <v>46221.58333333334</v>
      </c>
      <c r="L440" t="n">
        <v>4</v>
      </c>
      <c r="M440" s="3">
        <f>I440/L440</f>
        <v/>
      </c>
      <c r="N440">
        <f>IF(M440&gt;=5100,"ставка","мин.ставка")</f>
        <v/>
      </c>
      <c r="O440" s="3">
        <f>ROUND(IF(N440="мин.ставка",L440*100,I440/102*2),2)</f>
        <v/>
      </c>
      <c r="P440" s="5" t="n">
        <v>46225.5</v>
      </c>
      <c r="Q440" t="inlineStr">
        <is>
          <t>TravelLine сайт</t>
        </is>
      </c>
      <c r="R440" s="2" t="inlineStr">
        <is>
          <t>СТАНДАРТНЫЙ ДВУХМЕСТНЫЙ НОМЕР</t>
        </is>
      </c>
      <c r="S440" t="n">
        <v>32</v>
      </c>
      <c r="T440" t="n">
        <v>1</v>
      </c>
      <c r="U440" t="inlineStr"/>
      <c r="V440" t="inlineStr">
        <is>
          <t>Тариф с завтраком</t>
        </is>
      </c>
      <c r="W440" t="n">
        <v>53199.75</v>
      </c>
      <c r="X440" s="3" t="n">
        <v>200.25</v>
      </c>
      <c r="Y440" t="inlineStr">
        <is>
          <t>1.5%</t>
        </is>
      </c>
      <c r="Z440" t="inlineStr">
        <is>
          <t>2026-07-18</t>
        </is>
      </c>
      <c r="AA440" s="3" t="n">
        <v>53199.75</v>
      </c>
      <c r="AB440" t="inlineStr">
        <is>
          <t>Сошлось по ночным тарифам</t>
        </is>
      </c>
      <c r="AC440" s="2" t="inlineStr"/>
      <c r="AD440" t="n">
        <v>200.25</v>
      </c>
      <c r="AE440" t="n">
        <v>0</v>
      </c>
      <c r="AF440" t="inlineStr">
        <is>
          <t>Скидка добавлена к налоговой базе</t>
        </is>
      </c>
      <c r="AG440" t="n">
        <v>53400</v>
      </c>
      <c r="AH440" t="n">
        <v>53199.75</v>
      </c>
      <c r="AI440" t="inlineStr">
        <is>
          <t>Полное проживание в выбранном периоде</t>
        </is>
      </c>
    </row>
    <row r="441">
      <c r="A441" t="inlineStr">
        <is>
          <t>20260721-8186-440916265</t>
        </is>
      </c>
      <c r="B441" t="n">
        <v>1</v>
      </c>
      <c r="C441" s="2" t="inlineStr">
        <is>
          <t>Марина Непомнящая</t>
        </is>
      </c>
      <c r="D441" s="3" t="n">
        <v>22700</v>
      </c>
      <c r="E441" s="4" t="n">
        <v>0</v>
      </c>
      <c r="F441" t="inlineStr">
        <is>
          <t>Прямые бронирования (стойка) [Чайковский]</t>
        </is>
      </c>
      <c r="G441" s="3">
        <f>ROUND(D441/(100-E441)*100,2)</f>
        <v/>
      </c>
      <c r="H441" s="3" t="n">
        <v>0</v>
      </c>
      <c r="I441" s="3">
        <f>ROUND(IF(ISNUMBER(AG441),AG441,G441)+H441,2)</f>
        <v/>
      </c>
      <c r="J441" s="2" t="inlineStr">
        <is>
          <t>Завтрак "Шведский стол"</t>
        </is>
      </c>
      <c r="K441" s="5" t="n">
        <v>46224.58333333334</v>
      </c>
      <c r="L441" t="n">
        <v>2</v>
      </c>
      <c r="M441" s="3">
        <f>I441/L441</f>
        <v/>
      </c>
      <c r="N441">
        <f>IF(M441&gt;=5100,"ставка","мин.ставка")</f>
        <v/>
      </c>
      <c r="O441" s="3">
        <f>ROUND(IF(N441="мин.ставка",L441*100,I441/102*2),2)</f>
        <v/>
      </c>
      <c r="P441" s="5" t="n">
        <v>46226.5</v>
      </c>
      <c r="Q441" t="inlineStr">
        <is>
          <t>TravelLine ресепшен</t>
        </is>
      </c>
      <c r="R441" s="2" t="inlineStr">
        <is>
          <t>СТАНДАРТНЫЙ ДВУХМЕСТНЫЙ НОМЕР</t>
        </is>
      </c>
      <c r="S441" t="n">
        <v>44</v>
      </c>
      <c r="T441" t="n">
        <v>1</v>
      </c>
      <c r="U441" t="inlineStr"/>
      <c r="V441" t="inlineStr">
        <is>
          <t>Тариф с завтраком</t>
        </is>
      </c>
      <c r="W441" t="n">
        <v>22700</v>
      </c>
      <c r="X441" s="3" t="n">
        <v>0</v>
      </c>
      <c r="Y441" t="inlineStr"/>
      <c r="Z441" t="inlineStr"/>
      <c r="AA441" s="3" t="n">
        <v>22700</v>
      </c>
      <c r="AB441" t="inlineStr">
        <is>
          <t>Сошлось по ночным тарифам</t>
        </is>
      </c>
      <c r="AC441" s="2" t="inlineStr"/>
      <c r="AD441" t="n">
        <v>0</v>
      </c>
      <c r="AE441" t="n">
        <v>0</v>
      </c>
      <c r="AF441" t="inlineStr">
        <is>
          <t>Скидки нет</t>
        </is>
      </c>
      <c r="AG441" t="n">
        <v>22700</v>
      </c>
      <c r="AH441" t="n">
        <v>22700</v>
      </c>
      <c r="AI441" t="inlineStr">
        <is>
          <t>Полное проживание в выбранном периоде</t>
        </is>
      </c>
    </row>
    <row r="442">
      <c r="A442" t="inlineStr">
        <is>
          <t>20260822-8186-412015169</t>
        </is>
      </c>
      <c r="B442" t="n">
        <v>1</v>
      </c>
      <c r="C442" s="2" t="inlineStr">
        <is>
          <t>МАРИНА РОСТНИКОВА, Александр Попов</t>
        </is>
      </c>
      <c r="D442" s="3" t="n">
        <v>15988.5</v>
      </c>
      <c r="E442" s="4" t="n">
        <v>4</v>
      </c>
      <c r="F442" t="inlineStr">
        <is>
          <t>TravelLine Booking Engine [Чайковский]</t>
        </is>
      </c>
      <c r="G442" s="3">
        <f>ROUND(D442/(100-E442)*100,2)</f>
        <v/>
      </c>
      <c r="H442" s="3" t="n">
        <v>0</v>
      </c>
      <c r="I442" s="3">
        <f>ROUND(IF(ISNUMBER(AG442),AG442,G442)+H442,2)</f>
        <v/>
      </c>
      <c r="J442" s="2" t="inlineStr">
        <is>
          <t>Завтрак "Шведский стол"</t>
        </is>
      </c>
      <c r="K442" s="5" t="n">
        <v>46256.58333333334</v>
      </c>
      <c r="L442" t="n">
        <v>1</v>
      </c>
      <c r="M442" s="3">
        <f>I442/L442</f>
        <v/>
      </c>
      <c r="N442">
        <f>IF(M442&gt;=5100,"ставка","мин.ставка")</f>
        <v/>
      </c>
      <c r="O442" s="3">
        <f>ROUND(IF(N442="мин.ставка",L442*100,I442/102*2),2)</f>
        <v/>
      </c>
      <c r="P442" s="5" t="n">
        <v>46257.5</v>
      </c>
      <c r="Q442" t="inlineStr">
        <is>
          <t>TravelLine сайт</t>
        </is>
      </c>
      <c r="R442" s="2" t="inlineStr">
        <is>
          <t>ПОЛУЛЮКС</t>
        </is>
      </c>
      <c r="S442" t="n">
        <v>35</v>
      </c>
      <c r="T442" t="n">
        <v>1</v>
      </c>
      <c r="U442" t="inlineStr"/>
      <c r="V442" t="inlineStr">
        <is>
          <t>Тариф с завтраком</t>
        </is>
      </c>
      <c r="W442" t="n">
        <v>15988.5</v>
      </c>
      <c r="X442" s="3" t="n">
        <v>511.5</v>
      </c>
      <c r="Y442" t="inlineStr">
        <is>
          <t>3.1%</t>
        </is>
      </c>
      <c r="Z442" t="inlineStr">
        <is>
          <t>2026-08-22</t>
        </is>
      </c>
      <c r="AA442" s="3" t="n">
        <v>15988.5</v>
      </c>
      <c r="AB442" t="inlineStr">
        <is>
          <t>Сошлось по ночным тарифам</t>
        </is>
      </c>
      <c r="AC442" s="2" t="inlineStr"/>
      <c r="AD442" t="n">
        <v>511.5</v>
      </c>
      <c r="AE442" t="n">
        <v>0</v>
      </c>
      <c r="AF442" t="inlineStr">
        <is>
          <t>Скидка добавлена к налоговой базе</t>
        </is>
      </c>
      <c r="AG442" t="n">
        <v>16500</v>
      </c>
      <c r="AH442" t="n">
        <v>15988.5</v>
      </c>
      <c r="AI442" t="inlineStr">
        <is>
          <t>Полное проживание в выбранном периоде</t>
        </is>
      </c>
    </row>
    <row r="443">
      <c r="A443" t="inlineStr">
        <is>
          <t>20260803-8186-421031747</t>
        </is>
      </c>
      <c r="B443" t="n">
        <v>1</v>
      </c>
      <c r="C443" s="2" t="inlineStr">
        <is>
          <t>Марина Хрусталева, Екатерина Хрусталева</t>
        </is>
      </c>
      <c r="D443" s="3" t="n">
        <v>39849.75</v>
      </c>
      <c r="E443" s="4" t="n">
        <v>4</v>
      </c>
      <c r="F443" t="inlineStr">
        <is>
          <t>TravelLine Booking Engine [Чайковский]</t>
        </is>
      </c>
      <c r="G443" s="3">
        <f>ROUND(D443/(100-E443)*100,2)</f>
        <v/>
      </c>
      <c r="H443" s="3" t="n">
        <v>0</v>
      </c>
      <c r="I443" s="3">
        <f>ROUND(IF(ISNUMBER(AG443),AG443,G443)+H443,2)</f>
        <v/>
      </c>
      <c r="J443" s="2" t="inlineStr">
        <is>
          <t>Завтрак "Шведский стол"</t>
        </is>
      </c>
      <c r="K443" s="5" t="n">
        <v>46237.58333333334</v>
      </c>
      <c r="L443" t="n">
        <v>3</v>
      </c>
      <c r="M443" s="3">
        <f>I443/L443</f>
        <v/>
      </c>
      <c r="N443">
        <f>IF(M443&gt;=5100,"ставка","мин.ставка")</f>
        <v/>
      </c>
      <c r="O443" s="3">
        <f>ROUND(IF(N443="мин.ставка",L443*100,I443/102*2),2)</f>
        <v/>
      </c>
      <c r="P443" s="5" t="n">
        <v>46240.5</v>
      </c>
      <c r="Q443" t="inlineStr">
        <is>
          <t>TravelLine сайт</t>
        </is>
      </c>
      <c r="R443" s="2" t="inlineStr">
        <is>
          <t>СТАНДАРТНЫЙ ДВУХМЕСТНЫЙ НОМЕР</t>
        </is>
      </c>
      <c r="S443" t="n">
        <v>42</v>
      </c>
      <c r="T443" t="n">
        <v>1</v>
      </c>
      <c r="U443" t="inlineStr"/>
      <c r="V443" t="inlineStr">
        <is>
          <t>Тариф с завтраком</t>
        </is>
      </c>
      <c r="W443" t="n">
        <v>73729.5</v>
      </c>
      <c r="X443" s="3" t="n">
        <v>200.25</v>
      </c>
      <c r="Y443" t="inlineStr">
        <is>
          <t>1.5%</t>
        </is>
      </c>
      <c r="Z443" t="inlineStr">
        <is>
          <t>2026-08-03</t>
        </is>
      </c>
      <c r="AA443" s="3" t="n">
        <v>39849.75</v>
      </c>
      <c r="AB443" t="inlineStr">
        <is>
          <t>Сошлось по ночным тарифам</t>
        </is>
      </c>
      <c r="AC443" s="2" t="inlineStr"/>
      <c r="AD443" t="n">
        <v>200.25</v>
      </c>
      <c r="AE443" t="n">
        <v>0</v>
      </c>
      <c r="AF443" t="inlineStr">
        <is>
          <t>Скидка добавлена к налоговой базе</t>
        </is>
      </c>
      <c r="AG443" t="n">
        <v>40050</v>
      </c>
      <c r="AH443" t="n">
        <v>39849.75</v>
      </c>
      <c r="AI443" t="inlineStr">
        <is>
          <t>Полное проживание в выбранном периоде</t>
        </is>
      </c>
    </row>
    <row r="444">
      <c r="A444" t="inlineStr">
        <is>
          <t>20260821-8186-448701128</t>
        </is>
      </c>
      <c r="B444" t="n">
        <v>1</v>
      </c>
      <c r="C444" s="2" t="inlineStr">
        <is>
          <t>МАРИНА ШВЕЦОВА, ДАНИЛА ДРОЖЖИН</t>
        </is>
      </c>
      <c r="D444" s="3" t="n">
        <v>8415</v>
      </c>
      <c r="E444" s="4" t="n">
        <v>16</v>
      </c>
      <c r="F444" t="inlineStr">
        <is>
          <t>ООО "БРОНИРОВАНИЕ ГОСТИНИЦ" (OSTROVOK) [Чайковский]</t>
        </is>
      </c>
      <c r="G444" s="3">
        <f>ROUND(D444/(100-E444)*100,2)</f>
        <v/>
      </c>
      <c r="H444" s="3" t="n">
        <v>0</v>
      </c>
      <c r="I444" s="3">
        <f>ROUND(IF(ISNUMBER(AG444),AG444,G444)+H444,2)</f>
        <v/>
      </c>
      <c r="J444" s="2" t="inlineStr">
        <is>
          <t>Завтрак "Шведский стол"</t>
        </is>
      </c>
      <c r="K444" s="5" t="n">
        <v>46255.58333333334</v>
      </c>
      <c r="L444" t="n">
        <v>1</v>
      </c>
      <c r="M444" s="3">
        <f>I444/L444</f>
        <v/>
      </c>
      <c r="N444">
        <f>IF(M444&gt;=5100,"ставка","мин.ставка")</f>
        <v/>
      </c>
      <c r="O444" s="3">
        <f>ROUND(IF(N444="мин.ставка",L444*100,I444/102*2),2)</f>
        <v/>
      </c>
      <c r="P444" s="5" t="n">
        <v>46256.5</v>
      </c>
      <c r="Q444" t="inlineStr">
        <is>
          <t>TravelLine OTK</t>
        </is>
      </c>
      <c r="R444" s="2" t="inlineStr">
        <is>
          <t>СТАНДАРТНЫЙ ДВУХМЕСТНЫЙ НОМЕР (МАНСАРДА)</t>
        </is>
      </c>
      <c r="S444" t="n">
        <v>41</v>
      </c>
      <c r="T444" t="n">
        <v>1</v>
      </c>
      <c r="U444" t="inlineStr"/>
      <c r="V444" t="inlineStr">
        <is>
          <t>Тариф с завтраком</t>
        </is>
      </c>
      <c r="W444" t="n">
        <v>8415</v>
      </c>
      <c r="X444" s="3" t="n">
        <v>1485</v>
      </c>
      <c r="Y444" t="inlineStr">
        <is>
          <t>15%</t>
        </is>
      </c>
      <c r="Z444" t="inlineStr">
        <is>
          <t>2026-08-21</t>
        </is>
      </c>
      <c r="AA444" s="3" t="n">
        <v>8415</v>
      </c>
      <c r="AB444" t="inlineStr">
        <is>
          <t>Сошлось по ночным тарифам</t>
        </is>
      </c>
      <c r="AC444" s="2" t="inlineStr"/>
      <c r="AD444" t="n">
        <v>1485</v>
      </c>
      <c r="AE444" t="n">
        <v>0</v>
      </c>
      <c r="AF444" t="inlineStr">
        <is>
          <t>Скидка добавлена к налоговой базе</t>
        </is>
      </c>
      <c r="AG444" t="n">
        <v>9900</v>
      </c>
      <c r="AH444" t="n">
        <v>8415</v>
      </c>
      <c r="AI444" t="inlineStr">
        <is>
          <t>Полное проживание в выбранном периоде</t>
        </is>
      </c>
    </row>
    <row r="445">
      <c r="A445" t="inlineStr">
        <is>
          <t>20260928-8186-467819293</t>
        </is>
      </c>
      <c r="B445" t="n">
        <v>1</v>
      </c>
      <c r="C445" s="2" t="inlineStr">
        <is>
          <t>МАРИЯ АВАНЕСОВА</t>
        </is>
      </c>
      <c r="D445" s="3" t="n">
        <v>11257.5</v>
      </c>
      <c r="E445" s="4" t="n">
        <v>18</v>
      </c>
      <c r="F445" t="inlineStr">
        <is>
          <t>Яндекс.Путешествия [Чайковский]</t>
        </is>
      </c>
      <c r="G445" s="3">
        <f>ROUND(D445/(100-E445)*100,2)</f>
        <v/>
      </c>
      <c r="H445" s="3" t="n">
        <v>0</v>
      </c>
      <c r="I445" s="3">
        <f>ROUND(IF(ISNUMBER(AG445),AG445,G445)+H445,2)</f>
        <v/>
      </c>
      <c r="J445" s="2" t="inlineStr">
        <is>
          <t>Завтрак "Шведский стол"</t>
        </is>
      </c>
      <c r="K445" s="5" t="n">
        <v>46293.58333333334</v>
      </c>
      <c r="L445" t="n">
        <v>2</v>
      </c>
      <c r="M445" s="3">
        <f>I445/L445</f>
        <v/>
      </c>
      <c r="N445">
        <f>IF(M445&gt;=5100,"ставка","мин.ставка")</f>
        <v/>
      </c>
      <c r="O445" s="3">
        <f>ROUND(IF(N445="мин.ставка",L445*100,I445/102*2),2)</f>
        <v/>
      </c>
      <c r="P445" s="5" t="n">
        <v>46295.5</v>
      </c>
      <c r="Q445" t="inlineStr">
        <is>
          <t>TravelLine YAX</t>
        </is>
      </c>
      <c r="R445" s="2" t="inlineStr">
        <is>
          <t>СТАНДАРТНЫЙ ДВУХМЕСТНЫЙ НОМЕР (МАНСАРДА)</t>
        </is>
      </c>
      <c r="S445" t="n">
        <v>43</v>
      </c>
      <c r="T445" t="n">
        <v>1</v>
      </c>
      <c r="U445" t="inlineStr"/>
      <c r="V445" t="inlineStr">
        <is>
          <t>Тариф с завтраком</t>
        </is>
      </c>
      <c r="W445" t="n">
        <v>11257.5</v>
      </c>
      <c r="X445" s="3" t="n">
        <v>3752.5</v>
      </c>
      <c r="Y445" t="inlineStr">
        <is>
          <t>25%</t>
        </is>
      </c>
      <c r="Z445" t="inlineStr">
        <is>
          <t>2026-09-28, 2026-09-29</t>
        </is>
      </c>
      <c r="AA445" s="3" t="n">
        <v>11257.5</v>
      </c>
      <c r="AB445" t="inlineStr">
        <is>
          <t>Сошлось по ночным тарифам</t>
        </is>
      </c>
      <c r="AC445" s="2" t="inlineStr"/>
      <c r="AD445" t="n">
        <v>3752.5</v>
      </c>
      <c r="AE445" t="n">
        <v>0</v>
      </c>
      <c r="AF445" t="inlineStr">
        <is>
          <t>Скидка добавлена к налоговой базе</t>
        </is>
      </c>
      <c r="AG445" t="n">
        <v>15010</v>
      </c>
      <c r="AH445" t="n">
        <v>11257.5</v>
      </c>
      <c r="AI445" t="inlineStr">
        <is>
          <t>Полное проживание в выбранном периоде</t>
        </is>
      </c>
    </row>
    <row r="446">
      <c r="A446" t="inlineStr">
        <is>
          <t>20260827-8186-438982348</t>
        </is>
      </c>
      <c r="B446" t="n">
        <v>1</v>
      </c>
      <c r="C446" s="2" t="inlineStr">
        <is>
          <t>Мария Астахова</t>
        </is>
      </c>
      <c r="D446" s="3" t="n">
        <v>52360</v>
      </c>
      <c r="E446" s="4" t="n">
        <v>16</v>
      </c>
      <c r="F446" t="inlineStr">
        <is>
          <t>ООО "БРОНИРОВАНИЕ ГОСТИНИЦ" (OSTROVOK) [Чайковский]</t>
        </is>
      </c>
      <c r="G446" s="3">
        <f>ROUND(D446/(100-E446)*100,2)</f>
        <v/>
      </c>
      <c r="H446" s="3" t="n">
        <v>0</v>
      </c>
      <c r="I446" s="3">
        <f>ROUND(IF(ISNUMBER(AG446),AG446,G446)+H446,2)</f>
        <v/>
      </c>
      <c r="J446" s="2" t="inlineStr">
        <is>
          <t>Завтрак "Шведский стол"</t>
        </is>
      </c>
      <c r="K446" s="5" t="n">
        <v>46261.58333333334</v>
      </c>
      <c r="L446" t="n">
        <v>8</v>
      </c>
      <c r="M446" s="3">
        <f>I446/L446</f>
        <v/>
      </c>
      <c r="N446">
        <f>IF(M446&gt;=5100,"ставка","мин.ставка")</f>
        <v/>
      </c>
      <c r="O446" s="3">
        <f>ROUND(IF(N446="мин.ставка",L446*100,I446/102*2),2)</f>
        <v/>
      </c>
      <c r="P446" s="5" t="n">
        <v>46269.5</v>
      </c>
      <c r="Q446" t="inlineStr">
        <is>
          <t>TravelLine OTK</t>
        </is>
      </c>
      <c r="R446" s="2" t="inlineStr">
        <is>
          <t>СТАНДАРТНЫЙ ОДНОМЕСТНЫЙ НОМЕР</t>
        </is>
      </c>
      <c r="S446" t="n">
        <v>34</v>
      </c>
      <c r="T446" t="n">
        <v>1</v>
      </c>
      <c r="U446" t="inlineStr"/>
      <c r="V446" t="inlineStr">
        <is>
          <t>Тариф с завтраком</t>
        </is>
      </c>
      <c r="W446" t="n">
        <v>52360</v>
      </c>
      <c r="X446" s="3" t="n">
        <v>9240</v>
      </c>
      <c r="Y446" t="inlineStr">
        <is>
          <t>15%</t>
        </is>
      </c>
      <c r="Z446" t="inlineStr">
        <is>
          <t>2026-08-27, 2026-08-28, 2026-08-29, 2026-08-30, 2026-08-31, 2026-09-01, 2026-09-02, 2026-09-03</t>
        </is>
      </c>
      <c r="AA446" s="3" t="n">
        <v>52360</v>
      </c>
      <c r="AB446" t="inlineStr">
        <is>
          <t>Сошлось по ночным тарифам</t>
        </is>
      </c>
      <c r="AC446" s="2" t="inlineStr"/>
      <c r="AD446" t="n">
        <v>9240</v>
      </c>
      <c r="AE446" t="n">
        <v>0</v>
      </c>
      <c r="AF446" t="inlineStr">
        <is>
          <t>Скидка добавлена к налоговой базе</t>
        </is>
      </c>
      <c r="AG446" t="n">
        <v>61600</v>
      </c>
      <c r="AH446" t="n">
        <v>52360</v>
      </c>
      <c r="AI446" t="inlineStr">
        <is>
          <t>Полное проживание в выбранном периоде</t>
        </is>
      </c>
    </row>
    <row r="447">
      <c r="A447" t="inlineStr">
        <is>
          <t>20260925-8186-464901936</t>
        </is>
      </c>
      <c r="B447" t="n">
        <v>1</v>
      </c>
      <c r="C447" s="2" t="inlineStr">
        <is>
          <t>Мария Ашихмина</t>
        </is>
      </c>
      <c r="D447" s="3" t="n">
        <v>30993.75</v>
      </c>
      <c r="E447" s="4" t="n">
        <v>18</v>
      </c>
      <c r="F447" t="inlineStr">
        <is>
          <t>Яндекс.Путешествия [Чайковский]</t>
        </is>
      </c>
      <c r="G447" s="3">
        <f>ROUND(D447/(100-E447)*100,2)</f>
        <v/>
      </c>
      <c r="H447" s="3" t="n">
        <v>0</v>
      </c>
      <c r="I447" s="3">
        <f>ROUND(IF(ISNUMBER(AG447),AG447,G447)+H447,2)</f>
        <v/>
      </c>
      <c r="J447" s="2" t="inlineStr">
        <is>
          <t>Завтрак "Шведский стол"</t>
        </is>
      </c>
      <c r="K447" s="5" t="n">
        <v>46290.58333333334</v>
      </c>
      <c r="L447" t="n">
        <v>3</v>
      </c>
      <c r="M447" s="3">
        <f>I447/L447</f>
        <v/>
      </c>
      <c r="N447">
        <f>IF(M447&gt;=5100,"ставка","мин.ставка")</f>
        <v/>
      </c>
      <c r="O447" s="3">
        <f>ROUND(IF(N447="мин.ставка",L447*100,I447/102*2),2)</f>
        <v/>
      </c>
      <c r="P447" s="5" t="n">
        <v>46293.5</v>
      </c>
      <c r="Q447" t="inlineStr">
        <is>
          <t>TravelLine YAX</t>
        </is>
      </c>
      <c r="R447" s="2" t="inlineStr">
        <is>
          <t>ПОЛУЛЮКС</t>
        </is>
      </c>
      <c r="S447" t="n">
        <v>35</v>
      </c>
      <c r="T447" t="n">
        <v>1</v>
      </c>
      <c r="U447" t="inlineStr"/>
      <c r="V447" t="inlineStr">
        <is>
          <t>Тариф с завтраком</t>
        </is>
      </c>
      <c r="W447" t="n">
        <v>30993.75</v>
      </c>
      <c r="X447" s="3" t="n">
        <v>1631.25</v>
      </c>
      <c r="Y447" t="inlineStr">
        <is>
          <t>5%</t>
        </is>
      </c>
      <c r="Z447" t="inlineStr">
        <is>
          <t>2026-09-25, 2026-09-26, 2026-09-27</t>
        </is>
      </c>
      <c r="AA447" s="3" t="n">
        <v>30993.75</v>
      </c>
      <c r="AB447" t="inlineStr">
        <is>
          <t>Сошлось по ночным тарифам</t>
        </is>
      </c>
      <c r="AC447" s="2" t="inlineStr"/>
      <c r="AD447" t="n">
        <v>1631.25</v>
      </c>
      <c r="AE447" t="n">
        <v>0</v>
      </c>
      <c r="AF447" t="inlineStr">
        <is>
          <t>Скидка добавлена к налоговой базе</t>
        </is>
      </c>
      <c r="AG447" t="n">
        <v>32625</v>
      </c>
      <c r="AH447" t="n">
        <v>30993.75</v>
      </c>
      <c r="AI447" t="inlineStr">
        <is>
          <t>Полное проживание в выбранном периоде</t>
        </is>
      </c>
    </row>
    <row r="448">
      <c r="A448" t="inlineStr">
        <is>
          <t>20260707-8186-427987036</t>
        </is>
      </c>
      <c r="B448" t="n">
        <v>1</v>
      </c>
      <c r="C448" s="2" t="inlineStr">
        <is>
          <t>Мария Журина, Степан Ртищев</t>
        </is>
      </c>
      <c r="D448" s="3" t="n">
        <v>11347.5</v>
      </c>
      <c r="E448" s="4" t="n">
        <v>15</v>
      </c>
      <c r="F448" t="inlineStr">
        <is>
          <t>ООО "БРОНИРОВАНИЕ ГОСТИНИЦ" (OSTROVOK) [Чайковский]</t>
        </is>
      </c>
      <c r="G448" s="3">
        <f>ROUND(D448/(100-E448)*100,2)</f>
        <v/>
      </c>
      <c r="H448" s="3" t="n">
        <v>0</v>
      </c>
      <c r="I448" s="3">
        <f>ROUND(IF(ISNUMBER(AG448),AG448,G448)+H448,2)</f>
        <v/>
      </c>
      <c r="J448" s="2" t="inlineStr">
        <is>
          <t>Завтрак "Шведский стол"</t>
        </is>
      </c>
      <c r="K448" s="5" t="n">
        <v>46210.58333333334</v>
      </c>
      <c r="L448" t="n">
        <v>1</v>
      </c>
      <c r="M448" s="3">
        <f>I448/L448</f>
        <v/>
      </c>
      <c r="N448">
        <f>IF(M448&gt;=5100,"ставка","мин.ставка")</f>
        <v/>
      </c>
      <c r="O448" s="3">
        <f>ROUND(IF(N448="мин.ставка",L448*100,I448/102*2),2)</f>
        <v/>
      </c>
      <c r="P448" s="5" t="n">
        <v>46211.5</v>
      </c>
      <c r="Q448" t="inlineStr">
        <is>
          <t>TravelLine OTK</t>
        </is>
      </c>
      <c r="R448" s="2" t="inlineStr">
        <is>
          <t>СТАНДАРТНЫЙ ДВУХМЕСТНЫЙ НОМЕР</t>
        </is>
      </c>
      <c r="S448" t="n">
        <v>36</v>
      </c>
      <c r="T448" t="n">
        <v>1</v>
      </c>
      <c r="U448" t="inlineStr"/>
      <c r="V448" t="inlineStr">
        <is>
          <t>Тариф с завтраком</t>
        </is>
      </c>
      <c r="W448" t="n">
        <v>11347.5</v>
      </c>
      <c r="X448" s="3" t="n">
        <v>2002.5</v>
      </c>
      <c r="Y448" t="inlineStr">
        <is>
          <t>15%</t>
        </is>
      </c>
      <c r="Z448" t="inlineStr">
        <is>
          <t>2026-07-07</t>
        </is>
      </c>
      <c r="AA448" s="3" t="n">
        <v>11347.5</v>
      </c>
      <c r="AB448" t="inlineStr">
        <is>
          <t>Сошлось по ночным тарифам</t>
        </is>
      </c>
      <c r="AC448" s="2" t="inlineStr"/>
      <c r="AD448" t="n">
        <v>2002.5</v>
      </c>
      <c r="AE448" t="n">
        <v>0</v>
      </c>
      <c r="AF448" t="inlineStr">
        <is>
          <t>Скидка добавлена к налоговой базе</t>
        </is>
      </c>
      <c r="AG448" t="n">
        <v>13350</v>
      </c>
      <c r="AH448" t="n">
        <v>11347.5</v>
      </c>
      <c r="AI448" t="inlineStr">
        <is>
          <t>Полное проживание в выбранном периоде</t>
        </is>
      </c>
    </row>
    <row r="449">
      <c r="A449" t="inlineStr">
        <is>
          <t>20260927-8186-463737797</t>
        </is>
      </c>
      <c r="B449" t="n">
        <v>1</v>
      </c>
      <c r="C449" s="2" t="inlineStr">
        <is>
          <t>МАРИЯ Исакова</t>
        </is>
      </c>
      <c r="D449" s="3" t="n">
        <v>5925</v>
      </c>
      <c r="E449" s="4" t="n">
        <v>18</v>
      </c>
      <c r="F449" t="inlineStr">
        <is>
          <t>Яндекс.Путешествия [Чайковский]</t>
        </is>
      </c>
      <c r="G449" s="3">
        <f>ROUND(D449/(100-E449)*100,2)</f>
        <v/>
      </c>
      <c r="H449" s="3" t="n">
        <v>0</v>
      </c>
      <c r="I449" s="3">
        <f>ROUND(IF(ISNUMBER(AG449),AG449,G449)+H449,2)</f>
        <v/>
      </c>
      <c r="J449" s="2" t="inlineStr">
        <is>
          <t>Завтрак "Шведский стол"</t>
        </is>
      </c>
      <c r="K449" s="5" t="n">
        <v>46292.58333333334</v>
      </c>
      <c r="L449" t="n">
        <v>1</v>
      </c>
      <c r="M449" s="3">
        <f>I449/L449</f>
        <v/>
      </c>
      <c r="N449">
        <f>IF(M449&gt;=5100,"ставка","мин.ставка")</f>
        <v/>
      </c>
      <c r="O449" s="3">
        <f>ROUND(IF(N449="мин.ставка",L449*100,I449/102*2),2)</f>
        <v/>
      </c>
      <c r="P449" s="5" t="n">
        <v>46293.5</v>
      </c>
      <c r="Q449" t="inlineStr">
        <is>
          <t>TravelLine YAX</t>
        </is>
      </c>
      <c r="R449" s="2" t="inlineStr">
        <is>
          <t>СТАНДАРТНЫЙ ДВУХМЕСТНЫЙ НОМЕР (МАНСАРДА)</t>
        </is>
      </c>
      <c r="S449" t="n">
        <v>41</v>
      </c>
      <c r="T449" t="n">
        <v>1</v>
      </c>
      <c r="U449" t="inlineStr"/>
      <c r="V449" t="inlineStr">
        <is>
          <t>Тариф с завтраком</t>
        </is>
      </c>
      <c r="W449" t="n">
        <v>5925</v>
      </c>
      <c r="X449" s="3" t="n">
        <v>1975</v>
      </c>
      <c r="Y449" t="inlineStr">
        <is>
          <t>25%</t>
        </is>
      </c>
      <c r="Z449" t="inlineStr">
        <is>
          <t>2026-09-27</t>
        </is>
      </c>
      <c r="AA449" s="3" t="n">
        <v>5925</v>
      </c>
      <c r="AB449" t="inlineStr">
        <is>
          <t>Сошлось по ночным тарифам</t>
        </is>
      </c>
      <c r="AC449" s="2" t="inlineStr"/>
      <c r="AD449" t="n">
        <v>1975</v>
      </c>
      <c r="AE449" t="n">
        <v>0</v>
      </c>
      <c r="AF449" t="inlineStr">
        <is>
          <t>Скидка добавлена к налоговой базе</t>
        </is>
      </c>
      <c r="AG449" t="n">
        <v>7900</v>
      </c>
      <c r="AH449" t="n">
        <v>5925</v>
      </c>
      <c r="AI449" t="inlineStr">
        <is>
          <t>Полное проживание в выбранном периоде</t>
        </is>
      </c>
    </row>
    <row r="450">
      <c r="A450" t="inlineStr">
        <is>
          <t>20260812-8186-454218570</t>
        </is>
      </c>
      <c r="B450" t="n">
        <v>1</v>
      </c>
      <c r="C450" s="2" t="inlineStr">
        <is>
          <t>Мария Кондратьева</t>
        </is>
      </c>
      <c r="D450" s="3" t="n">
        <v>23780</v>
      </c>
      <c r="E450" s="4" t="n">
        <v>18</v>
      </c>
      <c r="F450" t="inlineStr">
        <is>
          <t>ООО "Эй энд Эй" [Чайковский]</t>
        </is>
      </c>
      <c r="G450" s="3">
        <f>ROUND(D450/(100-E450)*100,2)</f>
        <v/>
      </c>
      <c r="H450" s="3" t="n">
        <v>0</v>
      </c>
      <c r="I450" s="3">
        <f>ROUND(IF(ISNUMBER(AG450),AG450,G450)+H450,2)</f>
        <v/>
      </c>
      <c r="J450" s="2" t="inlineStr">
        <is>
          <t>Завтрак "Шведский стол"</t>
        </is>
      </c>
      <c r="K450" s="5" t="n">
        <v>46246.58333333334</v>
      </c>
      <c r="L450" t="n">
        <v>2</v>
      </c>
      <c r="M450" s="3">
        <f>I450/L450</f>
        <v/>
      </c>
      <c r="N450">
        <f>IF(M450&gt;=5100,"ставка","мин.ставка")</f>
        <v/>
      </c>
      <c r="O450" s="3">
        <f>ROUND(IF(N450="мин.ставка",L450*100,I450/102*2),2)</f>
        <v/>
      </c>
      <c r="P450" s="5" t="n">
        <v>46248.5</v>
      </c>
      <c r="Q450" t="inlineStr">
        <is>
          <t>TravelLine ANA</t>
        </is>
      </c>
      <c r="R450" s="2" t="inlineStr">
        <is>
          <t>ПОЛУЛЮКС</t>
        </is>
      </c>
      <c r="S450" t="n">
        <v>25</v>
      </c>
      <c r="T450" t="n">
        <v>1</v>
      </c>
      <c r="U450" t="inlineStr"/>
      <c r="V450" t="inlineStr">
        <is>
          <t>Тариф с завтраком</t>
        </is>
      </c>
      <c r="W450" t="n">
        <v>23780</v>
      </c>
      <c r="X450" s="3" t="n">
        <v>5220</v>
      </c>
      <c r="Y450" t="inlineStr">
        <is>
          <t>18%</t>
        </is>
      </c>
      <c r="Z450" t="inlineStr">
        <is>
          <t>2026-08-12, 2026-08-13</t>
        </is>
      </c>
      <c r="AA450" s="3" t="n">
        <v>23780</v>
      </c>
      <c r="AB450" t="inlineStr">
        <is>
          <t>Сошлось по ночным тарифам</t>
        </is>
      </c>
      <c r="AC450" s="2" t="inlineStr"/>
      <c r="AD450" t="n">
        <v>5220</v>
      </c>
      <c r="AE450" t="n">
        <v>0</v>
      </c>
      <c r="AF450" t="inlineStr">
        <is>
          <t>Скидка добавлена к налоговой базе</t>
        </is>
      </c>
      <c r="AG450" t="n">
        <v>29000</v>
      </c>
      <c r="AH450" t="n">
        <v>23780</v>
      </c>
      <c r="AI450" t="inlineStr">
        <is>
          <t>Полное проживание в выбранном периоде</t>
        </is>
      </c>
    </row>
    <row r="451">
      <c r="A451" t="inlineStr">
        <is>
          <t>20260810-8186-395777109</t>
        </is>
      </c>
      <c r="B451" t="n">
        <v>1</v>
      </c>
      <c r="C451" s="2" t="inlineStr">
        <is>
          <t>Мария Моллот</t>
        </is>
      </c>
      <c r="D451" s="3" t="n">
        <v>56880</v>
      </c>
      <c r="E451" s="4" t="n">
        <v>0</v>
      </c>
      <c r="F451" t="inlineStr">
        <is>
          <t>Прямые бронирования (стойка) [Чайковский]</t>
        </is>
      </c>
      <c r="G451" s="3">
        <f>ROUND(D451/(100-E451)*100,2)</f>
        <v/>
      </c>
      <c r="H451" s="3" t="n">
        <v>0</v>
      </c>
      <c r="I451" s="3">
        <f>ROUND(IF(ISNUMBER(AG451),AG451,G451)+H451,2)</f>
        <v/>
      </c>
      <c r="J451" s="2" t="inlineStr">
        <is>
          <t>Завтрак "Шведский стол"</t>
        </is>
      </c>
      <c r="K451" s="5" t="n">
        <v>46244.58333333334</v>
      </c>
      <c r="L451" t="n">
        <v>8</v>
      </c>
      <c r="M451" s="3">
        <f>I451/L451</f>
        <v/>
      </c>
      <c r="N451">
        <f>IF(M451&gt;=5100,"ставка","мин.ставка")</f>
        <v/>
      </c>
      <c r="O451" s="3">
        <f>ROUND(IF(N451="мин.ставка",L451*100,I451/102*2),2)</f>
        <v/>
      </c>
      <c r="P451" s="5" t="n">
        <v>46252.5</v>
      </c>
      <c r="Q451" t="inlineStr">
        <is>
          <t>TravelLine ресепшен</t>
        </is>
      </c>
      <c r="R451" s="2" t="inlineStr">
        <is>
          <t>СТАНДАРТНЫЙ ОДНОМЕСТНЫЙ НОМЕР</t>
        </is>
      </c>
      <c r="S451" t="n">
        <v>24</v>
      </c>
      <c r="T451" t="n">
        <v>1</v>
      </c>
      <c r="U451" t="inlineStr"/>
      <c r="V451" t="inlineStr">
        <is>
          <t>Тариф с завтраком</t>
        </is>
      </c>
      <c r="W451" t="n">
        <v>56880</v>
      </c>
      <c r="X451" s="3" t="n">
        <v>6320</v>
      </c>
      <c r="Y451" t="inlineStr">
        <is>
          <t>10%</t>
        </is>
      </c>
      <c r="Z451" t="inlineStr">
        <is>
          <t>2026-08-10, 2026-08-11, 2026-08-12, 2026-08-13, 2026-08-14, 2026-08-15, 2026-08-16, 2026-08-17</t>
        </is>
      </c>
      <c r="AA451" s="3" t="n">
        <v>56880</v>
      </c>
      <c r="AB451" t="inlineStr">
        <is>
          <t>Сошлось по ночным тарифам</t>
        </is>
      </c>
      <c r="AC451" s="2" t="inlineStr"/>
      <c r="AD451" t="n">
        <v>6320</v>
      </c>
      <c r="AE451" t="n">
        <v>0</v>
      </c>
      <c r="AF451" t="inlineStr">
        <is>
          <t>Скидка добавлена к налоговой базе</t>
        </is>
      </c>
      <c r="AG451" t="n">
        <v>63200</v>
      </c>
      <c r="AH451" t="n">
        <v>56880</v>
      </c>
      <c r="AI451" t="inlineStr">
        <is>
          <t>Полное проживание в выбранном периоде</t>
        </is>
      </c>
    </row>
    <row r="452">
      <c r="A452" t="inlineStr">
        <is>
          <t>20260914-8186-420584796</t>
        </is>
      </c>
      <c r="B452" t="n">
        <v>1</v>
      </c>
      <c r="C452" s="2" t="inlineStr">
        <is>
          <t>МАРИЯ ПЕРЯТИНСКАЯ, АННА КАЗАНКОВА</t>
        </is>
      </c>
      <c r="D452" s="3" t="n">
        <v>42075</v>
      </c>
      <c r="E452" s="4" t="n">
        <v>0</v>
      </c>
      <c r="F452" t="inlineStr">
        <is>
          <t>ООО «ХОМЛИН ЛЭНД» (ПЕГАС) [Чайковский]</t>
        </is>
      </c>
      <c r="G452" s="3">
        <f>ROUND(D452/(100-E452)*100,2)</f>
        <v/>
      </c>
      <c r="H452" s="3" t="n">
        <v>0</v>
      </c>
      <c r="I452" s="3">
        <f>ROUND(IF(ISNUMBER(AG452),AG452,G452)+H452,2)</f>
        <v/>
      </c>
      <c r="J452" s="2" t="inlineStr">
        <is>
          <t>Завтрак "Шведский стол"</t>
        </is>
      </c>
      <c r="K452" s="5" t="n">
        <v>46279.58333333334</v>
      </c>
      <c r="L452" t="n">
        <v>5</v>
      </c>
      <c r="M452" s="3">
        <f>I452/L452</f>
        <v/>
      </c>
      <c r="N452">
        <f>IF(M452&gt;=5100,"ставка","мин.ставка")</f>
        <v/>
      </c>
      <c r="O452" s="3">
        <f>ROUND(IF(N452="мин.ставка",L452*100,I452/102*2),2)</f>
        <v/>
      </c>
      <c r="P452" s="5" t="n">
        <v>46284.5</v>
      </c>
      <c r="Q452" t="inlineStr">
        <is>
          <t>TravelLine PGS</t>
        </is>
      </c>
      <c r="R452" s="2" t="inlineStr">
        <is>
          <t>СТАНДАРТНЫЙ ДВУХМЕСТНЫЙ НОМЕР (МАНСАРДА)</t>
        </is>
      </c>
      <c r="S452" t="n">
        <v>43</v>
      </c>
      <c r="T452" t="n">
        <v>1</v>
      </c>
      <c r="U452" t="inlineStr"/>
      <c r="V452" t="inlineStr">
        <is>
          <t>Тариф с завтраком</t>
        </is>
      </c>
      <c r="W452" t="n">
        <v>42075</v>
      </c>
      <c r="X452" s="3" t="n">
        <v>7425</v>
      </c>
      <c r="Y452" t="inlineStr">
        <is>
          <t>15%</t>
        </is>
      </c>
      <c r="Z452" t="inlineStr">
        <is>
          <t>2026-09-14, 2026-09-15, 2026-09-16, 2026-09-17, 2026-09-18</t>
        </is>
      </c>
      <c r="AA452" s="3" t="n">
        <v>42075</v>
      </c>
      <c r="AB452" t="inlineStr">
        <is>
          <t>Сошлось по ночным тарифам</t>
        </is>
      </c>
      <c r="AC452" s="2" t="inlineStr"/>
      <c r="AD452" t="n">
        <v>7425</v>
      </c>
      <c r="AE452" t="n">
        <v>0</v>
      </c>
      <c r="AF452" t="inlineStr">
        <is>
          <t>Скидка добавлена к налоговой базе</t>
        </is>
      </c>
      <c r="AG452" t="n">
        <v>49500</v>
      </c>
      <c r="AH452" t="n">
        <v>42075</v>
      </c>
      <c r="AI452" t="inlineStr">
        <is>
          <t>Полное проживание в выбранном периоде</t>
        </is>
      </c>
    </row>
    <row r="453">
      <c r="A453" t="inlineStr">
        <is>
          <t>20260803-8186-453610722</t>
        </is>
      </c>
      <c r="B453" t="n">
        <v>1</v>
      </c>
      <c r="C453" s="2" t="inlineStr">
        <is>
          <t>Мария Рознер</t>
        </is>
      </c>
      <c r="D453" s="3" t="n">
        <v>6320</v>
      </c>
      <c r="E453" s="4" t="n">
        <v>18</v>
      </c>
      <c r="F453" t="inlineStr">
        <is>
          <t>Яндекс.Путешествия [Чайковский]</t>
        </is>
      </c>
      <c r="G453" s="3">
        <f>ROUND(D453/(100-E453)*100,2)</f>
        <v/>
      </c>
      <c r="H453" s="3" t="n">
        <v>0</v>
      </c>
      <c r="I453" s="3">
        <f>ROUND(IF(ISNUMBER(AG453),AG453,G453)+H453,2)</f>
        <v/>
      </c>
      <c r="J453" s="2" t="inlineStr">
        <is>
          <t>Завтрак "Шведский стол"</t>
        </is>
      </c>
      <c r="K453" s="5" t="n">
        <v>46237.58333333334</v>
      </c>
      <c r="L453" t="n">
        <v>1</v>
      </c>
      <c r="M453" s="3">
        <f>I453/L453</f>
        <v/>
      </c>
      <c r="N453">
        <f>IF(M453&gt;=5100,"ставка","мин.ставка")</f>
        <v/>
      </c>
      <c r="O453" s="3">
        <f>ROUND(IF(N453="мин.ставка",L453*100,I453/102*2),2)</f>
        <v/>
      </c>
      <c r="P453" s="5" t="n">
        <v>46238.5</v>
      </c>
      <c r="Q453" t="inlineStr">
        <is>
          <t>TravelLine YAX</t>
        </is>
      </c>
      <c r="R453" s="2" t="inlineStr">
        <is>
          <t>СТАНДАРТНЫЙ ДВУХМЕСТНЫЙ НОМЕР (МАНСАРДА)</t>
        </is>
      </c>
      <c r="S453" t="n">
        <v>47</v>
      </c>
      <c r="T453" t="n">
        <v>1</v>
      </c>
      <c r="U453" t="inlineStr"/>
      <c r="V453" t="inlineStr">
        <is>
          <t>Тариф с завтраком</t>
        </is>
      </c>
      <c r="W453" t="n">
        <v>6320</v>
      </c>
      <c r="X453" s="3" t="n">
        <v>1580</v>
      </c>
      <c r="Y453" t="inlineStr">
        <is>
          <t>20%</t>
        </is>
      </c>
      <c r="Z453" t="inlineStr">
        <is>
          <t>2026-08-03</t>
        </is>
      </c>
      <c r="AA453" s="3" t="n">
        <v>6320</v>
      </c>
      <c r="AB453" t="inlineStr">
        <is>
          <t>Сошлось по ночным тарифам</t>
        </is>
      </c>
      <c r="AC453" s="2" t="inlineStr"/>
      <c r="AD453" t="n">
        <v>1580</v>
      </c>
      <c r="AE453" t="n">
        <v>0</v>
      </c>
      <c r="AF453" t="inlineStr">
        <is>
          <t>Скидка добавлена к налоговой базе</t>
        </is>
      </c>
      <c r="AG453" t="n">
        <v>7900</v>
      </c>
      <c r="AH453" t="n">
        <v>6320</v>
      </c>
      <c r="AI453" t="inlineStr">
        <is>
          <t>Полное проживание в выбранном периоде</t>
        </is>
      </c>
    </row>
    <row r="454">
      <c r="A454" t="inlineStr">
        <is>
          <t>20260927-8186-468805448</t>
        </is>
      </c>
      <c r="B454" t="n">
        <v>1</v>
      </c>
      <c r="C454" s="2" t="inlineStr">
        <is>
          <t>Мария Сазонова</t>
        </is>
      </c>
      <c r="D454" s="3" t="n">
        <v>5775</v>
      </c>
      <c r="E454" s="4" t="n">
        <v>18</v>
      </c>
      <c r="F454" t="inlineStr">
        <is>
          <t>Яндекс.Путешествия [Чайковский]</t>
        </is>
      </c>
      <c r="G454" s="3">
        <f>ROUND(D454/(100-E454)*100,2)</f>
        <v/>
      </c>
      <c r="H454" s="3" t="n">
        <v>0</v>
      </c>
      <c r="I454" s="3">
        <f>ROUND(IF(ISNUMBER(AG454),AG454,G454)+H454,2)</f>
        <v/>
      </c>
      <c r="J454" s="2" t="inlineStr">
        <is>
          <t>Завтрак "Шведский стол"</t>
        </is>
      </c>
      <c r="K454" s="5" t="n">
        <v>46292.58333333334</v>
      </c>
      <c r="L454" t="n">
        <v>1</v>
      </c>
      <c r="M454" s="3">
        <f>I454/L454</f>
        <v/>
      </c>
      <c r="N454">
        <f>IF(M454&gt;=5100,"ставка","мин.ставка")</f>
        <v/>
      </c>
      <c r="O454" s="3">
        <f>ROUND(IF(N454="мин.ставка",L454*100,I454/102*2),2)</f>
        <v/>
      </c>
      <c r="P454" s="5" t="n">
        <v>46293.5</v>
      </c>
      <c r="Q454" t="inlineStr">
        <is>
          <t>TravelLine YAX</t>
        </is>
      </c>
      <c r="R454" s="2" t="inlineStr">
        <is>
          <t>СТАНДАРТНЫЙ ОДНОМЕСТНЫЙ НОМЕР</t>
        </is>
      </c>
      <c r="S454" t="n">
        <v>24</v>
      </c>
      <c r="T454" t="n">
        <v>1</v>
      </c>
      <c r="U454" t="inlineStr"/>
      <c r="V454" t="inlineStr">
        <is>
          <t>Тариф с завтраком</t>
        </is>
      </c>
      <c r="W454" t="n">
        <v>5775</v>
      </c>
      <c r="X454" s="3" t="n">
        <v>1925</v>
      </c>
      <c r="Y454" t="inlineStr">
        <is>
          <t>25%</t>
        </is>
      </c>
      <c r="Z454" t="inlineStr">
        <is>
          <t>2026-09-27</t>
        </is>
      </c>
      <c r="AA454" s="3" t="n">
        <v>5775</v>
      </c>
      <c r="AB454" t="inlineStr">
        <is>
          <t>Сошлось по ночным тарифам</t>
        </is>
      </c>
      <c r="AC454" s="2" t="inlineStr"/>
      <c r="AD454" t="n">
        <v>1925</v>
      </c>
      <c r="AE454" t="n">
        <v>0</v>
      </c>
      <c r="AF454" t="inlineStr">
        <is>
          <t>Скидка добавлена к налоговой базе</t>
        </is>
      </c>
      <c r="AG454" t="n">
        <v>7700</v>
      </c>
      <c r="AH454" t="n">
        <v>5775</v>
      </c>
      <c r="AI454" t="inlineStr">
        <is>
          <t>Полное проживание в выбранном периоде</t>
        </is>
      </c>
    </row>
    <row r="455">
      <c r="A455" t="inlineStr">
        <is>
          <t>20260813-8186-436955349</t>
        </is>
      </c>
      <c r="B455" t="n">
        <v>1</v>
      </c>
      <c r="C455" s="2" t="inlineStr">
        <is>
          <t>МАРИЯ САММУТ КАБАНОВА, Аня САММУТ КАБАНОВА</t>
        </is>
      </c>
      <c r="D455" s="3" t="n">
        <v>23760</v>
      </c>
      <c r="E455" s="4" t="n">
        <v>18</v>
      </c>
      <c r="F455" t="inlineStr">
        <is>
          <t>Яндекс.Путешествия [Чайковский]</t>
        </is>
      </c>
      <c r="G455" s="3">
        <f>ROUND(D455/(100-E455)*100,2)</f>
        <v/>
      </c>
      <c r="H455" s="3" t="n">
        <v>0</v>
      </c>
      <c r="I455" s="3">
        <f>ROUND(IF(ISNUMBER(AG455),AG455,G455)+H455,2)</f>
        <v/>
      </c>
      <c r="J455" s="2" t="inlineStr">
        <is>
          <t>Завтрак "Шведский стол"</t>
        </is>
      </c>
      <c r="K455" s="5" t="n">
        <v>46247.58333333334</v>
      </c>
      <c r="L455" t="n">
        <v>3</v>
      </c>
      <c r="M455" s="3">
        <f>I455/L455</f>
        <v/>
      </c>
      <c r="N455">
        <f>IF(M455&gt;=5100,"ставка","мин.ставка")</f>
        <v/>
      </c>
      <c r="O455" s="3">
        <f>ROUND(IF(N455="мин.ставка",L455*100,I455/102*2),2)</f>
        <v/>
      </c>
      <c r="P455" s="5" t="n">
        <v>46250.5</v>
      </c>
      <c r="Q455" t="inlineStr">
        <is>
          <t>TravelLine YAX</t>
        </is>
      </c>
      <c r="R455" s="2" t="inlineStr">
        <is>
          <t>СТАНДАРТНЫЙ ДВУХМЕСТНЫЙ НОМЕР (МАНСАРДА)</t>
        </is>
      </c>
      <c r="S455" t="n">
        <v>41</v>
      </c>
      <c r="T455" t="n">
        <v>1</v>
      </c>
      <c r="U455" t="inlineStr"/>
      <c r="V455" t="inlineStr">
        <is>
          <t>Тариф с завтраком</t>
        </is>
      </c>
      <c r="W455" t="n">
        <v>23760</v>
      </c>
      <c r="X455" s="3" t="n">
        <v>5940</v>
      </c>
      <c r="Y455" t="inlineStr">
        <is>
          <t>20%</t>
        </is>
      </c>
      <c r="Z455" t="inlineStr">
        <is>
          <t>2026-08-13, 2026-08-14, 2026-08-15</t>
        </is>
      </c>
      <c r="AA455" s="3" t="n">
        <v>23760</v>
      </c>
      <c r="AB455" t="inlineStr">
        <is>
          <t>Сошлось по ночным тарифам</t>
        </is>
      </c>
      <c r="AC455" s="2" t="inlineStr"/>
      <c r="AD455" t="n">
        <v>5940</v>
      </c>
      <c r="AE455" t="n">
        <v>0</v>
      </c>
      <c r="AF455" t="inlineStr">
        <is>
          <t>Скидка добавлена к налоговой базе</t>
        </is>
      </c>
      <c r="AG455" t="n">
        <v>29700</v>
      </c>
      <c r="AH455" t="n">
        <v>23760</v>
      </c>
      <c r="AI455" t="inlineStr">
        <is>
          <t>Полное проживание в выбранном периоде</t>
        </is>
      </c>
    </row>
    <row r="456">
      <c r="A456" t="inlineStr">
        <is>
          <t>20260804-8186-455621888</t>
        </is>
      </c>
      <c r="B456" t="n">
        <v>1</v>
      </c>
      <c r="C456" s="2" t="inlineStr">
        <is>
          <t>Мария Семенова</t>
        </is>
      </c>
      <c r="D456" s="3" t="n">
        <v>6557</v>
      </c>
      <c r="E456" s="4" t="n">
        <v>18</v>
      </c>
      <c r="F456" t="inlineStr">
        <is>
          <t>Яндекс.Путешествия [Чайковский]</t>
        </is>
      </c>
      <c r="G456" s="3">
        <f>ROUND(D456/(100-E456)*100,2)</f>
        <v/>
      </c>
      <c r="H456" s="3" t="n">
        <v>0</v>
      </c>
      <c r="I456" s="3">
        <f>ROUND(IF(ISNUMBER(AG456),AG456,G456)+H456,2)</f>
        <v/>
      </c>
      <c r="J456" s="2" t="inlineStr">
        <is>
          <t>Завтрак "Шведский стол"</t>
        </is>
      </c>
      <c r="K456" s="5" t="n">
        <v>46238.58333333334</v>
      </c>
      <c r="L456" t="n">
        <v>1</v>
      </c>
      <c r="M456" s="3">
        <f>I456/L456</f>
        <v/>
      </c>
      <c r="N456">
        <f>IF(M456&gt;=5100,"ставка","мин.ставка")</f>
        <v/>
      </c>
      <c r="O456" s="3">
        <f>ROUND(IF(N456="мин.ставка",L456*100,I456/102*2),2)</f>
        <v/>
      </c>
      <c r="P456" s="5" t="n">
        <v>46239.5</v>
      </c>
      <c r="Q456" t="inlineStr">
        <is>
          <t>TravelLine YAX</t>
        </is>
      </c>
      <c r="R456" s="2" t="inlineStr">
        <is>
          <t>СТАНДАРТНЫЙ ДВУХМЕСТНЫЙ НОМЕР (МАНСАРДА)</t>
        </is>
      </c>
      <c r="S456" t="n">
        <v>43</v>
      </c>
      <c r="T456" t="n">
        <v>1</v>
      </c>
      <c r="U456" t="inlineStr"/>
      <c r="V456" t="inlineStr">
        <is>
          <t>Тариф с завтраком</t>
        </is>
      </c>
      <c r="W456" t="n">
        <v>6557</v>
      </c>
      <c r="X456" s="3" t="n">
        <v>0</v>
      </c>
      <c r="Y456" t="inlineStr"/>
      <c r="Z456" t="inlineStr"/>
      <c r="AA456" s="3" t="n">
        <v>6557</v>
      </c>
      <c r="AB456" t="inlineStr">
        <is>
          <t>Сошлось по ночным тарифам</t>
        </is>
      </c>
      <c r="AC456" s="2" t="inlineStr"/>
      <c r="AD456" t="n">
        <v>0</v>
      </c>
      <c r="AE456" t="n">
        <v>0</v>
      </c>
      <c r="AF456" t="inlineStr">
        <is>
          <t>Скидки нет</t>
        </is>
      </c>
      <c r="AG456" t="n">
        <v>6557</v>
      </c>
      <c r="AH456" t="n">
        <v>6557</v>
      </c>
      <c r="AI456" t="inlineStr">
        <is>
          <t>Полное проживание в выбранном периоде</t>
        </is>
      </c>
    </row>
    <row r="457">
      <c r="A457" t="inlineStr">
        <is>
          <t>20260701-8186-442331561</t>
        </is>
      </c>
      <c r="B457" t="n">
        <v>1</v>
      </c>
      <c r="C457" s="2" t="inlineStr">
        <is>
          <t>МАРИЯ ХРОМОВА, ВИКТОРИЯ СЕМЕНОВА</t>
        </is>
      </c>
      <c r="D457" s="3" t="n">
        <v>13350</v>
      </c>
      <c r="E457" s="4" t="n">
        <v>0</v>
      </c>
      <c r="F457" t="inlineStr">
        <is>
          <t>Прямые бронирования (стойка) [Чайковский]</t>
        </is>
      </c>
      <c r="G457" s="3">
        <f>ROUND(D457/(100-E457)*100,2)</f>
        <v/>
      </c>
      <c r="H457" s="3" t="n">
        <v>0</v>
      </c>
      <c r="I457" s="3">
        <f>ROUND(IF(ISNUMBER(AG457),AG457,G457)+H457,2)</f>
        <v/>
      </c>
      <c r="J457" s="2" t="inlineStr">
        <is>
          <t>Завтрак "Шведский стол"</t>
        </is>
      </c>
      <c r="K457" s="5" t="n">
        <v>46204.58333333334</v>
      </c>
      <c r="L457" t="n">
        <v>1</v>
      </c>
      <c r="M457" s="3">
        <f>I457/L457</f>
        <v/>
      </c>
      <c r="N457">
        <f>IF(M457&gt;=5100,"ставка","мин.ставка")</f>
        <v/>
      </c>
      <c r="O457" s="3">
        <f>ROUND(IF(N457="мин.ставка",L457*100,I457/102*2),2)</f>
        <v/>
      </c>
      <c r="P457" s="5" t="n">
        <v>46205.5</v>
      </c>
      <c r="Q457" t="inlineStr">
        <is>
          <t>TravelLine ресепшен</t>
        </is>
      </c>
      <c r="R457" s="2" t="inlineStr">
        <is>
          <t>СТАНДАРТНЫЙ ДВУХМЕСТНЫЙ НОМЕР</t>
        </is>
      </c>
      <c r="S457" t="n">
        <v>36</v>
      </c>
      <c r="T457" t="n">
        <v>1</v>
      </c>
      <c r="U457" t="inlineStr"/>
      <c r="V457" t="inlineStr">
        <is>
          <t>Тариф с завтраком</t>
        </is>
      </c>
      <c r="W457" t="n">
        <v>13350</v>
      </c>
      <c r="X457" s="3" t="n">
        <v>0</v>
      </c>
      <c r="Y457" t="inlineStr"/>
      <c r="Z457" t="inlineStr"/>
      <c r="AA457" s="3" t="n">
        <v>13350</v>
      </c>
      <c r="AB457" t="inlineStr">
        <is>
          <t>Сошлось по ночным тарифам</t>
        </is>
      </c>
      <c r="AC457" s="2" t="inlineStr"/>
      <c r="AD457" t="n">
        <v>0</v>
      </c>
      <c r="AE457" t="n">
        <v>0</v>
      </c>
      <c r="AF457" t="inlineStr">
        <is>
          <t>Скидки нет</t>
        </is>
      </c>
      <c r="AG457" t="n">
        <v>13350</v>
      </c>
      <c r="AH457" t="n">
        <v>13350</v>
      </c>
      <c r="AI457" t="inlineStr">
        <is>
          <t>Полное проживание в выбранном периоде</t>
        </is>
      </c>
    </row>
    <row r="458">
      <c r="A458" t="inlineStr">
        <is>
          <t>20260910-8186-427551341</t>
        </is>
      </c>
      <c r="B458" t="n">
        <v>1</v>
      </c>
      <c r="C458" s="2" t="inlineStr">
        <is>
          <t>Мария Штыркина, Ольга Мулдашева</t>
        </is>
      </c>
      <c r="D458" s="3" t="n">
        <v>36045</v>
      </c>
      <c r="E458" s="4" t="n">
        <v>0</v>
      </c>
      <c r="F458" t="inlineStr">
        <is>
          <t>Прямые бронирования (стойка) [Чайковский]</t>
        </is>
      </c>
      <c r="G458" s="3">
        <f>ROUND(D458/(100-E458)*100,2)</f>
        <v/>
      </c>
      <c r="H458" s="3" t="n">
        <v>0</v>
      </c>
      <c r="I458" s="3">
        <f>ROUND(IF(ISNUMBER(AG458),AG458,G458)+H458,2)</f>
        <v/>
      </c>
      <c r="J458" s="2" t="inlineStr">
        <is>
          <t>Завтрак "Шведский стол"</t>
        </is>
      </c>
      <c r="K458" s="5" t="n">
        <v>46275.58333333334</v>
      </c>
      <c r="L458" t="n">
        <v>3</v>
      </c>
      <c r="M458" s="3">
        <f>I458/L458</f>
        <v/>
      </c>
      <c r="N458">
        <f>IF(M458&gt;=5100,"ставка","мин.ставка")</f>
        <v/>
      </c>
      <c r="O458" s="3">
        <f>ROUND(IF(N458="мин.ставка",L458*100,I458/102*2),2)</f>
        <v/>
      </c>
      <c r="P458" s="5" t="n">
        <v>46278.5</v>
      </c>
      <c r="Q458" t="inlineStr">
        <is>
          <t>TravelLine ресепшен</t>
        </is>
      </c>
      <c r="R458" s="2" t="inlineStr">
        <is>
          <t>СТАНДАРТНЫЙ ДВУХМЕСТНЫЙ НОМЕР</t>
        </is>
      </c>
      <c r="S458" t="n">
        <v>36</v>
      </c>
      <c r="T458" t="n">
        <v>1</v>
      </c>
      <c r="U458" t="inlineStr"/>
      <c r="V458" t="inlineStr">
        <is>
          <t>Тариф с завтраком</t>
        </is>
      </c>
      <c r="W458" t="n">
        <v>216270</v>
      </c>
      <c r="X458" s="3" t="n">
        <v>4005</v>
      </c>
      <c r="Y458" t="inlineStr">
        <is>
          <t>10%</t>
        </is>
      </c>
      <c r="Z458" t="inlineStr">
        <is>
          <t>2026-09-10, 2026-09-11, 2026-09-12</t>
        </is>
      </c>
      <c r="AA458" s="3" t="n">
        <v>36045</v>
      </c>
      <c r="AB458" t="inlineStr">
        <is>
          <t>Сошлось по ночным тарифам</t>
        </is>
      </c>
      <c r="AC458" s="2" t="inlineStr"/>
      <c r="AD458" t="n">
        <v>4005</v>
      </c>
      <c r="AE458" t="n">
        <v>0</v>
      </c>
      <c r="AF458" t="inlineStr">
        <is>
          <t>Скидка добавлена к налоговой базе</t>
        </is>
      </c>
      <c r="AG458" t="n">
        <v>40050</v>
      </c>
      <c r="AH458" t="n">
        <v>36045</v>
      </c>
      <c r="AI458" t="inlineStr">
        <is>
          <t>Полное проживание в выбранном периоде</t>
        </is>
      </c>
    </row>
    <row r="459">
      <c r="A459" t="inlineStr">
        <is>
          <t>20260629-8186-439481776</t>
        </is>
      </c>
      <c r="B459" t="n">
        <v>1</v>
      </c>
      <c r="C459" s="2" t="inlineStr">
        <is>
          <t>МАРЬЯМ ЯКУБОВСКАЯ</t>
        </is>
      </c>
      <c r="D459" s="3" t="n">
        <v>48060</v>
      </c>
      <c r="E459" s="4" t="n">
        <v>0</v>
      </c>
      <c r="F459" t="inlineStr">
        <is>
          <t>Прямые бронирования (стойка) [Чайковский]</t>
        </is>
      </c>
      <c r="G459" s="3">
        <f>ROUND(D459/(100-E459)*100,2)</f>
        <v/>
      </c>
      <c r="H459" s="3" t="n">
        <v>0</v>
      </c>
      <c r="I459" s="3">
        <f>ROUND(IF(ISNUMBER(AG459),AG459,G459)+H459,2)</f>
        <v/>
      </c>
      <c r="J459" s="2" t="inlineStr"/>
      <c r="K459" s="5" t="n">
        <v>46202.58333333334</v>
      </c>
      <c r="L459" t="n">
        <v>2</v>
      </c>
      <c r="M459" s="3">
        <f>I459/L459</f>
        <v/>
      </c>
      <c r="N459">
        <f>IF(M459&gt;=5100,"ставка","мин.ставка")</f>
        <v/>
      </c>
      <c r="O459" s="3">
        <f>ROUND(IF(N459="мин.ставка",L459*100,I459/102*2),2)</f>
        <v/>
      </c>
      <c r="P459" s="5" t="n">
        <v>46206.5</v>
      </c>
      <c r="Q459" t="inlineStr">
        <is>
          <t>TravelLine ресепшен</t>
        </is>
      </c>
      <c r="R459" s="2" t="inlineStr">
        <is>
          <t>СТАНДАРТНЫЙ ДВУХМЕСТНЫЙ НОМЕР</t>
        </is>
      </c>
      <c r="S459" t="n">
        <v>42</v>
      </c>
      <c r="T459" t="n">
        <v>1</v>
      </c>
      <c r="U459" t="inlineStr"/>
      <c r="V459" t="inlineStr">
        <is>
          <t>Тариф с завтраком</t>
        </is>
      </c>
      <c r="W459" t="n">
        <v>48060</v>
      </c>
      <c r="X459" s="3" t="n">
        <v>5340</v>
      </c>
      <c r="Y459" t="inlineStr">
        <is>
          <t>10%</t>
        </is>
      </c>
      <c r="Z459" t="inlineStr">
        <is>
          <t>2026-06-29, 2026-06-30, 2026-07-01, 2026-07-02</t>
        </is>
      </c>
      <c r="AA459" s="3" t="n">
        <v>48060</v>
      </c>
      <c r="AB459" t="inlineStr">
        <is>
          <t>Сошлось по ночным тарифам</t>
        </is>
      </c>
      <c r="AC459" s="2" t="inlineStr"/>
      <c r="AD459" t="n">
        <v>2670</v>
      </c>
      <c r="AE459" t="n">
        <v>0</v>
      </c>
      <c r="AF459" t="inlineStr">
        <is>
          <t>Ночи скидки определены по dailyRates; в базу добавлена только часть выбранного периода</t>
        </is>
      </c>
      <c r="AG459" t="n">
        <v>26700</v>
      </c>
      <c r="AH459" t="n">
        <v>24030</v>
      </c>
      <c r="AI459" t="inlineStr">
        <is>
          <t>Частичное проживание распределено по dailyRates</t>
        </is>
      </c>
    </row>
    <row r="460">
      <c r="A460" t="inlineStr">
        <is>
          <t>20260813-8186-456350100</t>
        </is>
      </c>
      <c r="B460" t="n">
        <v>1</v>
      </c>
      <c r="C460" s="2" t="inlineStr">
        <is>
          <t>Матвей Фролов, Мария Фролова</t>
        </is>
      </c>
      <c r="D460" s="3" t="n">
        <v>64080</v>
      </c>
      <c r="E460" s="4" t="n">
        <v>20</v>
      </c>
      <c r="F460" t="inlineStr">
        <is>
          <t>ООО "КОМПАНИЯ БРОНЕВИК" [Чайковский]</t>
        </is>
      </c>
      <c r="G460" s="3">
        <f>ROUND(D460/(100-E460)*100,2)</f>
        <v/>
      </c>
      <c r="H460" s="3" t="n">
        <v>0</v>
      </c>
      <c r="I460" s="3">
        <f>ROUND(IF(ISNUMBER(AG460),AG460,G460)+H460,2)</f>
        <v/>
      </c>
      <c r="J460" s="2" t="inlineStr">
        <is>
          <t>Завтрак "Шведский стол"</t>
        </is>
      </c>
      <c r="K460" s="5" t="n">
        <v>46247.58333333334</v>
      </c>
      <c r="L460" t="n">
        <v>6</v>
      </c>
      <c r="M460" s="3">
        <f>I460/L460</f>
        <v/>
      </c>
      <c r="N460">
        <f>IF(M460&gt;=5100,"ставка","мин.ставка")</f>
        <v/>
      </c>
      <c r="O460" s="3">
        <f>ROUND(IF(N460="мин.ставка",L460*100,I460/102*2),2)</f>
        <v/>
      </c>
      <c r="P460" s="5" t="n">
        <v>46253.5</v>
      </c>
      <c r="Q460" t="inlineStr">
        <is>
          <t>TravelLine BR2</t>
        </is>
      </c>
      <c r="R460" s="2" t="inlineStr">
        <is>
          <t>СТАНДАРТНЫЙ ДВУХМЕСТНЫЙ НОМЕР</t>
        </is>
      </c>
      <c r="S460" t="n">
        <v>26</v>
      </c>
      <c r="T460" t="n">
        <v>1</v>
      </c>
      <c r="U460" t="inlineStr"/>
      <c r="V460" t="inlineStr">
        <is>
          <t>Тариф с завтраком</t>
        </is>
      </c>
      <c r="W460" t="n">
        <v>64080</v>
      </c>
      <c r="X460" s="3" t="n">
        <v>0</v>
      </c>
      <c r="Y460" t="inlineStr"/>
      <c r="Z460" t="inlineStr"/>
      <c r="AA460" s="3" t="n">
        <v>64080</v>
      </c>
      <c r="AB460" t="inlineStr">
        <is>
          <t>Сошлось по ночным тарифам</t>
        </is>
      </c>
      <c r="AC460" s="2" t="inlineStr"/>
      <c r="AD460" t="n">
        <v>0</v>
      </c>
      <c r="AE460" t="n">
        <v>0</v>
      </c>
      <c r="AF460" t="inlineStr">
        <is>
          <t>Скидки нет</t>
        </is>
      </c>
      <c r="AG460" t="n">
        <v>64080</v>
      </c>
      <c r="AH460" t="n">
        <v>64080</v>
      </c>
      <c r="AI460" t="inlineStr">
        <is>
          <t>Полное проживание в выбранном периоде</t>
        </is>
      </c>
    </row>
    <row r="461">
      <c r="A461" t="inlineStr">
        <is>
          <t>20260731-8186-450039766</t>
        </is>
      </c>
      <c r="B461" t="n">
        <v>1</v>
      </c>
      <c r="C461" s="2" t="inlineStr">
        <is>
          <t>Михаил Запальский</t>
        </is>
      </c>
      <c r="D461" s="3" t="n">
        <v>15555.1</v>
      </c>
      <c r="E461" s="4" t="n">
        <v>4</v>
      </c>
      <c r="F461" t="inlineStr">
        <is>
          <t>TravelLine Booking Engine [Чайковский]</t>
        </is>
      </c>
      <c r="G461" s="3">
        <f>ROUND(D461/(100-E461)*100,2)</f>
        <v/>
      </c>
      <c r="H461" s="3" t="n">
        <v>0</v>
      </c>
      <c r="I461" s="3">
        <f>ROUND(IF(ISNUMBER(AG461),AG461,G461)+H461,2)</f>
        <v/>
      </c>
      <c r="J461" s="2" t="inlineStr">
        <is>
          <t>Завтрак "Шведский стол"</t>
        </is>
      </c>
      <c r="K461" s="5" t="n">
        <v>46234.58333333334</v>
      </c>
      <c r="L461" t="n">
        <v>2</v>
      </c>
      <c r="M461" s="3">
        <f>I461/L461</f>
        <v/>
      </c>
      <c r="N461">
        <f>IF(M461&gt;=5100,"ставка","мин.ставка")</f>
        <v/>
      </c>
      <c r="O461" s="3">
        <f>ROUND(IF(N461="мин.ставка",L461*100,I461/102*2),2)</f>
        <v/>
      </c>
      <c r="P461" s="5" t="n">
        <v>46236.5</v>
      </c>
      <c r="Q461" t="inlineStr">
        <is>
          <t>TravelLine сайт</t>
        </is>
      </c>
      <c r="R461" s="2" t="inlineStr">
        <is>
          <t>СТАНДАРТНЫЙ ДВУХМЕСТНЫЙ НОМЕР (МАНСАРДА)</t>
        </is>
      </c>
      <c r="S461" t="n">
        <v>43</v>
      </c>
      <c r="T461" t="n">
        <v>1</v>
      </c>
      <c r="U461" t="inlineStr"/>
      <c r="V461" t="inlineStr">
        <is>
          <t>Тариф с завтраком</t>
        </is>
      </c>
      <c r="W461" t="n">
        <v>15555.1</v>
      </c>
      <c r="X461" s="3" t="n">
        <v>244.9</v>
      </c>
      <c r="Y461" t="inlineStr">
        <is>
          <t>3.1%</t>
        </is>
      </c>
      <c r="Z461" t="inlineStr">
        <is>
          <t>2026-07-31</t>
        </is>
      </c>
      <c r="AA461" s="3" t="n">
        <v>15555.1</v>
      </c>
      <c r="AB461" t="inlineStr">
        <is>
          <t>Сошлось по ночным тарифам</t>
        </is>
      </c>
      <c r="AC461" s="2" t="inlineStr"/>
      <c r="AD461" t="n">
        <v>244.9</v>
      </c>
      <c r="AE461" t="n">
        <v>0</v>
      </c>
      <c r="AF461" t="inlineStr">
        <is>
          <t>Скидка добавлена к налоговой базе</t>
        </is>
      </c>
      <c r="AG461" t="n">
        <v>15800</v>
      </c>
      <c r="AH461" t="n">
        <v>15555.1</v>
      </c>
      <c r="AI461" t="inlineStr">
        <is>
          <t>Полное проживание в выбранном периоде</t>
        </is>
      </c>
    </row>
    <row r="462">
      <c r="A462" t="inlineStr">
        <is>
          <t>20260721-8186-421839122</t>
        </is>
      </c>
      <c r="B462" t="n">
        <v>1</v>
      </c>
      <c r="C462" s="2" t="inlineStr">
        <is>
          <t>МИХАИЛ ИНЯКИН, АЛЕКСАНДРА КОЗЛОВА</t>
        </is>
      </c>
      <c r="D462" s="3" t="n">
        <v>64080</v>
      </c>
      <c r="E462" s="4" t="n">
        <v>0</v>
      </c>
      <c r="F462" t="inlineStr">
        <is>
          <t>Прямые бронирования (стойка) [Чайковский]</t>
        </is>
      </c>
      <c r="G462" s="3">
        <f>ROUND(D462/(100-E462)*100,2)</f>
        <v/>
      </c>
      <c r="H462" s="3" t="n">
        <v>0</v>
      </c>
      <c r="I462" s="3">
        <f>ROUND(IF(ISNUMBER(AG462),AG462,G462)+H462,2)</f>
        <v/>
      </c>
      <c r="J462" s="2" t="inlineStr">
        <is>
          <t>Завтрак "Шведский стол"</t>
        </is>
      </c>
      <c r="K462" s="5" t="n">
        <v>46224.58333333334</v>
      </c>
      <c r="L462" t="n">
        <v>6</v>
      </c>
      <c r="M462" s="3">
        <f>I462/L462</f>
        <v/>
      </c>
      <c r="N462">
        <f>IF(M462&gt;=5100,"ставка","мин.ставка")</f>
        <v/>
      </c>
      <c r="O462" s="3">
        <f>ROUND(IF(N462="мин.ставка",L462*100,I462/102*2),2)</f>
        <v/>
      </c>
      <c r="P462" s="5" t="n">
        <v>46230.5</v>
      </c>
      <c r="Q462" t="inlineStr">
        <is>
          <t>TravelLine ресепшен</t>
        </is>
      </c>
      <c r="R462" s="2" t="inlineStr">
        <is>
          <t>СТАНДАРТНЫЙ ДВУХМЕСТНЫЙ НОМЕР</t>
        </is>
      </c>
      <c r="S462" t="n">
        <v>26</v>
      </c>
      <c r="T462" t="n">
        <v>1</v>
      </c>
      <c r="U462" t="inlineStr"/>
      <c r="V462" t="inlineStr">
        <is>
          <t>Тариф с завтраком</t>
        </is>
      </c>
      <c r="W462" t="n">
        <v>64080</v>
      </c>
      <c r="X462" s="3" t="n">
        <v>16020</v>
      </c>
      <c r="Y462" t="inlineStr">
        <is>
          <t>20%</t>
        </is>
      </c>
      <c r="Z462" t="inlineStr">
        <is>
          <t>2026-07-21, 2026-07-22, 2026-07-23, 2026-07-24, 2026-07-25, 2026-07-26</t>
        </is>
      </c>
      <c r="AA462" s="3" t="n">
        <v>64080</v>
      </c>
      <c r="AB462" t="inlineStr">
        <is>
          <t>Сошлось по ночным тарифам</t>
        </is>
      </c>
      <c r="AC462" s="2" t="inlineStr"/>
      <c r="AD462" t="n">
        <v>16020</v>
      </c>
      <c r="AE462" t="n">
        <v>0</v>
      </c>
      <c r="AF462" t="inlineStr">
        <is>
          <t>Скидка добавлена к налоговой базе</t>
        </is>
      </c>
      <c r="AG462" t="n">
        <v>80100</v>
      </c>
      <c r="AH462" t="n">
        <v>64080</v>
      </c>
      <c r="AI462" t="inlineStr">
        <is>
          <t>Полное проживание в выбранном периоде</t>
        </is>
      </c>
    </row>
    <row r="463">
      <c r="A463" t="inlineStr">
        <is>
          <t>20260824-8186-450244783</t>
        </is>
      </c>
      <c r="B463" t="n">
        <v>1</v>
      </c>
      <c r="C463" s="2" t="inlineStr">
        <is>
          <t>Михаил Каюмов</t>
        </is>
      </c>
      <c r="D463" s="3" t="n">
        <v>6160</v>
      </c>
      <c r="E463" s="4" t="n">
        <v>20</v>
      </c>
      <c r="F463" t="inlineStr">
        <is>
          <t>ООО "КОМПАНИЯ БРОНЕВИК" [Чайковский]</t>
        </is>
      </c>
      <c r="G463" s="3">
        <f>ROUND(D463/(100-E463)*100,2)</f>
        <v/>
      </c>
      <c r="H463" s="3" t="n">
        <v>0</v>
      </c>
      <c r="I463" s="3">
        <f>ROUND(IF(ISNUMBER(AG463),AG463,G463)+H463,2)</f>
        <v/>
      </c>
      <c r="J463" s="2" t="inlineStr">
        <is>
          <t>Завтрак "Шведский стол"</t>
        </is>
      </c>
      <c r="K463" s="5" t="n">
        <v>46258.58333333334</v>
      </c>
      <c r="L463" t="n">
        <v>1</v>
      </c>
      <c r="M463" s="3">
        <f>I463/L463</f>
        <v/>
      </c>
      <c r="N463">
        <f>IF(M463&gt;=5100,"ставка","мин.ставка")</f>
        <v/>
      </c>
      <c r="O463" s="3">
        <f>ROUND(IF(N463="мин.ставка",L463*100,I463/102*2),2)</f>
        <v/>
      </c>
      <c r="P463" s="5" t="n">
        <v>46259.5</v>
      </c>
      <c r="Q463" t="inlineStr">
        <is>
          <t>TravelLine BR2</t>
        </is>
      </c>
      <c r="R463" s="2" t="inlineStr">
        <is>
          <t>СТАНДАРТНЫЙ ОДНОМЕСТНЫЙ НОМЕР</t>
        </is>
      </c>
      <c r="S463" t="n">
        <v>34</v>
      </c>
      <c r="T463" t="n">
        <v>1</v>
      </c>
      <c r="U463" t="inlineStr"/>
      <c r="V463" t="inlineStr">
        <is>
          <t>Тариф с завтраком</t>
        </is>
      </c>
      <c r="W463" t="n">
        <v>6160</v>
      </c>
      <c r="X463" s="3" t="n">
        <v>0</v>
      </c>
      <c r="Y463" t="inlineStr"/>
      <c r="Z463" t="inlineStr"/>
      <c r="AA463" s="3" t="n">
        <v>6160</v>
      </c>
      <c r="AB463" t="inlineStr">
        <is>
          <t>Сошлось по ночным тарифам</t>
        </is>
      </c>
      <c r="AC463" s="2" t="inlineStr"/>
      <c r="AD463" t="n">
        <v>0</v>
      </c>
      <c r="AE463" t="n">
        <v>0</v>
      </c>
      <c r="AF463" t="inlineStr">
        <is>
          <t>Скидки нет</t>
        </is>
      </c>
      <c r="AG463" t="n">
        <v>6160</v>
      </c>
      <c r="AH463" t="n">
        <v>6160</v>
      </c>
      <c r="AI463" t="inlineStr">
        <is>
          <t>Полное проживание в выбранном периоде</t>
        </is>
      </c>
    </row>
    <row r="464">
      <c r="A464" t="inlineStr">
        <is>
          <t>20260705-8186-420485306</t>
        </is>
      </c>
      <c r="B464" t="n">
        <v>1</v>
      </c>
      <c r="C464" s="2" t="inlineStr">
        <is>
          <t>МИХАИЛ КОРСАКОВ, ЕЛЕНА Осипова</t>
        </is>
      </c>
      <c r="D464" s="3" t="n">
        <v>13350</v>
      </c>
      <c r="E464" s="4" t="n">
        <v>0</v>
      </c>
      <c r="F464" t="inlineStr">
        <is>
          <t>Прямые бронирования (стойка) [Чайковский]</t>
        </is>
      </c>
      <c r="G464" s="3">
        <f>ROUND(D464/(100-E464)*100,2)</f>
        <v/>
      </c>
      <c r="H464" s="3" t="n">
        <v>0</v>
      </c>
      <c r="I464" s="3">
        <f>ROUND(IF(ISNUMBER(AG464),AG464,G464)+H464,2)</f>
        <v/>
      </c>
      <c r="J464" s="2" t="inlineStr">
        <is>
          <t>Завтрак "Шведский стол"</t>
        </is>
      </c>
      <c r="K464" s="5" t="n">
        <v>46208.58333333334</v>
      </c>
      <c r="L464" t="n">
        <v>1</v>
      </c>
      <c r="M464" s="3">
        <f>I464/L464</f>
        <v/>
      </c>
      <c r="N464">
        <f>IF(M464&gt;=5100,"ставка","мин.ставка")</f>
        <v/>
      </c>
      <c r="O464" s="3">
        <f>ROUND(IF(N464="мин.ставка",L464*100,I464/102*2),2)</f>
        <v/>
      </c>
      <c r="P464" s="5" t="n">
        <v>46209.5</v>
      </c>
      <c r="Q464" t="inlineStr">
        <is>
          <t>TravelLine ресепшен</t>
        </is>
      </c>
      <c r="R464" s="2" t="inlineStr">
        <is>
          <t>СТАНДАРТНЫЙ ДВУХМЕСТНЫЙ НОМЕР</t>
        </is>
      </c>
      <c r="S464" t="n">
        <v>22</v>
      </c>
      <c r="T464" t="n">
        <v>1</v>
      </c>
      <c r="U464" t="inlineStr"/>
      <c r="V464" t="inlineStr">
        <is>
          <t>Тариф с завтраком</t>
        </is>
      </c>
      <c r="W464" t="n">
        <v>13350</v>
      </c>
      <c r="X464" s="3" t="n">
        <v>0</v>
      </c>
      <c r="Y464" t="inlineStr"/>
      <c r="Z464" t="inlineStr"/>
      <c r="AA464" s="3" t="n">
        <v>13350</v>
      </c>
      <c r="AB464" t="inlineStr">
        <is>
          <t>Сошлось по ночным тарифам</t>
        </is>
      </c>
      <c r="AC464" s="2" t="inlineStr"/>
      <c r="AD464" t="n">
        <v>0</v>
      </c>
      <c r="AE464" t="n">
        <v>0</v>
      </c>
      <c r="AF464" t="inlineStr">
        <is>
          <t>Скидки нет</t>
        </is>
      </c>
      <c r="AG464" t="n">
        <v>13350</v>
      </c>
      <c r="AH464" t="n">
        <v>13350</v>
      </c>
      <c r="AI464" t="inlineStr">
        <is>
          <t>Полное проживание в выбранном периоде</t>
        </is>
      </c>
    </row>
    <row r="465">
      <c r="A465" t="inlineStr">
        <is>
          <t>20260707-8186-438267525</t>
        </is>
      </c>
      <c r="B465" t="n">
        <v>1</v>
      </c>
      <c r="C465" s="2" t="inlineStr">
        <is>
          <t>МИХАИЛ МОРОЗОВ, Полина Морозова</t>
        </is>
      </c>
      <c r="D465" s="3" t="n">
        <v>66750</v>
      </c>
      <c r="E465" s="4" t="n">
        <v>0</v>
      </c>
      <c r="F465" t="inlineStr">
        <is>
          <t>Прямые бронирования (стойка) [Чайковский]</t>
        </is>
      </c>
      <c r="G465" s="3">
        <f>ROUND(D465/(100-E465)*100,2)</f>
        <v/>
      </c>
      <c r="H465" s="3" t="n">
        <v>400</v>
      </c>
      <c r="I465" s="3">
        <f>ROUND(IF(ISNUMBER(AG465),AG465,G465)+H465,2)</f>
        <v/>
      </c>
      <c r="J465" s="2" t="inlineStr">
        <is>
          <t>продление номера — 400,00 ₽; Завтрак "Шведский стол"</t>
        </is>
      </c>
      <c r="K465" s="5" t="n">
        <v>46210.58333333334</v>
      </c>
      <c r="L465" t="n">
        <v>5</v>
      </c>
      <c r="M465" s="3">
        <f>I465/L465</f>
        <v/>
      </c>
      <c r="N465">
        <f>IF(M465&gt;=5100,"ставка","мин.ставка")</f>
        <v/>
      </c>
      <c r="O465" s="3">
        <f>ROUND(IF(N465="мин.ставка",L465*100,I465/102*2),2)</f>
        <v/>
      </c>
      <c r="P465" s="5" t="n">
        <v>46215.5</v>
      </c>
      <c r="Q465" t="inlineStr">
        <is>
          <t>TravelLine ресепшен</t>
        </is>
      </c>
      <c r="R465" s="2" t="inlineStr">
        <is>
          <t>СТАНДАРТНЫЙ ДВУХМЕСТНЫЙ НОМЕР</t>
        </is>
      </c>
      <c r="S465" t="n">
        <v>26</v>
      </c>
      <c r="T465" t="n">
        <v>1</v>
      </c>
      <c r="U465" t="inlineStr"/>
      <c r="V465" t="inlineStr">
        <is>
          <t>Тариф с завтраком</t>
        </is>
      </c>
      <c r="W465" t="n">
        <v>67150</v>
      </c>
      <c r="X465" s="3" t="n">
        <v>0</v>
      </c>
      <c r="Y465" t="inlineStr"/>
      <c r="Z465" t="inlineStr"/>
      <c r="AA465" s="3" t="n">
        <v>66750</v>
      </c>
      <c r="AB465" t="inlineStr">
        <is>
          <t>Сошлось с услугами</t>
        </is>
      </c>
      <c r="AC465" s="2" t="inlineStr"/>
      <c r="AD465" t="n">
        <v>0</v>
      </c>
      <c r="AE465" t="n">
        <v>0</v>
      </c>
      <c r="AF465" t="inlineStr">
        <is>
          <t>Скидки нет</t>
        </is>
      </c>
      <c r="AG465" t="n">
        <v>66750</v>
      </c>
      <c r="AH465" t="n">
        <v>66750</v>
      </c>
      <c r="AI465" t="inlineStr">
        <is>
          <t>Полное проживание в выбранном периоде</t>
        </is>
      </c>
    </row>
    <row r="466">
      <c r="A466" t="inlineStr">
        <is>
          <t>20260817-8186-459136649</t>
        </is>
      </c>
      <c r="B466" t="n">
        <v>1</v>
      </c>
      <c r="C466" s="2" t="inlineStr">
        <is>
          <t>МИХАИЛ ПРОНИН</t>
        </is>
      </c>
      <c r="D466" s="3" t="n">
        <v>23100</v>
      </c>
      <c r="E466" s="4" t="n">
        <v>0</v>
      </c>
      <c r="F466" t="inlineStr">
        <is>
          <t>Прямые бронирования (стойка) [Чайковский]</t>
        </is>
      </c>
      <c r="G466" s="3">
        <f>ROUND(D466/(100-E466)*100,2)</f>
        <v/>
      </c>
      <c r="H466" s="3" t="n">
        <v>0</v>
      </c>
      <c r="I466" s="3">
        <f>ROUND(IF(ISNUMBER(AG466),AG466,G466)+H466,2)</f>
        <v/>
      </c>
      <c r="J466" s="2" t="inlineStr">
        <is>
          <t>Завтрак "Шведский стол"</t>
        </is>
      </c>
      <c r="K466" s="5" t="n">
        <v>46251.58333333334</v>
      </c>
      <c r="L466" t="n">
        <v>3</v>
      </c>
      <c r="M466" s="3">
        <f>I466/L466</f>
        <v/>
      </c>
      <c r="N466">
        <f>IF(M466&gt;=5100,"ставка","мин.ставка")</f>
        <v/>
      </c>
      <c r="O466" s="3">
        <f>ROUND(IF(N466="мин.ставка",L466*100,I466/102*2),2)</f>
        <v/>
      </c>
      <c r="P466" s="5" t="n">
        <v>46254.5</v>
      </c>
      <c r="Q466" t="inlineStr">
        <is>
          <t>TravelLine ресепшен</t>
        </is>
      </c>
      <c r="R466" s="2" t="inlineStr">
        <is>
          <t>СТАНДАРТНЫЙ ОДНОМЕСТНЫЙ НОМЕР</t>
        </is>
      </c>
      <c r="S466" t="n">
        <v>34</v>
      </c>
      <c r="T466" t="n">
        <v>1</v>
      </c>
      <c r="U466" t="inlineStr"/>
      <c r="V466" t="inlineStr">
        <is>
          <t>Тариф с завтраком</t>
        </is>
      </c>
      <c r="W466" t="n">
        <v>23100</v>
      </c>
      <c r="X466" s="3" t="n">
        <v>0</v>
      </c>
      <c r="Y466" t="inlineStr"/>
      <c r="Z466" t="inlineStr"/>
      <c r="AA466" s="3" t="n">
        <v>23100</v>
      </c>
      <c r="AB466" t="inlineStr">
        <is>
          <t>Сошлось по ночным тарифам</t>
        </is>
      </c>
      <c r="AC466" s="2" t="inlineStr"/>
      <c r="AD466" t="n">
        <v>0</v>
      </c>
      <c r="AE466" t="n">
        <v>0</v>
      </c>
      <c r="AF466" t="inlineStr">
        <is>
          <t>Скидки нет</t>
        </is>
      </c>
      <c r="AG466" t="n">
        <v>23100</v>
      </c>
      <c r="AH466" t="n">
        <v>23100</v>
      </c>
      <c r="AI466" t="inlineStr">
        <is>
          <t>Полное проживание в выбранном периоде</t>
        </is>
      </c>
    </row>
    <row r="467">
      <c r="A467" t="inlineStr">
        <is>
          <t>20260803-8186-429997810</t>
        </is>
      </c>
      <c r="B467" t="n">
        <v>1</v>
      </c>
      <c r="C467" s="2" t="inlineStr">
        <is>
          <t>Михаил Селецкий, Анна Гордеева</t>
        </is>
      </c>
      <c r="D467" s="3" t="n">
        <v>39270</v>
      </c>
      <c r="E467" s="4" t="n">
        <v>16</v>
      </c>
      <c r="F467" t="inlineStr">
        <is>
          <t>ООО "БРОНИРОВАНИЕ ГОСТИНИЦ" (OSTROVOK) [Чайковский]</t>
        </is>
      </c>
      <c r="G467" s="3">
        <f>ROUND(D467/(100-E467)*100,2)</f>
        <v/>
      </c>
      <c r="H467" s="3" t="n">
        <v>0</v>
      </c>
      <c r="I467" s="3">
        <f>ROUND(IF(ISNUMBER(AG467),AG467,G467)+H467,2)</f>
        <v/>
      </c>
      <c r="J467" s="2" t="inlineStr">
        <is>
          <t>Завтрак "Шведский стол"</t>
        </is>
      </c>
      <c r="K467" s="5" t="n">
        <v>46237.58333333334</v>
      </c>
      <c r="L467" t="n">
        <v>3</v>
      </c>
      <c r="M467" s="3">
        <f>I467/L467</f>
        <v/>
      </c>
      <c r="N467">
        <f>IF(M467&gt;=5100,"ставка","мин.ставка")</f>
        <v/>
      </c>
      <c r="O467" s="3">
        <f>ROUND(IF(N467="мин.ставка",L467*100,I467/102*2),2)</f>
        <v/>
      </c>
      <c r="P467" s="5" t="n">
        <v>46240.5</v>
      </c>
      <c r="Q467" t="inlineStr">
        <is>
          <t>TravelLine OTK</t>
        </is>
      </c>
      <c r="R467" s="2" t="inlineStr">
        <is>
          <t>УЛУЧШЕННЫЙ ДВУХМЕСТНЫЙ НОМЕР</t>
        </is>
      </c>
      <c r="S467" t="n">
        <v>21</v>
      </c>
      <c r="T467" t="n">
        <v>1</v>
      </c>
      <c r="U467" t="inlineStr"/>
      <c r="V467" t="inlineStr">
        <is>
          <t>Тариф с завтраком</t>
        </is>
      </c>
      <c r="W467" t="n">
        <v>39270</v>
      </c>
      <c r="X467" s="3" t="n">
        <v>6930</v>
      </c>
      <c r="Y467" t="inlineStr">
        <is>
          <t>15%</t>
        </is>
      </c>
      <c r="Z467" t="inlineStr">
        <is>
          <t>2026-08-03, 2026-08-04, 2026-08-05</t>
        </is>
      </c>
      <c r="AA467" s="3" t="n">
        <v>39270</v>
      </c>
      <c r="AB467" t="inlineStr">
        <is>
          <t>Сошлось по ночным тарифам</t>
        </is>
      </c>
      <c r="AC467" s="2" t="inlineStr"/>
      <c r="AD467" t="n">
        <v>6930</v>
      </c>
      <c r="AE467" t="n">
        <v>0</v>
      </c>
      <c r="AF467" t="inlineStr">
        <is>
          <t>Скидка добавлена к налоговой базе</t>
        </is>
      </c>
      <c r="AG467" t="n">
        <v>46200</v>
      </c>
      <c r="AH467" t="n">
        <v>39270</v>
      </c>
      <c r="AI467" t="inlineStr">
        <is>
          <t>Полное проживание в выбранном периоде</t>
        </is>
      </c>
    </row>
    <row r="468">
      <c r="A468" t="inlineStr">
        <is>
          <t>20260626-8186-443934240</t>
        </is>
      </c>
      <c r="B468" t="n">
        <v>1</v>
      </c>
      <c r="C468" s="2" t="inlineStr">
        <is>
          <t>Михаил Семенов</t>
        </is>
      </c>
      <c r="D468" s="3" t="n">
        <v>80100</v>
      </c>
      <c r="E468" s="4" t="n">
        <v>4</v>
      </c>
      <c r="F468" t="inlineStr">
        <is>
          <t>TravelLine Booking Engine [Чайковский]</t>
        </is>
      </c>
      <c r="G468" s="3">
        <f>ROUND(D468/(100-E468)*100,2)</f>
        <v/>
      </c>
      <c r="H468" s="3" t="n">
        <v>0</v>
      </c>
      <c r="I468" s="3">
        <f>ROUND(IF(ISNUMBER(AG468),AG468,G468)+H468,2)</f>
        <v/>
      </c>
      <c r="J468" s="2" t="inlineStr"/>
      <c r="K468" s="5" t="n">
        <v>46201.58333333334</v>
      </c>
      <c r="L468" t="n">
        <v>3</v>
      </c>
      <c r="M468" s="3">
        <f>I468/L468</f>
        <v/>
      </c>
      <c r="N468">
        <f>IF(M468&gt;=5100,"ставка","мин.ставка")</f>
        <v/>
      </c>
      <c r="O468" s="3">
        <f>ROUND(IF(N468="мин.ставка",L468*100,I468/102*2),2)</f>
        <v/>
      </c>
      <c r="P468" s="5" t="n">
        <v>46207.5</v>
      </c>
      <c r="Q468" t="inlineStr">
        <is>
          <t>TravelLine сайт</t>
        </is>
      </c>
      <c r="R468" s="2" t="inlineStr">
        <is>
          <t>УЛУЧШЕННЫЙ ДВУХМЕСТНЫЙ НОМЕР</t>
        </is>
      </c>
      <c r="S468" t="n">
        <v>21</v>
      </c>
      <c r="T468" t="n">
        <v>1</v>
      </c>
      <c r="U468" t="inlineStr"/>
      <c r="V468" t="inlineStr">
        <is>
          <t>Тариф с завтраком</t>
        </is>
      </c>
      <c r="W468" t="n">
        <v>114049.75</v>
      </c>
      <c r="X468" s="3" t="n">
        <v>0</v>
      </c>
      <c r="Y468" t="inlineStr"/>
      <c r="Z468" t="inlineStr"/>
      <c r="AA468" s="3" t="n">
        <v>80100</v>
      </c>
      <c r="AB468" t="inlineStr">
        <is>
          <t>Сошлось по ночным тарифам</t>
        </is>
      </c>
      <c r="AC468" s="2" t="inlineStr"/>
      <c r="AD468" t="n">
        <v>0</v>
      </c>
      <c r="AE468" t="n">
        <v>0</v>
      </c>
      <c r="AF468" t="inlineStr">
        <is>
          <t>Скидки нет</t>
        </is>
      </c>
      <c r="AG468" t="n">
        <v>40050</v>
      </c>
      <c r="AH468" t="n">
        <v>40050</v>
      </c>
      <c r="AI468" t="inlineStr">
        <is>
          <t>Частичное проживание распределено по dailyRates</t>
        </is>
      </c>
    </row>
    <row r="469">
      <c r="A469" t="inlineStr">
        <is>
          <t>20260924-8186-447704409</t>
        </is>
      </c>
      <c r="B469" t="n">
        <v>1</v>
      </c>
      <c r="C469" s="2" t="inlineStr">
        <is>
          <t>Михаил Терехов, Алена Терехова</t>
        </is>
      </c>
      <c r="D469" s="3" t="n">
        <v>23760</v>
      </c>
      <c r="E469" s="4" t="n">
        <v>18</v>
      </c>
      <c r="F469" t="inlineStr">
        <is>
          <t>Яндекс.Путешествия [Чайковский]</t>
        </is>
      </c>
      <c r="G469" s="3">
        <f>ROUND(D469/(100-E469)*100,2)</f>
        <v/>
      </c>
      <c r="H469" s="3" t="n">
        <v>0</v>
      </c>
      <c r="I469" s="3">
        <f>ROUND(IF(ISNUMBER(AG469),AG469,G469)+H469,2)</f>
        <v/>
      </c>
      <c r="J469" s="2" t="inlineStr">
        <is>
          <t>Завтрак "Шведский стол"</t>
        </is>
      </c>
      <c r="K469" s="5" t="n">
        <v>46289.58333333334</v>
      </c>
      <c r="L469" t="n">
        <v>3</v>
      </c>
      <c r="M469" s="3">
        <f>I469/L469</f>
        <v/>
      </c>
      <c r="N469">
        <f>IF(M469&gt;=5100,"ставка","мин.ставка")</f>
        <v/>
      </c>
      <c r="O469" s="3">
        <f>ROUND(IF(N469="мин.ставка",L469*100,I469/102*2),2)</f>
        <v/>
      </c>
      <c r="P469" s="5" t="n">
        <v>46292.5</v>
      </c>
      <c r="Q469" t="inlineStr">
        <is>
          <t>TravelLine YAX</t>
        </is>
      </c>
      <c r="R469" s="2" t="inlineStr">
        <is>
          <t>СТАНДАРТНЫЙ ДВУХМЕСТНЫЙ НОМЕР (МАНСАРДА)</t>
        </is>
      </c>
      <c r="S469" t="n">
        <v>43</v>
      </c>
      <c r="T469" t="n">
        <v>1</v>
      </c>
      <c r="U469" t="inlineStr"/>
      <c r="V469" t="inlineStr">
        <is>
          <t>Тариф с завтраком</t>
        </is>
      </c>
      <c r="W469" t="n">
        <v>23760</v>
      </c>
      <c r="X469" s="3" t="n">
        <v>5940</v>
      </c>
      <c r="Y469" t="inlineStr">
        <is>
          <t>20%</t>
        </is>
      </c>
      <c r="Z469" t="inlineStr">
        <is>
          <t>2026-09-24, 2026-09-25, 2026-09-26</t>
        </is>
      </c>
      <c r="AA469" s="3" t="n">
        <v>23760</v>
      </c>
      <c r="AB469" t="inlineStr">
        <is>
          <t>Сошлось по ночным тарифам</t>
        </is>
      </c>
      <c r="AC469" s="2" t="inlineStr"/>
      <c r="AD469" t="n">
        <v>5940</v>
      </c>
      <c r="AE469" t="n">
        <v>0</v>
      </c>
      <c r="AF469" t="inlineStr">
        <is>
          <t>Скидка добавлена к налоговой базе</t>
        </is>
      </c>
      <c r="AG469" t="n">
        <v>29700</v>
      </c>
      <c r="AH469" t="n">
        <v>23760</v>
      </c>
      <c r="AI469" t="inlineStr">
        <is>
          <t>Полное проживание в выбранном периоде</t>
        </is>
      </c>
    </row>
    <row r="470">
      <c r="A470" t="inlineStr">
        <is>
          <t>20260720-8186-410208436</t>
        </is>
      </c>
      <c r="B470" t="n">
        <v>1</v>
      </c>
      <c r="C470" s="2" t="inlineStr">
        <is>
          <t>Михаил Чистяков, Алексей Чистяков</t>
        </is>
      </c>
      <c r="D470" s="3" t="n">
        <v>56826</v>
      </c>
      <c r="E470" s="4" t="n">
        <v>18</v>
      </c>
      <c r="F470" t="inlineStr">
        <is>
          <t>Яндекс.Путешествия [Чайковский]</t>
        </is>
      </c>
      <c r="G470" s="3">
        <f>ROUND(D470/(100-E470)*100,2)</f>
        <v/>
      </c>
      <c r="H470" s="3" t="n">
        <v>0</v>
      </c>
      <c r="I470" s="3">
        <f>ROUND(IF(ISNUMBER(AG470),AG470,G470)+H470,2)</f>
        <v/>
      </c>
      <c r="J470" s="2" t="inlineStr">
        <is>
          <t>Завтрак "Шведский стол"</t>
        </is>
      </c>
      <c r="K470" s="5" t="n">
        <v>46223.58333333334</v>
      </c>
      <c r="L470" t="n">
        <v>7</v>
      </c>
      <c r="M470" s="3">
        <f>I470/L470</f>
        <v/>
      </c>
      <c r="N470">
        <f>IF(M470&gt;=5100,"ставка","мин.ставка")</f>
        <v/>
      </c>
      <c r="O470" s="3">
        <f>ROUND(IF(N470="мин.ставка",L470*100,I470/102*2),2)</f>
        <v/>
      </c>
      <c r="P470" s="5" t="n">
        <v>46230.5</v>
      </c>
      <c r="Q470" t="inlineStr">
        <is>
          <t>TravelLine YAX</t>
        </is>
      </c>
      <c r="R470" s="2" t="inlineStr">
        <is>
          <t>СТАНДАРТНЫЙ ДВУХМЕСТНЫЙ НОМЕР (МАНСАРДА)</t>
        </is>
      </c>
      <c r="S470" t="n">
        <v>45</v>
      </c>
      <c r="T470" t="n">
        <v>1</v>
      </c>
      <c r="U470" t="inlineStr"/>
      <c r="V470" t="inlineStr">
        <is>
          <t>Тариф с завтраком</t>
        </is>
      </c>
      <c r="W470" t="n">
        <v>113652</v>
      </c>
      <c r="X470" s="3" t="n">
        <v>12474</v>
      </c>
      <c r="Y470" t="inlineStr">
        <is>
          <t>18%</t>
        </is>
      </c>
      <c r="Z470" t="inlineStr">
        <is>
          <t>2026-07-20, 2026-07-21, 2026-07-22, 2026-07-23, 2026-07-24, 2026-07-25, 2026-07-26</t>
        </is>
      </c>
      <c r="AA470" s="3" t="n">
        <v>56826</v>
      </c>
      <c r="AB470" t="inlineStr">
        <is>
          <t>Сошлось по ночным тарифам</t>
        </is>
      </c>
      <c r="AC470" s="2" t="inlineStr"/>
      <c r="AD470" t="n">
        <v>12474</v>
      </c>
      <c r="AE470" t="n">
        <v>0</v>
      </c>
      <c r="AF470" t="inlineStr">
        <is>
          <t>Скидка добавлена к налоговой базе</t>
        </is>
      </c>
      <c r="AG470" t="n">
        <v>69300</v>
      </c>
      <c r="AH470" t="n">
        <v>56826</v>
      </c>
      <c r="AI470" t="inlineStr">
        <is>
          <t>Полное проживание в выбранном периоде</t>
        </is>
      </c>
    </row>
    <row r="471">
      <c r="A471" t="inlineStr">
        <is>
          <t>20260730-8186-437645974</t>
        </is>
      </c>
      <c r="B471" t="n">
        <v>1</v>
      </c>
      <c r="C471" s="2" t="inlineStr">
        <is>
          <t>Надежда Великанова</t>
        </is>
      </c>
      <c r="D471" s="3" t="n">
        <v>13149.75</v>
      </c>
      <c r="E471" s="4" t="n">
        <v>4</v>
      </c>
      <c r="F471" t="inlineStr">
        <is>
          <t>TravelLine Booking Engine [Чайковский]</t>
        </is>
      </c>
      <c r="G471" s="3">
        <f>ROUND(D471/(100-E471)*100,2)</f>
        <v/>
      </c>
      <c r="H471" s="3" t="n">
        <v>0</v>
      </c>
      <c r="I471" s="3">
        <f>ROUND(IF(ISNUMBER(AG471),AG471,G471)+H471,2)</f>
        <v/>
      </c>
      <c r="J471" s="2" t="inlineStr">
        <is>
          <t>Завтрак "Шведский стол"</t>
        </is>
      </c>
      <c r="K471" s="5" t="n">
        <v>46233.58333333334</v>
      </c>
      <c r="L471" t="n">
        <v>1</v>
      </c>
      <c r="M471" s="3">
        <f>I471/L471</f>
        <v/>
      </c>
      <c r="N471">
        <f>IF(M471&gt;=5100,"ставка","мин.ставка")</f>
        <v/>
      </c>
      <c r="O471" s="3">
        <f>ROUND(IF(N471="мин.ставка",L471*100,I471/102*2),2)</f>
        <v/>
      </c>
      <c r="P471" s="5" t="n">
        <v>46234.5</v>
      </c>
      <c r="Q471" t="inlineStr">
        <is>
          <t>TravelLine сайт</t>
        </is>
      </c>
      <c r="R471" s="2" t="inlineStr">
        <is>
          <t>СТАНДАРТНЫЙ ДВУХМЕСТНЫЙ НОМЕР</t>
        </is>
      </c>
      <c r="S471" t="n">
        <v>23</v>
      </c>
      <c r="T471" t="n">
        <v>1</v>
      </c>
      <c r="U471" t="inlineStr"/>
      <c r="V471" t="inlineStr">
        <is>
          <t>Тариф с завтраком</t>
        </is>
      </c>
      <c r="W471" t="n">
        <v>13149.75</v>
      </c>
      <c r="X471" s="3" t="n">
        <v>200.25</v>
      </c>
      <c r="Y471" t="inlineStr">
        <is>
          <t>1.5%</t>
        </is>
      </c>
      <c r="Z471" t="inlineStr">
        <is>
          <t>2026-07-30</t>
        </is>
      </c>
      <c r="AA471" s="3" t="n">
        <v>13149.75</v>
      </c>
      <c r="AB471" t="inlineStr">
        <is>
          <t>Сошлось по ночным тарифам</t>
        </is>
      </c>
      <c r="AC471" s="2" t="inlineStr"/>
      <c r="AD471" t="n">
        <v>200.25</v>
      </c>
      <c r="AE471" t="n">
        <v>0</v>
      </c>
      <c r="AF471" t="inlineStr">
        <is>
          <t>Скидка добавлена к налоговой базе</t>
        </is>
      </c>
      <c r="AG471" t="n">
        <v>13350</v>
      </c>
      <c r="AH471" t="n">
        <v>13149.75</v>
      </c>
      <c r="AI471" t="inlineStr">
        <is>
          <t>Полное проживание в выбранном периоде</t>
        </is>
      </c>
    </row>
    <row r="472">
      <c r="A472" t="inlineStr">
        <is>
          <t>20260805-8186-436895950</t>
        </is>
      </c>
      <c r="B472" t="n">
        <v>1</v>
      </c>
      <c r="C472" s="2" t="inlineStr">
        <is>
          <t>НАДЕЖДА ЛЕВЕНКОВА, Мария Гущина</t>
        </is>
      </c>
      <c r="D472" s="3" t="n">
        <v>19651.5</v>
      </c>
      <c r="E472" s="4" t="n">
        <v>4</v>
      </c>
      <c r="F472" t="inlineStr">
        <is>
          <t>TravelLine Booking Engine [Чайковский]</t>
        </is>
      </c>
      <c r="G472" s="3">
        <f>ROUND(D472/(100-E472)*100,2)</f>
        <v/>
      </c>
      <c r="H472" s="3" t="n">
        <v>0</v>
      </c>
      <c r="I472" s="3">
        <f>ROUND(IF(ISNUMBER(AG472),AG472,G472)+H472,2)</f>
        <v/>
      </c>
      <c r="J472" s="2" t="inlineStr">
        <is>
          <t>Завтрак "Шведский стол"</t>
        </is>
      </c>
      <c r="K472" s="5" t="n">
        <v>46239.58333333334</v>
      </c>
      <c r="L472" t="n">
        <v>2</v>
      </c>
      <c r="M472" s="3">
        <f>I472/L472</f>
        <v/>
      </c>
      <c r="N472">
        <f>IF(M472&gt;=5100,"ставка","мин.ставка")</f>
        <v/>
      </c>
      <c r="O472" s="3">
        <f>ROUND(IF(N472="мин.ставка",L472*100,I472/102*2),2)</f>
        <v/>
      </c>
      <c r="P472" s="5" t="n">
        <v>46241.5</v>
      </c>
      <c r="Q472" t="inlineStr">
        <is>
          <t>TravelLine сайт</t>
        </is>
      </c>
      <c r="R472" s="2" t="inlineStr">
        <is>
          <t>СТАНДАРТНЫЙ ДВУХМЕСТНЫЙ НОМЕР (МАНСАРДА)</t>
        </is>
      </c>
      <c r="S472" t="n">
        <v>47</v>
      </c>
      <c r="T472" t="n">
        <v>1</v>
      </c>
      <c r="U472" t="inlineStr"/>
      <c r="V472" t="inlineStr">
        <is>
          <t>Тариф с завтраком</t>
        </is>
      </c>
      <c r="W472" t="n">
        <v>19651.5</v>
      </c>
      <c r="X472" s="3" t="n">
        <v>148.5</v>
      </c>
      <c r="Y472" t="inlineStr">
        <is>
          <t>1.5%</t>
        </is>
      </c>
      <c r="Z472" t="inlineStr">
        <is>
          <t>2026-08-05</t>
        </is>
      </c>
      <c r="AA472" s="3" t="n">
        <v>19651.5</v>
      </c>
      <c r="AB472" t="inlineStr">
        <is>
          <t>Сошлось по ночным тарифам</t>
        </is>
      </c>
      <c r="AC472" s="2" t="inlineStr"/>
      <c r="AD472" t="n">
        <v>148.5</v>
      </c>
      <c r="AE472" t="n">
        <v>0</v>
      </c>
      <c r="AF472" t="inlineStr">
        <is>
          <t>Скидка добавлена к налоговой базе</t>
        </is>
      </c>
      <c r="AG472" t="n">
        <v>19800</v>
      </c>
      <c r="AH472" t="n">
        <v>19651.5</v>
      </c>
      <c r="AI472" t="inlineStr">
        <is>
          <t>Полное проживание в выбранном периоде</t>
        </is>
      </c>
    </row>
    <row r="473">
      <c r="A473" t="inlineStr">
        <is>
          <t>20260822-8186-425651545</t>
        </is>
      </c>
      <c r="B473" t="n">
        <v>1</v>
      </c>
      <c r="C473" s="2" t="inlineStr">
        <is>
          <t>Надежда Шведова, Даниил Шведов</t>
        </is>
      </c>
      <c r="D473" s="3" t="n">
        <v>60876</v>
      </c>
      <c r="E473" s="4" t="n">
        <v>18</v>
      </c>
      <c r="F473" t="inlineStr">
        <is>
          <t>Яндекс.Путешествия [Чайковский]</t>
        </is>
      </c>
      <c r="G473" s="3">
        <f>ROUND(D473/(100-E473)*100,2)</f>
        <v/>
      </c>
      <c r="H473" s="3" t="n">
        <v>300</v>
      </c>
      <c r="I473" s="3">
        <f>ROUND(IF(ISNUMBER(AG473),AG473,G473)+H473,2)</f>
        <v/>
      </c>
      <c r="J473" s="2" t="inlineStr">
        <is>
          <t>продление номера — 300,00 ₽; Завтрак "Шведский стол"</t>
        </is>
      </c>
      <c r="K473" s="5" t="n">
        <v>46256.58333333334</v>
      </c>
      <c r="L473" t="n">
        <v>6</v>
      </c>
      <c r="M473" s="3">
        <f>I473/L473</f>
        <v/>
      </c>
      <c r="N473">
        <f>IF(M473&gt;=5100,"ставка","мин.ставка")</f>
        <v/>
      </c>
      <c r="O473" s="3">
        <f>ROUND(IF(N473="мин.ставка",L473*100,I473/102*2),2)</f>
        <v/>
      </c>
      <c r="P473" s="5" t="n">
        <v>46262.5</v>
      </c>
      <c r="Q473" t="inlineStr">
        <is>
          <t>TravelLine YAX</t>
        </is>
      </c>
      <c r="R473" s="2" t="inlineStr">
        <is>
          <t>СТАНДАРТНЫЙ ДВУХМЕСТНЫЙ НОМЕР</t>
        </is>
      </c>
      <c r="S473" t="n">
        <v>26</v>
      </c>
      <c r="T473" t="n">
        <v>1</v>
      </c>
      <c r="U473" t="inlineStr"/>
      <c r="V473" t="inlineStr">
        <is>
          <t>Тариф с завтраком</t>
        </is>
      </c>
      <c r="W473" t="n">
        <v>182928</v>
      </c>
      <c r="X473" s="3" t="n">
        <v>15219</v>
      </c>
      <c r="Y473" t="inlineStr">
        <is>
          <t>20%</t>
        </is>
      </c>
      <c r="Z473" t="inlineStr">
        <is>
          <t>2026-08-22, 2026-08-23, 2026-08-24, 2026-08-25, 2026-08-26, 2026-08-27</t>
        </is>
      </c>
      <c r="AA473" s="3" t="n">
        <v>60876</v>
      </c>
      <c r="AB473" t="inlineStr">
        <is>
          <t>Сошлось с услугами</t>
        </is>
      </c>
      <c r="AC473" s="2" t="inlineStr"/>
      <c r="AD473" t="n">
        <v>15219</v>
      </c>
      <c r="AE473" t="n">
        <v>0</v>
      </c>
      <c r="AF473" t="inlineStr">
        <is>
          <t>Скидка добавлена к налоговой базе</t>
        </is>
      </c>
      <c r="AG473" t="n">
        <v>76095</v>
      </c>
      <c r="AH473" t="n">
        <v>60876</v>
      </c>
      <c r="AI473" t="inlineStr">
        <is>
          <t>Полное проживание в выбранном периоде</t>
        </is>
      </c>
    </row>
    <row r="474">
      <c r="A474" t="inlineStr">
        <is>
          <t>20260813-8186-450552757</t>
        </is>
      </c>
      <c r="B474" t="n">
        <v>1</v>
      </c>
      <c r="C474" s="2" t="inlineStr">
        <is>
          <t>Надежда Шевырина, Владимир Юмашев</t>
        </is>
      </c>
      <c r="D474" s="3" t="n">
        <v>40584</v>
      </c>
      <c r="E474" s="4" t="n">
        <v>18</v>
      </c>
      <c r="F474" t="inlineStr">
        <is>
          <t>Яндекс.Путешествия [Чайковский]</t>
        </is>
      </c>
      <c r="G474" s="3">
        <f>ROUND(D474/(100-E474)*100,2)</f>
        <v/>
      </c>
      <c r="H474" s="3" t="n">
        <v>0</v>
      </c>
      <c r="I474" s="3">
        <f>ROUND(IF(ISNUMBER(AG474),AG474,G474)+H474,2)</f>
        <v/>
      </c>
      <c r="J474" s="2" t="inlineStr">
        <is>
          <t>Завтрак "Шведский стол"</t>
        </is>
      </c>
      <c r="K474" s="5" t="n">
        <v>46247.58333333334</v>
      </c>
      <c r="L474" t="n">
        <v>4</v>
      </c>
      <c r="M474" s="3">
        <f>I474/L474</f>
        <v/>
      </c>
      <c r="N474">
        <f>IF(M474&gt;=5100,"ставка","мин.ставка")</f>
        <v/>
      </c>
      <c r="O474" s="3">
        <f>ROUND(IF(N474="мин.ставка",L474*100,I474/102*2),2)</f>
        <v/>
      </c>
      <c r="P474" s="5" t="n">
        <v>46251.5</v>
      </c>
      <c r="Q474" t="inlineStr">
        <is>
          <t>TravelLine YAX</t>
        </is>
      </c>
      <c r="R474" s="2" t="inlineStr">
        <is>
          <t>СТАНДАРТНЫЙ ДВУХМЕСТНЫЙ НОМЕР</t>
        </is>
      </c>
      <c r="S474" t="n">
        <v>33</v>
      </c>
      <c r="T474" t="n">
        <v>1</v>
      </c>
      <c r="U474" t="inlineStr"/>
      <c r="V474" t="inlineStr">
        <is>
          <t>Тариф с завтраком</t>
        </is>
      </c>
      <c r="W474" t="n">
        <v>40584</v>
      </c>
      <c r="X474" s="3" t="n">
        <v>10146</v>
      </c>
      <c r="Y474" t="inlineStr">
        <is>
          <t>20%</t>
        </is>
      </c>
      <c r="Z474" t="inlineStr">
        <is>
          <t>2026-08-13, 2026-08-14, 2026-08-15, 2026-08-16</t>
        </is>
      </c>
      <c r="AA474" s="3" t="n">
        <v>40584</v>
      </c>
      <c r="AB474" t="inlineStr">
        <is>
          <t>Сошлось по ночным тарифам</t>
        </is>
      </c>
      <c r="AC474" s="2" t="inlineStr"/>
      <c r="AD474" t="n">
        <v>10146</v>
      </c>
      <c r="AE474" t="n">
        <v>0</v>
      </c>
      <c r="AF474" t="inlineStr">
        <is>
          <t>Скидка добавлена к налоговой базе</t>
        </is>
      </c>
      <c r="AG474" t="n">
        <v>50730</v>
      </c>
      <c r="AH474" t="n">
        <v>40584</v>
      </c>
      <c r="AI474" t="inlineStr">
        <is>
          <t>Полное проживание в выбранном периоде</t>
        </is>
      </c>
    </row>
    <row r="475">
      <c r="A475" t="inlineStr">
        <is>
          <t>20260826-8186-447063291</t>
        </is>
      </c>
      <c r="B475" t="n">
        <v>1</v>
      </c>
      <c r="C475" s="2" t="inlineStr">
        <is>
          <t>Наталия Золотарева</t>
        </is>
      </c>
      <c r="D475" s="3" t="n">
        <v>18960</v>
      </c>
      <c r="E475" s="4" t="n">
        <v>20</v>
      </c>
      <c r="F475" t="inlineStr">
        <is>
          <t>ООО "КОМПАНИЯ БРОНЕВИК" [Чайковский]</t>
        </is>
      </c>
      <c r="G475" s="3">
        <f>ROUND(D475/(100-E475)*100,2)</f>
        <v/>
      </c>
      <c r="H475" s="3" t="n">
        <v>0</v>
      </c>
      <c r="I475" s="3">
        <f>ROUND(IF(ISNUMBER(AG475),AG475,G475)+H475,2)</f>
        <v/>
      </c>
      <c r="J475" s="2" t="inlineStr">
        <is>
          <t>Завтрак "Шведский стол"</t>
        </is>
      </c>
      <c r="K475" s="5" t="n">
        <v>46260.58333333334</v>
      </c>
      <c r="L475" t="n">
        <v>3</v>
      </c>
      <c r="M475" s="3">
        <f>I475/L475</f>
        <v/>
      </c>
      <c r="N475">
        <f>IF(M475&gt;=5100,"ставка","мин.ставка")</f>
        <v/>
      </c>
      <c r="O475" s="3">
        <f>ROUND(IF(N475="мин.ставка",L475*100,I475/102*2),2)</f>
        <v/>
      </c>
      <c r="P475" s="5" t="n">
        <v>46263.5</v>
      </c>
      <c r="Q475" t="inlineStr">
        <is>
          <t>TravelLine BR2</t>
        </is>
      </c>
      <c r="R475" s="2" t="inlineStr">
        <is>
          <t>СТАНДАРТНЫЙ ДВУХМЕСТНЫЙ НОМЕР (МАНСАРДА)</t>
        </is>
      </c>
      <c r="S475" t="n">
        <v>41</v>
      </c>
      <c r="T475" t="n">
        <v>1</v>
      </c>
      <c r="U475" t="inlineStr"/>
      <c r="V475" t="inlineStr">
        <is>
          <t>Тариф с завтраком</t>
        </is>
      </c>
      <c r="W475" t="n">
        <v>18960</v>
      </c>
      <c r="X475" s="3" t="n">
        <v>0</v>
      </c>
      <c r="Y475" t="inlineStr"/>
      <c r="Z475" t="inlineStr"/>
      <c r="AA475" s="3" t="n">
        <v>18960</v>
      </c>
      <c r="AB475" t="inlineStr">
        <is>
          <t>Сошлось по ночным тарифам</t>
        </is>
      </c>
      <c r="AC475" s="2" t="inlineStr"/>
      <c r="AD475" t="n">
        <v>0</v>
      </c>
      <c r="AE475" t="n">
        <v>0</v>
      </c>
      <c r="AF475" t="inlineStr">
        <is>
          <t>Скидки нет</t>
        </is>
      </c>
      <c r="AG475" t="n">
        <v>18960</v>
      </c>
      <c r="AH475" t="n">
        <v>18960</v>
      </c>
      <c r="AI475" t="inlineStr">
        <is>
          <t>Полное проживание в выбранном периоде</t>
        </is>
      </c>
    </row>
    <row r="476">
      <c r="A476" t="inlineStr">
        <is>
          <t>20260908-8186-464310952</t>
        </is>
      </c>
      <c r="B476" t="n">
        <v>1</v>
      </c>
      <c r="C476" s="2" t="inlineStr">
        <is>
          <t>Наталия Купцова</t>
        </is>
      </c>
      <c r="D476" s="3" t="n">
        <v>19908</v>
      </c>
      <c r="E476" s="4" t="n">
        <v>16</v>
      </c>
      <c r="F476" t="inlineStr">
        <is>
          <t>ООО "БРОНИРОВАНИЕ ГОСТИНИЦ" (OSTROVOK) [Чайковский]</t>
        </is>
      </c>
      <c r="G476" s="3">
        <f>ROUND(D476/(100-E476)*100,2)</f>
        <v/>
      </c>
      <c r="H476" s="3" t="n">
        <v>0</v>
      </c>
      <c r="I476" s="3">
        <f>ROUND(IF(ISNUMBER(AG476),AG476,G476)+H476,2)</f>
        <v/>
      </c>
      <c r="J476" s="2" t="inlineStr">
        <is>
          <t>Завтрак "Шведский стол"</t>
        </is>
      </c>
      <c r="K476" s="5" t="n">
        <v>46273.58333333334</v>
      </c>
      <c r="L476" t="n">
        <v>3</v>
      </c>
      <c r="M476" s="3">
        <f>I476/L476</f>
        <v/>
      </c>
      <c r="N476">
        <f>IF(M476&gt;=5100,"ставка","мин.ставка")</f>
        <v/>
      </c>
      <c r="O476" s="3">
        <f>ROUND(IF(N476="мин.ставка",L476*100,I476/102*2),2)</f>
        <v/>
      </c>
      <c r="P476" s="5" t="n">
        <v>46276.5</v>
      </c>
      <c r="Q476" t="inlineStr">
        <is>
          <t>TravelLine OTK</t>
        </is>
      </c>
      <c r="R476" s="2" t="inlineStr">
        <is>
          <t>СТАНДАРТНЫЙ ДВУХМЕСТНЫЙ НОМЕР (МАНСАРДА)</t>
        </is>
      </c>
      <c r="S476" t="n">
        <v>45</v>
      </c>
      <c r="T476" t="n">
        <v>1</v>
      </c>
      <c r="U476" t="inlineStr"/>
      <c r="V476" t="inlineStr">
        <is>
          <t>Тариф с завтраком</t>
        </is>
      </c>
      <c r="W476" t="n">
        <v>19908</v>
      </c>
      <c r="X476" s="3" t="n">
        <v>3792</v>
      </c>
      <c r="Y476" t="inlineStr">
        <is>
          <t>16%</t>
        </is>
      </c>
      <c r="Z476" t="inlineStr">
        <is>
          <t>2026-09-08, 2026-09-09, 2026-09-10</t>
        </is>
      </c>
      <c r="AA476" s="3" t="n">
        <v>19908</v>
      </c>
      <c r="AB476" t="inlineStr">
        <is>
          <t>Сошлось по ночным тарифам</t>
        </is>
      </c>
      <c r="AC476" s="2" t="inlineStr"/>
      <c r="AD476" t="n">
        <v>3792</v>
      </c>
      <c r="AE476" t="n">
        <v>0</v>
      </c>
      <c r="AF476" t="inlineStr">
        <is>
          <t>Скидка добавлена к налоговой базе</t>
        </is>
      </c>
      <c r="AG476" t="n">
        <v>23700</v>
      </c>
      <c r="AH476" t="n">
        <v>19908</v>
      </c>
      <c r="AI476" t="inlineStr">
        <is>
          <t>Полное проживание в выбранном периоде</t>
        </is>
      </c>
    </row>
    <row r="477">
      <c r="A477" t="inlineStr">
        <is>
          <t>20260809-8186-451680118</t>
        </is>
      </c>
      <c r="B477" t="n">
        <v>1</v>
      </c>
      <c r="C477" s="2" t="inlineStr">
        <is>
          <t>НАТАЛИЯ СЛОБОДЯНЮК, ЕЛЕНА БЕЛОВА</t>
        </is>
      </c>
      <c r="D477" s="3" t="n">
        <v>48060</v>
      </c>
      <c r="E477" s="4" t="n">
        <v>0</v>
      </c>
      <c r="F477" t="inlineStr">
        <is>
          <t>Прямые бронирования (стойка) [Чайковский]</t>
        </is>
      </c>
      <c r="G477" s="3">
        <f>ROUND(D477/(100-E477)*100,2)</f>
        <v/>
      </c>
      <c r="H477" s="3" t="n">
        <v>0</v>
      </c>
      <c r="I477" s="3">
        <f>ROUND(IF(ISNUMBER(AG477),AG477,G477)+H477,2)</f>
        <v/>
      </c>
      <c r="J477" s="2" t="inlineStr">
        <is>
          <t>Завтрак "Шведский стол"</t>
        </is>
      </c>
      <c r="K477" s="5" t="n">
        <v>46243.58333333334</v>
      </c>
      <c r="L477" t="n">
        <v>4</v>
      </c>
      <c r="M477" s="3">
        <f>I477/L477</f>
        <v/>
      </c>
      <c r="N477">
        <f>IF(M477&gt;=5100,"ставка","мин.ставка")</f>
        <v/>
      </c>
      <c r="O477" s="3">
        <f>ROUND(IF(N477="мин.ставка",L477*100,I477/102*2),2)</f>
        <v/>
      </c>
      <c r="P477" s="5" t="n">
        <v>46247.5</v>
      </c>
      <c r="Q477" t="inlineStr">
        <is>
          <t>TravelLine ресепшен</t>
        </is>
      </c>
      <c r="R477" s="2" t="inlineStr">
        <is>
          <t>СТАНДАРТНЫЙ ДВУХМЕСТНЫЙ НОМЕР</t>
        </is>
      </c>
      <c r="S477" t="n">
        <v>33</v>
      </c>
      <c r="T477" t="n">
        <v>1</v>
      </c>
      <c r="U477" t="inlineStr"/>
      <c r="V477" t="inlineStr">
        <is>
          <t>Тариф с завтраком</t>
        </is>
      </c>
      <c r="W477" t="n">
        <v>48060</v>
      </c>
      <c r="X477" s="3" t="n">
        <v>5340</v>
      </c>
      <c r="Y477" t="inlineStr">
        <is>
          <t>10%</t>
        </is>
      </c>
      <c r="Z477" t="inlineStr">
        <is>
          <t>2026-08-09, 2026-08-10, 2026-08-11, 2026-08-12</t>
        </is>
      </c>
      <c r="AA477" s="3" t="n">
        <v>48060</v>
      </c>
      <c r="AB477" t="inlineStr">
        <is>
          <t>Сошлось по ночным тарифам</t>
        </is>
      </c>
      <c r="AC477" s="2" t="inlineStr"/>
      <c r="AD477" t="n">
        <v>5340</v>
      </c>
      <c r="AE477" t="n">
        <v>0</v>
      </c>
      <c r="AF477" t="inlineStr">
        <is>
          <t>Скидка добавлена к налоговой базе</t>
        </is>
      </c>
      <c r="AG477" t="n">
        <v>53400</v>
      </c>
      <c r="AH477" t="n">
        <v>48060</v>
      </c>
      <c r="AI477" t="inlineStr">
        <is>
          <t>Полное проживание в выбранном периоде</t>
        </is>
      </c>
    </row>
    <row r="478">
      <c r="A478" t="inlineStr">
        <is>
          <t>20260915-8186-456399111</t>
        </is>
      </c>
      <c r="B478" t="n">
        <v>1</v>
      </c>
      <c r="C478" s="2" t="inlineStr">
        <is>
          <t>Наталия Титова</t>
        </is>
      </c>
      <c r="D478" s="3" t="n">
        <v>22700</v>
      </c>
      <c r="E478" s="4" t="n">
        <v>0</v>
      </c>
      <c r="F478" t="inlineStr">
        <is>
          <t>Прямые бронирования (стойка) [Чайковский]</t>
        </is>
      </c>
      <c r="G478" s="3">
        <f>ROUND(D478/(100-E478)*100,2)</f>
        <v/>
      </c>
      <c r="H478" s="3" t="n">
        <v>0</v>
      </c>
      <c r="I478" s="3">
        <f>ROUND(IF(ISNUMBER(AG478),AG478,G478)+H478,2)</f>
        <v/>
      </c>
      <c r="J478" s="2" t="inlineStr">
        <is>
          <t>Завтрак "Шведский стол"</t>
        </is>
      </c>
      <c r="K478" s="5" t="n">
        <v>46280.58333333334</v>
      </c>
      <c r="L478" t="n">
        <v>2</v>
      </c>
      <c r="M478" s="3">
        <f>I478/L478</f>
        <v/>
      </c>
      <c r="N478">
        <f>IF(M478&gt;=5100,"ставка","мин.ставка")</f>
        <v/>
      </c>
      <c r="O478" s="3">
        <f>ROUND(IF(N478="мин.ставка",L478*100,I478/102*2),2)</f>
        <v/>
      </c>
      <c r="P478" s="5" t="n">
        <v>46282.5</v>
      </c>
      <c r="Q478" t="inlineStr">
        <is>
          <t>TravelLine ресепшен</t>
        </is>
      </c>
      <c r="R478" s="2" t="inlineStr">
        <is>
          <t>СТАНДАРТНЫЙ ДВУХМЕСТНЫЙ НОМЕР</t>
        </is>
      </c>
      <c r="S478" t="n">
        <v>23</v>
      </c>
      <c r="T478" t="n">
        <v>1</v>
      </c>
      <c r="U478" t="inlineStr"/>
      <c r="V478" t="inlineStr">
        <is>
          <t>Тариф с завтраком</t>
        </is>
      </c>
      <c r="W478" t="n">
        <v>22700</v>
      </c>
      <c r="X478" s="3" t="n">
        <v>0</v>
      </c>
      <c r="Y478" t="inlineStr"/>
      <c r="Z478" t="inlineStr"/>
      <c r="AA478" s="3" t="n">
        <v>22700</v>
      </c>
      <c r="AB478" t="inlineStr">
        <is>
          <t>Сошлось по ночным тарифам</t>
        </is>
      </c>
      <c r="AC478" s="2" t="inlineStr"/>
      <c r="AD478" t="n">
        <v>0</v>
      </c>
      <c r="AE478" t="n">
        <v>0</v>
      </c>
      <c r="AF478" t="inlineStr">
        <is>
          <t>Скидки нет</t>
        </is>
      </c>
      <c r="AG478" t="n">
        <v>22700</v>
      </c>
      <c r="AH478" t="n">
        <v>22700</v>
      </c>
      <c r="AI478" t="inlineStr">
        <is>
          <t>Полное проживание в выбранном периоде</t>
        </is>
      </c>
    </row>
    <row r="479">
      <c r="A479" t="inlineStr">
        <is>
          <t>20260726-8186-423278923</t>
        </is>
      </c>
      <c r="B479" t="n">
        <v>1</v>
      </c>
      <c r="C479" s="2" t="inlineStr">
        <is>
          <t>Наталия Шлеёнкова, Сергей Щлеёнков</t>
        </is>
      </c>
      <c r="D479" s="3" t="n">
        <v>45390</v>
      </c>
      <c r="E479" s="4" t="n">
        <v>0</v>
      </c>
      <c r="F479" t="inlineStr">
        <is>
          <t>ООО «ХОМЛИН ЛЭНД» (ПЕГАС) [Чайковский]</t>
        </is>
      </c>
      <c r="G479" s="3">
        <f>ROUND(D479/(100-E479)*100,2)</f>
        <v/>
      </c>
      <c r="H479" s="3" t="n">
        <v>0</v>
      </c>
      <c r="I479" s="3">
        <f>ROUND(IF(ISNUMBER(AG479),AG479,G479)+H479,2)</f>
        <v/>
      </c>
      <c r="J479" s="2" t="inlineStr">
        <is>
          <t>Завтрак "Шведский стол"</t>
        </is>
      </c>
      <c r="K479" s="5" t="n">
        <v>46229.58333333334</v>
      </c>
      <c r="L479" t="n">
        <v>4</v>
      </c>
      <c r="M479" s="3">
        <f>I479/L479</f>
        <v/>
      </c>
      <c r="N479">
        <f>IF(M479&gt;=5100,"ставка","мин.ставка")</f>
        <v/>
      </c>
      <c r="O479" s="3">
        <f>ROUND(IF(N479="мин.ставка",L479*100,I479/102*2),2)</f>
        <v/>
      </c>
      <c r="P479" s="5" t="n">
        <v>46233.5</v>
      </c>
      <c r="Q479" t="inlineStr">
        <is>
          <t>TravelLine PGS</t>
        </is>
      </c>
      <c r="R479" s="2" t="inlineStr">
        <is>
          <t>СТАНДАРТНЫЙ ДВУХМЕСТНЫЙ НОМЕР</t>
        </is>
      </c>
      <c r="S479" t="n">
        <v>32</v>
      </c>
      <c r="T479" t="n">
        <v>1</v>
      </c>
      <c r="U479" t="inlineStr"/>
      <c r="V479" t="inlineStr">
        <is>
          <t>Тариф с завтраком</t>
        </is>
      </c>
      <c r="W479" t="n">
        <v>45390</v>
      </c>
      <c r="X479" s="3" t="n">
        <v>8010</v>
      </c>
      <c r="Y479" t="inlineStr">
        <is>
          <t>15%</t>
        </is>
      </c>
      <c r="Z479" t="inlineStr">
        <is>
          <t>2026-07-26, 2026-07-27, 2026-07-28, 2026-07-29</t>
        </is>
      </c>
      <c r="AA479" s="3" t="n">
        <v>45390</v>
      </c>
      <c r="AB479" t="inlineStr">
        <is>
          <t>Сошлось по ночным тарифам</t>
        </is>
      </c>
      <c r="AC479" s="2" t="inlineStr"/>
      <c r="AD479" t="n">
        <v>8010</v>
      </c>
      <c r="AE479" t="n">
        <v>0</v>
      </c>
      <c r="AF479" t="inlineStr">
        <is>
          <t>Скидка добавлена к налоговой базе</t>
        </is>
      </c>
      <c r="AG479" t="n">
        <v>53400</v>
      </c>
      <c r="AH479" t="n">
        <v>45390</v>
      </c>
      <c r="AI479" t="inlineStr">
        <is>
          <t>Полное проживание в выбранном периоде</t>
        </is>
      </c>
    </row>
    <row r="480">
      <c r="A480" t="inlineStr">
        <is>
          <t>20260910-8186-427551341</t>
        </is>
      </c>
      <c r="B480" t="n">
        <v>1</v>
      </c>
      <c r="C480" s="2" t="inlineStr">
        <is>
          <t>НАТАЛИЯ ШТЕРКЕЛЬ, Екатерина Мигуля</t>
        </is>
      </c>
      <c r="D480" s="3" t="n">
        <v>36045</v>
      </c>
      <c r="E480" s="4" t="n">
        <v>0</v>
      </c>
      <c r="F480" t="inlineStr">
        <is>
          <t>Прямые бронирования (стойка) [Чайковский]</t>
        </is>
      </c>
      <c r="G480" s="3">
        <f>ROUND(D480/(100-E480)*100,2)</f>
        <v/>
      </c>
      <c r="H480" s="3" t="n">
        <v>0</v>
      </c>
      <c r="I480" s="3">
        <f>ROUND(IF(ISNUMBER(AG480),AG480,G480)+H480,2)</f>
        <v/>
      </c>
      <c r="J480" s="2" t="inlineStr">
        <is>
          <t>Завтрак "Шведский стол"</t>
        </is>
      </c>
      <c r="K480" s="5" t="n">
        <v>46275.58333333334</v>
      </c>
      <c r="L480" t="n">
        <v>3</v>
      </c>
      <c r="M480" s="3">
        <f>I480/L480</f>
        <v/>
      </c>
      <c r="N480">
        <f>IF(M480&gt;=5100,"ставка","мин.ставка")</f>
        <v/>
      </c>
      <c r="O480" s="3">
        <f>ROUND(IF(N480="мин.ставка",L480*100,I480/102*2),2)</f>
        <v/>
      </c>
      <c r="P480" s="5" t="n">
        <v>46278.5</v>
      </c>
      <c r="Q480" t="inlineStr">
        <is>
          <t>TravelLine ресепшен</t>
        </is>
      </c>
      <c r="R480" s="2" t="inlineStr">
        <is>
          <t>СТАНДАРТНЫЙ ДВУХМЕСТНЫЙ НОМЕР</t>
        </is>
      </c>
      <c r="S480" t="n">
        <v>42</v>
      </c>
      <c r="T480" t="n">
        <v>1</v>
      </c>
      <c r="U480" t="inlineStr"/>
      <c r="V480" t="inlineStr">
        <is>
          <t>Тариф с завтраком</t>
        </is>
      </c>
      <c r="W480" t="n">
        <v>216270</v>
      </c>
      <c r="X480" s="3" t="n">
        <v>4005</v>
      </c>
      <c r="Y480" t="inlineStr">
        <is>
          <t>10%</t>
        </is>
      </c>
      <c r="Z480" t="inlineStr">
        <is>
          <t>2026-09-10, 2026-09-11, 2026-09-12</t>
        </is>
      </c>
      <c r="AA480" s="3" t="n">
        <v>36045</v>
      </c>
      <c r="AB480" t="inlineStr">
        <is>
          <t>Сошлось по ночным тарифам</t>
        </is>
      </c>
      <c r="AC480" s="2" t="inlineStr"/>
      <c r="AD480" t="n">
        <v>4005</v>
      </c>
      <c r="AE480" t="n">
        <v>0</v>
      </c>
      <c r="AF480" t="inlineStr">
        <is>
          <t>Скидка добавлена к налоговой базе</t>
        </is>
      </c>
      <c r="AG480" t="n">
        <v>40050</v>
      </c>
      <c r="AH480" t="n">
        <v>36045</v>
      </c>
      <c r="AI480" t="inlineStr">
        <is>
          <t>Полное проживание в выбранном периоде</t>
        </is>
      </c>
    </row>
    <row r="481">
      <c r="A481" t="inlineStr">
        <is>
          <t>20260815-8186-458640858</t>
        </is>
      </c>
      <c r="B481" t="n">
        <v>1</v>
      </c>
      <c r="C481" s="2" t="inlineStr">
        <is>
          <t>Наталия Элуашвили</t>
        </is>
      </c>
      <c r="D481" s="3" t="n">
        <v>10215</v>
      </c>
      <c r="E481" s="4" t="n">
        <v>0</v>
      </c>
      <c r="F481" t="inlineStr">
        <is>
          <t>Прямые бронирования (стойка) [Чайковский]</t>
        </is>
      </c>
      <c r="G481" s="3">
        <f>ROUND(D481/(100-E481)*100,2)</f>
        <v/>
      </c>
      <c r="H481" s="3" t="n">
        <v>0</v>
      </c>
      <c r="I481" s="3">
        <f>ROUND(IF(ISNUMBER(AG481),AG481,G481)+H481,2)</f>
        <v/>
      </c>
      <c r="J481" s="2" t="inlineStr">
        <is>
          <t>Завтрак "Шведский стол"</t>
        </is>
      </c>
      <c r="K481" s="5" t="n">
        <v>46249.58333333334</v>
      </c>
      <c r="L481" t="n">
        <v>1</v>
      </c>
      <c r="M481" s="3">
        <f>I481/L481</f>
        <v/>
      </c>
      <c r="N481">
        <f>IF(M481&gt;=5100,"ставка","мин.ставка")</f>
        <v/>
      </c>
      <c r="O481" s="3">
        <f>ROUND(IF(N481="мин.ставка",L481*100,I481/102*2),2)</f>
        <v/>
      </c>
      <c r="P481" s="5" t="n">
        <v>46250.5</v>
      </c>
      <c r="Q481" t="inlineStr">
        <is>
          <t>TravelLine ресепшен</t>
        </is>
      </c>
      <c r="R481" s="2" t="inlineStr">
        <is>
          <t>СТАНДАРТНЫЙ ДВУХМЕСТНЫЙ НОМЕР</t>
        </is>
      </c>
      <c r="S481" t="n">
        <v>44</v>
      </c>
      <c r="T481" t="n">
        <v>1</v>
      </c>
      <c r="U481" t="inlineStr"/>
      <c r="V481" t="inlineStr">
        <is>
          <t>Тариф с завтраком</t>
        </is>
      </c>
      <c r="W481" t="n">
        <v>10215</v>
      </c>
      <c r="X481" s="3" t="n">
        <v>1135</v>
      </c>
      <c r="Y481" t="inlineStr">
        <is>
          <t>10%</t>
        </is>
      </c>
      <c r="Z481" t="inlineStr">
        <is>
          <t>2026-08-15</t>
        </is>
      </c>
      <c r="AA481" s="3" t="n">
        <v>10215</v>
      </c>
      <c r="AB481" t="inlineStr">
        <is>
          <t>Сошлось по ночным тарифам</t>
        </is>
      </c>
      <c r="AC481" s="2" t="inlineStr"/>
      <c r="AD481" t="n">
        <v>1135</v>
      </c>
      <c r="AE481" t="n">
        <v>0</v>
      </c>
      <c r="AF481" t="inlineStr">
        <is>
          <t>Скидка добавлена к налоговой базе</t>
        </is>
      </c>
      <c r="AG481" t="n">
        <v>11350</v>
      </c>
      <c r="AH481" t="n">
        <v>10215</v>
      </c>
      <c r="AI481" t="inlineStr">
        <is>
          <t>Полное проживание в выбранном периоде</t>
        </is>
      </c>
    </row>
    <row r="482">
      <c r="A482" t="inlineStr">
        <is>
          <t>20260710-8186-442591146</t>
        </is>
      </c>
      <c r="B482" t="n">
        <v>1</v>
      </c>
      <c r="C482" s="2" t="inlineStr">
        <is>
          <t>Наталья Анохина, Анна Анохина</t>
        </is>
      </c>
      <c r="D482" s="3" t="n">
        <v>15988.5</v>
      </c>
      <c r="E482" s="4" t="n">
        <v>4</v>
      </c>
      <c r="F482" t="inlineStr">
        <is>
          <t>TravelLine Booking Engine [Чайковский]</t>
        </is>
      </c>
      <c r="G482" s="3">
        <f>ROUND(D482/(100-E482)*100,2)</f>
        <v/>
      </c>
      <c r="H482" s="3" t="n">
        <v>0</v>
      </c>
      <c r="I482" s="3">
        <f>ROUND(IF(ISNUMBER(AG482),AG482,G482)+H482,2)</f>
        <v/>
      </c>
      <c r="J482" s="2" t="inlineStr">
        <is>
          <t>Завтрак "Шведский стол"</t>
        </is>
      </c>
      <c r="K482" s="5" t="n">
        <v>46213.58333333334</v>
      </c>
      <c r="L482" t="n">
        <v>1</v>
      </c>
      <c r="M482" s="3">
        <f>I482/L482</f>
        <v/>
      </c>
      <c r="N482">
        <f>IF(M482&gt;=5100,"ставка","мин.ставка")</f>
        <v/>
      </c>
      <c r="O482" s="3">
        <f>ROUND(IF(N482="мин.ставка",L482*100,I482/102*2),2)</f>
        <v/>
      </c>
      <c r="P482" s="5" t="n">
        <v>46214.5</v>
      </c>
      <c r="Q482" t="inlineStr">
        <is>
          <t>TravelLine сайт</t>
        </is>
      </c>
      <c r="R482" s="2" t="inlineStr">
        <is>
          <t>ПОЛУЛЮКС</t>
        </is>
      </c>
      <c r="S482" t="n">
        <v>25</v>
      </c>
      <c r="T482" t="n">
        <v>1</v>
      </c>
      <c r="U482" t="inlineStr"/>
      <c r="V482" t="inlineStr">
        <is>
          <t>Тариф с завтраком</t>
        </is>
      </c>
      <c r="W482" t="n">
        <v>15988.5</v>
      </c>
      <c r="X482" s="3" t="n">
        <v>511.5</v>
      </c>
      <c r="Y482" t="inlineStr">
        <is>
          <t>3.1%</t>
        </is>
      </c>
      <c r="Z482" t="inlineStr">
        <is>
          <t>2026-07-10</t>
        </is>
      </c>
      <c r="AA482" s="3" t="n">
        <v>15988.5</v>
      </c>
      <c r="AB482" t="inlineStr">
        <is>
          <t>Сошлось по ночным тарифам</t>
        </is>
      </c>
      <c r="AC482" s="2" t="inlineStr"/>
      <c r="AD482" t="n">
        <v>511.5</v>
      </c>
      <c r="AE482" t="n">
        <v>0</v>
      </c>
      <c r="AF482" t="inlineStr">
        <is>
          <t>Скидка добавлена к налоговой базе</t>
        </is>
      </c>
      <c r="AG482" t="n">
        <v>16500</v>
      </c>
      <c r="AH482" t="n">
        <v>15988.5</v>
      </c>
      <c r="AI482" t="inlineStr">
        <is>
          <t>Полное проживание в выбранном периоде</t>
        </is>
      </c>
    </row>
    <row r="483">
      <c r="A483" t="inlineStr">
        <is>
          <t>20260904-8186-459092255</t>
        </is>
      </c>
      <c r="B483" t="n">
        <v>1</v>
      </c>
      <c r="C483" s="2" t="inlineStr">
        <is>
          <t>Наталья Бехтерева, Антон Бехтерев</t>
        </is>
      </c>
      <c r="D483" s="3" t="n">
        <v>98488.5</v>
      </c>
      <c r="E483" s="4" t="n">
        <v>4</v>
      </c>
      <c r="F483" t="inlineStr">
        <is>
          <t>TravelLine Booking Engine [Чайковский]</t>
        </is>
      </c>
      <c r="G483" s="3">
        <f>ROUND(D483/(100-E483)*100,2)</f>
        <v/>
      </c>
      <c r="H483" s="3" t="n">
        <v>0</v>
      </c>
      <c r="I483" s="3">
        <f>ROUND(IF(ISNUMBER(AG483),AG483,G483)+H483,2)</f>
        <v/>
      </c>
      <c r="J483" s="2" t="inlineStr">
        <is>
          <t>Завтрак "Шведский стол"</t>
        </is>
      </c>
      <c r="K483" s="5" t="n">
        <v>46269.58333333334</v>
      </c>
      <c r="L483" t="n">
        <v>6</v>
      </c>
      <c r="M483" s="3">
        <f>I483/L483</f>
        <v/>
      </c>
      <c r="N483">
        <f>IF(M483&gt;=5100,"ставка","мин.ставка")</f>
        <v/>
      </c>
      <c r="O483" s="3">
        <f>ROUND(IF(N483="мин.ставка",L483*100,I483/102*2),2)</f>
        <v/>
      </c>
      <c r="P483" s="5" t="n">
        <v>46275.5</v>
      </c>
      <c r="Q483" t="inlineStr">
        <is>
          <t>TravelLine сайт</t>
        </is>
      </c>
      <c r="R483" s="2" t="inlineStr">
        <is>
          <t>ПОЛУЛЮКС</t>
        </is>
      </c>
      <c r="S483" t="n">
        <v>11</v>
      </c>
      <c r="T483" t="n">
        <v>1</v>
      </c>
      <c r="U483" t="inlineStr"/>
      <c r="V483" t="inlineStr">
        <is>
          <t>Тариф с завтраком</t>
        </is>
      </c>
      <c r="W483" t="n">
        <v>98488.5</v>
      </c>
      <c r="X483" s="3" t="n">
        <v>511.5</v>
      </c>
      <c r="Y483" t="inlineStr">
        <is>
          <t>3.1%</t>
        </is>
      </c>
      <c r="Z483" t="inlineStr">
        <is>
          <t>2026-09-04</t>
        </is>
      </c>
      <c r="AA483" s="3" t="n">
        <v>98488.5</v>
      </c>
      <c r="AB483" t="inlineStr">
        <is>
          <t>Сошлось по ночным тарифам</t>
        </is>
      </c>
      <c r="AC483" s="2" t="inlineStr"/>
      <c r="AD483" t="n">
        <v>511.5</v>
      </c>
      <c r="AE483" t="n">
        <v>0</v>
      </c>
      <c r="AF483" t="inlineStr">
        <is>
          <t>Скидка добавлена к налоговой базе</t>
        </is>
      </c>
      <c r="AG483" t="n">
        <v>99000</v>
      </c>
      <c r="AH483" t="n">
        <v>98488.5</v>
      </c>
      <c r="AI483" t="inlineStr">
        <is>
          <t>Полное проживание в выбранном периоде</t>
        </is>
      </c>
    </row>
    <row r="484">
      <c r="A484" t="inlineStr">
        <is>
          <t>20260807-8186-402291252</t>
        </is>
      </c>
      <c r="B484" t="n">
        <v>1</v>
      </c>
      <c r="C484" s="2" t="inlineStr">
        <is>
          <t>НАТАЛЬЯ БОРИСОВА</t>
        </is>
      </c>
      <c r="D484" s="3" t="n">
        <v>20790</v>
      </c>
      <c r="E484" s="4" t="n">
        <v>0</v>
      </c>
      <c r="F484" t="inlineStr">
        <is>
          <t>Прямые бронирования (стойка) [Чайковский]</t>
        </is>
      </c>
      <c r="G484" s="3">
        <f>ROUND(D484/(100-E484)*100,2)</f>
        <v/>
      </c>
      <c r="H484" s="3" t="n">
        <v>0</v>
      </c>
      <c r="I484" s="3">
        <f>ROUND(IF(ISNUMBER(AG484),AG484,G484)+H484,2)</f>
        <v/>
      </c>
      <c r="J484" s="2" t="inlineStr">
        <is>
          <t>Завтрак "Шведский стол"</t>
        </is>
      </c>
      <c r="K484" s="5" t="n">
        <v>46241.58333333334</v>
      </c>
      <c r="L484" t="n">
        <v>3</v>
      </c>
      <c r="M484" s="3">
        <f>I484/L484</f>
        <v/>
      </c>
      <c r="N484">
        <f>IF(M484&gt;=5100,"ставка","мин.ставка")</f>
        <v/>
      </c>
      <c r="O484" s="3">
        <f>ROUND(IF(N484="мин.ставка",L484*100,I484/102*2),2)</f>
        <v/>
      </c>
      <c r="P484" s="5" t="n">
        <v>46244.5</v>
      </c>
      <c r="Q484" t="inlineStr">
        <is>
          <t>TravelLine ресепшен</t>
        </is>
      </c>
      <c r="R484" s="2" t="inlineStr">
        <is>
          <t>СТАНДАРТНЫЙ ОДНОМЕСТНЫЙ НОМЕР</t>
        </is>
      </c>
      <c r="S484" t="n">
        <v>24</v>
      </c>
      <c r="T484" t="n">
        <v>1</v>
      </c>
      <c r="U484" t="inlineStr"/>
      <c r="V484" t="inlineStr">
        <is>
          <t>Тариф с завтраком</t>
        </is>
      </c>
      <c r="W484" t="n">
        <v>20790</v>
      </c>
      <c r="X484" s="3" t="n">
        <v>2310</v>
      </c>
      <c r="Y484" t="inlineStr">
        <is>
          <t>10%</t>
        </is>
      </c>
      <c r="Z484" t="inlineStr">
        <is>
          <t>2026-08-07, 2026-08-08, 2026-08-09</t>
        </is>
      </c>
      <c r="AA484" s="3" t="n">
        <v>20790</v>
      </c>
      <c r="AB484" t="inlineStr">
        <is>
          <t>Сошлось по ночным тарифам</t>
        </is>
      </c>
      <c r="AC484" s="2" t="inlineStr"/>
      <c r="AD484" t="n">
        <v>2310</v>
      </c>
      <c r="AE484" t="n">
        <v>0</v>
      </c>
      <c r="AF484" t="inlineStr">
        <is>
          <t>Скидка добавлена к налоговой базе</t>
        </is>
      </c>
      <c r="AG484" t="n">
        <v>23100</v>
      </c>
      <c r="AH484" t="n">
        <v>20790</v>
      </c>
      <c r="AI484" t="inlineStr">
        <is>
          <t>Полное проживание в выбранном периоде</t>
        </is>
      </c>
    </row>
    <row r="485">
      <c r="A485" t="inlineStr">
        <is>
          <t>20260812-8186-432301165</t>
        </is>
      </c>
      <c r="B485" t="n">
        <v>1</v>
      </c>
      <c r="C485" s="2" t="inlineStr">
        <is>
          <t>Наталья Гончарова, София Цугуй</t>
        </is>
      </c>
      <c r="D485" s="3" t="n">
        <v>12320</v>
      </c>
      <c r="E485" s="4" t="n">
        <v>18</v>
      </c>
      <c r="F485" t="inlineStr">
        <is>
          <t>Яндекс.Путешествия [Чайковский]</t>
        </is>
      </c>
      <c r="G485" s="3">
        <f>ROUND(D485/(100-E485)*100,2)</f>
        <v/>
      </c>
      <c r="H485" s="3" t="n">
        <v>0</v>
      </c>
      <c r="I485" s="3">
        <f>ROUND(IF(ISNUMBER(AG485),AG485,G485)+H485,2)</f>
        <v/>
      </c>
      <c r="J485" s="2" t="inlineStr">
        <is>
          <t>Завтрак "Шведский стол"</t>
        </is>
      </c>
      <c r="K485" s="5" t="n">
        <v>46247.58333333334</v>
      </c>
      <c r="L485" t="n">
        <v>1</v>
      </c>
      <c r="M485" s="3">
        <f>I485/L485</f>
        <v/>
      </c>
      <c r="N485">
        <f>IF(M485&gt;=5100,"ставка","мин.ставка")</f>
        <v/>
      </c>
      <c r="O485" s="3">
        <f>ROUND(IF(N485="мин.ставка",L485*100,I485/102*2),2)</f>
        <v/>
      </c>
      <c r="P485" s="5" t="n">
        <v>46248.5</v>
      </c>
      <c r="Q485" t="inlineStr">
        <is>
          <t>TravelLine YAX</t>
        </is>
      </c>
      <c r="R485" s="2" t="inlineStr">
        <is>
          <t>УЛУЧШЕННЫЙ ДВУХМЕСТНЫЙ НОМЕР</t>
        </is>
      </c>
      <c r="S485" t="n">
        <v>31</v>
      </c>
      <c r="T485" t="n">
        <v>1</v>
      </c>
      <c r="U485" t="inlineStr"/>
      <c r="V485" t="inlineStr">
        <is>
          <t>Тариф с завтраком</t>
        </is>
      </c>
      <c r="W485" t="n">
        <v>12320</v>
      </c>
      <c r="X485" s="3" t="n">
        <v>3080</v>
      </c>
      <c r="Y485" t="inlineStr">
        <is>
          <t>20%</t>
        </is>
      </c>
      <c r="Z485" t="inlineStr">
        <is>
          <t>2026-08-13</t>
        </is>
      </c>
      <c r="AA485" s="3" t="n">
        <v>12320</v>
      </c>
      <c r="AB485" t="inlineStr">
        <is>
          <t>Сошлось по ночным тарифам</t>
        </is>
      </c>
      <c r="AC485" s="2" t="inlineStr"/>
      <c r="AD485" t="n">
        <v>3080</v>
      </c>
      <c r="AE485" t="n">
        <v>0</v>
      </c>
      <c r="AF485" t="inlineStr">
        <is>
          <t>Скидка добавлена к налоговой базе</t>
        </is>
      </c>
      <c r="AG485" t="n">
        <v>15400</v>
      </c>
      <c r="AH485" t="n">
        <v>12320</v>
      </c>
      <c r="AI485" t="inlineStr">
        <is>
          <t>Полное проживание в выбранном периоде</t>
        </is>
      </c>
    </row>
    <row r="486">
      <c r="A486" t="inlineStr">
        <is>
          <t>20260814-8186-443750002</t>
        </is>
      </c>
      <c r="B486" t="n">
        <v>1</v>
      </c>
      <c r="C486" s="2" t="inlineStr">
        <is>
          <t>Наталья Гончарова, София Цугуй</t>
        </is>
      </c>
      <c r="D486" s="3" t="n">
        <v>12320</v>
      </c>
      <c r="E486" s="4" t="n">
        <v>18</v>
      </c>
      <c r="F486" t="inlineStr">
        <is>
          <t>Яндекс.Путешествия [Чайковский]</t>
        </is>
      </c>
      <c r="G486" s="3">
        <f>ROUND(D486/(100-E486)*100,2)</f>
        <v/>
      </c>
      <c r="H486" s="3" t="n">
        <v>0</v>
      </c>
      <c r="I486" s="3">
        <f>ROUND(IF(ISNUMBER(AG486),AG486,G486)+H486,2)</f>
        <v/>
      </c>
      <c r="J486" s="2" t="inlineStr">
        <is>
          <t>Завтрак "Шведский стол"</t>
        </is>
      </c>
      <c r="K486" s="5" t="n">
        <v>46248.58333333334</v>
      </c>
      <c r="L486" t="n">
        <v>1</v>
      </c>
      <c r="M486" s="3">
        <f>I486/L486</f>
        <v/>
      </c>
      <c r="N486">
        <f>IF(M486&gt;=5100,"ставка","мин.ставка")</f>
        <v/>
      </c>
      <c r="O486" s="3">
        <f>ROUND(IF(N486="мин.ставка",L486*100,I486/102*2),2)</f>
        <v/>
      </c>
      <c r="P486" s="5" t="n">
        <v>46249.5</v>
      </c>
      <c r="Q486" t="inlineStr">
        <is>
          <t>TravelLine YAX</t>
        </is>
      </c>
      <c r="R486" s="2" t="inlineStr">
        <is>
          <t>УЛУЧШЕННЫЙ ДВУХМЕСТНЫЙ НОМЕР</t>
        </is>
      </c>
      <c r="S486" t="n">
        <v>31</v>
      </c>
      <c r="T486" t="n">
        <v>1</v>
      </c>
      <c r="U486" t="inlineStr"/>
      <c r="V486" t="inlineStr">
        <is>
          <t>Тариф с завтраком</t>
        </is>
      </c>
      <c r="W486" t="n">
        <v>12320</v>
      </c>
      <c r="X486" s="3" t="n">
        <v>3080</v>
      </c>
      <c r="Y486" t="inlineStr">
        <is>
          <t>20%</t>
        </is>
      </c>
      <c r="Z486" t="inlineStr">
        <is>
          <t>2026-08-14</t>
        </is>
      </c>
      <c r="AA486" s="3" t="n">
        <v>12320</v>
      </c>
      <c r="AB486" t="inlineStr">
        <is>
          <t>Сошлось по ночным тарифам</t>
        </is>
      </c>
      <c r="AC486" s="2" t="inlineStr"/>
      <c r="AD486" t="n">
        <v>3080</v>
      </c>
      <c r="AE486" t="n">
        <v>0</v>
      </c>
      <c r="AF486" t="inlineStr">
        <is>
          <t>Скидка добавлена к налоговой базе</t>
        </is>
      </c>
      <c r="AG486" t="n">
        <v>15400</v>
      </c>
      <c r="AH486" t="n">
        <v>12320</v>
      </c>
      <c r="AI486" t="inlineStr">
        <is>
          <t>Полное проживание в выбранном периоде</t>
        </is>
      </c>
    </row>
    <row r="487">
      <c r="A487" t="inlineStr">
        <is>
          <t>20260826-8186-453545439</t>
        </is>
      </c>
      <c r="B487" t="n">
        <v>1</v>
      </c>
      <c r="C487" s="2" t="inlineStr">
        <is>
          <t>Наталья Горшкова, Илья Ивлев</t>
        </is>
      </c>
      <c r="D487" s="3" t="n">
        <v>10680</v>
      </c>
      <c r="E487" s="4" t="n">
        <v>20</v>
      </c>
      <c r="F487" t="inlineStr">
        <is>
          <t>ООО "КОМПАНИЯ БРОНЕВИК" [Чайковский]</t>
        </is>
      </c>
      <c r="G487" s="3">
        <f>ROUND(D487/(100-E487)*100,2)</f>
        <v/>
      </c>
      <c r="H487" s="3" t="n">
        <v>0</v>
      </c>
      <c r="I487" s="3">
        <f>ROUND(IF(ISNUMBER(AG487),AG487,G487)+H487,2)</f>
        <v/>
      </c>
      <c r="J487" s="2" t="inlineStr">
        <is>
          <t>Завтрак "Шведский стол"</t>
        </is>
      </c>
      <c r="K487" s="5" t="n">
        <v>46260.58333333334</v>
      </c>
      <c r="L487" t="n">
        <v>1</v>
      </c>
      <c r="M487" s="3">
        <f>I487/L487</f>
        <v/>
      </c>
      <c r="N487">
        <f>IF(M487&gt;=5100,"ставка","мин.ставка")</f>
        <v/>
      </c>
      <c r="O487" s="3">
        <f>ROUND(IF(N487="мин.ставка",L487*100,I487/102*2),2)</f>
        <v/>
      </c>
      <c r="P487" s="5" t="n">
        <v>46261.5</v>
      </c>
      <c r="Q487" t="inlineStr">
        <is>
          <t>TravelLine BR2</t>
        </is>
      </c>
      <c r="R487" s="2" t="inlineStr">
        <is>
          <t>СТАНДАРТНЫЙ ДВУХМЕСТНЫЙ НОМЕР</t>
        </is>
      </c>
      <c r="S487" t="n">
        <v>32</v>
      </c>
      <c r="T487" t="n">
        <v>1</v>
      </c>
      <c r="U487" t="inlineStr"/>
      <c r="V487" t="inlineStr">
        <is>
          <t>Тариф с завтраком</t>
        </is>
      </c>
      <c r="W487" t="n">
        <v>10680</v>
      </c>
      <c r="X487" s="3" t="n">
        <v>0</v>
      </c>
      <c r="Y487" t="inlineStr"/>
      <c r="Z487" t="inlineStr"/>
      <c r="AA487" s="3" t="n">
        <v>10680</v>
      </c>
      <c r="AB487" t="inlineStr">
        <is>
          <t>Сошлось по ночным тарифам</t>
        </is>
      </c>
      <c r="AC487" s="2" t="inlineStr"/>
      <c r="AD487" t="n">
        <v>0</v>
      </c>
      <c r="AE487" t="n">
        <v>0</v>
      </c>
      <c r="AF487" t="inlineStr">
        <is>
          <t>Скидки нет</t>
        </is>
      </c>
      <c r="AG487" t="n">
        <v>10680</v>
      </c>
      <c r="AH487" t="n">
        <v>10680</v>
      </c>
      <c r="AI487" t="inlineStr">
        <is>
          <t>Полное проживание в выбранном периоде</t>
        </is>
      </c>
    </row>
    <row r="488">
      <c r="A488" t="inlineStr">
        <is>
          <t>20260722-8186-452072624</t>
        </is>
      </c>
      <c r="B488" t="n">
        <v>1</v>
      </c>
      <c r="C488" s="2" t="inlineStr">
        <is>
          <t>Наталья Жукова, Владимир Жуков</t>
        </is>
      </c>
      <c r="D488" s="3" t="n">
        <v>13860</v>
      </c>
      <c r="E488" s="4" t="n">
        <v>0</v>
      </c>
      <c r="F488" t="inlineStr">
        <is>
          <t>Прямые бронирования (стойка) [Чайковский]</t>
        </is>
      </c>
      <c r="G488" s="3">
        <f>ROUND(D488/(100-E488)*100,2)</f>
        <v/>
      </c>
      <c r="H488" s="3" t="n">
        <v>240</v>
      </c>
      <c r="I488" s="3">
        <f>ROUND(IF(ISNUMBER(AG488),AG488,G488)+H488,2)</f>
        <v/>
      </c>
      <c r="J488" s="2" t="inlineStr">
        <is>
          <t>продление номера — 240,00 ₽; Завтрак "Шведский стол"</t>
        </is>
      </c>
      <c r="K488" s="5" t="n">
        <v>46225.58333333334</v>
      </c>
      <c r="L488" t="n">
        <v>1</v>
      </c>
      <c r="M488" s="3">
        <f>I488/L488</f>
        <v/>
      </c>
      <c r="N488">
        <f>IF(M488&gt;=5100,"ставка","мин.ставка")</f>
        <v/>
      </c>
      <c r="O488" s="3">
        <f>ROUND(IF(N488="мин.ставка",L488*100,I488/102*2),2)</f>
        <v/>
      </c>
      <c r="P488" s="5" t="n">
        <v>46226.5</v>
      </c>
      <c r="Q488" t="inlineStr">
        <is>
          <t>TravelLine ресепшен</t>
        </is>
      </c>
      <c r="R488" s="2" t="inlineStr">
        <is>
          <t>УЛУЧШЕННЫЙ ДВУХМЕСТНЫЙ НОМЕР</t>
        </is>
      </c>
      <c r="S488" t="n">
        <v>21</v>
      </c>
      <c r="T488" t="n">
        <v>1</v>
      </c>
      <c r="U488" t="inlineStr"/>
      <c r="V488" t="inlineStr">
        <is>
          <t>Тариф с завтраком</t>
        </is>
      </c>
      <c r="W488" t="n">
        <v>14100</v>
      </c>
      <c r="X488" s="3" t="n">
        <v>1540</v>
      </c>
      <c r="Y488" t="inlineStr">
        <is>
          <t>10%</t>
        </is>
      </c>
      <c r="Z488" t="inlineStr">
        <is>
          <t>2026-07-22</t>
        </is>
      </c>
      <c r="AA488" s="3" t="n">
        <v>13860</v>
      </c>
      <c r="AB488" t="inlineStr">
        <is>
          <t>Сошлось с услугами</t>
        </is>
      </c>
      <c r="AC488" s="2" t="inlineStr"/>
      <c r="AD488" t="n">
        <v>1540</v>
      </c>
      <c r="AE488" t="n">
        <v>0</v>
      </c>
      <c r="AF488" t="inlineStr">
        <is>
          <t>Скидка добавлена к налоговой базе</t>
        </is>
      </c>
      <c r="AG488" t="n">
        <v>15400</v>
      </c>
      <c r="AH488" t="n">
        <v>13860</v>
      </c>
      <c r="AI488" t="inlineStr">
        <is>
          <t>Полное проживание в выбранном периоде</t>
        </is>
      </c>
    </row>
    <row r="489">
      <c r="A489" t="inlineStr">
        <is>
          <t>20260729-8186-446530257</t>
        </is>
      </c>
      <c r="B489" t="n">
        <v>1</v>
      </c>
      <c r="C489" s="2" t="inlineStr">
        <is>
          <t>Наталья Жукова, Владимир Жуков</t>
        </is>
      </c>
      <c r="D489" s="3" t="n">
        <v>12015</v>
      </c>
      <c r="E489" s="4" t="n">
        <v>0</v>
      </c>
      <c r="F489" t="inlineStr">
        <is>
          <t>Прямые бронирования (стойка) [Чайковский]</t>
        </is>
      </c>
      <c r="G489" s="3">
        <f>ROUND(D489/(100-E489)*100,2)</f>
        <v/>
      </c>
      <c r="H489" s="3" t="n">
        <v>0</v>
      </c>
      <c r="I489" s="3">
        <f>ROUND(IF(ISNUMBER(AG489),AG489,G489)+H489,2)</f>
        <v/>
      </c>
      <c r="J489" s="2" t="inlineStr">
        <is>
          <t>Завтрак "Шведский стол"</t>
        </is>
      </c>
      <c r="K489" s="5" t="n">
        <v>46232.58333333334</v>
      </c>
      <c r="L489" t="n">
        <v>1</v>
      </c>
      <c r="M489" s="3">
        <f>I489/L489</f>
        <v/>
      </c>
      <c r="N489">
        <f>IF(M489&gt;=5100,"ставка","мин.ставка")</f>
        <v/>
      </c>
      <c r="O489" s="3">
        <f>ROUND(IF(N489="мин.ставка",L489*100,I489/102*2),2)</f>
        <v/>
      </c>
      <c r="P489" s="5" t="n">
        <v>46233.5</v>
      </c>
      <c r="Q489" t="inlineStr">
        <is>
          <t>TravelLine ресепшен</t>
        </is>
      </c>
      <c r="R489" s="2" t="inlineStr">
        <is>
          <t>СТАНДАРТНЫЙ ДВУХМЕСТНЫЙ НОМЕР</t>
        </is>
      </c>
      <c r="S489" t="n">
        <v>23</v>
      </c>
      <c r="T489" t="n">
        <v>1</v>
      </c>
      <c r="U489" t="inlineStr"/>
      <c r="V489" t="inlineStr">
        <is>
          <t>Тариф с завтраком</t>
        </is>
      </c>
      <c r="W489" t="n">
        <v>12015</v>
      </c>
      <c r="X489" s="3" t="n">
        <v>1335</v>
      </c>
      <c r="Y489" t="inlineStr">
        <is>
          <t>10%</t>
        </is>
      </c>
      <c r="Z489" t="inlineStr">
        <is>
          <t>2026-07-29</t>
        </is>
      </c>
      <c r="AA489" s="3" t="n">
        <v>12015</v>
      </c>
      <c r="AB489" t="inlineStr">
        <is>
          <t>Сошлось по ночным тарифам</t>
        </is>
      </c>
      <c r="AC489" s="2" t="inlineStr"/>
      <c r="AD489" t="n">
        <v>1335</v>
      </c>
      <c r="AE489" t="n">
        <v>0</v>
      </c>
      <c r="AF489" t="inlineStr">
        <is>
          <t>Скидка добавлена к налоговой базе</t>
        </is>
      </c>
      <c r="AG489" t="n">
        <v>13350</v>
      </c>
      <c r="AH489" t="n">
        <v>12015</v>
      </c>
      <c r="AI489" t="inlineStr">
        <is>
          <t>Полное проживание в выбранном периоде</t>
        </is>
      </c>
    </row>
    <row r="490">
      <c r="A490" t="inlineStr">
        <is>
          <t>20260801-8186-453170442</t>
        </is>
      </c>
      <c r="B490" t="n">
        <v>1</v>
      </c>
      <c r="C490" s="2" t="inlineStr">
        <is>
          <t>Наталья Зайковская</t>
        </is>
      </c>
      <c r="D490" s="3" t="n">
        <v>9751.5</v>
      </c>
      <c r="E490" s="4" t="n">
        <v>4</v>
      </c>
      <c r="F490" t="inlineStr">
        <is>
          <t>TravelLine Booking Engine [Чайковский]</t>
        </is>
      </c>
      <c r="G490" s="3">
        <f>ROUND(D490/(100-E490)*100,2)</f>
        <v/>
      </c>
      <c r="H490" s="3" t="n">
        <v>0</v>
      </c>
      <c r="I490" s="3">
        <f>ROUND(IF(ISNUMBER(AG490),AG490,G490)+H490,2)</f>
        <v/>
      </c>
      <c r="J490" s="2" t="inlineStr">
        <is>
          <t>Завтрак "Шведский стол"</t>
        </is>
      </c>
      <c r="K490" s="5" t="n">
        <v>46235.58333333334</v>
      </c>
      <c r="L490" t="n">
        <v>1</v>
      </c>
      <c r="M490" s="3">
        <f>I490/L490</f>
        <v/>
      </c>
      <c r="N490">
        <f>IF(M490&gt;=5100,"ставка","мин.ставка")</f>
        <v/>
      </c>
      <c r="O490" s="3">
        <f>ROUND(IF(N490="мин.ставка",L490*100,I490/102*2),2)</f>
        <v/>
      </c>
      <c r="P490" s="5" t="n">
        <v>46236.5</v>
      </c>
      <c r="Q490" t="inlineStr">
        <is>
          <t>TravelLine сайт</t>
        </is>
      </c>
      <c r="R490" s="2" t="inlineStr">
        <is>
          <t>СТАНДАРТНЫЙ ДВУХМЕСТНЫЙ НОМЕР (МАНСАРДА)</t>
        </is>
      </c>
      <c r="S490" t="n">
        <v>41</v>
      </c>
      <c r="T490" t="n">
        <v>1</v>
      </c>
      <c r="U490" t="inlineStr"/>
      <c r="V490" t="inlineStr">
        <is>
          <t>Тариф с завтраком</t>
        </is>
      </c>
      <c r="W490" t="n">
        <v>9751.5</v>
      </c>
      <c r="X490" s="3" t="n">
        <v>148.5</v>
      </c>
      <c r="Y490" t="inlineStr">
        <is>
          <t>1.5%</t>
        </is>
      </c>
      <c r="Z490" t="inlineStr">
        <is>
          <t>2026-08-01</t>
        </is>
      </c>
      <c r="AA490" s="3" t="n">
        <v>9751.5</v>
      </c>
      <c r="AB490" t="inlineStr">
        <is>
          <t>Сошлось по ночным тарифам</t>
        </is>
      </c>
      <c r="AC490" s="2" t="inlineStr"/>
      <c r="AD490" t="n">
        <v>148.5</v>
      </c>
      <c r="AE490" t="n">
        <v>0</v>
      </c>
      <c r="AF490" t="inlineStr">
        <is>
          <t>Скидка добавлена к налоговой базе</t>
        </is>
      </c>
      <c r="AG490" t="n">
        <v>9900</v>
      </c>
      <c r="AH490" t="n">
        <v>9751.5</v>
      </c>
      <c r="AI490" t="inlineStr">
        <is>
          <t>Полное проживание в выбранном периоде</t>
        </is>
      </c>
    </row>
    <row r="491">
      <c r="A491" t="inlineStr">
        <is>
          <t>20260721-8186-440916013</t>
        </is>
      </c>
      <c r="B491" t="n">
        <v>1</v>
      </c>
      <c r="C491" s="2" t="inlineStr">
        <is>
          <t>Наталья Зайлер</t>
        </is>
      </c>
      <c r="D491" s="3" t="n">
        <v>43500</v>
      </c>
      <c r="E491" s="4" t="n">
        <v>0</v>
      </c>
      <c r="F491" t="inlineStr">
        <is>
          <t>Прямые бронирования (стойка) [Чайковский]</t>
        </is>
      </c>
      <c r="G491" s="3">
        <f>ROUND(D491/(100-E491)*100,2)</f>
        <v/>
      </c>
      <c r="H491" s="3" t="n">
        <v>0</v>
      </c>
      <c r="I491" s="3">
        <f>ROUND(IF(ISNUMBER(AG491),AG491,G491)+H491,2)</f>
        <v/>
      </c>
      <c r="J491" s="2" t="inlineStr">
        <is>
          <t>Завтрак "Шведский стол"</t>
        </is>
      </c>
      <c r="K491" s="5" t="n">
        <v>46224.58333333334</v>
      </c>
      <c r="L491" t="n">
        <v>3</v>
      </c>
      <c r="M491" s="3">
        <f>I491/L491</f>
        <v/>
      </c>
      <c r="N491">
        <f>IF(M491&gt;=5100,"ставка","мин.ставка")</f>
        <v/>
      </c>
      <c r="O491" s="3">
        <f>ROUND(IF(N491="мин.ставка",L491*100,I491/102*2),2)</f>
        <v/>
      </c>
      <c r="P491" s="5" t="n">
        <v>46227.5</v>
      </c>
      <c r="Q491" t="inlineStr">
        <is>
          <t>TravelLine ресепшен</t>
        </is>
      </c>
      <c r="R491" s="2" t="inlineStr">
        <is>
          <t>ПОЛУЛЮКС</t>
        </is>
      </c>
      <c r="S491" t="n">
        <v>25</v>
      </c>
      <c r="T491" t="n">
        <v>1</v>
      </c>
      <c r="U491" t="inlineStr"/>
      <c r="V491" t="inlineStr">
        <is>
          <t>Тариф с завтраком</t>
        </is>
      </c>
      <c r="W491" t="n">
        <v>43500</v>
      </c>
      <c r="X491" s="3" t="n">
        <v>0</v>
      </c>
      <c r="Y491" t="inlineStr"/>
      <c r="Z491" t="inlineStr"/>
      <c r="AA491" s="3" t="n">
        <v>43500</v>
      </c>
      <c r="AB491" t="inlineStr">
        <is>
          <t>Сошлось по ночным тарифам</t>
        </is>
      </c>
      <c r="AC491" s="2" t="inlineStr"/>
      <c r="AD491" t="n">
        <v>0</v>
      </c>
      <c r="AE491" t="n">
        <v>0</v>
      </c>
      <c r="AF491" t="inlineStr">
        <is>
          <t>Скидки нет</t>
        </is>
      </c>
      <c r="AG491" t="n">
        <v>43500</v>
      </c>
      <c r="AH491" t="n">
        <v>43500</v>
      </c>
      <c r="AI491" t="inlineStr">
        <is>
          <t>Полное проживание в выбранном периоде</t>
        </is>
      </c>
    </row>
    <row r="492">
      <c r="A492" t="inlineStr">
        <is>
          <t>20260907-8186-464187956</t>
        </is>
      </c>
      <c r="B492" t="n">
        <v>1</v>
      </c>
      <c r="C492" s="2" t="inlineStr">
        <is>
          <t>Наталья Зарубина</t>
        </is>
      </c>
      <c r="D492" s="3" t="n">
        <v>5925</v>
      </c>
      <c r="E492" s="4" t="n">
        <v>18</v>
      </c>
      <c r="F492" t="inlineStr">
        <is>
          <t>Яндекс.Путешествия [Чайковский]</t>
        </is>
      </c>
      <c r="G492" s="3">
        <f>ROUND(D492/(100-E492)*100,2)</f>
        <v/>
      </c>
      <c r="H492" s="3" t="n">
        <v>0</v>
      </c>
      <c r="I492" s="3">
        <f>ROUND(IF(ISNUMBER(AG492),AG492,G492)+H492,2)</f>
        <v/>
      </c>
      <c r="J492" s="2" t="inlineStr">
        <is>
          <t>Завтрак "Шведский стол"</t>
        </is>
      </c>
      <c r="K492" s="5" t="n">
        <v>46272.58333333334</v>
      </c>
      <c r="L492" t="n">
        <v>1</v>
      </c>
      <c r="M492" s="3">
        <f>I492/L492</f>
        <v/>
      </c>
      <c r="N492">
        <f>IF(M492&gt;=5100,"ставка","мин.ставка")</f>
        <v/>
      </c>
      <c r="O492" s="3">
        <f>ROUND(IF(N492="мин.ставка",L492*100,I492/102*2),2)</f>
        <v/>
      </c>
      <c r="P492" s="5" t="n">
        <v>46273.5</v>
      </c>
      <c r="Q492" t="inlineStr">
        <is>
          <t>TravelLine YAX</t>
        </is>
      </c>
      <c r="R492" s="2" t="inlineStr">
        <is>
          <t>СТАНДАРТНЫЙ ДВУХМЕСТНЫЙ НОМЕР (МАНСАРДА)</t>
        </is>
      </c>
      <c r="S492" t="n">
        <v>47</v>
      </c>
      <c r="T492" t="n">
        <v>1</v>
      </c>
      <c r="U492" t="inlineStr"/>
      <c r="V492" t="inlineStr">
        <is>
          <t>Тариф с завтраком</t>
        </is>
      </c>
      <c r="W492" t="n">
        <v>5925</v>
      </c>
      <c r="X492" s="3" t="n">
        <v>1975</v>
      </c>
      <c r="Y492" t="inlineStr">
        <is>
          <t>25%</t>
        </is>
      </c>
      <c r="Z492" t="inlineStr">
        <is>
          <t>2026-09-07</t>
        </is>
      </c>
      <c r="AA492" s="3" t="n">
        <v>5925</v>
      </c>
      <c r="AB492" t="inlineStr">
        <is>
          <t>Сошлось по ночным тарифам</t>
        </is>
      </c>
      <c r="AC492" s="2" t="inlineStr"/>
      <c r="AD492" t="n">
        <v>1975</v>
      </c>
      <c r="AE492" t="n">
        <v>0</v>
      </c>
      <c r="AF492" t="inlineStr">
        <is>
          <t>Скидка добавлена к налоговой базе</t>
        </is>
      </c>
      <c r="AG492" t="n">
        <v>7900</v>
      </c>
      <c r="AH492" t="n">
        <v>5925</v>
      </c>
      <c r="AI492" t="inlineStr">
        <is>
          <t>Полное проживание в выбранном периоде</t>
        </is>
      </c>
    </row>
    <row r="493">
      <c r="A493" t="inlineStr">
        <is>
          <t>20260831-8186-462545984</t>
        </is>
      </c>
      <c r="B493" t="n">
        <v>1</v>
      </c>
      <c r="C493" s="2" t="inlineStr">
        <is>
          <t>Наталья Карасева, Елена Карасева</t>
        </is>
      </c>
      <c r="D493" s="3" t="n">
        <v>8316</v>
      </c>
      <c r="E493" s="4" t="n">
        <v>16</v>
      </c>
      <c r="F493" t="inlineStr">
        <is>
          <t>ООО "БРОНИРОВАНИЕ ГОСТИНИЦ" (OSTROVOK) [Чайковский]</t>
        </is>
      </c>
      <c r="G493" s="3">
        <f>ROUND(D493/(100-E493)*100,2)</f>
        <v/>
      </c>
      <c r="H493" s="3" t="n">
        <v>0</v>
      </c>
      <c r="I493" s="3">
        <f>ROUND(IF(ISNUMBER(AG493),AG493,G493)+H493,2)</f>
        <v/>
      </c>
      <c r="J493" s="2" t="inlineStr">
        <is>
          <t>Завтрак "Шведский стол"</t>
        </is>
      </c>
      <c r="K493" s="5" t="n">
        <v>46265.58333333334</v>
      </c>
      <c r="L493" t="n">
        <v>1</v>
      </c>
      <c r="M493" s="3">
        <f>I493/L493</f>
        <v/>
      </c>
      <c r="N493">
        <f>IF(M493&gt;=5100,"ставка","мин.ставка")</f>
        <v/>
      </c>
      <c r="O493" s="3">
        <f>ROUND(IF(N493="мин.ставка",L493*100,I493/102*2),2)</f>
        <v/>
      </c>
      <c r="P493" s="5" t="n">
        <v>46266.5</v>
      </c>
      <c r="Q493" t="inlineStr">
        <is>
          <t>TravelLine OTK</t>
        </is>
      </c>
      <c r="R493" s="2" t="inlineStr">
        <is>
          <t>СТАНДАРТНЫЙ ДВУХМЕСТНЫЙ НОМЕР</t>
        </is>
      </c>
      <c r="S493" t="n">
        <v>22</v>
      </c>
      <c r="T493" t="n">
        <v>1</v>
      </c>
      <c r="U493" t="inlineStr"/>
      <c r="V493" t="inlineStr">
        <is>
          <t>Тариф с завтраком</t>
        </is>
      </c>
      <c r="W493" t="n">
        <v>8316</v>
      </c>
      <c r="X493" s="3" t="n">
        <v>1584</v>
      </c>
      <c r="Y493" t="inlineStr">
        <is>
          <t>16%</t>
        </is>
      </c>
      <c r="Z493" t="inlineStr">
        <is>
          <t>2026-08-31</t>
        </is>
      </c>
      <c r="AA493" s="3" t="n">
        <v>8316</v>
      </c>
      <c r="AB493" t="inlineStr">
        <is>
          <t>Сошлось по ночным тарифам</t>
        </is>
      </c>
      <c r="AC493" s="2" t="inlineStr"/>
      <c r="AD493" t="n">
        <v>1584</v>
      </c>
      <c r="AE493" t="n">
        <v>0</v>
      </c>
      <c r="AF493" t="inlineStr">
        <is>
          <t>Скидка добавлена к налоговой базе</t>
        </is>
      </c>
      <c r="AG493" t="n">
        <v>9900</v>
      </c>
      <c r="AH493" t="n">
        <v>8316</v>
      </c>
      <c r="AI493" t="inlineStr">
        <is>
          <t>Полное проживание в выбранном периоде</t>
        </is>
      </c>
    </row>
    <row r="494">
      <c r="A494" t="inlineStr">
        <is>
          <t>20260825-8186-460757995</t>
        </is>
      </c>
      <c r="B494" t="n">
        <v>1</v>
      </c>
      <c r="C494" s="2" t="inlineStr">
        <is>
          <t>НАТАЛЬЯ КОРОЛЕВА</t>
        </is>
      </c>
      <c r="D494" s="3" t="n">
        <v>6680</v>
      </c>
      <c r="E494" s="4" t="n">
        <v>17</v>
      </c>
      <c r="F494" t="inlineStr">
        <is>
          <t>ООО «Интернет Трэвел» (OZON) [Чайковский]</t>
        </is>
      </c>
      <c r="G494" s="3">
        <f>ROUND(D494/(100-E494)*100,2)</f>
        <v/>
      </c>
      <c r="H494" s="3" t="n">
        <v>0</v>
      </c>
      <c r="I494" s="3">
        <f>ROUND(IF(ISNUMBER(AG494),AG494,G494)+H494,2)</f>
        <v/>
      </c>
      <c r="J494" s="2" t="inlineStr">
        <is>
          <t>Завтрак "Шведский стол"</t>
        </is>
      </c>
      <c r="K494" s="5" t="n">
        <v>46259.58333333334</v>
      </c>
      <c r="L494" t="n">
        <v>1</v>
      </c>
      <c r="M494" s="3">
        <f>I494/L494</f>
        <v/>
      </c>
      <c r="N494">
        <f>IF(M494&gt;=5100,"ставка","мин.ставка")</f>
        <v/>
      </c>
      <c r="O494" s="3">
        <f>ROUND(IF(N494="мин.ставка",L494*100,I494/102*2),2)</f>
        <v/>
      </c>
      <c r="P494" s="5" t="n">
        <v>46260.5</v>
      </c>
      <c r="Q494" t="inlineStr">
        <is>
          <t>TravelLine OZ2</t>
        </is>
      </c>
      <c r="R494" s="2" t="inlineStr">
        <is>
          <t>СТАНДАРТНЫЙ ОДНОМЕСТНЫЙ НОМЕР</t>
        </is>
      </c>
      <c r="S494" t="n">
        <v>34</v>
      </c>
      <c r="T494" t="n">
        <v>1</v>
      </c>
      <c r="U494" t="inlineStr"/>
      <c r="V494" t="inlineStr">
        <is>
          <t>Тариф с завтраком</t>
        </is>
      </c>
      <c r="W494" t="n">
        <v>6680</v>
      </c>
      <c r="X494" s="3" t="n">
        <v>0</v>
      </c>
      <c r="Y494" t="inlineStr"/>
      <c r="Z494" t="inlineStr"/>
      <c r="AA494" s="3" t="n">
        <v>6680</v>
      </c>
      <c r="AB494" t="inlineStr">
        <is>
          <t>Сошлось по ночным тарифам</t>
        </is>
      </c>
      <c r="AC494" s="2" t="inlineStr"/>
      <c r="AD494" t="n">
        <v>0</v>
      </c>
      <c r="AE494" t="n">
        <v>0</v>
      </c>
      <c r="AF494" t="inlineStr">
        <is>
          <t>Скидки нет</t>
        </is>
      </c>
      <c r="AG494" t="n">
        <v>6680</v>
      </c>
      <c r="AH494" t="n">
        <v>6680</v>
      </c>
      <c r="AI494" t="inlineStr">
        <is>
          <t>Полное проживание в выбранном периоде</t>
        </is>
      </c>
    </row>
    <row r="495">
      <c r="A495" t="inlineStr">
        <is>
          <t>20260809-8186-419208245</t>
        </is>
      </c>
      <c r="B495" t="n">
        <v>1</v>
      </c>
      <c r="C495" s="2" t="inlineStr">
        <is>
          <t>НАТАЛЬЯ МАКАРОВА, АНДРЕЙ МИХАЛЕВ</t>
        </is>
      </c>
      <c r="D495" s="3" t="n">
        <v>68085</v>
      </c>
      <c r="E495" s="4" t="n">
        <v>16</v>
      </c>
      <c r="F495" t="inlineStr">
        <is>
          <t>ООО "БРОНИРОВАНИЕ ГОСТИНИЦ" (OSTROVOK) [Чайковский]</t>
        </is>
      </c>
      <c r="G495" s="3">
        <f>ROUND(D495/(100-E495)*100,2)</f>
        <v/>
      </c>
      <c r="H495" s="3" t="n">
        <v>0</v>
      </c>
      <c r="I495" s="3">
        <f>ROUND(IF(ISNUMBER(AG495),AG495,G495)+H495,2)</f>
        <v/>
      </c>
      <c r="J495" s="2" t="inlineStr">
        <is>
          <t>Завтрак "Шведский стол"</t>
        </is>
      </c>
      <c r="K495" s="5" t="n">
        <v>46243.58333333334</v>
      </c>
      <c r="L495" t="n">
        <v>6</v>
      </c>
      <c r="M495" s="3">
        <f>I495/L495</f>
        <v/>
      </c>
      <c r="N495">
        <f>IF(M495&gt;=5100,"ставка","мин.ставка")</f>
        <v/>
      </c>
      <c r="O495" s="3">
        <f>ROUND(IF(N495="мин.ставка",L495*100,I495/102*2),2)</f>
        <v/>
      </c>
      <c r="P495" s="5" t="n">
        <v>46249.5</v>
      </c>
      <c r="Q495" t="inlineStr">
        <is>
          <t>TravelLine OTK</t>
        </is>
      </c>
      <c r="R495" s="2" t="inlineStr">
        <is>
          <t>СТАНДАРТНЫЙ ДВУХМЕСТНЫЙ НОМЕР</t>
        </is>
      </c>
      <c r="S495" t="n">
        <v>42</v>
      </c>
      <c r="T495" t="n">
        <v>1</v>
      </c>
      <c r="U495" t="inlineStr"/>
      <c r="V495" t="inlineStr">
        <is>
          <t>Тариф с завтраком</t>
        </is>
      </c>
      <c r="W495" t="n">
        <v>136170</v>
      </c>
      <c r="X495" s="3" t="n">
        <v>12015</v>
      </c>
      <c r="Y495" t="inlineStr">
        <is>
          <t>15%</t>
        </is>
      </c>
      <c r="Z495" t="inlineStr">
        <is>
          <t>2026-08-09, 2026-08-10, 2026-08-11, 2026-08-12, 2026-08-13, 2026-08-14</t>
        </is>
      </c>
      <c r="AA495" s="3" t="n">
        <v>68085</v>
      </c>
      <c r="AB495" t="inlineStr">
        <is>
          <t>Сошлось по ночным тарифам</t>
        </is>
      </c>
      <c r="AC495" s="2" t="inlineStr"/>
      <c r="AD495" t="n">
        <v>12015</v>
      </c>
      <c r="AE495" t="n">
        <v>0</v>
      </c>
      <c r="AF495" t="inlineStr">
        <is>
          <t>Скидка добавлена к налоговой базе</t>
        </is>
      </c>
      <c r="AG495" t="n">
        <v>80100</v>
      </c>
      <c r="AH495" t="n">
        <v>68085</v>
      </c>
      <c r="AI495" t="inlineStr">
        <is>
          <t>Полное проживание в выбранном периоде</t>
        </is>
      </c>
    </row>
    <row r="496">
      <c r="A496" t="inlineStr">
        <is>
          <t>20260721-8186-440916164</t>
        </is>
      </c>
      <c r="B496" t="n">
        <v>1</v>
      </c>
      <c r="C496" s="2" t="inlineStr">
        <is>
          <t>Наталья Новикова</t>
        </is>
      </c>
      <c r="D496" s="3" t="n">
        <v>34050</v>
      </c>
      <c r="E496" s="4" t="n">
        <v>0</v>
      </c>
      <c r="F496" t="inlineStr">
        <is>
          <t>Прямые бронирования (стойка) [Чайковский]</t>
        </is>
      </c>
      <c r="G496" s="3">
        <f>ROUND(D496/(100-E496)*100,2)</f>
        <v/>
      </c>
      <c r="H496" s="3" t="n">
        <v>0</v>
      </c>
      <c r="I496" s="3">
        <f>ROUND(IF(ISNUMBER(AG496),AG496,G496)+H496,2)</f>
        <v/>
      </c>
      <c r="J496" s="2" t="inlineStr">
        <is>
          <t>Завтрак "Шведский стол"</t>
        </is>
      </c>
      <c r="K496" s="5" t="n">
        <v>46224.58333333334</v>
      </c>
      <c r="L496" t="n">
        <v>3</v>
      </c>
      <c r="M496" s="3">
        <f>I496/L496</f>
        <v/>
      </c>
      <c r="N496">
        <f>IF(M496&gt;=5100,"ставка","мин.ставка")</f>
        <v/>
      </c>
      <c r="O496" s="3">
        <f>ROUND(IF(N496="мин.ставка",L496*100,I496/102*2),2)</f>
        <v/>
      </c>
      <c r="P496" s="5" t="n">
        <v>46227.5</v>
      </c>
      <c r="Q496" t="inlineStr">
        <is>
          <t>TravelLine ресепшен</t>
        </is>
      </c>
      <c r="R496" s="2" t="inlineStr">
        <is>
          <t>СТАНДАРТНЫЙ ДВУХМЕСТНЫЙ НОМЕР</t>
        </is>
      </c>
      <c r="S496" t="n">
        <v>46</v>
      </c>
      <c r="T496" t="n">
        <v>1</v>
      </c>
      <c r="U496" t="inlineStr"/>
      <c r="V496" t="inlineStr">
        <is>
          <t>Тариф с завтраком</t>
        </is>
      </c>
      <c r="W496" t="n">
        <v>34050</v>
      </c>
      <c r="X496" s="3" t="n">
        <v>0</v>
      </c>
      <c r="Y496" t="inlineStr"/>
      <c r="Z496" t="inlineStr"/>
      <c r="AA496" s="3" t="n">
        <v>34050</v>
      </c>
      <c r="AB496" t="inlineStr">
        <is>
          <t>Сошлось по ночным тарифам</t>
        </is>
      </c>
      <c r="AC496" s="2" t="inlineStr"/>
      <c r="AD496" t="n">
        <v>0</v>
      </c>
      <c r="AE496" t="n">
        <v>0</v>
      </c>
      <c r="AF496" t="inlineStr">
        <is>
          <t>Скидки нет</t>
        </is>
      </c>
      <c r="AG496" t="n">
        <v>34050</v>
      </c>
      <c r="AH496" t="n">
        <v>34050</v>
      </c>
      <c r="AI496" t="inlineStr">
        <is>
          <t>Полное проживание в выбранном периоде</t>
        </is>
      </c>
    </row>
    <row r="497">
      <c r="A497" t="inlineStr">
        <is>
          <t>20260909-8186-463439312</t>
        </is>
      </c>
      <c r="B497" t="n">
        <v>1</v>
      </c>
      <c r="C497" s="2" t="inlineStr">
        <is>
          <t>Наталья Пряхина</t>
        </is>
      </c>
      <c r="D497" s="3" t="n">
        <v>10998.15</v>
      </c>
      <c r="E497" s="4" t="n">
        <v>4</v>
      </c>
      <c r="F497" t="inlineStr">
        <is>
          <t>TravelLine Booking Engine [Чайковский]</t>
        </is>
      </c>
      <c r="G497" s="3">
        <f>ROUND(D497/(100-E497)*100,2)</f>
        <v/>
      </c>
      <c r="H497" s="3" t="n">
        <v>0</v>
      </c>
      <c r="I497" s="3">
        <f>ROUND(IF(ISNUMBER(AG497),AG497,G497)+H497,2)</f>
        <v/>
      </c>
      <c r="J497" s="2" t="inlineStr">
        <is>
          <t>Завтрак "Шведский стол"</t>
        </is>
      </c>
      <c r="K497" s="5" t="n">
        <v>46274.58333333334</v>
      </c>
      <c r="L497" t="n">
        <v>1</v>
      </c>
      <c r="M497" s="3">
        <f>I497/L497</f>
        <v/>
      </c>
      <c r="N497">
        <f>IF(M497&gt;=5100,"ставка","мин.ставка")</f>
        <v/>
      </c>
      <c r="O497" s="3">
        <f>ROUND(IF(N497="мин.ставка",L497*100,I497/102*2),2)</f>
        <v/>
      </c>
      <c r="P497" s="5" t="n">
        <v>46275.5</v>
      </c>
      <c r="Q497" t="inlineStr">
        <is>
          <t>TravelLine сайт</t>
        </is>
      </c>
      <c r="R497" s="2" t="inlineStr">
        <is>
          <t>СТАНДАРТНЫЙ ДВУХМЕСТНЫЙ НОМЕР</t>
        </is>
      </c>
      <c r="S497" t="n">
        <v>36</v>
      </c>
      <c r="T497" t="n">
        <v>1</v>
      </c>
      <c r="U497" t="inlineStr"/>
      <c r="V497" t="inlineStr">
        <is>
          <t>Тариф с завтраком</t>
        </is>
      </c>
      <c r="W497" t="n">
        <v>10998.15</v>
      </c>
      <c r="X497" s="3" t="n">
        <v>351.85</v>
      </c>
      <c r="Y497" t="inlineStr">
        <is>
          <t>3.1%</t>
        </is>
      </c>
      <c r="Z497" t="inlineStr">
        <is>
          <t>2026-09-09</t>
        </is>
      </c>
      <c r="AA497" s="3" t="n">
        <v>10998.15</v>
      </c>
      <c r="AB497" t="inlineStr">
        <is>
          <t>Сошлось по ночным тарифам</t>
        </is>
      </c>
      <c r="AC497" s="2" t="inlineStr"/>
      <c r="AD497" t="n">
        <v>351.85</v>
      </c>
      <c r="AE497" t="n">
        <v>0</v>
      </c>
      <c r="AF497" t="inlineStr">
        <is>
          <t>Скидка добавлена к налоговой базе</t>
        </is>
      </c>
      <c r="AG497" t="n">
        <v>11350</v>
      </c>
      <c r="AH497" t="n">
        <v>10998.15</v>
      </c>
      <c r="AI497" t="inlineStr">
        <is>
          <t>Полное проживание в выбранном периоде</t>
        </is>
      </c>
    </row>
    <row r="498">
      <c r="A498" t="inlineStr">
        <is>
          <t>20260730-8186-401372495</t>
        </is>
      </c>
      <c r="B498" t="n">
        <v>1</v>
      </c>
      <c r="C498" s="2" t="inlineStr">
        <is>
          <t>Наталья Селина, Илья Задорин</t>
        </is>
      </c>
      <c r="D498" s="3" t="n">
        <v>22695</v>
      </c>
      <c r="E498" s="4" t="n">
        <v>15</v>
      </c>
      <c r="F498" t="inlineStr">
        <is>
          <t>ООО "БРОНИРОВАНИЕ ГОСТИНИЦ" (OSTROVOK) [Чайковский]</t>
        </is>
      </c>
      <c r="G498" s="3">
        <f>ROUND(D498/(100-E498)*100,2)</f>
        <v/>
      </c>
      <c r="H498" s="3" t="n">
        <v>0</v>
      </c>
      <c r="I498" s="3">
        <f>ROUND(IF(ISNUMBER(AG498),AG498,G498)+H498,2)</f>
        <v/>
      </c>
      <c r="J498" s="2" t="inlineStr">
        <is>
          <t>Завтрак "Шведский стол"</t>
        </is>
      </c>
      <c r="K498" s="5" t="n">
        <v>46233.58333333334</v>
      </c>
      <c r="L498" t="n">
        <v>2</v>
      </c>
      <c r="M498" s="3">
        <f>I498/L498</f>
        <v/>
      </c>
      <c r="N498">
        <f>IF(M498&gt;=5100,"ставка","мин.ставка")</f>
        <v/>
      </c>
      <c r="O498" s="3">
        <f>ROUND(IF(N498="мин.ставка",L498*100,I498/102*2),2)</f>
        <v/>
      </c>
      <c r="P498" s="5" t="n">
        <v>46235.5</v>
      </c>
      <c r="Q498" t="inlineStr">
        <is>
          <t>TravelLine OTK</t>
        </is>
      </c>
      <c r="R498" s="2" t="inlineStr">
        <is>
          <t>СТАНДАРТНЫЙ ДВУХМЕСТНЫЙ НОМЕР</t>
        </is>
      </c>
      <c r="S498" t="n">
        <v>33</v>
      </c>
      <c r="T498" t="n">
        <v>1</v>
      </c>
      <c r="U498" t="inlineStr"/>
      <c r="V498" t="inlineStr">
        <is>
          <t>Тариф с завтраком</t>
        </is>
      </c>
      <c r="W498" t="n">
        <v>22695</v>
      </c>
      <c r="X498" s="3" t="n">
        <v>4005</v>
      </c>
      <c r="Y498" t="inlineStr">
        <is>
          <t>15%</t>
        </is>
      </c>
      <c r="Z498" t="inlineStr">
        <is>
          <t>2026-07-30, 2026-07-31</t>
        </is>
      </c>
      <c r="AA498" s="3" t="n">
        <v>22695</v>
      </c>
      <c r="AB498" t="inlineStr">
        <is>
          <t>Сошлось по ночным тарифам</t>
        </is>
      </c>
      <c r="AC498" s="2" t="inlineStr"/>
      <c r="AD498" t="n">
        <v>4005</v>
      </c>
      <c r="AE498" t="n">
        <v>0</v>
      </c>
      <c r="AF498" t="inlineStr">
        <is>
          <t>Скидка добавлена к налоговой базе</t>
        </is>
      </c>
      <c r="AG498" t="n">
        <v>26700</v>
      </c>
      <c r="AH498" t="n">
        <v>22695</v>
      </c>
      <c r="AI498" t="inlineStr">
        <is>
          <t>Полное проживание в выбранном периоде</t>
        </is>
      </c>
    </row>
    <row r="499">
      <c r="A499" t="inlineStr">
        <is>
          <t>20260702-8186-447187422</t>
        </is>
      </c>
      <c r="B499" t="n">
        <v>1</v>
      </c>
      <c r="C499" s="2" t="inlineStr">
        <is>
          <t>Наталья Фетисова</t>
        </is>
      </c>
      <c r="D499" s="3" t="n">
        <v>9900</v>
      </c>
      <c r="E499" s="4" t="n">
        <v>0</v>
      </c>
      <c r="F499" t="inlineStr">
        <is>
          <t>Прямые бронирования (стойка) [Чайковский]</t>
        </is>
      </c>
      <c r="G499" s="3">
        <f>ROUND(D499/(100-E499)*100,2)</f>
        <v/>
      </c>
      <c r="H499" s="3" t="n">
        <v>0</v>
      </c>
      <c r="I499" s="3">
        <f>ROUND(IF(ISNUMBER(AG499),AG499,G499)+H499,2)</f>
        <v/>
      </c>
      <c r="J499" s="2" t="inlineStr">
        <is>
          <t>Завтрак "Шведский стол"</t>
        </is>
      </c>
      <c r="K499" s="5" t="n">
        <v>46205.58333333334</v>
      </c>
      <c r="L499" t="n">
        <v>1</v>
      </c>
      <c r="M499" s="3">
        <f>I499/L499</f>
        <v/>
      </c>
      <c r="N499">
        <f>IF(M499&gt;=5100,"ставка","мин.ставка")</f>
        <v/>
      </c>
      <c r="O499" s="3">
        <f>ROUND(IF(N499="мин.ставка",L499*100,I499/102*2),2)</f>
        <v/>
      </c>
      <c r="P499" s="5" t="n">
        <v>46206.5</v>
      </c>
      <c r="Q499" t="inlineStr">
        <is>
          <t>TravelLine ресепшен</t>
        </is>
      </c>
      <c r="R499" s="2" t="inlineStr">
        <is>
          <t>СТАНДАРТНЫЙ ДВУХМЕСТНЫЙ НОМЕР (МАНСАРДА)</t>
        </is>
      </c>
      <c r="S499" t="n">
        <v>43</v>
      </c>
      <c r="T499" t="n">
        <v>1</v>
      </c>
      <c r="U499" t="inlineStr"/>
      <c r="V499" t="inlineStr">
        <is>
          <t>Тариф с завтраком</t>
        </is>
      </c>
      <c r="W499" t="n">
        <v>9900</v>
      </c>
      <c r="X499" s="3" t="n">
        <v>0</v>
      </c>
      <c r="Y499" t="inlineStr"/>
      <c r="Z499" t="inlineStr"/>
      <c r="AA499" s="3" t="n">
        <v>9900</v>
      </c>
      <c r="AB499" t="inlineStr">
        <is>
          <t>Сошлось по ночным тарифам</t>
        </is>
      </c>
      <c r="AC499" s="2" t="inlineStr"/>
      <c r="AD499" t="n">
        <v>0</v>
      </c>
      <c r="AE499" t="n">
        <v>0</v>
      </c>
      <c r="AF499" t="inlineStr">
        <is>
          <t>Скидки нет</t>
        </is>
      </c>
      <c r="AG499" t="n">
        <v>9900</v>
      </c>
      <c r="AH499" t="n">
        <v>9900</v>
      </c>
      <c r="AI499" t="inlineStr">
        <is>
          <t>Полное проживание в выбранном периоде</t>
        </is>
      </c>
    </row>
    <row r="500">
      <c r="A500" t="inlineStr">
        <is>
          <t>20260627-8186-410539344</t>
        </is>
      </c>
      <c r="B500" t="n">
        <v>1</v>
      </c>
      <c r="C500" s="2" t="inlineStr">
        <is>
          <t>Наталья Шинкарюк</t>
        </is>
      </c>
      <c r="D500" s="3" t="n">
        <v>61600</v>
      </c>
      <c r="E500" s="4" t="n">
        <v>0</v>
      </c>
      <c r="F500" t="inlineStr">
        <is>
          <t>Прямые бронирования (стойка) [Чайковский]</t>
        </is>
      </c>
      <c r="G500" s="3">
        <f>ROUND(D500/(100-E500)*100,2)</f>
        <v/>
      </c>
      <c r="H500" s="3" t="n">
        <v>0</v>
      </c>
      <c r="I500" s="3">
        <f>ROUND(IF(ISNUMBER(AG500),AG500,G500)+H500,2)</f>
        <v/>
      </c>
      <c r="J500" s="2" t="inlineStr"/>
      <c r="K500" s="5" t="n">
        <v>46200.58333333334</v>
      </c>
      <c r="L500" t="n">
        <v>4</v>
      </c>
      <c r="M500" s="3">
        <f>I500/L500</f>
        <v/>
      </c>
      <c r="N500">
        <f>IF(M500&gt;=5100,"ставка","мин.ставка")</f>
        <v/>
      </c>
      <c r="O500" s="3">
        <f>ROUND(IF(N500="мин.ставка",L500*100,I500/102*2),2)</f>
        <v/>
      </c>
      <c r="P500" s="5" t="n">
        <v>46208.5</v>
      </c>
      <c r="Q500" t="inlineStr">
        <is>
          <t>TravelLine ресепшен</t>
        </is>
      </c>
      <c r="R500" s="2" t="inlineStr">
        <is>
          <t>СТАНДАРТНЫЙ ОДНОМЕСТНЫЙ НОМЕР</t>
        </is>
      </c>
      <c r="S500" t="n">
        <v>34</v>
      </c>
      <c r="T500" t="n">
        <v>1</v>
      </c>
      <c r="U500" t="inlineStr"/>
      <c r="V500" t="inlineStr">
        <is>
          <t>Тариф с завтраком</t>
        </is>
      </c>
      <c r="W500" t="n">
        <v>61600</v>
      </c>
      <c r="X500" s="3" t="n">
        <v>0</v>
      </c>
      <c r="Y500" t="inlineStr"/>
      <c r="Z500" t="inlineStr"/>
      <c r="AA500" s="3" t="n">
        <v>61600</v>
      </c>
      <c r="AB500" t="inlineStr">
        <is>
          <t>Сошлось по ночным тарифам</t>
        </is>
      </c>
      <c r="AC500" s="2" t="inlineStr"/>
      <c r="AD500" t="n">
        <v>0</v>
      </c>
      <c r="AE500" t="n">
        <v>0</v>
      </c>
      <c r="AF500" t="inlineStr">
        <is>
          <t>Скидки нет</t>
        </is>
      </c>
      <c r="AG500" t="n">
        <v>30800</v>
      </c>
      <c r="AH500" t="n">
        <v>30800</v>
      </c>
      <c r="AI500" t="inlineStr">
        <is>
          <t>Частичное проживание распределено по dailyRates</t>
        </is>
      </c>
    </row>
    <row r="501">
      <c r="A501" t="inlineStr">
        <is>
          <t>20260914-8186-463592253</t>
        </is>
      </c>
      <c r="B501" t="n">
        <v>1</v>
      </c>
      <c r="C501" s="2" t="inlineStr">
        <is>
          <t>НАТТЕЛА ТКАВАДЗЕ</t>
        </is>
      </c>
      <c r="D501" s="3" t="n">
        <v>9647.5</v>
      </c>
      <c r="E501" s="4" t="n">
        <v>15</v>
      </c>
      <c r="F501" t="inlineStr">
        <is>
          <t>ООО "Библио-Глобус Туроператор" [Чайковский]</t>
        </is>
      </c>
      <c r="G501" s="3">
        <f>ROUND(D501/(100-E501)*100,2)</f>
        <v/>
      </c>
      <c r="H501" s="3" t="n">
        <v>0</v>
      </c>
      <c r="I501" s="3">
        <f>ROUND(IF(ISNUMBER(AG501),AG501,G501)+H501,2)</f>
        <v/>
      </c>
      <c r="J501" s="2" t="inlineStr">
        <is>
          <t>Завтрак "Шведский стол"</t>
        </is>
      </c>
      <c r="K501" s="5" t="n">
        <v>46279.58333333334</v>
      </c>
      <c r="L501" t="n">
        <v>1</v>
      </c>
      <c r="M501" s="3">
        <f>I501/L501</f>
        <v/>
      </c>
      <c r="N501">
        <f>IF(M501&gt;=5100,"ставка","мин.ставка")</f>
        <v/>
      </c>
      <c r="O501" s="3">
        <f>ROUND(IF(N501="мин.ставка",L501*100,I501/102*2),2)</f>
        <v/>
      </c>
      <c r="P501" s="5" t="n">
        <v>46280.5</v>
      </c>
      <c r="Q501" t="inlineStr">
        <is>
          <t>TravelLine BGL</t>
        </is>
      </c>
      <c r="R501" s="2" t="inlineStr">
        <is>
          <t>СТАНДАРТНЫЙ ДВУХМЕСТНЫЙ НОМЕР</t>
        </is>
      </c>
      <c r="S501" t="n">
        <v>22</v>
      </c>
      <c r="T501" t="n">
        <v>1</v>
      </c>
      <c r="U501" t="inlineStr"/>
      <c r="V501" t="inlineStr">
        <is>
          <t>Тариф с завтраком</t>
        </is>
      </c>
      <c r="W501" t="n">
        <v>9647.5</v>
      </c>
      <c r="X501" s="3" t="n">
        <v>0</v>
      </c>
      <c r="Y501" t="inlineStr"/>
      <c r="Z501" t="inlineStr"/>
      <c r="AA501" s="3" t="n">
        <v>9647.5</v>
      </c>
      <c r="AB501" t="inlineStr">
        <is>
          <t>Сошлось по ночным тарифам</t>
        </is>
      </c>
      <c r="AC501" s="2" t="inlineStr"/>
      <c r="AD501" t="n">
        <v>0</v>
      </c>
      <c r="AE501" t="n">
        <v>0</v>
      </c>
      <c r="AF501" t="inlineStr">
        <is>
          <t>Скидки нет</t>
        </is>
      </c>
      <c r="AG501" t="n">
        <v>9647.5</v>
      </c>
      <c r="AH501" t="n">
        <v>9647.5</v>
      </c>
      <c r="AI501" t="inlineStr">
        <is>
          <t>Полное проживание в выбранном периоде</t>
        </is>
      </c>
    </row>
    <row r="502">
      <c r="A502" t="inlineStr">
        <is>
          <t>20260808-8186-441380386</t>
        </is>
      </c>
      <c r="B502" t="n">
        <v>1</v>
      </c>
      <c r="C502" s="2" t="inlineStr">
        <is>
          <t>Никита Войнов, Мария Муромова</t>
        </is>
      </c>
      <c r="D502" s="3" t="n">
        <v>7920</v>
      </c>
      <c r="E502" s="4" t="n">
        <v>18</v>
      </c>
      <c r="F502" t="inlineStr">
        <is>
          <t>Яндекс.Путешествия [Чайковский]</t>
        </is>
      </c>
      <c r="G502" s="3">
        <f>ROUND(D502/(100-E502)*100,2)</f>
        <v/>
      </c>
      <c r="H502" s="3" t="n">
        <v>0</v>
      </c>
      <c r="I502" s="3">
        <f>ROUND(IF(ISNUMBER(AG502),AG502,G502)+H502,2)</f>
        <v/>
      </c>
      <c r="J502" s="2" t="inlineStr">
        <is>
          <t>Завтрак "Шведский стол"</t>
        </is>
      </c>
      <c r="K502" s="5" t="n">
        <v>46242.58333333334</v>
      </c>
      <c r="L502" t="n">
        <v>1</v>
      </c>
      <c r="M502" s="3">
        <f>I502/L502</f>
        <v/>
      </c>
      <c r="N502">
        <f>IF(M502&gt;=5100,"ставка","мин.ставка")</f>
        <v/>
      </c>
      <c r="O502" s="3">
        <f>ROUND(IF(N502="мин.ставка",L502*100,I502/102*2),2)</f>
        <v/>
      </c>
      <c r="P502" s="5" t="n">
        <v>46243.5</v>
      </c>
      <c r="Q502" t="inlineStr">
        <is>
          <t>TravelLine YAX</t>
        </is>
      </c>
      <c r="R502" s="2" t="inlineStr">
        <is>
          <t>СТАНДАРТНЫЙ ДВУХМЕСТНЫЙ НОМЕР (МАНСАРДА)</t>
        </is>
      </c>
      <c r="S502" t="n">
        <v>47</v>
      </c>
      <c r="T502" t="n">
        <v>1</v>
      </c>
      <c r="U502" t="inlineStr"/>
      <c r="V502" t="inlineStr">
        <is>
          <t>Тариф с завтраком</t>
        </is>
      </c>
      <c r="W502" t="n">
        <v>7920</v>
      </c>
      <c r="X502" s="3" t="n">
        <v>1980</v>
      </c>
      <c r="Y502" t="inlineStr">
        <is>
          <t>20%</t>
        </is>
      </c>
      <c r="Z502" t="inlineStr">
        <is>
          <t>2026-08-08</t>
        </is>
      </c>
      <c r="AA502" s="3" t="n">
        <v>7920</v>
      </c>
      <c r="AB502" t="inlineStr">
        <is>
          <t>Сошлось по ночным тарифам</t>
        </is>
      </c>
      <c r="AC502" s="2" t="inlineStr"/>
      <c r="AD502" t="n">
        <v>1980</v>
      </c>
      <c r="AE502" t="n">
        <v>0</v>
      </c>
      <c r="AF502" t="inlineStr">
        <is>
          <t>Скидка добавлена к налоговой базе</t>
        </is>
      </c>
      <c r="AG502" t="n">
        <v>9900</v>
      </c>
      <c r="AH502" t="n">
        <v>7920</v>
      </c>
      <c r="AI502" t="inlineStr">
        <is>
          <t>Полное проживание в выбранном периоде</t>
        </is>
      </c>
    </row>
    <row r="503">
      <c r="A503" t="inlineStr">
        <is>
          <t>20260930-8186-466735765</t>
        </is>
      </c>
      <c r="B503" t="n">
        <v>1</v>
      </c>
      <c r="C503" s="2" t="inlineStr">
        <is>
          <t>НИКИТА СЕРГЕЕВ</t>
        </is>
      </c>
      <c r="D503" s="3" t="n">
        <v>18062.5</v>
      </c>
      <c r="E503" s="4" t="n">
        <v>15</v>
      </c>
      <c r="F503" t="inlineStr">
        <is>
          <t>ООО "АКАДЕМ-ОНЛАЙН" [Чайковский]</t>
        </is>
      </c>
      <c r="G503" s="3">
        <f>ROUND(D503/(100-E503)*100,2)</f>
        <v/>
      </c>
      <c r="H503" s="3" t="n">
        <v>0</v>
      </c>
      <c r="I503" s="3">
        <f>ROUND(IF(ISNUMBER(AG503),AG503,G503)+H503,2)</f>
        <v/>
      </c>
      <c r="J503" s="2" t="inlineStr"/>
      <c r="K503" s="5" t="n">
        <v>46295.58333333334</v>
      </c>
      <c r="L503" t="n">
        <v>1</v>
      </c>
      <c r="M503" s="3">
        <f>I503/L503</f>
        <v/>
      </c>
      <c r="N503">
        <f>IF(M503&gt;=5100,"ставка","мин.ставка")</f>
        <v/>
      </c>
      <c r="O503" s="3">
        <f>ROUND(IF(N503="мин.ставка",L503*100,I503/102*2),2)</f>
        <v/>
      </c>
      <c r="P503" s="5" t="n">
        <v>46297.5</v>
      </c>
      <c r="Q503" t="inlineStr">
        <is>
          <t>TravelLine ACS</t>
        </is>
      </c>
      <c r="R503" s="2" t="inlineStr">
        <is>
          <t>СТАНДАРТНЫЙ ДВУХМЕСТНЫЙ НОМЕР</t>
        </is>
      </c>
      <c r="S503" t="n">
        <v>46</v>
      </c>
      <c r="T503" t="n">
        <v>1</v>
      </c>
      <c r="U503" t="inlineStr"/>
      <c r="V503" t="inlineStr">
        <is>
          <t>Тариф с завтраком</t>
        </is>
      </c>
      <c r="W503" t="n">
        <v>18062.5</v>
      </c>
      <c r="X503" s="3" t="n">
        <v>3187.5</v>
      </c>
      <c r="Y503" t="inlineStr">
        <is>
          <t>15%</t>
        </is>
      </c>
      <c r="Z503" t="inlineStr">
        <is>
          <t>Не распределена по датам</t>
        </is>
      </c>
      <c r="AA503" s="3" t="n">
        <v>18062.5</v>
      </c>
      <c r="AB503" t="inlineStr">
        <is>
          <t>Сошлось по ночным тарифам</t>
        </is>
      </c>
      <c r="AC503" s="2" t="inlineStr"/>
      <c r="AD503" t="n">
        <v>0</v>
      </c>
      <c r="AE503" t="n">
        <v>0</v>
      </c>
      <c r="AF503" t="inlineStr">
        <is>
          <t>Частичный период: дата агрегированной скидки не определена; скидка не добавлена к базе</t>
        </is>
      </c>
      <c r="AG503" t="n">
        <v>9647.5</v>
      </c>
      <c r="AH503" t="n">
        <v>9647.5</v>
      </c>
      <c r="AI503" t="inlineStr">
        <is>
          <t>Частичное проживание распределено по dailyRates; скидка без даты не восстановлена</t>
        </is>
      </c>
    </row>
    <row r="504">
      <c r="A504" t="inlineStr">
        <is>
          <t>20260704-8186-442805250</t>
        </is>
      </c>
      <c r="B504" t="n">
        <v>1</v>
      </c>
      <c r="C504" s="2" t="inlineStr">
        <is>
          <t>Никита Шалыгин</t>
        </is>
      </c>
      <c r="D504" s="3" t="n">
        <v>34050</v>
      </c>
      <c r="E504" s="4" t="n">
        <v>0</v>
      </c>
      <c r="F504" t="inlineStr">
        <is>
          <t>Прямые бронирования (стойка) [Чайковский]</t>
        </is>
      </c>
      <c r="G504" s="3">
        <f>ROUND(D504/(100-E504)*100,2)</f>
        <v/>
      </c>
      <c r="H504" s="3" t="n">
        <v>0</v>
      </c>
      <c r="I504" s="3">
        <f>ROUND(IF(ISNUMBER(AG504),AG504,G504)+H504,2)</f>
        <v/>
      </c>
      <c r="J504" s="2" t="inlineStr">
        <is>
          <t>Завтрак "Шведский стол"</t>
        </is>
      </c>
      <c r="K504" s="5" t="n">
        <v>46207.58333333334</v>
      </c>
      <c r="L504" t="n">
        <v>3</v>
      </c>
      <c r="M504" s="3">
        <f>I504/L504</f>
        <v/>
      </c>
      <c r="N504">
        <f>IF(M504&gt;=5100,"ставка","мин.ставка")</f>
        <v/>
      </c>
      <c r="O504" s="3">
        <f>ROUND(IF(N504="мин.ставка",L504*100,I504/102*2),2)</f>
        <v/>
      </c>
      <c r="P504" s="5" t="n">
        <v>46210.5</v>
      </c>
      <c r="Q504" t="inlineStr">
        <is>
          <t>TravelLine ресепшен</t>
        </is>
      </c>
      <c r="R504" s="2" t="inlineStr">
        <is>
          <t>СТАНДАРТНЫЙ ДВУХМЕСТНЫЙ НОМЕР</t>
        </is>
      </c>
      <c r="S504" t="n">
        <v>32</v>
      </c>
      <c r="T504" t="n">
        <v>1</v>
      </c>
      <c r="U504" t="inlineStr"/>
      <c r="V504" t="inlineStr">
        <is>
          <t>Тариф с завтраком</t>
        </is>
      </c>
      <c r="W504" t="n">
        <v>34050</v>
      </c>
      <c r="X504" s="3" t="n">
        <v>0</v>
      </c>
      <c r="Y504" t="inlineStr"/>
      <c r="Z504" t="inlineStr"/>
      <c r="AA504" s="3" t="n">
        <v>34050</v>
      </c>
      <c r="AB504" t="inlineStr">
        <is>
          <t>Сошлось по ночным тарифам</t>
        </is>
      </c>
      <c r="AC504" s="2" t="inlineStr"/>
      <c r="AD504" t="n">
        <v>0</v>
      </c>
      <c r="AE504" t="n">
        <v>0</v>
      </c>
      <c r="AF504" t="inlineStr">
        <is>
          <t>Скидки нет</t>
        </is>
      </c>
      <c r="AG504" t="n">
        <v>34050</v>
      </c>
      <c r="AH504" t="n">
        <v>34050</v>
      </c>
      <c r="AI504" t="inlineStr">
        <is>
          <t>Полное проживание в выбранном периоде</t>
        </is>
      </c>
    </row>
    <row r="505">
      <c r="A505" t="inlineStr">
        <is>
          <t>20260630-8186-439700002</t>
        </is>
      </c>
      <c r="B505" t="n">
        <v>1</v>
      </c>
      <c r="C505" s="2" t="inlineStr">
        <is>
          <t>Николай Богданов</t>
        </is>
      </c>
      <c r="D505" s="3" t="n">
        <v>27921</v>
      </c>
      <c r="E505" s="4" t="n">
        <v>18</v>
      </c>
      <c r="F505" t="inlineStr">
        <is>
          <t>ООО "Эй энд Эй" [Чайковский]</t>
        </is>
      </c>
      <c r="G505" s="3">
        <f>ROUND(D505/(100-E505)*100,2)</f>
        <v/>
      </c>
      <c r="H505" s="3" t="n">
        <v>0</v>
      </c>
      <c r="I505" s="3">
        <f>ROUND(IF(ISNUMBER(AG505),AG505,G505)+H505,2)</f>
        <v/>
      </c>
      <c r="J505" s="2" t="inlineStr"/>
      <c r="K505" s="5" t="n">
        <v>46203.58333333334</v>
      </c>
      <c r="L505" t="n">
        <v>2</v>
      </c>
      <c r="M505" s="3">
        <f>I505/L505</f>
        <v/>
      </c>
      <c r="N505">
        <f>IF(M505&gt;=5100,"ставка","мин.ставка")</f>
        <v/>
      </c>
      <c r="O505" s="3">
        <f>ROUND(IF(N505="мин.ставка",L505*100,I505/102*2),2)</f>
        <v/>
      </c>
      <c r="P505" s="5" t="n">
        <v>46206.5</v>
      </c>
      <c r="Q505" t="inlineStr">
        <is>
          <t>TravelLine ANA</t>
        </is>
      </c>
      <c r="R505" s="2" t="inlineStr">
        <is>
          <t>СТАНДАРТНЫЙ ДВУХМЕСТНЫЙ НОМЕР</t>
        </is>
      </c>
      <c r="S505" t="n">
        <v>46</v>
      </c>
      <c r="T505" t="n">
        <v>1</v>
      </c>
      <c r="U505" t="inlineStr"/>
      <c r="V505" t="inlineStr">
        <is>
          <t>Тариф с завтраком</t>
        </is>
      </c>
      <c r="W505" t="n">
        <v>27921</v>
      </c>
      <c r="X505" s="3" t="n">
        <v>6129</v>
      </c>
      <c r="Y505" t="inlineStr">
        <is>
          <t>18%</t>
        </is>
      </c>
      <c r="Z505" t="inlineStr">
        <is>
          <t>2026-06-30, 2026-07-01, 2026-07-02</t>
        </is>
      </c>
      <c r="AA505" s="3" t="n">
        <v>27921</v>
      </c>
      <c r="AB505" t="inlineStr">
        <is>
          <t>Сошлось по ночным тарифам</t>
        </is>
      </c>
      <c r="AC505" s="2" t="inlineStr"/>
      <c r="AD505" t="n">
        <v>4086</v>
      </c>
      <c r="AE505" t="n">
        <v>0</v>
      </c>
      <c r="AF505" t="inlineStr">
        <is>
          <t>Ночи скидки определены по dailyRates; в базу добавлена только часть выбранного периода</t>
        </is>
      </c>
      <c r="AG505" t="n">
        <v>22700</v>
      </c>
      <c r="AH505" t="n">
        <v>18614</v>
      </c>
      <c r="AI505" t="inlineStr">
        <is>
          <t>Частичное проживание распределено по dailyRates</t>
        </is>
      </c>
    </row>
    <row r="506">
      <c r="A506" t="inlineStr">
        <is>
          <t>20260809-8186-456961370</t>
        </is>
      </c>
      <c r="B506" t="n">
        <v>1</v>
      </c>
      <c r="C506" s="2" t="inlineStr">
        <is>
          <t>НИКОЛАЙ Двугрошев</t>
        </is>
      </c>
      <c r="D506" s="3" t="n">
        <v>16500</v>
      </c>
      <c r="E506" s="4" t="n">
        <v>0</v>
      </c>
      <c r="F506" t="inlineStr">
        <is>
          <t>Прямые бронирования (стойка) [Чайковский]</t>
        </is>
      </c>
      <c r="G506" s="3">
        <f>ROUND(D506/(100-E506)*100,2)</f>
        <v/>
      </c>
      <c r="H506" s="3" t="n">
        <v>0</v>
      </c>
      <c r="I506" s="3">
        <f>ROUND(IF(ISNUMBER(AG506),AG506,G506)+H506,2)</f>
        <v/>
      </c>
      <c r="J506" s="2" t="inlineStr">
        <is>
          <t>Завтрак "Шведский стол"</t>
        </is>
      </c>
      <c r="K506" s="5" t="n">
        <v>46243.58333333334</v>
      </c>
      <c r="L506" t="n">
        <v>1</v>
      </c>
      <c r="M506" s="3">
        <f>I506/L506</f>
        <v/>
      </c>
      <c r="N506">
        <f>IF(M506&gt;=5100,"ставка","мин.ставка")</f>
        <v/>
      </c>
      <c r="O506" s="3">
        <f>ROUND(IF(N506="мин.ставка",L506*100,I506/102*2),2)</f>
        <v/>
      </c>
      <c r="P506" s="5" t="n">
        <v>46244.5</v>
      </c>
      <c r="Q506" t="inlineStr">
        <is>
          <t>TravelLine ресепшен</t>
        </is>
      </c>
      <c r="R506" s="2" t="inlineStr">
        <is>
          <t>ПОЛУЛЮКС</t>
        </is>
      </c>
      <c r="S506" t="n">
        <v>25</v>
      </c>
      <c r="T506" t="n">
        <v>1</v>
      </c>
      <c r="U506" t="inlineStr"/>
      <c r="V506" t="inlineStr">
        <is>
          <t>Тариф с завтраком</t>
        </is>
      </c>
      <c r="W506" t="n">
        <v>16500</v>
      </c>
      <c r="X506" s="3" t="n">
        <v>0</v>
      </c>
      <c r="Y506" t="inlineStr"/>
      <c r="Z506" t="inlineStr"/>
      <c r="AA506" s="3" t="n">
        <v>16500</v>
      </c>
      <c r="AB506" t="inlineStr">
        <is>
          <t>Сошлось по ночным тарифам</t>
        </is>
      </c>
      <c r="AC506" s="2" t="inlineStr"/>
      <c r="AD506" t="n">
        <v>0</v>
      </c>
      <c r="AE506" t="n">
        <v>0</v>
      </c>
      <c r="AF506" t="inlineStr">
        <is>
          <t>Скидки нет</t>
        </is>
      </c>
      <c r="AG506" t="n">
        <v>16500</v>
      </c>
      <c r="AH506" t="n">
        <v>16500</v>
      </c>
      <c r="AI506" t="inlineStr">
        <is>
          <t>Полное проживание в выбранном периоде</t>
        </is>
      </c>
    </row>
    <row r="507">
      <c r="A507" t="inlineStr">
        <is>
          <t>20260821-8186-459875156</t>
        </is>
      </c>
      <c r="B507" t="n">
        <v>1</v>
      </c>
      <c r="C507" s="2" t="inlineStr">
        <is>
          <t>НИКОЛАЙ Соболев</t>
        </is>
      </c>
      <c r="D507" s="3" t="n">
        <v>11350</v>
      </c>
      <c r="E507" s="4" t="n">
        <v>0</v>
      </c>
      <c r="F507" t="inlineStr">
        <is>
          <t>Прямые бронирования (стойка) [Чайковский]</t>
        </is>
      </c>
      <c r="G507" s="3">
        <f>ROUND(D507/(100-E507)*100,2)</f>
        <v/>
      </c>
      <c r="H507" s="3" t="n">
        <v>0</v>
      </c>
      <c r="I507" s="3">
        <f>ROUND(IF(ISNUMBER(AG507),AG507,G507)+H507,2)</f>
        <v/>
      </c>
      <c r="J507" s="2" t="inlineStr">
        <is>
          <t>Завтрак "Шведский стол"</t>
        </is>
      </c>
      <c r="K507" s="5" t="n">
        <v>46255.58333333334</v>
      </c>
      <c r="L507" t="n">
        <v>1</v>
      </c>
      <c r="M507" s="3">
        <f>I507/L507</f>
        <v/>
      </c>
      <c r="N507">
        <f>IF(M507&gt;=5100,"ставка","мин.ставка")</f>
        <v/>
      </c>
      <c r="O507" s="3">
        <f>ROUND(IF(N507="мин.ставка",L507*100,I507/102*2),2)</f>
        <v/>
      </c>
      <c r="P507" s="5" t="n">
        <v>46256.5</v>
      </c>
      <c r="Q507" t="inlineStr">
        <is>
          <t>TravelLine ресепшен</t>
        </is>
      </c>
      <c r="R507" s="2" t="inlineStr">
        <is>
          <t>СТАНДАРТНЫЙ ДВУХМЕСТНЫЙ НОМЕР</t>
        </is>
      </c>
      <c r="S507" t="n">
        <v>26</v>
      </c>
      <c r="T507" t="n">
        <v>1</v>
      </c>
      <c r="U507" t="inlineStr"/>
      <c r="V507" t="inlineStr">
        <is>
          <t>Тариф с завтраком</t>
        </is>
      </c>
      <c r="W507" t="n">
        <v>11350</v>
      </c>
      <c r="X507" s="3" t="n">
        <v>0</v>
      </c>
      <c r="Y507" t="inlineStr"/>
      <c r="Z507" t="inlineStr"/>
      <c r="AA507" s="3" t="n">
        <v>11350</v>
      </c>
      <c r="AB507" t="inlineStr">
        <is>
          <t>Сошлось по ночным тарифам</t>
        </is>
      </c>
      <c r="AC507" s="2" t="inlineStr"/>
      <c r="AD507" t="n">
        <v>0</v>
      </c>
      <c r="AE507" t="n">
        <v>0</v>
      </c>
      <c r="AF507" t="inlineStr">
        <is>
          <t>Скидки нет</t>
        </is>
      </c>
      <c r="AG507" t="n">
        <v>11350</v>
      </c>
      <c r="AH507" t="n">
        <v>11350</v>
      </c>
      <c r="AI507" t="inlineStr">
        <is>
          <t>Полное проживание в выбранном периоде</t>
        </is>
      </c>
    </row>
    <row r="508">
      <c r="A508" t="inlineStr">
        <is>
          <t>20260627-8186-440220677</t>
        </is>
      </c>
      <c r="B508" t="n">
        <v>1</v>
      </c>
      <c r="C508" s="2" t="inlineStr">
        <is>
          <t>НИКОЛАЙ ЯРОВОЙ, ЕЛЕНА ИСУПОВА</t>
        </is>
      </c>
      <c r="D508" s="3" t="n">
        <v>76629</v>
      </c>
      <c r="E508" s="4" t="n">
        <v>18</v>
      </c>
      <c r="F508" t="inlineStr">
        <is>
          <t>ООО "ТРИВИО СЕРВИС" [Чайковский]</t>
        </is>
      </c>
      <c r="G508" s="3">
        <f>ROUND(D508/(100-E508)*100,2)</f>
        <v/>
      </c>
      <c r="H508" s="3" t="n">
        <v>0</v>
      </c>
      <c r="I508" s="3">
        <f>ROUND(IF(ISNUMBER(AG508),AG508,G508)+H508,2)</f>
        <v/>
      </c>
      <c r="J508" s="2" t="inlineStr"/>
      <c r="K508" s="5" t="n">
        <v>46200.58333333334</v>
      </c>
      <c r="L508" t="n">
        <v>3</v>
      </c>
      <c r="M508" s="3">
        <f>I508/L508</f>
        <v/>
      </c>
      <c r="N508">
        <f>IF(M508&gt;=5100,"ставка","мин.ставка")</f>
        <v/>
      </c>
      <c r="O508" s="3">
        <f>ROUND(IF(N508="мин.ставка",L508*100,I508/102*2),2)</f>
        <v/>
      </c>
      <c r="P508" s="5" t="n">
        <v>46207.91666666666</v>
      </c>
      <c r="Q508" t="inlineStr">
        <is>
          <t>TravelLine TIO</t>
        </is>
      </c>
      <c r="R508" s="2" t="inlineStr">
        <is>
          <t>СТАНДАРТНЫЙ ДВУХМЕСТНЫЙ НОМЕР</t>
        </is>
      </c>
      <c r="S508" t="n">
        <v>33</v>
      </c>
      <c r="T508" t="n">
        <v>1</v>
      </c>
      <c r="U508" t="inlineStr"/>
      <c r="V508" t="inlineStr">
        <is>
          <t>Тариф с завтраком</t>
        </is>
      </c>
      <c r="W508" t="n">
        <v>89776</v>
      </c>
      <c r="X508" s="3" t="n">
        <v>16821</v>
      </c>
      <c r="Y508" t="inlineStr">
        <is>
          <t>18%</t>
        </is>
      </c>
      <c r="Z508" t="inlineStr">
        <is>
          <t>2026-06-27, 2026-06-28, 2026-06-29, 2026-06-30, 2026-07-01, 2026-07-02, 2026-07-03</t>
        </is>
      </c>
      <c r="AA508" s="3" t="n">
        <v>76629</v>
      </c>
      <c r="AB508" t="inlineStr">
        <is>
          <t>Расхождение -10947.00 ₽</t>
        </is>
      </c>
      <c r="AC508" s="2" t="inlineStr"/>
      <c r="AD508" t="n">
        <v>7209</v>
      </c>
      <c r="AE508" t="n">
        <v>0</v>
      </c>
      <c r="AF508" t="inlineStr">
        <is>
          <t>Ночи скидки определены по dailyRates; в базу добавлена только часть выбранного периода</t>
        </is>
      </c>
      <c r="AG508" t="n">
        <v>40050</v>
      </c>
      <c r="AH508" t="n">
        <v>32841</v>
      </c>
      <c r="AI508" t="inlineStr">
        <is>
          <t>Частичное проживание распределено по dailyRates; допуслуги без даты исключены</t>
        </is>
      </c>
    </row>
    <row r="509">
      <c r="A509" t="inlineStr">
        <is>
          <t>20260806-8186-455738885</t>
        </is>
      </c>
      <c r="B509" t="n">
        <v>1</v>
      </c>
      <c r="C509" s="2" t="inlineStr">
        <is>
          <t>Николай Яроцкий</t>
        </is>
      </c>
      <c r="D509" s="3" t="n">
        <v>11350</v>
      </c>
      <c r="E509" s="4" t="n">
        <v>0</v>
      </c>
      <c r="F509" t="inlineStr">
        <is>
          <t>Прямые бронирования (стойка) [Чайковский]</t>
        </is>
      </c>
      <c r="G509" s="3">
        <f>ROUND(D509/(100-E509)*100,2)</f>
        <v/>
      </c>
      <c r="H509" s="3" t="n">
        <v>0</v>
      </c>
      <c r="I509" s="3">
        <f>ROUND(IF(ISNUMBER(AG509),AG509,G509)+H509,2)</f>
        <v/>
      </c>
      <c r="J509" s="2" t="inlineStr">
        <is>
          <t>Завтрак "Шведский стол"</t>
        </is>
      </c>
      <c r="K509" s="5" t="n">
        <v>46240.58333333334</v>
      </c>
      <c r="L509" t="n">
        <v>1</v>
      </c>
      <c r="M509" s="3">
        <f>I509/L509</f>
        <v/>
      </c>
      <c r="N509">
        <f>IF(M509&gt;=5100,"ставка","мин.ставка")</f>
        <v/>
      </c>
      <c r="O509" s="3">
        <f>ROUND(IF(N509="мин.ставка",L509*100,I509/102*2),2)</f>
        <v/>
      </c>
      <c r="P509" s="5" t="n">
        <v>46241.5</v>
      </c>
      <c r="Q509" t="inlineStr">
        <is>
          <t>TravelLine ресепшен</t>
        </is>
      </c>
      <c r="R509" s="2" t="inlineStr">
        <is>
          <t>СТАНДАРТНЫЙ ДВУХМЕСТНЫЙ НОМЕР</t>
        </is>
      </c>
      <c r="S509" t="n">
        <v>42</v>
      </c>
      <c r="T509" t="n">
        <v>1</v>
      </c>
      <c r="U509" t="inlineStr"/>
      <c r="V509" t="inlineStr">
        <is>
          <t>Тариф с завтраком</t>
        </is>
      </c>
      <c r="W509" t="n">
        <v>11350</v>
      </c>
      <c r="X509" s="3" t="n">
        <v>0</v>
      </c>
      <c r="Y509" t="inlineStr"/>
      <c r="Z509" t="inlineStr"/>
      <c r="AA509" s="3" t="n">
        <v>11350</v>
      </c>
      <c r="AB509" t="inlineStr">
        <is>
          <t>Сошлось по ночным тарифам</t>
        </is>
      </c>
      <c r="AC509" s="2" t="inlineStr"/>
      <c r="AD509" t="n">
        <v>0</v>
      </c>
      <c r="AE509" t="n">
        <v>0</v>
      </c>
      <c r="AF509" t="inlineStr">
        <is>
          <t>Скидки нет</t>
        </is>
      </c>
      <c r="AG509" t="n">
        <v>11350</v>
      </c>
      <c r="AH509" t="n">
        <v>11350</v>
      </c>
      <c r="AI509" t="inlineStr">
        <is>
          <t>Полное проживание в выбранном периоде</t>
        </is>
      </c>
    </row>
    <row r="510">
      <c r="A510" t="inlineStr">
        <is>
          <t>20260820-8186-416292777</t>
        </is>
      </c>
      <c r="B510" t="n">
        <v>1</v>
      </c>
      <c r="C510" s="2" t="inlineStr">
        <is>
          <t>Нина Тарасова</t>
        </is>
      </c>
      <c r="D510" s="3" t="n">
        <v>38261.3</v>
      </c>
      <c r="E510" s="4" t="n">
        <v>4</v>
      </c>
      <c r="F510" t="inlineStr">
        <is>
          <t>TravelLine Booking Engine [Чайковский]</t>
        </is>
      </c>
      <c r="G510" s="3">
        <f>ROUND(D510/(100-E510)*100,2)</f>
        <v/>
      </c>
      <c r="H510" s="3" t="n">
        <v>0</v>
      </c>
      <c r="I510" s="3">
        <f>ROUND(IF(ISNUMBER(AG510),AG510,G510)+H510,2)</f>
        <v/>
      </c>
      <c r="J510" s="2" t="inlineStr">
        <is>
          <t>Завтрак "Шведский стол"</t>
        </is>
      </c>
      <c r="K510" s="5" t="n">
        <v>46254.58333333334</v>
      </c>
      <c r="L510" t="n">
        <v>5</v>
      </c>
      <c r="M510" s="3">
        <f>I510/L510</f>
        <v/>
      </c>
      <c r="N510">
        <f>IF(M510&gt;=5100,"ставка","мин.ставка")</f>
        <v/>
      </c>
      <c r="O510" s="3">
        <f>ROUND(IF(N510="мин.ставка",L510*100,I510/102*2),2)</f>
        <v/>
      </c>
      <c r="P510" s="5" t="n">
        <v>46259.5</v>
      </c>
      <c r="Q510" t="inlineStr">
        <is>
          <t>TravelLine сайт</t>
        </is>
      </c>
      <c r="R510" s="2" t="inlineStr">
        <is>
          <t>СТАНДАРТНЫЙ ОДНОМЕСТНЫЙ НОМЕР</t>
        </is>
      </c>
      <c r="S510" t="n">
        <v>24</v>
      </c>
      <c r="T510" t="n">
        <v>1</v>
      </c>
      <c r="U510" t="inlineStr"/>
      <c r="V510" t="inlineStr">
        <is>
          <t>Тариф с завтраком</t>
        </is>
      </c>
      <c r="W510" t="n">
        <v>38261.3</v>
      </c>
      <c r="X510" s="3" t="n">
        <v>238.7</v>
      </c>
      <c r="Y510" t="inlineStr">
        <is>
          <t>3.1%</t>
        </is>
      </c>
      <c r="Z510" t="inlineStr">
        <is>
          <t>2026-08-20</t>
        </is>
      </c>
      <c r="AA510" s="3" t="n">
        <v>38261.3</v>
      </c>
      <c r="AB510" t="inlineStr">
        <is>
          <t>Сошлось по ночным тарифам</t>
        </is>
      </c>
      <c r="AC510" s="2" t="inlineStr"/>
      <c r="AD510" t="n">
        <v>238.7</v>
      </c>
      <c r="AE510" t="n">
        <v>0</v>
      </c>
      <c r="AF510" t="inlineStr">
        <is>
          <t>Скидка добавлена к налоговой базе</t>
        </is>
      </c>
      <c r="AG510" t="n">
        <v>38500</v>
      </c>
      <c r="AH510" t="n">
        <v>38261.3</v>
      </c>
      <c r="AI510" t="inlineStr">
        <is>
          <t>Полное проживание в выбранном периоде</t>
        </is>
      </c>
    </row>
    <row r="511">
      <c r="A511" t="inlineStr">
        <is>
          <t>20260730-8186-412433351</t>
        </is>
      </c>
      <c r="B511" t="n">
        <v>1</v>
      </c>
      <c r="C511" s="2" t="inlineStr">
        <is>
          <t>Нина Хохлова</t>
        </is>
      </c>
      <c r="D511" s="3" t="n">
        <v>12320</v>
      </c>
      <c r="E511" s="4" t="n">
        <v>18</v>
      </c>
      <c r="F511" t="inlineStr">
        <is>
          <t>Яндекс.Путешествия [Чайковский]</t>
        </is>
      </c>
      <c r="G511" s="3">
        <f>ROUND(D511/(100-E511)*100,2)</f>
        <v/>
      </c>
      <c r="H511" s="3" t="n">
        <v>0</v>
      </c>
      <c r="I511" s="3">
        <f>ROUND(IF(ISNUMBER(AG511),AG511,G511)+H511,2)</f>
        <v/>
      </c>
      <c r="J511" s="2" t="inlineStr">
        <is>
          <t>Завтрак "Шведский стол"</t>
        </is>
      </c>
      <c r="K511" s="5" t="n">
        <v>46233.58333333334</v>
      </c>
      <c r="L511" t="n">
        <v>2</v>
      </c>
      <c r="M511" s="3">
        <f>I511/L511</f>
        <v/>
      </c>
      <c r="N511">
        <f>IF(M511&gt;=5100,"ставка","мин.ставка")</f>
        <v/>
      </c>
      <c r="O511" s="3">
        <f>ROUND(IF(N511="мин.ставка",L511*100,I511/102*2),2)</f>
        <v/>
      </c>
      <c r="P511" s="5" t="n">
        <v>46235.5</v>
      </c>
      <c r="Q511" t="inlineStr">
        <is>
          <t>TravelLine YAX</t>
        </is>
      </c>
      <c r="R511" s="2" t="inlineStr">
        <is>
          <t>СТАНДАРТНЫЙ ОДНОМЕСТНЫЙ НОМЕР</t>
        </is>
      </c>
      <c r="S511" t="n">
        <v>34</v>
      </c>
      <c r="T511" t="n">
        <v>1</v>
      </c>
      <c r="U511" t="inlineStr"/>
      <c r="V511" t="inlineStr">
        <is>
          <t>Тариф с завтраком</t>
        </is>
      </c>
      <c r="W511" t="n">
        <v>12320</v>
      </c>
      <c r="X511" s="3" t="n">
        <v>3080</v>
      </c>
      <c r="Y511" t="inlineStr">
        <is>
          <t>20%</t>
        </is>
      </c>
      <c r="Z511" t="inlineStr">
        <is>
          <t>2026-07-30, 2026-07-31</t>
        </is>
      </c>
      <c r="AA511" s="3" t="n">
        <v>12320</v>
      </c>
      <c r="AB511" t="inlineStr">
        <is>
          <t>Сошлось по ночным тарифам</t>
        </is>
      </c>
      <c r="AC511" s="2" t="inlineStr"/>
      <c r="AD511" t="n">
        <v>3080</v>
      </c>
      <c r="AE511" t="n">
        <v>0</v>
      </c>
      <c r="AF511" t="inlineStr">
        <is>
          <t>Скидка добавлена к налоговой базе</t>
        </is>
      </c>
      <c r="AG511" t="n">
        <v>15400</v>
      </c>
      <c r="AH511" t="n">
        <v>12320</v>
      </c>
      <c r="AI511" t="inlineStr">
        <is>
          <t>Полное проживание в выбранном периоде</t>
        </is>
      </c>
    </row>
    <row r="512">
      <c r="A512" t="inlineStr">
        <is>
          <t>20260802-8186-455240119</t>
        </is>
      </c>
      <c r="B512" t="n">
        <v>1</v>
      </c>
      <c r="C512" s="2" t="inlineStr">
        <is>
          <t>Нина Яроцкая, Иван Горбунчиков</t>
        </is>
      </c>
      <c r="D512" s="3" t="n">
        <v>8217</v>
      </c>
      <c r="E512" s="4" t="n">
        <v>18</v>
      </c>
      <c r="F512" t="inlineStr">
        <is>
          <t>Яндекс.Путешествия [Чайковский]</t>
        </is>
      </c>
      <c r="G512" s="3">
        <f>ROUND(D512/(100-E512)*100,2)</f>
        <v/>
      </c>
      <c r="H512" s="3" t="n">
        <v>0</v>
      </c>
      <c r="I512" s="3">
        <f>ROUND(IF(ISNUMBER(AG512),AG512,G512)+H512,2)</f>
        <v/>
      </c>
      <c r="J512" s="2" t="inlineStr">
        <is>
          <t>Завтрак "Шведский стол"</t>
        </is>
      </c>
      <c r="K512" s="5" t="n">
        <v>46236.58333333334</v>
      </c>
      <c r="L512" t="n">
        <v>1</v>
      </c>
      <c r="M512" s="3">
        <f>I512/L512</f>
        <v/>
      </c>
      <c r="N512">
        <f>IF(M512&gt;=5100,"ставка","мин.ставка")</f>
        <v/>
      </c>
      <c r="O512" s="3">
        <f>ROUND(IF(N512="мин.ставка",L512*100,I512/102*2),2)</f>
        <v/>
      </c>
      <c r="P512" s="5" t="n">
        <v>46237.5</v>
      </c>
      <c r="Q512" t="inlineStr">
        <is>
          <t>TravelLine YAX</t>
        </is>
      </c>
      <c r="R512" s="2" t="inlineStr">
        <is>
          <t>СТАНДАРТНЫЙ ДВУХМЕСТНЫЙ НОМЕР (МАНСАРДА)</t>
        </is>
      </c>
      <c r="S512" t="n">
        <v>43</v>
      </c>
      <c r="T512" t="n">
        <v>1</v>
      </c>
      <c r="U512" t="inlineStr"/>
      <c r="V512" t="inlineStr">
        <is>
          <t>Тариф с завтраком</t>
        </is>
      </c>
      <c r="W512" t="n">
        <v>8217</v>
      </c>
      <c r="X512" s="3" t="n">
        <v>1683</v>
      </c>
      <c r="Y512" t="inlineStr">
        <is>
          <t>17%</t>
        </is>
      </c>
      <c r="Z512" t="inlineStr">
        <is>
          <t>2026-08-02</t>
        </is>
      </c>
      <c r="AA512" s="3" t="n">
        <v>8217</v>
      </c>
      <c r="AB512" t="inlineStr">
        <is>
          <t>Сошлось по ночным тарифам</t>
        </is>
      </c>
      <c r="AC512" s="2" t="inlineStr"/>
      <c r="AD512" t="n">
        <v>1683</v>
      </c>
      <c r="AE512" t="n">
        <v>0</v>
      </c>
      <c r="AF512" t="inlineStr">
        <is>
          <t>Скидка добавлена к налоговой базе</t>
        </is>
      </c>
      <c r="AG512" t="n">
        <v>9900</v>
      </c>
      <c r="AH512" t="n">
        <v>8217</v>
      </c>
      <c r="AI512" t="inlineStr">
        <is>
          <t>Полное проживание в выбранном периоде</t>
        </is>
      </c>
    </row>
    <row r="513">
      <c r="A513" t="inlineStr">
        <is>
          <t>20260814-8186-458393454</t>
        </is>
      </c>
      <c r="B513" t="n">
        <v>1</v>
      </c>
      <c r="C513" s="2" t="inlineStr">
        <is>
          <t>Оксана Мисанец, ЭДУАРД АНТОНЯН</t>
        </is>
      </c>
      <c r="D513" s="3" t="n">
        <v>16252.5</v>
      </c>
      <c r="E513" s="4" t="n">
        <v>4</v>
      </c>
      <c r="F513" t="inlineStr">
        <is>
          <t>TravelLine Booking Engine [Чайковский]</t>
        </is>
      </c>
      <c r="G513" s="3">
        <f>ROUND(D513/(100-E513)*100,2)</f>
        <v/>
      </c>
      <c r="H513" s="3" t="n">
        <v>0</v>
      </c>
      <c r="I513" s="3">
        <f>ROUND(IF(ISNUMBER(AG513),AG513,G513)+H513,2)</f>
        <v/>
      </c>
      <c r="J513" s="2" t="inlineStr">
        <is>
          <t>Завтрак "Шведский стол"</t>
        </is>
      </c>
      <c r="K513" s="5" t="n">
        <v>46248.58333333334</v>
      </c>
      <c r="L513" t="n">
        <v>1</v>
      </c>
      <c r="M513" s="3">
        <f>I513/L513</f>
        <v/>
      </c>
      <c r="N513">
        <f>IF(M513&gt;=5100,"ставка","мин.ставка")</f>
        <v/>
      </c>
      <c r="O513" s="3">
        <f>ROUND(IF(N513="мин.ставка",L513*100,I513/102*2),2)</f>
        <v/>
      </c>
      <c r="P513" s="5" t="n">
        <v>46249.5</v>
      </c>
      <c r="Q513" t="inlineStr">
        <is>
          <t>TravelLine сайт</t>
        </is>
      </c>
      <c r="R513" s="2" t="inlineStr">
        <is>
          <t>ПОЛУЛЮКС</t>
        </is>
      </c>
      <c r="S513" t="n">
        <v>35</v>
      </c>
      <c r="T513" t="n">
        <v>1</v>
      </c>
      <c r="U513" t="inlineStr"/>
      <c r="V513" t="inlineStr">
        <is>
          <t>Тариф с завтраком</t>
        </is>
      </c>
      <c r="W513" t="n">
        <v>16252.5</v>
      </c>
      <c r="X513" s="3" t="n">
        <v>247.5</v>
      </c>
      <c r="Y513" t="inlineStr">
        <is>
          <t>1.5%</t>
        </is>
      </c>
      <c r="Z513" t="inlineStr">
        <is>
          <t>2026-08-14</t>
        </is>
      </c>
      <c r="AA513" s="3" t="n">
        <v>16252.5</v>
      </c>
      <c r="AB513" t="inlineStr">
        <is>
          <t>Сошлось по ночным тарифам</t>
        </is>
      </c>
      <c r="AC513" s="2" t="inlineStr"/>
      <c r="AD513" t="n">
        <v>247.5</v>
      </c>
      <c r="AE513" t="n">
        <v>0</v>
      </c>
      <c r="AF513" t="inlineStr">
        <is>
          <t>Скидка добавлена к налоговой базе</t>
        </is>
      </c>
      <c r="AG513" t="n">
        <v>16500</v>
      </c>
      <c r="AH513" t="n">
        <v>16252.5</v>
      </c>
      <c r="AI513" t="inlineStr">
        <is>
          <t>Полное проживание в выбранном периоде</t>
        </is>
      </c>
    </row>
    <row r="514">
      <c r="A514" t="inlineStr">
        <is>
          <t>20260818-8186-455916790</t>
        </is>
      </c>
      <c r="B514" t="n">
        <v>1</v>
      </c>
      <c r="C514" s="2" t="inlineStr">
        <is>
          <t>Оксана Степаненко</t>
        </is>
      </c>
      <c r="D514" s="3" t="n">
        <v>28782.5</v>
      </c>
      <c r="E514" s="4" t="n">
        <v>4</v>
      </c>
      <c r="F514" t="inlineStr">
        <is>
          <t>TravelLine Booking Engine [Чайковский]</t>
        </is>
      </c>
      <c r="G514" s="3">
        <f>ROUND(D514/(100-E514)*100,2)</f>
        <v/>
      </c>
      <c r="H514" s="3" t="n">
        <v>0</v>
      </c>
      <c r="I514" s="3">
        <f>ROUND(IF(ISNUMBER(AG514),AG514,G514)+H514,2)</f>
        <v/>
      </c>
      <c r="J514" s="2" t="inlineStr">
        <is>
          <t>Завтрак "Шведский стол"</t>
        </is>
      </c>
      <c r="K514" s="5" t="n">
        <v>46252.58333333334</v>
      </c>
      <c r="L514" t="n">
        <v>2</v>
      </c>
      <c r="M514" s="3">
        <f>I514/L514</f>
        <v/>
      </c>
      <c r="N514">
        <f>IF(M514&gt;=5100,"ставка","мин.ставка")</f>
        <v/>
      </c>
      <c r="O514" s="3">
        <f>ROUND(IF(N514="мин.ставка",L514*100,I514/102*2),2)</f>
        <v/>
      </c>
      <c r="P514" s="5" t="n">
        <v>46254.5</v>
      </c>
      <c r="Q514" t="inlineStr">
        <is>
          <t>TravelLine сайт</t>
        </is>
      </c>
      <c r="R514" s="2" t="inlineStr">
        <is>
          <t>ПОЛУЛЮКС</t>
        </is>
      </c>
      <c r="S514" t="n">
        <v>35</v>
      </c>
      <c r="T514" t="n">
        <v>1</v>
      </c>
      <c r="U514" t="inlineStr"/>
      <c r="V514" t="inlineStr">
        <is>
          <t>Тариф с завтраком</t>
        </is>
      </c>
      <c r="W514" t="n">
        <v>28782.5</v>
      </c>
      <c r="X514" s="3" t="n">
        <v>217.5</v>
      </c>
      <c r="Y514" t="inlineStr">
        <is>
          <t>1.5%</t>
        </is>
      </c>
      <c r="Z514" t="inlineStr">
        <is>
          <t>2026-08-18</t>
        </is>
      </c>
      <c r="AA514" s="3" t="n">
        <v>28782.5</v>
      </c>
      <c r="AB514" t="inlineStr">
        <is>
          <t>Сошлось по ночным тарифам</t>
        </is>
      </c>
      <c r="AC514" s="2" t="inlineStr"/>
      <c r="AD514" t="n">
        <v>217.5</v>
      </c>
      <c r="AE514" t="n">
        <v>0</v>
      </c>
      <c r="AF514" t="inlineStr">
        <is>
          <t>Скидка добавлена к налоговой базе</t>
        </is>
      </c>
      <c r="AG514" t="n">
        <v>29000</v>
      </c>
      <c r="AH514" t="n">
        <v>28782.5</v>
      </c>
      <c r="AI514" t="inlineStr">
        <is>
          <t>Полное проживание в выбранном периоде</t>
        </is>
      </c>
    </row>
    <row r="515">
      <c r="A515" t="inlineStr">
        <is>
          <t>20260916-8186-464600077</t>
        </is>
      </c>
      <c r="B515" t="n">
        <v>1</v>
      </c>
      <c r="C515" s="2" t="inlineStr">
        <is>
          <t>ОКСАНА СЫСУЕВА</t>
        </is>
      </c>
      <c r="D515" s="3" t="n">
        <v>10972.5</v>
      </c>
      <c r="E515" s="4" t="n">
        <v>18</v>
      </c>
      <c r="F515" t="inlineStr">
        <is>
          <t>Яндекс.Путешествия [Чайковский]</t>
        </is>
      </c>
      <c r="G515" s="3">
        <f>ROUND(D515/(100-E515)*100,2)</f>
        <v/>
      </c>
      <c r="H515" s="3" t="n">
        <v>0</v>
      </c>
      <c r="I515" s="3">
        <f>ROUND(IF(ISNUMBER(AG515),AG515,G515)+H515,2)</f>
        <v/>
      </c>
      <c r="J515" s="2" t="inlineStr">
        <is>
          <t>Завтрак "Шведский стол"</t>
        </is>
      </c>
      <c r="K515" s="5" t="n">
        <v>46281.58333333334</v>
      </c>
      <c r="L515" t="n">
        <v>2</v>
      </c>
      <c r="M515" s="3">
        <f>I515/L515</f>
        <v/>
      </c>
      <c r="N515">
        <f>IF(M515&gt;=5100,"ставка","мин.ставка")</f>
        <v/>
      </c>
      <c r="O515" s="3">
        <f>ROUND(IF(N515="мин.ставка",L515*100,I515/102*2),2)</f>
        <v/>
      </c>
      <c r="P515" s="5" t="n">
        <v>46283.5</v>
      </c>
      <c r="Q515" t="inlineStr">
        <is>
          <t>TravelLine YAX</t>
        </is>
      </c>
      <c r="R515" s="2" t="inlineStr">
        <is>
          <t>СТАНДАРТНЫЙ ОДНОМЕСТНЫЙ НОМЕР</t>
        </is>
      </c>
      <c r="S515" t="n">
        <v>34</v>
      </c>
      <c r="T515" t="n">
        <v>1</v>
      </c>
      <c r="U515" t="inlineStr"/>
      <c r="V515" t="inlineStr">
        <is>
          <t>Тариф с завтраком</t>
        </is>
      </c>
      <c r="W515" t="n">
        <v>10972.5</v>
      </c>
      <c r="X515" s="3" t="n">
        <v>3657.5</v>
      </c>
      <c r="Y515" t="inlineStr">
        <is>
          <t>25%</t>
        </is>
      </c>
      <c r="Z515" t="inlineStr">
        <is>
          <t>2026-09-16, 2026-09-17</t>
        </is>
      </c>
      <c r="AA515" s="3" t="n">
        <v>10972.5</v>
      </c>
      <c r="AB515" t="inlineStr">
        <is>
          <t>Сошлось по ночным тарифам</t>
        </is>
      </c>
      <c r="AC515" s="2" t="inlineStr"/>
      <c r="AD515" t="n">
        <v>3657.5</v>
      </c>
      <c r="AE515" t="n">
        <v>0</v>
      </c>
      <c r="AF515" t="inlineStr">
        <is>
          <t>Скидка добавлена к налоговой базе</t>
        </is>
      </c>
      <c r="AG515" t="n">
        <v>14630</v>
      </c>
      <c r="AH515" t="n">
        <v>10972.5</v>
      </c>
      <c r="AI515" t="inlineStr">
        <is>
          <t>Полное проживание в выбранном периоде</t>
        </is>
      </c>
    </row>
    <row r="516">
      <c r="A516" t="inlineStr">
        <is>
          <t>20260830-8186-462334439</t>
        </is>
      </c>
      <c r="B516" t="n">
        <v>1</v>
      </c>
      <c r="C516" s="2" t="inlineStr">
        <is>
          <t>Олег Лисовский</t>
        </is>
      </c>
      <c r="D516" s="3" t="n">
        <v>6478</v>
      </c>
      <c r="E516" s="4" t="n">
        <v>18</v>
      </c>
      <c r="F516" t="inlineStr">
        <is>
          <t>ООО "Эй энд Эй" [Чайковский]</t>
        </is>
      </c>
      <c r="G516" s="3">
        <f>ROUND(D516/(100-E516)*100,2)</f>
        <v/>
      </c>
      <c r="H516" s="3" t="n">
        <v>0</v>
      </c>
      <c r="I516" s="3">
        <f>ROUND(IF(ISNUMBER(AG516),AG516,G516)+H516,2)</f>
        <v/>
      </c>
      <c r="J516" s="2" t="inlineStr">
        <is>
          <t>Завтрак "Шведский стол"</t>
        </is>
      </c>
      <c r="K516" s="5" t="n">
        <v>46264.58333333334</v>
      </c>
      <c r="L516" t="n">
        <v>1</v>
      </c>
      <c r="M516" s="3">
        <f>I516/L516</f>
        <v/>
      </c>
      <c r="N516">
        <f>IF(M516&gt;=5100,"ставка","мин.ставка")</f>
        <v/>
      </c>
      <c r="O516" s="3">
        <f>ROUND(IF(N516="мин.ставка",L516*100,I516/102*2),2)</f>
        <v/>
      </c>
      <c r="P516" s="5" t="n">
        <v>46265.5</v>
      </c>
      <c r="Q516" t="inlineStr">
        <is>
          <t>TravelLine ANA</t>
        </is>
      </c>
      <c r="R516" s="2" t="inlineStr">
        <is>
          <t>СТАНДАРТНЫЙ ДВУХМЕСТНЫЙ НОМЕР</t>
        </is>
      </c>
      <c r="S516" t="n">
        <v>33</v>
      </c>
      <c r="T516" t="n">
        <v>1</v>
      </c>
      <c r="U516" t="inlineStr"/>
      <c r="V516" t="inlineStr">
        <is>
          <t>Тариф с завтраком</t>
        </is>
      </c>
      <c r="W516" t="n">
        <v>6478</v>
      </c>
      <c r="X516" s="3" t="n">
        <v>1422</v>
      </c>
      <c r="Y516" t="inlineStr">
        <is>
          <t>18%</t>
        </is>
      </c>
      <c r="Z516" t="inlineStr">
        <is>
          <t>2026-08-30</t>
        </is>
      </c>
      <c r="AA516" s="3" t="n">
        <v>6478</v>
      </c>
      <c r="AB516" t="inlineStr">
        <is>
          <t>Сошлось по ночным тарифам</t>
        </is>
      </c>
      <c r="AC516" s="2" t="inlineStr"/>
      <c r="AD516" t="n">
        <v>1422</v>
      </c>
      <c r="AE516" t="n">
        <v>0</v>
      </c>
      <c r="AF516" t="inlineStr">
        <is>
          <t>Скидка добавлена к налоговой базе</t>
        </is>
      </c>
      <c r="AG516" t="n">
        <v>7900</v>
      </c>
      <c r="AH516" t="n">
        <v>6478</v>
      </c>
      <c r="AI516" t="inlineStr">
        <is>
          <t>Полное проживание в выбранном периоде</t>
        </is>
      </c>
    </row>
    <row r="517">
      <c r="A517" t="inlineStr">
        <is>
          <t>20260830-8186-461980619</t>
        </is>
      </c>
      <c r="B517" t="n">
        <v>1</v>
      </c>
      <c r="C517" s="2" t="inlineStr">
        <is>
          <t>Олег Пашкин, ЮЛИЯ ПАШКИНА</t>
        </is>
      </c>
      <c r="D517" s="3" t="n">
        <v>7920</v>
      </c>
      <c r="E517" s="4" t="n">
        <v>20</v>
      </c>
      <c r="F517" t="inlineStr">
        <is>
          <t>ООО "КОМПАНИЯ БРОНЕВИК" [Чайковский]</t>
        </is>
      </c>
      <c r="G517" s="3">
        <f>ROUND(D517/(100-E517)*100,2)</f>
        <v/>
      </c>
      <c r="H517" s="3" t="n">
        <v>0</v>
      </c>
      <c r="I517" s="3">
        <f>ROUND(IF(ISNUMBER(AG517),AG517,G517)+H517,2)</f>
        <v/>
      </c>
      <c r="J517" s="2" t="inlineStr">
        <is>
          <t>Завтрак "Шведский стол"</t>
        </is>
      </c>
      <c r="K517" s="5" t="n">
        <v>46264.58333333334</v>
      </c>
      <c r="L517" t="n">
        <v>1</v>
      </c>
      <c r="M517" s="3">
        <f>I517/L517</f>
        <v/>
      </c>
      <c r="N517">
        <f>IF(M517&gt;=5100,"ставка","мин.ставка")</f>
        <v/>
      </c>
      <c r="O517" s="3">
        <f>ROUND(IF(N517="мин.ставка",L517*100,I517/102*2),2)</f>
        <v/>
      </c>
      <c r="P517" s="5" t="n">
        <v>46265.5</v>
      </c>
      <c r="Q517" t="inlineStr">
        <is>
          <t>TravelLine BR2</t>
        </is>
      </c>
      <c r="R517" s="2" t="inlineStr">
        <is>
          <t>СТАНДАРТНЫЙ ДВУХМЕСТНЫЙ НОМЕР</t>
        </is>
      </c>
      <c r="S517" t="n">
        <v>32</v>
      </c>
      <c r="T517" t="n">
        <v>1</v>
      </c>
      <c r="U517" t="inlineStr"/>
      <c r="V517" t="inlineStr">
        <is>
          <t>Тариф с завтраком</t>
        </is>
      </c>
      <c r="W517" t="n">
        <v>7920</v>
      </c>
      <c r="X517" s="3" t="n">
        <v>0</v>
      </c>
      <c r="Y517" t="inlineStr"/>
      <c r="Z517" t="inlineStr"/>
      <c r="AA517" s="3" t="n">
        <v>7920</v>
      </c>
      <c r="AB517" t="inlineStr">
        <is>
          <t>Сошлось по ночным тарифам</t>
        </is>
      </c>
      <c r="AC517" s="2" t="inlineStr"/>
      <c r="AD517" t="n">
        <v>0</v>
      </c>
      <c r="AE517" t="n">
        <v>0</v>
      </c>
      <c r="AF517" t="inlineStr">
        <is>
          <t>Скидки нет</t>
        </is>
      </c>
      <c r="AG517" t="n">
        <v>7920</v>
      </c>
      <c r="AH517" t="n">
        <v>7920</v>
      </c>
      <c r="AI517" t="inlineStr">
        <is>
          <t>Полное проживание в выбранном периоде</t>
        </is>
      </c>
    </row>
    <row r="518">
      <c r="A518" t="inlineStr">
        <is>
          <t>20260831-8186-462645979</t>
        </is>
      </c>
      <c r="B518" t="n">
        <v>1</v>
      </c>
      <c r="C518" s="2" t="inlineStr">
        <is>
          <t>Олег Пашкин, ЮЛИЯ ПАШКИНА</t>
        </is>
      </c>
      <c r="D518" s="3" t="n">
        <v>9900</v>
      </c>
      <c r="E518" s="4" t="n">
        <v>0</v>
      </c>
      <c r="F518" t="inlineStr">
        <is>
          <t>Прямые бронирования (стойка) [Чайковский]</t>
        </is>
      </c>
      <c r="G518" s="3">
        <f>ROUND(D518/(100-E518)*100,2)</f>
        <v/>
      </c>
      <c r="H518" s="3" t="n">
        <v>0</v>
      </c>
      <c r="I518" s="3">
        <f>ROUND(IF(ISNUMBER(AG518),AG518,G518)+H518,2)</f>
        <v/>
      </c>
      <c r="J518" s="2" t="inlineStr">
        <is>
          <t>Завтрак "Шведский стол"</t>
        </is>
      </c>
      <c r="K518" s="5" t="n">
        <v>46265.58333333334</v>
      </c>
      <c r="L518" t="n">
        <v>1</v>
      </c>
      <c r="M518" s="3">
        <f>I518/L518</f>
        <v/>
      </c>
      <c r="N518">
        <f>IF(M518&gt;=5100,"ставка","мин.ставка")</f>
        <v/>
      </c>
      <c r="O518" s="3">
        <f>ROUND(IF(N518="мин.ставка",L518*100,I518/102*2),2)</f>
        <v/>
      </c>
      <c r="P518" s="5" t="n">
        <v>46266.5</v>
      </c>
      <c r="Q518" t="inlineStr">
        <is>
          <t>TravelLine ресепшен</t>
        </is>
      </c>
      <c r="R518" s="2" t="inlineStr">
        <is>
          <t>СТАНДАРТНЫЙ ДВУХМЕСТНЫЙ НОМЕР</t>
        </is>
      </c>
      <c r="S518" t="n">
        <v>32</v>
      </c>
      <c r="T518" t="n">
        <v>1</v>
      </c>
      <c r="U518" t="inlineStr"/>
      <c r="V518" t="inlineStr">
        <is>
          <t>Тариф с завтраком</t>
        </is>
      </c>
      <c r="W518" t="n">
        <v>9900</v>
      </c>
      <c r="X518" s="3" t="n">
        <v>0</v>
      </c>
      <c r="Y518" t="inlineStr"/>
      <c r="Z518" t="inlineStr"/>
      <c r="AA518" s="3" t="n">
        <v>9900</v>
      </c>
      <c r="AB518" t="inlineStr">
        <is>
          <t>Сошлось по ночным тарифам</t>
        </is>
      </c>
      <c r="AC518" s="2" t="inlineStr"/>
      <c r="AD518" t="n">
        <v>0</v>
      </c>
      <c r="AE518" t="n">
        <v>0</v>
      </c>
      <c r="AF518" t="inlineStr">
        <is>
          <t>Скидки нет</t>
        </is>
      </c>
      <c r="AG518" t="n">
        <v>9900</v>
      </c>
      <c r="AH518" t="n">
        <v>9900</v>
      </c>
      <c r="AI518" t="inlineStr">
        <is>
          <t>Полное проживание в выбранном периоде</t>
        </is>
      </c>
    </row>
    <row r="519">
      <c r="A519" t="inlineStr">
        <is>
          <t>20260904-8186-419608255</t>
        </is>
      </c>
      <c r="B519" t="n">
        <v>1</v>
      </c>
      <c r="C519" s="2" t="inlineStr">
        <is>
          <t>Олег Рассказов, Дмитрий Рассказов</t>
        </is>
      </c>
      <c r="D519" s="3" t="n">
        <v>19493.1</v>
      </c>
      <c r="E519" s="4" t="n">
        <v>4</v>
      </c>
      <c r="F519" t="inlineStr">
        <is>
          <t>TravelLine Booking Engine [Чайковский]</t>
        </is>
      </c>
      <c r="G519" s="3">
        <f>ROUND(D519/(100-E519)*100,2)</f>
        <v/>
      </c>
      <c r="H519" s="3" t="n">
        <v>0</v>
      </c>
      <c r="I519" s="3">
        <f>ROUND(IF(ISNUMBER(AG519),AG519,G519)+H519,2)</f>
        <v/>
      </c>
      <c r="J519" s="2" t="inlineStr">
        <is>
          <t>Завтрак "Шведский стол"</t>
        </is>
      </c>
      <c r="K519" s="5" t="n">
        <v>46269.58333333334</v>
      </c>
      <c r="L519" t="n">
        <v>2</v>
      </c>
      <c r="M519" s="3">
        <f>I519/L519</f>
        <v/>
      </c>
      <c r="N519">
        <f>IF(M519&gt;=5100,"ставка","мин.ставка")</f>
        <v/>
      </c>
      <c r="O519" s="3">
        <f>ROUND(IF(N519="мин.ставка",L519*100,I519/102*2),2)</f>
        <v/>
      </c>
      <c r="P519" s="5" t="n">
        <v>46271.5</v>
      </c>
      <c r="Q519" t="inlineStr">
        <is>
          <t>TravelLine сайт</t>
        </is>
      </c>
      <c r="R519" s="2" t="inlineStr">
        <is>
          <t>УЛУЧШЕННЫЙ ДВУХМЕСТНЫЙ НОМЕР</t>
        </is>
      </c>
      <c r="S519" t="n">
        <v>21</v>
      </c>
      <c r="T519" t="n">
        <v>1</v>
      </c>
      <c r="U519" t="inlineStr"/>
      <c r="V519" t="inlineStr">
        <is>
          <t>Тариф с завтраком</t>
        </is>
      </c>
      <c r="W519" t="n">
        <v>45779.25</v>
      </c>
      <c r="X519" s="3" t="n">
        <v>306.9</v>
      </c>
      <c r="Y519" t="inlineStr">
        <is>
          <t>3.1%</t>
        </is>
      </c>
      <c r="Z519" t="inlineStr">
        <is>
          <t>2026-09-04</t>
        </is>
      </c>
      <c r="AA519" s="3" t="n">
        <v>19493.1</v>
      </c>
      <c r="AB519" t="inlineStr">
        <is>
          <t>Сошлось по ночным тарифам</t>
        </is>
      </c>
      <c r="AC519" s="2" t="inlineStr"/>
      <c r="AD519" t="n">
        <v>306.9</v>
      </c>
      <c r="AE519" t="n">
        <v>0</v>
      </c>
      <c r="AF519" t="inlineStr">
        <is>
          <t>Скидка добавлена к налоговой базе</t>
        </is>
      </c>
      <c r="AG519" t="n">
        <v>19800</v>
      </c>
      <c r="AH519" t="n">
        <v>19493.1</v>
      </c>
      <c r="AI519" t="inlineStr">
        <is>
          <t>Полное проживание в выбранном периоде</t>
        </is>
      </c>
    </row>
    <row r="520">
      <c r="A520" t="inlineStr">
        <is>
          <t>20260824-8186-435973741</t>
        </is>
      </c>
      <c r="B520" t="n">
        <v>1</v>
      </c>
      <c r="C520" s="2" t="inlineStr">
        <is>
          <t>ОЛЕГ СОКОЛОВ, АННА ШИШКОВА</t>
        </is>
      </c>
      <c r="D520" s="3" t="n">
        <v>93450</v>
      </c>
      <c r="E520" s="4" t="n">
        <v>15</v>
      </c>
      <c r="F520" t="inlineStr">
        <is>
          <t>ООО «12Т» (ранее ONE TWO TRIP) [Чайковский]</t>
        </is>
      </c>
      <c r="G520" s="3">
        <f>ROUND(D520/(100-E520)*100,2)</f>
        <v/>
      </c>
      <c r="H520" s="3" t="n">
        <v>0</v>
      </c>
      <c r="I520" s="3">
        <f>ROUND(IF(ISNUMBER(AG520),AG520,G520)+H520,2)</f>
        <v/>
      </c>
      <c r="J520" s="2" t="inlineStr">
        <is>
          <t>Завтрак "Шведский стол"</t>
        </is>
      </c>
      <c r="K520" s="5" t="n">
        <v>46260.58333333334</v>
      </c>
      <c r="L520" t="n">
        <v>7</v>
      </c>
      <c r="M520" s="3">
        <f>I520/L520</f>
        <v/>
      </c>
      <c r="N520">
        <f>IF(M520&gt;=5100,"ставка","мин.ставка")</f>
        <v/>
      </c>
      <c r="O520" s="3">
        <f>ROUND(IF(N520="мин.ставка",L520*100,I520/102*2),2)</f>
        <v/>
      </c>
      <c r="P520" s="5" t="n">
        <v>46267.5</v>
      </c>
      <c r="Q520" t="inlineStr">
        <is>
          <t>TravelLine OTT</t>
        </is>
      </c>
      <c r="R520" s="2" t="inlineStr">
        <is>
          <t>СТАНДАРТНЫЙ ДВУХМЕСТНЫЙ НОМЕР</t>
        </is>
      </c>
      <c r="S520" t="n">
        <v>44</v>
      </c>
      <c r="T520" t="n">
        <v>1</v>
      </c>
      <c r="U520" t="inlineStr"/>
      <c r="V520" t="inlineStr">
        <is>
          <t>Тариф с завтраком</t>
        </is>
      </c>
      <c r="W520" t="n">
        <v>93450</v>
      </c>
      <c r="X520" s="3" t="n">
        <v>0</v>
      </c>
      <c r="Y520" t="inlineStr"/>
      <c r="Z520" t="inlineStr"/>
      <c r="AA520" s="3" t="n">
        <v>93450</v>
      </c>
      <c r="AB520" t="inlineStr">
        <is>
          <t>Сошлось по ночным тарифам</t>
        </is>
      </c>
      <c r="AC520" s="2" t="inlineStr"/>
      <c r="AD520" t="n">
        <v>0</v>
      </c>
      <c r="AE520" t="n">
        <v>0</v>
      </c>
      <c r="AF520" t="inlineStr">
        <is>
          <t>Скидки нет</t>
        </is>
      </c>
      <c r="AG520" t="n">
        <v>93450</v>
      </c>
      <c r="AH520" t="n">
        <v>93450</v>
      </c>
      <c r="AI520" t="inlineStr">
        <is>
          <t>Полное проживание в выбранном периоде</t>
        </is>
      </c>
    </row>
    <row r="521">
      <c r="A521" t="inlineStr">
        <is>
          <t>20260831-8186-462574200</t>
        </is>
      </c>
      <c r="B521" t="n">
        <v>1</v>
      </c>
      <c r="C521" s="2" t="inlineStr">
        <is>
          <t>Олег Худзиев</t>
        </is>
      </c>
      <c r="D521" s="3" t="n">
        <v>7781.5</v>
      </c>
      <c r="E521" s="4" t="n">
        <v>4</v>
      </c>
      <c r="F521" t="inlineStr">
        <is>
          <t>TravelLine Booking Engine [Чайковский]</t>
        </is>
      </c>
      <c r="G521" s="3">
        <f>ROUND(D521/(100-E521)*100,2)</f>
        <v/>
      </c>
      <c r="H521" s="3" t="n">
        <v>0</v>
      </c>
      <c r="I521" s="3">
        <f>ROUND(IF(ISNUMBER(AG521),AG521,G521)+H521,2)</f>
        <v/>
      </c>
      <c r="J521" s="2" t="inlineStr">
        <is>
          <t>Завтрак "Шведский стол"</t>
        </is>
      </c>
      <c r="K521" s="5" t="n">
        <v>46265.58333333334</v>
      </c>
      <c r="L521" t="n">
        <v>1</v>
      </c>
      <c r="M521" s="3">
        <f>I521/L521</f>
        <v/>
      </c>
      <c r="N521">
        <f>IF(M521&gt;=5100,"ставка","мин.ставка")</f>
        <v/>
      </c>
      <c r="O521" s="3">
        <f>ROUND(IF(N521="мин.ставка",L521*100,I521/102*2),2)</f>
        <v/>
      </c>
      <c r="P521" s="5" t="n">
        <v>46266.5</v>
      </c>
      <c r="Q521" t="inlineStr">
        <is>
          <t>TravelLine сайт</t>
        </is>
      </c>
      <c r="R521" s="2" t="inlineStr">
        <is>
          <t>СТАНДАРТНЫЙ ДВУХМЕСТНЫЙ НОМЕР</t>
        </is>
      </c>
      <c r="S521" t="n">
        <v>26</v>
      </c>
      <c r="T521" t="n">
        <v>1</v>
      </c>
      <c r="U521" t="inlineStr"/>
      <c r="V521" t="inlineStr">
        <is>
          <t>Тариф с завтраком</t>
        </is>
      </c>
      <c r="W521" t="n">
        <v>7781.5</v>
      </c>
      <c r="X521" s="3" t="n">
        <v>118.5</v>
      </c>
      <c r="Y521" t="inlineStr">
        <is>
          <t>1.5%</t>
        </is>
      </c>
      <c r="Z521" t="inlineStr">
        <is>
          <t>2026-08-31</t>
        </is>
      </c>
      <c r="AA521" s="3" t="n">
        <v>7781.5</v>
      </c>
      <c r="AB521" t="inlineStr">
        <is>
          <t>Сошлось по ночным тарифам</t>
        </is>
      </c>
      <c r="AC521" s="2" t="inlineStr"/>
      <c r="AD521" t="n">
        <v>118.5</v>
      </c>
      <c r="AE521" t="n">
        <v>0</v>
      </c>
      <c r="AF521" t="inlineStr">
        <is>
          <t>Скидка добавлена к налоговой базе</t>
        </is>
      </c>
      <c r="AG521" t="n">
        <v>7900</v>
      </c>
      <c r="AH521" t="n">
        <v>7781.5</v>
      </c>
      <c r="AI521" t="inlineStr">
        <is>
          <t>Полное проживание в выбранном периоде</t>
        </is>
      </c>
    </row>
    <row r="522">
      <c r="A522" t="inlineStr">
        <is>
          <t>20260930-8186-468529147</t>
        </is>
      </c>
      <c r="B522" t="n">
        <v>1</v>
      </c>
      <c r="C522" s="2" t="inlineStr">
        <is>
          <t>ОЛЕСЯ ВЛАСЕНКО</t>
        </is>
      </c>
      <c r="D522" s="3" t="n">
        <v>9307</v>
      </c>
      <c r="E522" s="4" t="n">
        <v>18</v>
      </c>
      <c r="F522" t="inlineStr">
        <is>
          <t>ООО "ТРИВИО СЕРВИС" [Чайковский]</t>
        </is>
      </c>
      <c r="G522" s="3">
        <f>ROUND(D522/(100-E522)*100,2)</f>
        <v/>
      </c>
      <c r="H522" s="3" t="n">
        <v>0</v>
      </c>
      <c r="I522" s="3">
        <f>ROUND(IF(ISNUMBER(AG522),AG522,G522)+H522,2)</f>
        <v/>
      </c>
      <c r="J522" s="2" t="inlineStr">
        <is>
          <t>Завтрак "Шведский стол"</t>
        </is>
      </c>
      <c r="K522" s="5" t="n">
        <v>46295.58333333334</v>
      </c>
      <c r="L522" t="n">
        <v>1</v>
      </c>
      <c r="M522" s="3">
        <f>I522/L522</f>
        <v/>
      </c>
      <c r="N522">
        <f>IF(M522&gt;=5100,"ставка","мин.ставка")</f>
        <v/>
      </c>
      <c r="O522" s="3">
        <f>ROUND(IF(N522="мин.ставка",L522*100,I522/102*2),2)</f>
        <v/>
      </c>
      <c r="P522" s="5" t="n">
        <v>46296.5</v>
      </c>
      <c r="Q522" t="inlineStr">
        <is>
          <t>TravelLine TIO</t>
        </is>
      </c>
      <c r="R522" s="2" t="inlineStr">
        <is>
          <t>СТАНДАРТНЫЙ ДВУХМЕСТНЫЙ НОМЕР</t>
        </is>
      </c>
      <c r="S522" t="n">
        <v>42</v>
      </c>
      <c r="T522" t="n">
        <v>1</v>
      </c>
      <c r="U522" t="inlineStr"/>
      <c r="V522" t="inlineStr">
        <is>
          <t>Тариф с завтраком</t>
        </is>
      </c>
      <c r="W522" t="n">
        <v>9307</v>
      </c>
      <c r="X522" s="3" t="n">
        <v>2043</v>
      </c>
      <c r="Y522" t="inlineStr">
        <is>
          <t>18%</t>
        </is>
      </c>
      <c r="Z522" t="inlineStr">
        <is>
          <t>2026-09-30</t>
        </is>
      </c>
      <c r="AA522" s="3" t="n">
        <v>9307</v>
      </c>
      <c r="AB522" t="inlineStr">
        <is>
          <t>Сошлось по ночным тарифам</t>
        </is>
      </c>
      <c r="AC522" s="2" t="inlineStr"/>
      <c r="AD522" t="n">
        <v>2043</v>
      </c>
      <c r="AE522" t="n">
        <v>0</v>
      </c>
      <c r="AF522" t="inlineStr">
        <is>
          <t>Скидка добавлена к налоговой базе</t>
        </is>
      </c>
      <c r="AG522" t="n">
        <v>11350</v>
      </c>
      <c r="AH522" t="n">
        <v>9307</v>
      </c>
      <c r="AI522" t="inlineStr">
        <is>
          <t>Полное проживание в выбранном периоде</t>
        </is>
      </c>
    </row>
    <row r="523">
      <c r="A523" t="inlineStr">
        <is>
          <t>20260905-8186-441680792</t>
        </is>
      </c>
      <c r="B523" t="n">
        <v>1</v>
      </c>
      <c r="C523" s="2" t="inlineStr">
        <is>
          <t>Олеся Долгополик</t>
        </is>
      </c>
      <c r="D523" s="3" t="n">
        <v>36320</v>
      </c>
      <c r="E523" s="4" t="n">
        <v>20</v>
      </c>
      <c r="F523" t="inlineStr">
        <is>
          <t>ООО "КОМПАНИЯ БРОНЕВИК" [Чайковский]</t>
        </is>
      </c>
      <c r="G523" s="3">
        <f>ROUND(D523/(100-E523)*100,2)</f>
        <v/>
      </c>
      <c r="H523" s="3" t="n">
        <v>0</v>
      </c>
      <c r="I523" s="3">
        <f>ROUND(IF(ISNUMBER(AG523),AG523,G523)+H523,2)</f>
        <v/>
      </c>
      <c r="J523" s="2" t="inlineStr">
        <is>
          <t>Завтрак "Шведский стол"</t>
        </is>
      </c>
      <c r="K523" s="5" t="n">
        <v>46270.58333333334</v>
      </c>
      <c r="L523" t="n">
        <v>4</v>
      </c>
      <c r="M523" s="3">
        <f>I523/L523</f>
        <v/>
      </c>
      <c r="N523">
        <f>IF(M523&gt;=5100,"ставка","мин.ставка")</f>
        <v/>
      </c>
      <c r="O523" s="3">
        <f>ROUND(IF(N523="мин.ставка",L523*100,I523/102*2),2)</f>
        <v/>
      </c>
      <c r="P523" s="5" t="n">
        <v>46274.5</v>
      </c>
      <c r="Q523" t="inlineStr">
        <is>
          <t>TravelLine BR2</t>
        </is>
      </c>
      <c r="R523" s="2" t="inlineStr">
        <is>
          <t>СТАНДАРТНЫЙ ДВУХМЕСТНЫЙ НОМЕР</t>
        </is>
      </c>
      <c r="S523" t="n">
        <v>33</v>
      </c>
      <c r="T523" t="n">
        <v>1</v>
      </c>
      <c r="U523" t="inlineStr"/>
      <c r="V523" t="inlineStr">
        <is>
          <t>Тариф с завтраком</t>
        </is>
      </c>
      <c r="W523" t="n">
        <v>36320</v>
      </c>
      <c r="X523" s="3" t="n">
        <v>0</v>
      </c>
      <c r="Y523" t="inlineStr"/>
      <c r="Z523" t="inlineStr"/>
      <c r="AA523" s="3" t="n">
        <v>36320</v>
      </c>
      <c r="AB523" t="inlineStr">
        <is>
          <t>Сошлось по ночным тарифам</t>
        </is>
      </c>
      <c r="AC523" s="2" t="inlineStr"/>
      <c r="AD523" t="n">
        <v>0</v>
      </c>
      <c r="AE523" t="n">
        <v>0</v>
      </c>
      <c r="AF523" t="inlineStr">
        <is>
          <t>Скидки нет</t>
        </is>
      </c>
      <c r="AG523" t="n">
        <v>36320</v>
      </c>
      <c r="AH523" t="n">
        <v>36320</v>
      </c>
      <c r="AI523" t="inlineStr">
        <is>
          <t>Полное проживание в выбранном периоде</t>
        </is>
      </c>
    </row>
    <row r="524">
      <c r="A524" t="inlineStr">
        <is>
          <t>20260702-8186-441025472</t>
        </is>
      </c>
      <c r="B524" t="n">
        <v>1</v>
      </c>
      <c r="C524" s="2" t="inlineStr">
        <is>
          <t>Ольга Алимова</t>
        </is>
      </c>
      <c r="D524" s="3" t="n">
        <v>40200</v>
      </c>
      <c r="E524" s="4" t="n">
        <v>0</v>
      </c>
      <c r="F524" t="inlineStr">
        <is>
          <t>Прямые бронирования (стойка) [Чайковский]</t>
        </is>
      </c>
      <c r="G524" s="3">
        <f>ROUND(D524/(100-E524)*100,2)</f>
        <v/>
      </c>
      <c r="H524" s="3" t="n">
        <v>0</v>
      </c>
      <c r="I524" s="3">
        <f>ROUND(IF(ISNUMBER(AG524),AG524,G524)+H524,2)</f>
        <v/>
      </c>
      <c r="J524" s="2" t="inlineStr">
        <is>
          <t>Завтрак "Шведский стол"</t>
        </is>
      </c>
      <c r="K524" s="5" t="n">
        <v>46205.58333333334</v>
      </c>
      <c r="L524" t="n">
        <v>3</v>
      </c>
      <c r="M524" s="3">
        <f>I524/L524</f>
        <v/>
      </c>
      <c r="N524">
        <f>IF(M524&gt;=5100,"ставка","мин.ставка")</f>
        <v/>
      </c>
      <c r="O524" s="3">
        <f>ROUND(IF(N524="мин.ставка",L524*100,I524/102*2),2)</f>
        <v/>
      </c>
      <c r="P524" s="5" t="n">
        <v>46208.5</v>
      </c>
      <c r="Q524" t="inlineStr">
        <is>
          <t>TravelLine ресепшен</t>
        </is>
      </c>
      <c r="R524" s="2" t="inlineStr">
        <is>
          <t>УЛУЧШЕННЫЙ ДВУХМЕСТНЫЙ НОМЕР</t>
        </is>
      </c>
      <c r="S524" t="n">
        <v>31</v>
      </c>
      <c r="T524" t="n">
        <v>1</v>
      </c>
      <c r="U524" t="inlineStr"/>
      <c r="V524" t="inlineStr">
        <is>
          <t>Тариф с завтраком</t>
        </is>
      </c>
      <c r="W524" t="n">
        <v>40200</v>
      </c>
      <c r="X524" s="3" t="n">
        <v>0</v>
      </c>
      <c r="Y524" t="inlineStr"/>
      <c r="Z524" t="inlineStr"/>
      <c r="AA524" s="3" t="n">
        <v>40200</v>
      </c>
      <c r="AB524" t="inlineStr">
        <is>
          <t>Сошлось по ночным тарифам</t>
        </is>
      </c>
      <c r="AC524" s="2" t="inlineStr"/>
      <c r="AD524" t="n">
        <v>0</v>
      </c>
      <c r="AE524" t="n">
        <v>0</v>
      </c>
      <c r="AF524" t="inlineStr">
        <is>
          <t>Скидки нет</t>
        </is>
      </c>
      <c r="AG524" t="n">
        <v>40200</v>
      </c>
      <c r="AH524" t="n">
        <v>40200</v>
      </c>
      <c r="AI524" t="inlineStr">
        <is>
          <t>Полное проживание в выбранном периоде</t>
        </is>
      </c>
    </row>
    <row r="525">
      <c r="A525" t="inlineStr">
        <is>
          <t>20260715-8186-450507435</t>
        </is>
      </c>
      <c r="B525" t="n">
        <v>1</v>
      </c>
      <c r="C525" s="2" t="inlineStr">
        <is>
          <t>Ольга Беловол</t>
        </is>
      </c>
      <c r="D525" s="3" t="n">
        <v>10998.15</v>
      </c>
      <c r="E525" s="4" t="n">
        <v>4</v>
      </c>
      <c r="F525" t="inlineStr">
        <is>
          <t>TravelLine Booking Engine [Чайковский]</t>
        </is>
      </c>
      <c r="G525" s="3">
        <f>ROUND(D525/(100-E525)*100,2)</f>
        <v/>
      </c>
      <c r="H525" s="3" t="n">
        <v>0</v>
      </c>
      <c r="I525" s="3">
        <f>ROUND(IF(ISNUMBER(AG525),AG525,G525)+H525,2)</f>
        <v/>
      </c>
      <c r="J525" s="2" t="inlineStr">
        <is>
          <t>Завтрак "Шведский стол"</t>
        </is>
      </c>
      <c r="K525" s="5" t="n">
        <v>46218.72916666666</v>
      </c>
      <c r="L525" t="n">
        <v>1</v>
      </c>
      <c r="M525" s="3">
        <f>I525/L525</f>
        <v/>
      </c>
      <c r="N525">
        <f>IF(M525&gt;=5100,"ставка","мин.ставка")</f>
        <v/>
      </c>
      <c r="O525" s="3">
        <f>ROUND(IF(N525="мин.ставка",L525*100,I525/102*2),2)</f>
        <v/>
      </c>
      <c r="P525" s="5" t="n">
        <v>46219.5</v>
      </c>
      <c r="Q525" t="inlineStr">
        <is>
          <t>TravelLine сайт</t>
        </is>
      </c>
      <c r="R525" s="2" t="inlineStr">
        <is>
          <t>СТАНДАРТНЫЙ ДВУХМЕСТНЫЙ НОМЕР</t>
        </is>
      </c>
      <c r="S525" t="n">
        <v>46</v>
      </c>
      <c r="T525" t="n">
        <v>1</v>
      </c>
      <c r="U525" t="inlineStr"/>
      <c r="V525" t="inlineStr">
        <is>
          <t>Тариф с завтраком</t>
        </is>
      </c>
      <c r="W525" t="n">
        <v>10998.15</v>
      </c>
      <c r="X525" s="3" t="n">
        <v>351.85</v>
      </c>
      <c r="Y525" t="inlineStr">
        <is>
          <t>3.1%</t>
        </is>
      </c>
      <c r="Z525" t="inlineStr">
        <is>
          <t>2026-07-15</t>
        </is>
      </c>
      <c r="AA525" s="3" t="n">
        <v>10998.15</v>
      </c>
      <c r="AB525" t="inlineStr">
        <is>
          <t>Сошлось по ночным тарифам</t>
        </is>
      </c>
      <c r="AC525" s="2" t="inlineStr"/>
      <c r="AD525" t="n">
        <v>351.85</v>
      </c>
      <c r="AE525" t="n">
        <v>0</v>
      </c>
      <c r="AF525" t="inlineStr">
        <is>
          <t>Скидка добавлена к налоговой базе</t>
        </is>
      </c>
      <c r="AG525" t="n">
        <v>11350</v>
      </c>
      <c r="AH525" t="n">
        <v>10998.15</v>
      </c>
      <c r="AI525" t="inlineStr">
        <is>
          <t>Полное проживание в выбранном периоде</t>
        </is>
      </c>
    </row>
    <row r="526">
      <c r="A526" t="inlineStr">
        <is>
          <t>20260930-8186-469639188</t>
        </is>
      </c>
      <c r="B526" t="n">
        <v>1</v>
      </c>
      <c r="C526" s="2" t="inlineStr">
        <is>
          <t>Ольга Беловол</t>
        </is>
      </c>
      <c r="D526" s="3" t="n">
        <v>10050</v>
      </c>
      <c r="E526" s="4" t="n">
        <v>18</v>
      </c>
      <c r="F526" t="inlineStr">
        <is>
          <t>Яндекс.Путешествия [Чайковский]</t>
        </is>
      </c>
      <c r="G526" s="3">
        <f>ROUND(D526/(100-E526)*100,2)</f>
        <v/>
      </c>
      <c r="H526" s="3" t="n">
        <v>0</v>
      </c>
      <c r="I526" s="3">
        <f>ROUND(IF(ISNUMBER(AG526),AG526,G526)+H526,2)</f>
        <v/>
      </c>
      <c r="J526" s="2" t="inlineStr">
        <is>
          <t>Завтрак "Шведский стол"</t>
        </is>
      </c>
      <c r="K526" s="5" t="n">
        <v>46295.58333333334</v>
      </c>
      <c r="L526" t="n">
        <v>1</v>
      </c>
      <c r="M526" s="3">
        <f>I526/L526</f>
        <v/>
      </c>
      <c r="N526">
        <f>IF(M526&gt;=5100,"ставка","мин.ставка")</f>
        <v/>
      </c>
      <c r="O526" s="3">
        <f>ROUND(IF(N526="мин.ставка",L526*100,I526/102*2),2)</f>
        <v/>
      </c>
      <c r="P526" s="5" t="n">
        <v>46296.5</v>
      </c>
      <c r="Q526" t="inlineStr">
        <is>
          <t>TravelLine YAX</t>
        </is>
      </c>
      <c r="R526" s="2" t="inlineStr">
        <is>
          <t>УЛУЧШЕННЫЙ ДВУХМЕСТНЫЙ НОМЕР</t>
        </is>
      </c>
      <c r="S526" t="n">
        <v>21</v>
      </c>
      <c r="T526" t="n">
        <v>1</v>
      </c>
      <c r="U526" t="inlineStr"/>
      <c r="V526" t="inlineStr">
        <is>
          <t>Тариф с завтраком</t>
        </is>
      </c>
      <c r="W526" t="n">
        <v>10050</v>
      </c>
      <c r="X526" s="3" t="n">
        <v>3350</v>
      </c>
      <c r="Y526" t="inlineStr">
        <is>
          <t>25%</t>
        </is>
      </c>
      <c r="Z526" t="inlineStr">
        <is>
          <t>2026-09-30</t>
        </is>
      </c>
      <c r="AA526" s="3" t="n">
        <v>10050</v>
      </c>
      <c r="AB526" t="inlineStr">
        <is>
          <t>Сошлось по ночным тарифам</t>
        </is>
      </c>
      <c r="AC526" s="2" t="inlineStr"/>
      <c r="AD526" t="n">
        <v>3350</v>
      </c>
      <c r="AE526" t="n">
        <v>0</v>
      </c>
      <c r="AF526" t="inlineStr">
        <is>
          <t>Скидка добавлена к налоговой базе</t>
        </is>
      </c>
      <c r="AG526" t="n">
        <v>13400</v>
      </c>
      <c r="AH526" t="n">
        <v>10050</v>
      </c>
      <c r="AI526" t="inlineStr">
        <is>
          <t>Полное проживание в выбранном периоде</t>
        </is>
      </c>
    </row>
    <row r="527">
      <c r="A527" t="inlineStr">
        <is>
          <t>20260918-8186-452110660</t>
        </is>
      </c>
      <c r="B527" t="n">
        <v>1</v>
      </c>
      <c r="C527" s="2" t="inlineStr">
        <is>
          <t>Ольга Беспалова</t>
        </is>
      </c>
      <c r="D527" s="3" t="n">
        <v>15161.3</v>
      </c>
      <c r="E527" s="4" t="n">
        <v>4</v>
      </c>
      <c r="F527" t="inlineStr">
        <is>
          <t>TravelLine Booking Engine [Чайковский]</t>
        </is>
      </c>
      <c r="G527" s="3">
        <f>ROUND(D527/(100-E527)*100,2)</f>
        <v/>
      </c>
      <c r="H527" s="3" t="n">
        <v>0</v>
      </c>
      <c r="I527" s="3">
        <f>ROUND(IF(ISNUMBER(AG527),AG527,G527)+H527,2)</f>
        <v/>
      </c>
      <c r="J527" s="2" t="inlineStr">
        <is>
          <t>Завтрак "Шведский стол"</t>
        </is>
      </c>
      <c r="K527" s="5" t="n">
        <v>46283.58333333334</v>
      </c>
      <c r="L527" t="n">
        <v>2</v>
      </c>
      <c r="M527" s="3">
        <f>I527/L527</f>
        <v/>
      </c>
      <c r="N527">
        <f>IF(M527&gt;=5100,"ставка","мин.ставка")</f>
        <v/>
      </c>
      <c r="O527" s="3">
        <f>ROUND(IF(N527="мин.ставка",L527*100,I527/102*2),2)</f>
        <v/>
      </c>
      <c r="P527" s="5" t="n">
        <v>46285.5</v>
      </c>
      <c r="Q527" t="inlineStr">
        <is>
          <t>TravelLine сайт</t>
        </is>
      </c>
      <c r="R527" s="2" t="inlineStr">
        <is>
          <t>СТАНДАРТНЫЙ ОДНОМЕСТНЫЙ НОМЕР</t>
        </is>
      </c>
      <c r="S527" t="n">
        <v>24</v>
      </c>
      <c r="T527" t="n">
        <v>1</v>
      </c>
      <c r="U527" t="inlineStr"/>
      <c r="V527" t="inlineStr">
        <is>
          <t>Тариф с завтраком</t>
        </is>
      </c>
      <c r="W527" t="n">
        <v>15161.3</v>
      </c>
      <c r="X527" s="3" t="n">
        <v>238.7</v>
      </c>
      <c r="Y527" t="inlineStr">
        <is>
          <t>3.1%</t>
        </is>
      </c>
      <c r="Z527" t="inlineStr">
        <is>
          <t>2026-09-18</t>
        </is>
      </c>
      <c r="AA527" s="3" t="n">
        <v>15161.3</v>
      </c>
      <c r="AB527" t="inlineStr">
        <is>
          <t>Сошлось по ночным тарифам</t>
        </is>
      </c>
      <c r="AC527" s="2" t="inlineStr"/>
      <c r="AD527" t="n">
        <v>238.7</v>
      </c>
      <c r="AE527" t="n">
        <v>0</v>
      </c>
      <c r="AF527" t="inlineStr">
        <is>
          <t>Скидка добавлена к налоговой базе</t>
        </is>
      </c>
      <c r="AG527" t="n">
        <v>15400</v>
      </c>
      <c r="AH527" t="n">
        <v>15161.3</v>
      </c>
      <c r="AI527" t="inlineStr">
        <is>
          <t>Полное проживание в выбранном периоде</t>
        </is>
      </c>
    </row>
    <row r="528">
      <c r="A528" t="inlineStr">
        <is>
          <t>20260720-8186-421910187</t>
        </is>
      </c>
      <c r="B528" t="n">
        <v>1</v>
      </c>
      <c r="C528" s="2" t="inlineStr">
        <is>
          <t>ОЛЬГА ВАХНЕНКО</t>
        </is>
      </c>
      <c r="D528" s="3" t="n">
        <v>45815</v>
      </c>
      <c r="E528" s="4" t="n">
        <v>15</v>
      </c>
      <c r="F528" t="inlineStr">
        <is>
          <t>ООО "БРОНИРОВАНИЕ ГОСТИНИЦ" (OSTROVOK) [Чайковский]</t>
        </is>
      </c>
      <c r="G528" s="3">
        <f>ROUND(D528/(100-E528)*100,2)</f>
        <v/>
      </c>
      <c r="H528" s="3" t="n">
        <v>0</v>
      </c>
      <c r="I528" s="3">
        <f>ROUND(IF(ISNUMBER(AG528),AG528,G528)+H528,2)</f>
        <v/>
      </c>
      <c r="J528" s="2" t="inlineStr">
        <is>
          <t>Завтрак "Шведский стол"</t>
        </is>
      </c>
      <c r="K528" s="5" t="n">
        <v>46223.58333333334</v>
      </c>
      <c r="L528" t="n">
        <v>7</v>
      </c>
      <c r="M528" s="3">
        <f>I528/L528</f>
        <v/>
      </c>
      <c r="N528">
        <f>IF(M528&gt;=5100,"ставка","мин.ставка")</f>
        <v/>
      </c>
      <c r="O528" s="3">
        <f>ROUND(IF(N528="мин.ставка",L528*100,I528/102*2),2)</f>
        <v/>
      </c>
      <c r="P528" s="5" t="n">
        <v>46230.5</v>
      </c>
      <c r="Q528" t="inlineStr">
        <is>
          <t>TravelLine OTK</t>
        </is>
      </c>
      <c r="R528" s="2" t="inlineStr">
        <is>
          <t>СТАНДАРТНЫЙ ОДНОМЕСТНЫЙ НОМЕР</t>
        </is>
      </c>
      <c r="S528" t="n">
        <v>34</v>
      </c>
      <c r="T528" t="n">
        <v>1</v>
      </c>
      <c r="U528" t="inlineStr"/>
      <c r="V528" t="inlineStr">
        <is>
          <t>Тариф с завтраком</t>
        </is>
      </c>
      <c r="W528" t="n">
        <v>45815</v>
      </c>
      <c r="X528" s="3" t="n">
        <v>8085</v>
      </c>
      <c r="Y528" t="inlineStr">
        <is>
          <t>15%</t>
        </is>
      </c>
      <c r="Z528" t="inlineStr">
        <is>
          <t>2026-07-20, 2026-07-21, 2026-07-22, 2026-07-23, 2026-07-24, 2026-07-25, 2026-07-26</t>
        </is>
      </c>
      <c r="AA528" s="3" t="n">
        <v>45815</v>
      </c>
      <c r="AB528" t="inlineStr">
        <is>
          <t>Сошлось по ночным тарифам</t>
        </is>
      </c>
      <c r="AC528" s="2" t="inlineStr"/>
      <c r="AD528" t="n">
        <v>8085</v>
      </c>
      <c r="AE528" t="n">
        <v>0</v>
      </c>
      <c r="AF528" t="inlineStr">
        <is>
          <t>Скидка добавлена к налоговой базе</t>
        </is>
      </c>
      <c r="AG528" t="n">
        <v>53900</v>
      </c>
      <c r="AH528" t="n">
        <v>45815</v>
      </c>
      <c r="AI528" t="inlineStr">
        <is>
          <t>Полное проживание в выбранном периоде</t>
        </is>
      </c>
    </row>
    <row r="529">
      <c r="A529" t="inlineStr">
        <is>
          <t>20260919-8186-464149509</t>
        </is>
      </c>
      <c r="B529" t="n">
        <v>1</v>
      </c>
      <c r="C529" s="2" t="inlineStr">
        <is>
          <t>Ольга Верховцева</t>
        </is>
      </c>
      <c r="D529" s="3" t="n">
        <v>6557</v>
      </c>
      <c r="E529" s="4" t="n">
        <v>17</v>
      </c>
      <c r="F529" t="inlineStr">
        <is>
          <t>ООО «Интернет Трэвел» (OZON) [Чайковский]</t>
        </is>
      </c>
      <c r="G529" s="3">
        <f>ROUND(D529/(100-E529)*100,2)</f>
        <v/>
      </c>
      <c r="H529" s="3" t="n">
        <v>0</v>
      </c>
      <c r="I529" s="3">
        <f>ROUND(IF(ISNUMBER(AG529),AG529,G529)+H529,2)</f>
        <v/>
      </c>
      <c r="J529" s="2" t="inlineStr">
        <is>
          <t>Завтрак "Шведский стол"</t>
        </is>
      </c>
      <c r="K529" s="5" t="n">
        <v>46284.58333333334</v>
      </c>
      <c r="L529" t="n">
        <v>1</v>
      </c>
      <c r="M529" s="3">
        <f>I529/L529</f>
        <v/>
      </c>
      <c r="N529">
        <f>IF(M529&gt;=5100,"ставка","мин.ставка")</f>
        <v/>
      </c>
      <c r="O529" s="3">
        <f>ROUND(IF(N529="мин.ставка",L529*100,I529/102*2),2)</f>
        <v/>
      </c>
      <c r="P529" s="5" t="n">
        <v>46285.5</v>
      </c>
      <c r="Q529" t="inlineStr">
        <is>
          <t>TravelLine OZ2</t>
        </is>
      </c>
      <c r="R529" s="2" t="inlineStr">
        <is>
          <t>СТАНДАРТНЫЙ ДВУХМЕСТНЫЙ НОМЕР (МАНСАРДА)</t>
        </is>
      </c>
      <c r="S529" t="n">
        <v>43</v>
      </c>
      <c r="T529" t="n">
        <v>1</v>
      </c>
      <c r="U529" t="inlineStr"/>
      <c r="V529" t="inlineStr">
        <is>
          <t>Тариф с завтраком</t>
        </is>
      </c>
      <c r="W529" t="n">
        <v>6557</v>
      </c>
      <c r="X529" s="3" t="n">
        <v>1343</v>
      </c>
      <c r="Y529" t="inlineStr">
        <is>
          <t>17%</t>
        </is>
      </c>
      <c r="Z529" t="inlineStr">
        <is>
          <t>2026-09-19</t>
        </is>
      </c>
      <c r="AA529" s="3" t="n">
        <v>6557</v>
      </c>
      <c r="AB529" t="inlineStr">
        <is>
          <t>Сошлось по ночным тарифам</t>
        </is>
      </c>
      <c r="AC529" s="2" t="inlineStr"/>
      <c r="AD529" t="n">
        <v>1343</v>
      </c>
      <c r="AE529" t="n">
        <v>0</v>
      </c>
      <c r="AF529" t="inlineStr">
        <is>
          <t>Скидка добавлена к налоговой базе</t>
        </is>
      </c>
      <c r="AG529" t="n">
        <v>7900</v>
      </c>
      <c r="AH529" t="n">
        <v>6557</v>
      </c>
      <c r="AI529" t="inlineStr">
        <is>
          <t>Полное проживание в выбранном периоде</t>
        </is>
      </c>
    </row>
    <row r="530">
      <c r="A530" t="inlineStr">
        <is>
          <t>20260729-8186-414621062</t>
        </is>
      </c>
      <c r="B530" t="n">
        <v>1</v>
      </c>
      <c r="C530" s="2" t="inlineStr">
        <is>
          <t>Ольга Егоренкова</t>
        </is>
      </c>
      <c r="D530" s="3" t="n">
        <v>11600</v>
      </c>
      <c r="E530" s="4" t="n">
        <v>0</v>
      </c>
      <c r="F530" t="inlineStr">
        <is>
          <t>Прямые бронирования (стойка) [Чайковский]</t>
        </is>
      </c>
      <c r="G530" s="3">
        <f>ROUND(D530/(100-E530)*100,2)</f>
        <v/>
      </c>
      <c r="H530" s="3" t="n">
        <v>0</v>
      </c>
      <c r="I530" s="3">
        <f>ROUND(IF(ISNUMBER(AG530),AG530,G530)+H530,2)</f>
        <v/>
      </c>
      <c r="J530" s="2" t="inlineStr">
        <is>
          <t>Завтрак "Шведский стол"</t>
        </is>
      </c>
      <c r="K530" s="5" t="n">
        <v>46232.58333333334</v>
      </c>
      <c r="L530" t="n">
        <v>1</v>
      </c>
      <c r="M530" s="3">
        <f>I530/L530</f>
        <v/>
      </c>
      <c r="N530">
        <f>IF(M530&gt;=5100,"ставка","мин.ставка")</f>
        <v/>
      </c>
      <c r="O530" s="3">
        <f>ROUND(IF(N530="мин.ставка",L530*100,I530/102*2),2)</f>
        <v/>
      </c>
      <c r="P530" s="5" t="n">
        <v>46233.5</v>
      </c>
      <c r="Q530" t="inlineStr">
        <is>
          <t>TravelLine ресепшен</t>
        </is>
      </c>
      <c r="R530" s="2" t="inlineStr">
        <is>
          <t>ПОЛУЛЮКС</t>
        </is>
      </c>
      <c r="S530" t="n">
        <v>25</v>
      </c>
      <c r="T530" t="n">
        <v>1</v>
      </c>
      <c r="U530" t="inlineStr"/>
      <c r="V530" t="inlineStr">
        <is>
          <t>Тариф с завтраком</t>
        </is>
      </c>
      <c r="W530" t="n">
        <v>11600</v>
      </c>
      <c r="X530" s="3" t="n">
        <v>2900</v>
      </c>
      <c r="Y530" t="inlineStr">
        <is>
          <t>20%</t>
        </is>
      </c>
      <c r="Z530" t="inlineStr">
        <is>
          <t>2026-07-29</t>
        </is>
      </c>
      <c r="AA530" s="3" t="n">
        <v>11600</v>
      </c>
      <c r="AB530" t="inlineStr">
        <is>
          <t>Сошлось по ночным тарифам</t>
        </is>
      </c>
      <c r="AC530" s="2" t="inlineStr"/>
      <c r="AD530" t="n">
        <v>2900</v>
      </c>
      <c r="AE530" t="n">
        <v>0</v>
      </c>
      <c r="AF530" t="inlineStr">
        <is>
          <t>Скидка добавлена к налоговой базе</t>
        </is>
      </c>
      <c r="AG530" t="n">
        <v>14500</v>
      </c>
      <c r="AH530" t="n">
        <v>11600</v>
      </c>
      <c r="AI530" t="inlineStr">
        <is>
          <t>Полное проживание в выбранном периоде</t>
        </is>
      </c>
    </row>
    <row r="531">
      <c r="A531" t="inlineStr">
        <is>
          <t>20260915-8186-459062307</t>
        </is>
      </c>
      <c r="B531" t="n">
        <v>1</v>
      </c>
      <c r="C531" s="2" t="inlineStr">
        <is>
          <t>ОЛЬГА Запара, ВИКТОР ЗАПАРА</t>
        </is>
      </c>
      <c r="D531" s="3" t="n">
        <v>59400</v>
      </c>
      <c r="E531" s="4" t="n">
        <v>0</v>
      </c>
      <c r="F531" t="inlineStr">
        <is>
          <t>Прямые бронирования (стойка) [Чайковский]</t>
        </is>
      </c>
      <c r="G531" s="3">
        <f>ROUND(D531/(100-E531)*100,2)</f>
        <v/>
      </c>
      <c r="H531" s="3" t="n">
        <v>0</v>
      </c>
      <c r="I531" s="3">
        <f>ROUND(IF(ISNUMBER(AG531),AG531,G531)+H531,2)</f>
        <v/>
      </c>
      <c r="J531" s="2" t="inlineStr">
        <is>
          <t>Завтрак "Шведский стол"</t>
        </is>
      </c>
      <c r="K531" s="5" t="n">
        <v>46280.58333333334</v>
      </c>
      <c r="L531" t="n">
        <v>4</v>
      </c>
      <c r="M531" s="3">
        <f>I531/L531</f>
        <v/>
      </c>
      <c r="N531">
        <f>IF(M531&gt;=5100,"ставка","мин.ставка")</f>
        <v/>
      </c>
      <c r="O531" s="3">
        <f>ROUND(IF(N531="мин.ставка",L531*100,I531/102*2),2)</f>
        <v/>
      </c>
      <c r="P531" s="5" t="n">
        <v>46284.5</v>
      </c>
      <c r="Q531" t="inlineStr">
        <is>
          <t>TravelLine ресепшен</t>
        </is>
      </c>
      <c r="R531" s="2" t="inlineStr">
        <is>
          <t>ПОЛУЛЮКС</t>
        </is>
      </c>
      <c r="S531" t="n">
        <v>25</v>
      </c>
      <c r="T531" t="n">
        <v>1</v>
      </c>
      <c r="U531" t="inlineStr"/>
      <c r="V531" t="inlineStr">
        <is>
          <t>Тариф с завтраком</t>
        </is>
      </c>
      <c r="W531" t="n">
        <v>59400</v>
      </c>
      <c r="X531" s="3" t="n">
        <v>6600</v>
      </c>
      <c r="Y531" t="inlineStr">
        <is>
          <t>10%</t>
        </is>
      </c>
      <c r="Z531" t="inlineStr">
        <is>
          <t>2026-09-15, 2026-09-16, 2026-09-17, 2026-09-18</t>
        </is>
      </c>
      <c r="AA531" s="3" t="n">
        <v>59400</v>
      </c>
      <c r="AB531" t="inlineStr">
        <is>
          <t>Сошлось по ночным тарифам</t>
        </is>
      </c>
      <c r="AC531" s="2" t="inlineStr"/>
      <c r="AD531" t="n">
        <v>6600</v>
      </c>
      <c r="AE531" t="n">
        <v>0</v>
      </c>
      <c r="AF531" t="inlineStr">
        <is>
          <t>Скидка добавлена к налоговой базе</t>
        </is>
      </c>
      <c r="AG531" t="n">
        <v>66000</v>
      </c>
      <c r="AH531" t="n">
        <v>59400</v>
      </c>
      <c r="AI531" t="inlineStr">
        <is>
          <t>Полное проживание в выбранном периоде</t>
        </is>
      </c>
    </row>
    <row r="532">
      <c r="A532" t="inlineStr">
        <is>
          <t>20260809-8186-455980804</t>
        </is>
      </c>
      <c r="B532" t="n">
        <v>1</v>
      </c>
      <c r="C532" s="2" t="inlineStr">
        <is>
          <t>ОЛЬГА ЗДОРИКОВА</t>
        </is>
      </c>
      <c r="D532" s="3" t="n">
        <v>22512</v>
      </c>
      <c r="E532" s="4" t="n">
        <v>16</v>
      </c>
      <c r="F532" t="inlineStr">
        <is>
          <t>ООО "БРОНИРОВАНИЕ ГОСТИНИЦ" (OSTROVOK) [Чайковский]</t>
        </is>
      </c>
      <c r="G532" s="3">
        <f>ROUND(D532/(100-E532)*100,2)</f>
        <v/>
      </c>
      <c r="H532" s="3" t="n">
        <v>0</v>
      </c>
      <c r="I532" s="3">
        <f>ROUND(IF(ISNUMBER(AG532),AG532,G532)+H532,2)</f>
        <v/>
      </c>
      <c r="J532" s="2" t="inlineStr">
        <is>
          <t>Завтрак "Шведский стол"</t>
        </is>
      </c>
      <c r="K532" s="5" t="n">
        <v>46243.58333333334</v>
      </c>
      <c r="L532" t="n">
        <v>2</v>
      </c>
      <c r="M532" s="3">
        <f>I532/L532</f>
        <v/>
      </c>
      <c r="N532">
        <f>IF(M532&gt;=5100,"ставка","мин.ставка")</f>
        <v/>
      </c>
      <c r="O532" s="3">
        <f>ROUND(IF(N532="мин.ставка",L532*100,I532/102*2),2)</f>
        <v/>
      </c>
      <c r="P532" s="5" t="n">
        <v>46245.5</v>
      </c>
      <c r="Q532" t="inlineStr">
        <is>
          <t>TravelLine OTK</t>
        </is>
      </c>
      <c r="R532" s="2" t="inlineStr">
        <is>
          <t>УЛУЧШЕННЫЙ ДВУХМЕСТНЫЙ НОМЕР</t>
        </is>
      </c>
      <c r="S532" t="n">
        <v>31</v>
      </c>
      <c r="T532" t="n">
        <v>1</v>
      </c>
      <c r="U532" t="inlineStr"/>
      <c r="V532" t="inlineStr">
        <is>
          <t>Тариф с завтраком</t>
        </is>
      </c>
      <c r="W532" t="n">
        <v>22512</v>
      </c>
      <c r="X532" s="3" t="n">
        <v>4288</v>
      </c>
      <c r="Y532" t="inlineStr">
        <is>
          <t>16%</t>
        </is>
      </c>
      <c r="Z532" t="inlineStr">
        <is>
          <t>2026-08-09, 2026-08-10</t>
        </is>
      </c>
      <c r="AA532" s="3" t="n">
        <v>22512</v>
      </c>
      <c r="AB532" t="inlineStr">
        <is>
          <t>Сошлось по ночным тарифам</t>
        </is>
      </c>
      <c r="AC532" s="2" t="inlineStr"/>
      <c r="AD532" t="n">
        <v>4288</v>
      </c>
      <c r="AE532" t="n">
        <v>0</v>
      </c>
      <c r="AF532" t="inlineStr">
        <is>
          <t>Скидка добавлена к налоговой базе</t>
        </is>
      </c>
      <c r="AG532" t="n">
        <v>26800</v>
      </c>
      <c r="AH532" t="n">
        <v>22512</v>
      </c>
      <c r="AI532" t="inlineStr">
        <is>
          <t>Полное проживание в выбранном периоде</t>
        </is>
      </c>
    </row>
    <row r="533">
      <c r="A533" t="inlineStr">
        <is>
          <t>20260821-8186-458141920</t>
        </is>
      </c>
      <c r="B533" t="n">
        <v>1</v>
      </c>
      <c r="C533" s="2" t="inlineStr">
        <is>
          <t>Ольга Каширина, Михаил Китаев</t>
        </is>
      </c>
      <c r="D533" s="3" t="n">
        <v>41085</v>
      </c>
      <c r="E533" s="4" t="n">
        <v>18</v>
      </c>
      <c r="F533" t="inlineStr">
        <is>
          <t>Яндекс.Путешествия [Чайковский]</t>
        </is>
      </c>
      <c r="G533" s="3">
        <f>ROUND(D533/(100-E533)*100,2)</f>
        <v/>
      </c>
      <c r="H533" s="3" t="n">
        <v>0</v>
      </c>
      <c r="I533" s="3">
        <f>ROUND(IF(ISNUMBER(AG533),AG533,G533)+H533,2)</f>
        <v/>
      </c>
      <c r="J533" s="2" t="inlineStr">
        <is>
          <t>Завтрак "Шведский стол"</t>
        </is>
      </c>
      <c r="K533" s="5" t="n">
        <v>46255.58333333334</v>
      </c>
      <c r="L533" t="n">
        <v>3</v>
      </c>
      <c r="M533" s="3">
        <f>I533/L533</f>
        <v/>
      </c>
      <c r="N533">
        <f>IF(M533&gt;=5100,"ставка","мин.ставка")</f>
        <v/>
      </c>
      <c r="O533" s="3">
        <f>ROUND(IF(N533="мин.ставка",L533*100,I533/102*2),2)</f>
        <v/>
      </c>
      <c r="P533" s="5" t="n">
        <v>46258.5</v>
      </c>
      <c r="Q533" t="inlineStr">
        <is>
          <t>TravelLine YAX</t>
        </is>
      </c>
      <c r="R533" s="2" t="inlineStr">
        <is>
          <t>ПОЛУЛЮКС</t>
        </is>
      </c>
      <c r="S533" t="n">
        <v>11</v>
      </c>
      <c r="T533" t="n">
        <v>1</v>
      </c>
      <c r="U533" t="inlineStr"/>
      <c r="V533" t="inlineStr">
        <is>
          <t>Тариф с завтраком</t>
        </is>
      </c>
      <c r="W533" t="n">
        <v>41085</v>
      </c>
      <c r="X533" s="3" t="n">
        <v>8415</v>
      </c>
      <c r="Y533" t="inlineStr">
        <is>
          <t>17%</t>
        </is>
      </c>
      <c r="Z533" t="inlineStr">
        <is>
          <t>2026-08-21, 2026-08-22, 2026-08-23</t>
        </is>
      </c>
      <c r="AA533" s="3" t="n">
        <v>41085</v>
      </c>
      <c r="AB533" t="inlineStr">
        <is>
          <t>Сошлось по ночным тарифам</t>
        </is>
      </c>
      <c r="AC533" s="2" t="inlineStr"/>
      <c r="AD533" t="n">
        <v>8415</v>
      </c>
      <c r="AE533" t="n">
        <v>0</v>
      </c>
      <c r="AF533" t="inlineStr">
        <is>
          <t>Скидка добавлена к налоговой базе</t>
        </is>
      </c>
      <c r="AG533" t="n">
        <v>49500</v>
      </c>
      <c r="AH533" t="n">
        <v>41085</v>
      </c>
      <c r="AI533" t="inlineStr">
        <is>
          <t>Полное проживание в выбранном периоде</t>
        </is>
      </c>
    </row>
    <row r="534">
      <c r="A534" t="inlineStr">
        <is>
          <t>20260819-8186-406343443</t>
        </is>
      </c>
      <c r="B534" t="n">
        <v>1</v>
      </c>
      <c r="C534" s="2" t="inlineStr">
        <is>
          <t>Ольга Коростелева, Андрей Коростелев</t>
        </is>
      </c>
      <c r="D534" s="3" t="n">
        <v>13016.25</v>
      </c>
      <c r="E534" s="4" t="n">
        <v>4</v>
      </c>
      <c r="F534" t="inlineStr">
        <is>
          <t>TravelLine Booking Engine [Чайковский]</t>
        </is>
      </c>
      <c r="G534" s="3">
        <f>ROUND(D534/(100-E534)*100,2)</f>
        <v/>
      </c>
      <c r="H534" s="3" t="n">
        <v>0</v>
      </c>
      <c r="I534" s="3">
        <f>ROUND(IF(ISNUMBER(AG534),AG534,G534)+H534,2)</f>
        <v/>
      </c>
      <c r="J534" s="2" t="inlineStr">
        <is>
          <t>Завтрак "Шведский стол"</t>
        </is>
      </c>
      <c r="K534" s="5" t="n">
        <v>46253.58333333334</v>
      </c>
      <c r="L534" t="n">
        <v>1</v>
      </c>
      <c r="M534" s="3">
        <f>I534/L534</f>
        <v/>
      </c>
      <c r="N534">
        <f>IF(M534&gt;=5100,"ставка","мин.ставка")</f>
        <v/>
      </c>
      <c r="O534" s="3">
        <f>ROUND(IF(N534="мин.ставка",L534*100,I534/102*2),2)</f>
        <v/>
      </c>
      <c r="P534" s="5" t="n">
        <v>46254.5</v>
      </c>
      <c r="Q534" t="inlineStr">
        <is>
          <t>TravelLine сайт</t>
        </is>
      </c>
      <c r="R534" s="2" t="inlineStr">
        <is>
          <t>СТАНДАРТНЫЙ ДВУХМЕСТНЫЙ НОМЕР</t>
        </is>
      </c>
      <c r="S534" t="n">
        <v>26</v>
      </c>
      <c r="T534" t="n">
        <v>1</v>
      </c>
      <c r="U534" t="inlineStr"/>
      <c r="V534" t="inlineStr">
        <is>
          <t>Тариф с завтраком</t>
        </is>
      </c>
      <c r="W534" t="n">
        <v>13016.25</v>
      </c>
      <c r="X534" s="3" t="n">
        <v>333.75</v>
      </c>
      <c r="Y534" t="inlineStr">
        <is>
          <t>2.5%</t>
        </is>
      </c>
      <c r="Z534" t="inlineStr">
        <is>
          <t>2026-08-19</t>
        </is>
      </c>
      <c r="AA534" s="3" t="n">
        <v>13016.25</v>
      </c>
      <c r="AB534" t="inlineStr">
        <is>
          <t>Сошлось по ночным тарифам</t>
        </is>
      </c>
      <c r="AC534" s="2" t="inlineStr"/>
      <c r="AD534" t="n">
        <v>333.75</v>
      </c>
      <c r="AE534" t="n">
        <v>0</v>
      </c>
      <c r="AF534" t="inlineStr">
        <is>
          <t>Скидка добавлена к налоговой базе</t>
        </is>
      </c>
      <c r="AG534" t="n">
        <v>13350</v>
      </c>
      <c r="AH534" t="n">
        <v>13016.25</v>
      </c>
      <c r="AI534" t="inlineStr">
        <is>
          <t>Полное проживание в выбранном периоде</t>
        </is>
      </c>
    </row>
    <row r="535">
      <c r="A535" t="inlineStr">
        <is>
          <t>20260716-8186-448718425</t>
        </is>
      </c>
      <c r="B535" t="n">
        <v>1</v>
      </c>
      <c r="C535" s="2" t="inlineStr">
        <is>
          <t>ОЛЬГА КОРШУНОВА</t>
        </is>
      </c>
      <c r="D535" s="3" t="n">
        <v>30260</v>
      </c>
      <c r="E535" s="4" t="n">
        <v>15</v>
      </c>
      <c r="F535" t="inlineStr">
        <is>
          <t>ООО "Библио-Глобус Туроператор" [Чайковский]</t>
        </is>
      </c>
      <c r="G535" s="3">
        <f>ROUND(D535/(100-E535)*100,2)</f>
        <v/>
      </c>
      <c r="H535" s="3" t="n">
        <v>0</v>
      </c>
      <c r="I535" s="3">
        <f>ROUND(IF(ISNUMBER(AG535),AG535,G535)+H535,2)</f>
        <v/>
      </c>
      <c r="J535" s="2" t="inlineStr">
        <is>
          <t>Завтрак "Шведский стол"</t>
        </is>
      </c>
      <c r="K535" s="5" t="n">
        <v>46219.58333333334</v>
      </c>
      <c r="L535" t="n">
        <v>4</v>
      </c>
      <c r="M535" s="3">
        <f>I535/L535</f>
        <v/>
      </c>
      <c r="N535">
        <f>IF(M535&gt;=5100,"ставка","мин.ставка")</f>
        <v/>
      </c>
      <c r="O535" s="3">
        <f>ROUND(IF(N535="мин.ставка",L535*100,I535/102*2),2)</f>
        <v/>
      </c>
      <c r="P535" s="5" t="n">
        <v>46223.5</v>
      </c>
      <c r="Q535" t="inlineStr">
        <is>
          <t>TravelLine BGL</t>
        </is>
      </c>
      <c r="R535" s="2" t="inlineStr">
        <is>
          <t>СТАНДАРТНЫЙ ДВУХМЕСТНЫЙ НОМЕР</t>
        </is>
      </c>
      <c r="S535" t="n">
        <v>36</v>
      </c>
      <c r="T535" t="n">
        <v>1</v>
      </c>
      <c r="U535" t="inlineStr"/>
      <c r="V535" t="inlineStr">
        <is>
          <t>Тариф с завтраком</t>
        </is>
      </c>
      <c r="W535" t="n">
        <v>30260</v>
      </c>
      <c r="X535" s="3" t="n">
        <v>5340</v>
      </c>
      <c r="Y535" t="inlineStr">
        <is>
          <t>15%</t>
        </is>
      </c>
      <c r="Z535" t="inlineStr">
        <is>
          <t>2026-07-16, 2026-07-17, 2026-07-18, 2026-07-19</t>
        </is>
      </c>
      <c r="AA535" s="3" t="n">
        <v>30260</v>
      </c>
      <c r="AB535" t="inlineStr">
        <is>
          <t>Сошлось по ночным тарифам</t>
        </is>
      </c>
      <c r="AC535" s="2" t="inlineStr"/>
      <c r="AD535" t="n">
        <v>5340</v>
      </c>
      <c r="AE535" t="n">
        <v>0</v>
      </c>
      <c r="AF535" t="inlineStr">
        <is>
          <t>Скидка добавлена к налоговой базе</t>
        </is>
      </c>
      <c r="AG535" t="n">
        <v>35600</v>
      </c>
      <c r="AH535" t="n">
        <v>30260</v>
      </c>
      <c r="AI535" t="inlineStr">
        <is>
          <t>Полное проживание в выбранном периоде</t>
        </is>
      </c>
    </row>
    <row r="536">
      <c r="A536" t="inlineStr">
        <is>
          <t>20260821-8186-460289458</t>
        </is>
      </c>
      <c r="B536" t="n">
        <v>1</v>
      </c>
      <c r="C536" s="2" t="inlineStr">
        <is>
          <t>Ольга Ляшенко</t>
        </is>
      </c>
      <c r="D536" s="3" t="n">
        <v>10998.15</v>
      </c>
      <c r="E536" s="4" t="n">
        <v>4</v>
      </c>
      <c r="F536" t="inlineStr">
        <is>
          <t>TravelLine Booking Engine [Чайковский]</t>
        </is>
      </c>
      <c r="G536" s="3">
        <f>ROUND(D536/(100-E536)*100,2)</f>
        <v/>
      </c>
      <c r="H536" s="3" t="n">
        <v>0</v>
      </c>
      <c r="I536" s="3">
        <f>ROUND(IF(ISNUMBER(AG536),AG536,G536)+H536,2)</f>
        <v/>
      </c>
      <c r="J536" s="2" t="inlineStr">
        <is>
          <t>Завтрак "Шведский стол"</t>
        </is>
      </c>
      <c r="K536" s="5" t="n">
        <v>46255.58333333334</v>
      </c>
      <c r="L536" t="n">
        <v>1</v>
      </c>
      <c r="M536" s="3">
        <f>I536/L536</f>
        <v/>
      </c>
      <c r="N536">
        <f>IF(M536&gt;=5100,"ставка","мин.ставка")</f>
        <v/>
      </c>
      <c r="O536" s="3">
        <f>ROUND(IF(N536="мин.ставка",L536*100,I536/102*2),2)</f>
        <v/>
      </c>
      <c r="P536" s="5" t="n">
        <v>46256.5</v>
      </c>
      <c r="Q536" t="inlineStr">
        <is>
          <t>TravelLine сайт</t>
        </is>
      </c>
      <c r="R536" s="2" t="inlineStr">
        <is>
          <t>СТАНДАРТНЫЙ ДВУХМЕСТНЫЙ НОМЕР</t>
        </is>
      </c>
      <c r="S536" t="n">
        <v>42</v>
      </c>
      <c r="T536" t="n">
        <v>1</v>
      </c>
      <c r="U536" t="inlineStr"/>
      <c r="V536" t="inlineStr">
        <is>
          <t>Тариф с завтраком</t>
        </is>
      </c>
      <c r="W536" t="n">
        <v>10998.15</v>
      </c>
      <c r="X536" s="3" t="n">
        <v>351.85</v>
      </c>
      <c r="Y536" t="inlineStr">
        <is>
          <t>3.1%</t>
        </is>
      </c>
      <c r="Z536" t="inlineStr">
        <is>
          <t>2026-08-21</t>
        </is>
      </c>
      <c r="AA536" s="3" t="n">
        <v>10998.15</v>
      </c>
      <c r="AB536" t="inlineStr">
        <is>
          <t>Сошлось по ночным тарифам</t>
        </is>
      </c>
      <c r="AC536" s="2" t="inlineStr"/>
      <c r="AD536" t="n">
        <v>351.85</v>
      </c>
      <c r="AE536" t="n">
        <v>0</v>
      </c>
      <c r="AF536" t="inlineStr">
        <is>
          <t>Скидка добавлена к налоговой базе</t>
        </is>
      </c>
      <c r="AG536" t="n">
        <v>11350</v>
      </c>
      <c r="AH536" t="n">
        <v>10998.15</v>
      </c>
      <c r="AI536" t="inlineStr">
        <is>
          <t>Полное проживание в выбранном периоде</t>
        </is>
      </c>
    </row>
    <row r="537">
      <c r="A537" t="inlineStr">
        <is>
          <t>20260822-8186-435212432</t>
        </is>
      </c>
      <c r="B537" t="n">
        <v>1</v>
      </c>
      <c r="C537" s="2" t="inlineStr">
        <is>
          <t>ОЛЬГА МАКСИМОВИЧ, ПАВЕЛ ГУРБИЧ</t>
        </is>
      </c>
      <c r="D537" s="3" t="n">
        <v>25245</v>
      </c>
      <c r="E537" s="4" t="n">
        <v>16</v>
      </c>
      <c r="F537" t="inlineStr">
        <is>
          <t>ООО "БРОНИРОВАНИЕ ГОСТИНИЦ" (OSTROVOK) [Чайковский]</t>
        </is>
      </c>
      <c r="G537" s="3">
        <f>ROUND(D537/(100-E537)*100,2)</f>
        <v/>
      </c>
      <c r="H537" s="3" t="n">
        <v>0</v>
      </c>
      <c r="I537" s="3">
        <f>ROUND(IF(ISNUMBER(AG537),AG537,G537)+H537,2)</f>
        <v/>
      </c>
      <c r="J537" s="2" t="inlineStr">
        <is>
          <t>Завтрак "Шведский стол"</t>
        </is>
      </c>
      <c r="K537" s="5" t="n">
        <v>46256.58333333334</v>
      </c>
      <c r="L537" t="n">
        <v>3</v>
      </c>
      <c r="M537" s="3">
        <f>I537/L537</f>
        <v/>
      </c>
      <c r="N537">
        <f>IF(M537&gt;=5100,"ставка","мин.ставка")</f>
        <v/>
      </c>
      <c r="O537" s="3">
        <f>ROUND(IF(N537="мин.ставка",L537*100,I537/102*2),2)</f>
        <v/>
      </c>
      <c r="P537" s="5" t="n">
        <v>46259.5</v>
      </c>
      <c r="Q537" t="inlineStr">
        <is>
          <t>TravelLine OTK</t>
        </is>
      </c>
      <c r="R537" s="2" t="inlineStr">
        <is>
          <t>СТАНДАРТНЫЙ ДВУХМЕСТНЫЙ НОМЕР (МАНСАРДА)</t>
        </is>
      </c>
      <c r="S537" t="n">
        <v>47</v>
      </c>
      <c r="T537" t="n">
        <v>1</v>
      </c>
      <c r="U537" t="inlineStr"/>
      <c r="V537" t="inlineStr">
        <is>
          <t>Тариф с завтраком</t>
        </is>
      </c>
      <c r="W537" t="n">
        <v>25245</v>
      </c>
      <c r="X537" s="3" t="n">
        <v>4455</v>
      </c>
      <c r="Y537" t="inlineStr">
        <is>
          <t>15%</t>
        </is>
      </c>
      <c r="Z537" t="inlineStr">
        <is>
          <t>2026-08-22, 2026-08-23, 2026-08-24</t>
        </is>
      </c>
      <c r="AA537" s="3" t="n">
        <v>25245</v>
      </c>
      <c r="AB537" t="inlineStr">
        <is>
          <t>Сошлось по ночным тарифам</t>
        </is>
      </c>
      <c r="AC537" s="2" t="inlineStr"/>
      <c r="AD537" t="n">
        <v>4455</v>
      </c>
      <c r="AE537" t="n">
        <v>0</v>
      </c>
      <c r="AF537" t="inlineStr">
        <is>
          <t>Скидка добавлена к налоговой базе</t>
        </is>
      </c>
      <c r="AG537" t="n">
        <v>29700</v>
      </c>
      <c r="AH537" t="n">
        <v>25245</v>
      </c>
      <c r="AI537" t="inlineStr">
        <is>
          <t>Полное проживание в выбранном периоде</t>
        </is>
      </c>
    </row>
    <row r="538">
      <c r="A538" t="inlineStr">
        <is>
          <t>20260929-8186-465328503</t>
        </is>
      </c>
      <c r="B538" t="n">
        <v>1</v>
      </c>
      <c r="C538" s="2" t="inlineStr">
        <is>
          <t>Ольга Маурина</t>
        </is>
      </c>
      <c r="D538" s="3" t="n">
        <v>5486.25</v>
      </c>
      <c r="E538" s="4" t="n">
        <v>18</v>
      </c>
      <c r="F538" t="inlineStr">
        <is>
          <t>Яндекс.Путешествия [Чайковский]</t>
        </is>
      </c>
      <c r="G538" s="3">
        <f>ROUND(D538/(100-E538)*100,2)</f>
        <v/>
      </c>
      <c r="H538" s="3" t="n">
        <v>0</v>
      </c>
      <c r="I538" s="3">
        <f>ROUND(IF(ISNUMBER(AG538),AG538,G538)+H538,2)</f>
        <v/>
      </c>
      <c r="J538" s="2" t="inlineStr">
        <is>
          <t>Завтрак "Шведский стол"</t>
        </is>
      </c>
      <c r="K538" s="5" t="n">
        <v>46294.58333333334</v>
      </c>
      <c r="L538" t="n">
        <v>1</v>
      </c>
      <c r="M538" s="3">
        <f>I538/L538</f>
        <v/>
      </c>
      <c r="N538">
        <f>IF(M538&gt;=5100,"ставка","мин.ставка")</f>
        <v/>
      </c>
      <c r="O538" s="3">
        <f>ROUND(IF(N538="мин.ставка",L538*100,I538/102*2),2)</f>
        <v/>
      </c>
      <c r="P538" s="5" t="n">
        <v>46295.5</v>
      </c>
      <c r="Q538" t="inlineStr">
        <is>
          <t>TravelLine YAX</t>
        </is>
      </c>
      <c r="R538" s="2" t="inlineStr">
        <is>
          <t>СТАНДАРТНЫЙ ОДНОМЕСТНЫЙ НОМЕР</t>
        </is>
      </c>
      <c r="S538" t="n">
        <v>24</v>
      </c>
      <c r="T538" t="n">
        <v>1</v>
      </c>
      <c r="U538" t="inlineStr"/>
      <c r="V538" t="inlineStr">
        <is>
          <t>Тариф с завтраком</t>
        </is>
      </c>
      <c r="W538" t="n">
        <v>5486.25</v>
      </c>
      <c r="X538" s="3" t="n">
        <v>0</v>
      </c>
      <c r="Y538" t="inlineStr"/>
      <c r="Z538" t="inlineStr"/>
      <c r="AA538" s="3" t="n">
        <v>5486.25</v>
      </c>
      <c r="AB538" t="inlineStr">
        <is>
          <t>Сошлось по ночным тарифам</t>
        </is>
      </c>
      <c r="AC538" s="2" t="inlineStr"/>
      <c r="AD538" t="n">
        <v>0</v>
      </c>
      <c r="AE538" t="n">
        <v>0</v>
      </c>
      <c r="AF538" t="inlineStr">
        <is>
          <t>Скидки нет</t>
        </is>
      </c>
      <c r="AG538" t="n">
        <v>5486.25</v>
      </c>
      <c r="AH538" t="n">
        <v>5486.25</v>
      </c>
      <c r="AI538" t="inlineStr">
        <is>
          <t>Полное проживание в выбранном периоде</t>
        </is>
      </c>
    </row>
    <row r="539">
      <c r="A539" t="inlineStr">
        <is>
          <t>20260707-8186-408949108</t>
        </is>
      </c>
      <c r="B539" t="n">
        <v>1</v>
      </c>
      <c r="C539" s="2" t="inlineStr">
        <is>
          <t>Ольга Минченко, Станислав Сушков</t>
        </is>
      </c>
      <c r="D539" s="3" t="n">
        <v>69151.5</v>
      </c>
      <c r="E539" s="4" t="n">
        <v>4</v>
      </c>
      <c r="F539" t="inlineStr">
        <is>
          <t>TravelLine Booking Engine [Чайковский]</t>
        </is>
      </c>
      <c r="G539" s="3">
        <f>ROUND(D539/(100-E539)*100,2)</f>
        <v/>
      </c>
      <c r="H539" s="3" t="n">
        <v>0</v>
      </c>
      <c r="I539" s="3">
        <f>ROUND(IF(ISNUMBER(AG539),AG539,G539)+H539,2)</f>
        <v/>
      </c>
      <c r="J539" s="2" t="inlineStr">
        <is>
          <t>Завтрак "Шведский стол"</t>
        </is>
      </c>
      <c r="K539" s="5" t="n">
        <v>46210.58333333334</v>
      </c>
      <c r="L539" t="n">
        <v>7</v>
      </c>
      <c r="M539" s="3">
        <f>I539/L539</f>
        <v/>
      </c>
      <c r="N539">
        <f>IF(M539&gt;=5100,"ставка","мин.ставка")</f>
        <v/>
      </c>
      <c r="O539" s="3">
        <f>ROUND(IF(N539="мин.ставка",L539*100,I539/102*2),2)</f>
        <v/>
      </c>
      <c r="P539" s="5" t="n">
        <v>46217.5</v>
      </c>
      <c r="Q539" t="inlineStr">
        <is>
          <t>TravelLine сайт</t>
        </is>
      </c>
      <c r="R539" s="2" t="inlineStr">
        <is>
          <t>СТАНДАРТНЫЙ ДВУХМЕСТНЫЙ НОМЕР (МАНСАРДА)</t>
        </is>
      </c>
      <c r="S539" t="n">
        <v>43</v>
      </c>
      <c r="T539" t="n">
        <v>1</v>
      </c>
      <c r="U539" t="inlineStr"/>
      <c r="V539" t="inlineStr">
        <is>
          <t>Тариф с завтраком</t>
        </is>
      </c>
      <c r="W539" t="n">
        <v>69151.5</v>
      </c>
      <c r="X539" s="3" t="n">
        <v>148.5</v>
      </c>
      <c r="Y539" t="inlineStr">
        <is>
          <t>1.5%</t>
        </is>
      </c>
      <c r="Z539" t="inlineStr">
        <is>
          <t>2026-07-07</t>
        </is>
      </c>
      <c r="AA539" s="3" t="n">
        <v>69151.5</v>
      </c>
      <c r="AB539" t="inlineStr">
        <is>
          <t>Сошлось по ночным тарифам</t>
        </is>
      </c>
      <c r="AC539" s="2" t="inlineStr"/>
      <c r="AD539" t="n">
        <v>148.5</v>
      </c>
      <c r="AE539" t="n">
        <v>0</v>
      </c>
      <c r="AF539" t="inlineStr">
        <is>
          <t>Скидка добавлена к налоговой базе</t>
        </is>
      </c>
      <c r="AG539" t="n">
        <v>69300</v>
      </c>
      <c r="AH539" t="n">
        <v>69151.5</v>
      </c>
      <c r="AI539" t="inlineStr">
        <is>
          <t>Полное проживание в выбранном периоде</t>
        </is>
      </c>
    </row>
    <row r="540">
      <c r="A540" t="inlineStr">
        <is>
          <t>20260709-8186-448353253</t>
        </is>
      </c>
      <c r="B540" t="n">
        <v>1</v>
      </c>
      <c r="C540" s="2" t="inlineStr">
        <is>
          <t>ОЛЬГА Мотовилова</t>
        </is>
      </c>
      <c r="D540" s="3" t="n">
        <v>11850</v>
      </c>
      <c r="E540" s="4" t="n">
        <v>0</v>
      </c>
      <c r="F540" t="inlineStr">
        <is>
          <t>Прямые бронирования (стойка) [Чайковский]</t>
        </is>
      </c>
      <c r="G540" s="3">
        <f>ROUND(D540/(100-E540)*100,2)</f>
        <v/>
      </c>
      <c r="H540" s="3" t="n">
        <v>0</v>
      </c>
      <c r="I540" s="3">
        <f>ROUND(IF(ISNUMBER(AG540),AG540,G540)+H540,2)</f>
        <v/>
      </c>
      <c r="J540" s="2" t="inlineStr">
        <is>
          <t>Завтрак "Шведский стол"</t>
        </is>
      </c>
      <c r="K540" s="5" t="n">
        <v>46212.58333333334</v>
      </c>
      <c r="L540" t="n">
        <v>1</v>
      </c>
      <c r="M540" s="3">
        <f>I540/L540</f>
        <v/>
      </c>
      <c r="N540">
        <f>IF(M540&gt;=5100,"ставка","мин.ставка")</f>
        <v/>
      </c>
      <c r="O540" s="3">
        <f>ROUND(IF(N540="мин.ставка",L540*100,I540/102*2),2)</f>
        <v/>
      </c>
      <c r="P540" s="5" t="n">
        <v>46213.5</v>
      </c>
      <c r="Q540" t="inlineStr">
        <is>
          <t>TravelLine ресепшен</t>
        </is>
      </c>
      <c r="R540" s="2" t="inlineStr">
        <is>
          <t>ПОЛУЛЮКС</t>
        </is>
      </c>
      <c r="S540" t="n">
        <v>25</v>
      </c>
      <c r="T540" t="n">
        <v>1</v>
      </c>
      <c r="U540" t="inlineStr"/>
      <c r="V540" t="inlineStr">
        <is>
          <t>Тариф с завтраком</t>
        </is>
      </c>
      <c r="W540" t="n">
        <v>11850</v>
      </c>
      <c r="X540" s="3" t="n">
        <v>0</v>
      </c>
      <c r="Y540" t="inlineStr"/>
      <c r="Z540" t="inlineStr"/>
      <c r="AA540" s="3" t="n">
        <v>11850</v>
      </c>
      <c r="AB540" t="inlineStr">
        <is>
          <t>Сошлось по ночным тарифам</t>
        </is>
      </c>
      <c r="AC540" s="2" t="inlineStr"/>
      <c r="AD540" t="n">
        <v>0</v>
      </c>
      <c r="AE540" t="n">
        <v>0</v>
      </c>
      <c r="AF540" t="inlineStr">
        <is>
          <t>Скидки нет</t>
        </is>
      </c>
      <c r="AG540" t="n">
        <v>11850</v>
      </c>
      <c r="AH540" t="n">
        <v>11850</v>
      </c>
      <c r="AI540" t="inlineStr">
        <is>
          <t>Полное проживание в выбранном периоде</t>
        </is>
      </c>
    </row>
    <row r="541">
      <c r="A541" t="inlineStr">
        <is>
          <t>20260802-8186-438830441</t>
        </is>
      </c>
      <c r="B541" t="n">
        <v>1</v>
      </c>
      <c r="C541" s="2" t="inlineStr">
        <is>
          <t>ОЛЬГА ПРОСКУРНИНА, АЛЕНА ПРОСКУРНИНА</t>
        </is>
      </c>
      <c r="D541" s="3" t="n">
        <v>68085</v>
      </c>
      <c r="E541" s="4" t="n">
        <v>0</v>
      </c>
      <c r="F541" t="inlineStr">
        <is>
          <t>ООО "АЛЕАН ОТДЫХ" [Чайковский]</t>
        </is>
      </c>
      <c r="G541" s="3">
        <f>ROUND(D541/(100-E541)*100,2)</f>
        <v/>
      </c>
      <c r="H541" s="3" t="n">
        <v>0</v>
      </c>
      <c r="I541" s="3">
        <f>ROUND(IF(ISNUMBER(AG541),AG541,G541)+H541,2)</f>
        <v/>
      </c>
      <c r="J541" s="2" t="inlineStr">
        <is>
          <t>meal_bf_buffet_1; meal_bf_buffet_1; Завтрак "Шведский стол"</t>
        </is>
      </c>
      <c r="K541" s="5" t="n">
        <v>46236.58333333334</v>
      </c>
      <c r="L541" t="n">
        <v>6</v>
      </c>
      <c r="M541" s="3">
        <f>I541/L541</f>
        <v/>
      </c>
      <c r="N541">
        <f>IF(M541&gt;=5100,"ставка","мин.ставка")</f>
        <v/>
      </c>
      <c r="O541" s="3">
        <f>ROUND(IF(N541="мин.ставка",L541*100,I541/102*2),2)</f>
        <v/>
      </c>
      <c r="P541" s="5" t="n">
        <v>46242.5</v>
      </c>
      <c r="Q541" t="inlineStr">
        <is>
          <t>TravelLine ALN</t>
        </is>
      </c>
      <c r="R541" s="2" t="inlineStr">
        <is>
          <t>СТАНДАРТНЫЙ ДВУХМЕСТНЫЙ НОМЕР</t>
        </is>
      </c>
      <c r="S541" t="n">
        <v>36</v>
      </c>
      <c r="T541" t="n">
        <v>1</v>
      </c>
      <c r="U541" t="inlineStr"/>
      <c r="V541" t="inlineStr">
        <is>
          <t>Тариф с завтраком</t>
        </is>
      </c>
      <c r="W541" t="n">
        <v>68085</v>
      </c>
      <c r="X541" s="3" t="n">
        <v>12015</v>
      </c>
      <c r="Y541" t="inlineStr">
        <is>
          <t>15%</t>
        </is>
      </c>
      <c r="Z541" t="inlineStr">
        <is>
          <t>2026-08-02, 2026-08-03, 2026-08-04, 2026-08-05, 2026-08-06, 2026-08-07</t>
        </is>
      </c>
      <c r="AA541" s="3" t="n">
        <v>68085</v>
      </c>
      <c r="AB541" t="inlineStr">
        <is>
          <t>Сошлось по ночным тарифам</t>
        </is>
      </c>
      <c r="AC541" s="2" t="inlineStr"/>
      <c r="AD541" t="n">
        <v>12015</v>
      </c>
      <c r="AE541" t="n">
        <v>0</v>
      </c>
      <c r="AF541" t="inlineStr">
        <is>
          <t>Скидка добавлена к налоговой базе</t>
        </is>
      </c>
      <c r="AG541" t="n">
        <v>80100</v>
      </c>
      <c r="AH541" t="n">
        <v>68085</v>
      </c>
      <c r="AI541" t="inlineStr">
        <is>
          <t>Полное проживание в выбранном периоде</t>
        </is>
      </c>
    </row>
    <row r="542">
      <c r="A542" t="inlineStr">
        <is>
          <t>20260923-8186-461586020</t>
        </is>
      </c>
      <c r="B542" t="n">
        <v>1</v>
      </c>
      <c r="C542" s="2" t="inlineStr">
        <is>
          <t>Ольга Протопопова</t>
        </is>
      </c>
      <c r="D542" s="3" t="n">
        <v>18160</v>
      </c>
      <c r="E542" s="4" t="n">
        <v>20</v>
      </c>
      <c r="F542" t="inlineStr">
        <is>
          <t>ООО "КОМПАНИЯ БРОНЕВИК" [Чайковский]</t>
        </is>
      </c>
      <c r="G542" s="3">
        <f>ROUND(D542/(100-E542)*100,2)</f>
        <v/>
      </c>
      <c r="H542" s="3" t="n">
        <v>0</v>
      </c>
      <c r="I542" s="3">
        <f>ROUND(IF(ISNUMBER(AG542),AG542,G542)+H542,2)</f>
        <v/>
      </c>
      <c r="J542" s="2" t="inlineStr">
        <is>
          <t>Завтрак "Шведский стол"</t>
        </is>
      </c>
      <c r="K542" s="5" t="n">
        <v>46288.58333333334</v>
      </c>
      <c r="L542" t="n">
        <v>2</v>
      </c>
      <c r="M542" s="3">
        <f>I542/L542</f>
        <v/>
      </c>
      <c r="N542">
        <f>IF(M542&gt;=5100,"ставка","мин.ставка")</f>
        <v/>
      </c>
      <c r="O542" s="3">
        <f>ROUND(IF(N542="мин.ставка",L542*100,I542/102*2),2)</f>
        <v/>
      </c>
      <c r="P542" s="5" t="n">
        <v>46290.5</v>
      </c>
      <c r="Q542" t="inlineStr">
        <is>
          <t>TravelLine BR2</t>
        </is>
      </c>
      <c r="R542" s="2" t="inlineStr">
        <is>
          <t>СТАНДАРТНЫЙ ДВУХМЕСТНЫЙ НОМЕР</t>
        </is>
      </c>
      <c r="S542" t="n">
        <v>36</v>
      </c>
      <c r="T542" t="n">
        <v>1</v>
      </c>
      <c r="U542" t="inlineStr"/>
      <c r="V542" t="inlineStr">
        <is>
          <t>Тариф с завтраком</t>
        </is>
      </c>
      <c r="W542" t="n">
        <v>18160</v>
      </c>
      <c r="X542" s="3" t="n">
        <v>0</v>
      </c>
      <c r="Y542" t="inlineStr"/>
      <c r="Z542" t="inlineStr"/>
      <c r="AA542" s="3" t="n">
        <v>18160</v>
      </c>
      <c r="AB542" t="inlineStr">
        <is>
          <t>Сошлось по ночным тарифам</t>
        </is>
      </c>
      <c r="AC542" s="2" t="inlineStr"/>
      <c r="AD542" t="n">
        <v>0</v>
      </c>
      <c r="AE542" t="n">
        <v>0</v>
      </c>
      <c r="AF542" t="inlineStr">
        <is>
          <t>Скидки нет</t>
        </is>
      </c>
      <c r="AG542" t="n">
        <v>18160</v>
      </c>
      <c r="AH542" t="n">
        <v>18160</v>
      </c>
      <c r="AI542" t="inlineStr">
        <is>
          <t>Полное проживание в выбранном периоде</t>
        </is>
      </c>
    </row>
    <row r="543">
      <c r="A543" t="inlineStr">
        <is>
          <t>20260913-8186-465502302</t>
        </is>
      </c>
      <c r="B543" t="n">
        <v>1</v>
      </c>
      <c r="C543" s="2" t="inlineStr">
        <is>
          <t>Ольга Савостьянова</t>
        </is>
      </c>
      <c r="D543" s="3" t="n">
        <v>12936</v>
      </c>
      <c r="E543" s="4" t="n">
        <v>16</v>
      </c>
      <c r="F543" t="inlineStr">
        <is>
          <t>ООО "БРОНИРОВАНИЕ ГОСТИНИЦ" (OSTROVOK) [Чайковский]</t>
        </is>
      </c>
      <c r="G543" s="3">
        <f>ROUND(D543/(100-E543)*100,2)</f>
        <v/>
      </c>
      <c r="H543" s="3" t="n">
        <v>0</v>
      </c>
      <c r="I543" s="3">
        <f>ROUND(IF(ISNUMBER(AG543),AG543,G543)+H543,2)</f>
        <v/>
      </c>
      <c r="J543" s="2" t="inlineStr">
        <is>
          <t>Завтрак "Шведский стол"</t>
        </is>
      </c>
      <c r="K543" s="5" t="n">
        <v>46278.58333333334</v>
      </c>
      <c r="L543" t="n">
        <v>2</v>
      </c>
      <c r="M543" s="3">
        <f>I543/L543</f>
        <v/>
      </c>
      <c r="N543">
        <f>IF(M543&gt;=5100,"ставка","мин.ставка")</f>
        <v/>
      </c>
      <c r="O543" s="3">
        <f>ROUND(IF(N543="мин.ставка",L543*100,I543/102*2),2)</f>
        <v/>
      </c>
      <c r="P543" s="5" t="n">
        <v>46280.5</v>
      </c>
      <c r="Q543" t="inlineStr">
        <is>
          <t>TravelLine OTK</t>
        </is>
      </c>
      <c r="R543" s="2" t="inlineStr">
        <is>
          <t>СТАНДАРТНЫЙ ОДНОМЕСТНЫЙ НОМЕР</t>
        </is>
      </c>
      <c r="S543" t="n">
        <v>24</v>
      </c>
      <c r="T543" t="n">
        <v>1</v>
      </c>
      <c r="U543" t="inlineStr"/>
      <c r="V543" t="inlineStr">
        <is>
          <t>Тариф с завтраком</t>
        </is>
      </c>
      <c r="W543" t="n">
        <v>12936</v>
      </c>
      <c r="X543" s="3" t="n">
        <v>2464</v>
      </c>
      <c r="Y543" t="inlineStr">
        <is>
          <t>16%</t>
        </is>
      </c>
      <c r="Z543" t="inlineStr">
        <is>
          <t>2026-09-13, 2026-09-14</t>
        </is>
      </c>
      <c r="AA543" s="3" t="n">
        <v>12936</v>
      </c>
      <c r="AB543" t="inlineStr">
        <is>
          <t>Сошлось по ночным тарифам</t>
        </is>
      </c>
      <c r="AC543" s="2" t="inlineStr"/>
      <c r="AD543" t="n">
        <v>2464</v>
      </c>
      <c r="AE543" t="n">
        <v>0</v>
      </c>
      <c r="AF543" t="inlineStr">
        <is>
          <t>Скидка добавлена к налоговой базе</t>
        </is>
      </c>
      <c r="AG543" t="n">
        <v>15400</v>
      </c>
      <c r="AH543" t="n">
        <v>12936</v>
      </c>
      <c r="AI543" t="inlineStr">
        <is>
          <t>Полное проживание в выбранном периоде</t>
        </is>
      </c>
    </row>
    <row r="544">
      <c r="A544" t="inlineStr">
        <is>
          <t>20260714-8186-448937681</t>
        </is>
      </c>
      <c r="B544" t="n">
        <v>1</v>
      </c>
      <c r="C544" s="2" t="inlineStr">
        <is>
          <t>Ольга Самыгина</t>
        </is>
      </c>
      <c r="D544" s="3" t="n">
        <v>21440</v>
      </c>
      <c r="E544" s="4" t="n">
        <v>18</v>
      </c>
      <c r="F544" t="inlineStr">
        <is>
          <t>Яндекс.Путешествия [Чайковский]</t>
        </is>
      </c>
      <c r="G544" s="3">
        <f>ROUND(D544/(100-E544)*100,2)</f>
        <v/>
      </c>
      <c r="H544" s="3" t="n">
        <v>0</v>
      </c>
      <c r="I544" s="3">
        <f>ROUND(IF(ISNUMBER(AG544),AG544,G544)+H544,2)</f>
        <v/>
      </c>
      <c r="J544" s="2" t="inlineStr">
        <is>
          <t>Завтрак "Шведский стол"</t>
        </is>
      </c>
      <c r="K544" s="5" t="n">
        <v>46217.58333333334</v>
      </c>
      <c r="L544" t="n">
        <v>2</v>
      </c>
      <c r="M544" s="3">
        <f>I544/L544</f>
        <v/>
      </c>
      <c r="N544">
        <f>IF(M544&gt;=5100,"ставка","мин.ставка")</f>
        <v/>
      </c>
      <c r="O544" s="3">
        <f>ROUND(IF(N544="мин.ставка",L544*100,I544/102*2),2)</f>
        <v/>
      </c>
      <c r="P544" s="5" t="n">
        <v>46219.5</v>
      </c>
      <c r="Q544" t="inlineStr">
        <is>
          <t>TravelLine YAX</t>
        </is>
      </c>
      <c r="R544" s="2" t="inlineStr">
        <is>
          <t>УЛУЧШЕННЫЙ ДВУХМЕСТНЫЙ НОМЕР</t>
        </is>
      </c>
      <c r="S544" t="n">
        <v>21</v>
      </c>
      <c r="T544" t="n">
        <v>1</v>
      </c>
      <c r="U544" t="inlineStr"/>
      <c r="V544" t="inlineStr">
        <is>
          <t>Тариф с завтраком</t>
        </is>
      </c>
      <c r="W544" t="n">
        <v>21440</v>
      </c>
      <c r="X544" s="3" t="n">
        <v>5360</v>
      </c>
      <c r="Y544" t="inlineStr">
        <is>
          <t>20%</t>
        </is>
      </c>
      <c r="Z544" t="inlineStr">
        <is>
          <t>2026-07-14, 2026-07-15</t>
        </is>
      </c>
      <c r="AA544" s="3" t="n">
        <v>21440</v>
      </c>
      <c r="AB544" t="inlineStr">
        <is>
          <t>Сошлось по ночным тарифам</t>
        </is>
      </c>
      <c r="AC544" s="2" t="inlineStr"/>
      <c r="AD544" t="n">
        <v>5360</v>
      </c>
      <c r="AE544" t="n">
        <v>0</v>
      </c>
      <c r="AF544" t="inlineStr">
        <is>
          <t>Скидка добавлена к налоговой базе</t>
        </is>
      </c>
      <c r="AG544" t="n">
        <v>26800</v>
      </c>
      <c r="AH544" t="n">
        <v>21440</v>
      </c>
      <c r="AI544" t="inlineStr">
        <is>
          <t>Полное проживание в выбранном периоде</t>
        </is>
      </c>
    </row>
    <row r="545">
      <c r="A545" t="inlineStr">
        <is>
          <t>20260806-8186-450640950</t>
        </is>
      </c>
      <c r="B545" t="n">
        <v>1</v>
      </c>
      <c r="C545" s="2" t="inlineStr">
        <is>
          <t>ОЛЬГА СОЛДАТОВА</t>
        </is>
      </c>
      <c r="D545" s="3" t="n">
        <v>28942.5</v>
      </c>
      <c r="E545" s="4" t="n">
        <v>15</v>
      </c>
      <c r="F545" t="inlineStr">
        <is>
          <t>ООО «12Т» (ранее ONE TWO TRIP) [Чайковский]</t>
        </is>
      </c>
      <c r="G545" s="3">
        <f>ROUND(D545/(100-E545)*100,2)</f>
        <v/>
      </c>
      <c r="H545" s="3" t="n">
        <v>0</v>
      </c>
      <c r="I545" s="3">
        <f>ROUND(IF(ISNUMBER(AG545),AG545,G545)+H545,2)</f>
        <v/>
      </c>
      <c r="J545" s="2" t="inlineStr">
        <is>
          <t>Завтрак "Шведский стол"</t>
        </is>
      </c>
      <c r="K545" s="5" t="n">
        <v>46240.58333333334</v>
      </c>
      <c r="L545" t="n">
        <v>3</v>
      </c>
      <c r="M545" s="3">
        <f>I545/L545</f>
        <v/>
      </c>
      <c r="N545">
        <f>IF(M545&gt;=5100,"ставка","мин.ставка")</f>
        <v/>
      </c>
      <c r="O545" s="3">
        <f>ROUND(IF(N545="мин.ставка",L545*100,I545/102*2),2)</f>
        <v/>
      </c>
      <c r="P545" s="5" t="n">
        <v>46243.5</v>
      </c>
      <c r="Q545" t="inlineStr">
        <is>
          <t>TravelLine OTT</t>
        </is>
      </c>
      <c r="R545" s="2" t="inlineStr">
        <is>
          <t>СТАНДАРТНЫЙ ДВУХМЕСТНЫЙ НОМЕР</t>
        </is>
      </c>
      <c r="S545" t="n">
        <v>22</v>
      </c>
      <c r="T545" t="n">
        <v>1</v>
      </c>
      <c r="U545" t="inlineStr"/>
      <c r="V545" t="inlineStr">
        <is>
          <t>Тариф с завтраком</t>
        </is>
      </c>
      <c r="W545" t="n">
        <v>86827.5</v>
      </c>
      <c r="X545" s="3" t="n">
        <v>5107.5</v>
      </c>
      <c r="Y545" t="inlineStr">
        <is>
          <t>15%</t>
        </is>
      </c>
      <c r="Z545" t="inlineStr">
        <is>
          <t>2026-08-06, 2026-08-07, 2026-08-08</t>
        </is>
      </c>
      <c r="AA545" s="3" t="n">
        <v>28942.5</v>
      </c>
      <c r="AB545" t="inlineStr">
        <is>
          <t>Сошлось по ночным тарифам</t>
        </is>
      </c>
      <c r="AC545" s="2" t="inlineStr"/>
      <c r="AD545" t="n">
        <v>5107.5</v>
      </c>
      <c r="AE545" t="n">
        <v>0</v>
      </c>
      <c r="AF545" t="inlineStr">
        <is>
          <t>Скидка добавлена к налоговой базе</t>
        </is>
      </c>
      <c r="AG545" t="n">
        <v>34050</v>
      </c>
      <c r="AH545" t="n">
        <v>28942.5</v>
      </c>
      <c r="AI545" t="inlineStr">
        <is>
          <t>Полное проживание в выбранном периоде</t>
        </is>
      </c>
    </row>
    <row r="546">
      <c r="A546" t="inlineStr">
        <is>
          <t>20260803-8186-441315614</t>
        </is>
      </c>
      <c r="B546" t="n">
        <v>1</v>
      </c>
      <c r="C546" s="2" t="inlineStr">
        <is>
          <t>ОЛЬГА УШАКОВА</t>
        </is>
      </c>
      <c r="D546" s="3" t="n">
        <v>6320</v>
      </c>
      <c r="E546" s="4" t="n">
        <v>20</v>
      </c>
      <c r="F546" t="inlineStr">
        <is>
          <t>ООО "ХБ-ПРО" [Чайковский]</t>
        </is>
      </c>
      <c r="G546" s="3">
        <f>ROUND(D546/(100-E546)*100,2)</f>
        <v/>
      </c>
      <c r="H546" s="3" t="n">
        <v>0</v>
      </c>
      <c r="I546" s="3">
        <f>ROUND(IF(ISNUMBER(AG546),AG546,G546)+H546,2)</f>
        <v/>
      </c>
      <c r="J546" s="2" t="inlineStr">
        <is>
          <t>Завтрак "Шведский стол"</t>
        </is>
      </c>
      <c r="K546" s="5" t="n">
        <v>46237.58333333334</v>
      </c>
      <c r="L546" t="n">
        <v>1</v>
      </c>
      <c r="M546" s="3">
        <f>I546/L546</f>
        <v/>
      </c>
      <c r="N546">
        <f>IF(M546&gt;=5100,"ставка","мин.ставка")</f>
        <v/>
      </c>
      <c r="O546" s="3">
        <f>ROUND(IF(N546="мин.ставка",L546*100,I546/102*2),2)</f>
        <v/>
      </c>
      <c r="P546" s="5" t="n">
        <v>46238.5</v>
      </c>
      <c r="Q546" t="inlineStr">
        <is>
          <t>TravelLine UTS</t>
        </is>
      </c>
      <c r="R546" s="2" t="inlineStr">
        <is>
          <t>СТАНДАРТНЫЙ ДВУХМЕСТНЫЙ НОМЕР (МАНСАРДА)</t>
        </is>
      </c>
      <c r="S546" t="n">
        <v>43</v>
      </c>
      <c r="T546" t="n">
        <v>1</v>
      </c>
      <c r="U546" t="inlineStr"/>
      <c r="V546" t="inlineStr">
        <is>
          <t>Тариф с завтраком</t>
        </is>
      </c>
      <c r="W546" t="n">
        <v>6320</v>
      </c>
      <c r="X546" s="3" t="n">
        <v>0</v>
      </c>
      <c r="Y546" t="inlineStr"/>
      <c r="Z546" t="inlineStr"/>
      <c r="AA546" s="3" t="n">
        <v>6320</v>
      </c>
      <c r="AB546" t="inlineStr">
        <is>
          <t>Сошлось по ночным тарифам</t>
        </is>
      </c>
      <c r="AC546" s="2" t="inlineStr"/>
      <c r="AD546" t="n">
        <v>0</v>
      </c>
      <c r="AE546" t="n">
        <v>0</v>
      </c>
      <c r="AF546" t="inlineStr">
        <is>
          <t>Скидки нет</t>
        </is>
      </c>
      <c r="AG546" t="n">
        <v>6320</v>
      </c>
      <c r="AH546" t="n">
        <v>6320</v>
      </c>
      <c r="AI546" t="inlineStr">
        <is>
          <t>Полное проживание в выбранном периоде</t>
        </is>
      </c>
    </row>
    <row r="547">
      <c r="A547" t="inlineStr">
        <is>
          <t>20260901-8186-425074158</t>
        </is>
      </c>
      <c r="B547" t="n">
        <v>1</v>
      </c>
      <c r="C547" s="2" t="inlineStr">
        <is>
          <t>Ольга Федрунова, Ирина Федрунова</t>
        </is>
      </c>
      <c r="D547" s="3" t="n">
        <v>30096</v>
      </c>
      <c r="E547" s="4" t="n">
        <v>18</v>
      </c>
      <c r="F547" t="inlineStr">
        <is>
          <t>Яндекс.Путешествия [Чайковский]</t>
        </is>
      </c>
      <c r="G547" s="3">
        <f>ROUND(D547/(100-E547)*100,2)</f>
        <v/>
      </c>
      <c r="H547" s="3" t="n">
        <v>0</v>
      </c>
      <c r="I547" s="3">
        <f>ROUND(IF(ISNUMBER(AG547),AG547,G547)+H547,2)</f>
        <v/>
      </c>
      <c r="J547" s="2" t="inlineStr">
        <is>
          <t>Завтрак "Шведский стол"</t>
        </is>
      </c>
      <c r="K547" s="5" t="n">
        <v>46266.58333333334</v>
      </c>
      <c r="L547" t="n">
        <v>4</v>
      </c>
      <c r="M547" s="3">
        <f>I547/L547</f>
        <v/>
      </c>
      <c r="N547">
        <f>IF(M547&gt;=5100,"ставка","мин.ставка")</f>
        <v/>
      </c>
      <c r="O547" s="3">
        <f>ROUND(IF(N547="мин.ставка",L547*100,I547/102*2),2)</f>
        <v/>
      </c>
      <c r="P547" s="5" t="n">
        <v>46270.5</v>
      </c>
      <c r="Q547" t="inlineStr">
        <is>
          <t>TravelLine YAX</t>
        </is>
      </c>
      <c r="R547" s="2" t="inlineStr">
        <is>
          <t>СТАНДАРТНЫЙ ДВУХМЕСТНЫЙ НОМЕР (МАНСАРДА)</t>
        </is>
      </c>
      <c r="S547" t="n">
        <v>43</v>
      </c>
      <c r="T547" t="n">
        <v>1</v>
      </c>
      <c r="U547" t="inlineStr"/>
      <c r="V547" t="inlineStr">
        <is>
          <t>Тариф с завтраком</t>
        </is>
      </c>
      <c r="W547" t="n">
        <v>30096</v>
      </c>
      <c r="X547" s="3" t="n">
        <v>7524</v>
      </c>
      <c r="Y547" t="inlineStr">
        <is>
          <t>20%</t>
        </is>
      </c>
      <c r="Z547" t="inlineStr">
        <is>
          <t>2026-09-01, 2026-09-02, 2026-09-03, 2026-09-04</t>
        </is>
      </c>
      <c r="AA547" s="3" t="n">
        <v>30096</v>
      </c>
      <c r="AB547" t="inlineStr">
        <is>
          <t>Сошлось по ночным тарифам</t>
        </is>
      </c>
      <c r="AC547" s="2" t="inlineStr"/>
      <c r="AD547" t="n">
        <v>7524</v>
      </c>
      <c r="AE547" t="n">
        <v>0</v>
      </c>
      <c r="AF547" t="inlineStr">
        <is>
          <t>Скидка добавлена к налоговой базе</t>
        </is>
      </c>
      <c r="AG547" t="n">
        <v>37620</v>
      </c>
      <c r="AH547" t="n">
        <v>30096</v>
      </c>
      <c r="AI547" t="inlineStr">
        <is>
          <t>Полное проживание в выбранном периоде</t>
        </is>
      </c>
    </row>
    <row r="548">
      <c r="A548" t="inlineStr">
        <is>
          <t>20260910-8186-427551341</t>
        </is>
      </c>
      <c r="B548" t="n">
        <v>1</v>
      </c>
      <c r="C548" s="2" t="inlineStr">
        <is>
          <t>Ольга Шашкина, Дарья Павлова</t>
        </is>
      </c>
      <c r="D548" s="3" t="n">
        <v>36045</v>
      </c>
      <c r="E548" s="4" t="n">
        <v>0</v>
      </c>
      <c r="F548" t="inlineStr">
        <is>
          <t>Прямые бронирования (стойка) [Чайковский]</t>
        </is>
      </c>
      <c r="G548" s="3">
        <f>ROUND(D548/(100-E548)*100,2)</f>
        <v/>
      </c>
      <c r="H548" s="3" t="n">
        <v>0</v>
      </c>
      <c r="I548" s="3">
        <f>ROUND(IF(ISNUMBER(AG548),AG548,G548)+H548,2)</f>
        <v/>
      </c>
      <c r="J548" s="2" t="inlineStr">
        <is>
          <t>Завтрак "Шведский стол"</t>
        </is>
      </c>
      <c r="K548" s="5" t="n">
        <v>46275.58333333334</v>
      </c>
      <c r="L548" t="n">
        <v>3</v>
      </c>
      <c r="M548" s="3">
        <f>I548/L548</f>
        <v/>
      </c>
      <c r="N548">
        <f>IF(M548&gt;=5100,"ставка","мин.ставка")</f>
        <v/>
      </c>
      <c r="O548" s="3">
        <f>ROUND(IF(N548="мин.ставка",L548*100,I548/102*2),2)</f>
        <v/>
      </c>
      <c r="P548" s="5" t="n">
        <v>46278.5</v>
      </c>
      <c r="Q548" t="inlineStr">
        <is>
          <t>TravelLine ресепшен</t>
        </is>
      </c>
      <c r="R548" s="2" t="inlineStr">
        <is>
          <t>СТАНДАРТНЫЙ ДВУХМЕСТНЫЙ НОМЕР</t>
        </is>
      </c>
      <c r="S548" t="n">
        <v>32</v>
      </c>
      <c r="T548" t="n">
        <v>1</v>
      </c>
      <c r="U548" t="inlineStr"/>
      <c r="V548" t="inlineStr">
        <is>
          <t>Тариф с завтраком</t>
        </is>
      </c>
      <c r="W548" t="n">
        <v>216270</v>
      </c>
      <c r="X548" s="3" t="n">
        <v>4005</v>
      </c>
      <c r="Y548" t="inlineStr">
        <is>
          <t>10%</t>
        </is>
      </c>
      <c r="Z548" t="inlineStr">
        <is>
          <t>2026-09-10, 2026-09-11, 2026-09-12</t>
        </is>
      </c>
      <c r="AA548" s="3" t="n">
        <v>36045</v>
      </c>
      <c r="AB548" t="inlineStr">
        <is>
          <t>Сошлось по ночным тарифам</t>
        </is>
      </c>
      <c r="AC548" s="2" t="inlineStr"/>
      <c r="AD548" t="n">
        <v>4005</v>
      </c>
      <c r="AE548" t="n">
        <v>0</v>
      </c>
      <c r="AF548" t="inlineStr">
        <is>
          <t>Скидка добавлена к налоговой базе</t>
        </is>
      </c>
      <c r="AG548" t="n">
        <v>40050</v>
      </c>
      <c r="AH548" t="n">
        <v>36045</v>
      </c>
      <c r="AI548" t="inlineStr">
        <is>
          <t>Полное проживание в выбранном периоде</t>
        </is>
      </c>
    </row>
    <row r="549">
      <c r="A549" t="inlineStr">
        <is>
          <t>20260821-8186-456404204</t>
        </is>
      </c>
      <c r="B549" t="n">
        <v>1</v>
      </c>
      <c r="C549" s="2" t="inlineStr">
        <is>
          <t>Павел Воеводин</t>
        </is>
      </c>
      <c r="D549" s="3" t="n">
        <v>12782</v>
      </c>
      <c r="E549" s="4" t="n">
        <v>18</v>
      </c>
      <c r="F549" t="inlineStr">
        <is>
          <t>Яндекс.Путешествия [Чайковский]</t>
        </is>
      </c>
      <c r="G549" s="3">
        <f>ROUND(D549/(100-E549)*100,2)</f>
        <v/>
      </c>
      <c r="H549" s="3" t="n">
        <v>0</v>
      </c>
      <c r="I549" s="3">
        <f>ROUND(IF(ISNUMBER(AG549),AG549,G549)+H549,2)</f>
        <v/>
      </c>
      <c r="J549" s="2" t="inlineStr">
        <is>
          <t>Завтрак "Шведский стол"</t>
        </is>
      </c>
      <c r="K549" s="5" t="n">
        <v>46255.58333333334</v>
      </c>
      <c r="L549" t="n">
        <v>2</v>
      </c>
      <c r="M549" s="3">
        <f>I549/L549</f>
        <v/>
      </c>
      <c r="N549">
        <f>IF(M549&gt;=5100,"ставка","мин.ставка")</f>
        <v/>
      </c>
      <c r="O549" s="3">
        <f>ROUND(IF(N549="мин.ставка",L549*100,I549/102*2),2)</f>
        <v/>
      </c>
      <c r="P549" s="5" t="n">
        <v>46257.5</v>
      </c>
      <c r="Q549" t="inlineStr">
        <is>
          <t>TravelLine YAX</t>
        </is>
      </c>
      <c r="R549" s="2" t="inlineStr">
        <is>
          <t>СТАНДАРТНЫЙ ОДНОМЕСТНЫЙ НОМЕР</t>
        </is>
      </c>
      <c r="S549" t="n">
        <v>34</v>
      </c>
      <c r="T549" t="n">
        <v>1</v>
      </c>
      <c r="U549" t="inlineStr"/>
      <c r="V549" t="inlineStr">
        <is>
          <t>Тариф с завтраком</t>
        </is>
      </c>
      <c r="W549" t="n">
        <v>12782</v>
      </c>
      <c r="X549" s="3" t="n">
        <v>2618</v>
      </c>
      <c r="Y549" t="inlineStr">
        <is>
          <t>17%</t>
        </is>
      </c>
      <c r="Z549" t="inlineStr">
        <is>
          <t>2026-08-21, 2026-08-22</t>
        </is>
      </c>
      <c r="AA549" s="3" t="n">
        <v>12782</v>
      </c>
      <c r="AB549" t="inlineStr">
        <is>
          <t>Сошлось по ночным тарифам</t>
        </is>
      </c>
      <c r="AC549" s="2" t="inlineStr"/>
      <c r="AD549" t="n">
        <v>2618</v>
      </c>
      <c r="AE549" t="n">
        <v>0</v>
      </c>
      <c r="AF549" t="inlineStr">
        <is>
          <t>Скидка добавлена к налоговой базе</t>
        </is>
      </c>
      <c r="AG549" t="n">
        <v>15400</v>
      </c>
      <c r="AH549" t="n">
        <v>12782</v>
      </c>
      <c r="AI549" t="inlineStr">
        <is>
          <t>Полное проживание в выбранном периоде</t>
        </is>
      </c>
    </row>
    <row r="550">
      <c r="A550" t="inlineStr">
        <is>
          <t>20260808-8186-407846139</t>
        </is>
      </c>
      <c r="B550" t="n">
        <v>1</v>
      </c>
      <c r="C550" s="2" t="inlineStr">
        <is>
          <t>Павел Жуков, Анастасия Алёхина</t>
        </is>
      </c>
      <c r="D550" s="3" t="n">
        <v>16500</v>
      </c>
      <c r="E550" s="4" t="n">
        <v>0</v>
      </c>
      <c r="F550" t="inlineStr">
        <is>
          <t>Прямые бронирования (стойка) [Чайковский]</t>
        </is>
      </c>
      <c r="G550" s="3">
        <f>ROUND(D550/(100-E550)*100,2)</f>
        <v/>
      </c>
      <c r="H550" s="3" t="n">
        <v>0</v>
      </c>
      <c r="I550" s="3">
        <f>ROUND(IF(ISNUMBER(AG550),AG550,G550)+H550,2)</f>
        <v/>
      </c>
      <c r="J550" s="2" t="inlineStr">
        <is>
          <t>Завтрак "Шведский стол"</t>
        </is>
      </c>
      <c r="K550" s="5" t="n">
        <v>46242.58333333334</v>
      </c>
      <c r="L550" t="n">
        <v>1</v>
      </c>
      <c r="M550" s="3">
        <f>I550/L550</f>
        <v/>
      </c>
      <c r="N550">
        <f>IF(M550&gt;=5100,"ставка","мин.ставка")</f>
        <v/>
      </c>
      <c r="O550" s="3">
        <f>ROUND(IF(N550="мин.ставка",L550*100,I550/102*2),2)</f>
        <v/>
      </c>
      <c r="P550" s="5" t="n">
        <v>46243.5</v>
      </c>
      <c r="Q550" t="inlineStr">
        <is>
          <t>TravelLine ресепшен</t>
        </is>
      </c>
      <c r="R550" s="2" t="inlineStr">
        <is>
          <t>ПОЛУЛЮКС</t>
        </is>
      </c>
      <c r="S550" t="n">
        <v>25</v>
      </c>
      <c r="T550" t="n">
        <v>1</v>
      </c>
      <c r="U550" t="inlineStr"/>
      <c r="V550" t="inlineStr">
        <is>
          <t>Тариф с завтраком</t>
        </is>
      </c>
      <c r="W550" t="n">
        <v>16500</v>
      </c>
      <c r="X550" s="3" t="n">
        <v>0</v>
      </c>
      <c r="Y550" t="inlineStr"/>
      <c r="Z550" t="inlineStr"/>
      <c r="AA550" s="3" t="n">
        <v>16500</v>
      </c>
      <c r="AB550" t="inlineStr">
        <is>
          <t>Сошлось по ночным тарифам</t>
        </is>
      </c>
      <c r="AC550" s="2" t="inlineStr"/>
      <c r="AD550" t="n">
        <v>0</v>
      </c>
      <c r="AE550" t="n">
        <v>0</v>
      </c>
      <c r="AF550" t="inlineStr">
        <is>
          <t>Скидки нет</t>
        </is>
      </c>
      <c r="AG550" t="n">
        <v>16500</v>
      </c>
      <c r="AH550" t="n">
        <v>16500</v>
      </c>
      <c r="AI550" t="inlineStr">
        <is>
          <t>Полное проживание в выбранном периоде</t>
        </is>
      </c>
    </row>
    <row r="551">
      <c r="A551" t="inlineStr">
        <is>
          <t>20260901-8186-421878685</t>
        </is>
      </c>
      <c r="B551" t="n">
        <v>1</v>
      </c>
      <c r="C551" s="2" t="inlineStr">
        <is>
          <t>ПАВЕЛ ЛОГИНОВ, ФИЛИПП ЛОГИНОВ</t>
        </is>
      </c>
      <c r="D551" s="3" t="n">
        <v>45390</v>
      </c>
      <c r="E551" s="4" t="n">
        <v>0</v>
      </c>
      <c r="F551" t="inlineStr">
        <is>
          <t>ООО "АЛЕАН ОТДЫХ" [Чайковский]</t>
        </is>
      </c>
      <c r="G551" s="3">
        <f>ROUND(D551/(100-E551)*100,2)</f>
        <v/>
      </c>
      <c r="H551" s="3" t="n">
        <v>0</v>
      </c>
      <c r="I551" s="3">
        <f>ROUND(IF(ISNUMBER(AG551),AG551,G551)+H551,2)</f>
        <v/>
      </c>
      <c r="J551" s="2" t="inlineStr">
        <is>
          <t>meal_bf_buffet_1; meal_bf_buffet_1; Завтрак "Шведский стол"</t>
        </is>
      </c>
      <c r="K551" s="5" t="n">
        <v>46266.58333333334</v>
      </c>
      <c r="L551" t="n">
        <v>4</v>
      </c>
      <c r="M551" s="3">
        <f>I551/L551</f>
        <v/>
      </c>
      <c r="N551">
        <f>IF(M551&gt;=5100,"ставка","мин.ставка")</f>
        <v/>
      </c>
      <c r="O551" s="3">
        <f>ROUND(IF(N551="мин.ставка",L551*100,I551/102*2),2)</f>
        <v/>
      </c>
      <c r="P551" s="5" t="n">
        <v>46270.5</v>
      </c>
      <c r="Q551" t="inlineStr">
        <is>
          <t>TravelLine ALN</t>
        </is>
      </c>
      <c r="R551" s="2" t="inlineStr">
        <is>
          <t>СТАНДАРТНЫЙ ДВУХМЕСТНЫЙ НОМЕР</t>
        </is>
      </c>
      <c r="S551" t="n">
        <v>22</v>
      </c>
      <c r="T551" t="n">
        <v>1</v>
      </c>
      <c r="U551" t="inlineStr"/>
      <c r="V551" t="inlineStr">
        <is>
          <t>Тариф с завтраком</t>
        </is>
      </c>
      <c r="W551" t="n">
        <v>45390</v>
      </c>
      <c r="X551" s="3" t="n">
        <v>8010</v>
      </c>
      <c r="Y551" t="inlineStr">
        <is>
          <t>15%</t>
        </is>
      </c>
      <c r="Z551" t="inlineStr">
        <is>
          <t>2026-09-01, 2026-09-02, 2026-09-03, 2026-09-04</t>
        </is>
      </c>
      <c r="AA551" s="3" t="n">
        <v>45390</v>
      </c>
      <c r="AB551" t="inlineStr">
        <is>
          <t>Сошлось по ночным тарифам</t>
        </is>
      </c>
      <c r="AC551" s="2" t="inlineStr"/>
      <c r="AD551" t="n">
        <v>8010</v>
      </c>
      <c r="AE551" t="n">
        <v>0</v>
      </c>
      <c r="AF551" t="inlineStr">
        <is>
          <t>Скидка добавлена к налоговой базе</t>
        </is>
      </c>
      <c r="AG551" t="n">
        <v>53400</v>
      </c>
      <c r="AH551" t="n">
        <v>45390</v>
      </c>
      <c r="AI551" t="inlineStr">
        <is>
          <t>Полное проживание в выбранном периоде</t>
        </is>
      </c>
    </row>
    <row r="552">
      <c r="A552" t="inlineStr">
        <is>
          <t>20260912-8186-460732993</t>
        </is>
      </c>
      <c r="B552" t="n">
        <v>1</v>
      </c>
      <c r="C552" s="2" t="inlineStr">
        <is>
          <t>Павел Свобода, Софья Суродина</t>
        </is>
      </c>
      <c r="D552" s="3" t="n">
        <v>13200</v>
      </c>
      <c r="E552" s="4" t="n">
        <v>20</v>
      </c>
      <c r="F552" t="inlineStr">
        <is>
          <t>ООО "КОМПАНИЯ БРОНЕВИК" [Чайковский]</t>
        </is>
      </c>
      <c r="G552" s="3">
        <f>ROUND(D552/(100-E552)*100,2)</f>
        <v/>
      </c>
      <c r="H552" s="3" t="n">
        <v>0</v>
      </c>
      <c r="I552" s="3">
        <f>ROUND(IF(ISNUMBER(AG552),AG552,G552)+H552,2)</f>
        <v/>
      </c>
      <c r="J552" s="2" t="inlineStr">
        <is>
          <t>Завтрак "Шведский стол"</t>
        </is>
      </c>
      <c r="K552" s="5" t="n">
        <v>46277.58333333334</v>
      </c>
      <c r="L552" t="n">
        <v>1</v>
      </c>
      <c r="M552" s="3">
        <f>I552/L552</f>
        <v/>
      </c>
      <c r="N552">
        <f>IF(M552&gt;=5100,"ставка","мин.ставка")</f>
        <v/>
      </c>
      <c r="O552" s="3">
        <f>ROUND(IF(N552="мин.ставка",L552*100,I552/102*2),2)</f>
        <v/>
      </c>
      <c r="P552" s="5" t="n">
        <v>46278.5</v>
      </c>
      <c r="Q552" t="inlineStr">
        <is>
          <t>TravelLine BR2</t>
        </is>
      </c>
      <c r="R552" s="2" t="inlineStr">
        <is>
          <t>ПОЛУЛЮКС</t>
        </is>
      </c>
      <c r="S552" t="n">
        <v>25</v>
      </c>
      <c r="T552" t="n">
        <v>1</v>
      </c>
      <c r="U552" t="inlineStr"/>
      <c r="V552" t="inlineStr">
        <is>
          <t>Тариф с завтраком</t>
        </is>
      </c>
      <c r="W552" t="n">
        <v>13200</v>
      </c>
      <c r="X552" s="3" t="n">
        <v>0</v>
      </c>
      <c r="Y552" t="inlineStr"/>
      <c r="Z552" t="inlineStr"/>
      <c r="AA552" s="3" t="n">
        <v>13200</v>
      </c>
      <c r="AB552" t="inlineStr">
        <is>
          <t>Сошлось по ночным тарифам</t>
        </is>
      </c>
      <c r="AC552" s="2" t="inlineStr"/>
      <c r="AD552" t="n">
        <v>0</v>
      </c>
      <c r="AE552" t="n">
        <v>0</v>
      </c>
      <c r="AF552" t="inlineStr">
        <is>
          <t>Скидки нет</t>
        </is>
      </c>
      <c r="AG552" t="n">
        <v>13200</v>
      </c>
      <c r="AH552" t="n">
        <v>13200</v>
      </c>
      <c r="AI552" t="inlineStr">
        <is>
          <t>Полное проживание в выбранном периоде</t>
        </is>
      </c>
    </row>
    <row r="553">
      <c r="A553" t="inlineStr">
        <is>
          <t>20260708-8186-447095510</t>
        </is>
      </c>
      <c r="B553" t="n">
        <v>1</v>
      </c>
      <c r="C553" s="2" t="inlineStr">
        <is>
          <t>ПАВЛЕ ЕЛИСЕЕВ, Ольга Елисеева</t>
        </is>
      </c>
      <c r="D553" s="3" t="n">
        <v>18160</v>
      </c>
      <c r="E553" s="4" t="n">
        <v>20</v>
      </c>
      <c r="F553" t="inlineStr">
        <is>
          <t>ООО "КОМПАНИЯ БРОНЕВИК" [Чайковский]</t>
        </is>
      </c>
      <c r="G553" s="3">
        <f>ROUND(D553/(100-E553)*100,2)</f>
        <v/>
      </c>
      <c r="H553" s="3" t="n">
        <v>4000</v>
      </c>
      <c r="I553" s="3">
        <f>ROUND(IF(ISNUMBER(AG553),AG553,G553)+H553,2)</f>
        <v/>
      </c>
      <c r="J553" s="2" t="inlineStr">
        <is>
          <t>продление номера — 4 000,00 ₽; Завтрак "Шведский стол"</t>
        </is>
      </c>
      <c r="K553" s="5" t="n">
        <v>46211.58333333334</v>
      </c>
      <c r="L553" t="n">
        <v>2</v>
      </c>
      <c r="M553" s="3">
        <f>I553/L553</f>
        <v/>
      </c>
      <c r="N553">
        <f>IF(M553&gt;=5100,"ставка","мин.ставка")</f>
        <v/>
      </c>
      <c r="O553" s="3">
        <f>ROUND(IF(N553="мин.ставка",L553*100,I553/102*2),2)</f>
        <v/>
      </c>
      <c r="P553" s="5" t="n">
        <v>46213.5</v>
      </c>
      <c r="Q553" t="inlineStr">
        <is>
          <t>TravelLine BR2</t>
        </is>
      </c>
      <c r="R553" s="2" t="inlineStr">
        <is>
          <t>СТАНДАРТНЫЙ ДВУХМЕСТНЫЙ НОМЕР</t>
        </is>
      </c>
      <c r="S553" t="n">
        <v>44</v>
      </c>
      <c r="T553" t="n">
        <v>1</v>
      </c>
      <c r="U553" t="inlineStr"/>
      <c r="V553" t="inlineStr">
        <is>
          <t>Тариф с завтраком</t>
        </is>
      </c>
      <c r="W553" t="n">
        <v>22160</v>
      </c>
      <c r="X553" s="3" t="n">
        <v>0</v>
      </c>
      <c r="Y553" t="inlineStr"/>
      <c r="Z553" t="inlineStr"/>
      <c r="AA553" s="3" t="n">
        <v>18160</v>
      </c>
      <c r="AB553" t="inlineStr">
        <is>
          <t>Сошлось с услугами</t>
        </is>
      </c>
      <c r="AC553" s="2" t="inlineStr"/>
      <c r="AD553" t="n">
        <v>0</v>
      </c>
      <c r="AE553" t="n">
        <v>0</v>
      </c>
      <c r="AF553" t="inlineStr">
        <is>
          <t>Скидки нет</t>
        </is>
      </c>
      <c r="AG553" t="n">
        <v>18160</v>
      </c>
      <c r="AH553" t="n">
        <v>18160</v>
      </c>
      <c r="AI553" t="inlineStr">
        <is>
          <t>Полное проживание в выбранном периоде</t>
        </is>
      </c>
    </row>
    <row r="554">
      <c r="A554" t="inlineStr">
        <is>
          <t>20260711-8186-411332065</t>
        </is>
      </c>
      <c r="B554" t="n">
        <v>1</v>
      </c>
      <c r="C554" s="2" t="inlineStr">
        <is>
          <t>Петр Качкаев, Олеся Громовая</t>
        </is>
      </c>
      <c r="D554" s="3" t="n">
        <v>10680</v>
      </c>
      <c r="E554" s="4" t="n">
        <v>0</v>
      </c>
      <c r="F554" t="inlineStr">
        <is>
          <t>Прямые бронирования (стойка) [Чайковский]</t>
        </is>
      </c>
      <c r="G554" s="3">
        <f>ROUND(D554/(100-E554)*100,2)</f>
        <v/>
      </c>
      <c r="H554" s="3" t="n">
        <v>0</v>
      </c>
      <c r="I554" s="3">
        <f>ROUND(IF(ISNUMBER(AG554),AG554,G554)+H554,2)</f>
        <v/>
      </c>
      <c r="J554" s="2" t="inlineStr">
        <is>
          <t>Завтрак "Шведский стол"</t>
        </is>
      </c>
      <c r="K554" s="5" t="n">
        <v>46214.58333333334</v>
      </c>
      <c r="L554" t="n">
        <v>1</v>
      </c>
      <c r="M554" s="3">
        <f>I554/L554</f>
        <v/>
      </c>
      <c r="N554">
        <f>IF(M554&gt;=5100,"ставка","мин.ставка")</f>
        <v/>
      </c>
      <c r="O554" s="3">
        <f>ROUND(IF(N554="мин.ставка",L554*100,I554/102*2),2)</f>
        <v/>
      </c>
      <c r="P554" s="5" t="n">
        <v>46215.5</v>
      </c>
      <c r="Q554" t="inlineStr">
        <is>
          <t>TravelLine ресепшен</t>
        </is>
      </c>
      <c r="R554" s="2" t="inlineStr">
        <is>
          <t>СТАНДАРТНЫЙ ДВУХМЕСТНЫЙ НОМЕР</t>
        </is>
      </c>
      <c r="S554" t="n">
        <v>36</v>
      </c>
      <c r="T554" t="n">
        <v>1</v>
      </c>
      <c r="U554" t="inlineStr"/>
      <c r="V554" t="inlineStr">
        <is>
          <t>Тариф с завтраком</t>
        </is>
      </c>
      <c r="W554" t="n">
        <v>10680</v>
      </c>
      <c r="X554" s="3" t="n">
        <v>2670</v>
      </c>
      <c r="Y554" t="inlineStr">
        <is>
          <t>20%</t>
        </is>
      </c>
      <c r="Z554" t="inlineStr">
        <is>
          <t>2026-07-11</t>
        </is>
      </c>
      <c r="AA554" s="3" t="n">
        <v>10680</v>
      </c>
      <c r="AB554" t="inlineStr">
        <is>
          <t>Сошлось по ночным тарифам</t>
        </is>
      </c>
      <c r="AC554" s="2" t="inlineStr"/>
      <c r="AD554" t="n">
        <v>2670</v>
      </c>
      <c r="AE554" t="n">
        <v>0</v>
      </c>
      <c r="AF554" t="inlineStr">
        <is>
          <t>Скидка добавлена к налоговой базе</t>
        </is>
      </c>
      <c r="AG554" t="n">
        <v>13350</v>
      </c>
      <c r="AH554" t="n">
        <v>10680</v>
      </c>
      <c r="AI554" t="inlineStr">
        <is>
          <t>Полное проживание в выбранном периоде</t>
        </is>
      </c>
    </row>
    <row r="555">
      <c r="A555" t="inlineStr">
        <is>
          <t>20260709-8186-448291072</t>
        </is>
      </c>
      <c r="B555" t="n">
        <v>1</v>
      </c>
      <c r="C555" s="2" t="inlineStr">
        <is>
          <t>ПЛАМЕН ДОБЫЧИН</t>
        </is>
      </c>
      <c r="D555" s="3" t="n">
        <v>6557</v>
      </c>
      <c r="E555" s="4" t="n">
        <v>0</v>
      </c>
      <c r="F555" t="inlineStr">
        <is>
          <t>Прямые бронирования (стойка) [Чайковский]</t>
        </is>
      </c>
      <c r="G555" s="3">
        <f>ROUND(D555/(100-E555)*100,2)</f>
        <v/>
      </c>
      <c r="H555" s="3" t="n">
        <v>0</v>
      </c>
      <c r="I555" s="3">
        <f>ROUND(IF(ISNUMBER(AG555),AG555,G555)+H555,2)</f>
        <v/>
      </c>
      <c r="J555" s="2" t="inlineStr">
        <is>
          <t>Завтрак "Шведский стол"</t>
        </is>
      </c>
      <c r="K555" s="5" t="n">
        <v>46212.58333333334</v>
      </c>
      <c r="L555" t="n">
        <v>1</v>
      </c>
      <c r="M555" s="3">
        <f>I555/L555</f>
        <v/>
      </c>
      <c r="N555">
        <f>IF(M555&gt;=5100,"ставка","мин.ставка")</f>
        <v/>
      </c>
      <c r="O555" s="3">
        <f>ROUND(IF(N555="мин.ставка",L555*100,I555/102*2),2)</f>
        <v/>
      </c>
      <c r="P555" s="5" t="n">
        <v>46213.5</v>
      </c>
      <c r="Q555" t="inlineStr">
        <is>
          <t>TravelLine CMB</t>
        </is>
      </c>
      <c r="R555" s="2" t="inlineStr">
        <is>
          <t>СТАНДАРТНЫЙ ДВУХМЕСТНЫЙ НОМЕР (МАНСАРДА)</t>
        </is>
      </c>
      <c r="S555" t="n">
        <v>41</v>
      </c>
      <c r="T555" t="n">
        <v>1</v>
      </c>
      <c r="U555" t="inlineStr"/>
      <c r="V555" t="inlineStr">
        <is>
          <t>Тариф с завтраком</t>
        </is>
      </c>
      <c r="W555" t="n">
        <v>6557</v>
      </c>
      <c r="X555" s="3" t="n">
        <v>1343</v>
      </c>
      <c r="Y555" t="inlineStr">
        <is>
          <t>17%</t>
        </is>
      </c>
      <c r="Z555" t="inlineStr">
        <is>
          <t>2026-07-09</t>
        </is>
      </c>
      <c r="AA555" s="3" t="n">
        <v>6557</v>
      </c>
      <c r="AB555" t="inlineStr">
        <is>
          <t>Сошлось по ночным тарифам</t>
        </is>
      </c>
      <c r="AC555" s="2" t="inlineStr"/>
      <c r="AD555" t="n">
        <v>1343</v>
      </c>
      <c r="AE555" t="n">
        <v>0</v>
      </c>
      <c r="AF555" t="inlineStr">
        <is>
          <t>Скидка добавлена к налоговой базе</t>
        </is>
      </c>
      <c r="AG555" t="n">
        <v>7900</v>
      </c>
      <c r="AH555" t="n">
        <v>6557</v>
      </c>
      <c r="AI555" t="inlineStr">
        <is>
          <t>Полное проживание в выбранном периоде</t>
        </is>
      </c>
    </row>
    <row r="556">
      <c r="A556" t="inlineStr">
        <is>
          <t>20260828-8186-461460335</t>
        </is>
      </c>
      <c r="B556" t="n">
        <v>1</v>
      </c>
      <c r="C556" s="2" t="inlineStr">
        <is>
          <t>Полина Аксиненко</t>
        </is>
      </c>
      <c r="D556" s="3" t="n">
        <v>28602</v>
      </c>
      <c r="E556" s="4" t="n">
        <v>16</v>
      </c>
      <c r="F556" t="inlineStr">
        <is>
          <t>ООО "БРОНИРОВАНИЕ ГОСТИНИЦ" (OSTROVOK) [Чайковский]</t>
        </is>
      </c>
      <c r="G556" s="3">
        <f>ROUND(D556/(100-E556)*100,2)</f>
        <v/>
      </c>
      <c r="H556" s="3" t="n">
        <v>0</v>
      </c>
      <c r="I556" s="3">
        <f>ROUND(IF(ISNUMBER(AG556),AG556,G556)+H556,2)</f>
        <v/>
      </c>
      <c r="J556" s="2" t="inlineStr">
        <is>
          <t>Завтрак "Шведский стол"</t>
        </is>
      </c>
      <c r="K556" s="5" t="n">
        <v>46262.58333333334</v>
      </c>
      <c r="L556" t="n">
        <v>3</v>
      </c>
      <c r="M556" s="3">
        <f>I556/L556</f>
        <v/>
      </c>
      <c r="N556">
        <f>IF(M556&gt;=5100,"ставка","мин.ставка")</f>
        <v/>
      </c>
      <c r="O556" s="3">
        <f>ROUND(IF(N556="мин.ставка",L556*100,I556/102*2),2)</f>
        <v/>
      </c>
      <c r="P556" s="5" t="n">
        <v>46265.5</v>
      </c>
      <c r="Q556" t="inlineStr">
        <is>
          <t>TravelLine OTK</t>
        </is>
      </c>
      <c r="R556" s="2" t="inlineStr">
        <is>
          <t>ПОЛУЛЮКС</t>
        </is>
      </c>
      <c r="S556" t="n">
        <v>35</v>
      </c>
      <c r="T556" t="n">
        <v>1</v>
      </c>
      <c r="U556" t="inlineStr"/>
      <c r="V556" t="inlineStr">
        <is>
          <t>Тариф с завтраком</t>
        </is>
      </c>
      <c r="W556" t="n">
        <v>28602</v>
      </c>
      <c r="X556" s="3" t="n">
        <v>5448</v>
      </c>
      <c r="Y556" t="inlineStr">
        <is>
          <t>16%</t>
        </is>
      </c>
      <c r="Z556" t="inlineStr">
        <is>
          <t>2026-08-28, 2026-08-29, 2026-08-30</t>
        </is>
      </c>
      <c r="AA556" s="3" t="n">
        <v>28602</v>
      </c>
      <c r="AB556" t="inlineStr">
        <is>
          <t>Сошлось по ночным тарифам</t>
        </is>
      </c>
      <c r="AC556" s="2" t="inlineStr"/>
      <c r="AD556" t="n">
        <v>5448</v>
      </c>
      <c r="AE556" t="n">
        <v>0</v>
      </c>
      <c r="AF556" t="inlineStr">
        <is>
          <t>Скидка добавлена к налоговой базе</t>
        </is>
      </c>
      <c r="AG556" t="n">
        <v>34050</v>
      </c>
      <c r="AH556" t="n">
        <v>28602</v>
      </c>
      <c r="AI556" t="inlineStr">
        <is>
          <t>Полное проживание в выбранном периоде</t>
        </is>
      </c>
    </row>
    <row r="557">
      <c r="A557" t="inlineStr">
        <is>
          <t>20260904-8186-463419173</t>
        </is>
      </c>
      <c r="B557" t="n">
        <v>1</v>
      </c>
      <c r="C557" s="2" t="inlineStr">
        <is>
          <t>Полина Аксиненко</t>
        </is>
      </c>
      <c r="D557" s="3" t="n">
        <v>56280</v>
      </c>
      <c r="E557" s="4" t="n">
        <v>16</v>
      </c>
      <c r="F557" t="inlineStr">
        <is>
          <t>ООО "БРОНИРОВАНИЕ ГОСТИНИЦ" (OSTROVOK) [Чайковский]</t>
        </is>
      </c>
      <c r="G557" s="3">
        <f>ROUND(D557/(100-E557)*100,2)</f>
        <v/>
      </c>
      <c r="H557" s="3" t="n">
        <v>0</v>
      </c>
      <c r="I557" s="3">
        <f>ROUND(IF(ISNUMBER(AG557),AG557,G557)+H557,2)</f>
        <v/>
      </c>
      <c r="J557" s="2" t="inlineStr">
        <is>
          <t>Завтрак "Шведский стол"</t>
        </is>
      </c>
      <c r="K557" s="5" t="n">
        <v>46269.58333333334</v>
      </c>
      <c r="L557" t="n">
        <v>5</v>
      </c>
      <c r="M557" s="3">
        <f>I557/L557</f>
        <v/>
      </c>
      <c r="N557">
        <f>IF(M557&gt;=5100,"ставка","мин.ставка")</f>
        <v/>
      </c>
      <c r="O557" s="3">
        <f>ROUND(IF(N557="мин.ставка",L557*100,I557/102*2),2)</f>
        <v/>
      </c>
      <c r="P557" s="5" t="n">
        <v>46274.5</v>
      </c>
      <c r="Q557" t="inlineStr">
        <is>
          <t>TravelLine OTK</t>
        </is>
      </c>
      <c r="R557" s="2" t="inlineStr">
        <is>
          <t>УЛУЧШЕННЫЙ ДВУХМЕСТНЫЙ НОМЕР</t>
        </is>
      </c>
      <c r="S557" t="n">
        <v>31</v>
      </c>
      <c r="T557" t="n">
        <v>1</v>
      </c>
      <c r="U557" t="inlineStr"/>
      <c r="V557" t="inlineStr">
        <is>
          <t>Тариф с завтраком</t>
        </is>
      </c>
      <c r="W557" t="n">
        <v>56280</v>
      </c>
      <c r="X557" s="3" t="n">
        <v>10720</v>
      </c>
      <c r="Y557" t="inlineStr">
        <is>
          <t>16%</t>
        </is>
      </c>
      <c r="Z557" t="inlineStr">
        <is>
          <t>2026-09-04, 2026-09-05, 2026-09-06, 2026-09-07, 2026-09-08</t>
        </is>
      </c>
      <c r="AA557" s="3" t="n">
        <v>56280</v>
      </c>
      <c r="AB557" t="inlineStr">
        <is>
          <t>Сошлось по ночным тарифам</t>
        </is>
      </c>
      <c r="AC557" s="2" t="inlineStr"/>
      <c r="AD557" t="n">
        <v>10720</v>
      </c>
      <c r="AE557" t="n">
        <v>0</v>
      </c>
      <c r="AF557" t="inlineStr">
        <is>
          <t>Скидка добавлена к налоговой базе</t>
        </is>
      </c>
      <c r="AG557" t="n">
        <v>67000</v>
      </c>
      <c r="AH557" t="n">
        <v>56280</v>
      </c>
      <c r="AI557" t="inlineStr">
        <is>
          <t>Полное проживание в выбранном периоде</t>
        </is>
      </c>
    </row>
    <row r="558">
      <c r="A558" t="inlineStr">
        <is>
          <t>20260715-8186-403957014</t>
        </is>
      </c>
      <c r="B558" t="n">
        <v>1</v>
      </c>
      <c r="C558" s="2" t="inlineStr">
        <is>
          <t>Раушания Камалова</t>
        </is>
      </c>
      <c r="D558" s="3" t="n">
        <v>23502.5</v>
      </c>
      <c r="E558" s="4" t="n">
        <v>4</v>
      </c>
      <c r="F558" t="inlineStr">
        <is>
          <t>TravelLine Booking Engine [Чайковский]</t>
        </is>
      </c>
      <c r="G558" s="3">
        <f>ROUND(D558/(100-E558)*100,2)</f>
        <v/>
      </c>
      <c r="H558" s="3" t="n">
        <v>0</v>
      </c>
      <c r="I558" s="3">
        <f>ROUND(IF(ISNUMBER(AG558),AG558,G558)+H558,2)</f>
        <v/>
      </c>
      <c r="J558" s="2" t="inlineStr">
        <is>
          <t>Завтрак "Шведский стол"</t>
        </is>
      </c>
      <c r="K558" s="5" t="n">
        <v>46218.58333333334</v>
      </c>
      <c r="L558" t="n">
        <v>3</v>
      </c>
      <c r="M558" s="3">
        <f>I558/L558</f>
        <v/>
      </c>
      <c r="N558">
        <f>IF(M558&gt;=5100,"ставка","мин.ставка")</f>
        <v/>
      </c>
      <c r="O558" s="3">
        <f>ROUND(IF(N558="мин.ставка",L558*100,I558/102*2),2)</f>
        <v/>
      </c>
      <c r="P558" s="5" t="n">
        <v>46221.5</v>
      </c>
      <c r="Q558" t="inlineStr">
        <is>
          <t>TravelLine сайт</t>
        </is>
      </c>
      <c r="R558" s="2" t="inlineStr">
        <is>
          <t>СТАНДАРТНЫЙ ДВУХМЕСТНЫЙ НОМЕР (МАНСАРДА)</t>
        </is>
      </c>
      <c r="S558" t="n">
        <v>43</v>
      </c>
      <c r="T558" t="n">
        <v>1</v>
      </c>
      <c r="U558" t="inlineStr"/>
      <c r="V558" t="inlineStr">
        <is>
          <t>Тариф с завтраком</t>
        </is>
      </c>
      <c r="W558" t="n">
        <v>23502.5</v>
      </c>
      <c r="X558" s="3" t="n">
        <v>197.5</v>
      </c>
      <c r="Y558" t="inlineStr">
        <is>
          <t>2.5%</t>
        </is>
      </c>
      <c r="Z558" t="inlineStr">
        <is>
          <t>2026-07-15</t>
        </is>
      </c>
      <c r="AA558" s="3" t="n">
        <v>23502.5</v>
      </c>
      <c r="AB558" t="inlineStr">
        <is>
          <t>Сошлось по ночным тарифам</t>
        </is>
      </c>
      <c r="AC558" s="2" t="inlineStr"/>
      <c r="AD558" t="n">
        <v>197.5</v>
      </c>
      <c r="AE558" t="n">
        <v>0</v>
      </c>
      <c r="AF558" t="inlineStr">
        <is>
          <t>Скидка добавлена к налоговой базе</t>
        </is>
      </c>
      <c r="AG558" t="n">
        <v>23700</v>
      </c>
      <c r="AH558" t="n">
        <v>23502.5</v>
      </c>
      <c r="AI558" t="inlineStr">
        <is>
          <t>Полное проживание в выбранном периоде</t>
        </is>
      </c>
    </row>
    <row r="559">
      <c r="A559" t="inlineStr">
        <is>
          <t>20260913-8186-458347426</t>
        </is>
      </c>
      <c r="B559" t="n">
        <v>1</v>
      </c>
      <c r="C559" s="2" t="inlineStr">
        <is>
          <t>Регина Гирфанова</t>
        </is>
      </c>
      <c r="D559" s="3" t="n">
        <v>66738</v>
      </c>
      <c r="E559" s="4" t="n">
        <v>16</v>
      </c>
      <c r="F559" t="inlineStr">
        <is>
          <t>ООО "БРОНИРОВАНИЕ ГОСТИНИЦ" (OSTROVOK) [Чайковский]</t>
        </is>
      </c>
      <c r="G559" s="3">
        <f>ROUND(D559/(100-E559)*100,2)</f>
        <v/>
      </c>
      <c r="H559" s="3" t="n">
        <v>0</v>
      </c>
      <c r="I559" s="3">
        <f>ROUND(IF(ISNUMBER(AG559),AG559,G559)+H559,2)</f>
        <v/>
      </c>
      <c r="J559" s="2" t="inlineStr">
        <is>
          <t>Завтрак "Шведский стол"</t>
        </is>
      </c>
      <c r="K559" s="5" t="n">
        <v>46278.58333333334</v>
      </c>
      <c r="L559" t="n">
        <v>7</v>
      </c>
      <c r="M559" s="3">
        <f>I559/L559</f>
        <v/>
      </c>
      <c r="N559">
        <f>IF(M559&gt;=5100,"ставка","мин.ставка")</f>
        <v/>
      </c>
      <c r="O559" s="3">
        <f>ROUND(IF(N559="мин.ставка",L559*100,I559/102*2),2)</f>
        <v/>
      </c>
      <c r="P559" s="5" t="n">
        <v>46285.5</v>
      </c>
      <c r="Q559" t="inlineStr">
        <is>
          <t>TravelLine OTK</t>
        </is>
      </c>
      <c r="R559" s="2" t="inlineStr">
        <is>
          <t>СТАНДАРТНЫЙ ДВУХМЕСТНЫЙ НОМЕР</t>
        </is>
      </c>
      <c r="S559" t="n">
        <v>46</v>
      </c>
      <c r="T559" t="n">
        <v>1</v>
      </c>
      <c r="U559" t="inlineStr"/>
      <c r="V559" t="inlineStr">
        <is>
          <t>Тариф с завтраком</t>
        </is>
      </c>
      <c r="W559" t="n">
        <v>66738</v>
      </c>
      <c r="X559" s="3" t="n">
        <v>12712</v>
      </c>
      <c r="Y559" t="inlineStr">
        <is>
          <t>16%</t>
        </is>
      </c>
      <c r="Z559" t="inlineStr">
        <is>
          <t>2026-09-13, 2026-09-14, 2026-09-15, 2026-09-16, 2026-09-17, 2026-09-18, 2026-09-19</t>
        </is>
      </c>
      <c r="AA559" s="3" t="n">
        <v>66738</v>
      </c>
      <c r="AB559" t="inlineStr">
        <is>
          <t>Сошлось по ночным тарифам</t>
        </is>
      </c>
      <c r="AC559" s="2" t="inlineStr"/>
      <c r="AD559" t="n">
        <v>12712</v>
      </c>
      <c r="AE559" t="n">
        <v>0</v>
      </c>
      <c r="AF559" t="inlineStr">
        <is>
          <t>Скидка добавлена к налоговой базе</t>
        </is>
      </c>
      <c r="AG559" t="n">
        <v>79450</v>
      </c>
      <c r="AH559" t="n">
        <v>66738</v>
      </c>
      <c r="AI559" t="inlineStr">
        <is>
          <t>Полное проживание в выбранном периоде</t>
        </is>
      </c>
    </row>
    <row r="560">
      <c r="A560" t="inlineStr">
        <is>
          <t>20260820-8186-455722511</t>
        </is>
      </c>
      <c r="B560" t="n">
        <v>1</v>
      </c>
      <c r="C560" s="2" t="inlineStr">
        <is>
          <t>РИНАТ ТЕМИРБУЛАТОВ</t>
        </is>
      </c>
      <c r="D560" s="3" t="n">
        <v>9080</v>
      </c>
      <c r="E560" s="4" t="n">
        <v>20</v>
      </c>
      <c r="F560" t="inlineStr">
        <is>
          <t>ООО "ХБ-ПРО" [Чайковский]</t>
        </is>
      </c>
      <c r="G560" s="3">
        <f>ROUND(D560/(100-E560)*100,2)</f>
        <v/>
      </c>
      <c r="H560" s="3" t="n">
        <v>0</v>
      </c>
      <c r="I560" s="3">
        <f>ROUND(IF(ISNUMBER(AG560),AG560,G560)+H560,2)</f>
        <v/>
      </c>
      <c r="J560" s="2" t="inlineStr">
        <is>
          <t>Завтрак "Шведский стол"</t>
        </is>
      </c>
      <c r="K560" s="5" t="n">
        <v>46254.58333333334</v>
      </c>
      <c r="L560" t="n">
        <v>1</v>
      </c>
      <c r="M560" s="3">
        <f>I560/L560</f>
        <v/>
      </c>
      <c r="N560">
        <f>IF(M560&gt;=5100,"ставка","мин.ставка")</f>
        <v/>
      </c>
      <c r="O560" s="3">
        <f>ROUND(IF(N560="мин.ставка",L560*100,I560/102*2),2)</f>
        <v/>
      </c>
      <c r="P560" s="5" t="n">
        <v>46255.5</v>
      </c>
      <c r="Q560" t="inlineStr">
        <is>
          <t>TravelLine UTS</t>
        </is>
      </c>
      <c r="R560" s="2" t="inlineStr">
        <is>
          <t>СТАНДАРТНЫЙ ДВУХМЕСТНЫЙ НОМЕР</t>
        </is>
      </c>
      <c r="S560" t="n">
        <v>26</v>
      </c>
      <c r="T560" t="n">
        <v>1</v>
      </c>
      <c r="U560" t="inlineStr"/>
      <c r="V560" t="inlineStr">
        <is>
          <t>Тариф с завтраком</t>
        </is>
      </c>
      <c r="W560" t="n">
        <v>9080</v>
      </c>
      <c r="X560" s="3" t="n">
        <v>0</v>
      </c>
      <c r="Y560" t="inlineStr"/>
      <c r="Z560" t="inlineStr"/>
      <c r="AA560" s="3" t="n">
        <v>9080</v>
      </c>
      <c r="AB560" t="inlineStr">
        <is>
          <t>Сошлось по ночным тарифам</t>
        </is>
      </c>
      <c r="AC560" s="2" t="inlineStr"/>
      <c r="AD560" t="n">
        <v>0</v>
      </c>
      <c r="AE560" t="n">
        <v>0</v>
      </c>
      <c r="AF560" t="inlineStr">
        <is>
          <t>Скидки нет</t>
        </is>
      </c>
      <c r="AG560" t="n">
        <v>9080</v>
      </c>
      <c r="AH560" t="n">
        <v>9080</v>
      </c>
      <c r="AI560" t="inlineStr">
        <is>
          <t>Полное проживание в выбранном периоде</t>
        </is>
      </c>
    </row>
    <row r="561">
      <c r="A561" t="inlineStr">
        <is>
          <t>20260930-8186-468223714</t>
        </is>
      </c>
      <c r="B561" t="n">
        <v>1</v>
      </c>
      <c r="C561" s="2" t="inlineStr">
        <is>
          <t>Розалия Рыбина</t>
        </is>
      </c>
      <c r="D561" s="3" t="n">
        <v>17056</v>
      </c>
      <c r="E561" s="4" t="n">
        <v>18</v>
      </c>
      <c r="F561" t="inlineStr">
        <is>
          <t>ООО "Эй энд Эй" [Чайковский]</t>
        </is>
      </c>
      <c r="G561" s="3">
        <f>ROUND(D561/(100-E561)*100,2)</f>
        <v/>
      </c>
      <c r="H561" s="3" t="n">
        <v>0</v>
      </c>
      <c r="I561" s="3">
        <f>ROUND(IF(ISNUMBER(AG561),AG561,G561)+H561,2)</f>
        <v/>
      </c>
      <c r="J561" s="2" t="inlineStr"/>
      <c r="K561" s="5" t="n">
        <v>46295.58333333334</v>
      </c>
      <c r="L561" t="n">
        <v>1</v>
      </c>
      <c r="M561" s="3">
        <f>I561/L561</f>
        <v/>
      </c>
      <c r="N561">
        <f>IF(M561&gt;=5100,"ставка","мин.ставка")</f>
        <v/>
      </c>
      <c r="O561" s="3">
        <f>ROUND(IF(N561="мин.ставка",L561*100,I561/102*2),2)</f>
        <v/>
      </c>
      <c r="P561" s="5" t="n">
        <v>46297.5</v>
      </c>
      <c r="Q561" t="inlineStr">
        <is>
          <t>TravelLine ANA</t>
        </is>
      </c>
      <c r="R561" s="2" t="inlineStr">
        <is>
          <t>СТАНДАРТНЫЙ ДВУХМЕСТНЫЙ НОМЕР</t>
        </is>
      </c>
      <c r="S561" t="n">
        <v>23</v>
      </c>
      <c r="T561" t="n">
        <v>1</v>
      </c>
      <c r="U561" t="inlineStr"/>
      <c r="V561" t="inlineStr">
        <is>
          <t>Тариф с завтраком</t>
        </is>
      </c>
      <c r="W561" t="n">
        <v>17056</v>
      </c>
      <c r="X561" s="3" t="n">
        <v>3744</v>
      </c>
      <c r="Y561" t="inlineStr">
        <is>
          <t>18%</t>
        </is>
      </c>
      <c r="Z561" t="inlineStr">
        <is>
          <t>Не распределена по датам</t>
        </is>
      </c>
      <c r="AA561" s="3" t="n">
        <v>17056</v>
      </c>
      <c r="AB561" t="inlineStr">
        <is>
          <t>Сошлось по ночным тарифам</t>
        </is>
      </c>
      <c r="AC561" s="2" t="inlineStr"/>
      <c r="AD561" t="n">
        <v>0</v>
      </c>
      <c r="AE561" t="n">
        <v>0</v>
      </c>
      <c r="AF561" t="inlineStr">
        <is>
          <t>Частичный период: дата агрегированной скидки не определена; скидка не добавлена к базе</t>
        </is>
      </c>
      <c r="AG561" t="n">
        <v>9307</v>
      </c>
      <c r="AH561" t="n">
        <v>9307</v>
      </c>
      <c r="AI561" t="inlineStr">
        <is>
          <t>Частичное проживание распределено по dailyRates; скидка без даты не восстановлена</t>
        </is>
      </c>
    </row>
    <row r="562">
      <c r="A562" t="inlineStr">
        <is>
          <t>20260908-8186-464325070</t>
        </is>
      </c>
      <c r="B562" t="n">
        <v>1</v>
      </c>
      <c r="C562" s="2" t="inlineStr">
        <is>
          <t>Роман Алеев</t>
        </is>
      </c>
      <c r="D562" s="3" t="n">
        <v>9307</v>
      </c>
      <c r="E562" s="4" t="n">
        <v>18</v>
      </c>
      <c r="F562" t="inlineStr">
        <is>
          <t>ООО "Эй энд Эй" [Чайковский]</t>
        </is>
      </c>
      <c r="G562" s="3">
        <f>ROUND(D562/(100-E562)*100,2)</f>
        <v/>
      </c>
      <c r="H562" s="3" t="n">
        <v>0</v>
      </c>
      <c r="I562" s="3">
        <f>ROUND(IF(ISNUMBER(AG562),AG562,G562)+H562,2)</f>
        <v/>
      </c>
      <c r="J562" s="2" t="inlineStr">
        <is>
          <t>Завтрак "Шведский стол"</t>
        </is>
      </c>
      <c r="K562" s="5" t="n">
        <v>46273.58333333334</v>
      </c>
      <c r="L562" t="n">
        <v>1</v>
      </c>
      <c r="M562" s="3">
        <f>I562/L562</f>
        <v/>
      </c>
      <c r="N562">
        <f>IF(M562&gt;=5100,"ставка","мин.ставка")</f>
        <v/>
      </c>
      <c r="O562" s="3">
        <f>ROUND(IF(N562="мин.ставка",L562*100,I562/102*2),2)</f>
        <v/>
      </c>
      <c r="P562" s="5" t="n">
        <v>46274.5</v>
      </c>
      <c r="Q562" t="inlineStr">
        <is>
          <t>TravelLine ANA</t>
        </is>
      </c>
      <c r="R562" s="2" t="inlineStr">
        <is>
          <t>СТАНДАРТНЫЙ ДВУХМЕСТНЫЙ НОМЕР</t>
        </is>
      </c>
      <c r="S562" t="n">
        <v>32</v>
      </c>
      <c r="T562" t="n">
        <v>1</v>
      </c>
      <c r="U562" t="inlineStr"/>
      <c r="V562" t="inlineStr">
        <is>
          <t>Тариф с завтраком</t>
        </is>
      </c>
      <c r="W562" t="n">
        <v>9307</v>
      </c>
      <c r="X562" s="3" t="n">
        <v>2043</v>
      </c>
      <c r="Y562" t="inlineStr">
        <is>
          <t>18%</t>
        </is>
      </c>
      <c r="Z562" t="inlineStr">
        <is>
          <t>2026-09-08</t>
        </is>
      </c>
      <c r="AA562" s="3" t="n">
        <v>9307</v>
      </c>
      <c r="AB562" t="inlineStr">
        <is>
          <t>Сошлось по ночным тарифам</t>
        </is>
      </c>
      <c r="AC562" s="2" t="inlineStr"/>
      <c r="AD562" t="n">
        <v>2043</v>
      </c>
      <c r="AE562" t="n">
        <v>0</v>
      </c>
      <c r="AF562" t="inlineStr">
        <is>
          <t>Скидка добавлена к налоговой базе</t>
        </is>
      </c>
      <c r="AG562" t="n">
        <v>11350</v>
      </c>
      <c r="AH562" t="n">
        <v>9307</v>
      </c>
      <c r="AI562" t="inlineStr">
        <is>
          <t>Полное проживание в выбранном периоде</t>
        </is>
      </c>
    </row>
    <row r="563">
      <c r="A563" t="inlineStr">
        <is>
          <t>20260909-8186-464775049</t>
        </is>
      </c>
      <c r="B563" t="n">
        <v>1</v>
      </c>
      <c r="C563" s="2" t="inlineStr">
        <is>
          <t>Роман Алеев</t>
        </is>
      </c>
      <c r="D563" s="3" t="n">
        <v>9307</v>
      </c>
      <c r="E563" s="4" t="n">
        <v>18</v>
      </c>
      <c r="F563" t="inlineStr">
        <is>
          <t>ООО "Эй энд Эй" [Чайковский]</t>
        </is>
      </c>
      <c r="G563" s="3">
        <f>ROUND(D563/(100-E563)*100,2)</f>
        <v/>
      </c>
      <c r="H563" s="3" t="n">
        <v>0</v>
      </c>
      <c r="I563" s="3">
        <f>ROUND(IF(ISNUMBER(AG563),AG563,G563)+H563,2)</f>
        <v/>
      </c>
      <c r="J563" s="2" t="inlineStr">
        <is>
          <t>Завтрак "Шведский стол"</t>
        </is>
      </c>
      <c r="K563" s="5" t="n">
        <v>46274.58333333334</v>
      </c>
      <c r="L563" t="n">
        <v>1</v>
      </c>
      <c r="M563" s="3">
        <f>I563/L563</f>
        <v/>
      </c>
      <c r="N563">
        <f>IF(M563&gt;=5100,"ставка","мин.ставка")</f>
        <v/>
      </c>
      <c r="O563" s="3">
        <f>ROUND(IF(N563="мин.ставка",L563*100,I563/102*2),2)</f>
        <v/>
      </c>
      <c r="P563" s="5" t="n">
        <v>46275.5</v>
      </c>
      <c r="Q563" t="inlineStr">
        <is>
          <t>TravelLine ANA</t>
        </is>
      </c>
      <c r="R563" s="2" t="inlineStr">
        <is>
          <t>СТАНДАРТНЫЙ ДВУХМЕСТНЫЙ НОМЕР</t>
        </is>
      </c>
      <c r="S563" t="n">
        <v>32</v>
      </c>
      <c r="T563" t="n">
        <v>1</v>
      </c>
      <c r="U563" t="inlineStr"/>
      <c r="V563" t="inlineStr">
        <is>
          <t>Тариф с завтраком</t>
        </is>
      </c>
      <c r="W563" t="n">
        <v>9307</v>
      </c>
      <c r="X563" s="3" t="n">
        <v>2043</v>
      </c>
      <c r="Y563" t="inlineStr">
        <is>
          <t>18%</t>
        </is>
      </c>
      <c r="Z563" t="inlineStr">
        <is>
          <t>2026-09-09</t>
        </is>
      </c>
      <c r="AA563" s="3" t="n">
        <v>9307</v>
      </c>
      <c r="AB563" t="inlineStr">
        <is>
          <t>Сошлось по ночным тарифам</t>
        </is>
      </c>
      <c r="AC563" s="2" t="inlineStr"/>
      <c r="AD563" t="n">
        <v>2043</v>
      </c>
      <c r="AE563" t="n">
        <v>0</v>
      </c>
      <c r="AF563" t="inlineStr">
        <is>
          <t>Скидка добавлена к налоговой базе</t>
        </is>
      </c>
      <c r="AG563" t="n">
        <v>11350</v>
      </c>
      <c r="AH563" t="n">
        <v>9307</v>
      </c>
      <c r="AI563" t="inlineStr">
        <is>
          <t>Полное проживание в выбранном периоде</t>
        </is>
      </c>
    </row>
    <row r="564">
      <c r="A564" t="inlineStr">
        <is>
          <t>20260729-8186-450751367</t>
        </is>
      </c>
      <c r="B564" t="n">
        <v>1</v>
      </c>
      <c r="C564" s="2" t="inlineStr">
        <is>
          <t>Роман Крайнов</t>
        </is>
      </c>
      <c r="D564" s="3" t="n">
        <v>53184.6</v>
      </c>
      <c r="E564" s="4" t="n">
        <v>4</v>
      </c>
      <c r="F564" t="inlineStr">
        <is>
          <t>TravelLine Booking Engine [Чайковский]</t>
        </is>
      </c>
      <c r="G564" s="3">
        <f>ROUND(D564/(100-E564)*100,2)</f>
        <v/>
      </c>
      <c r="H564" s="3" t="n">
        <v>0</v>
      </c>
      <c r="I564" s="3">
        <f>ROUND(IF(ISNUMBER(AG564),AG564,G564)+H564,2)</f>
        <v/>
      </c>
      <c r="J564" s="2" t="inlineStr">
        <is>
          <t>Завтрак "Шведский стол"</t>
        </is>
      </c>
      <c r="K564" s="5" t="n">
        <v>46232.58333333334</v>
      </c>
      <c r="L564" t="n">
        <v>4</v>
      </c>
      <c r="M564" s="3">
        <f>I564/L564</f>
        <v/>
      </c>
      <c r="N564">
        <f>IF(M564&gt;=5100,"ставка","мин.ставка")</f>
        <v/>
      </c>
      <c r="O564" s="3">
        <f>ROUND(IF(N564="мин.ставка",L564*100,I564/102*2),2)</f>
        <v/>
      </c>
      <c r="P564" s="5" t="n">
        <v>46236.5</v>
      </c>
      <c r="Q564" t="inlineStr">
        <is>
          <t>TravelLine сайт</t>
        </is>
      </c>
      <c r="R564" s="2" t="inlineStr">
        <is>
          <t>УЛУЧШЕННЫЙ ДВУХМЕСТНЫЙ НОМЕР</t>
        </is>
      </c>
      <c r="S564" t="n">
        <v>31</v>
      </c>
      <c r="T564" t="n">
        <v>1</v>
      </c>
      <c r="U564" t="inlineStr"/>
      <c r="V564" t="inlineStr">
        <is>
          <t>Тариф с завтраком</t>
        </is>
      </c>
      <c r="W564" t="n">
        <v>53184.6</v>
      </c>
      <c r="X564" s="3" t="n">
        <v>415.4</v>
      </c>
      <c r="Y564" t="inlineStr">
        <is>
          <t>3.1%</t>
        </is>
      </c>
      <c r="Z564" t="inlineStr">
        <is>
          <t>2026-07-29</t>
        </is>
      </c>
      <c r="AA564" s="3" t="n">
        <v>53184.6</v>
      </c>
      <c r="AB564" t="inlineStr">
        <is>
          <t>Сошлось по ночным тарифам</t>
        </is>
      </c>
      <c r="AC564" s="2" t="inlineStr"/>
      <c r="AD564" t="n">
        <v>415.4</v>
      </c>
      <c r="AE564" t="n">
        <v>0</v>
      </c>
      <c r="AF564" t="inlineStr">
        <is>
          <t>Скидка добавлена к налоговой базе</t>
        </is>
      </c>
      <c r="AG564" t="n">
        <v>53600</v>
      </c>
      <c r="AH564" t="n">
        <v>53184.6</v>
      </c>
      <c r="AI564" t="inlineStr">
        <is>
          <t>Полное проживание в выбранном периоде</t>
        </is>
      </c>
    </row>
    <row r="565">
      <c r="A565" t="inlineStr">
        <is>
          <t>20260913-8186-454223445</t>
        </is>
      </c>
      <c r="B565" t="n">
        <v>1</v>
      </c>
      <c r="C565" s="2" t="inlineStr">
        <is>
          <t>Роман Кучерявый, Елена Калюжная</t>
        </is>
      </c>
      <c r="D565" s="3" t="n">
        <v>68085</v>
      </c>
      <c r="E565" s="4" t="n">
        <v>0</v>
      </c>
      <c r="F565" t="inlineStr">
        <is>
          <t>ООО «ХОМЛИН ЛЭНД» (ПЕГАС) [Чайковский]</t>
        </is>
      </c>
      <c r="G565" s="3">
        <f>ROUND(D565/(100-E565)*100,2)</f>
        <v/>
      </c>
      <c r="H565" s="3" t="n">
        <v>0</v>
      </c>
      <c r="I565" s="3">
        <f>ROUND(IF(ISNUMBER(AG565),AG565,G565)+H565,2)</f>
        <v/>
      </c>
      <c r="J565" s="2" t="inlineStr">
        <is>
          <t>Завтрак "Шведский стол"</t>
        </is>
      </c>
      <c r="K565" s="5" t="n">
        <v>46278.58333333334</v>
      </c>
      <c r="L565" t="n">
        <v>6</v>
      </c>
      <c r="M565" s="3">
        <f>I565/L565</f>
        <v/>
      </c>
      <c r="N565">
        <f>IF(M565&gt;=5100,"ставка","мин.ставка")</f>
        <v/>
      </c>
      <c r="O565" s="3">
        <f>ROUND(IF(N565="мин.ставка",L565*100,I565/102*2),2)</f>
        <v/>
      </c>
      <c r="P565" s="5" t="n">
        <v>46284.5</v>
      </c>
      <c r="Q565" t="inlineStr">
        <is>
          <t>TravelLine PGS</t>
        </is>
      </c>
      <c r="R565" s="2" t="inlineStr">
        <is>
          <t>СТАНДАРТНЫЙ ДВУХМЕСТНЫЙ НОМЕР</t>
        </is>
      </c>
      <c r="S565" t="n">
        <v>26</v>
      </c>
      <c r="T565" t="n">
        <v>1</v>
      </c>
      <c r="U565" t="inlineStr"/>
      <c r="V565" t="inlineStr">
        <is>
          <t>Тариф с завтраком</t>
        </is>
      </c>
      <c r="W565" t="n">
        <v>68085</v>
      </c>
      <c r="X565" s="3" t="n">
        <v>12015</v>
      </c>
      <c r="Y565" t="inlineStr">
        <is>
          <t>15%</t>
        </is>
      </c>
      <c r="Z565" t="inlineStr">
        <is>
          <t>2026-09-13, 2026-09-14, 2026-09-15, 2026-09-16, 2026-09-17, 2026-09-18</t>
        </is>
      </c>
      <c r="AA565" s="3" t="n">
        <v>68085</v>
      </c>
      <c r="AB565" t="inlineStr">
        <is>
          <t>Сошлось по ночным тарифам</t>
        </is>
      </c>
      <c r="AC565" s="2" t="inlineStr"/>
      <c r="AD565" t="n">
        <v>12015</v>
      </c>
      <c r="AE565" t="n">
        <v>0</v>
      </c>
      <c r="AF565" t="inlineStr">
        <is>
          <t>Скидка добавлена к налоговой базе</t>
        </is>
      </c>
      <c r="AG565" t="n">
        <v>80100</v>
      </c>
      <c r="AH565" t="n">
        <v>68085</v>
      </c>
      <c r="AI565" t="inlineStr">
        <is>
          <t>Полное проживание в выбранном периоде</t>
        </is>
      </c>
    </row>
    <row r="566">
      <c r="A566" t="inlineStr">
        <is>
          <t>20260922-8186-467755700</t>
        </is>
      </c>
      <c r="B566" t="n">
        <v>1</v>
      </c>
      <c r="C566" s="2" t="inlineStr">
        <is>
          <t>Роман Маланичев</t>
        </is>
      </c>
      <c r="D566" s="3" t="n">
        <v>40200</v>
      </c>
      <c r="E566" s="4" t="n">
        <v>18</v>
      </c>
      <c r="F566" t="inlineStr">
        <is>
          <t>Яндекс.Путешествия [Чайковский]</t>
        </is>
      </c>
      <c r="G566" s="3">
        <f>ROUND(D566/(100-E566)*100,2)</f>
        <v/>
      </c>
      <c r="H566" s="3" t="n">
        <v>0</v>
      </c>
      <c r="I566" s="3">
        <f>ROUND(IF(ISNUMBER(AG566),AG566,G566)+H566,2)</f>
        <v/>
      </c>
      <c r="J566" s="2" t="inlineStr">
        <is>
          <t>Завтрак "Шведский стол"</t>
        </is>
      </c>
      <c r="K566" s="5" t="n">
        <v>46287.58333333334</v>
      </c>
      <c r="L566" t="n">
        <v>4</v>
      </c>
      <c r="M566" s="3">
        <f>I566/L566</f>
        <v/>
      </c>
      <c r="N566">
        <f>IF(M566&gt;=5100,"ставка","мин.ставка")</f>
        <v/>
      </c>
      <c r="O566" s="3">
        <f>ROUND(IF(N566="мин.ставка",L566*100,I566/102*2),2)</f>
        <v/>
      </c>
      <c r="P566" s="5" t="n">
        <v>46291.5</v>
      </c>
      <c r="Q566" t="inlineStr">
        <is>
          <t>TravelLine YAX</t>
        </is>
      </c>
      <c r="R566" s="2" t="inlineStr">
        <is>
          <t>УЛУЧШЕННЫЙ ДВУХМЕСТНЫЙ НОМЕР</t>
        </is>
      </c>
      <c r="S566" t="n">
        <v>31</v>
      </c>
      <c r="T566" t="n">
        <v>1</v>
      </c>
      <c r="U566" t="inlineStr"/>
      <c r="V566" t="inlineStr">
        <is>
          <t>Тариф с завтраком</t>
        </is>
      </c>
      <c r="W566" t="n">
        <v>40200</v>
      </c>
      <c r="X566" s="3" t="n">
        <v>13400</v>
      </c>
      <c r="Y566" t="inlineStr">
        <is>
          <t>25%</t>
        </is>
      </c>
      <c r="Z566" t="inlineStr">
        <is>
          <t>2026-09-22, 2026-09-23, 2026-09-24, 2026-09-25</t>
        </is>
      </c>
      <c r="AA566" s="3" t="n">
        <v>40200</v>
      </c>
      <c r="AB566" t="inlineStr">
        <is>
          <t>Сошлось по ночным тарифам</t>
        </is>
      </c>
      <c r="AC566" s="2" t="inlineStr"/>
      <c r="AD566" t="n">
        <v>13400</v>
      </c>
      <c r="AE566" t="n">
        <v>0</v>
      </c>
      <c r="AF566" t="inlineStr">
        <is>
          <t>Скидка добавлена к налоговой базе</t>
        </is>
      </c>
      <c r="AG566" t="n">
        <v>53600</v>
      </c>
      <c r="AH566" t="n">
        <v>40200</v>
      </c>
      <c r="AI566" t="inlineStr">
        <is>
          <t>Полное проживание в выбранном периоде</t>
        </is>
      </c>
    </row>
    <row r="567">
      <c r="A567" t="inlineStr">
        <is>
          <t>20260827-8186-461645701</t>
        </is>
      </c>
      <c r="B567" t="n">
        <v>1</v>
      </c>
      <c r="C567" s="2" t="inlineStr">
        <is>
          <t>Роман Новосельский, Анна Новосельская</t>
        </is>
      </c>
      <c r="D567" s="3" t="n">
        <v>26286.15</v>
      </c>
      <c r="E567" s="4" t="n">
        <v>4</v>
      </c>
      <c r="F567" t="inlineStr">
        <is>
          <t>TravelLine Booking Engine [Чайковский]</t>
        </is>
      </c>
      <c r="G567" s="3">
        <f>ROUND(D567/(100-E567)*100,2)</f>
        <v/>
      </c>
      <c r="H567" s="3" t="n">
        <v>0</v>
      </c>
      <c r="I567" s="3">
        <f>ROUND(IF(ISNUMBER(AG567),AG567,G567)+H567,2)</f>
        <v/>
      </c>
      <c r="J567" s="2" t="inlineStr">
        <is>
          <t>Завтрак "Шведский стол"</t>
        </is>
      </c>
      <c r="K567" s="5" t="n">
        <v>46261.58333333334</v>
      </c>
      <c r="L567" t="n">
        <v>2</v>
      </c>
      <c r="M567" s="3">
        <f>I567/L567</f>
        <v/>
      </c>
      <c r="N567">
        <f>IF(M567&gt;=5100,"ставка","мин.ставка")</f>
        <v/>
      </c>
      <c r="O567" s="3">
        <f>ROUND(IF(N567="мин.ставка",L567*100,I567/102*2),2)</f>
        <v/>
      </c>
      <c r="P567" s="5" t="n">
        <v>46263.5</v>
      </c>
      <c r="Q567" t="inlineStr">
        <is>
          <t>TravelLine сайт</t>
        </is>
      </c>
      <c r="R567" s="2" t="inlineStr">
        <is>
          <t>СТАНДАРТНЫЙ ДВУХМЕСТНЫЙ НОМЕР</t>
        </is>
      </c>
      <c r="S567" t="n">
        <v>33</v>
      </c>
      <c r="T567" t="n">
        <v>1</v>
      </c>
      <c r="U567" t="inlineStr"/>
      <c r="V567" t="inlineStr">
        <is>
          <t>Тариф с завтраком</t>
        </is>
      </c>
      <c r="W567" t="n">
        <v>48634.3</v>
      </c>
      <c r="X567" s="3" t="n">
        <v>413.85</v>
      </c>
      <c r="Y567" t="inlineStr">
        <is>
          <t>3.1%</t>
        </is>
      </c>
      <c r="Z567" t="inlineStr">
        <is>
          <t>2026-08-27</t>
        </is>
      </c>
      <c r="AA567" s="3" t="n">
        <v>26286.15</v>
      </c>
      <c r="AB567" t="inlineStr">
        <is>
          <t>Сошлось по ночным тарифам</t>
        </is>
      </c>
      <c r="AC567" s="2" t="inlineStr"/>
      <c r="AD567" t="n">
        <v>413.85</v>
      </c>
      <c r="AE567" t="n">
        <v>0</v>
      </c>
      <c r="AF567" t="inlineStr">
        <is>
          <t>Скидка добавлена к налоговой базе</t>
        </is>
      </c>
      <c r="AG567" t="n">
        <v>26700</v>
      </c>
      <c r="AH567" t="n">
        <v>26286.15</v>
      </c>
      <c r="AI567" t="inlineStr">
        <is>
          <t>Полное проживание в выбранном периоде</t>
        </is>
      </c>
    </row>
    <row r="568">
      <c r="A568" t="inlineStr">
        <is>
          <t>20260701-8186-442331632</t>
        </is>
      </c>
      <c r="B568" t="n">
        <v>1</v>
      </c>
      <c r="C568" s="2" t="inlineStr">
        <is>
          <t>РОМАН СЕМЕНОВ, НАТАЛИЯ СЕМЕНЮК</t>
        </is>
      </c>
      <c r="D568" s="3" t="n">
        <v>13350</v>
      </c>
      <c r="E568" s="4" t="n">
        <v>0</v>
      </c>
      <c r="F568" t="inlineStr">
        <is>
          <t>Прямые бронирования (стойка) [Чайковский]</t>
        </is>
      </c>
      <c r="G568" s="3">
        <f>ROUND(D568/(100-E568)*100,2)</f>
        <v/>
      </c>
      <c r="H568" s="3" t="n">
        <v>0</v>
      </c>
      <c r="I568" s="3">
        <f>ROUND(IF(ISNUMBER(AG568),AG568,G568)+H568,2)</f>
        <v/>
      </c>
      <c r="J568" s="2" t="inlineStr">
        <is>
          <t>Завтрак "Шведский стол"</t>
        </is>
      </c>
      <c r="K568" s="5" t="n">
        <v>46204.58333333334</v>
      </c>
      <c r="L568" t="n">
        <v>1</v>
      </c>
      <c r="M568" s="3">
        <f>I568/L568</f>
        <v/>
      </c>
      <c r="N568">
        <f>IF(M568&gt;=5100,"ставка","мин.ставка")</f>
        <v/>
      </c>
      <c r="O568" s="3">
        <f>ROUND(IF(N568="мин.ставка",L568*100,I568/102*2),2)</f>
        <v/>
      </c>
      <c r="P568" s="5" t="n">
        <v>46205.5</v>
      </c>
      <c r="Q568" t="inlineStr">
        <is>
          <t>TravelLine ресепшен</t>
        </is>
      </c>
      <c r="R568" s="2" t="inlineStr">
        <is>
          <t>СТАНДАРТНЫЙ ДВУХМЕСТНЫЙ НОМЕР</t>
        </is>
      </c>
      <c r="S568" t="n">
        <v>26</v>
      </c>
      <c r="T568" t="n">
        <v>1</v>
      </c>
      <c r="U568" t="inlineStr"/>
      <c r="V568" t="inlineStr">
        <is>
          <t>Тариф с завтраком</t>
        </is>
      </c>
      <c r="W568" t="n">
        <v>13350</v>
      </c>
      <c r="X568" s="3" t="n">
        <v>0</v>
      </c>
      <c r="Y568" t="inlineStr"/>
      <c r="Z568" t="inlineStr"/>
      <c r="AA568" s="3" t="n">
        <v>13350</v>
      </c>
      <c r="AB568" t="inlineStr">
        <is>
          <t>Сошлось по ночным тарифам</t>
        </is>
      </c>
      <c r="AC568" s="2" t="inlineStr"/>
      <c r="AD568" t="n">
        <v>0</v>
      </c>
      <c r="AE568" t="n">
        <v>0</v>
      </c>
      <c r="AF568" t="inlineStr">
        <is>
          <t>Скидки нет</t>
        </is>
      </c>
      <c r="AG568" t="n">
        <v>13350</v>
      </c>
      <c r="AH568" t="n">
        <v>13350</v>
      </c>
      <c r="AI568" t="inlineStr">
        <is>
          <t>Полное проживание в выбранном периоде</t>
        </is>
      </c>
    </row>
    <row r="569">
      <c r="A569" t="inlineStr">
        <is>
          <t>20260910-8186-464069556</t>
        </is>
      </c>
      <c r="B569" t="n">
        <v>1</v>
      </c>
      <c r="C569" s="2" t="inlineStr">
        <is>
          <t>Роман Солодовник, НАТАЛЬЯ Солодовник</t>
        </is>
      </c>
      <c r="D569" s="3" t="n">
        <v>13695</v>
      </c>
      <c r="E569" s="4" t="n">
        <v>17</v>
      </c>
      <c r="F569" t="inlineStr">
        <is>
          <t>ООО «Интернет Трэвел» (OZON) [Чайковский]</t>
        </is>
      </c>
      <c r="G569" s="3">
        <f>ROUND(D569/(100-E569)*100,2)</f>
        <v/>
      </c>
      <c r="H569" s="3" t="n">
        <v>0</v>
      </c>
      <c r="I569" s="3">
        <f>ROUND(IF(ISNUMBER(AG569),AG569,G569)+H569,2)</f>
        <v/>
      </c>
      <c r="J569" s="2" t="inlineStr">
        <is>
          <t>Завтрак "Шведский стол"</t>
        </is>
      </c>
      <c r="K569" s="5" t="n">
        <v>46275.58333333334</v>
      </c>
      <c r="L569" t="n">
        <v>1</v>
      </c>
      <c r="M569" s="3">
        <f>I569/L569</f>
        <v/>
      </c>
      <c r="N569">
        <f>IF(M569&gt;=5100,"ставка","мин.ставка")</f>
        <v/>
      </c>
      <c r="O569" s="3">
        <f>ROUND(IF(N569="мин.ставка",L569*100,I569/102*2),2)</f>
        <v/>
      </c>
      <c r="P569" s="5" t="n">
        <v>46276.5</v>
      </c>
      <c r="Q569" t="inlineStr">
        <is>
          <t>TravelLine OZ2</t>
        </is>
      </c>
      <c r="R569" s="2" t="inlineStr">
        <is>
          <t>ПОЛУЛЮКС</t>
        </is>
      </c>
      <c r="S569" t="n">
        <v>11</v>
      </c>
      <c r="T569" t="n">
        <v>1</v>
      </c>
      <c r="U569" t="inlineStr"/>
      <c r="V569" t="inlineStr">
        <is>
          <t>Тариф с завтраком</t>
        </is>
      </c>
      <c r="W569" t="n">
        <v>13695</v>
      </c>
      <c r="X569" s="3" t="n">
        <v>2805</v>
      </c>
      <c r="Y569" t="inlineStr">
        <is>
          <t>17%</t>
        </is>
      </c>
      <c r="Z569" t="inlineStr">
        <is>
          <t>2026-09-10</t>
        </is>
      </c>
      <c r="AA569" s="3" t="n">
        <v>13695</v>
      </c>
      <c r="AB569" t="inlineStr">
        <is>
          <t>Сошлось по ночным тарифам</t>
        </is>
      </c>
      <c r="AC569" s="2" t="inlineStr"/>
      <c r="AD569" t="n">
        <v>2805</v>
      </c>
      <c r="AE569" t="n">
        <v>0</v>
      </c>
      <c r="AF569" t="inlineStr">
        <is>
          <t>Скидка добавлена к налоговой базе</t>
        </is>
      </c>
      <c r="AG569" t="n">
        <v>16500</v>
      </c>
      <c r="AH569" t="n">
        <v>13695</v>
      </c>
      <c r="AI569" t="inlineStr">
        <is>
          <t>Полное проживание в выбранном периоде</t>
        </is>
      </c>
    </row>
    <row r="570">
      <c r="A570" t="inlineStr">
        <is>
          <t>20260712-8186-444317307</t>
        </is>
      </c>
      <c r="B570" t="n">
        <v>1</v>
      </c>
      <c r="C570" s="2" t="inlineStr">
        <is>
          <t>РОМАН ХРОМЦОВ, Анна Курносова</t>
        </is>
      </c>
      <c r="D570" s="3" t="n">
        <v>9080</v>
      </c>
      <c r="E570" s="4" t="n">
        <v>20</v>
      </c>
      <c r="F570" t="inlineStr">
        <is>
          <t>ООО "КОМПАНИЯ БРОНЕВИК" [Чайковский]</t>
        </is>
      </c>
      <c r="G570" s="3">
        <f>ROUND(D570/(100-E570)*100,2)</f>
        <v/>
      </c>
      <c r="H570" s="3" t="n">
        <v>2000</v>
      </c>
      <c r="I570" s="3">
        <f>ROUND(IF(ISNUMBER(AG570),AG570,G570)+H570,2)</f>
        <v/>
      </c>
      <c r="J570" s="2" t="inlineStr">
        <is>
          <t>продление номера — 2 000,00 ₽; Завтрак "Шведский стол"</t>
        </is>
      </c>
      <c r="K570" s="5" t="n">
        <v>46215.58333333334</v>
      </c>
      <c r="L570" t="n">
        <v>1</v>
      </c>
      <c r="M570" s="3">
        <f>I570/L570</f>
        <v/>
      </c>
      <c r="N570">
        <f>IF(M570&gt;=5100,"ставка","мин.ставка")</f>
        <v/>
      </c>
      <c r="O570" s="3">
        <f>ROUND(IF(N570="мин.ставка",L570*100,I570/102*2),2)</f>
        <v/>
      </c>
      <c r="P570" s="5" t="n">
        <v>46216.5</v>
      </c>
      <c r="Q570" t="inlineStr">
        <is>
          <t>TravelLine BR2</t>
        </is>
      </c>
      <c r="R570" s="2" t="inlineStr">
        <is>
          <t>СТАНДАРТНЫЙ ДВУХМЕСТНЫЙ НОМЕР</t>
        </is>
      </c>
      <c r="S570" t="n">
        <v>23</v>
      </c>
      <c r="T570" t="n">
        <v>1</v>
      </c>
      <c r="U570" t="inlineStr"/>
      <c r="V570" t="inlineStr">
        <is>
          <t>Тариф с завтраком</t>
        </is>
      </c>
      <c r="W570" t="n">
        <v>11080</v>
      </c>
      <c r="X570" s="3" t="n">
        <v>0</v>
      </c>
      <c r="Y570" t="inlineStr"/>
      <c r="Z570" t="inlineStr"/>
      <c r="AA570" s="3" t="n">
        <v>9080</v>
      </c>
      <c r="AB570" t="inlineStr">
        <is>
          <t>Сошлось с услугами</t>
        </is>
      </c>
      <c r="AC570" s="2" t="inlineStr"/>
      <c r="AD570" t="n">
        <v>0</v>
      </c>
      <c r="AE570" t="n">
        <v>0</v>
      </c>
      <c r="AF570" t="inlineStr">
        <is>
          <t>Скидки нет</t>
        </is>
      </c>
      <c r="AG570" t="n">
        <v>9080</v>
      </c>
      <c r="AH570" t="n">
        <v>9080</v>
      </c>
      <c r="AI570" t="inlineStr">
        <is>
          <t>Полное проживание в выбранном периоде</t>
        </is>
      </c>
    </row>
    <row r="571">
      <c r="A571" t="inlineStr">
        <is>
          <t>20260717-8186-434712508</t>
        </is>
      </c>
      <c r="B571" t="n">
        <v>1</v>
      </c>
      <c r="C571" s="2" t="inlineStr">
        <is>
          <t>РОМАН ЧЕРНЫЙ, София Швеина</t>
        </is>
      </c>
      <c r="D571" s="3" t="n">
        <v>16500</v>
      </c>
      <c r="E571" s="4" t="n">
        <v>0</v>
      </c>
      <c r="F571" t="inlineStr">
        <is>
          <t>Прямые бронирования (стойка) [Чайковский]</t>
        </is>
      </c>
      <c r="G571" s="3">
        <f>ROUND(D571/(100-E571)*100,2)</f>
        <v/>
      </c>
      <c r="H571" s="3" t="n">
        <v>0</v>
      </c>
      <c r="I571" s="3">
        <f>ROUND(IF(ISNUMBER(AG571),AG571,G571)+H571,2)</f>
        <v/>
      </c>
      <c r="J571" s="2" t="inlineStr">
        <is>
          <t>Завтрак "Шведский стол"</t>
        </is>
      </c>
      <c r="K571" s="5" t="n">
        <v>46220.58333333334</v>
      </c>
      <c r="L571" t="n">
        <v>1</v>
      </c>
      <c r="M571" s="3">
        <f>I571/L571</f>
        <v/>
      </c>
      <c r="N571">
        <f>IF(M571&gt;=5100,"ставка","мин.ставка")</f>
        <v/>
      </c>
      <c r="O571" s="3">
        <f>ROUND(IF(N571="мин.ставка",L571*100,I571/102*2),2)</f>
        <v/>
      </c>
      <c r="P571" s="5" t="n">
        <v>46221.5</v>
      </c>
      <c r="Q571" t="inlineStr">
        <is>
          <t>TravelLine ресепшен</t>
        </is>
      </c>
      <c r="R571" s="2" t="inlineStr">
        <is>
          <t>ПОЛУЛЮКС</t>
        </is>
      </c>
      <c r="S571" t="n">
        <v>11</v>
      </c>
      <c r="T571" t="n">
        <v>1</v>
      </c>
      <c r="U571" t="inlineStr"/>
      <c r="V571" t="inlineStr">
        <is>
          <t>Тариф с завтраком</t>
        </is>
      </c>
      <c r="W571" t="n">
        <v>16500</v>
      </c>
      <c r="X571" s="3" t="n">
        <v>0</v>
      </c>
      <c r="Y571" t="inlineStr"/>
      <c r="Z571" t="inlineStr"/>
      <c r="AA571" s="3" t="n">
        <v>16500</v>
      </c>
      <c r="AB571" t="inlineStr">
        <is>
          <t>Сошлось по ночным тарифам</t>
        </is>
      </c>
      <c r="AC571" s="2" t="inlineStr"/>
      <c r="AD571" t="n">
        <v>0</v>
      </c>
      <c r="AE571" t="n">
        <v>0</v>
      </c>
      <c r="AF571" t="inlineStr">
        <is>
          <t>Скидки нет</t>
        </is>
      </c>
      <c r="AG571" t="n">
        <v>16500</v>
      </c>
      <c r="AH571" t="n">
        <v>16500</v>
      </c>
      <c r="AI571" t="inlineStr">
        <is>
          <t>Полное проживание в выбранном периоде</t>
        </is>
      </c>
    </row>
    <row r="572">
      <c r="A572" t="inlineStr">
        <is>
          <t>20260808-8186-453192486</t>
        </is>
      </c>
      <c r="B572" t="n">
        <v>1</v>
      </c>
      <c r="C572" s="2" t="inlineStr">
        <is>
          <t>Руслан Хабибуллин, Марина Хабибуллина</t>
        </is>
      </c>
      <c r="D572" s="3" t="n">
        <v>33660</v>
      </c>
      <c r="E572" s="4" t="n">
        <v>0</v>
      </c>
      <c r="F572" t="inlineStr">
        <is>
          <t>ООО «ХОМЛИН ЛЭНД» (ПЕГАС) [Чайковский]</t>
        </is>
      </c>
      <c r="G572" s="3">
        <f>ROUND(D572/(100-E572)*100,2)</f>
        <v/>
      </c>
      <c r="H572" s="3" t="n">
        <v>0</v>
      </c>
      <c r="I572" s="3">
        <f>ROUND(IF(ISNUMBER(AG572),AG572,G572)+H572,2)</f>
        <v/>
      </c>
      <c r="J572" s="2" t="inlineStr">
        <is>
          <t>Завтрак "Шведский стол"</t>
        </is>
      </c>
      <c r="K572" s="5" t="n">
        <v>46242.58333333334</v>
      </c>
      <c r="L572" t="n">
        <v>4</v>
      </c>
      <c r="M572" s="3">
        <f>I572/L572</f>
        <v/>
      </c>
      <c r="N572">
        <f>IF(M572&gt;=5100,"ставка","мин.ставка")</f>
        <v/>
      </c>
      <c r="O572" s="3">
        <f>ROUND(IF(N572="мин.ставка",L572*100,I572/102*2),2)</f>
        <v/>
      </c>
      <c r="P572" s="5" t="n">
        <v>46246.5</v>
      </c>
      <c r="Q572" t="inlineStr">
        <is>
          <t>TravelLine PGS</t>
        </is>
      </c>
      <c r="R572" s="2" t="inlineStr">
        <is>
          <t>СТАНДАРТНЫЙ ДВУХМЕСТНЫЙ НОМЕР (МАНСАРДА)</t>
        </is>
      </c>
      <c r="S572" t="n">
        <v>41</v>
      </c>
      <c r="T572" t="n">
        <v>1</v>
      </c>
      <c r="U572" t="inlineStr"/>
      <c r="V572" t="inlineStr">
        <is>
          <t>Тариф с завтраком</t>
        </is>
      </c>
      <c r="W572" t="n">
        <v>33660</v>
      </c>
      <c r="X572" s="3" t="n">
        <v>5940</v>
      </c>
      <c r="Y572" t="inlineStr">
        <is>
          <t>15%</t>
        </is>
      </c>
      <c r="Z572" t="inlineStr">
        <is>
          <t>2026-08-08, 2026-08-09, 2026-08-10, 2026-08-11</t>
        </is>
      </c>
      <c r="AA572" s="3" t="n">
        <v>33660</v>
      </c>
      <c r="AB572" t="inlineStr">
        <is>
          <t>Сошлось по ночным тарифам</t>
        </is>
      </c>
      <c r="AC572" s="2" t="inlineStr"/>
      <c r="AD572" t="n">
        <v>5940</v>
      </c>
      <c r="AE572" t="n">
        <v>0</v>
      </c>
      <c r="AF572" t="inlineStr">
        <is>
          <t>Скидка добавлена к налоговой базе</t>
        </is>
      </c>
      <c r="AG572" t="n">
        <v>39600</v>
      </c>
      <c r="AH572" t="n">
        <v>33660</v>
      </c>
      <c r="AI572" t="inlineStr">
        <is>
          <t>Полное проживание в выбранном периоде</t>
        </is>
      </c>
    </row>
    <row r="573">
      <c r="A573" t="inlineStr">
        <is>
          <t>20260923-8186-464989668</t>
        </is>
      </c>
      <c r="B573" t="n">
        <v>1</v>
      </c>
      <c r="C573" s="2" t="inlineStr">
        <is>
          <t>СВЕТЛАНА АНДРЕЕВА</t>
        </is>
      </c>
      <c r="D573" s="3" t="n">
        <v>9647.5</v>
      </c>
      <c r="E573" s="4" t="n">
        <v>15</v>
      </c>
      <c r="F573" t="inlineStr">
        <is>
          <t>ООО «12Т» (ранее ONE TWO TRIP) [Чайковский]</t>
        </is>
      </c>
      <c r="G573" s="3">
        <f>ROUND(D573/(100-E573)*100,2)</f>
        <v/>
      </c>
      <c r="H573" s="3" t="n">
        <v>0</v>
      </c>
      <c r="I573" s="3">
        <f>ROUND(IF(ISNUMBER(AG573),AG573,G573)+H573,2)</f>
        <v/>
      </c>
      <c r="J573" s="2" t="inlineStr">
        <is>
          <t>Завтрак "Шведский стол"</t>
        </is>
      </c>
      <c r="K573" s="5" t="n">
        <v>46288.58333333334</v>
      </c>
      <c r="L573" t="n">
        <v>1</v>
      </c>
      <c r="M573" s="3">
        <f>I573/L573</f>
        <v/>
      </c>
      <c r="N573">
        <f>IF(M573&gt;=5100,"ставка","мин.ставка")</f>
        <v/>
      </c>
      <c r="O573" s="3">
        <f>ROUND(IF(N573="мин.ставка",L573*100,I573/102*2),2)</f>
        <v/>
      </c>
      <c r="P573" s="5" t="n">
        <v>46289.5</v>
      </c>
      <c r="Q573" t="inlineStr">
        <is>
          <t>TravelLine OTT</t>
        </is>
      </c>
      <c r="R573" s="2" t="inlineStr">
        <is>
          <t>СТАНДАРТНЫЙ ДВУХМЕСТНЫЙ НОМЕР</t>
        </is>
      </c>
      <c r="S573" t="n">
        <v>32</v>
      </c>
      <c r="T573" t="n">
        <v>1</v>
      </c>
      <c r="U573" t="inlineStr"/>
      <c r="V573" t="inlineStr">
        <is>
          <t>Тариф с завтраком</t>
        </is>
      </c>
      <c r="W573" t="n">
        <v>9647.5</v>
      </c>
      <c r="X573" s="3" t="n">
        <v>1702.5</v>
      </c>
      <c r="Y573" t="inlineStr">
        <is>
          <t>15%</t>
        </is>
      </c>
      <c r="Z573" t="inlineStr">
        <is>
          <t>2026-09-23</t>
        </is>
      </c>
      <c r="AA573" s="3" t="n">
        <v>9647.5</v>
      </c>
      <c r="AB573" t="inlineStr">
        <is>
          <t>Сошлось по ночным тарифам</t>
        </is>
      </c>
      <c r="AC573" s="2" t="inlineStr"/>
      <c r="AD573" t="n">
        <v>1702.5</v>
      </c>
      <c r="AE573" t="n">
        <v>0</v>
      </c>
      <c r="AF573" t="inlineStr">
        <is>
          <t>Скидка добавлена к налоговой базе</t>
        </is>
      </c>
      <c r="AG573" t="n">
        <v>11350</v>
      </c>
      <c r="AH573" t="n">
        <v>9647.5</v>
      </c>
      <c r="AI573" t="inlineStr">
        <is>
          <t>Полное проживание в выбранном периоде</t>
        </is>
      </c>
    </row>
    <row r="574">
      <c r="A574" t="inlineStr">
        <is>
          <t>20260819-8186-412191327</t>
        </is>
      </c>
      <c r="B574" t="n">
        <v>1</v>
      </c>
      <c r="C574" s="2" t="inlineStr">
        <is>
          <t>Светлана Гилёва, Людмила РОГОЖНЕВА</t>
        </is>
      </c>
      <c r="D574" s="3" t="n">
        <v>29700</v>
      </c>
      <c r="E574" s="4" t="n">
        <v>0</v>
      </c>
      <c r="F574" t="inlineStr">
        <is>
          <t>Прямые бронирования (стойка) [Чайковский]</t>
        </is>
      </c>
      <c r="G574" s="3">
        <f>ROUND(D574/(100-E574)*100,2)</f>
        <v/>
      </c>
      <c r="H574" s="3" t="n">
        <v>0</v>
      </c>
      <c r="I574" s="3">
        <f>ROUND(IF(ISNUMBER(AG574),AG574,G574)+H574,2)</f>
        <v/>
      </c>
      <c r="J574" s="2" t="inlineStr">
        <is>
          <t>Завтрак "Шведский стол"</t>
        </is>
      </c>
      <c r="K574" s="5" t="n">
        <v>46249.58333333334</v>
      </c>
      <c r="L574" t="n">
        <v>3</v>
      </c>
      <c r="M574" s="3">
        <f>I574/L574</f>
        <v/>
      </c>
      <c r="N574">
        <f>IF(M574&gt;=5100,"ставка","мин.ставка")</f>
        <v/>
      </c>
      <c r="O574" s="3">
        <f>ROUND(IF(N574="мин.ставка",L574*100,I574/102*2),2)</f>
        <v/>
      </c>
      <c r="P574" s="5" t="n">
        <v>46252.5</v>
      </c>
      <c r="Q574" t="inlineStr">
        <is>
          <t>TravelLine ресепшен</t>
        </is>
      </c>
      <c r="R574" s="2" t="inlineStr">
        <is>
          <t>СТАНДАРТНЫЙ ДВУХМЕСТНЫЙ НОМЕР (МАНСАРДА)</t>
        </is>
      </c>
      <c r="S574" t="n">
        <v>45</v>
      </c>
      <c r="T574" t="n">
        <v>1</v>
      </c>
      <c r="U574" t="inlineStr"/>
      <c r="V574" t="inlineStr">
        <is>
          <t>Тариф с завтраком</t>
        </is>
      </c>
      <c r="W574" t="n">
        <v>29700</v>
      </c>
      <c r="X574" s="3" t="n">
        <v>0</v>
      </c>
      <c r="Y574" t="inlineStr"/>
      <c r="Z574" t="inlineStr"/>
      <c r="AA574" s="3" t="n">
        <v>29700</v>
      </c>
      <c r="AB574" t="inlineStr">
        <is>
          <t>Сошлось по ночным тарифам</t>
        </is>
      </c>
      <c r="AC574" s="2" t="inlineStr"/>
      <c r="AD574" t="n">
        <v>0</v>
      </c>
      <c r="AE574" t="n">
        <v>0</v>
      </c>
      <c r="AF574" t="inlineStr">
        <is>
          <t>Скидки нет</t>
        </is>
      </c>
      <c r="AG574" t="n">
        <v>29700</v>
      </c>
      <c r="AH574" t="n">
        <v>29700</v>
      </c>
      <c r="AI574" t="inlineStr">
        <is>
          <t>Полное проживание в выбранном периоде</t>
        </is>
      </c>
    </row>
    <row r="575">
      <c r="A575" t="inlineStr">
        <is>
          <t>20260831-8186-446583307</t>
        </is>
      </c>
      <c r="B575" t="n">
        <v>1</v>
      </c>
      <c r="C575" s="2" t="inlineStr">
        <is>
          <t>Светлана Говорина</t>
        </is>
      </c>
      <c r="D575" s="3" t="n">
        <v>45400</v>
      </c>
      <c r="E575" s="4" t="n">
        <v>18</v>
      </c>
      <c r="F575" t="inlineStr">
        <is>
          <t>Яндекс.Путешествия [Чайковский]</t>
        </is>
      </c>
      <c r="G575" s="3">
        <f>ROUND(D575/(100-E575)*100,2)</f>
        <v/>
      </c>
      <c r="H575" s="3" t="n">
        <v>0</v>
      </c>
      <c r="I575" s="3">
        <f>ROUND(IF(ISNUMBER(AG575),AG575,G575)+H575,2)</f>
        <v/>
      </c>
      <c r="J575" s="2" t="inlineStr">
        <is>
          <t>Завтрак "Шведский стол"</t>
        </is>
      </c>
      <c r="K575" s="5" t="n">
        <v>46265.58333333334</v>
      </c>
      <c r="L575" t="n">
        <v>5</v>
      </c>
      <c r="M575" s="3">
        <f>I575/L575</f>
        <v/>
      </c>
      <c r="N575">
        <f>IF(M575&gt;=5100,"ставка","мин.ставка")</f>
        <v/>
      </c>
      <c r="O575" s="3">
        <f>ROUND(IF(N575="мин.ставка",L575*100,I575/102*2),2)</f>
        <v/>
      </c>
      <c r="P575" s="5" t="n">
        <v>46270.5</v>
      </c>
      <c r="Q575" t="inlineStr">
        <is>
          <t>TravelLine YAX</t>
        </is>
      </c>
      <c r="R575" s="2" t="inlineStr">
        <is>
          <t>ПОЛУЛЮКС</t>
        </is>
      </c>
      <c r="S575" t="n">
        <v>35</v>
      </c>
      <c r="T575" t="n">
        <v>1</v>
      </c>
      <c r="U575" t="inlineStr"/>
      <c r="V575" t="inlineStr">
        <is>
          <t>Тариф с завтраком</t>
        </is>
      </c>
      <c r="W575" t="n">
        <v>45400</v>
      </c>
      <c r="X575" s="3" t="n">
        <v>11350</v>
      </c>
      <c r="Y575" t="inlineStr">
        <is>
          <t>20%</t>
        </is>
      </c>
      <c r="Z575" t="inlineStr">
        <is>
          <t>2026-08-31, 2026-09-01, 2026-09-02, 2026-09-03, 2026-09-04</t>
        </is>
      </c>
      <c r="AA575" s="3" t="n">
        <v>45400</v>
      </c>
      <c r="AB575" t="inlineStr">
        <is>
          <t>Сошлось по ночным тарифам</t>
        </is>
      </c>
      <c r="AC575" s="2" t="inlineStr"/>
      <c r="AD575" t="n">
        <v>11350</v>
      </c>
      <c r="AE575" t="n">
        <v>0</v>
      </c>
      <c r="AF575" t="inlineStr">
        <is>
          <t>Скидка добавлена к налоговой базе</t>
        </is>
      </c>
      <c r="AG575" t="n">
        <v>56750</v>
      </c>
      <c r="AH575" t="n">
        <v>45400</v>
      </c>
      <c r="AI575" t="inlineStr">
        <is>
          <t>Полное проживание в выбранном периоде</t>
        </is>
      </c>
    </row>
    <row r="576">
      <c r="A576" t="inlineStr">
        <is>
          <t>20260823-8186-427400890</t>
        </is>
      </c>
      <c r="B576" t="n">
        <v>1</v>
      </c>
      <c r="C576" s="2" t="inlineStr">
        <is>
          <t>Светлана Серебрякова, Майя Серебрякова</t>
        </is>
      </c>
      <c r="D576" s="3" t="n">
        <v>22161</v>
      </c>
      <c r="E576" s="4" t="n">
        <v>18</v>
      </c>
      <c r="F576" t="inlineStr">
        <is>
          <t>Яндекс.Путешествия [Чайковский]</t>
        </is>
      </c>
      <c r="G576" s="3">
        <f>ROUND(D576/(100-E576)*100,2)</f>
        <v/>
      </c>
      <c r="H576" s="3" t="n">
        <v>0</v>
      </c>
      <c r="I576" s="3">
        <f>ROUND(IF(ISNUMBER(AG576),AG576,G576)+H576,2)</f>
        <v/>
      </c>
      <c r="J576" s="2" t="inlineStr">
        <is>
          <t>Завтрак "Шведский стол"</t>
        </is>
      </c>
      <c r="K576" s="5" t="n">
        <v>46257.58333333334</v>
      </c>
      <c r="L576" t="n">
        <v>2</v>
      </c>
      <c r="M576" s="3">
        <f>I576/L576</f>
        <v/>
      </c>
      <c r="N576">
        <f>IF(M576&gt;=5100,"ставка","мин.ставка")</f>
        <v/>
      </c>
      <c r="O576" s="3">
        <f>ROUND(IF(N576="мин.ставка",L576*100,I576/102*2),2)</f>
        <v/>
      </c>
      <c r="P576" s="5" t="n">
        <v>46259.5</v>
      </c>
      <c r="Q576" t="inlineStr">
        <is>
          <t>TravelLine YAX</t>
        </is>
      </c>
      <c r="R576" s="2" t="inlineStr">
        <is>
          <t>СТАНДАРТНЫЙ ДВУХМЕСТНЫЙ НОМЕР</t>
        </is>
      </c>
      <c r="S576" t="n">
        <v>22</v>
      </c>
      <c r="T576" t="n">
        <v>1</v>
      </c>
      <c r="U576" t="inlineStr"/>
      <c r="V576" t="inlineStr">
        <is>
          <t>Тариф с завтраком</t>
        </is>
      </c>
      <c r="W576" t="n">
        <v>22161</v>
      </c>
      <c r="X576" s="3" t="n">
        <v>4539</v>
      </c>
      <c r="Y576" t="inlineStr">
        <is>
          <t>17%</t>
        </is>
      </c>
      <c r="Z576" t="inlineStr">
        <is>
          <t>2026-08-23, 2026-08-24</t>
        </is>
      </c>
      <c r="AA576" s="3" t="n">
        <v>22161</v>
      </c>
      <c r="AB576" t="inlineStr">
        <is>
          <t>Сошлось по ночным тарифам</t>
        </is>
      </c>
      <c r="AC576" s="2" t="inlineStr"/>
      <c r="AD576" t="n">
        <v>4539</v>
      </c>
      <c r="AE576" t="n">
        <v>0</v>
      </c>
      <c r="AF576" t="inlineStr">
        <is>
          <t>Скидка добавлена к налоговой базе</t>
        </is>
      </c>
      <c r="AG576" t="n">
        <v>26700</v>
      </c>
      <c r="AH576" t="n">
        <v>22161</v>
      </c>
      <c r="AI576" t="inlineStr">
        <is>
          <t>Полное проживание в выбранном периоде</t>
        </is>
      </c>
    </row>
    <row r="577">
      <c r="A577" t="inlineStr">
        <is>
          <t>20260823-8186-458898583</t>
        </is>
      </c>
      <c r="B577" t="n">
        <v>1</v>
      </c>
      <c r="C577" s="2" t="inlineStr">
        <is>
          <t>Светлана Слепцова</t>
        </is>
      </c>
      <c r="D577" s="3" t="n">
        <v>6557</v>
      </c>
      <c r="E577" s="4" t="n">
        <v>18</v>
      </c>
      <c r="F577" t="inlineStr">
        <is>
          <t>Яндекс.Путешествия [Чайковский]</t>
        </is>
      </c>
      <c r="G577" s="3">
        <f>ROUND(D577/(100-E577)*100,2)</f>
        <v/>
      </c>
      <c r="H577" s="3" t="n">
        <v>0</v>
      </c>
      <c r="I577" s="3">
        <f>ROUND(IF(ISNUMBER(AG577),AG577,G577)+H577,2)</f>
        <v/>
      </c>
      <c r="J577" s="2" t="inlineStr">
        <is>
          <t>Завтрак "Шведский стол"</t>
        </is>
      </c>
      <c r="K577" s="5" t="n">
        <v>46257.58333333334</v>
      </c>
      <c r="L577" t="n">
        <v>1</v>
      </c>
      <c r="M577" s="3">
        <f>I577/L577</f>
        <v/>
      </c>
      <c r="N577">
        <f>IF(M577&gt;=5100,"ставка","мин.ставка")</f>
        <v/>
      </c>
      <c r="O577" s="3">
        <f>ROUND(IF(N577="мин.ставка",L577*100,I577/102*2),2)</f>
        <v/>
      </c>
      <c r="P577" s="5" t="n">
        <v>46258.5</v>
      </c>
      <c r="Q577" t="inlineStr">
        <is>
          <t>TravelLine YAX</t>
        </is>
      </c>
      <c r="R577" s="2" t="inlineStr">
        <is>
          <t>СТАНДАРТНЫЙ ДВУХМЕСТНЫЙ НОМЕР (МАНСАРДА)</t>
        </is>
      </c>
      <c r="S577" t="n">
        <v>41</v>
      </c>
      <c r="T577" t="n">
        <v>1</v>
      </c>
      <c r="U577" t="inlineStr"/>
      <c r="V577" t="inlineStr">
        <is>
          <t>Тариф с завтраком</t>
        </is>
      </c>
      <c r="W577" t="n">
        <v>6557</v>
      </c>
      <c r="X577" s="3" t="n">
        <v>1343</v>
      </c>
      <c r="Y577" t="inlineStr">
        <is>
          <t>17%</t>
        </is>
      </c>
      <c r="Z577" t="inlineStr">
        <is>
          <t>2026-08-23</t>
        </is>
      </c>
      <c r="AA577" s="3" t="n">
        <v>6557</v>
      </c>
      <c r="AB577" t="inlineStr">
        <is>
          <t>Сошлось по ночным тарифам</t>
        </is>
      </c>
      <c r="AC577" s="2" t="inlineStr"/>
      <c r="AD577" t="n">
        <v>1343</v>
      </c>
      <c r="AE577" t="n">
        <v>0</v>
      </c>
      <c r="AF577" t="inlineStr">
        <is>
          <t>Скидка добавлена к налоговой базе</t>
        </is>
      </c>
      <c r="AG577" t="n">
        <v>7900</v>
      </c>
      <c r="AH577" t="n">
        <v>6557</v>
      </c>
      <c r="AI577" t="inlineStr">
        <is>
          <t>Полное проживание в выбранном периоде</t>
        </is>
      </c>
    </row>
    <row r="578">
      <c r="A578" t="inlineStr">
        <is>
          <t>20260927-8186-461038134</t>
        </is>
      </c>
      <c r="B578" t="n">
        <v>1</v>
      </c>
      <c r="C578" s="2" t="inlineStr">
        <is>
          <t>Светлана Слепцова</t>
        </is>
      </c>
      <c r="D578" s="3" t="n">
        <v>6557</v>
      </c>
      <c r="E578" s="4" t="n">
        <v>18</v>
      </c>
      <c r="F578" t="inlineStr">
        <is>
          <t>Яндекс.Путешествия [Чайковский]</t>
        </is>
      </c>
      <c r="G578" s="3">
        <f>ROUND(D578/(100-E578)*100,2)</f>
        <v/>
      </c>
      <c r="H578" s="3" t="n">
        <v>0</v>
      </c>
      <c r="I578" s="3">
        <f>ROUND(IF(ISNUMBER(AG578),AG578,G578)+H578,2)</f>
        <v/>
      </c>
      <c r="J578" s="2" t="inlineStr">
        <is>
          <t>Завтрак "Шведский стол"</t>
        </is>
      </c>
      <c r="K578" s="5" t="n">
        <v>46292.58333333334</v>
      </c>
      <c r="L578" t="n">
        <v>1</v>
      </c>
      <c r="M578" s="3">
        <f>I578/L578</f>
        <v/>
      </c>
      <c r="N578">
        <f>IF(M578&gt;=5100,"ставка","мин.ставка")</f>
        <v/>
      </c>
      <c r="O578" s="3">
        <f>ROUND(IF(N578="мин.ставка",L578*100,I578/102*2),2)</f>
        <v/>
      </c>
      <c r="P578" s="5" t="n">
        <v>46293.5</v>
      </c>
      <c r="Q578" t="inlineStr">
        <is>
          <t>TravelLine YAX</t>
        </is>
      </c>
      <c r="R578" s="2" t="inlineStr">
        <is>
          <t>СТАНДАРТНЫЙ ДВУХМЕСТНЫЙ НОМЕР (МАНСАРДА)</t>
        </is>
      </c>
      <c r="S578" t="n">
        <v>43</v>
      </c>
      <c r="T578" t="n">
        <v>1</v>
      </c>
      <c r="U578" t="inlineStr"/>
      <c r="V578" t="inlineStr">
        <is>
          <t>Тариф с завтраком</t>
        </is>
      </c>
      <c r="W578" t="n">
        <v>6557</v>
      </c>
      <c r="X578" s="3" t="n">
        <v>1343</v>
      </c>
      <c r="Y578" t="inlineStr">
        <is>
          <t>17%</t>
        </is>
      </c>
      <c r="Z578" t="inlineStr">
        <is>
          <t>2026-09-27</t>
        </is>
      </c>
      <c r="AA578" s="3" t="n">
        <v>6557</v>
      </c>
      <c r="AB578" t="inlineStr">
        <is>
          <t>Сошлось по ночным тарифам</t>
        </is>
      </c>
      <c r="AC578" s="2" t="inlineStr"/>
      <c r="AD578" t="n">
        <v>1343</v>
      </c>
      <c r="AE578" t="n">
        <v>0</v>
      </c>
      <c r="AF578" t="inlineStr">
        <is>
          <t>Скидка добавлена к налоговой базе</t>
        </is>
      </c>
      <c r="AG578" t="n">
        <v>7900</v>
      </c>
      <c r="AH578" t="n">
        <v>6557</v>
      </c>
      <c r="AI578" t="inlineStr">
        <is>
          <t>Полное проживание в выбранном периоде</t>
        </is>
      </c>
    </row>
    <row r="579">
      <c r="A579" t="inlineStr">
        <is>
          <t>20260808-8186-411825729</t>
        </is>
      </c>
      <c r="B579" t="n">
        <v>1</v>
      </c>
      <c r="C579" s="2" t="inlineStr">
        <is>
          <t>Светлана Смирнова, Дмитрий Букатов</t>
        </is>
      </c>
      <c r="D579" s="3" t="n">
        <v>15840</v>
      </c>
      <c r="E579" s="4" t="n">
        <v>18</v>
      </c>
      <c r="F579" t="inlineStr">
        <is>
          <t>Яндекс.Путешествия [Чайковский]</t>
        </is>
      </c>
      <c r="G579" s="3">
        <f>ROUND(D579/(100-E579)*100,2)</f>
        <v/>
      </c>
      <c r="H579" s="3" t="n">
        <v>0</v>
      </c>
      <c r="I579" s="3">
        <f>ROUND(IF(ISNUMBER(AG579),AG579,G579)+H579,2)</f>
        <v/>
      </c>
      <c r="J579" s="2" t="inlineStr">
        <is>
          <t>Завтрак "Шведский стол"</t>
        </is>
      </c>
      <c r="K579" s="5" t="n">
        <v>46242.58333333334</v>
      </c>
      <c r="L579" t="n">
        <v>2</v>
      </c>
      <c r="M579" s="3">
        <f>I579/L579</f>
        <v/>
      </c>
      <c r="N579">
        <f>IF(M579&gt;=5100,"ставка","мин.ставка")</f>
        <v/>
      </c>
      <c r="O579" s="3">
        <f>ROUND(IF(N579="мин.ставка",L579*100,I579/102*2),2)</f>
        <v/>
      </c>
      <c r="P579" s="5" t="n">
        <v>46244.5</v>
      </c>
      <c r="Q579" t="inlineStr">
        <is>
          <t>TravelLine YAX</t>
        </is>
      </c>
      <c r="R579" s="2" t="inlineStr">
        <is>
          <t>СТАНДАРТНЫЙ ДВУХМЕСТНЫЙ НОМЕР (МАНСАРДА)</t>
        </is>
      </c>
      <c r="S579" t="n">
        <v>45</v>
      </c>
      <c r="T579" t="n">
        <v>1</v>
      </c>
      <c r="U579" t="inlineStr"/>
      <c r="V579" t="inlineStr">
        <is>
          <t>Тариф с завтраком</t>
        </is>
      </c>
      <c r="W579" t="n">
        <v>15840</v>
      </c>
      <c r="X579" s="3" t="n">
        <v>3960</v>
      </c>
      <c r="Y579" t="inlineStr">
        <is>
          <t>20%</t>
        </is>
      </c>
      <c r="Z579" t="inlineStr">
        <is>
          <t>2026-08-08, 2026-08-09</t>
        </is>
      </c>
      <c r="AA579" s="3" t="n">
        <v>15840</v>
      </c>
      <c r="AB579" t="inlineStr">
        <is>
          <t>Сошлось по ночным тарифам</t>
        </is>
      </c>
      <c r="AC579" s="2" t="inlineStr"/>
      <c r="AD579" t="n">
        <v>3960</v>
      </c>
      <c r="AE579" t="n">
        <v>0</v>
      </c>
      <c r="AF579" t="inlineStr">
        <is>
          <t>Скидка добавлена к налоговой базе</t>
        </is>
      </c>
      <c r="AG579" t="n">
        <v>19800</v>
      </c>
      <c r="AH579" t="n">
        <v>15840</v>
      </c>
      <c r="AI579" t="inlineStr">
        <is>
          <t>Полное проживание в выбранном периоде</t>
        </is>
      </c>
    </row>
    <row r="580">
      <c r="A580" t="inlineStr">
        <is>
          <t>20260928-8186-464218932</t>
        </is>
      </c>
      <c r="B580" t="n">
        <v>1</v>
      </c>
      <c r="C580" s="2" t="inlineStr">
        <is>
          <t>Светлана Федорова, Лев Родин</t>
        </is>
      </c>
      <c r="D580" s="3" t="n">
        <v>14850</v>
      </c>
      <c r="E580" s="4" t="n">
        <v>18</v>
      </c>
      <c r="F580" t="inlineStr">
        <is>
          <t>Яндекс.Путешествия [Чайковский]</t>
        </is>
      </c>
      <c r="G580" s="3">
        <f>ROUND(D580/(100-E580)*100,2)</f>
        <v/>
      </c>
      <c r="H580" s="3" t="n">
        <v>0</v>
      </c>
      <c r="I580" s="3">
        <f>ROUND(IF(ISNUMBER(AG580),AG580,G580)+H580,2)</f>
        <v/>
      </c>
      <c r="J580" s="2" t="inlineStr">
        <is>
          <t>Завтрак "Шведский стол"</t>
        </is>
      </c>
      <c r="K580" s="5" t="n">
        <v>46293.58333333334</v>
      </c>
      <c r="L580" t="n">
        <v>2</v>
      </c>
      <c r="M580" s="3">
        <f>I580/L580</f>
        <v/>
      </c>
      <c r="N580">
        <f>IF(M580&gt;=5100,"ставка","мин.ставка")</f>
        <v/>
      </c>
      <c r="O580" s="3">
        <f>ROUND(IF(N580="мин.ставка",L580*100,I580/102*2),2)</f>
        <v/>
      </c>
      <c r="P580" s="5" t="n">
        <v>46295.5</v>
      </c>
      <c r="Q580" t="inlineStr">
        <is>
          <t>TravelLine YAX</t>
        </is>
      </c>
      <c r="R580" s="2" t="inlineStr">
        <is>
          <t>СТАНДАРТНЫЙ ДВУХМЕСТНЫЙ НОМЕР (МАНСАРДА)</t>
        </is>
      </c>
      <c r="S580" t="n">
        <v>41</v>
      </c>
      <c r="T580" t="n">
        <v>1</v>
      </c>
      <c r="U580" t="inlineStr"/>
      <c r="V580" t="inlineStr">
        <is>
          <t>Тариф с завтраком</t>
        </is>
      </c>
      <c r="W580" t="n">
        <v>14850</v>
      </c>
      <c r="X580" s="3" t="n">
        <v>4950</v>
      </c>
      <c r="Y580" t="inlineStr">
        <is>
          <t>25%</t>
        </is>
      </c>
      <c r="Z580" t="inlineStr">
        <is>
          <t>2026-09-28, 2026-09-29</t>
        </is>
      </c>
      <c r="AA580" s="3" t="n">
        <v>14850</v>
      </c>
      <c r="AB580" t="inlineStr">
        <is>
          <t>Сошлось по ночным тарифам</t>
        </is>
      </c>
      <c r="AC580" s="2" t="inlineStr"/>
      <c r="AD580" t="n">
        <v>4950</v>
      </c>
      <c r="AE580" t="n">
        <v>0</v>
      </c>
      <c r="AF580" t="inlineStr">
        <is>
          <t>Скидка добавлена к налоговой базе</t>
        </is>
      </c>
      <c r="AG580" t="n">
        <v>19800</v>
      </c>
      <c r="AH580" t="n">
        <v>14850</v>
      </c>
      <c r="AI580" t="inlineStr">
        <is>
          <t>Полное проживание в выбранном периоде</t>
        </is>
      </c>
    </row>
    <row r="581">
      <c r="A581" t="inlineStr">
        <is>
          <t>20260901-8186-461767094</t>
        </is>
      </c>
      <c r="B581" t="n">
        <v>1</v>
      </c>
      <c r="C581" s="2" t="inlineStr">
        <is>
          <t>Светлана Четверткова, Ксения Четверткова</t>
        </is>
      </c>
      <c r="D581" s="3" t="n">
        <v>39600</v>
      </c>
      <c r="E581" s="4" t="n">
        <v>20</v>
      </c>
      <c r="F581" t="inlineStr">
        <is>
          <t>ООО «Дубль Гис» (OTELLO) [Чайковский]</t>
        </is>
      </c>
      <c r="G581" s="3">
        <f>ROUND(D581/(100-E581)*100,2)</f>
        <v/>
      </c>
      <c r="H581" s="3" t="n">
        <v>0</v>
      </c>
      <c r="I581" s="3">
        <f>ROUND(IF(ISNUMBER(AG581),AG581,G581)+H581,2)</f>
        <v/>
      </c>
      <c r="J581" s="2" t="inlineStr">
        <is>
          <t>Завтрак "Шведский стол"</t>
        </is>
      </c>
      <c r="K581" s="5" t="n">
        <v>46266.58333333334</v>
      </c>
      <c r="L581" t="n">
        <v>3</v>
      </c>
      <c r="M581" s="3">
        <f>I581/L581</f>
        <v/>
      </c>
      <c r="N581">
        <f>IF(M581&gt;=5100,"ставка","мин.ставка")</f>
        <v/>
      </c>
      <c r="O581" s="3">
        <f>ROUND(IF(N581="мин.ставка",L581*100,I581/102*2),2)</f>
        <v/>
      </c>
      <c r="P581" s="5" t="n">
        <v>46269.5</v>
      </c>
      <c r="Q581" t="inlineStr">
        <is>
          <t>TravelLine OL2</t>
        </is>
      </c>
      <c r="R581" s="2" t="inlineStr">
        <is>
          <t>ПОЛУЛЮКС</t>
        </is>
      </c>
      <c r="S581" t="n">
        <v>25</v>
      </c>
      <c r="T581" t="n">
        <v>1</v>
      </c>
      <c r="U581" t="inlineStr"/>
      <c r="V581" t="inlineStr">
        <is>
          <t>Тариф с завтраком</t>
        </is>
      </c>
      <c r="W581" t="n">
        <v>39600</v>
      </c>
      <c r="X581" s="3" t="n">
        <v>9900</v>
      </c>
      <c r="Y581" t="inlineStr">
        <is>
          <t>20%</t>
        </is>
      </c>
      <c r="Z581" t="inlineStr">
        <is>
          <t>2026-09-01, 2026-09-02, 2026-09-03</t>
        </is>
      </c>
      <c r="AA581" s="3" t="n">
        <v>39600</v>
      </c>
      <c r="AB581" t="inlineStr">
        <is>
          <t>Сошлось по ночным тарифам</t>
        </is>
      </c>
      <c r="AC581" s="2" t="inlineStr"/>
      <c r="AD581" t="n">
        <v>9900</v>
      </c>
      <c r="AE581" t="n">
        <v>0</v>
      </c>
      <c r="AF581" t="inlineStr">
        <is>
          <t>Скидка добавлена к налоговой базе</t>
        </is>
      </c>
      <c r="AG581" t="n">
        <v>49500</v>
      </c>
      <c r="AH581" t="n">
        <v>39600</v>
      </c>
      <c r="AI581" t="inlineStr">
        <is>
          <t>Полное проживание в выбранном периоде</t>
        </is>
      </c>
    </row>
    <row r="582">
      <c r="A582" t="inlineStr">
        <is>
          <t>20260718-8186-450585289</t>
        </is>
      </c>
      <c r="B582" t="n">
        <v>1</v>
      </c>
      <c r="C582" s="2" t="inlineStr">
        <is>
          <t>Святослав Семенов</t>
        </is>
      </c>
      <c r="D582" s="3" t="n">
        <v>10115</v>
      </c>
      <c r="E582" s="4" t="n">
        <v>15</v>
      </c>
      <c r="F582" t="inlineStr">
        <is>
          <t>ООО Тинькофф Путешествия [Чайковский]</t>
        </is>
      </c>
      <c r="G582" s="3">
        <f>ROUND(D582/(100-E582)*100,2)</f>
        <v/>
      </c>
      <c r="H582" s="3" t="n">
        <v>0</v>
      </c>
      <c r="I582" s="3">
        <f>ROUND(IF(ISNUMBER(AG582),AG582,G582)+H582,2)</f>
        <v/>
      </c>
      <c r="J582" s="2" t="inlineStr"/>
      <c r="K582" s="5" t="n">
        <v>46221.58333333334</v>
      </c>
      <c r="L582" t="n">
        <v>1</v>
      </c>
      <c r="M582" s="3">
        <f>I582/L582</f>
        <v/>
      </c>
      <c r="N582">
        <f>IF(M582&gt;=5100,"ставка","мин.ставка")</f>
        <v/>
      </c>
      <c r="O582" s="3">
        <f>ROUND(IF(N582="мин.ставка",L582*100,I582/102*2),2)</f>
        <v/>
      </c>
      <c r="P582" s="5" t="n">
        <v>46222.5</v>
      </c>
      <c r="Q582" t="inlineStr">
        <is>
          <t>TravelLine TNK</t>
        </is>
      </c>
      <c r="R582" s="2" t="inlineStr">
        <is>
          <t>УЛУЧШЕННЫЙ ДВУХМЕСТНЫЙ НОМЕР</t>
        </is>
      </c>
      <c r="S582" t="n">
        <v>31</v>
      </c>
      <c r="T582" t="n">
        <v>1</v>
      </c>
      <c r="U582" t="inlineStr"/>
      <c r="V582" t="inlineStr">
        <is>
          <t>Основной тариф без завтрака</t>
        </is>
      </c>
      <c r="W582" t="n">
        <v>10115</v>
      </c>
      <c r="X582" s="3" t="n">
        <v>1785</v>
      </c>
      <c r="Y582" t="inlineStr">
        <is>
          <t>15%</t>
        </is>
      </c>
      <c r="Z582" t="inlineStr">
        <is>
          <t>2026-07-18</t>
        </is>
      </c>
      <c r="AA582" s="3" t="n">
        <v>10115</v>
      </c>
      <c r="AB582" t="inlineStr">
        <is>
          <t>Сошлось по ночным тарифам</t>
        </is>
      </c>
      <c r="AC582" s="2" t="inlineStr"/>
      <c r="AD582" t="n">
        <v>1785</v>
      </c>
      <c r="AE582" t="n">
        <v>0</v>
      </c>
      <c r="AF582" t="inlineStr">
        <is>
          <t>Скидка добавлена к налоговой базе</t>
        </is>
      </c>
      <c r="AG582" t="n">
        <v>11900</v>
      </c>
      <c r="AH582" t="n">
        <v>10115</v>
      </c>
      <c r="AI582" t="inlineStr">
        <is>
          <t>Полное проживание в выбранном периоде</t>
        </is>
      </c>
    </row>
    <row r="583">
      <c r="A583" t="inlineStr">
        <is>
          <t>20260720-8186-434464061</t>
        </is>
      </c>
      <c r="B583" t="n">
        <v>1</v>
      </c>
      <c r="C583" s="2" t="inlineStr">
        <is>
          <t>СЕВДА МАМЕДОВА, РОМАН МЕЖОВ</t>
        </is>
      </c>
      <c r="D583" s="3" t="n">
        <v>66000</v>
      </c>
      <c r="E583" s="4" t="n">
        <v>20</v>
      </c>
      <c r="F583" t="inlineStr">
        <is>
          <t>ООО "ХБ-ПРО" [Чайковский]</t>
        </is>
      </c>
      <c r="G583" s="3">
        <f>ROUND(D583/(100-E583)*100,2)</f>
        <v/>
      </c>
      <c r="H583" s="3" t="n">
        <v>8250</v>
      </c>
      <c r="I583" s="3">
        <f>ROUND(IF(ISNUMBER(AG583),AG583,G583)+H583,2)</f>
        <v/>
      </c>
      <c r="J583" s="2" t="inlineStr">
        <is>
          <t>продление номера — 8 250,00 ₽; Завтрак "Шведский стол"</t>
        </is>
      </c>
      <c r="K583" s="5" t="n">
        <v>46223.58333333334</v>
      </c>
      <c r="L583" t="n">
        <v>5</v>
      </c>
      <c r="M583" s="3">
        <f>I583/L583</f>
        <v/>
      </c>
      <c r="N583">
        <f>IF(M583&gt;=5100,"ставка","мин.ставка")</f>
        <v/>
      </c>
      <c r="O583" s="3">
        <f>ROUND(IF(N583="мин.ставка",L583*100,I583/102*2),2)</f>
        <v/>
      </c>
      <c r="P583" s="5" t="n">
        <v>46228.75</v>
      </c>
      <c r="Q583" t="inlineStr">
        <is>
          <t>TravelLine UTS</t>
        </is>
      </c>
      <c r="R583" s="2" t="inlineStr">
        <is>
          <t>ПОЛУЛЮКС</t>
        </is>
      </c>
      <c r="S583" t="n">
        <v>35</v>
      </c>
      <c r="T583" t="n">
        <v>1</v>
      </c>
      <c r="U583" t="inlineStr"/>
      <c r="V583" t="inlineStr">
        <is>
          <t>Тариф с завтраком</t>
        </is>
      </c>
      <c r="W583" t="n">
        <v>74250</v>
      </c>
      <c r="X583" s="3" t="n">
        <v>0</v>
      </c>
      <c r="Y583" t="inlineStr"/>
      <c r="Z583" t="inlineStr"/>
      <c r="AA583" s="3" t="n">
        <v>66000</v>
      </c>
      <c r="AB583" t="inlineStr">
        <is>
          <t>Сошлось с услугами</t>
        </is>
      </c>
      <c r="AC583" s="2" t="inlineStr"/>
      <c r="AD583" t="n">
        <v>0</v>
      </c>
      <c r="AE583" t="n">
        <v>0</v>
      </c>
      <c r="AF583" t="inlineStr">
        <is>
          <t>Скидки нет</t>
        </is>
      </c>
      <c r="AG583" t="n">
        <v>66000</v>
      </c>
      <c r="AH583" t="n">
        <v>66000</v>
      </c>
      <c r="AI583" t="inlineStr">
        <is>
          <t>Полное проживание в выбранном периоде</t>
        </is>
      </c>
    </row>
    <row r="584">
      <c r="A584" t="inlineStr">
        <is>
          <t>20260816-8186-457807232</t>
        </is>
      </c>
      <c r="B584" t="n">
        <v>1</v>
      </c>
      <c r="C584" s="2" t="inlineStr">
        <is>
          <t>Семен Влах, Екатерина Суханова</t>
        </is>
      </c>
      <c r="D584" s="3" t="n">
        <v>32752.5</v>
      </c>
      <c r="E584" s="4" t="n">
        <v>4</v>
      </c>
      <c r="F584" t="inlineStr">
        <is>
          <t>TravelLine Booking Engine [Чайковский]</t>
        </is>
      </c>
      <c r="G584" s="3">
        <f>ROUND(D584/(100-E584)*100,2)</f>
        <v/>
      </c>
      <c r="H584" s="3" t="n">
        <v>300</v>
      </c>
      <c r="I584" s="3">
        <f>ROUND(IF(ISNUMBER(AG584),AG584,G584)+H584,2)</f>
        <v/>
      </c>
      <c r="J584" s="2" t="inlineStr">
        <is>
          <t>продление номера — 300,00 ₽; Завтрак "Шведский стол"</t>
        </is>
      </c>
      <c r="K584" s="5" t="n">
        <v>46250.58333333334</v>
      </c>
      <c r="L584" t="n">
        <v>2</v>
      </c>
      <c r="M584" s="3">
        <f>I584/L584</f>
        <v/>
      </c>
      <c r="N584">
        <f>IF(M584&gt;=5100,"ставка","мин.ставка")</f>
        <v/>
      </c>
      <c r="O584" s="3">
        <f>ROUND(IF(N584="мин.ставка",L584*100,I584/102*2),2)</f>
        <v/>
      </c>
      <c r="P584" s="5" t="n">
        <v>46252.5</v>
      </c>
      <c r="Q584" t="inlineStr">
        <is>
          <t>TravelLine сайт</t>
        </is>
      </c>
      <c r="R584" s="2" t="inlineStr">
        <is>
          <t>ПОЛУЛЮКС</t>
        </is>
      </c>
      <c r="S584" t="n">
        <v>35</v>
      </c>
      <c r="T584" t="n">
        <v>1</v>
      </c>
      <c r="U584" t="inlineStr"/>
      <c r="V584" t="inlineStr">
        <is>
          <t>Тариф с завтраком</t>
        </is>
      </c>
      <c r="W584" t="n">
        <v>33052.5</v>
      </c>
      <c r="X584" s="3" t="n">
        <v>247.5</v>
      </c>
      <c r="Y584" t="inlineStr">
        <is>
          <t>1.5%</t>
        </is>
      </c>
      <c r="Z584" t="inlineStr">
        <is>
          <t>2026-08-16</t>
        </is>
      </c>
      <c r="AA584" s="3" t="n">
        <v>32752.5</v>
      </c>
      <c r="AB584" t="inlineStr">
        <is>
          <t>Сошлось с услугами</t>
        </is>
      </c>
      <c r="AC584" s="2" t="inlineStr"/>
      <c r="AD584" t="n">
        <v>247.5</v>
      </c>
      <c r="AE584" t="n">
        <v>0</v>
      </c>
      <c r="AF584" t="inlineStr">
        <is>
          <t>Скидка добавлена к налоговой базе</t>
        </is>
      </c>
      <c r="AG584" t="n">
        <v>33000</v>
      </c>
      <c r="AH584" t="n">
        <v>32752.5</v>
      </c>
      <c r="AI584" t="inlineStr">
        <is>
          <t>Полное проживание в выбранном периоде</t>
        </is>
      </c>
    </row>
    <row r="585">
      <c r="A585" t="inlineStr">
        <is>
          <t>20260915-8186-434150224</t>
        </is>
      </c>
      <c r="B585" t="n">
        <v>1</v>
      </c>
      <c r="C585" s="2" t="inlineStr">
        <is>
          <t>Семен Гурьев</t>
        </is>
      </c>
      <c r="D585" s="3" t="n">
        <v>19635</v>
      </c>
      <c r="E585" s="4" t="n">
        <v>15</v>
      </c>
      <c r="F585" t="inlineStr">
        <is>
          <t>ООО "АКАДЕМ-ОНЛАЙН" [Чайковский]</t>
        </is>
      </c>
      <c r="G585" s="3">
        <f>ROUND(D585/(100-E585)*100,2)</f>
        <v/>
      </c>
      <c r="H585" s="3" t="n">
        <v>0</v>
      </c>
      <c r="I585" s="3">
        <f>ROUND(IF(ISNUMBER(AG585),AG585,G585)+H585,2)</f>
        <v/>
      </c>
      <c r="J585" s="2" t="inlineStr">
        <is>
          <t>Завтрак "Шведский стол"</t>
        </is>
      </c>
      <c r="K585" s="5" t="n">
        <v>46280.58333333334</v>
      </c>
      <c r="L585" t="n">
        <v>3</v>
      </c>
      <c r="M585" s="3">
        <f>I585/L585</f>
        <v/>
      </c>
      <c r="N585">
        <f>IF(M585&gt;=5100,"ставка","мин.ставка")</f>
        <v/>
      </c>
      <c r="O585" s="3">
        <f>ROUND(IF(N585="мин.ставка",L585*100,I585/102*2),2)</f>
        <v/>
      </c>
      <c r="P585" s="5" t="n">
        <v>46283.5</v>
      </c>
      <c r="Q585" t="inlineStr">
        <is>
          <t>TravelLine ACS</t>
        </is>
      </c>
      <c r="R585" s="2" t="inlineStr">
        <is>
          <t>СТАНДАРТНЫЙ ОДНОМЕСТНЫЙ НОМЕР</t>
        </is>
      </c>
      <c r="S585" t="n">
        <v>24</v>
      </c>
      <c r="T585" t="n">
        <v>1</v>
      </c>
      <c r="U585" t="inlineStr"/>
      <c r="V585" t="inlineStr">
        <is>
          <t>Тариф с завтраком</t>
        </is>
      </c>
      <c r="W585" t="n">
        <v>19635</v>
      </c>
      <c r="X585" s="3" t="n">
        <v>3465</v>
      </c>
      <c r="Y585" t="inlineStr">
        <is>
          <t>15%</t>
        </is>
      </c>
      <c r="Z585" t="inlineStr">
        <is>
          <t>2026-09-15, 2026-09-16, 2026-09-17</t>
        </is>
      </c>
      <c r="AA585" s="3" t="n">
        <v>19635</v>
      </c>
      <c r="AB585" t="inlineStr">
        <is>
          <t>Сошлось по ночным тарифам</t>
        </is>
      </c>
      <c r="AC585" s="2" t="inlineStr"/>
      <c r="AD585" t="n">
        <v>3465</v>
      </c>
      <c r="AE585" t="n">
        <v>0</v>
      </c>
      <c r="AF585" t="inlineStr">
        <is>
          <t>Скидка добавлена к налоговой базе</t>
        </is>
      </c>
      <c r="AG585" t="n">
        <v>23100</v>
      </c>
      <c r="AH585" t="n">
        <v>19635</v>
      </c>
      <c r="AI585" t="inlineStr">
        <is>
          <t>Полное проживание в выбранном периоде</t>
        </is>
      </c>
    </row>
    <row r="586">
      <c r="A586" t="inlineStr">
        <is>
          <t>20260802-8186-429074020</t>
        </is>
      </c>
      <c r="B586" t="n">
        <v>1</v>
      </c>
      <c r="C586" s="2" t="inlineStr">
        <is>
          <t>Семен Клямкин, ЕЛЕНА МЕЩЕРЯКОВА</t>
        </is>
      </c>
      <c r="D586" s="3" t="n">
        <v>56737.5</v>
      </c>
      <c r="E586" s="4" t="n">
        <v>20</v>
      </c>
      <c r="F586" t="inlineStr">
        <is>
          <t>ООО «Дубль Гис» (OTELLO) [Чайковский]</t>
        </is>
      </c>
      <c r="G586" s="3">
        <f>ROUND(D586/(100-E586)*100,2)</f>
        <v/>
      </c>
      <c r="H586" s="3" t="n">
        <v>0</v>
      </c>
      <c r="I586" s="3">
        <f>ROUND(IF(ISNUMBER(AG586),AG586,G586)+H586,2)</f>
        <v/>
      </c>
      <c r="J586" s="2" t="inlineStr">
        <is>
          <t>Завтрак "Шведский стол"</t>
        </is>
      </c>
      <c r="K586" s="5" t="n">
        <v>46236.58333333334</v>
      </c>
      <c r="L586" t="n">
        <v>5</v>
      </c>
      <c r="M586" s="3">
        <f>I586/L586</f>
        <v/>
      </c>
      <c r="N586">
        <f>IF(M586&gt;=5100,"ставка","мин.ставка")</f>
        <v/>
      </c>
      <c r="O586" s="3">
        <f>ROUND(IF(N586="мин.ставка",L586*100,I586/102*2),2)</f>
        <v/>
      </c>
      <c r="P586" s="5" t="n">
        <v>46241.5</v>
      </c>
      <c r="Q586" t="inlineStr">
        <is>
          <t>TravelLine OL2</t>
        </is>
      </c>
      <c r="R586" s="2" t="inlineStr">
        <is>
          <t>СТАНДАРТНЫЙ ДВУХМЕСТНЫЙ НОМЕР</t>
        </is>
      </c>
      <c r="S586" t="n">
        <v>32</v>
      </c>
      <c r="T586" t="n">
        <v>1</v>
      </c>
      <c r="U586" t="inlineStr"/>
      <c r="V586" t="inlineStr">
        <is>
          <t>Тариф с завтраком</t>
        </is>
      </c>
      <c r="W586" t="n">
        <v>113475</v>
      </c>
      <c r="X586" s="3" t="n">
        <v>10012.5</v>
      </c>
      <c r="Y586" t="inlineStr">
        <is>
          <t>15%</t>
        </is>
      </c>
      <c r="Z586" t="inlineStr">
        <is>
          <t>2026-08-02, 2026-08-03, 2026-08-04, 2026-08-05, 2026-08-06</t>
        </is>
      </c>
      <c r="AA586" s="3" t="n">
        <v>56737.5</v>
      </c>
      <c r="AB586" t="inlineStr">
        <is>
          <t>Сошлось по ночным тарифам</t>
        </is>
      </c>
      <c r="AC586" s="2" t="inlineStr"/>
      <c r="AD586" t="n">
        <v>10012.5</v>
      </c>
      <c r="AE586" t="n">
        <v>0</v>
      </c>
      <c r="AF586" t="inlineStr">
        <is>
          <t>Скидка добавлена к налоговой базе</t>
        </is>
      </c>
      <c r="AG586" t="n">
        <v>66750</v>
      </c>
      <c r="AH586" t="n">
        <v>56737.5</v>
      </c>
      <c r="AI586" t="inlineStr">
        <is>
          <t>Полное проживание в выбранном периоде</t>
        </is>
      </c>
    </row>
    <row r="587">
      <c r="A587" t="inlineStr">
        <is>
          <t>20260922-8186-464618227</t>
        </is>
      </c>
      <c r="B587" t="n">
        <v>1</v>
      </c>
      <c r="C587" s="2" t="inlineStr">
        <is>
          <t>Сергей Иванов, Юлия Иванова</t>
        </is>
      </c>
      <c r="D587" s="3" t="n">
        <v>20025</v>
      </c>
      <c r="E587" s="4" t="n">
        <v>18</v>
      </c>
      <c r="F587" t="inlineStr">
        <is>
          <t>Яндекс.Путешествия [Чайковский]</t>
        </is>
      </c>
      <c r="G587" s="3">
        <f>ROUND(D587/(100-E587)*100,2)</f>
        <v/>
      </c>
      <c r="H587" s="3" t="n">
        <v>0</v>
      </c>
      <c r="I587" s="3">
        <f>ROUND(IF(ISNUMBER(AG587),AG587,G587)+H587,2)</f>
        <v/>
      </c>
      <c r="J587" s="2" t="inlineStr">
        <is>
          <t>Завтрак "Шведский стол"</t>
        </is>
      </c>
      <c r="K587" s="5" t="n">
        <v>46287.58333333334</v>
      </c>
      <c r="L587" t="n">
        <v>2</v>
      </c>
      <c r="M587" s="3">
        <f>I587/L587</f>
        <v/>
      </c>
      <c r="N587">
        <f>IF(M587&gt;=5100,"ставка","мин.ставка")</f>
        <v/>
      </c>
      <c r="O587" s="3">
        <f>ROUND(IF(N587="мин.ставка",L587*100,I587/102*2),2)</f>
        <v/>
      </c>
      <c r="P587" s="5" t="n">
        <v>46289.5</v>
      </c>
      <c r="Q587" t="inlineStr">
        <is>
          <t>TravelLine YAX</t>
        </is>
      </c>
      <c r="R587" s="2" t="inlineStr">
        <is>
          <t>СТАНДАРТНЫЙ ДВУХМЕСТНЫЙ НОМЕР</t>
        </is>
      </c>
      <c r="S587" t="n">
        <v>22</v>
      </c>
      <c r="T587" t="n">
        <v>1</v>
      </c>
      <c r="U587" t="inlineStr"/>
      <c r="V587" t="inlineStr">
        <is>
          <t>Тариф с завтраком</t>
        </is>
      </c>
      <c r="W587" t="n">
        <v>20025</v>
      </c>
      <c r="X587" s="3" t="n">
        <v>6675</v>
      </c>
      <c r="Y587" t="inlineStr">
        <is>
          <t>25%</t>
        </is>
      </c>
      <c r="Z587" t="inlineStr">
        <is>
          <t>2026-09-22, 2026-09-23</t>
        </is>
      </c>
      <c r="AA587" s="3" t="n">
        <v>20025</v>
      </c>
      <c r="AB587" t="inlineStr">
        <is>
          <t>Сошлось по ночным тарифам</t>
        </is>
      </c>
      <c r="AC587" s="2" t="inlineStr"/>
      <c r="AD587" t="n">
        <v>6675</v>
      </c>
      <c r="AE587" t="n">
        <v>0</v>
      </c>
      <c r="AF587" t="inlineStr">
        <is>
          <t>Скидка добавлена к налоговой базе</t>
        </is>
      </c>
      <c r="AG587" t="n">
        <v>26700</v>
      </c>
      <c r="AH587" t="n">
        <v>20025</v>
      </c>
      <c r="AI587" t="inlineStr">
        <is>
          <t>Полное проживание в выбранном периоде</t>
        </is>
      </c>
    </row>
    <row r="588">
      <c r="A588" t="inlineStr">
        <is>
          <t>20260720-8186-450544842</t>
        </is>
      </c>
      <c r="B588" t="n">
        <v>1</v>
      </c>
      <c r="C588" s="2" t="inlineStr">
        <is>
          <t>СЕРГЕЙ КИРИЛИХИН</t>
        </is>
      </c>
      <c r="D588" s="3" t="n">
        <v>11390</v>
      </c>
      <c r="E588" s="4" t="n">
        <v>15</v>
      </c>
      <c r="F588" t="inlineStr">
        <is>
          <t>ООО "БРОНИРОВАНИЕ ГОСТИНИЦ" (OSTROVOK) [Чайковский]</t>
        </is>
      </c>
      <c r="G588" s="3">
        <f>ROUND(D588/(100-E588)*100,2)</f>
        <v/>
      </c>
      <c r="H588" s="3" t="n">
        <v>0</v>
      </c>
      <c r="I588" s="3">
        <f>ROUND(IF(ISNUMBER(AG588),AG588,G588)+H588,2)</f>
        <v/>
      </c>
      <c r="J588" s="2" t="inlineStr">
        <is>
          <t>Завтрак "Шведский стол"</t>
        </is>
      </c>
      <c r="K588" s="5" t="n">
        <v>46223.58333333334</v>
      </c>
      <c r="L588" t="n">
        <v>1</v>
      </c>
      <c r="M588" s="3">
        <f>I588/L588</f>
        <v/>
      </c>
      <c r="N588">
        <f>IF(M588&gt;=5100,"ставка","мин.ставка")</f>
        <v/>
      </c>
      <c r="O588" s="3">
        <f>ROUND(IF(N588="мин.ставка",L588*100,I588/102*2),2)</f>
        <v/>
      </c>
      <c r="P588" s="5" t="n">
        <v>46224.5</v>
      </c>
      <c r="Q588" t="inlineStr">
        <is>
          <t>TravelLine OTK</t>
        </is>
      </c>
      <c r="R588" s="2" t="inlineStr">
        <is>
          <t>УЛУЧШЕННЫЙ ДВУХМЕСТНЫЙ НОМЕР</t>
        </is>
      </c>
      <c r="S588" t="n">
        <v>21</v>
      </c>
      <c r="T588" t="n">
        <v>1</v>
      </c>
      <c r="U588" t="inlineStr"/>
      <c r="V588" t="inlineStr">
        <is>
          <t>Тариф с завтраком</t>
        </is>
      </c>
      <c r="W588" t="n">
        <v>11390</v>
      </c>
      <c r="X588" s="3" t="n">
        <v>2010</v>
      </c>
      <c r="Y588" t="inlineStr">
        <is>
          <t>15%</t>
        </is>
      </c>
      <c r="Z588" t="inlineStr">
        <is>
          <t>2026-07-20</t>
        </is>
      </c>
      <c r="AA588" s="3" t="n">
        <v>11390</v>
      </c>
      <c r="AB588" t="inlineStr">
        <is>
          <t>Сошлось по ночным тарифам</t>
        </is>
      </c>
      <c r="AC588" s="2" t="inlineStr"/>
      <c r="AD588" t="n">
        <v>2010</v>
      </c>
      <c r="AE588" t="n">
        <v>0</v>
      </c>
      <c r="AF588" t="inlineStr">
        <is>
          <t>Скидка добавлена к налоговой базе</t>
        </is>
      </c>
      <c r="AG588" t="n">
        <v>13400</v>
      </c>
      <c r="AH588" t="n">
        <v>11390</v>
      </c>
      <c r="AI588" t="inlineStr">
        <is>
          <t>Полное проживание в выбранном периоде</t>
        </is>
      </c>
    </row>
    <row r="589">
      <c r="A589" t="inlineStr">
        <is>
          <t>20260801-8186-454949220</t>
        </is>
      </c>
      <c r="B589" t="n">
        <v>1</v>
      </c>
      <c r="C589" s="2" t="inlineStr">
        <is>
          <t>СЕРГЕЙ КОРЧИН</t>
        </is>
      </c>
      <c r="D589" s="3" t="n">
        <v>26180</v>
      </c>
      <c r="E589" s="4" t="n">
        <v>16</v>
      </c>
      <c r="F589" t="inlineStr">
        <is>
          <t>ООО "БРОНИРОВАНИЕ ГОСТИНИЦ" (OSTROVOK) [Чайковский]</t>
        </is>
      </c>
      <c r="G589" s="3">
        <f>ROUND(D589/(100-E589)*100,2)</f>
        <v/>
      </c>
      <c r="H589" s="3" t="n">
        <v>0</v>
      </c>
      <c r="I589" s="3">
        <f>ROUND(IF(ISNUMBER(AG589),AG589,G589)+H589,2)</f>
        <v/>
      </c>
      <c r="J589" s="2" t="inlineStr">
        <is>
          <t>Завтрак "Шведский стол"</t>
        </is>
      </c>
      <c r="K589" s="5" t="n">
        <v>46235.58333333334</v>
      </c>
      <c r="L589" t="n">
        <v>4</v>
      </c>
      <c r="M589" s="3">
        <f>I589/L589</f>
        <v/>
      </c>
      <c r="N589">
        <f>IF(M589&gt;=5100,"ставка","мин.ставка")</f>
        <v/>
      </c>
      <c r="O589" s="3">
        <f>ROUND(IF(N589="мин.ставка",L589*100,I589/102*2),2)</f>
        <v/>
      </c>
      <c r="P589" s="5" t="n">
        <v>46239.5</v>
      </c>
      <c r="Q589" t="inlineStr">
        <is>
          <t>TravelLine OTK</t>
        </is>
      </c>
      <c r="R589" s="2" t="inlineStr">
        <is>
          <t>СТАНДАРТНЫЙ ОДНОМЕСТНЫЙ НОМЕР</t>
        </is>
      </c>
      <c r="S589" t="n">
        <v>34</v>
      </c>
      <c r="T589" t="n">
        <v>1</v>
      </c>
      <c r="U589" t="inlineStr"/>
      <c r="V589" t="inlineStr">
        <is>
          <t>Тариф с завтраком</t>
        </is>
      </c>
      <c r="W589" t="n">
        <v>26180</v>
      </c>
      <c r="X589" s="3" t="n">
        <v>4620</v>
      </c>
      <c r="Y589" t="inlineStr">
        <is>
          <t>15%</t>
        </is>
      </c>
      <c r="Z589" t="inlineStr">
        <is>
          <t>2026-08-01, 2026-08-02, 2026-08-03, 2026-08-04</t>
        </is>
      </c>
      <c r="AA589" s="3" t="n">
        <v>26180</v>
      </c>
      <c r="AB589" t="inlineStr">
        <is>
          <t>Сошлось по ночным тарифам</t>
        </is>
      </c>
      <c r="AC589" s="2" t="inlineStr"/>
      <c r="AD589" t="n">
        <v>4620</v>
      </c>
      <c r="AE589" t="n">
        <v>0</v>
      </c>
      <c r="AF589" t="inlineStr">
        <is>
          <t>Скидка добавлена к налоговой базе</t>
        </is>
      </c>
      <c r="AG589" t="n">
        <v>30800</v>
      </c>
      <c r="AH589" t="n">
        <v>26180</v>
      </c>
      <c r="AI589" t="inlineStr">
        <is>
          <t>Полное проживание в выбранном периоде</t>
        </is>
      </c>
    </row>
    <row r="590">
      <c r="A590" t="inlineStr">
        <is>
          <t>20260810-8186-457337413</t>
        </is>
      </c>
      <c r="B590" t="n">
        <v>1</v>
      </c>
      <c r="C590" s="2" t="inlineStr">
        <is>
          <t>СЕРГЕЙ КОРЧИН</t>
        </is>
      </c>
      <c r="D590" s="3" t="n">
        <v>6930</v>
      </c>
      <c r="E590" s="4" t="n">
        <v>0</v>
      </c>
      <c r="F590" t="inlineStr">
        <is>
          <t>Прямые бронирования (стойка) [Чайковский]</t>
        </is>
      </c>
      <c r="G590" s="3">
        <f>ROUND(D590/(100-E590)*100,2)</f>
        <v/>
      </c>
      <c r="H590" s="3" t="n">
        <v>0</v>
      </c>
      <c r="I590" s="3">
        <f>ROUND(IF(ISNUMBER(AG590),AG590,G590)+H590,2)</f>
        <v/>
      </c>
      <c r="J590" s="2" t="inlineStr">
        <is>
          <t>Завтрак "Шведский стол"</t>
        </is>
      </c>
      <c r="K590" s="5" t="n">
        <v>46244.58333333334</v>
      </c>
      <c r="L590" t="n">
        <v>1</v>
      </c>
      <c r="M590" s="3">
        <f>I590/L590</f>
        <v/>
      </c>
      <c r="N590">
        <f>IF(M590&gt;=5100,"ставка","мин.ставка")</f>
        <v/>
      </c>
      <c r="O590" s="3">
        <f>ROUND(IF(N590="мин.ставка",L590*100,I590/102*2),2)</f>
        <v/>
      </c>
      <c r="P590" s="5" t="n">
        <v>46245.5</v>
      </c>
      <c r="Q590" t="inlineStr">
        <is>
          <t>TravelLine ресепшен</t>
        </is>
      </c>
      <c r="R590" s="2" t="inlineStr">
        <is>
          <t>СТАНДАРТНЫЙ ОДНОМЕСТНЫЙ НОМЕР</t>
        </is>
      </c>
      <c r="S590" t="n">
        <v>34</v>
      </c>
      <c r="T590" t="n">
        <v>1</v>
      </c>
      <c r="U590" t="inlineStr"/>
      <c r="V590" t="inlineStr">
        <is>
          <t>Тариф с завтраком</t>
        </is>
      </c>
      <c r="W590" t="n">
        <v>6930</v>
      </c>
      <c r="X590" s="3" t="n">
        <v>770</v>
      </c>
      <c r="Y590" t="inlineStr">
        <is>
          <t>10%</t>
        </is>
      </c>
      <c r="Z590" t="inlineStr">
        <is>
          <t>2026-08-10</t>
        </is>
      </c>
      <c r="AA590" s="3" t="n">
        <v>6930</v>
      </c>
      <c r="AB590" t="inlineStr">
        <is>
          <t>Сошлось по ночным тарифам</t>
        </is>
      </c>
      <c r="AC590" s="2" t="inlineStr"/>
      <c r="AD590" t="n">
        <v>770</v>
      </c>
      <c r="AE590" t="n">
        <v>0</v>
      </c>
      <c r="AF590" t="inlineStr">
        <is>
          <t>Скидка добавлена к налоговой базе</t>
        </is>
      </c>
      <c r="AG590" t="n">
        <v>7700</v>
      </c>
      <c r="AH590" t="n">
        <v>6930</v>
      </c>
      <c r="AI590" t="inlineStr">
        <is>
          <t>Полное проживание в выбранном периоде</t>
        </is>
      </c>
    </row>
    <row r="591">
      <c r="A591" t="inlineStr">
        <is>
          <t>20260914-8186-463962780</t>
        </is>
      </c>
      <c r="B591" t="n">
        <v>1</v>
      </c>
      <c r="C591" s="2" t="inlineStr">
        <is>
          <t>Сергей Котов, Елена Котова</t>
        </is>
      </c>
      <c r="D591" s="3" t="n">
        <v>28050</v>
      </c>
      <c r="E591" s="4" t="n">
        <v>15</v>
      </c>
      <c r="F591" t="inlineStr">
        <is>
          <t>ООО Тинькофф Путешествия [Чайковский]</t>
        </is>
      </c>
      <c r="G591" s="3">
        <f>ROUND(D591/(100-E591)*100,2)</f>
        <v/>
      </c>
      <c r="H591" s="3" t="n">
        <v>0</v>
      </c>
      <c r="I591" s="3">
        <f>ROUND(IF(ISNUMBER(AG591),AG591,G591)+H591,2)</f>
        <v/>
      </c>
      <c r="J591" s="2" t="inlineStr">
        <is>
          <t>Завтрак "Шведский стол"</t>
        </is>
      </c>
      <c r="K591" s="5" t="n">
        <v>46279.58333333334</v>
      </c>
      <c r="L591" t="n">
        <v>2</v>
      </c>
      <c r="M591" s="3">
        <f>I591/L591</f>
        <v/>
      </c>
      <c r="N591">
        <f>IF(M591&gt;=5100,"ставка","мин.ставка")</f>
        <v/>
      </c>
      <c r="O591" s="3">
        <f>ROUND(IF(N591="мин.ставка",L591*100,I591/102*2),2)</f>
        <v/>
      </c>
      <c r="P591" s="5" t="n">
        <v>46281.5</v>
      </c>
      <c r="Q591" t="inlineStr">
        <is>
          <t>TravelLine TNK</t>
        </is>
      </c>
      <c r="R591" s="2" t="inlineStr">
        <is>
          <t>ПОЛУЛЮКС</t>
        </is>
      </c>
      <c r="S591" t="n">
        <v>35</v>
      </c>
      <c r="T591" t="n">
        <v>1</v>
      </c>
      <c r="U591" t="inlineStr"/>
      <c r="V591" t="inlineStr">
        <is>
          <t>Тариф с завтраком</t>
        </is>
      </c>
      <c r="W591" t="n">
        <v>28050</v>
      </c>
      <c r="X591" s="3" t="n">
        <v>4950</v>
      </c>
      <c r="Y591" t="inlineStr">
        <is>
          <t>15%</t>
        </is>
      </c>
      <c r="Z591" t="inlineStr">
        <is>
          <t>2026-09-14, 2026-09-15</t>
        </is>
      </c>
      <c r="AA591" s="3" t="n">
        <v>28050</v>
      </c>
      <c r="AB591" t="inlineStr">
        <is>
          <t>Сошлось по ночным тарифам</t>
        </is>
      </c>
      <c r="AC591" s="2" t="inlineStr"/>
      <c r="AD591" t="n">
        <v>4950</v>
      </c>
      <c r="AE591" t="n">
        <v>0</v>
      </c>
      <c r="AF591" t="inlineStr">
        <is>
          <t>Скидка добавлена к налоговой базе</t>
        </is>
      </c>
      <c r="AG591" t="n">
        <v>33000</v>
      </c>
      <c r="AH591" t="n">
        <v>28050</v>
      </c>
      <c r="AI591" t="inlineStr">
        <is>
          <t>Полное проживание в выбранном периоде</t>
        </is>
      </c>
    </row>
    <row r="592">
      <c r="A592" t="inlineStr">
        <is>
          <t>20260912-8186-465616787</t>
        </is>
      </c>
      <c r="B592" t="n">
        <v>1</v>
      </c>
      <c r="C592" s="2" t="inlineStr">
        <is>
          <t>Сергей Краузе, Елена Мариевская</t>
        </is>
      </c>
      <c r="D592" s="3" t="n">
        <v>11214</v>
      </c>
      <c r="E592" s="4" t="n">
        <v>16</v>
      </c>
      <c r="F592" t="inlineStr">
        <is>
          <t>ООО "БРОНИРОВАНИЕ ГОСТИНИЦ" (OSTROVOK) [Чайковский]</t>
        </is>
      </c>
      <c r="G592" s="3">
        <f>ROUND(D592/(100-E592)*100,2)</f>
        <v/>
      </c>
      <c r="H592" s="3" t="n">
        <v>0</v>
      </c>
      <c r="I592" s="3">
        <f>ROUND(IF(ISNUMBER(AG592),AG592,G592)+H592,2)</f>
        <v/>
      </c>
      <c r="J592" s="2" t="inlineStr">
        <is>
          <t>Завтрак "Шведский стол"</t>
        </is>
      </c>
      <c r="K592" s="5" t="n">
        <v>46277.58333333334</v>
      </c>
      <c r="L592" t="n">
        <v>1</v>
      </c>
      <c r="M592" s="3">
        <f>I592/L592</f>
        <v/>
      </c>
      <c r="N592">
        <f>IF(M592&gt;=5100,"ставка","мин.ставка")</f>
        <v/>
      </c>
      <c r="O592" s="3">
        <f>ROUND(IF(N592="мин.ставка",L592*100,I592/102*2),2)</f>
        <v/>
      </c>
      <c r="P592" s="5" t="n">
        <v>46278.5</v>
      </c>
      <c r="Q592" t="inlineStr">
        <is>
          <t>TravelLine OTK</t>
        </is>
      </c>
      <c r="R592" s="2" t="inlineStr">
        <is>
          <t>СТАНДАРТНЫЙ ДВУХМЕСТНЫЙ НОМЕР</t>
        </is>
      </c>
      <c r="S592" t="n">
        <v>44</v>
      </c>
      <c r="T592" t="n">
        <v>1</v>
      </c>
      <c r="U592" t="inlineStr"/>
      <c r="V592" t="inlineStr">
        <is>
          <t>Тариф с завтраком</t>
        </is>
      </c>
      <c r="W592" t="n">
        <v>11214</v>
      </c>
      <c r="X592" s="3" t="n">
        <v>2136</v>
      </c>
      <c r="Y592" t="inlineStr">
        <is>
          <t>16%</t>
        </is>
      </c>
      <c r="Z592" t="inlineStr">
        <is>
          <t>2026-09-12</t>
        </is>
      </c>
      <c r="AA592" s="3" t="n">
        <v>11214</v>
      </c>
      <c r="AB592" t="inlineStr">
        <is>
          <t>Сошлось по ночным тарифам</t>
        </is>
      </c>
      <c r="AC592" s="2" t="inlineStr"/>
      <c r="AD592" t="n">
        <v>2136</v>
      </c>
      <c r="AE592" t="n">
        <v>0</v>
      </c>
      <c r="AF592" t="inlineStr">
        <is>
          <t>Скидка добавлена к налоговой базе</t>
        </is>
      </c>
      <c r="AG592" t="n">
        <v>13350</v>
      </c>
      <c r="AH592" t="n">
        <v>11214</v>
      </c>
      <c r="AI592" t="inlineStr">
        <is>
          <t>Полное проживание в выбранном периоде</t>
        </is>
      </c>
    </row>
    <row r="593">
      <c r="A593" t="inlineStr">
        <is>
          <t>20260808-8186-457018634</t>
        </is>
      </c>
      <c r="B593" t="n">
        <v>1</v>
      </c>
      <c r="C593" s="2" t="inlineStr">
        <is>
          <t>сергей кривченко</t>
        </is>
      </c>
      <c r="D593" s="3" t="n">
        <v>14850</v>
      </c>
      <c r="E593" s="4" t="n">
        <v>0</v>
      </c>
      <c r="F593" t="inlineStr">
        <is>
          <t>Прямые бронирования (стойка) [Чайковский]</t>
        </is>
      </c>
      <c r="G593" s="3">
        <f>ROUND(D593/(100-E593)*100,2)</f>
        <v/>
      </c>
      <c r="H593" s="3" t="n">
        <v>0</v>
      </c>
      <c r="I593" s="3">
        <f>ROUND(IF(ISNUMBER(AG593),AG593,G593)+H593,2)</f>
        <v/>
      </c>
      <c r="J593" s="2" t="inlineStr">
        <is>
          <t>Завтрак "Шведский стол"</t>
        </is>
      </c>
      <c r="K593" s="5" t="n">
        <v>46242.58333333334</v>
      </c>
      <c r="L593" t="n">
        <v>1</v>
      </c>
      <c r="M593" s="3">
        <f>I593/L593</f>
        <v/>
      </c>
      <c r="N593">
        <f>IF(M593&gt;=5100,"ставка","мин.ставка")</f>
        <v/>
      </c>
      <c r="O593" s="3">
        <f>ROUND(IF(N593="мин.ставка",L593*100,I593/102*2),2)</f>
        <v/>
      </c>
      <c r="P593" s="5" t="n">
        <v>46243.5</v>
      </c>
      <c r="Q593" t="inlineStr">
        <is>
          <t>TravelLine ресепшен</t>
        </is>
      </c>
      <c r="R593" s="2" t="inlineStr">
        <is>
          <t>ПОЛУЛЮКС</t>
        </is>
      </c>
      <c r="S593" t="n">
        <v>35</v>
      </c>
      <c r="T593" t="n">
        <v>1</v>
      </c>
      <c r="U593" t="inlineStr"/>
      <c r="V593" t="inlineStr">
        <is>
          <t>Тариф с завтраком</t>
        </is>
      </c>
      <c r="W593" t="n">
        <v>14850</v>
      </c>
      <c r="X593" s="3" t="n">
        <v>1650</v>
      </c>
      <c r="Y593" t="inlineStr">
        <is>
          <t>10%</t>
        </is>
      </c>
      <c r="Z593" t="inlineStr">
        <is>
          <t>2026-08-08</t>
        </is>
      </c>
      <c r="AA593" s="3" t="n">
        <v>14850</v>
      </c>
      <c r="AB593" t="inlineStr">
        <is>
          <t>Сошлось по ночным тарифам</t>
        </is>
      </c>
      <c r="AC593" s="2" t="inlineStr"/>
      <c r="AD593" t="n">
        <v>1650</v>
      </c>
      <c r="AE593" t="n">
        <v>0</v>
      </c>
      <c r="AF593" t="inlineStr">
        <is>
          <t>Скидка добавлена к налоговой базе</t>
        </is>
      </c>
      <c r="AG593" t="n">
        <v>16500</v>
      </c>
      <c r="AH593" t="n">
        <v>14850</v>
      </c>
      <c r="AI593" t="inlineStr">
        <is>
          <t>Полное проживание в выбранном периоде</t>
        </is>
      </c>
    </row>
    <row r="594">
      <c r="A594" t="inlineStr">
        <is>
          <t>20260814-8186-458697730</t>
        </is>
      </c>
      <c r="B594" t="n">
        <v>1</v>
      </c>
      <c r="C594" s="2" t="inlineStr">
        <is>
          <t>сергей кривченко</t>
        </is>
      </c>
      <c r="D594" s="3" t="n">
        <v>12015</v>
      </c>
      <c r="E594" s="4" t="n">
        <v>0</v>
      </c>
      <c r="F594" t="inlineStr">
        <is>
          <t>Прямые бронирования (стойка) [Чайковский]</t>
        </is>
      </c>
      <c r="G594" s="3">
        <f>ROUND(D594/(100-E594)*100,2)</f>
        <v/>
      </c>
      <c r="H594" s="3" t="n">
        <v>0</v>
      </c>
      <c r="I594" s="3">
        <f>ROUND(IF(ISNUMBER(AG594),AG594,G594)+H594,2)</f>
        <v/>
      </c>
      <c r="J594" s="2" t="inlineStr">
        <is>
          <t>Завтрак "Шведский стол"</t>
        </is>
      </c>
      <c r="K594" s="5" t="n">
        <v>46248.58333333334</v>
      </c>
      <c r="L594" t="n">
        <v>1</v>
      </c>
      <c r="M594" s="3">
        <f>I594/L594</f>
        <v/>
      </c>
      <c r="N594">
        <f>IF(M594&gt;=5100,"ставка","мин.ставка")</f>
        <v/>
      </c>
      <c r="O594" s="3">
        <f>ROUND(IF(N594="мин.ставка",L594*100,I594/102*2),2)</f>
        <v/>
      </c>
      <c r="P594" s="5" t="n">
        <v>46249.5</v>
      </c>
      <c r="Q594" t="inlineStr">
        <is>
          <t>TravelLine ресепшен</t>
        </is>
      </c>
      <c r="R594" s="2" t="inlineStr">
        <is>
          <t>СТАНДАРТНЫЙ ДВУХМЕСТНЫЙ НОМЕР</t>
        </is>
      </c>
      <c r="S594" t="n">
        <v>32</v>
      </c>
      <c r="T594" t="n">
        <v>1</v>
      </c>
      <c r="U594" t="inlineStr"/>
      <c r="V594" t="inlineStr">
        <is>
          <t>Тариф с завтраком</t>
        </is>
      </c>
      <c r="W594" t="n">
        <v>12015</v>
      </c>
      <c r="X594" s="3" t="n">
        <v>1335</v>
      </c>
      <c r="Y594" t="inlineStr">
        <is>
          <t>10%</t>
        </is>
      </c>
      <c r="Z594" t="inlineStr">
        <is>
          <t>2026-08-14</t>
        </is>
      </c>
      <c r="AA594" s="3" t="n">
        <v>12015</v>
      </c>
      <c r="AB594" t="inlineStr">
        <is>
          <t>Сошлось по ночным тарифам</t>
        </is>
      </c>
      <c r="AC594" s="2" t="inlineStr"/>
      <c r="AD594" t="n">
        <v>1335</v>
      </c>
      <c r="AE594" t="n">
        <v>0</v>
      </c>
      <c r="AF594" t="inlineStr">
        <is>
          <t>Скидка добавлена к налоговой базе</t>
        </is>
      </c>
      <c r="AG594" t="n">
        <v>13350</v>
      </c>
      <c r="AH594" t="n">
        <v>12015</v>
      </c>
      <c r="AI594" t="inlineStr">
        <is>
          <t>Полное проживание в выбранном периоде</t>
        </is>
      </c>
    </row>
    <row r="595">
      <c r="A595" t="inlineStr">
        <is>
          <t>20260901-8186-421882419</t>
        </is>
      </c>
      <c r="B595" t="n">
        <v>1</v>
      </c>
      <c r="C595" s="2" t="inlineStr">
        <is>
          <t>СЕРГЕЙ ЛОГИНОВ, АЛИСА ЛОГИНОВА</t>
        </is>
      </c>
      <c r="D595" s="3" t="n">
        <v>45390</v>
      </c>
      <c r="E595" s="4" t="n">
        <v>0</v>
      </c>
      <c r="F595" t="inlineStr">
        <is>
          <t>ООО "АЛЕАН ОТДЫХ" [Чайковский]</t>
        </is>
      </c>
      <c r="G595" s="3">
        <f>ROUND(D595/(100-E595)*100,2)</f>
        <v/>
      </c>
      <c r="H595" s="3" t="n">
        <v>0</v>
      </c>
      <c r="I595" s="3">
        <f>ROUND(IF(ISNUMBER(AG595),AG595,G595)+H595,2)</f>
        <v/>
      </c>
      <c r="J595" s="2" t="inlineStr">
        <is>
          <t>meal_bf_buffet_1; meal_bf_buffet_1; Завтрак "Шведский стол"</t>
        </is>
      </c>
      <c r="K595" s="5" t="n">
        <v>46266.58333333334</v>
      </c>
      <c r="L595" t="n">
        <v>4</v>
      </c>
      <c r="M595" s="3">
        <f>I595/L595</f>
        <v/>
      </c>
      <c r="N595">
        <f>IF(M595&gt;=5100,"ставка","мин.ставка")</f>
        <v/>
      </c>
      <c r="O595" s="3">
        <f>ROUND(IF(N595="мин.ставка",L595*100,I595/102*2),2)</f>
        <v/>
      </c>
      <c r="P595" s="5" t="n">
        <v>46270.5</v>
      </c>
      <c r="Q595" t="inlineStr">
        <is>
          <t>TravelLine ALN</t>
        </is>
      </c>
      <c r="R595" s="2" t="inlineStr">
        <is>
          <t>СТАНДАРТНЫЙ ДВУХМЕСТНЫЙ НОМЕР</t>
        </is>
      </c>
      <c r="S595" t="n">
        <v>26</v>
      </c>
      <c r="T595" t="n">
        <v>1</v>
      </c>
      <c r="U595" t="inlineStr"/>
      <c r="V595" t="inlineStr">
        <is>
          <t>Тариф с завтраком</t>
        </is>
      </c>
      <c r="W595" t="n">
        <v>45390</v>
      </c>
      <c r="X595" s="3" t="n">
        <v>8010</v>
      </c>
      <c r="Y595" t="inlineStr">
        <is>
          <t>15%</t>
        </is>
      </c>
      <c r="Z595" t="inlineStr">
        <is>
          <t>2026-09-01, 2026-09-02, 2026-09-03, 2026-09-04</t>
        </is>
      </c>
      <c r="AA595" s="3" t="n">
        <v>45390</v>
      </c>
      <c r="AB595" t="inlineStr">
        <is>
          <t>Сошлось по ночным тарифам</t>
        </is>
      </c>
      <c r="AC595" s="2" t="inlineStr"/>
      <c r="AD595" t="n">
        <v>8010</v>
      </c>
      <c r="AE595" t="n">
        <v>0</v>
      </c>
      <c r="AF595" t="inlineStr">
        <is>
          <t>Скидка добавлена к налоговой базе</t>
        </is>
      </c>
      <c r="AG595" t="n">
        <v>53400</v>
      </c>
      <c r="AH595" t="n">
        <v>45390</v>
      </c>
      <c r="AI595" t="inlineStr">
        <is>
          <t>Полное проживание в выбранном периоде</t>
        </is>
      </c>
    </row>
    <row r="596">
      <c r="A596" t="inlineStr">
        <is>
          <t>20260830-8186-456795871</t>
        </is>
      </c>
      <c r="B596" t="n">
        <v>1</v>
      </c>
      <c r="C596" s="2" t="inlineStr">
        <is>
          <t>СЕРГЕЙ МАКАРОВ, Юлина Макарова</t>
        </is>
      </c>
      <c r="D596" s="3" t="n">
        <v>12015</v>
      </c>
      <c r="E596" s="4" t="n">
        <v>0</v>
      </c>
      <c r="F596" t="inlineStr">
        <is>
          <t>Прямые бронирования (стойка) [Чайковский]</t>
        </is>
      </c>
      <c r="G596" s="3">
        <f>ROUND(D596/(100-E596)*100,2)</f>
        <v/>
      </c>
      <c r="H596" s="3" t="n">
        <v>0</v>
      </c>
      <c r="I596" s="3">
        <f>ROUND(IF(ISNUMBER(AG596),AG596,G596)+H596,2)</f>
        <v/>
      </c>
      <c r="J596" s="2" t="inlineStr">
        <is>
          <t>Завтрак "Шведский стол"</t>
        </is>
      </c>
      <c r="K596" s="5" t="n">
        <v>46264.58333333334</v>
      </c>
      <c r="L596" t="n">
        <v>1</v>
      </c>
      <c r="M596" s="3">
        <f>I596/L596</f>
        <v/>
      </c>
      <c r="N596">
        <f>IF(M596&gt;=5100,"ставка","мин.ставка")</f>
        <v/>
      </c>
      <c r="O596" s="3">
        <f>ROUND(IF(N596="мин.ставка",L596*100,I596/102*2),2)</f>
        <v/>
      </c>
      <c r="P596" s="5" t="n">
        <v>46265.5</v>
      </c>
      <c r="Q596" t="inlineStr">
        <is>
          <t>TravelLine ресепшен</t>
        </is>
      </c>
      <c r="R596" s="2" t="inlineStr">
        <is>
          <t>СТАНДАРТНЫЙ ДВУХМЕСТНЫЙ НОМЕР</t>
        </is>
      </c>
      <c r="S596" t="n">
        <v>26</v>
      </c>
      <c r="T596" t="n">
        <v>1</v>
      </c>
      <c r="U596" t="inlineStr"/>
      <c r="V596" t="inlineStr">
        <is>
          <t>Тариф с завтраком</t>
        </is>
      </c>
      <c r="W596" t="n">
        <v>12015</v>
      </c>
      <c r="X596" s="3" t="n">
        <v>1335</v>
      </c>
      <c r="Y596" t="inlineStr">
        <is>
          <t>10%</t>
        </is>
      </c>
      <c r="Z596" t="inlineStr">
        <is>
          <t>2026-08-30</t>
        </is>
      </c>
      <c r="AA596" s="3" t="n">
        <v>12015</v>
      </c>
      <c r="AB596" t="inlineStr">
        <is>
          <t>Сошлось по ночным тарифам</t>
        </is>
      </c>
      <c r="AC596" s="2" t="inlineStr"/>
      <c r="AD596" t="n">
        <v>1335</v>
      </c>
      <c r="AE596" t="n">
        <v>0</v>
      </c>
      <c r="AF596" t="inlineStr">
        <is>
          <t>Скидка добавлена к налоговой базе</t>
        </is>
      </c>
      <c r="AG596" t="n">
        <v>13350</v>
      </c>
      <c r="AH596" t="n">
        <v>12015</v>
      </c>
      <c r="AI596" t="inlineStr">
        <is>
          <t>Полное проживание в выбранном периоде</t>
        </is>
      </c>
    </row>
    <row r="597">
      <c r="A597" t="inlineStr">
        <is>
          <t>20260721-8186-426049066</t>
        </is>
      </c>
      <c r="B597" t="n">
        <v>1</v>
      </c>
      <c r="C597" s="2" t="inlineStr">
        <is>
          <t>Сергей Манченков, Анастасия Лещева</t>
        </is>
      </c>
      <c r="D597" s="3" t="n">
        <v>35112</v>
      </c>
      <c r="E597" s="4" t="n">
        <v>18</v>
      </c>
      <c r="F597" t="inlineStr">
        <is>
          <t>Яндекс.Путешествия [Чайковский]</t>
        </is>
      </c>
      <c r="G597" s="3">
        <f>ROUND(D597/(100-E597)*100,2)</f>
        <v/>
      </c>
      <c r="H597" s="3" t="n">
        <v>0</v>
      </c>
      <c r="I597" s="3">
        <f>ROUND(IF(ISNUMBER(AG597),AG597,G597)+H597,2)</f>
        <v/>
      </c>
      <c r="J597" s="2" t="inlineStr">
        <is>
          <t>Завтрак "Шведский стол"</t>
        </is>
      </c>
      <c r="K597" s="5" t="n">
        <v>46224.58333333334</v>
      </c>
      <c r="L597" t="n">
        <v>3</v>
      </c>
      <c r="M597" s="3">
        <f>I597/L597</f>
        <v/>
      </c>
      <c r="N597">
        <f>IF(M597&gt;=5100,"ставка","мин.ставка")</f>
        <v/>
      </c>
      <c r="O597" s="3">
        <f>ROUND(IF(N597="мин.ставка",L597*100,I597/102*2),2)</f>
        <v/>
      </c>
      <c r="P597" s="5" t="n">
        <v>46227.5</v>
      </c>
      <c r="Q597" t="inlineStr">
        <is>
          <t>TravelLine YAX</t>
        </is>
      </c>
      <c r="R597" s="2" t="inlineStr">
        <is>
          <t>УЛУЧШЕННЫЙ ДВУХМЕСТНЫЙ НОМЕР</t>
        </is>
      </c>
      <c r="S597" t="n">
        <v>31</v>
      </c>
      <c r="T597" t="n">
        <v>1</v>
      </c>
      <c r="U597" t="inlineStr"/>
      <c r="V597" t="inlineStr">
        <is>
          <t>Тариф с завтраком</t>
        </is>
      </c>
      <c r="W597" t="n">
        <v>65664</v>
      </c>
      <c r="X597" s="3" t="n">
        <v>1848</v>
      </c>
      <c r="Y597" t="inlineStr">
        <is>
          <t>5%</t>
        </is>
      </c>
      <c r="Z597" t="inlineStr">
        <is>
          <t>2026-07-21, 2026-07-22, 2026-07-23</t>
        </is>
      </c>
      <c r="AA597" s="3" t="n">
        <v>35112</v>
      </c>
      <c r="AB597" t="inlineStr">
        <is>
          <t>Сошлось по ночным тарифам</t>
        </is>
      </c>
      <c r="AC597" s="2" t="inlineStr"/>
      <c r="AD597" t="n">
        <v>1848</v>
      </c>
      <c r="AE597" t="n">
        <v>0</v>
      </c>
      <c r="AF597" t="inlineStr">
        <is>
          <t>Скидка добавлена к налоговой базе</t>
        </is>
      </c>
      <c r="AG597" t="n">
        <v>36960</v>
      </c>
      <c r="AH597" t="n">
        <v>35112</v>
      </c>
      <c r="AI597" t="inlineStr">
        <is>
          <t>Полное проживание в выбранном периоде</t>
        </is>
      </c>
    </row>
    <row r="598">
      <c r="A598" t="inlineStr">
        <is>
          <t>20260710-8186-448702042</t>
        </is>
      </c>
      <c r="B598" t="n">
        <v>1</v>
      </c>
      <c r="C598" s="2" t="inlineStr">
        <is>
          <t>Сергей Митяев, ANASTASIYA TOROSYAN</t>
        </is>
      </c>
      <c r="D598" s="3" t="n">
        <v>17360</v>
      </c>
      <c r="E598" s="4" t="n">
        <v>20</v>
      </c>
      <c r="F598" t="inlineStr">
        <is>
          <t>ООО "ХБ-ПРО" [Чайковский]</t>
        </is>
      </c>
      <c r="G598" s="3">
        <f>ROUND(D598/(100-E598)*100,2)</f>
        <v/>
      </c>
      <c r="H598" s="3" t="n">
        <v>4000</v>
      </c>
      <c r="I598" s="3">
        <f>ROUND(IF(ISNUMBER(AG598),AG598,G598)+H598,2)</f>
        <v/>
      </c>
      <c r="J598" s="2" t="inlineStr">
        <is>
          <t>продление номера — 4 000,00 ₽; Завтрак "Шведский стол"</t>
        </is>
      </c>
      <c r="K598" s="5" t="n">
        <v>46213.58333333334</v>
      </c>
      <c r="L598" t="n">
        <v>2</v>
      </c>
      <c r="M598" s="3">
        <f>I598/L598</f>
        <v/>
      </c>
      <c r="N598">
        <f>IF(M598&gt;=5100,"ставка","мин.ставка")</f>
        <v/>
      </c>
      <c r="O598" s="3">
        <f>ROUND(IF(N598="мин.ставка",L598*100,I598/102*2),2)</f>
        <v/>
      </c>
      <c r="P598" s="5" t="n">
        <v>46215.5</v>
      </c>
      <c r="Q598" t="inlineStr">
        <is>
          <t>TravelLine UTS</t>
        </is>
      </c>
      <c r="R598" s="2" t="inlineStr">
        <is>
          <t>СТАНДАРТНЫЙ ДВУХМЕСТНЫЙ НОМЕР</t>
        </is>
      </c>
      <c r="S598" t="n">
        <v>32</v>
      </c>
      <c r="T598" t="n">
        <v>1</v>
      </c>
      <c r="U598" t="inlineStr"/>
      <c r="V598" t="inlineStr">
        <is>
          <t>Тариф с завтраком</t>
        </is>
      </c>
      <c r="W598" t="n">
        <v>21360</v>
      </c>
      <c r="X598" s="3" t="n">
        <v>0</v>
      </c>
      <c r="Y598" t="inlineStr"/>
      <c r="Z598" t="inlineStr"/>
      <c r="AA598" s="3" t="n">
        <v>17360</v>
      </c>
      <c r="AB598" t="inlineStr">
        <is>
          <t>Сошлось с услугами</t>
        </is>
      </c>
      <c r="AC598" s="2" t="inlineStr"/>
      <c r="AD598" t="n">
        <v>0</v>
      </c>
      <c r="AE598" t="n">
        <v>0</v>
      </c>
      <c r="AF598" t="inlineStr">
        <is>
          <t>Скидки нет</t>
        </is>
      </c>
      <c r="AG598" t="n">
        <v>17360</v>
      </c>
      <c r="AH598" t="n">
        <v>17360</v>
      </c>
      <c r="AI598" t="inlineStr">
        <is>
          <t>Полное проживание в выбранном периоде</t>
        </is>
      </c>
    </row>
    <row r="599">
      <c r="A599" t="inlineStr">
        <is>
          <t>20260924-8186-465190017</t>
        </is>
      </c>
      <c r="B599" t="n">
        <v>1</v>
      </c>
      <c r="C599" s="2" t="inlineStr">
        <is>
          <t>СЕРГЕЙ МОКРИНСКИЙ, ИРИНА МОКРИНСКАЯ</t>
        </is>
      </c>
      <c r="D599" s="3" t="n">
        <v>13530</v>
      </c>
      <c r="E599" s="4" t="n">
        <v>0</v>
      </c>
      <c r="F599" t="inlineStr">
        <is>
          <t>Прямые бронирования (стойка) [Чайковский]</t>
        </is>
      </c>
      <c r="G599" s="3">
        <f>ROUND(D599/(100-E599)*100,2)</f>
        <v/>
      </c>
      <c r="H599" s="3" t="n">
        <v>0</v>
      </c>
      <c r="I599" s="3">
        <f>ROUND(IF(ISNUMBER(AG599),AG599,G599)+H599,2)</f>
        <v/>
      </c>
      <c r="J599" s="2" t="inlineStr">
        <is>
          <t>Завтрак "Шведский стол"</t>
        </is>
      </c>
      <c r="K599" s="5" t="n">
        <v>46289.58333333334</v>
      </c>
      <c r="L599" t="n">
        <v>1</v>
      </c>
      <c r="M599" s="3">
        <f>I599/L599</f>
        <v/>
      </c>
      <c r="N599">
        <f>IF(M599&gt;=5100,"ставка","мин.ставка")</f>
        <v/>
      </c>
      <c r="O599" s="3">
        <f>ROUND(IF(N599="мин.ставка",L599*100,I599/102*2),2)</f>
        <v/>
      </c>
      <c r="P599" s="5" t="n">
        <v>46290.5</v>
      </c>
      <c r="Q599" t="inlineStr">
        <is>
          <t>TravelLine CMB</t>
        </is>
      </c>
      <c r="R599" s="2" t="inlineStr">
        <is>
          <t>ПОЛУЛЮКС</t>
        </is>
      </c>
      <c r="S599" t="n">
        <v>35</v>
      </c>
      <c r="T599" t="n">
        <v>1</v>
      </c>
      <c r="U599" t="inlineStr"/>
      <c r="V599" t="inlineStr">
        <is>
          <t>Тариф с завтраком</t>
        </is>
      </c>
      <c r="W599" t="n">
        <v>13530</v>
      </c>
      <c r="X599" s="3" t="n">
        <v>2970</v>
      </c>
      <c r="Y599" t="inlineStr">
        <is>
          <t>18%</t>
        </is>
      </c>
      <c r="Z599" t="inlineStr">
        <is>
          <t>2026-09-24</t>
        </is>
      </c>
      <c r="AA599" s="3" t="n">
        <v>13530</v>
      </c>
      <c r="AB599" t="inlineStr">
        <is>
          <t>Сошлось по ночным тарифам</t>
        </is>
      </c>
      <c r="AC599" s="2" t="inlineStr"/>
      <c r="AD599" t="n">
        <v>2970</v>
      </c>
      <c r="AE599" t="n">
        <v>0</v>
      </c>
      <c r="AF599" t="inlineStr">
        <is>
          <t>Скидка добавлена к налоговой базе</t>
        </is>
      </c>
      <c r="AG599" t="n">
        <v>16500</v>
      </c>
      <c r="AH599" t="n">
        <v>13530</v>
      </c>
      <c r="AI599" t="inlineStr">
        <is>
          <t>Полное проживание в выбранном периоде</t>
        </is>
      </c>
    </row>
    <row r="600">
      <c r="A600" t="inlineStr">
        <is>
          <t>20260716-8186-437389528</t>
        </is>
      </c>
      <c r="B600" t="n">
        <v>1</v>
      </c>
      <c r="C600" s="2" t="inlineStr">
        <is>
          <t>СЕРГЕЙ ОСИПОВ, Эвелина Смыслина</t>
        </is>
      </c>
      <c r="D600" s="3" t="n">
        <v>26400</v>
      </c>
      <c r="E600" s="4" t="n">
        <v>20</v>
      </c>
      <c r="F600" t="inlineStr">
        <is>
          <t>ООО "КОМПАНИЯ БРОНЕВИК" [Чайковский]</t>
        </is>
      </c>
      <c r="G600" s="3">
        <f>ROUND(D600/(100-E600)*100,2)</f>
        <v/>
      </c>
      <c r="H600" s="3" t="n">
        <v>0</v>
      </c>
      <c r="I600" s="3">
        <f>ROUND(IF(ISNUMBER(AG600),AG600,G600)+H600,2)</f>
        <v/>
      </c>
      <c r="J600" s="2" t="inlineStr">
        <is>
          <t>Завтрак "Шведский стол"</t>
        </is>
      </c>
      <c r="K600" s="5" t="n">
        <v>46219.58333333334</v>
      </c>
      <c r="L600" t="n">
        <v>2</v>
      </c>
      <c r="M600" s="3">
        <f>I600/L600</f>
        <v/>
      </c>
      <c r="N600">
        <f>IF(M600&gt;=5100,"ставка","мин.ставка")</f>
        <v/>
      </c>
      <c r="O600" s="3">
        <f>ROUND(IF(N600="мин.ставка",L600*100,I600/102*2),2)</f>
        <v/>
      </c>
      <c r="P600" s="5" t="n">
        <v>46221.5</v>
      </c>
      <c r="Q600" t="inlineStr">
        <is>
          <t>TravelLine BR2</t>
        </is>
      </c>
      <c r="R600" s="2" t="inlineStr">
        <is>
          <t>ПОЛУЛЮКС</t>
        </is>
      </c>
      <c r="S600" t="n">
        <v>35</v>
      </c>
      <c r="T600" t="n">
        <v>1</v>
      </c>
      <c r="U600" t="inlineStr"/>
      <c r="V600" t="inlineStr">
        <is>
          <t>Тариф с завтраком</t>
        </is>
      </c>
      <c r="W600" t="n">
        <v>26400</v>
      </c>
      <c r="X600" s="3" t="n">
        <v>0</v>
      </c>
      <c r="Y600" t="inlineStr"/>
      <c r="Z600" t="inlineStr"/>
      <c r="AA600" s="3" t="n">
        <v>26400</v>
      </c>
      <c r="AB600" t="inlineStr">
        <is>
          <t>Сошлось по ночным тарифам</t>
        </is>
      </c>
      <c r="AC600" s="2" t="inlineStr"/>
      <c r="AD600" t="n">
        <v>0</v>
      </c>
      <c r="AE600" t="n">
        <v>0</v>
      </c>
      <c r="AF600" t="inlineStr">
        <is>
          <t>Скидки нет</t>
        </is>
      </c>
      <c r="AG600" t="n">
        <v>26400</v>
      </c>
      <c r="AH600" t="n">
        <v>26400</v>
      </c>
      <c r="AI600" t="inlineStr">
        <is>
          <t>Полное проживание в выбранном периоде</t>
        </is>
      </c>
    </row>
    <row r="601">
      <c r="A601" t="inlineStr">
        <is>
          <t>20260909-8186-464462558</t>
        </is>
      </c>
      <c r="B601" t="n">
        <v>1</v>
      </c>
      <c r="C601" s="2" t="inlineStr">
        <is>
          <t>Сергей Полянский</t>
        </is>
      </c>
      <c r="D601" s="3" t="n">
        <v>20100</v>
      </c>
      <c r="E601" s="4" t="n">
        <v>18</v>
      </c>
      <c r="F601" t="inlineStr">
        <is>
          <t>Яндекс.Путешествия [Чайковский]</t>
        </is>
      </c>
      <c r="G601" s="3">
        <f>ROUND(D601/(100-E601)*100,2)</f>
        <v/>
      </c>
      <c r="H601" s="3" t="n">
        <v>0</v>
      </c>
      <c r="I601" s="3">
        <f>ROUND(IF(ISNUMBER(AG601),AG601,G601)+H601,2)</f>
        <v/>
      </c>
      <c r="J601" s="2" t="inlineStr">
        <is>
          <t>Завтрак "Шведский стол"</t>
        </is>
      </c>
      <c r="K601" s="5" t="n">
        <v>46274.58333333334</v>
      </c>
      <c r="L601" t="n">
        <v>2</v>
      </c>
      <c r="M601" s="3">
        <f>I601/L601</f>
        <v/>
      </c>
      <c r="N601">
        <f>IF(M601&gt;=5100,"ставка","мин.ставка")</f>
        <v/>
      </c>
      <c r="O601" s="3">
        <f>ROUND(IF(N601="мин.ставка",L601*100,I601/102*2),2)</f>
        <v/>
      </c>
      <c r="P601" s="5" t="n">
        <v>46276.5</v>
      </c>
      <c r="Q601" t="inlineStr">
        <is>
          <t>TravelLine YAX</t>
        </is>
      </c>
      <c r="R601" s="2" t="inlineStr">
        <is>
          <t>УЛУЧШЕННЫЙ ДВУХМЕСТНЫЙ НОМЕР</t>
        </is>
      </c>
      <c r="S601" t="n">
        <v>31</v>
      </c>
      <c r="T601" t="n">
        <v>1</v>
      </c>
      <c r="U601" t="inlineStr"/>
      <c r="V601" t="inlineStr">
        <is>
          <t>Тариф с завтраком</t>
        </is>
      </c>
      <c r="W601" t="n">
        <v>20100</v>
      </c>
      <c r="X601" s="3" t="n">
        <v>6700</v>
      </c>
      <c r="Y601" t="inlineStr">
        <is>
          <t>25%</t>
        </is>
      </c>
      <c r="Z601" t="inlineStr">
        <is>
          <t>2026-09-09, 2026-09-10</t>
        </is>
      </c>
      <c r="AA601" s="3" t="n">
        <v>20100</v>
      </c>
      <c r="AB601" t="inlineStr">
        <is>
          <t>Сошлось по ночным тарифам</t>
        </is>
      </c>
      <c r="AC601" s="2" t="inlineStr"/>
      <c r="AD601" t="n">
        <v>6700</v>
      </c>
      <c r="AE601" t="n">
        <v>0</v>
      </c>
      <c r="AF601" t="inlineStr">
        <is>
          <t>Скидка добавлена к налоговой базе</t>
        </is>
      </c>
      <c r="AG601" t="n">
        <v>26800</v>
      </c>
      <c r="AH601" t="n">
        <v>20100</v>
      </c>
      <c r="AI601" t="inlineStr">
        <is>
          <t>Полное проживание в выбранном периоде</t>
        </is>
      </c>
    </row>
    <row r="602">
      <c r="A602" t="inlineStr">
        <is>
          <t>20260710-8186-449007541</t>
        </is>
      </c>
      <c r="B602" t="n">
        <v>1</v>
      </c>
      <c r="C602" s="2" t="inlineStr">
        <is>
          <t>Сергей Реутов</t>
        </is>
      </c>
      <c r="D602" s="3" t="n">
        <v>10350</v>
      </c>
      <c r="E602" s="4" t="n">
        <v>0</v>
      </c>
      <c r="F602" t="inlineStr">
        <is>
          <t>Прямые бронирования (стойка) [Чайковский]</t>
        </is>
      </c>
      <c r="G602" s="3">
        <f>ROUND(D602/(100-E602)*100,2)</f>
        <v/>
      </c>
      <c r="H602" s="3" t="n">
        <v>0</v>
      </c>
      <c r="I602" s="3">
        <f>ROUND(IF(ISNUMBER(AG602),AG602,G602)+H602,2)</f>
        <v/>
      </c>
      <c r="J602" s="2" t="inlineStr">
        <is>
          <t>Завтрак "Шведский стол"</t>
        </is>
      </c>
      <c r="K602" s="5" t="n">
        <v>46213.58333333334</v>
      </c>
      <c r="L602" t="n">
        <v>1</v>
      </c>
      <c r="M602" s="3">
        <f>I602/L602</f>
        <v/>
      </c>
      <c r="N602">
        <f>IF(M602&gt;=5100,"ставка","мин.ставка")</f>
        <v/>
      </c>
      <c r="O602" s="3">
        <f>ROUND(IF(N602="мин.ставка",L602*100,I602/102*2),2)</f>
        <v/>
      </c>
      <c r="P602" s="5" t="n">
        <v>46214.5</v>
      </c>
      <c r="Q602" t="inlineStr">
        <is>
          <t>TravelLine ресепшен</t>
        </is>
      </c>
      <c r="R602" s="2" t="inlineStr">
        <is>
          <t>СТАНДАРТНЫЙ ДВУХМЕСТНЫЙ НОМЕР</t>
        </is>
      </c>
      <c r="S602" t="n">
        <v>33</v>
      </c>
      <c r="T602" t="n">
        <v>1</v>
      </c>
      <c r="U602" t="inlineStr"/>
      <c r="V602" t="inlineStr">
        <is>
          <t>Тариф с завтраком</t>
        </is>
      </c>
      <c r="W602" t="n">
        <v>10350</v>
      </c>
      <c r="X602" s="3" t="n">
        <v>0</v>
      </c>
      <c r="Y602" t="inlineStr"/>
      <c r="Z602" t="inlineStr"/>
      <c r="AA602" s="3" t="n">
        <v>10350</v>
      </c>
      <c r="AB602" t="inlineStr">
        <is>
          <t>Сошлось по ночным тарифам</t>
        </is>
      </c>
      <c r="AC602" s="2" t="inlineStr"/>
      <c r="AD602" t="n">
        <v>0</v>
      </c>
      <c r="AE602" t="n">
        <v>0</v>
      </c>
      <c r="AF602" t="inlineStr">
        <is>
          <t>Скидки нет</t>
        </is>
      </c>
      <c r="AG602" t="n">
        <v>10350</v>
      </c>
      <c r="AH602" t="n">
        <v>10350</v>
      </c>
      <c r="AI602" t="inlineStr">
        <is>
          <t>Полное проживание в выбранном периоде</t>
        </is>
      </c>
    </row>
    <row r="603">
      <c r="A603" t="inlineStr">
        <is>
          <t>20260713-8186-449580597</t>
        </is>
      </c>
      <c r="B603" t="n">
        <v>1</v>
      </c>
      <c r="C603" s="2" t="inlineStr">
        <is>
          <t>СЕРГЕЙ САЛТЫКОВ</t>
        </is>
      </c>
      <c r="D603" s="3" t="n">
        <v>9647.5</v>
      </c>
      <c r="E603" s="4" t="n">
        <v>15</v>
      </c>
      <c r="F603" t="inlineStr">
        <is>
          <t>ООО "БРОНИРОВАНИЕ ГОСТИНИЦ" (OSTROVOK) [Чайковский]</t>
        </is>
      </c>
      <c r="G603" s="3">
        <f>ROUND(D603/(100-E603)*100,2)</f>
        <v/>
      </c>
      <c r="H603" s="3" t="n">
        <v>0</v>
      </c>
      <c r="I603" s="3">
        <f>ROUND(IF(ISNUMBER(AG603),AG603,G603)+H603,2)</f>
        <v/>
      </c>
      <c r="J603" s="2" t="inlineStr">
        <is>
          <t>Завтрак "Шведский стол"</t>
        </is>
      </c>
      <c r="K603" s="5" t="n">
        <v>46216.58333333334</v>
      </c>
      <c r="L603" t="n">
        <v>1</v>
      </c>
      <c r="M603" s="3">
        <f>I603/L603</f>
        <v/>
      </c>
      <c r="N603">
        <f>IF(M603&gt;=5100,"ставка","мин.ставка")</f>
        <v/>
      </c>
      <c r="O603" s="3">
        <f>ROUND(IF(N603="мин.ставка",L603*100,I603/102*2),2)</f>
        <v/>
      </c>
      <c r="P603" s="5" t="n">
        <v>46217.5</v>
      </c>
      <c r="Q603" t="inlineStr">
        <is>
          <t>TravelLine OTK</t>
        </is>
      </c>
      <c r="R603" s="2" t="inlineStr">
        <is>
          <t>СТАНДАРТНЫЙ ДВУХМЕСТНЫЙ НОМЕР</t>
        </is>
      </c>
      <c r="S603" t="n">
        <v>33</v>
      </c>
      <c r="T603" t="n">
        <v>1</v>
      </c>
      <c r="U603" t="inlineStr"/>
      <c r="V603" t="inlineStr">
        <is>
          <t>Тариф с завтраком</t>
        </is>
      </c>
      <c r="W603" t="n">
        <v>9647.5</v>
      </c>
      <c r="X603" s="3" t="n">
        <v>1702.5</v>
      </c>
      <c r="Y603" t="inlineStr">
        <is>
          <t>15%</t>
        </is>
      </c>
      <c r="Z603" t="inlineStr">
        <is>
          <t>2026-07-13</t>
        </is>
      </c>
      <c r="AA603" s="3" t="n">
        <v>9647.5</v>
      </c>
      <c r="AB603" t="inlineStr">
        <is>
          <t>Сошлось по ночным тарифам</t>
        </is>
      </c>
      <c r="AC603" s="2" t="inlineStr"/>
      <c r="AD603" t="n">
        <v>1702.5</v>
      </c>
      <c r="AE603" t="n">
        <v>0</v>
      </c>
      <c r="AF603" t="inlineStr">
        <is>
          <t>Скидка добавлена к налоговой базе</t>
        </is>
      </c>
      <c r="AG603" t="n">
        <v>11350</v>
      </c>
      <c r="AH603" t="n">
        <v>9647.5</v>
      </c>
      <c r="AI603" t="inlineStr">
        <is>
          <t>Полное проживание в выбранном периоде</t>
        </is>
      </c>
    </row>
    <row r="604">
      <c r="A604" t="inlineStr">
        <is>
          <t>20260714-8186-450064455</t>
        </is>
      </c>
      <c r="B604" t="n">
        <v>1</v>
      </c>
      <c r="C604" s="2" t="inlineStr">
        <is>
          <t>СЕРГЕЙ САЛТЫКОВ</t>
        </is>
      </c>
      <c r="D604" s="3" t="n">
        <v>11600</v>
      </c>
      <c r="E604" s="4" t="n">
        <v>20</v>
      </c>
      <c r="F604" t="inlineStr">
        <is>
          <t>ООО "ХБ-ПРО" [Чайковский]</t>
        </is>
      </c>
      <c r="G604" s="3">
        <f>ROUND(D604/(100-E604)*100,2)</f>
        <v/>
      </c>
      <c r="H604" s="3" t="n">
        <v>0</v>
      </c>
      <c r="I604" s="3">
        <f>ROUND(IF(ISNUMBER(AG604),AG604,G604)+H604,2)</f>
        <v/>
      </c>
      <c r="J604" s="2" t="inlineStr">
        <is>
          <t>Завтрак "Шведский стол"</t>
        </is>
      </c>
      <c r="K604" s="5" t="n">
        <v>46217.58333333334</v>
      </c>
      <c r="L604" t="n">
        <v>1</v>
      </c>
      <c r="M604" s="3">
        <f>I604/L604</f>
        <v/>
      </c>
      <c r="N604">
        <f>IF(M604&gt;=5100,"ставка","мин.ставка")</f>
        <v/>
      </c>
      <c r="O604" s="3">
        <f>ROUND(IF(N604="мин.ставка",L604*100,I604/102*2),2)</f>
        <v/>
      </c>
      <c r="P604" s="5" t="n">
        <v>46218.5</v>
      </c>
      <c r="Q604" t="inlineStr">
        <is>
          <t>TravelLine UTS</t>
        </is>
      </c>
      <c r="R604" s="2" t="inlineStr">
        <is>
          <t>ПОЛУЛЮКС</t>
        </is>
      </c>
      <c r="S604" t="n">
        <v>35</v>
      </c>
      <c r="T604" t="n">
        <v>1</v>
      </c>
      <c r="U604" t="inlineStr"/>
      <c r="V604" t="inlineStr">
        <is>
          <t>Тариф с завтраком</t>
        </is>
      </c>
      <c r="W604" t="n">
        <v>11600</v>
      </c>
      <c r="X604" s="3" t="n">
        <v>0</v>
      </c>
      <c r="Y604" t="inlineStr"/>
      <c r="Z604" t="inlineStr"/>
      <c r="AA604" s="3" t="n">
        <v>11600</v>
      </c>
      <c r="AB604" t="inlineStr">
        <is>
          <t>Сошлось по ночным тарифам</t>
        </is>
      </c>
      <c r="AC604" s="2" t="inlineStr"/>
      <c r="AD604" t="n">
        <v>0</v>
      </c>
      <c r="AE604" t="n">
        <v>0</v>
      </c>
      <c r="AF604" t="inlineStr">
        <is>
          <t>Скидки нет</t>
        </is>
      </c>
      <c r="AG604" t="n">
        <v>11600</v>
      </c>
      <c r="AH604" t="n">
        <v>11600</v>
      </c>
      <c r="AI604" t="inlineStr">
        <is>
          <t>Полное проживание в выбранном периоде</t>
        </is>
      </c>
    </row>
    <row r="605">
      <c r="A605" t="inlineStr">
        <is>
          <t>20260715-8186-450213608</t>
        </is>
      </c>
      <c r="B605" t="n">
        <v>1</v>
      </c>
      <c r="C605" s="2" t="inlineStr">
        <is>
          <t>СЕРГЕЙ САЛТЫКОВ</t>
        </is>
      </c>
      <c r="D605" s="3" t="n">
        <v>11600</v>
      </c>
      <c r="E605" s="4" t="n">
        <v>20</v>
      </c>
      <c r="F605" t="inlineStr">
        <is>
          <t>ООО "ХБ-ПРО" [Чайковский]</t>
        </is>
      </c>
      <c r="G605" s="3">
        <f>ROUND(D605/(100-E605)*100,2)</f>
        <v/>
      </c>
      <c r="H605" s="3" t="n">
        <v>0</v>
      </c>
      <c r="I605" s="3">
        <f>ROUND(IF(ISNUMBER(AG605),AG605,G605)+H605,2)</f>
        <v/>
      </c>
      <c r="J605" s="2" t="inlineStr">
        <is>
          <t>Завтрак "Шведский стол"</t>
        </is>
      </c>
      <c r="K605" s="5" t="n">
        <v>46218.58333333334</v>
      </c>
      <c r="L605" t="n">
        <v>1</v>
      </c>
      <c r="M605" s="3">
        <f>I605/L605</f>
        <v/>
      </c>
      <c r="N605">
        <f>IF(M605&gt;=5100,"ставка","мин.ставка")</f>
        <v/>
      </c>
      <c r="O605" s="3">
        <f>ROUND(IF(N605="мин.ставка",L605*100,I605/102*2),2)</f>
        <v/>
      </c>
      <c r="P605" s="5" t="n">
        <v>46219.5</v>
      </c>
      <c r="Q605" t="inlineStr">
        <is>
          <t>TravelLine UTS</t>
        </is>
      </c>
      <c r="R605" s="2" t="inlineStr">
        <is>
          <t>ПОЛУЛЮКС</t>
        </is>
      </c>
      <c r="S605" t="n">
        <v>35</v>
      </c>
      <c r="T605" t="n">
        <v>1</v>
      </c>
      <c r="U605" t="inlineStr"/>
      <c r="V605" t="inlineStr">
        <is>
          <t>Тариф с завтраком</t>
        </is>
      </c>
      <c r="W605" t="n">
        <v>11600</v>
      </c>
      <c r="X605" s="3" t="n">
        <v>0</v>
      </c>
      <c r="Y605" t="inlineStr"/>
      <c r="Z605" t="inlineStr"/>
      <c r="AA605" s="3" t="n">
        <v>11600</v>
      </c>
      <c r="AB605" t="inlineStr">
        <is>
          <t>Сошлось по ночным тарифам</t>
        </is>
      </c>
      <c r="AC605" s="2" t="inlineStr"/>
      <c r="AD605" t="n">
        <v>0</v>
      </c>
      <c r="AE605" t="n">
        <v>0</v>
      </c>
      <c r="AF605" t="inlineStr">
        <is>
          <t>Скидки нет</t>
        </is>
      </c>
      <c r="AG605" t="n">
        <v>11600</v>
      </c>
      <c r="AH605" t="n">
        <v>11600</v>
      </c>
      <c r="AI605" t="inlineStr">
        <is>
          <t>Полное проживание в выбранном периоде</t>
        </is>
      </c>
    </row>
    <row r="606">
      <c r="A606" t="inlineStr">
        <is>
          <t>20260723-8186-449693468</t>
        </is>
      </c>
      <c r="B606" t="n">
        <v>1</v>
      </c>
      <c r="C606" s="2" t="inlineStr">
        <is>
          <t>Сергей Семенишин, Евгения Ермишкина</t>
        </is>
      </c>
      <c r="D606" s="3" t="n">
        <v>34042.5</v>
      </c>
      <c r="E606" s="4" t="n">
        <v>15</v>
      </c>
      <c r="F606" t="inlineStr">
        <is>
          <t>ООО "БРОНИРОВАНИЕ ГОСТИНИЦ" (OSTROVOK) [Чайковский]</t>
        </is>
      </c>
      <c r="G606" s="3">
        <f>ROUND(D606/(100-E606)*100,2)</f>
        <v/>
      </c>
      <c r="H606" s="3" t="n">
        <v>0</v>
      </c>
      <c r="I606" s="3">
        <f>ROUND(IF(ISNUMBER(AG606),AG606,G606)+H606,2)</f>
        <v/>
      </c>
      <c r="J606" s="2" t="inlineStr">
        <is>
          <t>Завтрак "Шведский стол"</t>
        </is>
      </c>
      <c r="K606" s="5" t="n">
        <v>46226.58333333334</v>
      </c>
      <c r="L606" t="n">
        <v>3</v>
      </c>
      <c r="M606" s="3">
        <f>I606/L606</f>
        <v/>
      </c>
      <c r="N606">
        <f>IF(M606&gt;=5100,"ставка","мин.ставка")</f>
        <v/>
      </c>
      <c r="O606" s="3">
        <f>ROUND(IF(N606="мин.ставка",L606*100,I606/102*2),2)</f>
        <v/>
      </c>
      <c r="P606" s="5" t="n">
        <v>46229.5</v>
      </c>
      <c r="Q606" t="inlineStr">
        <is>
          <t>TravelLine OTK</t>
        </is>
      </c>
      <c r="R606" s="2" t="inlineStr">
        <is>
          <t>СТАНДАРТНЫЙ ДВУХМЕСТНЫЙ НОМЕР</t>
        </is>
      </c>
      <c r="S606" t="n">
        <v>44</v>
      </c>
      <c r="T606" t="n">
        <v>1</v>
      </c>
      <c r="U606" t="inlineStr"/>
      <c r="V606" t="inlineStr">
        <is>
          <t>Тариф с завтраком</t>
        </is>
      </c>
      <c r="W606" t="n">
        <v>34042.5</v>
      </c>
      <c r="X606" s="3" t="n">
        <v>6007.5</v>
      </c>
      <c r="Y606" t="inlineStr">
        <is>
          <t>15%</t>
        </is>
      </c>
      <c r="Z606" t="inlineStr">
        <is>
          <t>2026-07-23, 2026-07-24, 2026-07-25</t>
        </is>
      </c>
      <c r="AA606" s="3" t="n">
        <v>34042.5</v>
      </c>
      <c r="AB606" t="inlineStr">
        <is>
          <t>Сошлось по ночным тарифам</t>
        </is>
      </c>
      <c r="AC606" s="2" t="inlineStr"/>
      <c r="AD606" t="n">
        <v>6007.5</v>
      </c>
      <c r="AE606" t="n">
        <v>0</v>
      </c>
      <c r="AF606" t="inlineStr">
        <is>
          <t>Скидка добавлена к налоговой базе</t>
        </is>
      </c>
      <c r="AG606" t="n">
        <v>40050</v>
      </c>
      <c r="AH606" t="n">
        <v>34042.5</v>
      </c>
      <c r="AI606" t="inlineStr">
        <is>
          <t>Полное проживание в выбранном периоде</t>
        </is>
      </c>
    </row>
    <row r="607">
      <c r="A607" t="inlineStr">
        <is>
          <t>20260801-8186-455110906</t>
        </is>
      </c>
      <c r="B607" t="n">
        <v>1</v>
      </c>
      <c r="C607" s="2" t="inlineStr">
        <is>
          <t>СЕРГЕЙ СИВЕРИН</t>
        </is>
      </c>
      <c r="D607" s="3" t="n">
        <v>9534</v>
      </c>
      <c r="E607" s="4" t="n">
        <v>16</v>
      </c>
      <c r="F607" t="inlineStr">
        <is>
          <t>ООО "БРОНИРОВАНИЕ ГОСТИНИЦ" (OSTROVOK) [Чайковский]</t>
        </is>
      </c>
      <c r="G607" s="3">
        <f>ROUND(D607/(100-E607)*100,2)</f>
        <v/>
      </c>
      <c r="H607" s="3" t="n">
        <v>0</v>
      </c>
      <c r="I607" s="3">
        <f>ROUND(IF(ISNUMBER(AG607),AG607,G607)+H607,2)</f>
        <v/>
      </c>
      <c r="J607" s="2" t="inlineStr">
        <is>
          <t>Завтрак "Шведский стол"</t>
        </is>
      </c>
      <c r="K607" s="5" t="n">
        <v>46235.58333333334</v>
      </c>
      <c r="L607" t="n">
        <v>1</v>
      </c>
      <c r="M607" s="3">
        <f>I607/L607</f>
        <v/>
      </c>
      <c r="N607">
        <f>IF(M607&gt;=5100,"ставка","мин.ставка")</f>
        <v/>
      </c>
      <c r="O607" s="3">
        <f>ROUND(IF(N607="мин.ставка",L607*100,I607/102*2),2)</f>
        <v/>
      </c>
      <c r="P607" s="5" t="n">
        <v>46236.5</v>
      </c>
      <c r="Q607" t="inlineStr">
        <is>
          <t>TravelLine OTK</t>
        </is>
      </c>
      <c r="R607" s="2" t="inlineStr">
        <is>
          <t>СТАНДАРТНЫЙ ДВУХМЕСТНЫЙ НОМЕР</t>
        </is>
      </c>
      <c r="S607" t="n">
        <v>36</v>
      </c>
      <c r="T607" t="n">
        <v>1</v>
      </c>
      <c r="U607" t="inlineStr"/>
      <c r="V607" t="inlineStr">
        <is>
          <t>Тариф с завтраком</t>
        </is>
      </c>
      <c r="W607" t="n">
        <v>9534</v>
      </c>
      <c r="X607" s="3" t="n">
        <v>1816</v>
      </c>
      <c r="Y607" t="inlineStr">
        <is>
          <t>16%</t>
        </is>
      </c>
      <c r="Z607" t="inlineStr">
        <is>
          <t>2026-08-01</t>
        </is>
      </c>
      <c r="AA607" s="3" t="n">
        <v>9534</v>
      </c>
      <c r="AB607" t="inlineStr">
        <is>
          <t>Сошлось по ночным тарифам</t>
        </is>
      </c>
      <c r="AC607" s="2" t="inlineStr"/>
      <c r="AD607" t="n">
        <v>1816</v>
      </c>
      <c r="AE607" t="n">
        <v>0</v>
      </c>
      <c r="AF607" t="inlineStr">
        <is>
          <t>Скидка добавлена к налоговой базе</t>
        </is>
      </c>
      <c r="AG607" t="n">
        <v>11350</v>
      </c>
      <c r="AH607" t="n">
        <v>9534</v>
      </c>
      <c r="AI607" t="inlineStr">
        <is>
          <t>Полное проживание в выбранном периоде</t>
        </is>
      </c>
    </row>
    <row r="608">
      <c r="A608" t="inlineStr">
        <is>
          <t>20260717-8186-450533105</t>
        </is>
      </c>
      <c r="B608" t="n">
        <v>1</v>
      </c>
      <c r="C608" s="2" t="inlineStr">
        <is>
          <t>СЕРГЕЙ Тимошенко</t>
        </is>
      </c>
      <c r="D608" s="3" t="n">
        <v>11350</v>
      </c>
      <c r="E608" s="4" t="n">
        <v>0</v>
      </c>
      <c r="F608" t="inlineStr">
        <is>
          <t>Прямые бронирования (стойка) [Чайковский]</t>
        </is>
      </c>
      <c r="G608" s="3">
        <f>ROUND(D608/(100-E608)*100,2)</f>
        <v/>
      </c>
      <c r="H608" s="3" t="n">
        <v>0</v>
      </c>
      <c r="I608" s="3">
        <f>ROUND(IF(ISNUMBER(AG608),AG608,G608)+H608,2)</f>
        <v/>
      </c>
      <c r="J608" s="2" t="inlineStr">
        <is>
          <t>Завтрак "Шведский стол"</t>
        </is>
      </c>
      <c r="K608" s="5" t="n">
        <v>46220.58333333334</v>
      </c>
      <c r="L608" t="n">
        <v>1</v>
      </c>
      <c r="M608" s="3">
        <f>I608/L608</f>
        <v/>
      </c>
      <c r="N608">
        <f>IF(M608&gt;=5100,"ставка","мин.ставка")</f>
        <v/>
      </c>
      <c r="O608" s="3">
        <f>ROUND(IF(N608="мин.ставка",L608*100,I608/102*2),2)</f>
        <v/>
      </c>
      <c r="P608" s="5" t="n">
        <v>46221.5</v>
      </c>
      <c r="Q608" t="inlineStr">
        <is>
          <t>TravelLine ресепшен</t>
        </is>
      </c>
      <c r="R608" s="2" t="inlineStr">
        <is>
          <t>СТАНДАРТНЫЙ ДВУХМЕСТНЫЙ НОМЕР</t>
        </is>
      </c>
      <c r="S608" t="n">
        <v>46</v>
      </c>
      <c r="T608" t="n">
        <v>1</v>
      </c>
      <c r="U608" t="inlineStr"/>
      <c r="V608" t="inlineStr">
        <is>
          <t>Тариф с завтраком</t>
        </is>
      </c>
      <c r="W608" t="n">
        <v>11350</v>
      </c>
      <c r="X608" s="3" t="n">
        <v>0</v>
      </c>
      <c r="Y608" t="inlineStr"/>
      <c r="Z608" t="inlineStr"/>
      <c r="AA608" s="3" t="n">
        <v>11350</v>
      </c>
      <c r="AB608" t="inlineStr">
        <is>
          <t>Сошлось по ночным тарифам</t>
        </is>
      </c>
      <c r="AC608" s="2" t="inlineStr"/>
      <c r="AD608" t="n">
        <v>0</v>
      </c>
      <c r="AE608" t="n">
        <v>0</v>
      </c>
      <c r="AF608" t="inlineStr">
        <is>
          <t>Скидки нет</t>
        </is>
      </c>
      <c r="AG608" t="n">
        <v>11350</v>
      </c>
      <c r="AH608" t="n">
        <v>11350</v>
      </c>
      <c r="AI608" t="inlineStr">
        <is>
          <t>Полное проживание в выбранном периоде</t>
        </is>
      </c>
    </row>
    <row r="609">
      <c r="A609" t="inlineStr">
        <is>
          <t>20260828-8186-430964258</t>
        </is>
      </c>
      <c r="B609" t="n">
        <v>1</v>
      </c>
      <c r="C609" s="2" t="inlineStr">
        <is>
          <t>Сергей Филяс, Виктория Хренова</t>
        </is>
      </c>
      <c r="D609" s="3" t="n">
        <v>32752.5</v>
      </c>
      <c r="E609" s="4" t="n">
        <v>4</v>
      </c>
      <c r="F609" t="inlineStr">
        <is>
          <t>TravelLine Booking Engine [Чайковский]</t>
        </is>
      </c>
      <c r="G609" s="3">
        <f>ROUND(D609/(100-E609)*100,2)</f>
        <v/>
      </c>
      <c r="H609" s="3" t="n">
        <v>0</v>
      </c>
      <c r="I609" s="3">
        <f>ROUND(IF(ISNUMBER(AG609),AG609,G609)+H609,2)</f>
        <v/>
      </c>
      <c r="J609" s="2" t="inlineStr">
        <is>
          <t>Завтрак "Шведский стол"</t>
        </is>
      </c>
      <c r="K609" s="5" t="n">
        <v>46262.625</v>
      </c>
      <c r="L609" t="n">
        <v>2</v>
      </c>
      <c r="M609" s="3">
        <f>I609/L609</f>
        <v/>
      </c>
      <c r="N609">
        <f>IF(M609&gt;=5100,"ставка","мин.ставка")</f>
        <v/>
      </c>
      <c r="O609" s="3">
        <f>ROUND(IF(N609="мин.ставка",L609*100,I609/102*2),2)</f>
        <v/>
      </c>
      <c r="P609" s="5" t="n">
        <v>46264.5</v>
      </c>
      <c r="Q609" t="inlineStr">
        <is>
          <t>TravelLine сайт</t>
        </is>
      </c>
      <c r="R609" s="2" t="inlineStr">
        <is>
          <t>ПОЛУЛЮКС</t>
        </is>
      </c>
      <c r="S609" t="n">
        <v>25</v>
      </c>
      <c r="T609" t="n">
        <v>1</v>
      </c>
      <c r="U609" t="inlineStr"/>
      <c r="V609" t="inlineStr">
        <is>
          <t>Тариф с завтраком</t>
        </is>
      </c>
      <c r="W609" t="n">
        <v>32752.5</v>
      </c>
      <c r="X609" s="3" t="n">
        <v>247.5</v>
      </c>
      <c r="Y609" t="inlineStr">
        <is>
          <t>1.5%</t>
        </is>
      </c>
      <c r="Z609" t="inlineStr">
        <is>
          <t>2026-08-28</t>
        </is>
      </c>
      <c r="AA609" s="3" t="n">
        <v>32752.5</v>
      </c>
      <c r="AB609" t="inlineStr">
        <is>
          <t>Сошлось по ночным тарифам</t>
        </is>
      </c>
      <c r="AC609" s="2" t="inlineStr"/>
      <c r="AD609" t="n">
        <v>247.5</v>
      </c>
      <c r="AE609" t="n">
        <v>0</v>
      </c>
      <c r="AF609" t="inlineStr">
        <is>
          <t>Скидка добавлена к налоговой базе</t>
        </is>
      </c>
      <c r="AG609" t="n">
        <v>33000</v>
      </c>
      <c r="AH609" t="n">
        <v>32752.5</v>
      </c>
      <c r="AI609" t="inlineStr">
        <is>
          <t>Полное проживание в выбранном периоде</t>
        </is>
      </c>
    </row>
    <row r="610">
      <c r="A610" t="inlineStr">
        <is>
          <t>20260803-8186-421031747</t>
        </is>
      </c>
      <c r="B610" t="n">
        <v>1</v>
      </c>
      <c r="C610" s="2" t="inlineStr">
        <is>
          <t>Сергей Хрусталев</t>
        </is>
      </c>
      <c r="D610" s="3" t="n">
        <v>33879.75</v>
      </c>
      <c r="E610" s="4" t="n">
        <v>4</v>
      </c>
      <c r="F610" t="inlineStr">
        <is>
          <t>TravelLine Booking Engine [Чайковский]</t>
        </is>
      </c>
      <c r="G610" s="3">
        <f>ROUND(D610/(100-E610)*100,2)</f>
        <v/>
      </c>
      <c r="H610" s="3" t="n">
        <v>0</v>
      </c>
      <c r="I610" s="3">
        <f>ROUND(IF(ISNUMBER(AG610),AG610,G610)+H610,2)</f>
        <v/>
      </c>
      <c r="J610" s="2" t="inlineStr">
        <is>
          <t>Завтрак "Шведский стол"</t>
        </is>
      </c>
      <c r="K610" s="5" t="n">
        <v>46237.58333333334</v>
      </c>
      <c r="L610" t="n">
        <v>3</v>
      </c>
      <c r="M610" s="3">
        <f>I610/L610</f>
        <v/>
      </c>
      <c r="N610">
        <f>IF(M610&gt;=5100,"ставка","мин.ставка")</f>
        <v/>
      </c>
      <c r="O610" s="3">
        <f>ROUND(IF(N610="мин.ставка",L610*100,I610/102*2),2)</f>
        <v/>
      </c>
      <c r="P610" s="5" t="n">
        <v>46240.5</v>
      </c>
      <c r="Q610" t="inlineStr">
        <is>
          <t>TravelLine сайт</t>
        </is>
      </c>
      <c r="R610" s="2" t="inlineStr">
        <is>
          <t>СТАНДАРТНЫЙ ДВУХМЕСТНЫЙ НОМЕР</t>
        </is>
      </c>
      <c r="S610" t="n">
        <v>22</v>
      </c>
      <c r="T610" t="n">
        <v>1</v>
      </c>
      <c r="U610" t="inlineStr"/>
      <c r="V610" t="inlineStr">
        <is>
          <t>Тариф с завтраком</t>
        </is>
      </c>
      <c r="W610" t="n">
        <v>73729.5</v>
      </c>
      <c r="X610" s="3" t="n">
        <v>170.25</v>
      </c>
      <c r="Y610" t="inlineStr">
        <is>
          <t>1.5%</t>
        </is>
      </c>
      <c r="Z610" t="inlineStr">
        <is>
          <t>2026-08-03</t>
        </is>
      </c>
      <c r="AA610" s="3" t="n">
        <v>33879.75</v>
      </c>
      <c r="AB610" t="inlineStr">
        <is>
          <t>Сошлось по ночным тарифам</t>
        </is>
      </c>
      <c r="AC610" s="2" t="inlineStr"/>
      <c r="AD610" t="n">
        <v>170.25</v>
      </c>
      <c r="AE610" t="n">
        <v>0</v>
      </c>
      <c r="AF610" t="inlineStr">
        <is>
          <t>Скидка добавлена к налоговой базе</t>
        </is>
      </c>
      <c r="AG610" t="n">
        <v>34050</v>
      </c>
      <c r="AH610" t="n">
        <v>33879.75</v>
      </c>
      <c r="AI610" t="inlineStr">
        <is>
          <t>Полное проживание в выбранном периоде</t>
        </is>
      </c>
    </row>
    <row r="611">
      <c r="A611" t="inlineStr">
        <is>
          <t>20260909-8186-464779928</t>
        </is>
      </c>
      <c r="B611" t="n">
        <v>1</v>
      </c>
      <c r="C611" s="2" t="inlineStr">
        <is>
          <t>Сергей Чеканов</t>
        </is>
      </c>
      <c r="D611" s="3" t="n">
        <v>11600</v>
      </c>
      <c r="E611" s="4" t="n">
        <v>20</v>
      </c>
      <c r="F611" t="inlineStr">
        <is>
          <t>ООО "КОМПАНИЯ БРОНЕВИК" [Чайковский]</t>
        </is>
      </c>
      <c r="G611" s="3">
        <f>ROUND(D611/(100-E611)*100,2)</f>
        <v/>
      </c>
      <c r="H611" s="3" t="n">
        <v>0</v>
      </c>
      <c r="I611" s="3">
        <f>ROUND(IF(ISNUMBER(AG611),AG611,G611)+H611,2)</f>
        <v/>
      </c>
      <c r="J611" s="2" t="inlineStr">
        <is>
          <t>Завтрак "Шведский стол"</t>
        </is>
      </c>
      <c r="K611" s="5" t="n">
        <v>46274.58333333334</v>
      </c>
      <c r="L611" t="n">
        <v>1</v>
      </c>
      <c r="M611" s="3">
        <f>I611/L611</f>
        <v/>
      </c>
      <c r="N611">
        <f>IF(M611&gt;=5100,"ставка","мин.ставка")</f>
        <v/>
      </c>
      <c r="O611" s="3">
        <f>ROUND(IF(N611="мин.ставка",L611*100,I611/102*2),2)</f>
        <v/>
      </c>
      <c r="P611" s="5" t="n">
        <v>46275.5</v>
      </c>
      <c r="Q611" t="inlineStr">
        <is>
          <t>TravelLine BR2</t>
        </is>
      </c>
      <c r="R611" s="2" t="inlineStr">
        <is>
          <t>ПОЛУЛЮКС</t>
        </is>
      </c>
      <c r="S611" t="n">
        <v>35</v>
      </c>
      <c r="T611" t="n">
        <v>1</v>
      </c>
      <c r="U611" t="inlineStr"/>
      <c r="V611" t="inlineStr">
        <is>
          <t>Тариф с завтраком</t>
        </is>
      </c>
      <c r="W611" t="n">
        <v>11600</v>
      </c>
      <c r="X611" s="3" t="n">
        <v>0</v>
      </c>
      <c r="Y611" t="inlineStr"/>
      <c r="Z611" t="inlineStr"/>
      <c r="AA611" s="3" t="n">
        <v>11600</v>
      </c>
      <c r="AB611" t="inlineStr">
        <is>
          <t>Сошлось по ночным тарифам</t>
        </is>
      </c>
      <c r="AC611" s="2" t="inlineStr"/>
      <c r="AD611" t="n">
        <v>0</v>
      </c>
      <c r="AE611" t="n">
        <v>0</v>
      </c>
      <c r="AF611" t="inlineStr">
        <is>
          <t>Скидки нет</t>
        </is>
      </c>
      <c r="AG611" t="n">
        <v>11600</v>
      </c>
      <c r="AH611" t="n">
        <v>11600</v>
      </c>
      <c r="AI611" t="inlineStr">
        <is>
          <t>Полное проживание в выбранном периоде</t>
        </is>
      </c>
    </row>
    <row r="612">
      <c r="A612" t="inlineStr">
        <is>
          <t>20260810-8186-434605762</t>
        </is>
      </c>
      <c r="B612" t="n">
        <v>1</v>
      </c>
      <c r="C612" s="2" t="inlineStr">
        <is>
          <t>СОФЬЯ МАКАРОВА, МАКСИМ САЛТЫКОВ</t>
        </is>
      </c>
      <c r="D612" s="3" t="n">
        <v>58905</v>
      </c>
      <c r="E612" s="4" t="n">
        <v>0</v>
      </c>
      <c r="F612" t="inlineStr">
        <is>
          <t>ООО "АЛЕАН ОТДЫХ" [Чайковский]</t>
        </is>
      </c>
      <c r="G612" s="3">
        <f>ROUND(D612/(100-E612)*100,2)</f>
        <v/>
      </c>
      <c r="H612" s="3" t="n">
        <v>0</v>
      </c>
      <c r="I612" s="3">
        <f>ROUND(IF(ISNUMBER(AG612),AG612,G612)+H612,2)</f>
        <v/>
      </c>
      <c r="J612" s="2" t="inlineStr">
        <is>
          <t>meal_bf_buffet_1; meal_bf_buffet_1; Завтрак "Шведский стол"</t>
        </is>
      </c>
      <c r="K612" s="5" t="n">
        <v>46244.58333333334</v>
      </c>
      <c r="L612" t="n">
        <v>7</v>
      </c>
      <c r="M612" s="3">
        <f>I612/L612</f>
        <v/>
      </c>
      <c r="N612">
        <f>IF(M612&gt;=5100,"ставка","мин.ставка")</f>
        <v/>
      </c>
      <c r="O612" s="3">
        <f>ROUND(IF(N612="мин.ставка",L612*100,I612/102*2),2)</f>
        <v/>
      </c>
      <c r="P612" s="5" t="n">
        <v>46251.5</v>
      </c>
      <c r="Q612" t="inlineStr">
        <is>
          <t>TravelLine ALN</t>
        </is>
      </c>
      <c r="R612" s="2" t="inlineStr">
        <is>
          <t>СТАНДАРТНЫЙ ДВУХМЕСТНЫЙ НОМЕР (МАНСАРДА)</t>
        </is>
      </c>
      <c r="S612" t="n">
        <v>43</v>
      </c>
      <c r="T612" t="n">
        <v>1</v>
      </c>
      <c r="U612" t="inlineStr"/>
      <c r="V612" t="inlineStr">
        <is>
          <t>Тариф с завтраком</t>
        </is>
      </c>
      <c r="W612" t="n">
        <v>58905</v>
      </c>
      <c r="X612" s="3" t="n">
        <v>10395</v>
      </c>
      <c r="Y612" t="inlineStr">
        <is>
          <t>15%</t>
        </is>
      </c>
      <c r="Z612" t="inlineStr">
        <is>
          <t>2026-08-10, 2026-08-11, 2026-08-12, 2026-08-13, 2026-08-14, 2026-08-15, 2026-08-16</t>
        </is>
      </c>
      <c r="AA612" s="3" t="n">
        <v>58905</v>
      </c>
      <c r="AB612" t="inlineStr">
        <is>
          <t>Сошлось по ночным тарифам</t>
        </is>
      </c>
      <c r="AC612" s="2" t="inlineStr"/>
      <c r="AD612" t="n">
        <v>10395</v>
      </c>
      <c r="AE612" t="n">
        <v>0</v>
      </c>
      <c r="AF612" t="inlineStr">
        <is>
          <t>Скидка добавлена к налоговой базе</t>
        </is>
      </c>
      <c r="AG612" t="n">
        <v>69300</v>
      </c>
      <c r="AH612" t="n">
        <v>58905</v>
      </c>
      <c r="AI612" t="inlineStr">
        <is>
          <t>Полное проживание в выбранном периоде</t>
        </is>
      </c>
    </row>
    <row r="613">
      <c r="A613" t="inlineStr">
        <is>
          <t>20260806-8186-421013488</t>
        </is>
      </c>
      <c r="B613" t="n">
        <v>1</v>
      </c>
      <c r="C613" s="2" t="inlineStr">
        <is>
          <t>Станислав Драпеза, Елена Жданович</t>
        </is>
      </c>
      <c r="D613" s="3" t="n">
        <v>89782</v>
      </c>
      <c r="E613" s="4" t="n">
        <v>17</v>
      </c>
      <c r="F613" t="inlineStr">
        <is>
          <t>ООО "ОНЛАЙН ИННОВАЦИИ" (101 Отель) [Чайковский]</t>
        </is>
      </c>
      <c r="G613" s="3">
        <f>ROUND(D613/(100-E613)*100,2)</f>
        <v/>
      </c>
      <c r="H613" s="3" t="n">
        <v>0</v>
      </c>
      <c r="I613" s="3">
        <f>ROUND(IF(ISNUMBER(AG613),AG613,G613)+H613,2)</f>
        <v/>
      </c>
      <c r="J613" s="2" t="inlineStr">
        <is>
          <t>Завтрак "Шведский стол"</t>
        </is>
      </c>
      <c r="K613" s="5" t="n">
        <v>46240.58333333334</v>
      </c>
      <c r="L613" t="n">
        <v>6</v>
      </c>
      <c r="M613" s="3">
        <f>I613/L613</f>
        <v/>
      </c>
      <c r="N613">
        <f>IF(M613&gt;=5100,"ставка","мин.ставка")</f>
        <v/>
      </c>
      <c r="O613" s="3">
        <f>ROUND(IF(N613="мин.ставка",L613*100,I613/102*2),2)</f>
        <v/>
      </c>
      <c r="P613" s="5" t="n">
        <v>46246.5</v>
      </c>
      <c r="Q613" t="inlineStr">
        <is>
          <t>TravelLine H1C</t>
        </is>
      </c>
      <c r="R613" s="2" t="inlineStr">
        <is>
          <t>УЛУЧШЕННЫЙ ДВУХМЕСТНЫЙ НОМЕР</t>
        </is>
      </c>
      <c r="S613" t="n">
        <v>21</v>
      </c>
      <c r="T613" t="n">
        <v>1</v>
      </c>
      <c r="U613" t="inlineStr"/>
      <c r="V613" t="inlineStr">
        <is>
          <t>Тариф с завтраком</t>
        </is>
      </c>
      <c r="W613" t="n">
        <v>89782</v>
      </c>
      <c r="X613" s="3" t="n">
        <v>2618</v>
      </c>
      <c r="Y613" t="inlineStr">
        <is>
          <t>17%</t>
        </is>
      </c>
      <c r="Z613" t="inlineStr">
        <is>
          <t>2026-08-06</t>
        </is>
      </c>
      <c r="AA613" s="3" t="n">
        <v>89782</v>
      </c>
      <c r="AB613" t="inlineStr">
        <is>
          <t>Сошлось по ночным тарифам</t>
        </is>
      </c>
      <c r="AC613" s="2" t="inlineStr"/>
      <c r="AD613" t="n">
        <v>2618</v>
      </c>
      <c r="AE613" t="n">
        <v>0</v>
      </c>
      <c r="AF613" t="inlineStr">
        <is>
          <t>Скидка добавлена к налоговой базе</t>
        </is>
      </c>
      <c r="AG613" t="n">
        <v>92400</v>
      </c>
      <c r="AH613" t="n">
        <v>89782</v>
      </c>
      <c r="AI613" t="inlineStr">
        <is>
          <t>Полное проживание в выбранном периоде</t>
        </is>
      </c>
    </row>
    <row r="614">
      <c r="A614" t="inlineStr">
        <is>
          <t>20260916-8186-461387202</t>
        </is>
      </c>
      <c r="B614" t="n">
        <v>1</v>
      </c>
      <c r="C614" s="2" t="inlineStr">
        <is>
          <t>Станислав Шапырин</t>
        </is>
      </c>
      <c r="D614" s="3" t="n">
        <v>11600</v>
      </c>
      <c r="E614" s="4" t="n">
        <v>20</v>
      </c>
      <c r="F614" t="inlineStr">
        <is>
          <t>ООО «Дубль Гис» (OTELLO) [Чайковский]</t>
        </is>
      </c>
      <c r="G614" s="3">
        <f>ROUND(D614/(100-E614)*100,2)</f>
        <v/>
      </c>
      <c r="H614" s="3" t="n">
        <v>0</v>
      </c>
      <c r="I614" s="3">
        <f>ROUND(IF(ISNUMBER(AG614),AG614,G614)+H614,2)</f>
        <v/>
      </c>
      <c r="J614" s="2" t="inlineStr">
        <is>
          <t>Завтрак "Шведский стол"</t>
        </is>
      </c>
      <c r="K614" s="5" t="n">
        <v>46281.58333333334</v>
      </c>
      <c r="L614" t="n">
        <v>1</v>
      </c>
      <c r="M614" s="3">
        <f>I614/L614</f>
        <v/>
      </c>
      <c r="N614">
        <f>IF(M614&gt;=5100,"ставка","мин.ставка")</f>
        <v/>
      </c>
      <c r="O614" s="3">
        <f>ROUND(IF(N614="мин.ставка",L614*100,I614/102*2),2)</f>
        <v/>
      </c>
      <c r="P614" s="5" t="n">
        <v>46282.5</v>
      </c>
      <c r="Q614" t="inlineStr">
        <is>
          <t>TravelLine OL2</t>
        </is>
      </c>
      <c r="R614" s="2" t="inlineStr">
        <is>
          <t>ПОЛУЛЮКС</t>
        </is>
      </c>
      <c r="S614" t="n">
        <v>35</v>
      </c>
      <c r="T614" t="n">
        <v>1</v>
      </c>
      <c r="U614" t="inlineStr"/>
      <c r="V614" t="inlineStr">
        <is>
          <t>Тариф с завтраком</t>
        </is>
      </c>
      <c r="W614" t="n">
        <v>11600</v>
      </c>
      <c r="X614" s="3" t="n">
        <v>2900</v>
      </c>
      <c r="Y614" t="inlineStr">
        <is>
          <t>20%</t>
        </is>
      </c>
      <c r="Z614" t="inlineStr">
        <is>
          <t>2026-09-16</t>
        </is>
      </c>
      <c r="AA614" s="3" t="n">
        <v>11600</v>
      </c>
      <c r="AB614" t="inlineStr">
        <is>
          <t>Сошлось по ночным тарифам</t>
        </is>
      </c>
      <c r="AC614" s="2" t="inlineStr"/>
      <c r="AD614" t="n">
        <v>2900</v>
      </c>
      <c r="AE614" t="n">
        <v>0</v>
      </c>
      <c r="AF614" t="inlineStr">
        <is>
          <t>Скидка добавлена к налоговой базе</t>
        </is>
      </c>
      <c r="AG614" t="n">
        <v>14500</v>
      </c>
      <c r="AH614" t="n">
        <v>11600</v>
      </c>
      <c r="AI614" t="inlineStr">
        <is>
          <t>Полное проживание в выбранном периоде</t>
        </is>
      </c>
    </row>
    <row r="615">
      <c r="A615" t="inlineStr">
        <is>
          <t>20260907-8186-462321664</t>
        </is>
      </c>
      <c r="B615" t="n">
        <v>1</v>
      </c>
      <c r="C615" s="2" t="inlineStr">
        <is>
          <t>Татьяна Аксиненко</t>
        </is>
      </c>
      <c r="D615" s="3" t="n">
        <v>23200</v>
      </c>
      <c r="E615" s="4" t="n">
        <v>20</v>
      </c>
      <c r="F615" t="inlineStr">
        <is>
          <t>ООО "КОМПАНИЯ БРОНЕВИК" [Чайковский]</t>
        </is>
      </c>
      <c r="G615" s="3">
        <f>ROUND(D615/(100-E615)*100,2)</f>
        <v/>
      </c>
      <c r="H615" s="3" t="n">
        <v>0</v>
      </c>
      <c r="I615" s="3">
        <f>ROUND(IF(ISNUMBER(AG615),AG615,G615)+H615,2)</f>
        <v/>
      </c>
      <c r="J615" s="2" t="inlineStr">
        <is>
          <t>Завтрак "Шведский стол"</t>
        </is>
      </c>
      <c r="K615" s="5" t="n">
        <v>46272.58333333334</v>
      </c>
      <c r="L615" t="n">
        <v>2</v>
      </c>
      <c r="M615" s="3">
        <f>I615/L615</f>
        <v/>
      </c>
      <c r="N615">
        <f>IF(M615&gt;=5100,"ставка","мин.ставка")</f>
        <v/>
      </c>
      <c r="O615" s="3">
        <f>ROUND(IF(N615="мин.ставка",L615*100,I615/102*2),2)</f>
        <v/>
      </c>
      <c r="P615" s="5" t="n">
        <v>46274.5</v>
      </c>
      <c r="Q615" t="inlineStr">
        <is>
          <t>TravelLine BR2</t>
        </is>
      </c>
      <c r="R615" s="2" t="inlineStr">
        <is>
          <t>ПОЛУЛЮКС</t>
        </is>
      </c>
      <c r="S615" t="n">
        <v>35</v>
      </c>
      <c r="T615" t="n">
        <v>1</v>
      </c>
      <c r="U615" t="inlineStr"/>
      <c r="V615" t="inlineStr">
        <is>
          <t>Тариф с завтраком</t>
        </is>
      </c>
      <c r="W615" t="n">
        <v>23200</v>
      </c>
      <c r="X615" s="3" t="n">
        <v>0</v>
      </c>
      <c r="Y615" t="inlineStr"/>
      <c r="Z615" t="inlineStr"/>
      <c r="AA615" s="3" t="n">
        <v>23200</v>
      </c>
      <c r="AB615" t="inlineStr">
        <is>
          <t>Сошлось по ночным тарифам</t>
        </is>
      </c>
      <c r="AC615" s="2" t="inlineStr"/>
      <c r="AD615" t="n">
        <v>0</v>
      </c>
      <c r="AE615" t="n">
        <v>0</v>
      </c>
      <c r="AF615" t="inlineStr">
        <is>
          <t>Скидки нет</t>
        </is>
      </c>
      <c r="AG615" t="n">
        <v>23200</v>
      </c>
      <c r="AH615" t="n">
        <v>23200</v>
      </c>
      <c r="AI615" t="inlineStr">
        <is>
          <t>Полное проживание в выбранном периоде</t>
        </is>
      </c>
    </row>
    <row r="616">
      <c r="A616" t="inlineStr">
        <is>
          <t>20260920-8186-464686169</t>
        </is>
      </c>
      <c r="B616" t="n">
        <v>1</v>
      </c>
      <c r="C616" s="2" t="inlineStr">
        <is>
          <t>Татьяна Аксиненко</t>
        </is>
      </c>
      <c r="D616" s="3" t="n">
        <v>12180</v>
      </c>
      <c r="E616" s="4" t="n">
        <v>16</v>
      </c>
      <c r="F616" t="inlineStr">
        <is>
          <t>ООО "БРОНИРОВАНИЕ ГОСТИНИЦ" (OSTROVOK) [Чайковский]</t>
        </is>
      </c>
      <c r="G616" s="3">
        <f>ROUND(D616/(100-E616)*100,2)</f>
        <v/>
      </c>
      <c r="H616" s="3" t="n">
        <v>0</v>
      </c>
      <c r="I616" s="3">
        <f>ROUND(IF(ISNUMBER(AG616),AG616,G616)+H616,2)</f>
        <v/>
      </c>
      <c r="J616" s="2" t="inlineStr">
        <is>
          <t>Завтрак "Шведский стол"</t>
        </is>
      </c>
      <c r="K616" s="5" t="n">
        <v>46292.58333333334</v>
      </c>
      <c r="L616" t="n">
        <v>1</v>
      </c>
      <c r="M616" s="3">
        <f>I616/L616</f>
        <v/>
      </c>
      <c r="N616">
        <f>IF(M616&gt;=5100,"ставка","мин.ставка")</f>
        <v/>
      </c>
      <c r="O616" s="3">
        <f>ROUND(IF(N616="мин.ставка",L616*100,I616/102*2),2)</f>
        <v/>
      </c>
      <c r="P616" s="5" t="n">
        <v>46293.5</v>
      </c>
      <c r="Q616" t="inlineStr">
        <is>
          <t>TravelLine OTK</t>
        </is>
      </c>
      <c r="R616" s="2" t="inlineStr">
        <is>
          <t>ПОЛУЛЮКС</t>
        </is>
      </c>
      <c r="S616" t="n">
        <v>25</v>
      </c>
      <c r="T616" t="n">
        <v>1</v>
      </c>
      <c r="U616" t="inlineStr"/>
      <c r="V616" t="inlineStr">
        <is>
          <t>Тариф с завтраком</t>
        </is>
      </c>
      <c r="W616" t="n">
        <v>12180</v>
      </c>
      <c r="X616" s="3" t="n">
        <v>2320</v>
      </c>
      <c r="Y616" t="inlineStr">
        <is>
          <t>16%</t>
        </is>
      </c>
      <c r="Z616" t="inlineStr">
        <is>
          <t>2026-09-27</t>
        </is>
      </c>
      <c r="AA616" s="3" t="n">
        <v>12180</v>
      </c>
      <c r="AB616" t="inlineStr">
        <is>
          <t>Сошлось по ночным тарифам</t>
        </is>
      </c>
      <c r="AC616" s="2" t="inlineStr"/>
      <c r="AD616" t="n">
        <v>2320</v>
      </c>
      <c r="AE616" t="n">
        <v>0</v>
      </c>
      <c r="AF616" t="inlineStr">
        <is>
          <t>Скидка добавлена к налоговой базе</t>
        </is>
      </c>
      <c r="AG616" t="n">
        <v>14500</v>
      </c>
      <c r="AH616" t="n">
        <v>12180</v>
      </c>
      <c r="AI616" t="inlineStr">
        <is>
          <t>Полное проживание в выбранном периоде</t>
        </is>
      </c>
    </row>
    <row r="617">
      <c r="A617" t="inlineStr">
        <is>
          <t>20260917-8186-465196900</t>
        </is>
      </c>
      <c r="B617" t="n">
        <v>1</v>
      </c>
      <c r="C617" s="2" t="inlineStr">
        <is>
          <t>Татьяна Еремеева</t>
        </is>
      </c>
      <c r="D617" s="3" t="n">
        <v>43050.5</v>
      </c>
      <c r="E617" s="4" t="n">
        <v>4</v>
      </c>
      <c r="F617" t="inlineStr">
        <is>
          <t>TravelLine Booking Engine [Чайковский]</t>
        </is>
      </c>
      <c r="G617" s="3">
        <f>ROUND(D617/(100-E617)*100,2)</f>
        <v/>
      </c>
      <c r="H617" s="3" t="n">
        <v>0</v>
      </c>
      <c r="I617" s="3">
        <f>ROUND(IF(ISNUMBER(AG617),AG617,G617)+H617,2)</f>
        <v/>
      </c>
      <c r="J617" s="2" t="inlineStr">
        <is>
          <t>Завтрак "Шведский стол"</t>
        </is>
      </c>
      <c r="K617" s="5" t="n">
        <v>46282.58333333334</v>
      </c>
      <c r="L617" t="n">
        <v>3</v>
      </c>
      <c r="M617" s="3">
        <f>I617/L617</f>
        <v/>
      </c>
      <c r="N617">
        <f>IF(M617&gt;=5100,"ставка","мин.ставка")</f>
        <v/>
      </c>
      <c r="O617" s="3">
        <f>ROUND(IF(N617="мин.ставка",L617*100,I617/102*2),2)</f>
        <v/>
      </c>
      <c r="P617" s="5" t="n">
        <v>46285.5</v>
      </c>
      <c r="Q617" t="inlineStr">
        <is>
          <t>TravelLine сайт</t>
        </is>
      </c>
      <c r="R617" s="2" t="inlineStr">
        <is>
          <t>ПОЛУЛЮКС</t>
        </is>
      </c>
      <c r="S617" t="n">
        <v>11</v>
      </c>
      <c r="T617" t="n">
        <v>1</v>
      </c>
      <c r="U617" t="inlineStr"/>
      <c r="V617" t="inlineStr">
        <is>
          <t>Тариф с завтраком</t>
        </is>
      </c>
      <c r="W617" t="n">
        <v>43050.5</v>
      </c>
      <c r="X617" s="3" t="n">
        <v>449.5</v>
      </c>
      <c r="Y617" t="inlineStr">
        <is>
          <t>3.1%</t>
        </is>
      </c>
      <c r="Z617" t="inlineStr">
        <is>
          <t>2026-09-17</t>
        </is>
      </c>
      <c r="AA617" s="3" t="n">
        <v>43050.5</v>
      </c>
      <c r="AB617" t="inlineStr">
        <is>
          <t>Сошлось по ночным тарифам</t>
        </is>
      </c>
      <c r="AC617" s="2" t="inlineStr"/>
      <c r="AD617" t="n">
        <v>449.5</v>
      </c>
      <c r="AE617" t="n">
        <v>0</v>
      </c>
      <c r="AF617" t="inlineStr">
        <is>
          <t>Скидка добавлена к налоговой базе</t>
        </is>
      </c>
      <c r="AG617" t="n">
        <v>43500</v>
      </c>
      <c r="AH617" t="n">
        <v>43050.5</v>
      </c>
      <c r="AI617" t="inlineStr">
        <is>
          <t>Полное проживание в выбранном периоде</t>
        </is>
      </c>
    </row>
    <row r="618">
      <c r="A618" t="inlineStr">
        <is>
          <t>20260907-8186-462098127</t>
        </is>
      </c>
      <c r="B618" t="n">
        <v>1</v>
      </c>
      <c r="C618" s="2" t="inlineStr">
        <is>
          <t>Татьяна Казакова</t>
        </is>
      </c>
      <c r="D618" s="3" t="n">
        <v>18160</v>
      </c>
      <c r="E618" s="4" t="n">
        <v>20</v>
      </c>
      <c r="F618" t="inlineStr">
        <is>
          <t>ООО "КОМПАНИЯ БРОНЕВИК" [Чайковский]</t>
        </is>
      </c>
      <c r="G618" s="3">
        <f>ROUND(D618/(100-E618)*100,2)</f>
        <v/>
      </c>
      <c r="H618" s="3" t="n">
        <v>9080</v>
      </c>
      <c r="I618" s="3">
        <f>ROUND(IF(ISNUMBER(AG618),AG618,G618)+H618,2)</f>
        <v/>
      </c>
      <c r="J618" s="2" t="inlineStr">
        <is>
          <t>Завтрак "Шведский стол"; Ранний заезд — 9 080,00 ₽</t>
        </is>
      </c>
      <c r="K618" s="5" t="n">
        <v>46272.33333333334</v>
      </c>
      <c r="L618" t="n">
        <v>2</v>
      </c>
      <c r="M618" s="3">
        <f>I618/L618</f>
        <v/>
      </c>
      <c r="N618">
        <f>IF(M618&gt;=5100,"ставка","мин.ставка")</f>
        <v/>
      </c>
      <c r="O618" s="3">
        <f>ROUND(IF(N618="мин.ставка",L618*100,I618/102*2),2)</f>
        <v/>
      </c>
      <c r="P618" s="5" t="n">
        <v>46274.5</v>
      </c>
      <c r="Q618" t="inlineStr">
        <is>
          <t>TravelLine BR2</t>
        </is>
      </c>
      <c r="R618" s="2" t="inlineStr">
        <is>
          <t>СТАНДАРТНЫЙ ДВУХМЕСТНЫЙ НОМЕР</t>
        </is>
      </c>
      <c r="S618" t="n">
        <v>36</v>
      </c>
      <c r="T618" t="n">
        <v>1</v>
      </c>
      <c r="U618" t="inlineStr"/>
      <c r="V618" t="inlineStr">
        <is>
          <t>Тариф с завтраком</t>
        </is>
      </c>
      <c r="W618" t="n">
        <v>27240</v>
      </c>
      <c r="X618" s="3" t="n">
        <v>0</v>
      </c>
      <c r="Y618" t="inlineStr"/>
      <c r="Z618" t="inlineStr"/>
      <c r="AA618" s="3" t="n">
        <v>18160</v>
      </c>
      <c r="AB618" t="inlineStr">
        <is>
          <t>Расхождение -9080.00 ₽</t>
        </is>
      </c>
      <c r="AC618" s="2" t="inlineStr"/>
      <c r="AD618" t="n">
        <v>0</v>
      </c>
      <c r="AE618" t="n">
        <v>0</v>
      </c>
      <c r="AF618" t="inlineStr">
        <is>
          <t>Скидки нет</t>
        </is>
      </c>
      <c r="AG618" t="n">
        <v>18160</v>
      </c>
      <c r="AH618" t="n">
        <v>18160</v>
      </c>
      <c r="AI618" t="inlineStr">
        <is>
          <t>Полное проживание в выбранном периоде</t>
        </is>
      </c>
    </row>
    <row r="619">
      <c r="A619" t="inlineStr">
        <is>
          <t>20260803-8186-453518058</t>
        </is>
      </c>
      <c r="B619" t="n">
        <v>1</v>
      </c>
      <c r="C619" s="2" t="inlineStr">
        <is>
          <t>Татьяна Коржаева</t>
        </is>
      </c>
      <c r="D619" s="3" t="n">
        <v>20145</v>
      </c>
      <c r="E619" s="4" t="n">
        <v>15</v>
      </c>
      <c r="F619" t="inlineStr">
        <is>
          <t>ООО «12Т» (ранее ONE TWO TRIP) [Чайковский]</t>
        </is>
      </c>
      <c r="G619" s="3">
        <f>ROUND(D619/(100-E619)*100,2)</f>
        <v/>
      </c>
      <c r="H619" s="3" t="n">
        <v>0</v>
      </c>
      <c r="I619" s="3">
        <f>ROUND(IF(ISNUMBER(AG619),AG619,G619)+H619,2)</f>
        <v/>
      </c>
      <c r="J619" s="2" t="inlineStr">
        <is>
          <t>Завтрак "Шведский стол"</t>
        </is>
      </c>
      <c r="K619" s="5" t="n">
        <v>46237.58333333334</v>
      </c>
      <c r="L619" t="n">
        <v>3</v>
      </c>
      <c r="M619" s="3">
        <f>I619/L619</f>
        <v/>
      </c>
      <c r="N619">
        <f>IF(M619&gt;=5100,"ставка","мин.ставка")</f>
        <v/>
      </c>
      <c r="O619" s="3">
        <f>ROUND(IF(N619="мин.ставка",L619*100,I619/102*2),2)</f>
        <v/>
      </c>
      <c r="P619" s="5" t="n">
        <v>46240.5</v>
      </c>
      <c r="Q619" t="inlineStr">
        <is>
          <t>TravelLine OTT</t>
        </is>
      </c>
      <c r="R619" s="2" t="inlineStr">
        <is>
          <t>СТАНДАРТНЫЙ ДВУХМЕСТНЫЙ НОМЕР (МАНСАРДА)</t>
        </is>
      </c>
      <c r="S619" t="n">
        <v>41</v>
      </c>
      <c r="T619" t="n">
        <v>1</v>
      </c>
      <c r="U619" t="inlineStr"/>
      <c r="V619" t="inlineStr">
        <is>
          <t>Тариф с завтраком</t>
        </is>
      </c>
      <c r="W619" t="n">
        <v>20145</v>
      </c>
      <c r="X619" s="3" t="n">
        <v>3555</v>
      </c>
      <c r="Y619" t="inlineStr">
        <is>
          <t>15%</t>
        </is>
      </c>
      <c r="Z619" t="inlineStr">
        <is>
          <t>2026-08-03, 2026-08-04, 2026-08-05</t>
        </is>
      </c>
      <c r="AA619" s="3" t="n">
        <v>20145</v>
      </c>
      <c r="AB619" t="inlineStr">
        <is>
          <t>Сошлось по ночным тарифам</t>
        </is>
      </c>
      <c r="AC619" s="2" t="inlineStr"/>
      <c r="AD619" t="n">
        <v>3555</v>
      </c>
      <c r="AE619" t="n">
        <v>0</v>
      </c>
      <c r="AF619" t="inlineStr">
        <is>
          <t>Скидка добавлена к налоговой базе</t>
        </is>
      </c>
      <c r="AG619" t="n">
        <v>23700</v>
      </c>
      <c r="AH619" t="n">
        <v>20145</v>
      </c>
      <c r="AI619" t="inlineStr">
        <is>
          <t>Полное проживание в выбранном периоде</t>
        </is>
      </c>
    </row>
    <row r="620">
      <c r="A620" t="inlineStr">
        <is>
          <t>20260901-8186-461813683</t>
        </is>
      </c>
      <c r="B620" t="n">
        <v>1</v>
      </c>
      <c r="C620" s="2" t="inlineStr">
        <is>
          <t>Татьяна Коржаева</t>
        </is>
      </c>
      <c r="D620" s="3" t="n">
        <v>19295</v>
      </c>
      <c r="E620" s="4" t="n">
        <v>15</v>
      </c>
      <c r="F620" t="inlineStr">
        <is>
          <t>ООО «12Т» (ранее ONE TWO TRIP) [Чайковский]</t>
        </is>
      </c>
      <c r="G620" s="3">
        <f>ROUND(D620/(100-E620)*100,2)</f>
        <v/>
      </c>
      <c r="H620" s="3" t="n">
        <v>0</v>
      </c>
      <c r="I620" s="3">
        <f>ROUND(IF(ISNUMBER(AG620),AG620,G620)+H620,2)</f>
        <v/>
      </c>
      <c r="J620" s="2" t="inlineStr">
        <is>
          <t>Завтрак "Шведский стол"</t>
        </is>
      </c>
      <c r="K620" s="5" t="n">
        <v>46266.58333333334</v>
      </c>
      <c r="L620" t="n">
        <v>2</v>
      </c>
      <c r="M620" s="3">
        <f>I620/L620</f>
        <v/>
      </c>
      <c r="N620">
        <f>IF(M620&gt;=5100,"ставка","мин.ставка")</f>
        <v/>
      </c>
      <c r="O620" s="3">
        <f>ROUND(IF(N620="мин.ставка",L620*100,I620/102*2),2)</f>
        <v/>
      </c>
      <c r="P620" s="5" t="n">
        <v>46268.5</v>
      </c>
      <c r="Q620" t="inlineStr">
        <is>
          <t>TravelLine OTT</t>
        </is>
      </c>
      <c r="R620" s="2" t="inlineStr">
        <is>
          <t>УЛУЧШЕННЫЙ ДВУХМЕСТНЫЙ НОМЕР</t>
        </is>
      </c>
      <c r="S620" t="n">
        <v>31</v>
      </c>
      <c r="T620" t="n">
        <v>1</v>
      </c>
      <c r="U620" t="inlineStr"/>
      <c r="V620" t="inlineStr">
        <is>
          <t>Тариф с завтраком</t>
        </is>
      </c>
      <c r="W620" t="n">
        <v>19295</v>
      </c>
      <c r="X620" s="3" t="n">
        <v>3405</v>
      </c>
      <c r="Y620" t="inlineStr">
        <is>
          <t>15%</t>
        </is>
      </c>
      <c r="Z620" t="inlineStr">
        <is>
          <t>2026-09-01, 2026-09-02</t>
        </is>
      </c>
      <c r="AA620" s="3" t="n">
        <v>19295</v>
      </c>
      <c r="AB620" t="inlineStr">
        <is>
          <t>Сошлось по ночным тарифам</t>
        </is>
      </c>
      <c r="AC620" s="2" t="inlineStr"/>
      <c r="AD620" t="n">
        <v>3405</v>
      </c>
      <c r="AE620" t="n">
        <v>0</v>
      </c>
      <c r="AF620" t="inlineStr">
        <is>
          <t>Скидка добавлена к налоговой базе</t>
        </is>
      </c>
      <c r="AG620" t="n">
        <v>22700</v>
      </c>
      <c r="AH620" t="n">
        <v>19295</v>
      </c>
      <c r="AI620" t="inlineStr">
        <is>
          <t>Полное проживание в выбранном периоде</t>
        </is>
      </c>
    </row>
    <row r="621">
      <c r="A621" t="inlineStr">
        <is>
          <t>20260817-8186-450392040</t>
        </is>
      </c>
      <c r="B621" t="n">
        <v>1</v>
      </c>
      <c r="C621" s="2" t="inlineStr">
        <is>
          <t>Татьяна Мешкова</t>
        </is>
      </c>
      <c r="D621" s="3" t="n">
        <v>56523</v>
      </c>
      <c r="E621" s="4" t="n">
        <v>20</v>
      </c>
      <c r="F621" t="inlineStr">
        <is>
          <t>ООО «Дубль Гис» (OTELLO) [Чайковский]</t>
        </is>
      </c>
      <c r="G621" s="3">
        <f>ROUND(D621/(100-E621)*100,2)</f>
        <v/>
      </c>
      <c r="H621" s="3" t="n">
        <v>0</v>
      </c>
      <c r="I621" s="3">
        <f>ROUND(IF(ISNUMBER(AG621),AG621,G621)+H621,2)</f>
        <v/>
      </c>
      <c r="J621" s="2" t="inlineStr">
        <is>
          <t>Завтрак "Шведский стол"</t>
        </is>
      </c>
      <c r="K621" s="5" t="n">
        <v>46251.58333333334</v>
      </c>
      <c r="L621" t="n">
        <v>6</v>
      </c>
      <c r="M621" s="3">
        <f>I621/L621</f>
        <v/>
      </c>
      <c r="N621">
        <f>IF(M621&gt;=5100,"ставка","мин.ставка")</f>
        <v/>
      </c>
      <c r="O621" s="3">
        <f>ROUND(IF(N621="мин.ставка",L621*100,I621/102*2),2)</f>
        <v/>
      </c>
      <c r="P621" s="5" t="n">
        <v>46257.5</v>
      </c>
      <c r="Q621" t="inlineStr">
        <is>
          <t>TravelLine OL2</t>
        </is>
      </c>
      <c r="R621" s="2" t="inlineStr">
        <is>
          <t>СТАНДАРТНЫЙ ДВУХМЕСТНЫЙ НОМЕР</t>
        </is>
      </c>
      <c r="S621" t="n">
        <v>44</v>
      </c>
      <c r="T621" t="n">
        <v>1</v>
      </c>
      <c r="U621" t="inlineStr"/>
      <c r="V621" t="inlineStr">
        <is>
          <t>Тариф с завтраком</t>
        </is>
      </c>
      <c r="W621" t="n">
        <v>56523</v>
      </c>
      <c r="X621" s="3" t="n">
        <v>11577</v>
      </c>
      <c r="Y621" t="inlineStr">
        <is>
          <t>17%</t>
        </is>
      </c>
      <c r="Z621" t="inlineStr">
        <is>
          <t>2026-08-17, 2026-08-18, 2026-08-19, 2026-08-20, 2026-08-21, 2026-08-22</t>
        </is>
      </c>
      <c r="AA621" s="3" t="n">
        <v>56523</v>
      </c>
      <c r="AB621" t="inlineStr">
        <is>
          <t>Сошлось по ночным тарифам</t>
        </is>
      </c>
      <c r="AC621" s="2" t="inlineStr"/>
      <c r="AD621" t="n">
        <v>11577</v>
      </c>
      <c r="AE621" t="n">
        <v>0</v>
      </c>
      <c r="AF621" t="inlineStr">
        <is>
          <t>Скидка добавлена к налоговой базе</t>
        </is>
      </c>
      <c r="AG621" t="n">
        <v>68100</v>
      </c>
      <c r="AH621" t="n">
        <v>56523</v>
      </c>
      <c r="AI621" t="inlineStr">
        <is>
          <t>Полное проживание в выбранном периоде</t>
        </is>
      </c>
    </row>
    <row r="622">
      <c r="A622" t="inlineStr">
        <is>
          <t>20260823-8186-460513240</t>
        </is>
      </c>
      <c r="B622" t="n">
        <v>1</v>
      </c>
      <c r="C622" s="2" t="inlineStr">
        <is>
          <t>Татьяна Мешкова</t>
        </is>
      </c>
      <c r="D622" s="3" t="n">
        <v>6930</v>
      </c>
      <c r="E622" s="4" t="n">
        <v>0</v>
      </c>
      <c r="F622" t="inlineStr">
        <is>
          <t>Прямые бронирования (стойка) [Чайковский]</t>
        </is>
      </c>
      <c r="G622" s="3">
        <f>ROUND(D622/(100-E622)*100,2)</f>
        <v/>
      </c>
      <c r="H622" s="3" t="n">
        <v>0</v>
      </c>
      <c r="I622" s="3">
        <f>ROUND(IF(ISNUMBER(AG622),AG622,G622)+H622,2)</f>
        <v/>
      </c>
      <c r="J622" s="2" t="inlineStr">
        <is>
          <t>Завтрак "Шведский стол"</t>
        </is>
      </c>
      <c r="K622" s="5" t="n">
        <v>46257.58333333334</v>
      </c>
      <c r="L622" t="n">
        <v>1</v>
      </c>
      <c r="M622" s="3">
        <f>I622/L622</f>
        <v/>
      </c>
      <c r="N622">
        <f>IF(M622&gt;=5100,"ставка","мин.ставка")</f>
        <v/>
      </c>
      <c r="O622" s="3">
        <f>ROUND(IF(N622="мин.ставка",L622*100,I622/102*2),2)</f>
        <v/>
      </c>
      <c r="P622" s="5" t="n">
        <v>46258.5</v>
      </c>
      <c r="Q622" t="inlineStr">
        <is>
          <t>TravelLine ресепшен</t>
        </is>
      </c>
      <c r="R622" s="2" t="inlineStr">
        <is>
          <t>СТАНДАРТНЫЙ ОДНОМЕСТНЫЙ НОМЕР</t>
        </is>
      </c>
      <c r="S622" t="n">
        <v>34</v>
      </c>
      <c r="T622" t="n">
        <v>1</v>
      </c>
      <c r="U622" t="inlineStr"/>
      <c r="V622" t="inlineStr">
        <is>
          <t>Тариф с завтраком</t>
        </is>
      </c>
      <c r="W622" t="n">
        <v>6930</v>
      </c>
      <c r="X622" s="3" t="n">
        <v>770</v>
      </c>
      <c r="Y622" t="inlineStr">
        <is>
          <t>10%</t>
        </is>
      </c>
      <c r="Z622" t="inlineStr">
        <is>
          <t>2026-08-23</t>
        </is>
      </c>
      <c r="AA622" s="3" t="n">
        <v>6930</v>
      </c>
      <c r="AB622" t="inlineStr">
        <is>
          <t>Сошлось по ночным тарифам</t>
        </is>
      </c>
      <c r="AC622" s="2" t="inlineStr"/>
      <c r="AD622" t="n">
        <v>770</v>
      </c>
      <c r="AE622" t="n">
        <v>0</v>
      </c>
      <c r="AF622" t="inlineStr">
        <is>
          <t>Скидка добавлена к налоговой базе</t>
        </is>
      </c>
      <c r="AG622" t="n">
        <v>7700</v>
      </c>
      <c r="AH622" t="n">
        <v>6930</v>
      </c>
      <c r="AI622" t="inlineStr">
        <is>
          <t>Полное проживание в выбранном периоде</t>
        </is>
      </c>
    </row>
    <row r="623">
      <c r="A623" t="inlineStr">
        <is>
          <t>20260817-8186-450380196</t>
        </is>
      </c>
      <c r="B623" t="n">
        <v>1</v>
      </c>
      <c r="C623" s="2" t="inlineStr">
        <is>
          <t>Татьяна Мулинова</t>
        </is>
      </c>
      <c r="D623" s="3" t="n">
        <v>18614</v>
      </c>
      <c r="E623" s="4" t="n">
        <v>18</v>
      </c>
      <c r="F623" t="inlineStr">
        <is>
          <t>ООО "Эй энд Эй" [Чайковский]</t>
        </is>
      </c>
      <c r="G623" s="3">
        <f>ROUND(D623/(100-E623)*100,2)</f>
        <v/>
      </c>
      <c r="H623" s="3" t="n">
        <v>0</v>
      </c>
      <c r="I623" s="3">
        <f>ROUND(IF(ISNUMBER(AG623),AG623,G623)+H623,2)</f>
        <v/>
      </c>
      <c r="J623" s="2" t="inlineStr">
        <is>
          <t>Завтрак "Шведский стол"</t>
        </is>
      </c>
      <c r="K623" s="5" t="n">
        <v>46251.58333333334</v>
      </c>
      <c r="L623" t="n">
        <v>2</v>
      </c>
      <c r="M623" s="3">
        <f>I623/L623</f>
        <v/>
      </c>
      <c r="N623">
        <f>IF(M623&gt;=5100,"ставка","мин.ставка")</f>
        <v/>
      </c>
      <c r="O623" s="3">
        <f>ROUND(IF(N623="мин.ставка",L623*100,I623/102*2),2)</f>
        <v/>
      </c>
      <c r="P623" s="5" t="n">
        <v>46253.5</v>
      </c>
      <c r="Q623" t="inlineStr">
        <is>
          <t>TravelLine ANA</t>
        </is>
      </c>
      <c r="R623" s="2" t="inlineStr">
        <is>
          <t>СТАНДАРТНЫЙ ДВУХМЕСТНЫЙ НОМЕР</t>
        </is>
      </c>
      <c r="S623" t="n">
        <v>46</v>
      </c>
      <c r="T623" t="n">
        <v>1</v>
      </c>
      <c r="U623" t="inlineStr"/>
      <c r="V623" t="inlineStr">
        <is>
          <t>Тариф с завтраком</t>
        </is>
      </c>
      <c r="W623" t="n">
        <v>18614</v>
      </c>
      <c r="X623" s="3" t="n">
        <v>4086</v>
      </c>
      <c r="Y623" t="inlineStr">
        <is>
          <t>18%</t>
        </is>
      </c>
      <c r="Z623" t="inlineStr">
        <is>
          <t>2026-08-17, 2026-08-18</t>
        </is>
      </c>
      <c r="AA623" s="3" t="n">
        <v>18614</v>
      </c>
      <c r="AB623" t="inlineStr">
        <is>
          <t>Сошлось по ночным тарифам</t>
        </is>
      </c>
      <c r="AC623" s="2" t="inlineStr"/>
      <c r="AD623" t="n">
        <v>4086</v>
      </c>
      <c r="AE623" t="n">
        <v>0</v>
      </c>
      <c r="AF623" t="inlineStr">
        <is>
          <t>Скидка добавлена к налоговой базе</t>
        </is>
      </c>
      <c r="AG623" t="n">
        <v>22700</v>
      </c>
      <c r="AH623" t="n">
        <v>18614</v>
      </c>
      <c r="AI623" t="inlineStr">
        <is>
          <t>Полное проживание в выбранном периоде</t>
        </is>
      </c>
    </row>
    <row r="624">
      <c r="A624" t="inlineStr">
        <is>
          <t>20260721-8186-445148990</t>
        </is>
      </c>
      <c r="B624" t="n">
        <v>1</v>
      </c>
      <c r="C624" s="2" t="inlineStr">
        <is>
          <t>Татьяна Парунова, Виталий Терехов</t>
        </is>
      </c>
      <c r="D624" s="3" t="n">
        <v>32040</v>
      </c>
      <c r="E624" s="4" t="n">
        <v>18</v>
      </c>
      <c r="F624" t="inlineStr">
        <is>
          <t>Яндекс.Путешествия [Чайковский]</t>
        </is>
      </c>
      <c r="G624" s="3">
        <f>ROUND(D624/(100-E624)*100,2)</f>
        <v/>
      </c>
      <c r="H624" s="3" t="n">
        <v>0</v>
      </c>
      <c r="I624" s="3">
        <f>ROUND(IF(ISNUMBER(AG624),AG624,G624)+H624,2)</f>
        <v/>
      </c>
      <c r="J624" s="2" t="inlineStr">
        <is>
          <t>Завтрак "Шведский стол"</t>
        </is>
      </c>
      <c r="K624" s="5" t="n">
        <v>46224.58333333334</v>
      </c>
      <c r="L624" t="n">
        <v>3</v>
      </c>
      <c r="M624" s="3">
        <f>I624/L624</f>
        <v/>
      </c>
      <c r="N624">
        <f>IF(M624&gt;=5100,"ставка","мин.ставка")</f>
        <v/>
      </c>
      <c r="O624" s="3">
        <f>ROUND(IF(N624="мин.ставка",L624*100,I624/102*2),2)</f>
        <v/>
      </c>
      <c r="P624" s="5" t="n">
        <v>46227.5</v>
      </c>
      <c r="Q624" t="inlineStr">
        <is>
          <t>TravelLine YAX</t>
        </is>
      </c>
      <c r="R624" s="2" t="inlineStr">
        <is>
          <t>СТАНДАРТНЫЙ ДВУХМЕСТНЫЙ НОМЕР</t>
        </is>
      </c>
      <c r="S624" t="n">
        <v>36</v>
      </c>
      <c r="T624" t="n">
        <v>1</v>
      </c>
      <c r="U624" t="inlineStr"/>
      <c r="V624" t="inlineStr">
        <is>
          <t>Тариф с завтраком</t>
        </is>
      </c>
      <c r="W624" t="n">
        <v>32040</v>
      </c>
      <c r="X624" s="3" t="n">
        <v>8010</v>
      </c>
      <c r="Y624" t="inlineStr">
        <is>
          <t>20%</t>
        </is>
      </c>
      <c r="Z624" t="inlineStr">
        <is>
          <t>2026-07-21, 2026-07-22, 2026-07-23</t>
        </is>
      </c>
      <c r="AA624" s="3" t="n">
        <v>32040</v>
      </c>
      <c r="AB624" t="inlineStr">
        <is>
          <t>Сошлось по ночным тарифам</t>
        </is>
      </c>
      <c r="AC624" s="2" t="inlineStr"/>
      <c r="AD624" t="n">
        <v>8010</v>
      </c>
      <c r="AE624" t="n">
        <v>0</v>
      </c>
      <c r="AF624" t="inlineStr">
        <is>
          <t>Скидка добавлена к налоговой базе</t>
        </is>
      </c>
      <c r="AG624" t="n">
        <v>40050</v>
      </c>
      <c r="AH624" t="n">
        <v>32040</v>
      </c>
      <c r="AI624" t="inlineStr">
        <is>
          <t>Полное проживание в выбранном периоде</t>
        </is>
      </c>
    </row>
    <row r="625">
      <c r="A625" t="inlineStr">
        <is>
          <t>20260807-8186-451684061</t>
        </is>
      </c>
      <c r="B625" t="n">
        <v>1</v>
      </c>
      <c r="C625" s="2" t="inlineStr">
        <is>
          <t>ТАТЬЯНА ПЕТРОВА, ЕЛЕНА ВАЛЬТЕР</t>
        </is>
      </c>
      <c r="D625" s="3" t="n">
        <v>22695</v>
      </c>
      <c r="E625" s="4" t="n">
        <v>15</v>
      </c>
      <c r="F625" t="inlineStr">
        <is>
          <t>ООО "Библио-Глобус Туроператор" [Чайковский]</t>
        </is>
      </c>
      <c r="G625" s="3">
        <f>ROUND(D625/(100-E625)*100,2)</f>
        <v/>
      </c>
      <c r="H625" s="3" t="n">
        <v>0</v>
      </c>
      <c r="I625" s="3">
        <f>ROUND(IF(ISNUMBER(AG625),AG625,G625)+H625,2)</f>
        <v/>
      </c>
      <c r="J625" s="2" t="inlineStr">
        <is>
          <t>Завтрак "Шведский стол"</t>
        </is>
      </c>
      <c r="K625" s="5" t="n">
        <v>46241.58333333334</v>
      </c>
      <c r="L625" t="n">
        <v>2</v>
      </c>
      <c r="M625" s="3">
        <f>I625/L625</f>
        <v/>
      </c>
      <c r="N625">
        <f>IF(M625&gt;=5100,"ставка","мин.ставка")</f>
        <v/>
      </c>
      <c r="O625" s="3">
        <f>ROUND(IF(N625="мин.ставка",L625*100,I625/102*2),2)</f>
        <v/>
      </c>
      <c r="P625" s="5" t="n">
        <v>46243.5</v>
      </c>
      <c r="Q625" t="inlineStr">
        <is>
          <t>TravelLine BGL</t>
        </is>
      </c>
      <c r="R625" s="2" t="inlineStr">
        <is>
          <t>СТАНДАРТНЫЙ ДВУХМЕСТНЫЙ НОМЕР</t>
        </is>
      </c>
      <c r="S625" t="n">
        <v>33</v>
      </c>
      <c r="T625" t="n">
        <v>1</v>
      </c>
      <c r="U625" t="inlineStr"/>
      <c r="V625" t="inlineStr">
        <is>
          <t>Тариф с завтраком</t>
        </is>
      </c>
      <c r="W625" t="n">
        <v>22695</v>
      </c>
      <c r="X625" s="3" t="n">
        <v>4005</v>
      </c>
      <c r="Y625" t="inlineStr">
        <is>
          <t>15%</t>
        </is>
      </c>
      <c r="Z625" t="inlineStr">
        <is>
          <t>2026-08-07, 2026-08-08</t>
        </is>
      </c>
      <c r="AA625" s="3" t="n">
        <v>22695</v>
      </c>
      <c r="AB625" t="inlineStr">
        <is>
          <t>Сошлось по ночным тарифам</t>
        </is>
      </c>
      <c r="AC625" s="2" t="inlineStr"/>
      <c r="AD625" t="n">
        <v>4005</v>
      </c>
      <c r="AE625" t="n">
        <v>0</v>
      </c>
      <c r="AF625" t="inlineStr">
        <is>
          <t>Скидка добавлена к налоговой базе</t>
        </is>
      </c>
      <c r="AG625" t="n">
        <v>26700</v>
      </c>
      <c r="AH625" t="n">
        <v>22695</v>
      </c>
      <c r="AI625" t="inlineStr">
        <is>
          <t>Полное проживание в выбранном периоде</t>
        </is>
      </c>
    </row>
    <row r="626">
      <c r="A626" t="inlineStr">
        <is>
          <t>20260829-8186-451483327</t>
        </is>
      </c>
      <c r="B626" t="n">
        <v>1</v>
      </c>
      <c r="C626" s="2" t="inlineStr">
        <is>
          <t>Татьяна Познякова, Павел Синявский</t>
        </is>
      </c>
      <c r="D626" s="3" t="n">
        <v>24651</v>
      </c>
      <c r="E626" s="4" t="n">
        <v>17</v>
      </c>
      <c r="F626" t="inlineStr">
        <is>
          <t>ООО «Интернет Трэвел» (OZON) [Чайковский]</t>
        </is>
      </c>
      <c r="G626" s="3">
        <f>ROUND(D626/(100-E626)*100,2)</f>
        <v/>
      </c>
      <c r="H626" s="3" t="n">
        <v>0</v>
      </c>
      <c r="I626" s="3">
        <f>ROUND(IF(ISNUMBER(AG626),AG626,G626)+H626,2)</f>
        <v/>
      </c>
      <c r="J626" s="2" t="inlineStr">
        <is>
          <t>Завтрак "Шведский стол"</t>
        </is>
      </c>
      <c r="K626" s="5" t="n">
        <v>46263.58333333334</v>
      </c>
      <c r="L626" t="n">
        <v>3</v>
      </c>
      <c r="M626" s="3">
        <f>I626/L626</f>
        <v/>
      </c>
      <c r="N626">
        <f>IF(M626&gt;=5100,"ставка","мин.ставка")</f>
        <v/>
      </c>
      <c r="O626" s="3">
        <f>ROUND(IF(N626="мин.ставка",L626*100,I626/102*2),2)</f>
        <v/>
      </c>
      <c r="P626" s="5" t="n">
        <v>46266.5</v>
      </c>
      <c r="Q626" t="inlineStr">
        <is>
          <t>TravelLine OZ2</t>
        </is>
      </c>
      <c r="R626" s="2" t="inlineStr">
        <is>
          <t>СТАНДАРТНЫЙ ДВУХМЕСТНЫЙ НОМЕР (МАНСАРДА)</t>
        </is>
      </c>
      <c r="S626" t="n">
        <v>41</v>
      </c>
      <c r="T626" t="n">
        <v>1</v>
      </c>
      <c r="U626" t="inlineStr"/>
      <c r="V626" t="inlineStr">
        <is>
          <t>Тариф с завтраком</t>
        </is>
      </c>
      <c r="W626" t="n">
        <v>24651</v>
      </c>
      <c r="X626" s="3" t="n">
        <v>5049</v>
      </c>
      <c r="Y626" t="inlineStr">
        <is>
          <t>17%</t>
        </is>
      </c>
      <c r="Z626" t="inlineStr">
        <is>
          <t>2026-08-29, 2026-08-30, 2026-08-31</t>
        </is>
      </c>
      <c r="AA626" s="3" t="n">
        <v>24651</v>
      </c>
      <c r="AB626" t="inlineStr">
        <is>
          <t>Сошлось по ночным тарифам</t>
        </is>
      </c>
      <c r="AC626" s="2" t="inlineStr"/>
      <c r="AD626" t="n">
        <v>5049</v>
      </c>
      <c r="AE626" t="n">
        <v>0</v>
      </c>
      <c r="AF626" t="inlineStr">
        <is>
          <t>Скидка добавлена к налоговой базе</t>
        </is>
      </c>
      <c r="AG626" t="n">
        <v>29700</v>
      </c>
      <c r="AH626" t="n">
        <v>24651</v>
      </c>
      <c r="AI626" t="inlineStr">
        <is>
          <t>Полное проживание в выбранном периоде</t>
        </is>
      </c>
    </row>
    <row r="627">
      <c r="A627" t="inlineStr">
        <is>
          <t>20260911-8186-457261694</t>
        </is>
      </c>
      <c r="B627" t="n">
        <v>1</v>
      </c>
      <c r="C627" s="2" t="inlineStr">
        <is>
          <t>ТАТЬЯНА ПРУССАКОВА</t>
        </is>
      </c>
      <c r="D627" s="3" t="n">
        <v>19635</v>
      </c>
      <c r="E627" s="4" t="n">
        <v>15</v>
      </c>
      <c r="F627" t="inlineStr">
        <is>
          <t>Trip.com Group [Чайковский]</t>
        </is>
      </c>
      <c r="G627" s="3">
        <f>ROUND(D627/(100-E627)*100,2)</f>
        <v/>
      </c>
      <c r="H627" s="3" t="n">
        <v>0</v>
      </c>
      <c r="I627" s="3">
        <f>ROUND(IF(ISNUMBER(AG627),AG627,G627)+H627,2)</f>
        <v/>
      </c>
      <c r="J627" s="2" t="inlineStr">
        <is>
          <t>Завтрак "Шведский стол"</t>
        </is>
      </c>
      <c r="K627" s="5" t="n">
        <v>46276.58333333334</v>
      </c>
      <c r="L627" t="n">
        <v>3</v>
      </c>
      <c r="M627" s="3">
        <f>I627/L627</f>
        <v/>
      </c>
      <c r="N627">
        <f>IF(M627&gt;=5100,"ставка","мин.ставка")</f>
        <v/>
      </c>
      <c r="O627" s="3">
        <f>ROUND(IF(N627="мин.ставка",L627*100,I627/102*2),2)</f>
        <v/>
      </c>
      <c r="P627" s="5" t="n">
        <v>46279.5</v>
      </c>
      <c r="Q627" t="inlineStr">
        <is>
          <t>TravelLine CTP</t>
        </is>
      </c>
      <c r="R627" s="2" t="inlineStr">
        <is>
          <t>СТАНДАРТНЫЙ ОДНОМЕСТНЫЙ НОМЕР</t>
        </is>
      </c>
      <c r="S627" t="n">
        <v>34</v>
      </c>
      <c r="T627" t="n">
        <v>1</v>
      </c>
      <c r="U627" t="inlineStr"/>
      <c r="V627" t="inlineStr">
        <is>
          <t>Тариф с завтраком</t>
        </is>
      </c>
      <c r="W627" t="n">
        <v>19635</v>
      </c>
      <c r="X627" s="3" t="n">
        <v>0</v>
      </c>
      <c r="Y627" t="inlineStr"/>
      <c r="Z627" t="inlineStr"/>
      <c r="AA627" s="3" t="n">
        <v>19635</v>
      </c>
      <c r="AB627" t="inlineStr">
        <is>
          <t>Сошлось по ночным тарифам</t>
        </is>
      </c>
      <c r="AC627" s="2" t="inlineStr"/>
      <c r="AD627" t="n">
        <v>0</v>
      </c>
      <c r="AE627" t="n">
        <v>0</v>
      </c>
      <c r="AF627" t="inlineStr">
        <is>
          <t>Скидки нет</t>
        </is>
      </c>
      <c r="AG627" t="n">
        <v>19635</v>
      </c>
      <c r="AH627" t="n">
        <v>19635</v>
      </c>
      <c r="AI627" t="inlineStr">
        <is>
          <t>Полное проживание в выбранном периоде</t>
        </is>
      </c>
    </row>
    <row r="628">
      <c r="A628" t="inlineStr">
        <is>
          <t>20260919-8186-459559612</t>
        </is>
      </c>
      <c r="B628" t="n">
        <v>1</v>
      </c>
      <c r="C628" s="2" t="inlineStr">
        <is>
          <t>ТАТЬЯНА РИКАЛЕНКО</t>
        </is>
      </c>
      <c r="D628" s="3" t="n">
        <v>28602</v>
      </c>
      <c r="E628" s="4" t="n">
        <v>16</v>
      </c>
      <c r="F628" t="inlineStr">
        <is>
          <t>ООО "БРОНИРОВАНИЕ ГОСТИНИЦ" (OSTROVOK) [Чайковский]</t>
        </is>
      </c>
      <c r="G628" s="3">
        <f>ROUND(D628/(100-E628)*100,2)</f>
        <v/>
      </c>
      <c r="H628" s="3" t="n">
        <v>0</v>
      </c>
      <c r="I628" s="3">
        <f>ROUND(IF(ISNUMBER(AG628),AG628,G628)+H628,2)</f>
        <v/>
      </c>
      <c r="J628" s="2" t="inlineStr">
        <is>
          <t>Завтрак "Шведский стол"</t>
        </is>
      </c>
      <c r="K628" s="5" t="n">
        <v>46284.58333333334</v>
      </c>
      <c r="L628" t="n">
        <v>3</v>
      </c>
      <c r="M628" s="3">
        <f>I628/L628</f>
        <v/>
      </c>
      <c r="N628">
        <f>IF(M628&gt;=5100,"ставка","мин.ставка")</f>
        <v/>
      </c>
      <c r="O628" s="3">
        <f>ROUND(IF(N628="мин.ставка",L628*100,I628/102*2),2)</f>
        <v/>
      </c>
      <c r="P628" s="5" t="n">
        <v>46287.5</v>
      </c>
      <c r="Q628" t="inlineStr">
        <is>
          <t>TravelLine OTK</t>
        </is>
      </c>
      <c r="R628" s="2" t="inlineStr">
        <is>
          <t>СТАНДАРТНЫЙ ДВУХМЕСТНЫЙ НОМЕР</t>
        </is>
      </c>
      <c r="S628" t="n">
        <v>32</v>
      </c>
      <c r="T628" t="n">
        <v>1</v>
      </c>
      <c r="U628" t="inlineStr"/>
      <c r="V628" t="inlineStr">
        <is>
          <t>Тариф с завтраком</t>
        </is>
      </c>
      <c r="W628" t="n">
        <v>28602</v>
      </c>
      <c r="X628" s="3" t="n">
        <v>5448</v>
      </c>
      <c r="Y628" t="inlineStr">
        <is>
          <t>16%</t>
        </is>
      </c>
      <c r="Z628" t="inlineStr">
        <is>
          <t>2026-09-19, 2026-09-20, 2026-09-21</t>
        </is>
      </c>
      <c r="AA628" s="3" t="n">
        <v>28602</v>
      </c>
      <c r="AB628" t="inlineStr">
        <is>
          <t>Сошлось по ночным тарифам</t>
        </is>
      </c>
      <c r="AC628" s="2" t="inlineStr"/>
      <c r="AD628" t="n">
        <v>5448</v>
      </c>
      <c r="AE628" t="n">
        <v>0</v>
      </c>
      <c r="AF628" t="inlineStr">
        <is>
          <t>Скидка добавлена к налоговой базе</t>
        </is>
      </c>
      <c r="AG628" t="n">
        <v>34050</v>
      </c>
      <c r="AH628" t="n">
        <v>28602</v>
      </c>
      <c r="AI628" t="inlineStr">
        <is>
          <t>Полное проживание в выбранном периоде</t>
        </is>
      </c>
    </row>
    <row r="629">
      <c r="A629" t="inlineStr">
        <is>
          <t>20260724-8186-448711908</t>
        </is>
      </c>
      <c r="B629" t="n">
        <v>1</v>
      </c>
      <c r="C629" s="2" t="inlineStr">
        <is>
          <t>ТАТЬЯНА СЛИВНИЦЫНА, МАЙЯ СЛИВНИЦЫНА</t>
        </is>
      </c>
      <c r="D629" s="3" t="n">
        <v>22695</v>
      </c>
      <c r="E629" s="4" t="n">
        <v>15</v>
      </c>
      <c r="F629" t="inlineStr">
        <is>
          <t>ООО "БРОНИРОВАНИЕ ГОСТИНИЦ" (OSTROVOK) [Чайковский]</t>
        </is>
      </c>
      <c r="G629" s="3">
        <f>ROUND(D629/(100-E629)*100,2)</f>
        <v/>
      </c>
      <c r="H629" s="3" t="n">
        <v>1300</v>
      </c>
      <c r="I629" s="3">
        <f>ROUND(IF(ISNUMBER(AG629),AG629,G629)+H629,2)</f>
        <v/>
      </c>
      <c r="J629" s="2" t="inlineStr">
        <is>
          <t>продление номера — 1 300,00 ₽; Завтрак "Шведский стол"</t>
        </is>
      </c>
      <c r="K629" s="5" t="n">
        <v>46227.58333333334</v>
      </c>
      <c r="L629" t="n">
        <v>2</v>
      </c>
      <c r="M629" s="3">
        <f>I629/L629</f>
        <v/>
      </c>
      <c r="N629">
        <f>IF(M629&gt;=5100,"ставка","мин.ставка")</f>
        <v/>
      </c>
      <c r="O629" s="3">
        <f>ROUND(IF(N629="мин.ставка",L629*100,I629/102*2),2)</f>
        <v/>
      </c>
      <c r="P629" s="5" t="n">
        <v>46229.5</v>
      </c>
      <c r="Q629" t="inlineStr">
        <is>
          <t>TravelLine OTK</t>
        </is>
      </c>
      <c r="R629" s="2" t="inlineStr">
        <is>
          <t>СТАНДАРТНЫЙ ДВУХМЕСТНЫЙ НОМЕР</t>
        </is>
      </c>
      <c r="S629" t="n">
        <v>36</v>
      </c>
      <c r="T629" t="n">
        <v>1</v>
      </c>
      <c r="U629" t="inlineStr"/>
      <c r="V629" t="inlineStr">
        <is>
          <t>Тариф с завтраком</t>
        </is>
      </c>
      <c r="W629" t="n">
        <v>23995</v>
      </c>
      <c r="X629" s="3" t="n">
        <v>4005</v>
      </c>
      <c r="Y629" t="inlineStr">
        <is>
          <t>15%</t>
        </is>
      </c>
      <c r="Z629" t="inlineStr">
        <is>
          <t>2026-07-24, 2026-07-25</t>
        </is>
      </c>
      <c r="AA629" s="3" t="n">
        <v>22695</v>
      </c>
      <c r="AB629" t="inlineStr">
        <is>
          <t>Сошлось с услугами</t>
        </is>
      </c>
      <c r="AC629" s="2" t="inlineStr"/>
      <c r="AD629" t="n">
        <v>4005</v>
      </c>
      <c r="AE629" t="n">
        <v>0</v>
      </c>
      <c r="AF629" t="inlineStr">
        <is>
          <t>Скидка добавлена к налоговой базе</t>
        </is>
      </c>
      <c r="AG629" t="n">
        <v>26700</v>
      </c>
      <c r="AH629" t="n">
        <v>22695</v>
      </c>
      <c r="AI629" t="inlineStr">
        <is>
          <t>Полное проживание в выбранном периоде</t>
        </is>
      </c>
    </row>
    <row r="630">
      <c r="A630" t="inlineStr">
        <is>
          <t>20260721-8186-429851742</t>
        </is>
      </c>
      <c r="B630" t="n">
        <v>1</v>
      </c>
      <c r="C630" s="2" t="inlineStr">
        <is>
          <t>Татьяна СМирнова, НИКИТА БОРМОТКИН</t>
        </is>
      </c>
      <c r="D630" s="3" t="n">
        <v>9593.1</v>
      </c>
      <c r="E630" s="4" t="n">
        <v>4</v>
      </c>
      <c r="F630" t="inlineStr">
        <is>
          <t>TravelLine Booking Engine [Чайковский]</t>
        </is>
      </c>
      <c r="G630" s="3">
        <f>ROUND(D630/(100-E630)*100,2)</f>
        <v/>
      </c>
      <c r="H630" s="3" t="n">
        <v>0</v>
      </c>
      <c r="I630" s="3">
        <f>ROUND(IF(ISNUMBER(AG630),AG630,G630)+H630,2)</f>
        <v/>
      </c>
      <c r="J630" s="2" t="inlineStr">
        <is>
          <t>Завтрак "Шведский стол"</t>
        </is>
      </c>
      <c r="K630" s="5" t="n">
        <v>46224.58333333334</v>
      </c>
      <c r="L630" t="n">
        <v>1</v>
      </c>
      <c r="M630" s="3">
        <f>I630/L630</f>
        <v/>
      </c>
      <c r="N630">
        <f>IF(M630&gt;=5100,"ставка","мин.ставка")</f>
        <v/>
      </c>
      <c r="O630" s="3">
        <f>ROUND(IF(N630="мин.ставка",L630*100,I630/102*2),2)</f>
        <v/>
      </c>
      <c r="P630" s="5" t="n">
        <v>46225.5</v>
      </c>
      <c r="Q630" t="inlineStr">
        <is>
          <t>TravelLine сайт</t>
        </is>
      </c>
      <c r="R630" s="2" t="inlineStr">
        <is>
          <t>СТАНДАРТНЫЙ ДВУХМЕСТНЫЙ НОМЕР (МАНСАРДА)</t>
        </is>
      </c>
      <c r="S630" t="n">
        <v>41</v>
      </c>
      <c r="T630" t="n">
        <v>1</v>
      </c>
      <c r="U630" t="inlineStr"/>
      <c r="V630" t="inlineStr">
        <is>
          <t>Тариф с завтраком</t>
        </is>
      </c>
      <c r="W630" t="n">
        <v>9593.1</v>
      </c>
      <c r="X630" s="3" t="n">
        <v>306.9</v>
      </c>
      <c r="Y630" t="inlineStr">
        <is>
          <t>3.1%</t>
        </is>
      </c>
      <c r="Z630" t="inlineStr">
        <is>
          <t>2026-07-21</t>
        </is>
      </c>
      <c r="AA630" s="3" t="n">
        <v>9593.1</v>
      </c>
      <c r="AB630" t="inlineStr">
        <is>
          <t>Сошлось по ночным тарифам</t>
        </is>
      </c>
      <c r="AC630" s="2" t="inlineStr"/>
      <c r="AD630" t="n">
        <v>306.9</v>
      </c>
      <c r="AE630" t="n">
        <v>0</v>
      </c>
      <c r="AF630" t="inlineStr">
        <is>
          <t>Скидка добавлена к налоговой базе</t>
        </is>
      </c>
      <c r="AG630" t="n">
        <v>9900</v>
      </c>
      <c r="AH630" t="n">
        <v>9593.1</v>
      </c>
      <c r="AI630" t="inlineStr">
        <is>
          <t>Полное проживание в выбранном периоде</t>
        </is>
      </c>
    </row>
    <row r="631">
      <c r="A631" t="inlineStr">
        <is>
          <t>20260822-8186-438680558</t>
        </is>
      </c>
      <c r="B631" t="n">
        <v>1</v>
      </c>
      <c r="C631" s="2" t="inlineStr">
        <is>
          <t>ТАТЬЯНА ТИМАКИНА, ЮЛИЯ ТИМАКИНА</t>
        </is>
      </c>
      <c r="D631" s="3" t="n">
        <v>45390</v>
      </c>
      <c r="E631" s="4" t="n">
        <v>16</v>
      </c>
      <c r="F631" t="inlineStr">
        <is>
          <t>ООО "БРОНИРОВАНИЕ ГОСТИНИЦ" (OSTROVOK) [Чайковский]</t>
        </is>
      </c>
      <c r="G631" s="3">
        <f>ROUND(D631/(100-E631)*100,2)</f>
        <v/>
      </c>
      <c r="H631" s="3" t="n">
        <v>0</v>
      </c>
      <c r="I631" s="3">
        <f>ROUND(IF(ISNUMBER(AG631),AG631,G631)+H631,2)</f>
        <v/>
      </c>
      <c r="J631" s="2" t="inlineStr">
        <is>
          <t>Завтрак "Шведский стол"</t>
        </is>
      </c>
      <c r="K631" s="5" t="n">
        <v>46256.58333333334</v>
      </c>
      <c r="L631" t="n">
        <v>4</v>
      </c>
      <c r="M631" s="3">
        <f>I631/L631</f>
        <v/>
      </c>
      <c r="N631">
        <f>IF(M631&gt;=5100,"ставка","мин.ставка")</f>
        <v/>
      </c>
      <c r="O631" s="3">
        <f>ROUND(IF(N631="мин.ставка",L631*100,I631/102*2),2)</f>
        <v/>
      </c>
      <c r="P631" s="5" t="n">
        <v>46260.5</v>
      </c>
      <c r="Q631" t="inlineStr">
        <is>
          <t>TravelLine OTK</t>
        </is>
      </c>
      <c r="R631" s="2" t="inlineStr">
        <is>
          <t>СТАНДАРТНЫЙ ДВУХМЕСТНЫЙ НОМЕР</t>
        </is>
      </c>
      <c r="S631" t="n">
        <v>42</v>
      </c>
      <c r="T631" t="n">
        <v>1</v>
      </c>
      <c r="U631" t="inlineStr"/>
      <c r="V631" t="inlineStr">
        <is>
          <t>Тариф с завтраком</t>
        </is>
      </c>
      <c r="W631" t="n">
        <v>45390</v>
      </c>
      <c r="X631" s="3" t="n">
        <v>8010</v>
      </c>
      <c r="Y631" t="inlineStr">
        <is>
          <t>15%</t>
        </is>
      </c>
      <c r="Z631" t="inlineStr">
        <is>
          <t>2026-08-22, 2026-08-23, 2026-08-24, 2026-08-25</t>
        </is>
      </c>
      <c r="AA631" s="3" t="n">
        <v>45390</v>
      </c>
      <c r="AB631" t="inlineStr">
        <is>
          <t>Сошлось по ночным тарифам</t>
        </is>
      </c>
      <c r="AC631" s="2" t="inlineStr"/>
      <c r="AD631" t="n">
        <v>8010</v>
      </c>
      <c r="AE631" t="n">
        <v>0</v>
      </c>
      <c r="AF631" t="inlineStr">
        <is>
          <t>Скидка добавлена к налоговой базе</t>
        </is>
      </c>
      <c r="AG631" t="n">
        <v>53400</v>
      </c>
      <c r="AH631" t="n">
        <v>45390</v>
      </c>
      <c r="AI631" t="inlineStr">
        <is>
          <t>Полное проживание в выбранном периоде</t>
        </is>
      </c>
    </row>
    <row r="632">
      <c r="A632" t="inlineStr">
        <is>
          <t>20260712-8186-449535687</t>
        </is>
      </c>
      <c r="B632" t="n">
        <v>1</v>
      </c>
      <c r="C632" s="2" t="inlineStr">
        <is>
          <t>теймур алиев</t>
        </is>
      </c>
      <c r="D632" s="3" t="n">
        <v>7900</v>
      </c>
      <c r="E632" s="4" t="n">
        <v>0</v>
      </c>
      <c r="F632" t="inlineStr">
        <is>
          <t>Прямые бронирования (стойка) [Чайковский]</t>
        </is>
      </c>
      <c r="G632" s="3">
        <f>ROUND(D632/(100-E632)*100,2)</f>
        <v/>
      </c>
      <c r="H632" s="3" t="n">
        <v>0</v>
      </c>
      <c r="I632" s="3">
        <f>ROUND(IF(ISNUMBER(AG632),AG632,G632)+H632,2)</f>
        <v/>
      </c>
      <c r="J632" s="2" t="inlineStr">
        <is>
          <t>Завтрак "Шведский стол"</t>
        </is>
      </c>
      <c r="K632" s="5" t="n">
        <v>46215.58333333334</v>
      </c>
      <c r="L632" t="n">
        <v>1</v>
      </c>
      <c r="M632" s="3">
        <f>I632/L632</f>
        <v/>
      </c>
      <c r="N632">
        <f>IF(M632&gt;=5100,"ставка","мин.ставка")</f>
        <v/>
      </c>
      <c r="O632" s="3">
        <f>ROUND(IF(N632="мин.ставка",L632*100,I632/102*2),2)</f>
        <v/>
      </c>
      <c r="P632" s="5" t="n">
        <v>46216.5</v>
      </c>
      <c r="Q632" t="inlineStr">
        <is>
          <t>TravelLine ресепшен</t>
        </is>
      </c>
      <c r="R632" s="2" t="inlineStr">
        <is>
          <t>СТАНДАРТНЫЙ ДВУХМЕСТНЫЙ НОМЕР (МАНСАРДА)</t>
        </is>
      </c>
      <c r="S632" t="n">
        <v>47</v>
      </c>
      <c r="T632" t="n">
        <v>1</v>
      </c>
      <c r="U632" t="inlineStr"/>
      <c r="V632" t="inlineStr">
        <is>
          <t>Тариф с завтраком</t>
        </is>
      </c>
      <c r="W632" t="n">
        <v>7900</v>
      </c>
      <c r="X632" s="3" t="n">
        <v>0</v>
      </c>
      <c r="Y632" t="inlineStr"/>
      <c r="Z632" t="inlineStr"/>
      <c r="AA632" s="3" t="n">
        <v>7900</v>
      </c>
      <c r="AB632" t="inlineStr">
        <is>
          <t>Сошлось по ночным тарифам</t>
        </is>
      </c>
      <c r="AC632" s="2" t="inlineStr"/>
      <c r="AD632" t="n">
        <v>0</v>
      </c>
      <c r="AE632" t="n">
        <v>0</v>
      </c>
      <c r="AF632" t="inlineStr">
        <is>
          <t>Скидки нет</t>
        </is>
      </c>
      <c r="AG632" t="n">
        <v>7900</v>
      </c>
      <c r="AH632" t="n">
        <v>7900</v>
      </c>
      <c r="AI632" t="inlineStr">
        <is>
          <t>Полное проживание в выбранном периоде</t>
        </is>
      </c>
    </row>
    <row r="633">
      <c r="A633" t="inlineStr">
        <is>
          <t>20260713-8186-448358432</t>
        </is>
      </c>
      <c r="B633" t="n">
        <v>1</v>
      </c>
      <c r="C633" s="2" t="inlineStr">
        <is>
          <t>Тимофей Гладков</t>
        </is>
      </c>
      <c r="D633" s="3" t="n">
        <v>37228</v>
      </c>
      <c r="E633" s="4" t="n">
        <v>18</v>
      </c>
      <c r="F633" t="inlineStr">
        <is>
          <t>ООО "Эй энд Эй" [Чайковский]</t>
        </is>
      </c>
      <c r="G633" s="3">
        <f>ROUND(D633/(100-E633)*100,2)</f>
        <v/>
      </c>
      <c r="H633" s="3" t="n">
        <v>0</v>
      </c>
      <c r="I633" s="3">
        <f>ROUND(IF(ISNUMBER(AG633),AG633,G633)+H633,2)</f>
        <v/>
      </c>
      <c r="J633" s="2" t="inlineStr">
        <is>
          <t>Завтрак "Шведский стол"</t>
        </is>
      </c>
      <c r="K633" s="5" t="n">
        <v>46216.58333333334</v>
      </c>
      <c r="L633" t="n">
        <v>4</v>
      </c>
      <c r="M633" s="3">
        <f>I633/L633</f>
        <v/>
      </c>
      <c r="N633">
        <f>IF(M633&gt;=5100,"ставка","мин.ставка")</f>
        <v/>
      </c>
      <c r="O633" s="3">
        <f>ROUND(IF(N633="мин.ставка",L633*100,I633/102*2),2)</f>
        <v/>
      </c>
      <c r="P633" s="5" t="n">
        <v>46220.5</v>
      </c>
      <c r="Q633" t="inlineStr">
        <is>
          <t>TravelLine ANA</t>
        </is>
      </c>
      <c r="R633" s="2" t="inlineStr">
        <is>
          <t>СТАНДАРТНЫЙ ДВУХМЕСТНЫЙ НОМЕР</t>
        </is>
      </c>
      <c r="S633" t="n">
        <v>23</v>
      </c>
      <c r="T633" t="n">
        <v>1</v>
      </c>
      <c r="U633" t="inlineStr"/>
      <c r="V633" t="inlineStr">
        <is>
          <t>Тариф с завтраком</t>
        </is>
      </c>
      <c r="W633" t="n">
        <v>37228</v>
      </c>
      <c r="X633" s="3" t="n">
        <v>8172</v>
      </c>
      <c r="Y633" t="inlineStr">
        <is>
          <t>18%</t>
        </is>
      </c>
      <c r="Z633" t="inlineStr">
        <is>
          <t>2026-07-13, 2026-07-14, 2026-07-15, 2026-07-16</t>
        </is>
      </c>
      <c r="AA633" s="3" t="n">
        <v>37228</v>
      </c>
      <c r="AB633" t="inlineStr">
        <is>
          <t>Сошлось по ночным тарифам</t>
        </is>
      </c>
      <c r="AC633" s="2" t="inlineStr"/>
      <c r="AD633" t="n">
        <v>8172</v>
      </c>
      <c r="AE633" t="n">
        <v>0</v>
      </c>
      <c r="AF633" t="inlineStr">
        <is>
          <t>Скидка добавлена к налоговой базе</t>
        </is>
      </c>
      <c r="AG633" t="n">
        <v>45400</v>
      </c>
      <c r="AH633" t="n">
        <v>37228</v>
      </c>
      <c r="AI633" t="inlineStr">
        <is>
          <t>Полное проживание в выбранном периоде</t>
        </is>
      </c>
    </row>
    <row r="634">
      <c r="A634" t="inlineStr">
        <is>
          <t>20260720-8186-410208436</t>
        </is>
      </c>
      <c r="B634" t="n">
        <v>1</v>
      </c>
      <c r="C634" s="2" t="inlineStr">
        <is>
          <t>Тимофей Чистяков, Ольга Чистякова</t>
        </is>
      </c>
      <c r="D634" s="3" t="n">
        <v>56826</v>
      </c>
      <c r="E634" s="4" t="n">
        <v>18</v>
      </c>
      <c r="F634" t="inlineStr">
        <is>
          <t>Яндекс.Путешествия [Чайковский]</t>
        </is>
      </c>
      <c r="G634" s="3">
        <f>ROUND(D634/(100-E634)*100,2)</f>
        <v/>
      </c>
      <c r="H634" s="3" t="n">
        <v>0</v>
      </c>
      <c r="I634" s="3">
        <f>ROUND(IF(ISNUMBER(AG634),AG634,G634)+H634,2)</f>
        <v/>
      </c>
      <c r="J634" s="2" t="inlineStr">
        <is>
          <t>Завтрак "Шведский стол"</t>
        </is>
      </c>
      <c r="K634" s="5" t="n">
        <v>46223.58333333334</v>
      </c>
      <c r="L634" t="n">
        <v>7</v>
      </c>
      <c r="M634" s="3">
        <f>I634/L634</f>
        <v/>
      </c>
      <c r="N634">
        <f>IF(M634&gt;=5100,"ставка","мин.ставка")</f>
        <v/>
      </c>
      <c r="O634" s="3">
        <f>ROUND(IF(N634="мин.ставка",L634*100,I634/102*2),2)</f>
        <v/>
      </c>
      <c r="P634" s="5" t="n">
        <v>46230.5</v>
      </c>
      <c r="Q634" t="inlineStr">
        <is>
          <t>TravelLine YAX</t>
        </is>
      </c>
      <c r="R634" s="2" t="inlineStr">
        <is>
          <t>СТАНДАРТНЫЙ ДВУХМЕСТНЫЙ НОМЕР (МАНСАРДА)</t>
        </is>
      </c>
      <c r="S634" t="n">
        <v>43</v>
      </c>
      <c r="T634" t="n">
        <v>1</v>
      </c>
      <c r="U634" t="inlineStr"/>
      <c r="V634" t="inlineStr">
        <is>
          <t>Тариф с завтраком</t>
        </is>
      </c>
      <c r="W634" t="n">
        <v>113652</v>
      </c>
      <c r="X634" s="3" t="n">
        <v>12474</v>
      </c>
      <c r="Y634" t="inlineStr">
        <is>
          <t>18%</t>
        </is>
      </c>
      <c r="Z634" t="inlineStr">
        <is>
          <t>2026-07-20, 2026-07-21, 2026-07-22, 2026-07-23, 2026-07-24, 2026-07-25, 2026-07-26</t>
        </is>
      </c>
      <c r="AA634" s="3" t="n">
        <v>56826</v>
      </c>
      <c r="AB634" t="inlineStr">
        <is>
          <t>Сошлось по ночным тарифам</t>
        </is>
      </c>
      <c r="AC634" s="2" t="inlineStr"/>
      <c r="AD634" t="n">
        <v>12474</v>
      </c>
      <c r="AE634" t="n">
        <v>0</v>
      </c>
      <c r="AF634" t="inlineStr">
        <is>
          <t>Скидка добавлена к налоговой базе</t>
        </is>
      </c>
      <c r="AG634" t="n">
        <v>69300</v>
      </c>
      <c r="AH634" t="n">
        <v>56826</v>
      </c>
      <c r="AI634" t="inlineStr">
        <is>
          <t>Полное проживание в выбранном периоде</t>
        </is>
      </c>
    </row>
    <row r="635">
      <c r="A635" t="inlineStr">
        <is>
          <t>20260926-8186-468560155</t>
        </is>
      </c>
      <c r="B635" t="n">
        <v>1</v>
      </c>
      <c r="C635" s="2" t="inlineStr">
        <is>
          <t>Тимур Кукусов, Алина Алейникова</t>
        </is>
      </c>
      <c r="D635" s="3" t="n">
        <v>7425</v>
      </c>
      <c r="E635" s="4" t="n">
        <v>18</v>
      </c>
      <c r="F635" t="inlineStr">
        <is>
          <t>Яндекс.Путешествия [Чайковский]</t>
        </is>
      </c>
      <c r="G635" s="3">
        <f>ROUND(D635/(100-E635)*100,2)</f>
        <v/>
      </c>
      <c r="H635" s="3" t="n">
        <v>0</v>
      </c>
      <c r="I635" s="3">
        <f>ROUND(IF(ISNUMBER(AG635),AG635,G635)+H635,2)</f>
        <v/>
      </c>
      <c r="J635" s="2" t="inlineStr">
        <is>
          <t>Завтрак "Шведский стол"</t>
        </is>
      </c>
      <c r="K635" s="5" t="n">
        <v>46291.58333333334</v>
      </c>
      <c r="L635" t="n">
        <v>1</v>
      </c>
      <c r="M635" s="3">
        <f>I635/L635</f>
        <v/>
      </c>
      <c r="N635">
        <f>IF(M635&gt;=5100,"ставка","мин.ставка")</f>
        <v/>
      </c>
      <c r="O635" s="3">
        <f>ROUND(IF(N635="мин.ставка",L635*100,I635/102*2),2)</f>
        <v/>
      </c>
      <c r="P635" s="5" t="n">
        <v>46292.5</v>
      </c>
      <c r="Q635" t="inlineStr">
        <is>
          <t>TravelLine YAX</t>
        </is>
      </c>
      <c r="R635" s="2" t="inlineStr">
        <is>
          <t>СТАНДАРТНЫЙ ДВУХМЕСТНЫЙ НОМЕР (МАНСАРДА)</t>
        </is>
      </c>
      <c r="S635" t="n">
        <v>41</v>
      </c>
      <c r="T635" t="n">
        <v>1</v>
      </c>
      <c r="U635" t="inlineStr"/>
      <c r="V635" t="inlineStr">
        <is>
          <t>Тариф с завтраком</t>
        </is>
      </c>
      <c r="W635" t="n">
        <v>7425</v>
      </c>
      <c r="X635" s="3" t="n">
        <v>2475</v>
      </c>
      <c r="Y635" t="inlineStr">
        <is>
          <t>25%</t>
        </is>
      </c>
      <c r="Z635" t="inlineStr">
        <is>
          <t>2026-09-26</t>
        </is>
      </c>
      <c r="AA635" s="3" t="n">
        <v>7425</v>
      </c>
      <c r="AB635" t="inlineStr">
        <is>
          <t>Сошлось по ночным тарифам</t>
        </is>
      </c>
      <c r="AC635" s="2" t="inlineStr"/>
      <c r="AD635" t="n">
        <v>2475</v>
      </c>
      <c r="AE635" t="n">
        <v>0</v>
      </c>
      <c r="AF635" t="inlineStr">
        <is>
          <t>Скидка добавлена к налоговой базе</t>
        </is>
      </c>
      <c r="AG635" t="n">
        <v>9900</v>
      </c>
      <c r="AH635" t="n">
        <v>7425</v>
      </c>
      <c r="AI635" t="inlineStr">
        <is>
          <t>Полное проживание в выбранном периоде</t>
        </is>
      </c>
    </row>
    <row r="636">
      <c r="A636" t="inlineStr">
        <is>
          <t>20260807-8186-440649751</t>
        </is>
      </c>
      <c r="B636" t="n">
        <v>1</v>
      </c>
      <c r="C636" s="2" t="inlineStr">
        <is>
          <t>Ульяна Вердельман, Никита Запольский</t>
        </is>
      </c>
      <c r="D636" s="3" t="n">
        <v>16252.5</v>
      </c>
      <c r="E636" s="4" t="n">
        <v>4</v>
      </c>
      <c r="F636" t="inlineStr">
        <is>
          <t>TravelLine Booking Engine [Чайковский]</t>
        </is>
      </c>
      <c r="G636" s="3">
        <f>ROUND(D636/(100-E636)*100,2)</f>
        <v/>
      </c>
      <c r="H636" s="3" t="n">
        <v>0</v>
      </c>
      <c r="I636" s="3">
        <f>ROUND(IF(ISNUMBER(AG636),AG636,G636)+H636,2)</f>
        <v/>
      </c>
      <c r="J636" s="2" t="inlineStr">
        <is>
          <t>Завтрак "Шведский стол"</t>
        </is>
      </c>
      <c r="K636" s="5" t="n">
        <v>46241.58333333334</v>
      </c>
      <c r="L636" t="n">
        <v>1</v>
      </c>
      <c r="M636" s="3">
        <f>I636/L636</f>
        <v/>
      </c>
      <c r="N636">
        <f>IF(M636&gt;=5100,"ставка","мин.ставка")</f>
        <v/>
      </c>
      <c r="O636" s="3">
        <f>ROUND(IF(N636="мин.ставка",L636*100,I636/102*2),2)</f>
        <v/>
      </c>
      <c r="P636" s="5" t="n">
        <v>46242.5</v>
      </c>
      <c r="Q636" t="inlineStr">
        <is>
          <t>TravelLine сайт</t>
        </is>
      </c>
      <c r="R636" s="2" t="inlineStr">
        <is>
          <t>ПОЛУЛЮКС</t>
        </is>
      </c>
      <c r="S636" t="n">
        <v>25</v>
      </c>
      <c r="T636" t="n">
        <v>1</v>
      </c>
      <c r="U636" t="inlineStr"/>
      <c r="V636" t="inlineStr">
        <is>
          <t>Тариф с завтраком</t>
        </is>
      </c>
      <c r="W636" t="n">
        <v>16252.5</v>
      </c>
      <c r="X636" s="3" t="n">
        <v>247.5</v>
      </c>
      <c r="Y636" t="inlineStr">
        <is>
          <t>1.5%</t>
        </is>
      </c>
      <c r="Z636" t="inlineStr">
        <is>
          <t>2026-08-07</t>
        </is>
      </c>
      <c r="AA636" s="3" t="n">
        <v>16252.5</v>
      </c>
      <c r="AB636" t="inlineStr">
        <is>
          <t>Сошлось по ночным тарифам</t>
        </is>
      </c>
      <c r="AC636" s="2" t="inlineStr"/>
      <c r="AD636" t="n">
        <v>247.5</v>
      </c>
      <c r="AE636" t="n">
        <v>0</v>
      </c>
      <c r="AF636" t="inlineStr">
        <is>
          <t>Скидка добавлена к налоговой базе</t>
        </is>
      </c>
      <c r="AG636" t="n">
        <v>16500</v>
      </c>
      <c r="AH636" t="n">
        <v>16252.5</v>
      </c>
      <c r="AI636" t="inlineStr">
        <is>
          <t>Полное проживание в выбранном периоде</t>
        </is>
      </c>
    </row>
    <row r="637">
      <c r="A637" t="inlineStr">
        <is>
          <t>20260819-8186-418481838</t>
        </is>
      </c>
      <c r="B637" t="n">
        <v>1</v>
      </c>
      <c r="C637" s="2" t="inlineStr">
        <is>
          <t>Ульяна Главная, Никита Копылов</t>
        </is>
      </c>
      <c r="D637" s="3" t="n">
        <v>66549.75</v>
      </c>
      <c r="E637" s="4" t="n">
        <v>4</v>
      </c>
      <c r="F637" t="inlineStr">
        <is>
          <t>TravelLine Booking Engine [Чайковский]</t>
        </is>
      </c>
      <c r="G637" s="3">
        <f>ROUND(D637/(100-E637)*100,2)</f>
        <v/>
      </c>
      <c r="H637" s="3" t="n">
        <v>0</v>
      </c>
      <c r="I637" s="3">
        <f>ROUND(IF(ISNUMBER(AG637),AG637,G637)+H637,2)</f>
        <v/>
      </c>
      <c r="J637" s="2" t="inlineStr">
        <is>
          <t>Завтрак "Шведский стол"</t>
        </is>
      </c>
      <c r="K637" s="5" t="n">
        <v>46253.625</v>
      </c>
      <c r="L637" t="n">
        <v>5</v>
      </c>
      <c r="M637" s="3">
        <f>I637/L637</f>
        <v/>
      </c>
      <c r="N637">
        <f>IF(M637&gt;=5100,"ставка","мин.ставка")</f>
        <v/>
      </c>
      <c r="O637" s="3">
        <f>ROUND(IF(N637="мин.ставка",L637*100,I637/102*2),2)</f>
        <v/>
      </c>
      <c r="P637" s="5" t="n">
        <v>46258.5</v>
      </c>
      <c r="Q637" t="inlineStr">
        <is>
          <t>TravelLine сайт</t>
        </is>
      </c>
      <c r="R637" s="2" t="inlineStr">
        <is>
          <t>СТАНДАРТНЫЙ ДВУХМЕСТНЫЙ НОМЕР</t>
        </is>
      </c>
      <c r="S637" t="n">
        <v>46</v>
      </c>
      <c r="T637" t="n">
        <v>1</v>
      </c>
      <c r="U637" t="inlineStr"/>
      <c r="V637" t="inlineStr">
        <is>
          <t>Тариф с завтраком</t>
        </is>
      </c>
      <c r="W637" t="n">
        <v>66549.75</v>
      </c>
      <c r="X637" s="3" t="n">
        <v>200.25</v>
      </c>
      <c r="Y637" t="inlineStr">
        <is>
          <t>1.5%</t>
        </is>
      </c>
      <c r="Z637" t="inlineStr">
        <is>
          <t>2026-08-19</t>
        </is>
      </c>
      <c r="AA637" s="3" t="n">
        <v>66549.75</v>
      </c>
      <c r="AB637" t="inlineStr">
        <is>
          <t>Сошлось по ночным тарифам</t>
        </is>
      </c>
      <c r="AC637" s="2" t="inlineStr"/>
      <c r="AD637" t="n">
        <v>200.25</v>
      </c>
      <c r="AE637" t="n">
        <v>0</v>
      </c>
      <c r="AF637" t="inlineStr">
        <is>
          <t>Скидка добавлена к налоговой базе</t>
        </is>
      </c>
      <c r="AG637" t="n">
        <v>66750</v>
      </c>
      <c r="AH637" t="n">
        <v>66549.75</v>
      </c>
      <c r="AI637" t="inlineStr">
        <is>
          <t>Полное проживание в выбранном периоде</t>
        </is>
      </c>
    </row>
    <row r="638">
      <c r="A638" t="inlineStr">
        <is>
          <t>20260915-8186-456118917</t>
        </is>
      </c>
      <c r="B638" t="n">
        <v>1</v>
      </c>
      <c r="C638" s="2" t="inlineStr">
        <is>
          <t>УЛЬЯНА ЦОЙ</t>
        </is>
      </c>
      <c r="D638" s="3" t="n">
        <v>9080</v>
      </c>
      <c r="E638" s="4" t="n">
        <v>20</v>
      </c>
      <c r="F638" t="inlineStr">
        <is>
          <t>ООО "ХБ-ПРО" [Чайковский]</t>
        </is>
      </c>
      <c r="G638" s="3">
        <f>ROUND(D638/(100-E638)*100,2)</f>
        <v/>
      </c>
      <c r="H638" s="3" t="n">
        <v>0</v>
      </c>
      <c r="I638" s="3">
        <f>ROUND(IF(ISNUMBER(AG638),AG638,G638)+H638,2)</f>
        <v/>
      </c>
      <c r="J638" s="2" t="inlineStr">
        <is>
          <t>Завтрак "Шведский стол"</t>
        </is>
      </c>
      <c r="K638" s="5" t="n">
        <v>46280.58333333334</v>
      </c>
      <c r="L638" t="n">
        <v>1</v>
      </c>
      <c r="M638" s="3">
        <f>I638/L638</f>
        <v/>
      </c>
      <c r="N638">
        <f>IF(M638&gt;=5100,"ставка","мин.ставка")</f>
        <v/>
      </c>
      <c r="O638" s="3">
        <f>ROUND(IF(N638="мин.ставка",L638*100,I638/102*2),2)</f>
        <v/>
      </c>
      <c r="P638" s="5" t="n">
        <v>46281.5</v>
      </c>
      <c r="Q638" t="inlineStr">
        <is>
          <t>TravelLine UTS</t>
        </is>
      </c>
      <c r="R638" s="2" t="inlineStr">
        <is>
          <t>СТАНДАРТНЫЙ ДВУХМЕСТНЫЙ НОМЕР</t>
        </is>
      </c>
      <c r="S638" t="n">
        <v>22</v>
      </c>
      <c r="T638" t="n">
        <v>1</v>
      </c>
      <c r="U638" t="inlineStr"/>
      <c r="V638" t="inlineStr">
        <is>
          <t>Тариф с завтраком</t>
        </is>
      </c>
      <c r="W638" t="n">
        <v>9080</v>
      </c>
      <c r="X638" s="3" t="n">
        <v>0</v>
      </c>
      <c r="Y638" t="inlineStr"/>
      <c r="Z638" t="inlineStr"/>
      <c r="AA638" s="3" t="n">
        <v>9080</v>
      </c>
      <c r="AB638" t="inlineStr">
        <is>
          <t>Сошлось по ночным тарифам</t>
        </is>
      </c>
      <c r="AC638" s="2" t="inlineStr"/>
      <c r="AD638" t="n">
        <v>0</v>
      </c>
      <c r="AE638" t="n">
        <v>0</v>
      </c>
      <c r="AF638" t="inlineStr">
        <is>
          <t>Скидки нет</t>
        </is>
      </c>
      <c r="AG638" t="n">
        <v>9080</v>
      </c>
      <c r="AH638" t="n">
        <v>9080</v>
      </c>
      <c r="AI638" t="inlineStr">
        <is>
          <t>Полное проживание в выбранном периоде</t>
        </is>
      </c>
    </row>
    <row r="639">
      <c r="A639" t="inlineStr">
        <is>
          <t>20260630-8186-444852393</t>
        </is>
      </c>
      <c r="B639" t="n">
        <v>1</v>
      </c>
      <c r="C639" s="2" t="inlineStr">
        <is>
          <t>УМАХАН САДЫКОВ</t>
        </is>
      </c>
      <c r="D639" s="3" t="n">
        <v>19295</v>
      </c>
      <c r="E639" s="4" t="n">
        <v>15</v>
      </c>
      <c r="F639" t="inlineStr">
        <is>
          <t>ООО "АКАДЕМ-ОНЛАЙН" [Чайковский]</t>
        </is>
      </c>
      <c r="G639" s="3">
        <f>ROUND(D639/(100-E639)*100,2)</f>
        <v/>
      </c>
      <c r="H639" s="3" t="n">
        <v>0</v>
      </c>
      <c r="I639" s="3">
        <f>ROUND(IF(ISNUMBER(AG639),AG639,G639)+H639,2)</f>
        <v/>
      </c>
      <c r="J639" s="2" t="inlineStr"/>
      <c r="K639" s="5" t="n">
        <v>46203.58333333334</v>
      </c>
      <c r="L639" t="n">
        <v>1</v>
      </c>
      <c r="M639" s="3">
        <f>I639/L639</f>
        <v/>
      </c>
      <c r="N639">
        <f>IF(M639&gt;=5100,"ставка","мин.ставка")</f>
        <v/>
      </c>
      <c r="O639" s="3">
        <f>ROUND(IF(N639="мин.ставка",L639*100,I639/102*2),2)</f>
        <v/>
      </c>
      <c r="P639" s="5" t="n">
        <v>46205.5</v>
      </c>
      <c r="Q639" t="inlineStr">
        <is>
          <t>TravelLine ACS</t>
        </is>
      </c>
      <c r="R639" s="2" t="inlineStr">
        <is>
          <t>СТАНДАРТНЫЙ ДВУХМЕСТНЫЙ НОМЕР</t>
        </is>
      </c>
      <c r="S639" t="n">
        <v>22</v>
      </c>
      <c r="T639" t="n">
        <v>1</v>
      </c>
      <c r="U639" t="inlineStr"/>
      <c r="V639" t="inlineStr">
        <is>
          <t>Тариф с завтраком</t>
        </is>
      </c>
      <c r="W639" t="n">
        <v>19295</v>
      </c>
      <c r="X639" s="3" t="n">
        <v>3405</v>
      </c>
      <c r="Y639" t="inlineStr">
        <is>
          <t>15%</t>
        </is>
      </c>
      <c r="Z639" t="inlineStr">
        <is>
          <t>2026-06-30, 2026-07-01</t>
        </is>
      </c>
      <c r="AA639" s="3" t="n">
        <v>19295</v>
      </c>
      <c r="AB639" t="inlineStr">
        <is>
          <t>Сошлось по ночным тарифам</t>
        </is>
      </c>
      <c r="AC639" s="2" t="inlineStr"/>
      <c r="AD639" t="n">
        <v>1702.5</v>
      </c>
      <c r="AE639" t="n">
        <v>0</v>
      </c>
      <c r="AF639" t="inlineStr">
        <is>
          <t>Ночи скидки определены по dailyRates; в базу добавлена только часть выбранного периода</t>
        </is>
      </c>
      <c r="AG639" t="n">
        <v>11350</v>
      </c>
      <c r="AH639" t="n">
        <v>9647.5</v>
      </c>
      <c r="AI639" t="inlineStr">
        <is>
          <t>Частичное проживание распределено по dailyRates</t>
        </is>
      </c>
    </row>
    <row r="640">
      <c r="A640" t="inlineStr">
        <is>
          <t>20260714-8186-443685155</t>
        </is>
      </c>
      <c r="B640" t="n">
        <v>1</v>
      </c>
      <c r="C640" s="2" t="inlineStr">
        <is>
          <t>Фарида Баширова, Гульнар Мингалиева</t>
        </is>
      </c>
      <c r="D640" s="3" t="n">
        <v>11347.5</v>
      </c>
      <c r="E640" s="4" t="n">
        <v>0</v>
      </c>
      <c r="F640" t="inlineStr">
        <is>
          <t>ООО «ХОМЛИН ЛЭНД» (ПЕГАС) [Чайковский]</t>
        </is>
      </c>
      <c r="G640" s="3">
        <f>ROUND(D640/(100-E640)*100,2)</f>
        <v/>
      </c>
      <c r="H640" s="3" t="n">
        <v>0</v>
      </c>
      <c r="I640" s="3">
        <f>ROUND(IF(ISNUMBER(AG640),AG640,G640)+H640,2)</f>
        <v/>
      </c>
      <c r="J640" s="2" t="inlineStr">
        <is>
          <t>Завтрак "Шведский стол"</t>
        </is>
      </c>
      <c r="K640" s="5" t="n">
        <v>46217.58333333334</v>
      </c>
      <c r="L640" t="n">
        <v>1</v>
      </c>
      <c r="M640" s="3">
        <f>I640/L640</f>
        <v/>
      </c>
      <c r="N640">
        <f>IF(M640&gt;=5100,"ставка","мин.ставка")</f>
        <v/>
      </c>
      <c r="O640" s="3">
        <f>ROUND(IF(N640="мин.ставка",L640*100,I640/102*2),2)</f>
        <v/>
      </c>
      <c r="P640" s="5" t="n">
        <v>46218.5</v>
      </c>
      <c r="Q640" t="inlineStr">
        <is>
          <t>TravelLine PGS</t>
        </is>
      </c>
      <c r="R640" s="2" t="inlineStr">
        <is>
          <t>СТАНДАРТНЫЙ ДВУХМЕСТНЫЙ НОМЕР</t>
        </is>
      </c>
      <c r="S640" t="n">
        <v>22</v>
      </c>
      <c r="T640" t="n">
        <v>1</v>
      </c>
      <c r="U640" t="inlineStr"/>
      <c r="V640" t="inlineStr">
        <is>
          <t>Тариф с завтраком</t>
        </is>
      </c>
      <c r="W640" t="n">
        <v>11347.5</v>
      </c>
      <c r="X640" s="3" t="n">
        <v>2002.5</v>
      </c>
      <c r="Y640" t="inlineStr">
        <is>
          <t>15%</t>
        </is>
      </c>
      <c r="Z640" t="inlineStr">
        <is>
          <t>2026-07-14</t>
        </is>
      </c>
      <c r="AA640" s="3" t="n">
        <v>11347.5</v>
      </c>
      <c r="AB640" t="inlineStr">
        <is>
          <t>Сошлось по ночным тарифам</t>
        </is>
      </c>
      <c r="AC640" s="2" t="inlineStr"/>
      <c r="AD640" t="n">
        <v>2002.5</v>
      </c>
      <c r="AE640" t="n">
        <v>0</v>
      </c>
      <c r="AF640" t="inlineStr">
        <is>
          <t>Скидка добавлена к налоговой базе</t>
        </is>
      </c>
      <c r="AG640" t="n">
        <v>13350</v>
      </c>
      <c r="AH640" t="n">
        <v>11347.5</v>
      </c>
      <c r="AI640" t="inlineStr">
        <is>
          <t>Полное проживание в выбранном периоде</t>
        </is>
      </c>
    </row>
    <row r="641">
      <c r="A641" t="inlineStr">
        <is>
          <t>20260715-8186-408690775</t>
        </is>
      </c>
      <c r="B641" t="n">
        <v>1</v>
      </c>
      <c r="C641" s="2" t="inlineStr">
        <is>
          <t>Фарида Баширова, Гульнар Мингалиева</t>
        </is>
      </c>
      <c r="D641" s="3" t="n">
        <v>33660</v>
      </c>
      <c r="E641" s="4" t="n">
        <v>0</v>
      </c>
      <c r="F641" t="inlineStr">
        <is>
          <t>ООО «ХОМЛИН ЛЭНД» (ПЕГАС) [Чайковский]</t>
        </is>
      </c>
      <c r="G641" s="3">
        <f>ROUND(D641/(100-E641)*100,2)</f>
        <v/>
      </c>
      <c r="H641" s="3" t="n">
        <v>0</v>
      </c>
      <c r="I641" s="3">
        <f>ROUND(IF(ISNUMBER(AG641),AG641,G641)+H641,2)</f>
        <v/>
      </c>
      <c r="J641" s="2" t="inlineStr">
        <is>
          <t>Завтрак "Шведский стол"</t>
        </is>
      </c>
      <c r="K641" s="5" t="n">
        <v>46218.58333333334</v>
      </c>
      <c r="L641" t="n">
        <v>4</v>
      </c>
      <c r="M641" s="3">
        <f>I641/L641</f>
        <v/>
      </c>
      <c r="N641">
        <f>IF(M641&gt;=5100,"ставка","мин.ставка")</f>
        <v/>
      </c>
      <c r="O641" s="3">
        <f>ROUND(IF(N641="мин.ставка",L641*100,I641/102*2),2)</f>
        <v/>
      </c>
      <c r="P641" s="5" t="n">
        <v>46222.5</v>
      </c>
      <c r="Q641" t="inlineStr">
        <is>
          <t>TravelLine PGS</t>
        </is>
      </c>
      <c r="R641" s="2" t="inlineStr">
        <is>
          <t>СТАНДАРТНЫЙ ДВУХМЕСТНЫЙ НОМЕР (МАНСАРДА)</t>
        </is>
      </c>
      <c r="S641" t="n">
        <v>45</v>
      </c>
      <c r="T641" t="n">
        <v>1</v>
      </c>
      <c r="U641" t="inlineStr"/>
      <c r="V641" t="inlineStr">
        <is>
          <t>Тариф с завтраком</t>
        </is>
      </c>
      <c r="W641" t="n">
        <v>33660</v>
      </c>
      <c r="X641" s="3" t="n">
        <v>5940</v>
      </c>
      <c r="Y641" t="inlineStr">
        <is>
          <t>15%</t>
        </is>
      </c>
      <c r="Z641" t="inlineStr">
        <is>
          <t>2026-07-15, 2026-07-16, 2026-07-17, 2026-07-18</t>
        </is>
      </c>
      <c r="AA641" s="3" t="n">
        <v>33660</v>
      </c>
      <c r="AB641" t="inlineStr">
        <is>
          <t>Сошлось по ночным тарифам</t>
        </is>
      </c>
      <c r="AC641" s="2" t="inlineStr"/>
      <c r="AD641" t="n">
        <v>5940</v>
      </c>
      <c r="AE641" t="n">
        <v>0</v>
      </c>
      <c r="AF641" t="inlineStr">
        <is>
          <t>Скидка добавлена к налоговой базе</t>
        </is>
      </c>
      <c r="AG641" t="n">
        <v>39600</v>
      </c>
      <c r="AH641" t="n">
        <v>33660</v>
      </c>
      <c r="AI641" t="inlineStr">
        <is>
          <t>Полное проживание в выбранном периоде</t>
        </is>
      </c>
    </row>
    <row r="642">
      <c r="A642" t="inlineStr">
        <is>
          <t>20260718-8186-440294808</t>
        </is>
      </c>
      <c r="B642" t="n">
        <v>1</v>
      </c>
      <c r="C642" s="2" t="inlineStr">
        <is>
          <t>Фарида Торубарова, Лилия Минкина</t>
        </is>
      </c>
      <c r="D642" s="3" t="n">
        <v>45390</v>
      </c>
      <c r="E642" s="4" t="n">
        <v>0</v>
      </c>
      <c r="F642" t="inlineStr">
        <is>
          <t>ООО «ХОМЛИН ЛЭНД» (ПЕГАС) [Чайковский]</t>
        </is>
      </c>
      <c r="G642" s="3">
        <f>ROUND(D642/(100-E642)*100,2)</f>
        <v/>
      </c>
      <c r="H642" s="3" t="n">
        <v>0</v>
      </c>
      <c r="I642" s="3">
        <f>ROUND(IF(ISNUMBER(AG642),AG642,G642)+H642,2)</f>
        <v/>
      </c>
      <c r="J642" s="2" t="inlineStr">
        <is>
          <t>Завтрак "Шведский стол"</t>
        </is>
      </c>
      <c r="K642" s="5" t="n">
        <v>46221.58333333334</v>
      </c>
      <c r="L642" t="n">
        <v>4</v>
      </c>
      <c r="M642" s="3">
        <f>I642/L642</f>
        <v/>
      </c>
      <c r="N642">
        <f>IF(M642&gt;=5100,"ставка","мин.ставка")</f>
        <v/>
      </c>
      <c r="O642" s="3">
        <f>ROUND(IF(N642="мин.ставка",L642*100,I642/102*2),2)</f>
        <v/>
      </c>
      <c r="P642" s="5" t="n">
        <v>46225.5</v>
      </c>
      <c r="Q642" t="inlineStr">
        <is>
          <t>TravelLine PGS</t>
        </is>
      </c>
      <c r="R642" s="2" t="inlineStr">
        <is>
          <t>СТАНДАРТНЫЙ ДВУХМЕСТНЫЙ НОМЕР</t>
        </is>
      </c>
      <c r="S642" t="n">
        <v>42</v>
      </c>
      <c r="T642" t="n">
        <v>1</v>
      </c>
      <c r="U642" t="inlineStr"/>
      <c r="V642" t="inlineStr">
        <is>
          <t>Тариф с завтраком</t>
        </is>
      </c>
      <c r="W642" t="n">
        <v>45390</v>
      </c>
      <c r="X642" s="3" t="n">
        <v>8010</v>
      </c>
      <c r="Y642" t="inlineStr">
        <is>
          <t>15%</t>
        </is>
      </c>
      <c r="Z642" t="inlineStr">
        <is>
          <t>2026-07-18, 2026-07-19, 2026-07-20, 2026-07-21</t>
        </is>
      </c>
      <c r="AA642" s="3" t="n">
        <v>45390</v>
      </c>
      <c r="AB642" t="inlineStr">
        <is>
          <t>Сошлось по ночным тарифам</t>
        </is>
      </c>
      <c r="AC642" s="2" t="inlineStr"/>
      <c r="AD642" t="n">
        <v>8010</v>
      </c>
      <c r="AE642" t="n">
        <v>0</v>
      </c>
      <c r="AF642" t="inlineStr">
        <is>
          <t>Скидка добавлена к налоговой базе</t>
        </is>
      </c>
      <c r="AG642" t="n">
        <v>53400</v>
      </c>
      <c r="AH642" t="n">
        <v>45390</v>
      </c>
      <c r="AI642" t="inlineStr">
        <is>
          <t>Полное проживание в выбранном периоде</t>
        </is>
      </c>
    </row>
    <row r="643">
      <c r="A643" t="inlineStr">
        <is>
          <t>20260814-8186-455467392</t>
        </is>
      </c>
      <c r="B643" t="n">
        <v>1</v>
      </c>
      <c r="C643" s="2" t="inlineStr">
        <is>
          <t>Федор Кузичкин, Роман Рафаилов</t>
        </is>
      </c>
      <c r="D643" s="3" t="n">
        <v>22161</v>
      </c>
      <c r="E643" s="4" t="n">
        <v>18</v>
      </c>
      <c r="F643" t="inlineStr">
        <is>
          <t>Яндекс.Путешествия [Чайковский]</t>
        </is>
      </c>
      <c r="G643" s="3">
        <f>ROUND(D643/(100-E643)*100,2)</f>
        <v/>
      </c>
      <c r="H643" s="3" t="n">
        <v>0</v>
      </c>
      <c r="I643" s="3">
        <f>ROUND(IF(ISNUMBER(AG643),AG643,G643)+H643,2)</f>
        <v/>
      </c>
      <c r="J643" s="2" t="inlineStr">
        <is>
          <t>Завтрак "Шведский стол"</t>
        </is>
      </c>
      <c r="K643" s="5" t="n">
        <v>46248.58333333334</v>
      </c>
      <c r="L643" t="n">
        <v>2</v>
      </c>
      <c r="M643" s="3">
        <f>I643/L643</f>
        <v/>
      </c>
      <c r="N643">
        <f>IF(M643&gt;=5100,"ставка","мин.ставка")</f>
        <v/>
      </c>
      <c r="O643" s="3">
        <f>ROUND(IF(N643="мин.ставка",L643*100,I643/102*2),2)</f>
        <v/>
      </c>
      <c r="P643" s="5" t="n">
        <v>46250.5</v>
      </c>
      <c r="Q643" t="inlineStr">
        <is>
          <t>TravelLine YAX</t>
        </is>
      </c>
      <c r="R643" s="2" t="inlineStr">
        <is>
          <t>СТАНДАРТНЫЙ ДВУХМЕСТНЫЙ НОМЕР</t>
        </is>
      </c>
      <c r="S643" t="n">
        <v>46</v>
      </c>
      <c r="T643" t="n">
        <v>1</v>
      </c>
      <c r="U643" t="inlineStr"/>
      <c r="V643" t="inlineStr">
        <is>
          <t>Тариф с завтраком</t>
        </is>
      </c>
      <c r="W643" t="n">
        <v>44322</v>
      </c>
      <c r="X643" s="3" t="n">
        <v>4539</v>
      </c>
      <c r="Y643" t="inlineStr">
        <is>
          <t>17%</t>
        </is>
      </c>
      <c r="Z643" t="inlineStr">
        <is>
          <t>2026-08-14, 2026-08-15</t>
        </is>
      </c>
      <c r="AA643" s="3" t="n">
        <v>22161</v>
      </c>
      <c r="AB643" t="inlineStr">
        <is>
          <t>Сошлось по ночным тарифам</t>
        </is>
      </c>
      <c r="AC643" s="2" t="inlineStr"/>
      <c r="AD643" t="n">
        <v>4539</v>
      </c>
      <c r="AE643" t="n">
        <v>0</v>
      </c>
      <c r="AF643" t="inlineStr">
        <is>
          <t>Скидка добавлена к налоговой базе</t>
        </is>
      </c>
      <c r="AG643" t="n">
        <v>26700</v>
      </c>
      <c r="AH643" t="n">
        <v>22161</v>
      </c>
      <c r="AI643" t="inlineStr">
        <is>
          <t>Полное проживание в выбранном периоде</t>
        </is>
      </c>
    </row>
    <row r="644">
      <c r="A644" t="inlineStr">
        <is>
          <t>20260725-8186-453252891</t>
        </is>
      </c>
      <c r="B644" t="n">
        <v>1</v>
      </c>
      <c r="C644" s="2" t="inlineStr">
        <is>
          <t>ФЛОРИАН ГИНТЕР, ДАРЬЯ БОЙКО</t>
        </is>
      </c>
      <c r="D644" s="3" t="n">
        <v>10900</v>
      </c>
      <c r="E644" s="4" t="n">
        <v>0</v>
      </c>
      <c r="F644" t="inlineStr">
        <is>
          <t>Прямые бронирования (стойка) [Чайковский]</t>
        </is>
      </c>
      <c r="G644" s="3">
        <f>ROUND(D644/(100-E644)*100,2)</f>
        <v/>
      </c>
      <c r="H644" s="3" t="n">
        <v>0</v>
      </c>
      <c r="I644" s="3">
        <f>ROUND(IF(ISNUMBER(AG644),AG644,G644)+H644,2)</f>
        <v/>
      </c>
      <c r="J644" s="2" t="inlineStr">
        <is>
          <t>Завтрак "Шведский стол"</t>
        </is>
      </c>
      <c r="K644" s="5" t="n">
        <v>46228.58333333334</v>
      </c>
      <c r="L644" t="n">
        <v>1</v>
      </c>
      <c r="M644" s="3">
        <f>I644/L644</f>
        <v/>
      </c>
      <c r="N644">
        <f>IF(M644&gt;=5100,"ставка","мин.ставка")</f>
        <v/>
      </c>
      <c r="O644" s="3">
        <f>ROUND(IF(N644="мин.ставка",L644*100,I644/102*2),2)</f>
        <v/>
      </c>
      <c r="P644" s="5" t="n">
        <v>46229.5</v>
      </c>
      <c r="Q644" t="inlineStr">
        <is>
          <t>TravelLine ресепшен</t>
        </is>
      </c>
      <c r="R644" s="2" t="inlineStr">
        <is>
          <t>СТАНДАРТНЫЙ ДВУХМЕСТНЫЙ НОМЕР</t>
        </is>
      </c>
      <c r="S644" t="n">
        <v>32</v>
      </c>
      <c r="T644" t="n">
        <v>1</v>
      </c>
      <c r="U644" t="inlineStr"/>
      <c r="V644" t="inlineStr">
        <is>
          <t>Тариф с завтраком</t>
        </is>
      </c>
      <c r="W644" t="n">
        <v>10900</v>
      </c>
      <c r="X644" s="3" t="n">
        <v>0</v>
      </c>
      <c r="Y644" t="inlineStr"/>
      <c r="Z644" t="inlineStr"/>
      <c r="AA644" s="3" t="n">
        <v>10900</v>
      </c>
      <c r="AB644" t="inlineStr">
        <is>
          <t>Сошлось по ночным тарифам</t>
        </is>
      </c>
      <c r="AC644" s="2" t="inlineStr"/>
      <c r="AD644" t="n">
        <v>0</v>
      </c>
      <c r="AE644" t="n">
        <v>0</v>
      </c>
      <c r="AF644" t="inlineStr">
        <is>
          <t>Скидки нет</t>
        </is>
      </c>
      <c r="AG644" t="n">
        <v>10900</v>
      </c>
      <c r="AH644" t="n">
        <v>10900</v>
      </c>
      <c r="AI644" t="inlineStr">
        <is>
          <t>Полное проживание в выбранном периоде</t>
        </is>
      </c>
    </row>
    <row r="645">
      <c r="A645" t="inlineStr">
        <is>
          <t>20260718-8186-430280842</t>
        </is>
      </c>
      <c r="B645" t="n">
        <v>1</v>
      </c>
      <c r="C645" s="2" t="inlineStr">
        <is>
          <t>Эдуард Дорожкин, Марина Дорожкина</t>
        </is>
      </c>
      <c r="D645" s="3" t="n">
        <v>9751.5</v>
      </c>
      <c r="E645" s="4" t="n">
        <v>4</v>
      </c>
      <c r="F645" t="inlineStr">
        <is>
          <t>TravelLine Booking Engine [Чайковский]</t>
        </is>
      </c>
      <c r="G645" s="3">
        <f>ROUND(D645/(100-E645)*100,2)</f>
        <v/>
      </c>
      <c r="H645" s="3" t="n">
        <v>0</v>
      </c>
      <c r="I645" s="3">
        <f>ROUND(IF(ISNUMBER(AG645),AG645,G645)+H645,2)</f>
        <v/>
      </c>
      <c r="J645" s="2" t="inlineStr">
        <is>
          <t>Завтрак "Шведский стол"</t>
        </is>
      </c>
      <c r="K645" s="5" t="n">
        <v>46221.58333333334</v>
      </c>
      <c r="L645" t="n">
        <v>1</v>
      </c>
      <c r="M645" s="3">
        <f>I645/L645</f>
        <v/>
      </c>
      <c r="N645">
        <f>IF(M645&gt;=5100,"ставка","мин.ставка")</f>
        <v/>
      </c>
      <c r="O645" s="3">
        <f>ROUND(IF(N645="мин.ставка",L645*100,I645/102*2),2)</f>
        <v/>
      </c>
      <c r="P645" s="5" t="n">
        <v>46222.5</v>
      </c>
      <c r="Q645" t="inlineStr">
        <is>
          <t>TravelLine сайт</t>
        </is>
      </c>
      <c r="R645" s="2" t="inlineStr">
        <is>
          <t>СТАНДАРТНЫЙ ДВУХМЕСТНЫЙ НОМЕР (МАНСАРДА)</t>
        </is>
      </c>
      <c r="S645" t="n">
        <v>43</v>
      </c>
      <c r="T645" t="n">
        <v>1</v>
      </c>
      <c r="U645" t="inlineStr"/>
      <c r="V645" t="inlineStr">
        <is>
          <t>Тариф с завтраком</t>
        </is>
      </c>
      <c r="W645" t="n">
        <v>9751.5</v>
      </c>
      <c r="X645" s="3" t="n">
        <v>148.5</v>
      </c>
      <c r="Y645" t="inlineStr">
        <is>
          <t>1.5%</t>
        </is>
      </c>
      <c r="Z645" t="inlineStr">
        <is>
          <t>2026-07-18</t>
        </is>
      </c>
      <c r="AA645" s="3" t="n">
        <v>9751.5</v>
      </c>
      <c r="AB645" t="inlineStr">
        <is>
          <t>Сошлось по ночным тарифам</t>
        </is>
      </c>
      <c r="AC645" s="2" t="inlineStr"/>
      <c r="AD645" t="n">
        <v>148.5</v>
      </c>
      <c r="AE645" t="n">
        <v>0</v>
      </c>
      <c r="AF645" t="inlineStr">
        <is>
          <t>Скидка добавлена к налоговой базе</t>
        </is>
      </c>
      <c r="AG645" t="n">
        <v>9900</v>
      </c>
      <c r="AH645" t="n">
        <v>9751.5</v>
      </c>
      <c r="AI645" t="inlineStr">
        <is>
          <t>Полное проживание в выбранном периоде</t>
        </is>
      </c>
    </row>
    <row r="646">
      <c r="A646" t="inlineStr">
        <is>
          <t>20260926-8186-468485866</t>
        </is>
      </c>
      <c r="B646" t="n">
        <v>1</v>
      </c>
      <c r="C646" s="2" t="inlineStr">
        <is>
          <t>Эка Шанава, Дарья Григорян</t>
        </is>
      </c>
      <c r="D646" s="3" t="n">
        <v>30037.5</v>
      </c>
      <c r="E646" s="4" t="n">
        <v>18</v>
      </c>
      <c r="F646" t="inlineStr">
        <is>
          <t>Яндекс.Путешествия [Чайковский]</t>
        </is>
      </c>
      <c r="G646" s="3">
        <f>ROUND(D646/(100-E646)*100,2)</f>
        <v/>
      </c>
      <c r="H646" s="3" t="n">
        <v>0</v>
      </c>
      <c r="I646" s="3">
        <f>ROUND(IF(ISNUMBER(AG646),AG646,G646)+H646,2)</f>
        <v/>
      </c>
      <c r="J646" s="2" t="inlineStr">
        <is>
          <t>Завтрак "Шведский стол"</t>
        </is>
      </c>
      <c r="K646" s="5" t="n">
        <v>46291.58333333334</v>
      </c>
      <c r="L646" t="n">
        <v>3</v>
      </c>
      <c r="M646" s="3">
        <f>I646/L646</f>
        <v/>
      </c>
      <c r="N646">
        <f>IF(M646&gt;=5100,"ставка","мин.ставка")</f>
        <v/>
      </c>
      <c r="O646" s="3">
        <f>ROUND(IF(N646="мин.ставка",L646*100,I646/102*2),2)</f>
        <v/>
      </c>
      <c r="P646" s="5" t="n">
        <v>46294.5</v>
      </c>
      <c r="Q646" t="inlineStr">
        <is>
          <t>TravelLine YAX</t>
        </is>
      </c>
      <c r="R646" s="2" t="inlineStr">
        <is>
          <t>СТАНДАРТНЫЙ ДВУХМЕСТНЫЙ НОМЕР</t>
        </is>
      </c>
      <c r="S646" t="n">
        <v>22</v>
      </c>
      <c r="T646" t="n">
        <v>1</v>
      </c>
      <c r="U646" t="inlineStr"/>
      <c r="V646" t="inlineStr">
        <is>
          <t>Тариф с завтраком</t>
        </is>
      </c>
      <c r="W646" t="n">
        <v>30037.5</v>
      </c>
      <c r="X646" s="3" t="n">
        <v>10012.5</v>
      </c>
      <c r="Y646" t="inlineStr">
        <is>
          <t>25%</t>
        </is>
      </c>
      <c r="Z646" t="inlineStr">
        <is>
          <t>2026-09-26, 2026-09-27, 2026-09-28</t>
        </is>
      </c>
      <c r="AA646" s="3" t="n">
        <v>30037.5</v>
      </c>
      <c r="AB646" t="inlineStr">
        <is>
          <t>Сошлось по ночным тарифам</t>
        </is>
      </c>
      <c r="AC646" s="2" t="inlineStr"/>
      <c r="AD646" t="n">
        <v>10012.5</v>
      </c>
      <c r="AE646" t="n">
        <v>0</v>
      </c>
      <c r="AF646" t="inlineStr">
        <is>
          <t>Скидка добавлена к налоговой базе</t>
        </is>
      </c>
      <c r="AG646" t="n">
        <v>40050</v>
      </c>
      <c r="AH646" t="n">
        <v>30037.5</v>
      </c>
      <c r="AI646" t="inlineStr">
        <is>
          <t>Полное проживание в выбранном периоде</t>
        </is>
      </c>
    </row>
    <row r="647">
      <c r="A647" t="inlineStr">
        <is>
          <t>20260917-8186-461649705</t>
        </is>
      </c>
      <c r="B647" t="n">
        <v>1</v>
      </c>
      <c r="C647" s="2" t="inlineStr">
        <is>
          <t>Экатеринэ Лобжанидзе</t>
        </is>
      </c>
      <c r="D647" s="3" t="n">
        <v>6320</v>
      </c>
      <c r="E647" s="4" t="n">
        <v>20</v>
      </c>
      <c r="F647" t="inlineStr">
        <is>
          <t>ООО "ХБ-ПРО" [Чайковский]</t>
        </is>
      </c>
      <c r="G647" s="3">
        <f>ROUND(D647/(100-E647)*100,2)</f>
        <v/>
      </c>
      <c r="H647" s="3" t="n">
        <v>0</v>
      </c>
      <c r="I647" s="3">
        <f>ROUND(IF(ISNUMBER(AG647),AG647,G647)+H647,2)</f>
        <v/>
      </c>
      <c r="J647" s="2" t="inlineStr">
        <is>
          <t>Завтрак "Шведский стол"</t>
        </is>
      </c>
      <c r="K647" s="5" t="n">
        <v>46282.58333333334</v>
      </c>
      <c r="L647" t="n">
        <v>1</v>
      </c>
      <c r="M647" s="3">
        <f>I647/L647</f>
        <v/>
      </c>
      <c r="N647">
        <f>IF(M647&gt;=5100,"ставка","мин.ставка")</f>
        <v/>
      </c>
      <c r="O647" s="3">
        <f>ROUND(IF(N647="мин.ставка",L647*100,I647/102*2),2)</f>
        <v/>
      </c>
      <c r="P647" s="5" t="n">
        <v>46283.5</v>
      </c>
      <c r="Q647" t="inlineStr">
        <is>
          <t>TravelLine UTS</t>
        </is>
      </c>
      <c r="R647" s="2" t="inlineStr">
        <is>
          <t>СТАНДАРТНЫЙ ДВУХМЕСТНЫЙ НОМЕР (МАНСАРДА)</t>
        </is>
      </c>
      <c r="S647" t="n">
        <v>41</v>
      </c>
      <c r="T647" t="n">
        <v>1</v>
      </c>
      <c r="U647" t="inlineStr"/>
      <c r="V647" t="inlineStr">
        <is>
          <t>Тариф с завтраком</t>
        </is>
      </c>
      <c r="W647" t="n">
        <v>6320</v>
      </c>
      <c r="X647" s="3" t="n">
        <v>0</v>
      </c>
      <c r="Y647" t="inlineStr"/>
      <c r="Z647" t="inlineStr"/>
      <c r="AA647" s="3" t="n">
        <v>6320</v>
      </c>
      <c r="AB647" t="inlineStr">
        <is>
          <t>Сошлось по ночным тарифам</t>
        </is>
      </c>
      <c r="AC647" s="2" t="inlineStr"/>
      <c r="AD647" t="n">
        <v>0</v>
      </c>
      <c r="AE647" t="n">
        <v>0</v>
      </c>
      <c r="AF647" t="inlineStr">
        <is>
          <t>Скидки нет</t>
        </is>
      </c>
      <c r="AG647" t="n">
        <v>6320</v>
      </c>
      <c r="AH647" t="n">
        <v>6320</v>
      </c>
      <c r="AI647" t="inlineStr">
        <is>
          <t>Полное проживание в выбранном периоде</t>
        </is>
      </c>
    </row>
    <row r="648">
      <c r="A648" t="inlineStr">
        <is>
          <t>20260713-8186-447978413</t>
        </is>
      </c>
      <c r="B648" t="n">
        <v>1</v>
      </c>
      <c r="C648" s="2" t="inlineStr">
        <is>
          <t>ЭЛЕН АКОПОВА</t>
        </is>
      </c>
      <c r="D648" s="3" t="n">
        <v>27240</v>
      </c>
      <c r="E648" s="4" t="n">
        <v>18</v>
      </c>
      <c r="F648" t="inlineStr">
        <is>
          <t>Яндекс.Путешествия [Чайковский]</t>
        </is>
      </c>
      <c r="G648" s="3">
        <f>ROUND(D648/(100-E648)*100,2)</f>
        <v/>
      </c>
      <c r="H648" s="3" t="n">
        <v>0</v>
      </c>
      <c r="I648" s="3">
        <f>ROUND(IF(ISNUMBER(AG648),AG648,G648)+H648,2)</f>
        <v/>
      </c>
      <c r="J648" s="2" t="inlineStr">
        <is>
          <t>Завтрак "Шведский стол"</t>
        </is>
      </c>
      <c r="K648" s="5" t="n">
        <v>46216.58333333334</v>
      </c>
      <c r="L648" t="n">
        <v>3</v>
      </c>
      <c r="M648" s="3">
        <f>I648/L648</f>
        <v/>
      </c>
      <c r="N648">
        <f>IF(M648&gt;=5100,"ставка","мин.ставка")</f>
        <v/>
      </c>
      <c r="O648" s="3">
        <f>ROUND(IF(N648="мин.ставка",L648*100,I648/102*2),2)</f>
        <v/>
      </c>
      <c r="P648" s="5" t="n">
        <v>46219.5</v>
      </c>
      <c r="Q648" t="inlineStr">
        <is>
          <t>TravelLine YAX</t>
        </is>
      </c>
      <c r="R648" s="2" t="inlineStr">
        <is>
          <t>СТАНДАРТНЫЙ ДВУХМЕСТНЫЙ НОМЕР</t>
        </is>
      </c>
      <c r="S648" t="n">
        <v>36</v>
      </c>
      <c r="T648" t="n">
        <v>1</v>
      </c>
      <c r="U648" t="inlineStr"/>
      <c r="V648" t="inlineStr">
        <is>
          <t>Тариф с завтраком</t>
        </is>
      </c>
      <c r="W648" t="n">
        <v>27240</v>
      </c>
      <c r="X648" s="3" t="n">
        <v>6810</v>
      </c>
      <c r="Y648" t="inlineStr">
        <is>
          <t>20%</t>
        </is>
      </c>
      <c r="Z648" t="inlineStr">
        <is>
          <t>2026-07-13, 2026-07-14, 2026-07-15</t>
        </is>
      </c>
      <c r="AA648" s="3" t="n">
        <v>27240</v>
      </c>
      <c r="AB648" t="inlineStr">
        <is>
          <t>Сошлось по ночным тарифам</t>
        </is>
      </c>
      <c r="AC648" s="2" t="inlineStr"/>
      <c r="AD648" t="n">
        <v>6810</v>
      </c>
      <c r="AE648" t="n">
        <v>0</v>
      </c>
      <c r="AF648" t="inlineStr">
        <is>
          <t>Скидка добавлена к налоговой базе</t>
        </is>
      </c>
      <c r="AG648" t="n">
        <v>34050</v>
      </c>
      <c r="AH648" t="n">
        <v>27240</v>
      </c>
      <c r="AI648" t="inlineStr">
        <is>
          <t>Полное проживание в выбранном периоде</t>
        </is>
      </c>
    </row>
    <row r="649">
      <c r="A649" t="inlineStr">
        <is>
          <t>20260713-8186-434449741</t>
        </is>
      </c>
      <c r="B649" t="n">
        <v>1</v>
      </c>
      <c r="C649" s="2" t="inlineStr">
        <is>
          <t>ЭЛЬЗА ХАМЗИНА, НАФИСА КУЛУЕВА</t>
        </is>
      </c>
      <c r="D649" s="3" t="n">
        <v>56737.5</v>
      </c>
      <c r="E649" s="4" t="n">
        <v>0</v>
      </c>
      <c r="F649" t="inlineStr">
        <is>
          <t>ООО "АЛЕАН ОТДЫХ" [Чайковский]</t>
        </is>
      </c>
      <c r="G649" s="3">
        <f>ROUND(D649/(100-E649)*100,2)</f>
        <v/>
      </c>
      <c r="H649" s="3" t="n">
        <v>0</v>
      </c>
      <c r="I649" s="3">
        <f>ROUND(IF(ISNUMBER(AG649),AG649,G649)+H649,2)</f>
        <v/>
      </c>
      <c r="J649" s="2" t="inlineStr">
        <is>
          <t>meal_bf_buffet_1; meal_bf_buffet_1; Завтрак "Шведский стол"</t>
        </is>
      </c>
      <c r="K649" s="5" t="n">
        <v>46216.58333333334</v>
      </c>
      <c r="L649" t="n">
        <v>5</v>
      </c>
      <c r="M649" s="3">
        <f>I649/L649</f>
        <v/>
      </c>
      <c r="N649">
        <f>IF(M649&gt;=5100,"ставка","мин.ставка")</f>
        <v/>
      </c>
      <c r="O649" s="3">
        <f>ROUND(IF(N649="мин.ставка",L649*100,I649/102*2),2)</f>
        <v/>
      </c>
      <c r="P649" s="5" t="n">
        <v>46221.5</v>
      </c>
      <c r="Q649" t="inlineStr">
        <is>
          <t>TravelLine ALN</t>
        </is>
      </c>
      <c r="R649" s="2" t="inlineStr">
        <is>
          <t>СТАНДАРТНЫЙ ДВУХМЕСТНЫЙ НОМЕР</t>
        </is>
      </c>
      <c r="S649" t="n">
        <v>26</v>
      </c>
      <c r="T649" t="n">
        <v>1</v>
      </c>
      <c r="U649" t="inlineStr"/>
      <c r="V649" t="inlineStr">
        <is>
          <t>Тариф с завтраком</t>
        </is>
      </c>
      <c r="W649" t="n">
        <v>56737.5</v>
      </c>
      <c r="X649" s="3" t="n">
        <v>10012.5</v>
      </c>
      <c r="Y649" t="inlineStr">
        <is>
          <t>15%</t>
        </is>
      </c>
      <c r="Z649" t="inlineStr">
        <is>
          <t>2026-07-13, 2026-07-14, 2026-07-15, 2026-07-16, 2026-07-17</t>
        </is>
      </c>
      <c r="AA649" s="3" t="n">
        <v>56737.5</v>
      </c>
      <c r="AB649" t="inlineStr">
        <is>
          <t>Сошлось по ночным тарифам</t>
        </is>
      </c>
      <c r="AC649" s="2" t="inlineStr"/>
      <c r="AD649" t="n">
        <v>10012.5</v>
      </c>
      <c r="AE649" t="n">
        <v>0</v>
      </c>
      <c r="AF649" t="inlineStr">
        <is>
          <t>Скидка добавлена к налоговой базе</t>
        </is>
      </c>
      <c r="AG649" t="n">
        <v>66750</v>
      </c>
      <c r="AH649" t="n">
        <v>56737.5</v>
      </c>
      <c r="AI649" t="inlineStr">
        <is>
          <t>Полное проживание в выбранном периоде</t>
        </is>
      </c>
    </row>
    <row r="650">
      <c r="A650" t="inlineStr">
        <is>
          <t>20260708-8186-448529248</t>
        </is>
      </c>
      <c r="B650" t="n">
        <v>1</v>
      </c>
      <c r="C650" s="2" t="inlineStr">
        <is>
          <t>ЮЛИЯ БАКШЕЕВА, МАТВЕЙ ЗИМАЙЛО</t>
        </is>
      </c>
      <c r="D650" s="3" t="n">
        <v>27700</v>
      </c>
      <c r="E650" s="4" t="n">
        <v>0</v>
      </c>
      <c r="F650" t="inlineStr">
        <is>
          <t>Прямые бронирования (стойка) [Чайковский]</t>
        </is>
      </c>
      <c r="G650" s="3">
        <f>ROUND(D650/(100-E650)*100,2)</f>
        <v/>
      </c>
      <c r="H650" s="3" t="n">
        <v>3445</v>
      </c>
      <c r="I650" s="3">
        <f>ROUND(IF(ISNUMBER(AG650),AG650,G650)+H650,2)</f>
        <v/>
      </c>
      <c r="J650" s="2" t="inlineStr">
        <is>
          <t>Завтрак "Шведский стол"; Поздний выезд — 3 445,00 ₽</t>
        </is>
      </c>
      <c r="K650" s="5" t="n">
        <v>46211.58333333334</v>
      </c>
      <c r="L650" t="n">
        <v>2</v>
      </c>
      <c r="M650" s="3">
        <f>I650/L650</f>
        <v/>
      </c>
      <c r="N650">
        <f>IF(M650&gt;=5100,"ставка","мин.ставка")</f>
        <v/>
      </c>
      <c r="O650" s="3">
        <f>ROUND(IF(N650="мин.ставка",L650*100,I650/102*2),2)</f>
        <v/>
      </c>
      <c r="P650" s="5" t="n">
        <v>46213.70833333334</v>
      </c>
      <c r="Q650" t="inlineStr">
        <is>
          <t>TravelLine ресепшен</t>
        </is>
      </c>
      <c r="R650" s="2" t="inlineStr">
        <is>
          <t>ПОЛУЛЮКС</t>
        </is>
      </c>
      <c r="S650" t="n">
        <v>11</v>
      </c>
      <c r="T650" t="n">
        <v>1</v>
      </c>
      <c r="U650" t="inlineStr"/>
      <c r="V650" t="inlineStr">
        <is>
          <t>Тариф с завтраком</t>
        </is>
      </c>
      <c r="W650" t="n">
        <v>31145</v>
      </c>
      <c r="X650" s="3" t="n">
        <v>0</v>
      </c>
      <c r="Y650" t="inlineStr"/>
      <c r="Z650" t="inlineStr"/>
      <c r="AA650" s="3" t="n">
        <v>27700</v>
      </c>
      <c r="AB650" t="inlineStr">
        <is>
          <t>Расхождение -3445.00 ₽</t>
        </is>
      </c>
      <c r="AC650" s="2" t="inlineStr"/>
      <c r="AD650" t="n">
        <v>0</v>
      </c>
      <c r="AE650" t="n">
        <v>0</v>
      </c>
      <c r="AF650" t="inlineStr">
        <is>
          <t>Скидки нет</t>
        </is>
      </c>
      <c r="AG650" t="n">
        <v>27700</v>
      </c>
      <c r="AH650" t="n">
        <v>27700</v>
      </c>
      <c r="AI650" t="inlineStr">
        <is>
          <t>Полное проживание в выбранном периоде</t>
        </is>
      </c>
    </row>
    <row r="651">
      <c r="A651" t="inlineStr">
        <is>
          <t>20260818-8186-459679856</t>
        </is>
      </c>
      <c r="B651" t="n">
        <v>1</v>
      </c>
      <c r="C651" s="2" t="inlineStr">
        <is>
          <t>Юлия Болгова</t>
        </is>
      </c>
      <c r="D651" s="3" t="n">
        <v>10215</v>
      </c>
      <c r="E651" s="4" t="n">
        <v>0</v>
      </c>
      <c r="F651" t="inlineStr">
        <is>
          <t>Прямые бронирования (стойка) [Чайковский]</t>
        </is>
      </c>
      <c r="G651" s="3">
        <f>ROUND(D651/(100-E651)*100,2)</f>
        <v/>
      </c>
      <c r="H651" s="3" t="n">
        <v>0</v>
      </c>
      <c r="I651" s="3">
        <f>ROUND(IF(ISNUMBER(AG651),AG651,G651)+H651,2)</f>
        <v/>
      </c>
      <c r="J651" s="2" t="inlineStr">
        <is>
          <t>Завтрак "Шведский стол"</t>
        </is>
      </c>
      <c r="K651" s="5" t="n">
        <v>46252.58333333334</v>
      </c>
      <c r="L651" t="n">
        <v>1</v>
      </c>
      <c r="M651" s="3">
        <f>I651/L651</f>
        <v/>
      </c>
      <c r="N651">
        <f>IF(M651&gt;=5100,"ставка","мин.ставка")</f>
        <v/>
      </c>
      <c r="O651" s="3">
        <f>ROUND(IF(N651="мин.ставка",L651*100,I651/102*2),2)</f>
        <v/>
      </c>
      <c r="P651" s="5" t="n">
        <v>46253.5</v>
      </c>
      <c r="Q651" t="inlineStr">
        <is>
          <t>TravelLine ресепшен</t>
        </is>
      </c>
      <c r="R651" s="2" t="inlineStr">
        <is>
          <t>СТАНДАРТНЫЙ ДВУХМЕСТНЫЙ НОМЕР</t>
        </is>
      </c>
      <c r="S651" t="n">
        <v>23</v>
      </c>
      <c r="T651" t="n">
        <v>1</v>
      </c>
      <c r="U651" t="inlineStr"/>
      <c r="V651" t="inlineStr">
        <is>
          <t>Тариф с завтраком</t>
        </is>
      </c>
      <c r="W651" t="n">
        <v>10215</v>
      </c>
      <c r="X651" s="3" t="n">
        <v>1135</v>
      </c>
      <c r="Y651" t="inlineStr">
        <is>
          <t>10%</t>
        </is>
      </c>
      <c r="Z651" t="inlineStr">
        <is>
          <t>2026-08-18</t>
        </is>
      </c>
      <c r="AA651" s="3" t="n">
        <v>10215</v>
      </c>
      <c r="AB651" t="inlineStr">
        <is>
          <t>Сошлось по ночным тарифам</t>
        </is>
      </c>
      <c r="AC651" s="2" t="inlineStr"/>
      <c r="AD651" t="n">
        <v>1135</v>
      </c>
      <c r="AE651" t="n">
        <v>0</v>
      </c>
      <c r="AF651" t="inlineStr">
        <is>
          <t>Скидка добавлена к налоговой базе</t>
        </is>
      </c>
      <c r="AG651" t="n">
        <v>11350</v>
      </c>
      <c r="AH651" t="n">
        <v>10215</v>
      </c>
      <c r="AI651" t="inlineStr">
        <is>
          <t>Полное проживание в выбранном периоде</t>
        </is>
      </c>
    </row>
    <row r="652">
      <c r="A652" t="inlineStr">
        <is>
          <t>20260716-8186-438301820</t>
        </is>
      </c>
      <c r="B652" t="n">
        <v>1</v>
      </c>
      <c r="C652" s="2" t="inlineStr">
        <is>
          <t>Юлия Вирц, СОФИЯ ЗАМИРАЛОВА</t>
        </is>
      </c>
      <c r="D652" s="3" t="n">
        <v>36045</v>
      </c>
      <c r="E652" s="4" t="n">
        <v>0</v>
      </c>
      <c r="F652" t="inlineStr">
        <is>
          <t>Прямые бронирования (стойка) [Чайковский]</t>
        </is>
      </c>
      <c r="G652" s="3">
        <f>ROUND(D652/(100-E652)*100,2)</f>
        <v/>
      </c>
      <c r="H652" s="3" t="n">
        <v>0</v>
      </c>
      <c r="I652" s="3">
        <f>ROUND(IF(ISNUMBER(AG652),AG652,G652)+H652,2)</f>
        <v/>
      </c>
      <c r="J652" s="2" t="inlineStr">
        <is>
          <t>Завтрак "Шведский стол"</t>
        </is>
      </c>
      <c r="K652" s="5" t="n">
        <v>46219.58333333334</v>
      </c>
      <c r="L652" t="n">
        <v>3</v>
      </c>
      <c r="M652" s="3">
        <f>I652/L652</f>
        <v/>
      </c>
      <c r="N652">
        <f>IF(M652&gt;=5100,"ставка","мин.ставка")</f>
        <v/>
      </c>
      <c r="O652" s="3">
        <f>ROUND(IF(N652="мин.ставка",L652*100,I652/102*2),2)</f>
        <v/>
      </c>
      <c r="P652" s="5" t="n">
        <v>46222.5</v>
      </c>
      <c r="Q652" t="inlineStr">
        <is>
          <t>TravelLine ресепшен</t>
        </is>
      </c>
      <c r="R652" s="2" t="inlineStr">
        <is>
          <t>СТАНДАРТНЫЙ ДВУХМЕСТНЫЙ НОМЕР</t>
        </is>
      </c>
      <c r="S652" t="n">
        <v>33</v>
      </c>
      <c r="T652" t="n">
        <v>1</v>
      </c>
      <c r="U652" t="inlineStr"/>
      <c r="V652" t="inlineStr">
        <is>
          <t>Тариф с завтраком</t>
        </is>
      </c>
      <c r="W652" t="n">
        <v>36045</v>
      </c>
      <c r="X652" s="3" t="n">
        <v>4005</v>
      </c>
      <c r="Y652" t="inlineStr">
        <is>
          <t>10%</t>
        </is>
      </c>
      <c r="Z652" t="inlineStr">
        <is>
          <t>2026-07-16, 2026-07-17, 2026-07-18</t>
        </is>
      </c>
      <c r="AA652" s="3" t="n">
        <v>36045</v>
      </c>
      <c r="AB652" t="inlineStr">
        <is>
          <t>Сошлось по ночным тарифам</t>
        </is>
      </c>
      <c r="AC652" s="2" t="inlineStr"/>
      <c r="AD652" t="n">
        <v>4005</v>
      </c>
      <c r="AE652" t="n">
        <v>0</v>
      </c>
      <c r="AF652" t="inlineStr">
        <is>
          <t>Скидка добавлена к налоговой базе</t>
        </is>
      </c>
      <c r="AG652" t="n">
        <v>40050</v>
      </c>
      <c r="AH652" t="n">
        <v>36045</v>
      </c>
      <c r="AI652" t="inlineStr">
        <is>
          <t>Полное проживание в выбранном периоде</t>
        </is>
      </c>
    </row>
    <row r="653">
      <c r="A653" t="inlineStr">
        <is>
          <t>20260929-8186-467455141</t>
        </is>
      </c>
      <c r="B653" t="n">
        <v>1</v>
      </c>
      <c r="C653" s="2" t="inlineStr">
        <is>
          <t>Юлия Захарова</t>
        </is>
      </c>
      <c r="D653" s="3" t="n">
        <v>25720</v>
      </c>
      <c r="E653" s="4" t="n">
        <v>20</v>
      </c>
      <c r="F653" t="inlineStr">
        <is>
          <t>ООО "КОМПАНИЯ БРОНЕВИК" [Чайковский]</t>
        </is>
      </c>
      <c r="G653" s="3">
        <f>ROUND(D653/(100-E653)*100,2)</f>
        <v/>
      </c>
      <c r="H653" s="3" t="n">
        <v>0</v>
      </c>
      <c r="I653" s="3">
        <f>ROUND(IF(ISNUMBER(AG653),AG653,G653)+H653,2)</f>
        <v/>
      </c>
      <c r="J653" s="2" t="inlineStr"/>
      <c r="K653" s="5" t="n">
        <v>46294.58333333334</v>
      </c>
      <c r="L653" t="n">
        <v>2</v>
      </c>
      <c r="M653" s="3">
        <f>I653/L653</f>
        <v/>
      </c>
      <c r="N653">
        <f>IF(M653&gt;=5100,"ставка","мин.ставка")</f>
        <v/>
      </c>
      <c r="O653" s="3">
        <f>ROUND(IF(N653="мин.ставка",L653*100,I653/102*2),2)</f>
        <v/>
      </c>
      <c r="P653" s="5" t="n">
        <v>46297.5</v>
      </c>
      <c r="Q653" t="inlineStr">
        <is>
          <t>TravelLine BR2</t>
        </is>
      </c>
      <c r="R653" s="2" t="inlineStr">
        <is>
          <t>СТАНДАРТНЫЙ ДВУХМЕСТНЫЙ НОМЕР</t>
        </is>
      </c>
      <c r="S653" t="n">
        <v>36</v>
      </c>
      <c r="T653" t="n">
        <v>1</v>
      </c>
      <c r="U653" t="inlineStr"/>
      <c r="V653" t="inlineStr">
        <is>
          <t>Тариф с завтраком</t>
        </is>
      </c>
      <c r="W653" t="n">
        <v>25720</v>
      </c>
      <c r="X653" s="3" t="n">
        <v>0</v>
      </c>
      <c r="Y653" t="inlineStr"/>
      <c r="Z653" t="inlineStr"/>
      <c r="AA653" s="3" t="n">
        <v>25720</v>
      </c>
      <c r="AB653" t="inlineStr">
        <is>
          <t>Сошлось по ночным тарифам</t>
        </is>
      </c>
      <c r="AC653" s="2" t="inlineStr"/>
      <c r="AD653" t="n">
        <v>0</v>
      </c>
      <c r="AE653" t="n">
        <v>0</v>
      </c>
      <c r="AF653" t="inlineStr">
        <is>
          <t>Скидки нет</t>
        </is>
      </c>
      <c r="AG653" t="n">
        <v>18160</v>
      </c>
      <c r="AH653" t="n">
        <v>18160</v>
      </c>
      <c r="AI653" t="inlineStr">
        <is>
          <t>Частичное проживание распределено по dailyRates</t>
        </is>
      </c>
    </row>
    <row r="654">
      <c r="A654" t="inlineStr">
        <is>
          <t>20260708-8186-447095529</t>
        </is>
      </c>
      <c r="B654" t="n">
        <v>1</v>
      </c>
      <c r="C654" s="2" t="inlineStr">
        <is>
          <t>Юлия Корастелева</t>
        </is>
      </c>
      <c r="D654" s="3" t="n">
        <v>18160</v>
      </c>
      <c r="E654" s="4" t="n">
        <v>20</v>
      </c>
      <c r="F654" t="inlineStr">
        <is>
          <t>ООО "КОМПАНИЯ БРОНЕВИК" [Чайковский]</t>
        </is>
      </c>
      <c r="G654" s="3">
        <f>ROUND(D654/(100-E654)*100,2)</f>
        <v/>
      </c>
      <c r="H654" s="3" t="n">
        <v>0</v>
      </c>
      <c r="I654" s="3">
        <f>ROUND(IF(ISNUMBER(AG654),AG654,G654)+H654,2)</f>
        <v/>
      </c>
      <c r="J654" s="2" t="inlineStr">
        <is>
          <t>Завтрак "Шведский стол"</t>
        </is>
      </c>
      <c r="K654" s="5" t="n">
        <v>46211.58333333334</v>
      </c>
      <c r="L654" t="n">
        <v>2</v>
      </c>
      <c r="M654" s="3">
        <f>I654/L654</f>
        <v/>
      </c>
      <c r="N654">
        <f>IF(M654&gt;=5100,"ставка","мин.ставка")</f>
        <v/>
      </c>
      <c r="O654" s="3">
        <f>ROUND(IF(N654="мин.ставка",L654*100,I654/102*2),2)</f>
        <v/>
      </c>
      <c r="P654" s="5" t="n">
        <v>46213.5</v>
      </c>
      <c r="Q654" t="inlineStr">
        <is>
          <t>TravelLine BR2</t>
        </is>
      </c>
      <c r="R654" s="2" t="inlineStr">
        <is>
          <t>СТАНДАРТНЫЙ ДВУХМЕСТНЫЙ НОМЕР</t>
        </is>
      </c>
      <c r="S654" t="n">
        <v>46</v>
      </c>
      <c r="T654" t="n">
        <v>1</v>
      </c>
      <c r="U654" t="inlineStr"/>
      <c r="V654" t="inlineStr">
        <is>
          <t>Тариф с завтраком</t>
        </is>
      </c>
      <c r="W654" t="n">
        <v>18160</v>
      </c>
      <c r="X654" s="3" t="n">
        <v>0</v>
      </c>
      <c r="Y654" t="inlineStr"/>
      <c r="Z654" t="inlineStr"/>
      <c r="AA654" s="3" t="n">
        <v>18160</v>
      </c>
      <c r="AB654" t="inlineStr">
        <is>
          <t>Сошлось по ночным тарифам</t>
        </is>
      </c>
      <c r="AC654" s="2" t="inlineStr"/>
      <c r="AD654" t="n">
        <v>0</v>
      </c>
      <c r="AE654" t="n">
        <v>0</v>
      </c>
      <c r="AF654" t="inlineStr">
        <is>
          <t>Скидки нет</t>
        </is>
      </c>
      <c r="AG654" t="n">
        <v>18160</v>
      </c>
      <c r="AH654" t="n">
        <v>18160</v>
      </c>
      <c r="AI654" t="inlineStr">
        <is>
          <t>Полное проживание в выбранном периоде</t>
        </is>
      </c>
    </row>
    <row r="655">
      <c r="A655" t="inlineStr">
        <is>
          <t>20260916-8186-460139139</t>
        </is>
      </c>
      <c r="B655" t="n">
        <v>1</v>
      </c>
      <c r="C655" s="2" t="inlineStr">
        <is>
          <t>ЮЛИЯ КУЗНЕЦОВА</t>
        </is>
      </c>
      <c r="D655" s="3" t="n">
        <v>9080</v>
      </c>
      <c r="E655" s="4" t="n">
        <v>20</v>
      </c>
      <c r="F655" t="inlineStr">
        <is>
          <t>ООО "ХБ-ПРО" [Чайковский]</t>
        </is>
      </c>
      <c r="G655" s="3">
        <f>ROUND(D655/(100-E655)*100,2)</f>
        <v/>
      </c>
      <c r="H655" s="3" t="n">
        <v>0</v>
      </c>
      <c r="I655" s="3">
        <f>ROUND(IF(ISNUMBER(AG655),AG655,G655)+H655,2)</f>
        <v/>
      </c>
      <c r="J655" s="2" t="inlineStr">
        <is>
          <t>Завтрак "Шведский стол"</t>
        </is>
      </c>
      <c r="K655" s="5" t="n">
        <v>46281.58333333334</v>
      </c>
      <c r="L655" t="n">
        <v>1</v>
      </c>
      <c r="M655" s="3">
        <f>I655/L655</f>
        <v/>
      </c>
      <c r="N655">
        <f>IF(M655&gt;=5100,"ставка","мин.ставка")</f>
        <v/>
      </c>
      <c r="O655" s="3">
        <f>ROUND(IF(N655="мин.ставка",L655*100,I655/102*2),2)</f>
        <v/>
      </c>
      <c r="P655" s="5" t="n">
        <v>46282.5</v>
      </c>
      <c r="Q655" t="inlineStr">
        <is>
          <t>TravelLine UTS</t>
        </is>
      </c>
      <c r="R655" s="2" t="inlineStr">
        <is>
          <t>СТАНДАРТНЫЙ ДВУХМЕСТНЫЙ НОМЕР</t>
        </is>
      </c>
      <c r="S655" t="n">
        <v>22</v>
      </c>
      <c r="T655" t="n">
        <v>1</v>
      </c>
      <c r="U655" t="inlineStr"/>
      <c r="V655" t="inlineStr">
        <is>
          <t>Тариф с завтраком</t>
        </is>
      </c>
      <c r="W655" t="n">
        <v>9080</v>
      </c>
      <c r="X655" s="3" t="n">
        <v>0</v>
      </c>
      <c r="Y655" t="inlineStr"/>
      <c r="Z655" t="inlineStr"/>
      <c r="AA655" s="3" t="n">
        <v>9080</v>
      </c>
      <c r="AB655" t="inlineStr">
        <is>
          <t>Сошлось по ночным тарифам</t>
        </is>
      </c>
      <c r="AC655" s="2" t="inlineStr"/>
      <c r="AD655" t="n">
        <v>0</v>
      </c>
      <c r="AE655" t="n">
        <v>0</v>
      </c>
      <c r="AF655" t="inlineStr">
        <is>
          <t>Скидки нет</t>
        </is>
      </c>
      <c r="AG655" t="n">
        <v>9080</v>
      </c>
      <c r="AH655" t="n">
        <v>9080</v>
      </c>
      <c r="AI655" t="inlineStr">
        <is>
          <t>Полное проживание в выбранном периоде</t>
        </is>
      </c>
    </row>
    <row r="656">
      <c r="A656" t="inlineStr">
        <is>
          <t>20260725-8186-451524573</t>
        </is>
      </c>
      <c r="B656" t="n">
        <v>1</v>
      </c>
      <c r="C656" s="2" t="inlineStr">
        <is>
          <t>Юлия Ликаренко</t>
        </is>
      </c>
      <c r="D656" s="3" t="n">
        <v>19754</v>
      </c>
      <c r="E656" s="4" t="n">
        <v>17</v>
      </c>
      <c r="F656" t="inlineStr">
        <is>
          <t>ООО «Интернет Трэвел» (OZON) [Чайковский]</t>
        </is>
      </c>
      <c r="G656" s="3">
        <f>ROUND(D656/(100-E656)*100,2)</f>
        <v/>
      </c>
      <c r="H656" s="3" t="n">
        <v>2480</v>
      </c>
      <c r="I656" s="3">
        <f>ROUND(IF(ISNUMBER(AG656),AG656,G656)+H656,2)</f>
        <v/>
      </c>
      <c r="J656" s="2" t="inlineStr">
        <is>
          <t>продление номера — 2 480,00 ₽</t>
        </is>
      </c>
      <c r="K656" s="5" t="n">
        <v>46228.58333333334</v>
      </c>
      <c r="L656" t="n">
        <v>2</v>
      </c>
      <c r="M656" s="3">
        <f>I656/L656</f>
        <v/>
      </c>
      <c r="N656">
        <f>IF(M656&gt;=5100,"ставка","мин.ставка")</f>
        <v/>
      </c>
      <c r="O656" s="3">
        <f>ROUND(IF(N656="мин.ставка",L656*100,I656/102*2),2)</f>
        <v/>
      </c>
      <c r="P656" s="5" t="n">
        <v>46230.70833333334</v>
      </c>
      <c r="Q656" t="inlineStr">
        <is>
          <t>TravelLine OZ2</t>
        </is>
      </c>
      <c r="R656" s="2" t="inlineStr">
        <is>
          <t>УЛУЧШЕННЫЙ ДВУХМЕСТНЫЙ НОМЕР</t>
        </is>
      </c>
      <c r="S656" t="n">
        <v>31</v>
      </c>
      <c r="T656" t="n">
        <v>1</v>
      </c>
      <c r="U656" t="inlineStr"/>
      <c r="V656" t="inlineStr">
        <is>
          <t>Основной тариф без завтрака</t>
        </is>
      </c>
      <c r="W656" t="n">
        <v>22234</v>
      </c>
      <c r="X656" s="3" t="n">
        <v>4046</v>
      </c>
      <c r="Y656" t="inlineStr">
        <is>
          <t>17%</t>
        </is>
      </c>
      <c r="Z656" t="inlineStr">
        <is>
          <t>2026-07-25, 2026-07-26</t>
        </is>
      </c>
      <c r="AA656" s="3" t="n">
        <v>19754</v>
      </c>
      <c r="AB656" t="inlineStr">
        <is>
          <t>Сошлось с услугами</t>
        </is>
      </c>
      <c r="AC656" s="2" t="inlineStr"/>
      <c r="AD656" t="n">
        <v>4046</v>
      </c>
      <c r="AE656" t="n">
        <v>0</v>
      </c>
      <c r="AF656" t="inlineStr">
        <is>
          <t>Скидка добавлена к налоговой базе</t>
        </is>
      </c>
      <c r="AG656" t="n">
        <v>23800</v>
      </c>
      <c r="AH656" t="n">
        <v>19754</v>
      </c>
      <c r="AI656" t="inlineStr">
        <is>
          <t>Полное проживание в выбранном периоде</t>
        </is>
      </c>
    </row>
    <row r="657">
      <c r="A657" t="inlineStr">
        <is>
          <t>20260820-8186-454554202</t>
        </is>
      </c>
      <c r="B657" t="n">
        <v>1</v>
      </c>
      <c r="C657" s="2" t="inlineStr">
        <is>
          <t>Юлия Любомирова</t>
        </is>
      </c>
      <c r="D657" s="3" t="n">
        <v>14850</v>
      </c>
      <c r="E657" s="4" t="n">
        <v>0</v>
      </c>
      <c r="F657" t="inlineStr">
        <is>
          <t>Прямые бронирования (стойка) [Чайковский]</t>
        </is>
      </c>
      <c r="G657" s="3">
        <f>ROUND(D657/(100-E657)*100,2)</f>
        <v/>
      </c>
      <c r="H657" s="3" t="n">
        <v>0</v>
      </c>
      <c r="I657" s="3">
        <f>ROUND(IF(ISNUMBER(AG657),AG657,G657)+H657,2)</f>
        <v/>
      </c>
      <c r="J657" s="2" t="inlineStr">
        <is>
          <t>Завтрак "Шведский стол"</t>
        </is>
      </c>
      <c r="K657" s="5" t="n">
        <v>46254.58333333334</v>
      </c>
      <c r="L657" t="n">
        <v>1</v>
      </c>
      <c r="M657" s="3">
        <f>I657/L657</f>
        <v/>
      </c>
      <c r="N657">
        <f>IF(M657&gt;=5100,"ставка","мин.ставка")</f>
        <v/>
      </c>
      <c r="O657" s="3">
        <f>ROUND(IF(N657="мин.ставка",L657*100,I657/102*2),2)</f>
        <v/>
      </c>
      <c r="P657" s="5" t="n">
        <v>46255.5</v>
      </c>
      <c r="Q657" t="inlineStr">
        <is>
          <t>TravelLine ресепшен</t>
        </is>
      </c>
      <c r="R657" s="2" t="inlineStr">
        <is>
          <t>ПОЛУЛЮКС</t>
        </is>
      </c>
      <c r="S657" t="n">
        <v>35</v>
      </c>
      <c r="T657" t="n">
        <v>1</v>
      </c>
      <c r="U657" t="inlineStr"/>
      <c r="V657" t="inlineStr">
        <is>
          <t>Тариф с завтраком</t>
        </is>
      </c>
      <c r="W657" t="n">
        <v>14850</v>
      </c>
      <c r="X657" s="3" t="n">
        <v>1650</v>
      </c>
      <c r="Y657" t="inlineStr">
        <is>
          <t>10%</t>
        </is>
      </c>
      <c r="Z657" t="inlineStr">
        <is>
          <t>2026-08-20</t>
        </is>
      </c>
      <c r="AA657" s="3" t="n">
        <v>14850</v>
      </c>
      <c r="AB657" t="inlineStr">
        <is>
          <t>Сошлось по ночным тарифам</t>
        </is>
      </c>
      <c r="AC657" s="2" t="inlineStr"/>
      <c r="AD657" t="n">
        <v>1650</v>
      </c>
      <c r="AE657" t="n">
        <v>0</v>
      </c>
      <c r="AF657" t="inlineStr">
        <is>
          <t>Скидка добавлена к налоговой базе</t>
        </is>
      </c>
      <c r="AG657" t="n">
        <v>16500</v>
      </c>
      <c r="AH657" t="n">
        <v>14850</v>
      </c>
      <c r="AI657" t="inlineStr">
        <is>
          <t>Полное проживание в выбранном периоде</t>
        </is>
      </c>
    </row>
    <row r="658">
      <c r="A658" t="inlineStr">
        <is>
          <t>20260930-8186-468765445</t>
        </is>
      </c>
      <c r="B658" t="n">
        <v>1</v>
      </c>
      <c r="C658" s="2" t="inlineStr">
        <is>
          <t>Юлия Митина, Сергей Митин</t>
        </is>
      </c>
      <c r="D658" s="3" t="n">
        <v>69600</v>
      </c>
      <c r="E658" s="4" t="n">
        <v>20</v>
      </c>
      <c r="F658" t="inlineStr">
        <is>
          <t>ООО «Дубль Гис» (OTELLO) [Чайковский]</t>
        </is>
      </c>
      <c r="G658" s="3">
        <f>ROUND(D658/(100-E658)*100,2)</f>
        <v/>
      </c>
      <c r="H658" s="3" t="n">
        <v>0</v>
      </c>
      <c r="I658" s="3">
        <f>ROUND(IF(ISNUMBER(AG658),AG658,G658)+H658,2)</f>
        <v/>
      </c>
      <c r="J658" s="2" t="inlineStr"/>
      <c r="K658" s="5" t="n">
        <v>46295.58333333334</v>
      </c>
      <c r="L658" t="n">
        <v>1</v>
      </c>
      <c r="M658" s="3">
        <f>I658/L658</f>
        <v/>
      </c>
      <c r="N658">
        <f>IF(M658&gt;=5100,"ставка","мин.ставка")</f>
        <v/>
      </c>
      <c r="O658" s="3">
        <f>ROUND(IF(N658="мин.ставка",L658*100,I658/102*2),2)</f>
        <v/>
      </c>
      <c r="P658" s="5" t="n">
        <v>46301.5</v>
      </c>
      <c r="Q658" t="inlineStr">
        <is>
          <t>TravelLine OL2</t>
        </is>
      </c>
      <c r="R658" s="2" t="inlineStr">
        <is>
          <t>ПОЛУЛЮКС</t>
        </is>
      </c>
      <c r="S658" t="n">
        <v>35</v>
      </c>
      <c r="T658" t="n">
        <v>1</v>
      </c>
      <c r="U658" t="inlineStr"/>
      <c r="V658" t="inlineStr">
        <is>
          <t>Тариф с завтраком</t>
        </is>
      </c>
      <c r="W658" t="n">
        <v>139200</v>
      </c>
      <c r="X658" s="3" t="n">
        <v>17400</v>
      </c>
      <c r="Y658" t="inlineStr">
        <is>
          <t>20%</t>
        </is>
      </c>
      <c r="Z658" t="inlineStr">
        <is>
          <t>Не распределена по датам</t>
        </is>
      </c>
      <c r="AA658" s="3" t="n">
        <v>69600</v>
      </c>
      <c r="AB658" t="inlineStr">
        <is>
          <t>Сошлось по ночным тарифам</t>
        </is>
      </c>
      <c r="AC658" s="2" t="inlineStr"/>
      <c r="AD658" t="n">
        <v>0</v>
      </c>
      <c r="AE658" t="n">
        <v>0</v>
      </c>
      <c r="AF658" t="inlineStr">
        <is>
          <t>Частичный период: дата агрегированной скидки не определена; скидка не добавлена к базе</t>
        </is>
      </c>
      <c r="AG658" t="n">
        <v>13200</v>
      </c>
      <c r="AH658" t="n">
        <v>13200</v>
      </c>
      <c r="AI658" t="inlineStr">
        <is>
          <t>Частичное проживание распределено по dailyRates; скидка без даты не восстановлена</t>
        </is>
      </c>
    </row>
    <row r="659">
      <c r="A659" t="inlineStr">
        <is>
          <t>20260814-8186-456123804</t>
        </is>
      </c>
      <c r="B659" t="n">
        <v>1</v>
      </c>
      <c r="C659" s="2" t="inlineStr">
        <is>
          <t>ЮЛИЯ ПАЛИЙ, ВАЛЕРИЯ ПАЛИЙ</t>
        </is>
      </c>
      <c r="D659" s="3" t="n">
        <v>21360</v>
      </c>
      <c r="E659" s="4" t="n">
        <v>0</v>
      </c>
      <c r="F659" t="inlineStr">
        <is>
          <t>Прямые бронирования (стойка) [Чайковский]</t>
        </is>
      </c>
      <c r="G659" s="3">
        <f>ROUND(D659/(100-E659)*100,2)</f>
        <v/>
      </c>
      <c r="H659" s="3" t="n">
        <v>0</v>
      </c>
      <c r="I659" s="3">
        <f>ROUND(IF(ISNUMBER(AG659),AG659,G659)+H659,2)</f>
        <v/>
      </c>
      <c r="J659" s="2" t="inlineStr">
        <is>
          <t>Завтрак "Шведский стол"</t>
        </is>
      </c>
      <c r="K659" s="5" t="n">
        <v>46248.58333333334</v>
      </c>
      <c r="L659" t="n">
        <v>2</v>
      </c>
      <c r="M659" s="3">
        <f>I659/L659</f>
        <v/>
      </c>
      <c r="N659">
        <f>IF(M659&gt;=5100,"ставка","мин.ставка")</f>
        <v/>
      </c>
      <c r="O659" s="3">
        <f>ROUND(IF(N659="мин.ставка",L659*100,I659/102*2),2)</f>
        <v/>
      </c>
      <c r="P659" s="5" t="n">
        <v>46250.5</v>
      </c>
      <c r="Q659" t="inlineStr">
        <is>
          <t>TravelLine ресепшен</t>
        </is>
      </c>
      <c r="R659" s="2" t="inlineStr">
        <is>
          <t>СТАНДАРТНЫЙ ДВУХМЕСТНЫЙ НОМЕР</t>
        </is>
      </c>
      <c r="S659" t="n">
        <v>23</v>
      </c>
      <c r="T659" t="n">
        <v>1</v>
      </c>
      <c r="U659" t="inlineStr"/>
      <c r="V659" t="inlineStr">
        <is>
          <t>Тариф с завтраком</t>
        </is>
      </c>
      <c r="W659" t="n">
        <v>21360</v>
      </c>
      <c r="X659" s="3" t="n">
        <v>5340</v>
      </c>
      <c r="Y659" t="inlineStr">
        <is>
          <t>20%</t>
        </is>
      </c>
      <c r="Z659" t="inlineStr">
        <is>
          <t>2026-08-14, 2026-08-15</t>
        </is>
      </c>
      <c r="AA659" s="3" t="n">
        <v>21360</v>
      </c>
      <c r="AB659" t="inlineStr">
        <is>
          <t>Сошлось по ночным тарифам</t>
        </is>
      </c>
      <c r="AC659" s="2" t="inlineStr"/>
      <c r="AD659" t="n">
        <v>5340</v>
      </c>
      <c r="AE659" t="n">
        <v>0</v>
      </c>
      <c r="AF659" t="inlineStr">
        <is>
          <t>Скидка добавлена к налоговой базе</t>
        </is>
      </c>
      <c r="AG659" t="n">
        <v>26700</v>
      </c>
      <c r="AH659" t="n">
        <v>21360</v>
      </c>
      <c r="AI659" t="inlineStr">
        <is>
          <t>Полное проживание в выбранном периоде</t>
        </is>
      </c>
    </row>
    <row r="660">
      <c r="A660" t="inlineStr">
        <is>
          <t>20260906-8186-461883708</t>
        </is>
      </c>
      <c r="B660" t="n">
        <v>1</v>
      </c>
      <c r="C660" s="2" t="inlineStr">
        <is>
          <t>ЮЛИЯ САЛАТА</t>
        </is>
      </c>
      <c r="D660" s="3" t="n">
        <v>6468</v>
      </c>
      <c r="E660" s="4" t="n">
        <v>16</v>
      </c>
      <c r="F660" t="inlineStr">
        <is>
          <t>ООО "БРОНИРОВАНИЕ ГОСТИНИЦ" (OSTROVOK) [Чайковский]</t>
        </is>
      </c>
      <c r="G660" s="3">
        <f>ROUND(D660/(100-E660)*100,2)</f>
        <v/>
      </c>
      <c r="H660" s="3" t="n">
        <v>0</v>
      </c>
      <c r="I660" s="3">
        <f>ROUND(IF(ISNUMBER(AG660),AG660,G660)+H660,2)</f>
        <v/>
      </c>
      <c r="J660" s="2" t="inlineStr">
        <is>
          <t>Завтрак "Шведский стол"</t>
        </is>
      </c>
      <c r="K660" s="5" t="n">
        <v>46271.58333333334</v>
      </c>
      <c r="L660" t="n">
        <v>1</v>
      </c>
      <c r="M660" s="3">
        <f>I660/L660</f>
        <v/>
      </c>
      <c r="N660">
        <f>IF(M660&gt;=5100,"ставка","мин.ставка")</f>
        <v/>
      </c>
      <c r="O660" s="3">
        <f>ROUND(IF(N660="мин.ставка",L660*100,I660/102*2),2)</f>
        <v/>
      </c>
      <c r="P660" s="5" t="n">
        <v>46272.5</v>
      </c>
      <c r="Q660" t="inlineStr">
        <is>
          <t>TravelLine OTK</t>
        </is>
      </c>
      <c r="R660" s="2" t="inlineStr">
        <is>
          <t>СТАНДАРТНЫЙ ОДНОМЕСТНЫЙ НОМЕР</t>
        </is>
      </c>
      <c r="S660" t="n">
        <v>34</v>
      </c>
      <c r="T660" t="n">
        <v>1</v>
      </c>
      <c r="U660" t="inlineStr"/>
      <c r="V660" t="inlineStr">
        <is>
          <t>Тариф с завтраком</t>
        </is>
      </c>
      <c r="W660" t="n">
        <v>6468</v>
      </c>
      <c r="X660" s="3" t="n">
        <v>1232</v>
      </c>
      <c r="Y660" t="inlineStr">
        <is>
          <t>16%</t>
        </is>
      </c>
      <c r="Z660" t="inlineStr">
        <is>
          <t>2026-09-06</t>
        </is>
      </c>
      <c r="AA660" s="3" t="n">
        <v>6468</v>
      </c>
      <c r="AB660" t="inlineStr">
        <is>
          <t>Сошлось по ночным тарифам</t>
        </is>
      </c>
      <c r="AC660" s="2" t="inlineStr"/>
      <c r="AD660" t="n">
        <v>1232</v>
      </c>
      <c r="AE660" t="n">
        <v>0</v>
      </c>
      <c r="AF660" t="inlineStr">
        <is>
          <t>Скидка добавлена к налоговой базе</t>
        </is>
      </c>
      <c r="AG660" t="n">
        <v>7700</v>
      </c>
      <c r="AH660" t="n">
        <v>6468</v>
      </c>
      <c r="AI660" t="inlineStr">
        <is>
          <t>Полное проживание в выбранном периоде</t>
        </is>
      </c>
    </row>
    <row r="661">
      <c r="A661" t="inlineStr">
        <is>
          <t>20260904-8186-461445761</t>
        </is>
      </c>
      <c r="B661" t="n">
        <v>1</v>
      </c>
      <c r="C661" s="2" t="inlineStr">
        <is>
          <t>Юлия Чемакина, Андрей Мамаев</t>
        </is>
      </c>
      <c r="D661" s="3" t="n">
        <v>11214</v>
      </c>
      <c r="E661" s="4" t="n">
        <v>16</v>
      </c>
      <c r="F661" t="inlineStr">
        <is>
          <t>ООО "БРОНИРОВАНИЕ ГОСТИНИЦ" (OSTROVOK) [Чайковский]</t>
        </is>
      </c>
      <c r="G661" s="3">
        <f>ROUND(D661/(100-E661)*100,2)</f>
        <v/>
      </c>
      <c r="H661" s="3" t="n">
        <v>0</v>
      </c>
      <c r="I661" s="3">
        <f>ROUND(IF(ISNUMBER(AG661),AG661,G661)+H661,2)</f>
        <v/>
      </c>
      <c r="J661" s="2" t="inlineStr">
        <is>
          <t>Завтрак "Шведский стол"</t>
        </is>
      </c>
      <c r="K661" s="5" t="n">
        <v>46269.58333333334</v>
      </c>
      <c r="L661" t="n">
        <v>1</v>
      </c>
      <c r="M661" s="3">
        <f>I661/L661</f>
        <v/>
      </c>
      <c r="N661">
        <f>IF(M661&gt;=5100,"ставка","мин.ставка")</f>
        <v/>
      </c>
      <c r="O661" s="3">
        <f>ROUND(IF(N661="мин.ставка",L661*100,I661/102*2),2)</f>
        <v/>
      </c>
      <c r="P661" s="5" t="n">
        <v>46270.5</v>
      </c>
      <c r="Q661" t="inlineStr">
        <is>
          <t>TravelLine OTK</t>
        </is>
      </c>
      <c r="R661" s="2" t="inlineStr">
        <is>
          <t>СТАНДАРТНЫЙ ДВУХМЕСТНЫЙ НОМЕР</t>
        </is>
      </c>
      <c r="S661" t="n">
        <v>46</v>
      </c>
      <c r="T661" t="n">
        <v>1</v>
      </c>
      <c r="U661" t="inlineStr"/>
      <c r="V661" t="inlineStr">
        <is>
          <t>Тариф с завтраком</t>
        </is>
      </c>
      <c r="W661" t="n">
        <v>11214</v>
      </c>
      <c r="X661" s="3" t="n">
        <v>2136</v>
      </c>
      <c r="Y661" t="inlineStr">
        <is>
          <t>16%</t>
        </is>
      </c>
      <c r="Z661" t="inlineStr">
        <is>
          <t>2026-09-04</t>
        </is>
      </c>
      <c r="AA661" s="3" t="n">
        <v>11214</v>
      </c>
      <c r="AB661" t="inlineStr">
        <is>
          <t>Сошлось по ночным тарифам</t>
        </is>
      </c>
      <c r="AC661" s="2" t="inlineStr"/>
      <c r="AD661" t="n">
        <v>2136</v>
      </c>
      <c r="AE661" t="n">
        <v>0</v>
      </c>
      <c r="AF661" t="inlineStr">
        <is>
          <t>Скидка добавлена к налоговой базе</t>
        </is>
      </c>
      <c r="AG661" t="n">
        <v>13350</v>
      </c>
      <c r="AH661" t="n">
        <v>11214</v>
      </c>
      <c r="AI661" t="inlineStr">
        <is>
          <t>Полное проживание в выбранном периоде</t>
        </is>
      </c>
    </row>
    <row r="662">
      <c r="A662" t="inlineStr">
        <is>
          <t>20260918-8186-459511897</t>
        </is>
      </c>
      <c r="B662" t="n">
        <v>1</v>
      </c>
      <c r="C662" s="2" t="inlineStr">
        <is>
          <t>Юлия Эмануэль</t>
        </is>
      </c>
      <c r="D662" s="3" t="n">
        <v>9080</v>
      </c>
      <c r="E662" s="4" t="n">
        <v>20</v>
      </c>
      <c r="F662" t="inlineStr">
        <is>
          <t>ООО "ХБ-ПРО" [Чайковский]</t>
        </is>
      </c>
      <c r="G662" s="3">
        <f>ROUND(D662/(100-E662)*100,2)</f>
        <v/>
      </c>
      <c r="H662" s="3" t="n">
        <v>0</v>
      </c>
      <c r="I662" s="3">
        <f>ROUND(IF(ISNUMBER(AG662),AG662,G662)+H662,2)</f>
        <v/>
      </c>
      <c r="J662" s="2" t="inlineStr">
        <is>
          <t>Завтрак "Шведский стол"</t>
        </is>
      </c>
      <c r="K662" s="5" t="n">
        <v>46283.58333333334</v>
      </c>
      <c r="L662" t="n">
        <v>1</v>
      </c>
      <c r="M662" s="3">
        <f>I662/L662</f>
        <v/>
      </c>
      <c r="N662">
        <f>IF(M662&gt;=5100,"ставка","мин.ставка")</f>
        <v/>
      </c>
      <c r="O662" s="3">
        <f>ROUND(IF(N662="мин.ставка",L662*100,I662/102*2),2)</f>
        <v/>
      </c>
      <c r="P662" s="5" t="n">
        <v>46284.5</v>
      </c>
      <c r="Q662" t="inlineStr">
        <is>
          <t>TravelLine UTS</t>
        </is>
      </c>
      <c r="R662" s="2" t="inlineStr">
        <is>
          <t>СТАНДАРТНЫЙ ДВУХМЕСТНЫЙ НОМЕР</t>
        </is>
      </c>
      <c r="S662" t="n">
        <v>23</v>
      </c>
      <c r="T662" t="n">
        <v>1</v>
      </c>
      <c r="U662" t="inlineStr"/>
      <c r="V662" t="inlineStr">
        <is>
          <t>Тариф с завтраком</t>
        </is>
      </c>
      <c r="W662" t="n">
        <v>9080</v>
      </c>
      <c r="X662" s="3" t="n">
        <v>0</v>
      </c>
      <c r="Y662" t="inlineStr"/>
      <c r="Z662" t="inlineStr"/>
      <c r="AA662" s="3" t="n">
        <v>9080</v>
      </c>
      <c r="AB662" t="inlineStr">
        <is>
          <t>Сошлось по ночным тарифам</t>
        </is>
      </c>
      <c r="AC662" s="2" t="inlineStr"/>
      <c r="AD662" t="n">
        <v>0</v>
      </c>
      <c r="AE662" t="n">
        <v>0</v>
      </c>
      <c r="AF662" t="inlineStr">
        <is>
          <t>Скидки нет</t>
        </is>
      </c>
      <c r="AG662" t="n">
        <v>9080</v>
      </c>
      <c r="AH662" t="n">
        <v>9080</v>
      </c>
      <c r="AI662" t="inlineStr">
        <is>
          <t>Полное проживание в выбранном периоде</t>
        </is>
      </c>
    </row>
    <row r="663">
      <c r="A663" t="inlineStr">
        <is>
          <t>20260925-8186-465181123</t>
        </is>
      </c>
      <c r="B663" t="n">
        <v>1</v>
      </c>
      <c r="C663" s="2" t="inlineStr">
        <is>
          <t>Юния Сафронова</t>
        </is>
      </c>
      <c r="D663" s="3" t="n">
        <v>9080</v>
      </c>
      <c r="E663" s="4" t="n">
        <v>20</v>
      </c>
      <c r="F663" t="inlineStr">
        <is>
          <t>ООО "КОМПАНИЯ БРОНЕВИК" [Чайковский]</t>
        </is>
      </c>
      <c r="G663" s="3">
        <f>ROUND(D663/(100-E663)*100,2)</f>
        <v/>
      </c>
      <c r="H663" s="3" t="n">
        <v>0</v>
      </c>
      <c r="I663" s="3">
        <f>ROUND(IF(ISNUMBER(AG663),AG663,G663)+H663,2)</f>
        <v/>
      </c>
      <c r="J663" s="2" t="inlineStr">
        <is>
          <t>Завтрак "Шведский стол"</t>
        </is>
      </c>
      <c r="K663" s="5" t="n">
        <v>46290.58333333334</v>
      </c>
      <c r="L663" t="n">
        <v>1</v>
      </c>
      <c r="M663" s="3">
        <f>I663/L663</f>
        <v/>
      </c>
      <c r="N663">
        <f>IF(M663&gt;=5100,"ставка","мин.ставка")</f>
        <v/>
      </c>
      <c r="O663" s="3">
        <f>ROUND(IF(N663="мин.ставка",L663*100,I663/102*2),2)</f>
        <v/>
      </c>
      <c r="P663" s="5" t="n">
        <v>46291.5</v>
      </c>
      <c r="Q663" t="inlineStr">
        <is>
          <t>TravelLine BR2</t>
        </is>
      </c>
      <c r="R663" s="2" t="inlineStr">
        <is>
          <t>СТАНДАРТНЫЙ ДВУХМЕСТНЫЙ НОМЕР</t>
        </is>
      </c>
      <c r="S663" t="n">
        <v>23</v>
      </c>
      <c r="T663" t="n">
        <v>1</v>
      </c>
      <c r="U663" t="inlineStr"/>
      <c r="V663" t="inlineStr">
        <is>
          <t>Тариф с завтраком</t>
        </is>
      </c>
      <c r="W663" t="n">
        <v>9080</v>
      </c>
      <c r="X663" s="3" t="n">
        <v>0</v>
      </c>
      <c r="Y663" t="inlineStr"/>
      <c r="Z663" t="inlineStr"/>
      <c r="AA663" s="3" t="n">
        <v>9080</v>
      </c>
      <c r="AB663" t="inlineStr">
        <is>
          <t>Сошлось по ночным тарифам</t>
        </is>
      </c>
      <c r="AC663" s="2" t="inlineStr"/>
      <c r="AD663" t="n">
        <v>0</v>
      </c>
      <c r="AE663" t="n">
        <v>0</v>
      </c>
      <c r="AF663" t="inlineStr">
        <is>
          <t>Скидки нет</t>
        </is>
      </c>
      <c r="AG663" t="n">
        <v>9080</v>
      </c>
      <c r="AH663" t="n">
        <v>9080</v>
      </c>
      <c r="AI663" t="inlineStr">
        <is>
          <t>Полное проживание в выбранном периоде</t>
        </is>
      </c>
    </row>
    <row r="664">
      <c r="A664" t="inlineStr">
        <is>
          <t>20260904-8186-455342242</t>
        </is>
      </c>
      <c r="B664" t="n">
        <v>1</v>
      </c>
      <c r="C664" s="2" t="inlineStr">
        <is>
          <t>Юрий Борисенко, Наталия Бурцева</t>
        </is>
      </c>
      <c r="D664" s="3" t="n">
        <v>22428</v>
      </c>
      <c r="E664" s="4" t="n">
        <v>16</v>
      </c>
      <c r="F664" t="inlineStr">
        <is>
          <t>ООО "БРОНИРОВАНИЕ ГОСТИНИЦ" (OSTROVOK) [Чайковский]</t>
        </is>
      </c>
      <c r="G664" s="3">
        <f>ROUND(D664/(100-E664)*100,2)</f>
        <v/>
      </c>
      <c r="H664" s="3" t="n">
        <v>0</v>
      </c>
      <c r="I664" s="3">
        <f>ROUND(IF(ISNUMBER(AG664),AG664,G664)+H664,2)</f>
        <v/>
      </c>
      <c r="J664" s="2" t="inlineStr">
        <is>
          <t>Завтрак "Шведский стол"</t>
        </is>
      </c>
      <c r="K664" s="5" t="n">
        <v>46269.58333333334</v>
      </c>
      <c r="L664" t="n">
        <v>2</v>
      </c>
      <c r="M664" s="3">
        <f>I664/L664</f>
        <v/>
      </c>
      <c r="N664">
        <f>IF(M664&gt;=5100,"ставка","мин.ставка")</f>
        <v/>
      </c>
      <c r="O664" s="3">
        <f>ROUND(IF(N664="мин.ставка",L664*100,I664/102*2),2)</f>
        <v/>
      </c>
      <c r="P664" s="5" t="n">
        <v>46271.5</v>
      </c>
      <c r="Q664" t="inlineStr">
        <is>
          <t>TravelLine OTK</t>
        </is>
      </c>
      <c r="R664" s="2" t="inlineStr">
        <is>
          <t>СТАНДАРТНЫЙ ДВУХМЕСТНЫЙ НОМЕР</t>
        </is>
      </c>
      <c r="S664" t="n">
        <v>32</v>
      </c>
      <c r="T664" t="n">
        <v>1</v>
      </c>
      <c r="U664" t="inlineStr"/>
      <c r="V664" t="inlineStr">
        <is>
          <t>Тариф с завтраком</t>
        </is>
      </c>
      <c r="W664" t="n">
        <v>22428</v>
      </c>
      <c r="X664" s="3" t="n">
        <v>4272</v>
      </c>
      <c r="Y664" t="inlineStr">
        <is>
          <t>16%</t>
        </is>
      </c>
      <c r="Z664" t="inlineStr">
        <is>
          <t>2026-09-04, 2026-09-05</t>
        </is>
      </c>
      <c r="AA664" s="3" t="n">
        <v>22428</v>
      </c>
      <c r="AB664" t="inlineStr">
        <is>
          <t>Сошлось по ночным тарифам</t>
        </is>
      </c>
      <c r="AC664" s="2" t="inlineStr"/>
      <c r="AD664" t="n">
        <v>4272</v>
      </c>
      <c r="AE664" t="n">
        <v>0</v>
      </c>
      <c r="AF664" t="inlineStr">
        <is>
          <t>Скидка добавлена к налоговой базе</t>
        </is>
      </c>
      <c r="AG664" t="n">
        <v>26700</v>
      </c>
      <c r="AH664" t="n">
        <v>22428</v>
      </c>
      <c r="AI664" t="inlineStr">
        <is>
          <t>Полное проживание в выбранном периоде</t>
        </is>
      </c>
    </row>
    <row r="665">
      <c r="A665" t="inlineStr">
        <is>
          <t>20260802-8186-450372690</t>
        </is>
      </c>
      <c r="B665" t="n">
        <v>1</v>
      </c>
      <c r="C665" s="2" t="inlineStr">
        <is>
          <t>Юрий Эпоев, Юстина Гусейнова</t>
        </is>
      </c>
      <c r="D665" s="3" t="n">
        <v>40584</v>
      </c>
      <c r="E665" s="4" t="n">
        <v>18</v>
      </c>
      <c r="F665" t="inlineStr">
        <is>
          <t>Яндекс.Путешествия [Чайковский]</t>
        </is>
      </c>
      <c r="G665" s="3">
        <f>ROUND(D665/(100-E665)*100,2)</f>
        <v/>
      </c>
      <c r="H665" s="3" t="n">
        <v>0</v>
      </c>
      <c r="I665" s="3">
        <f>ROUND(IF(ISNUMBER(AG665),AG665,G665)+H665,2)</f>
        <v/>
      </c>
      <c r="J665" s="2" t="inlineStr">
        <is>
          <t>Завтрак "Шведский стол"</t>
        </is>
      </c>
      <c r="K665" s="5" t="n">
        <v>46236.58333333334</v>
      </c>
      <c r="L665" t="n">
        <v>4</v>
      </c>
      <c r="M665" s="3">
        <f>I665/L665</f>
        <v/>
      </c>
      <c r="N665">
        <f>IF(M665&gt;=5100,"ставка","мин.ставка")</f>
        <v/>
      </c>
      <c r="O665" s="3">
        <f>ROUND(IF(N665="мин.ставка",L665*100,I665/102*2),2)</f>
        <v/>
      </c>
      <c r="P665" s="5" t="n">
        <v>46240.5</v>
      </c>
      <c r="Q665" t="inlineStr">
        <is>
          <t>TravelLine YAX</t>
        </is>
      </c>
      <c r="R665" s="2" t="inlineStr">
        <is>
          <t>СТАНДАРТНЫЙ ДВУХМЕСТНЫЙ НОМЕР</t>
        </is>
      </c>
      <c r="S665" t="n">
        <v>23</v>
      </c>
      <c r="T665" t="n">
        <v>1</v>
      </c>
      <c r="U665" t="inlineStr"/>
      <c r="V665" t="inlineStr">
        <is>
          <t>Тариф с завтраком</t>
        </is>
      </c>
      <c r="W665" t="n">
        <v>40584</v>
      </c>
      <c r="X665" s="3" t="n">
        <v>10146</v>
      </c>
      <c r="Y665" t="inlineStr">
        <is>
          <t>20%</t>
        </is>
      </c>
      <c r="Z665" t="inlineStr">
        <is>
          <t>2026-08-02, 2026-08-03, 2026-08-04, 2026-08-05</t>
        </is>
      </c>
      <c r="AA665" s="3" t="n">
        <v>40584</v>
      </c>
      <c r="AB665" t="inlineStr">
        <is>
          <t>Сошлось по ночным тарифам</t>
        </is>
      </c>
      <c r="AC665" s="2" t="inlineStr"/>
      <c r="AD665" t="n">
        <v>10146</v>
      </c>
      <c r="AE665" t="n">
        <v>0</v>
      </c>
      <c r="AF665" t="inlineStr">
        <is>
          <t>Скидка добавлена к налоговой базе</t>
        </is>
      </c>
      <c r="AG665" t="n">
        <v>50730</v>
      </c>
      <c r="AH665" t="n">
        <v>40584</v>
      </c>
      <c r="AI665" t="inlineStr">
        <is>
          <t>Полное проживание в выбранном периоде</t>
        </is>
      </c>
    </row>
    <row r="666">
      <c r="A666" t="inlineStr">
        <is>
          <t>20260727-8186-441733245</t>
        </is>
      </c>
      <c r="B666" t="n">
        <v>1</v>
      </c>
      <c r="C666" s="2" t="inlineStr">
        <is>
          <t>Юрия Соколов, Валентина Соловьева</t>
        </is>
      </c>
      <c r="D666" s="3" t="n">
        <v>45390</v>
      </c>
      <c r="E666" s="4" t="n">
        <v>15</v>
      </c>
      <c r="F666" t="inlineStr">
        <is>
          <t>Trip.com Group [Чайковский]</t>
        </is>
      </c>
      <c r="G666" s="3">
        <f>ROUND(D666/(100-E666)*100,2)</f>
        <v/>
      </c>
      <c r="H666" s="3" t="n">
        <v>0</v>
      </c>
      <c r="I666" s="3">
        <f>ROUND(IF(ISNUMBER(AG666),AG666,G666)+H666,2)</f>
        <v/>
      </c>
      <c r="J666" s="2" t="inlineStr">
        <is>
          <t>Завтрак "Шведский стол"</t>
        </is>
      </c>
      <c r="K666" s="5" t="n">
        <v>46230.58333333334</v>
      </c>
      <c r="L666" t="n">
        <v>4</v>
      </c>
      <c r="M666" s="3">
        <f>I666/L666</f>
        <v/>
      </c>
      <c r="N666">
        <f>IF(M666&gt;=5100,"ставка","мин.ставка")</f>
        <v/>
      </c>
      <c r="O666" s="3">
        <f>ROUND(IF(N666="мин.ставка",L666*100,I666/102*2),2)</f>
        <v/>
      </c>
      <c r="P666" s="5" t="n">
        <v>46234.5</v>
      </c>
      <c r="Q666" t="inlineStr">
        <is>
          <t>TravelLine CTP</t>
        </is>
      </c>
      <c r="R666" s="2" t="inlineStr">
        <is>
          <t>СТАНДАРТНЫЙ ДВУХМЕСТНЫЙ НОМЕР</t>
        </is>
      </c>
      <c r="S666" t="n">
        <v>26</v>
      </c>
      <c r="T666" t="n">
        <v>1</v>
      </c>
      <c r="U666" t="inlineStr"/>
      <c r="V666" t="inlineStr">
        <is>
          <t>Тариф с завтраком</t>
        </is>
      </c>
      <c r="W666" t="n">
        <v>45390</v>
      </c>
      <c r="X666" s="3" t="n">
        <v>0</v>
      </c>
      <c r="Y666" t="inlineStr"/>
      <c r="Z666" t="inlineStr"/>
      <c r="AA666" s="3" t="n">
        <v>45390</v>
      </c>
      <c r="AB666" t="inlineStr">
        <is>
          <t>Сошлось по ночным тарифам</t>
        </is>
      </c>
      <c r="AC666" s="2" t="inlineStr"/>
      <c r="AD666" t="n">
        <v>0</v>
      </c>
      <c r="AE666" t="n">
        <v>0</v>
      </c>
      <c r="AF666" t="inlineStr">
        <is>
          <t>Скидки нет</t>
        </is>
      </c>
      <c r="AG666" t="n">
        <v>45390</v>
      </c>
      <c r="AH666" t="n">
        <v>45390</v>
      </c>
      <c r="AI666" t="inlineStr">
        <is>
          <t>Полное проживание в выбранном периоде</t>
        </is>
      </c>
    </row>
    <row r="667">
      <c r="A667" t="inlineStr">
        <is>
          <t>20260825-8186-452662018</t>
        </is>
      </c>
      <c r="B667" t="n">
        <v>1</v>
      </c>
      <c r="C667" s="2" t="inlineStr">
        <is>
          <t>Ядвига Кирсанова</t>
        </is>
      </c>
      <c r="D667" s="3" t="n">
        <v>12320</v>
      </c>
      <c r="E667" s="4" t="n">
        <v>20</v>
      </c>
      <c r="F667" t="inlineStr">
        <is>
          <t>ООО "КОМПАНИЯ БРОНЕВИК" [Чайковский]</t>
        </is>
      </c>
      <c r="G667" s="3">
        <f>ROUND(D667/(100-E667)*100,2)</f>
        <v/>
      </c>
      <c r="H667" s="3" t="n">
        <v>0</v>
      </c>
      <c r="I667" s="3">
        <f>ROUND(IF(ISNUMBER(AG667),AG667,G667)+H667,2)</f>
        <v/>
      </c>
      <c r="J667" s="2" t="inlineStr">
        <is>
          <t>Завтрак "Шведский стол"</t>
        </is>
      </c>
      <c r="K667" s="5" t="n">
        <v>46259.58333333334</v>
      </c>
      <c r="L667" t="n">
        <v>2</v>
      </c>
      <c r="M667" s="3">
        <f>I667/L667</f>
        <v/>
      </c>
      <c r="N667">
        <f>IF(M667&gt;=5100,"ставка","мин.ставка")</f>
        <v/>
      </c>
      <c r="O667" s="3">
        <f>ROUND(IF(N667="мин.ставка",L667*100,I667/102*2),2)</f>
        <v/>
      </c>
      <c r="P667" s="5" t="n">
        <v>46261.5</v>
      </c>
      <c r="Q667" t="inlineStr">
        <is>
          <t>TravelLine BR2</t>
        </is>
      </c>
      <c r="R667" s="2" t="inlineStr">
        <is>
          <t>СТАНДАРТНЫЙ ОДНОМЕСТНЫЙ НОМЕР</t>
        </is>
      </c>
      <c r="S667" t="n">
        <v>24</v>
      </c>
      <c r="T667" t="n">
        <v>1</v>
      </c>
      <c r="U667" t="inlineStr"/>
      <c r="V667" t="inlineStr">
        <is>
          <t>Тариф с завтраком</t>
        </is>
      </c>
      <c r="W667" t="n">
        <v>12320</v>
      </c>
      <c r="X667" s="3" t="n">
        <v>0</v>
      </c>
      <c r="Y667" t="inlineStr"/>
      <c r="Z667" t="inlineStr"/>
      <c r="AA667" s="3" t="n">
        <v>12320</v>
      </c>
      <c r="AB667" t="inlineStr">
        <is>
          <t>Сошлось по ночным тарифам</t>
        </is>
      </c>
      <c r="AC667" s="2" t="inlineStr"/>
      <c r="AD667" t="n">
        <v>0</v>
      </c>
      <c r="AE667" t="n">
        <v>0</v>
      </c>
      <c r="AF667" t="inlineStr">
        <is>
          <t>Скидки нет</t>
        </is>
      </c>
      <c r="AG667" t="n">
        <v>12320</v>
      </c>
      <c r="AH667" t="n">
        <v>12320</v>
      </c>
      <c r="AI667" t="inlineStr">
        <is>
          <t>Полное проживание в выбранном периоде</t>
        </is>
      </c>
    </row>
    <row r="668">
      <c r="A668" t="inlineStr">
        <is>
          <t>20260707-8186-448033269</t>
        </is>
      </c>
      <c r="B668" t="n">
        <v>1</v>
      </c>
      <c r="C668" s="2" t="inlineStr">
        <is>
          <t>Яков Никонов</t>
        </is>
      </c>
      <c r="D668" s="3" t="n">
        <v>9240</v>
      </c>
      <c r="E668" s="4" t="n">
        <v>20</v>
      </c>
      <c r="F668" t="inlineStr">
        <is>
          <t>ООО "ХБ-ПРО" [Чайковский]</t>
        </is>
      </c>
      <c r="G668" s="3">
        <f>ROUND(D668/(100-E668)*100,2)</f>
        <v/>
      </c>
      <c r="H668" s="3" t="n">
        <v>1812</v>
      </c>
      <c r="I668" s="3">
        <f>ROUND(IF(ISNUMBER(AG668),AG668,G668)+H668,2)</f>
        <v/>
      </c>
      <c r="J668" s="2" t="inlineStr">
        <is>
          <t>продление номера — 1 812,00 ₽; Завтрак "Шведский стол"</t>
        </is>
      </c>
      <c r="K668" s="5" t="n">
        <v>46210.58333333334</v>
      </c>
      <c r="L668" t="n">
        <v>1</v>
      </c>
      <c r="M668" s="3">
        <f>I668/L668</f>
        <v/>
      </c>
      <c r="N668">
        <f>IF(M668&gt;=5100,"ставка","мин.ставка")</f>
        <v/>
      </c>
      <c r="O668" s="3">
        <f>ROUND(IF(N668="мин.ставка",L668*100,I668/102*2),2)</f>
        <v/>
      </c>
      <c r="P668" s="5" t="n">
        <v>46211.5</v>
      </c>
      <c r="Q668" t="inlineStr">
        <is>
          <t>TravelLine UTS</t>
        </is>
      </c>
      <c r="R668" s="2" t="inlineStr">
        <is>
          <t>ПОЛУЛЮКС</t>
        </is>
      </c>
      <c r="S668" t="n">
        <v>35</v>
      </c>
      <c r="T668" t="n">
        <v>1</v>
      </c>
      <c r="U668" t="inlineStr"/>
      <c r="V668" t="inlineStr">
        <is>
          <t>Тариф с завтраком</t>
        </is>
      </c>
      <c r="W668" t="n">
        <v>11052</v>
      </c>
      <c r="X668" s="3" t="n">
        <v>0</v>
      </c>
      <c r="Y668" t="inlineStr"/>
      <c r="Z668" t="inlineStr"/>
      <c r="AA668" s="3" t="n">
        <v>9240</v>
      </c>
      <c r="AB668" t="inlineStr">
        <is>
          <t>Сошлось с услугами</t>
        </is>
      </c>
      <c r="AC668" s="2" t="inlineStr"/>
      <c r="AD668" t="n">
        <v>0</v>
      </c>
      <c r="AE668" t="n">
        <v>0</v>
      </c>
      <c r="AF668" t="inlineStr">
        <is>
          <t>Скидки нет</t>
        </is>
      </c>
      <c r="AG668" t="n">
        <v>9240</v>
      </c>
      <c r="AH668" t="n">
        <v>9240</v>
      </c>
      <c r="AI668" t="inlineStr">
        <is>
          <t>Полное проживание в выбранном периоде</t>
        </is>
      </c>
    </row>
    <row r="669">
      <c r="A669" t="inlineStr">
        <is>
          <t>20260911-8186-429106837</t>
        </is>
      </c>
      <c r="B669" t="n">
        <v>1</v>
      </c>
      <c r="C669" s="2" t="inlineStr">
        <is>
          <t>Ян Элксниньш, Лилия Элксниньш</t>
        </is>
      </c>
      <c r="D669" s="3" t="n">
        <v>47520</v>
      </c>
      <c r="E669" s="4" t="n">
        <v>18</v>
      </c>
      <c r="F669" t="inlineStr">
        <is>
          <t>Яндекс.Путешествия [Чайковский]</t>
        </is>
      </c>
      <c r="G669" s="3">
        <f>ROUND(D669/(100-E669)*100,2)</f>
        <v/>
      </c>
      <c r="H669" s="3" t="n">
        <v>0</v>
      </c>
      <c r="I669" s="3">
        <f>ROUND(IF(ISNUMBER(AG669),AG669,G669)+H669,2)</f>
        <v/>
      </c>
      <c r="J669" s="2" t="inlineStr">
        <is>
          <t>Завтрак "Шведский стол"</t>
        </is>
      </c>
      <c r="K669" s="5" t="n">
        <v>46276.58333333334</v>
      </c>
      <c r="L669" t="n">
        <v>6</v>
      </c>
      <c r="M669" s="3">
        <f>I669/L669</f>
        <v/>
      </c>
      <c r="N669">
        <f>IF(M669&gt;=5100,"ставка","мин.ставка")</f>
        <v/>
      </c>
      <c r="O669" s="3">
        <f>ROUND(IF(N669="мин.ставка",L669*100,I669/102*2),2)</f>
        <v/>
      </c>
      <c r="P669" s="5" t="n">
        <v>46282.5</v>
      </c>
      <c r="Q669" t="inlineStr">
        <is>
          <t>TravelLine YAX</t>
        </is>
      </c>
      <c r="R669" s="2" t="inlineStr">
        <is>
          <t>СТАНДАРТНЫЙ ДВУХМЕСТНЫЙ НОМЕР (МАНСАРДА)</t>
        </is>
      </c>
      <c r="S669" t="n">
        <v>45</v>
      </c>
      <c r="T669" t="n">
        <v>1</v>
      </c>
      <c r="U669" t="inlineStr"/>
      <c r="V669" t="inlineStr">
        <is>
          <t>Тариф с завтраком</t>
        </is>
      </c>
      <c r="W669" t="n">
        <v>47520</v>
      </c>
      <c r="X669" s="3" t="n">
        <v>11880</v>
      </c>
      <c r="Y669" t="inlineStr">
        <is>
          <t>20%</t>
        </is>
      </c>
      <c r="Z669" t="inlineStr">
        <is>
          <t>2026-09-11, 2026-09-12, 2026-09-13, 2026-09-14, 2026-09-15, 2026-09-16</t>
        </is>
      </c>
      <c r="AA669" s="3" t="n">
        <v>47520</v>
      </c>
      <c r="AB669" t="inlineStr">
        <is>
          <t>Сошлось по ночным тарифам</t>
        </is>
      </c>
      <c r="AC669" s="2" t="inlineStr"/>
      <c r="AD669" t="n">
        <v>11880</v>
      </c>
      <c r="AE669" t="n">
        <v>0</v>
      </c>
      <c r="AF669" t="inlineStr">
        <is>
          <t>Скидка добавлена к налоговой базе</t>
        </is>
      </c>
      <c r="AG669" t="n">
        <v>59400</v>
      </c>
      <c r="AH669" t="n">
        <v>47520</v>
      </c>
      <c r="AI669" t="inlineStr">
        <is>
          <t>Полное проживание в выбранном периоде</t>
        </is>
      </c>
    </row>
    <row r="670">
      <c r="A670" t="inlineStr">
        <is>
          <t>20260629-8186-440728066</t>
        </is>
      </c>
      <c r="B670" t="n">
        <v>1</v>
      </c>
      <c r="C670" s="2" t="inlineStr">
        <is>
          <t>Яна ЛИБЕРМАН</t>
        </is>
      </c>
      <c r="D670" s="3" t="n">
        <v>27921</v>
      </c>
      <c r="E670" s="4" t="n">
        <v>18</v>
      </c>
      <c r="F670" t="inlineStr">
        <is>
          <t>ООО "Эй энд Эй" [Чайковский]</t>
        </is>
      </c>
      <c r="G670" s="3">
        <f>ROUND(D670/(100-E670)*100,2)</f>
        <v/>
      </c>
      <c r="H670" s="3" t="n">
        <v>0</v>
      </c>
      <c r="I670" s="3">
        <f>ROUND(IF(ISNUMBER(AG670),AG670,G670)+H670,2)</f>
        <v/>
      </c>
      <c r="J670" s="2" t="inlineStr"/>
      <c r="K670" s="5" t="n">
        <v>46202.58333333334</v>
      </c>
      <c r="L670" t="n">
        <v>1</v>
      </c>
      <c r="M670" s="3">
        <f>I670/L670</f>
        <v/>
      </c>
      <c r="N670">
        <f>IF(M670&gt;=5100,"ставка","мин.ставка")</f>
        <v/>
      </c>
      <c r="O670" s="3">
        <f>ROUND(IF(N670="мин.ставка",L670*100,I670/102*2),2)</f>
        <v/>
      </c>
      <c r="P670" s="5" t="n">
        <v>46205.5</v>
      </c>
      <c r="Q670" t="inlineStr">
        <is>
          <t>TravelLine ANA</t>
        </is>
      </c>
      <c r="R670" s="2" t="inlineStr">
        <is>
          <t>СТАНДАРТНЫЙ ДВУХМЕСТНЫЙ НОМЕР</t>
        </is>
      </c>
      <c r="S670" t="n">
        <v>32</v>
      </c>
      <c r="T670" t="n">
        <v>1</v>
      </c>
      <c r="U670" t="inlineStr"/>
      <c r="V670" t="inlineStr">
        <is>
          <t>Тариф с завтраком</t>
        </is>
      </c>
      <c r="W670" t="n">
        <v>27921</v>
      </c>
      <c r="X670" s="3" t="n">
        <v>6129</v>
      </c>
      <c r="Y670" t="inlineStr">
        <is>
          <t>18%</t>
        </is>
      </c>
      <c r="Z670" t="inlineStr">
        <is>
          <t>2026-06-29, 2026-06-30, 2026-07-01</t>
        </is>
      </c>
      <c r="AA670" s="3" t="n">
        <v>27921</v>
      </c>
      <c r="AB670" t="inlineStr">
        <is>
          <t>Сошлось по ночным тарифам</t>
        </is>
      </c>
      <c r="AC670" s="2" t="inlineStr"/>
      <c r="AD670" t="n">
        <v>2043</v>
      </c>
      <c r="AE670" t="n">
        <v>0</v>
      </c>
      <c r="AF670" t="inlineStr">
        <is>
          <t>Ночи скидки определены по dailyRates; в базу добавлена только часть выбранного периода</t>
        </is>
      </c>
      <c r="AG670" t="n">
        <v>11350</v>
      </c>
      <c r="AH670" t="n">
        <v>9307</v>
      </c>
      <c r="AI670" t="inlineStr">
        <is>
          <t>Частичное проживание распределено по dailyRates</t>
        </is>
      </c>
    </row>
    <row r="671">
      <c r="A671" t="inlineStr">
        <is>
          <t>20260809-8186-419208245</t>
        </is>
      </c>
      <c r="B671" t="n">
        <v>1</v>
      </c>
      <c r="C671" s="2" t="inlineStr">
        <is>
          <t>ЯНА МАКАРОВА, АЛЕКСАНДР МИХАЛЕВА</t>
        </is>
      </c>
      <c r="D671" s="3" t="n">
        <v>68085</v>
      </c>
      <c r="E671" s="4" t="n">
        <v>16</v>
      </c>
      <c r="F671" t="inlineStr">
        <is>
          <t>ООО "БРОНИРОВАНИЕ ГОСТИНИЦ" (OSTROVOK) [Чайковский]</t>
        </is>
      </c>
      <c r="G671" s="3">
        <f>ROUND(D671/(100-E671)*100,2)</f>
        <v/>
      </c>
      <c r="H671" s="3" t="n">
        <v>0</v>
      </c>
      <c r="I671" s="3">
        <f>ROUND(IF(ISNUMBER(AG671),AG671,G671)+H671,2)</f>
        <v/>
      </c>
      <c r="J671" s="2" t="inlineStr">
        <is>
          <t>Завтрак "Шведский стол"</t>
        </is>
      </c>
      <c r="K671" s="5" t="n">
        <v>46243.58333333334</v>
      </c>
      <c r="L671" t="n">
        <v>6</v>
      </c>
      <c r="M671" s="3">
        <f>I671/L671</f>
        <v/>
      </c>
      <c r="N671">
        <f>IF(M671&gt;=5100,"ставка","мин.ставка")</f>
        <v/>
      </c>
      <c r="O671" s="3">
        <f>ROUND(IF(N671="мин.ставка",L671*100,I671/102*2),2)</f>
        <v/>
      </c>
      <c r="P671" s="5" t="n">
        <v>46249.5</v>
      </c>
      <c r="Q671" t="inlineStr">
        <is>
          <t>TravelLine OTK</t>
        </is>
      </c>
      <c r="R671" s="2" t="inlineStr">
        <is>
          <t>СТАНДАРТНЫЙ ДВУХМЕСТНЫЙ НОМЕР</t>
        </is>
      </c>
      <c r="S671" t="n">
        <v>44</v>
      </c>
      <c r="T671" t="n">
        <v>1</v>
      </c>
      <c r="U671" t="inlineStr"/>
      <c r="V671" t="inlineStr">
        <is>
          <t>Тариф с завтраком</t>
        </is>
      </c>
      <c r="W671" t="n">
        <v>136170</v>
      </c>
      <c r="X671" s="3" t="n">
        <v>12015</v>
      </c>
      <c r="Y671" t="inlineStr">
        <is>
          <t>15%</t>
        </is>
      </c>
      <c r="Z671" t="inlineStr">
        <is>
          <t>2026-08-09, 2026-08-10, 2026-08-11, 2026-08-12, 2026-08-13, 2026-08-14</t>
        </is>
      </c>
      <c r="AA671" s="3" t="n">
        <v>68085</v>
      </c>
      <c r="AB671" t="inlineStr">
        <is>
          <t>Сошлось по ночным тарифам</t>
        </is>
      </c>
      <c r="AC671" s="2" t="inlineStr"/>
      <c r="AD671" t="n">
        <v>12015</v>
      </c>
      <c r="AE671" t="n">
        <v>0</v>
      </c>
      <c r="AF671" t="inlineStr">
        <is>
          <t>Скидка добавлена к налоговой базе</t>
        </is>
      </c>
      <c r="AG671" t="n">
        <v>80100</v>
      </c>
      <c r="AH671" t="n">
        <v>68085</v>
      </c>
      <c r="AI671" t="inlineStr">
        <is>
          <t>Полное проживание в выбранном периоде</t>
        </is>
      </c>
    </row>
    <row r="672">
      <c r="A672" t="inlineStr">
        <is>
          <t>20260705-8186-444990056</t>
        </is>
      </c>
      <c r="B672" t="n">
        <v>1</v>
      </c>
      <c r="C672" s="2" t="inlineStr">
        <is>
          <t>ЯРОСЛАВ МОРОЗОВ, ЕВГЕНИЯ ШУБИНА</t>
        </is>
      </c>
      <c r="D672" s="3" t="n">
        <v>34042.5</v>
      </c>
      <c r="E672" s="4" t="n">
        <v>0</v>
      </c>
      <c r="F672" t="inlineStr">
        <is>
          <t>ООО «ХОМЛИН ЛЭНД» (ПЕГАС) [Чайковский]</t>
        </is>
      </c>
      <c r="G672" s="3">
        <f>ROUND(D672/(100-E672)*100,2)</f>
        <v/>
      </c>
      <c r="H672" s="3" t="n">
        <v>0</v>
      </c>
      <c r="I672" s="3">
        <f>ROUND(IF(ISNUMBER(AG672),AG672,G672)+H672,2)</f>
        <v/>
      </c>
      <c r="J672" s="2" t="inlineStr">
        <is>
          <t>Завтрак "Шведский стол"</t>
        </is>
      </c>
      <c r="K672" s="5" t="n">
        <v>46208.58333333334</v>
      </c>
      <c r="L672" t="n">
        <v>3</v>
      </c>
      <c r="M672" s="3">
        <f>I672/L672</f>
        <v/>
      </c>
      <c r="N672">
        <f>IF(M672&gt;=5100,"ставка","мин.ставка")</f>
        <v/>
      </c>
      <c r="O672" s="3">
        <f>ROUND(IF(N672="мин.ставка",L672*100,I672/102*2),2)</f>
        <v/>
      </c>
      <c r="P672" s="5" t="n">
        <v>46211.5</v>
      </c>
      <c r="Q672" t="inlineStr">
        <is>
          <t>TravelLine PGS</t>
        </is>
      </c>
      <c r="R672" s="2" t="inlineStr">
        <is>
          <t>СТАНДАРТНЫЙ ДВУХМЕСТНЫЙ НОМЕР</t>
        </is>
      </c>
      <c r="S672" t="n">
        <v>42</v>
      </c>
      <c r="T672" t="n">
        <v>1</v>
      </c>
      <c r="U672" t="inlineStr"/>
      <c r="V672" t="inlineStr">
        <is>
          <t>Тариф с завтраком</t>
        </is>
      </c>
      <c r="W672" t="n">
        <v>34042.5</v>
      </c>
      <c r="X672" s="3" t="n">
        <v>6007.5</v>
      </c>
      <c r="Y672" t="inlineStr">
        <is>
          <t>15%</t>
        </is>
      </c>
      <c r="Z672" t="inlineStr">
        <is>
          <t>2026-07-05, 2026-07-06, 2026-07-07</t>
        </is>
      </c>
      <c r="AA672" s="3" t="n">
        <v>34042.5</v>
      </c>
      <c r="AB672" t="inlineStr">
        <is>
          <t>Сошлось по ночным тарифам</t>
        </is>
      </c>
      <c r="AC672" s="2" t="inlineStr"/>
      <c r="AD672" t="n">
        <v>6007.5</v>
      </c>
      <c r="AE672" t="n">
        <v>0</v>
      </c>
      <c r="AF672" t="inlineStr">
        <is>
          <t>Скидка добавлена к налоговой базе</t>
        </is>
      </c>
      <c r="AG672" t="n">
        <v>40050</v>
      </c>
      <c r="AH672" t="n">
        <v>34042.5</v>
      </c>
      <c r="AI672" t="inlineStr">
        <is>
          <t>Полное проживание в выбранном периоде</t>
        </is>
      </c>
    </row>
    <row r="673">
      <c r="A673" t="inlineStr">
        <is>
          <t>20260701-8186-442331708</t>
        </is>
      </c>
      <c r="B673" t="n">
        <v>1</v>
      </c>
      <c r="C673" s="2" t="inlineStr">
        <is>
          <t>ЯРОСЛАВ СЕМЕНОВ</t>
        </is>
      </c>
      <c r="D673" s="3" t="n">
        <v>7900</v>
      </c>
      <c r="E673" s="4" t="n">
        <v>0</v>
      </c>
      <c r="F673" t="inlineStr">
        <is>
          <t>Прямые бронирования (стойка) [Чайковский]</t>
        </is>
      </c>
      <c r="G673" s="3">
        <f>ROUND(D673/(100-E673)*100,2)</f>
        <v/>
      </c>
      <c r="H673" s="3" t="n">
        <v>0</v>
      </c>
      <c r="I673" s="3">
        <f>ROUND(IF(ISNUMBER(AG673),AG673,G673)+H673,2)</f>
        <v/>
      </c>
      <c r="J673" s="2" t="inlineStr">
        <is>
          <t>Завтрак "Шведский стол"</t>
        </is>
      </c>
      <c r="K673" s="5" t="n">
        <v>46204.58333333334</v>
      </c>
      <c r="L673" t="n">
        <v>1</v>
      </c>
      <c r="M673" s="3">
        <f>I673/L673</f>
        <v/>
      </c>
      <c r="N673">
        <f>IF(M673&gt;=5100,"ставка","мин.ставка")</f>
        <v/>
      </c>
      <c r="O673" s="3">
        <f>ROUND(IF(N673="мин.ставка",L673*100,I673/102*2),2)</f>
        <v/>
      </c>
      <c r="P673" s="5" t="n">
        <v>46205.5</v>
      </c>
      <c r="Q673" t="inlineStr">
        <is>
          <t>TravelLine ресепшен</t>
        </is>
      </c>
      <c r="R673" s="2" t="inlineStr">
        <is>
          <t>СТАНДАРТНЫЙ ДВУХМЕСТНЫЙ НОМЕР (МАНСАРДА)</t>
        </is>
      </c>
      <c r="S673" t="n">
        <v>43</v>
      </c>
      <c r="T673" t="n">
        <v>1</v>
      </c>
      <c r="U673" t="inlineStr"/>
      <c r="V673" t="inlineStr">
        <is>
          <t>Тариф с завтраком</t>
        </is>
      </c>
      <c r="W673" t="n">
        <v>7900</v>
      </c>
      <c r="X673" s="3" t="n">
        <v>0</v>
      </c>
      <c r="Y673" t="inlineStr"/>
      <c r="Z673" t="inlineStr"/>
      <c r="AA673" s="3" t="n">
        <v>7900</v>
      </c>
      <c r="AB673" t="inlineStr">
        <is>
          <t>Сошлось по ночным тарифам</t>
        </is>
      </c>
      <c r="AC673" s="2" t="inlineStr"/>
      <c r="AD673" t="n">
        <v>0</v>
      </c>
      <c r="AE673" t="n">
        <v>0</v>
      </c>
      <c r="AF673" t="inlineStr">
        <is>
          <t>Скидки нет</t>
        </is>
      </c>
      <c r="AG673" t="n">
        <v>7900</v>
      </c>
      <c r="AH673" t="n">
        <v>7900</v>
      </c>
      <c r="AI673" t="inlineStr">
        <is>
          <t>Полное проживание в выбранном периоде</t>
        </is>
      </c>
    </row>
    <row r="674">
      <c r="A674" s="6" t="n"/>
      <c r="B674" s="6">
        <f>SUM(B2:B673)</f>
        <v/>
      </c>
      <c r="C674" s="6" t="inlineStr">
        <is>
          <t>ИТОГО:</t>
        </is>
      </c>
      <c r="D674" s="6">
        <f>SUM(D2:D673)</f>
        <v/>
      </c>
      <c r="E674" s="6" t="n"/>
      <c r="F674" s="6" t="n"/>
      <c r="G674" s="6">
        <f>SUM(G2:G673)</f>
        <v/>
      </c>
      <c r="H674" s="6">
        <f>SUM(H2:H673)</f>
        <v/>
      </c>
      <c r="I674" s="6">
        <f>SUM(I2:I673)</f>
        <v/>
      </c>
      <c r="J674" s="6" t="n"/>
      <c r="K674" s="6" t="n"/>
      <c r="L674" s="6">
        <f>SUM(L2:L673)</f>
        <v/>
      </c>
      <c r="M674" s="6" t="n"/>
      <c r="N674" s="6" t="n"/>
      <c r="O674" s="6">
        <f>SUM(O2:O673)</f>
        <v/>
      </c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1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8" customWidth="1" min="4" max="4"/>
    <col width="10" customWidth="1" min="5" max="5"/>
    <col width="32" customWidth="1" min="6" max="6"/>
    <col width="20" customWidth="1" min="7" max="7"/>
    <col width="16" customWidth="1" min="8" max="8"/>
    <col width="24" customWidth="1" min="9" max="9"/>
    <col width="48" customWidth="1" min="10" max="10"/>
    <col width="12" customWidth="1" min="11" max="11"/>
    <col width="10" customWidth="1" min="12" max="12"/>
    <col width="16" customWidth="1" min="13" max="13"/>
    <col width="12" customWidth="1" min="14" max="14"/>
    <col width="12" customWidth="1" min="15" max="15"/>
    <col width="12" customWidth="1" min="16" max="16"/>
    <col width="25" customWidth="1" min="17" max="17"/>
    <col width="30" customWidth="1" min="18" max="18"/>
    <col width="10" customWidth="1" min="19" max="19"/>
    <col width="8" customWidth="1" min="20" max="20"/>
    <col width="45" customWidth="1" min="21" max="21"/>
    <col width="20" customWidth="1" min="22" max="22"/>
    <col width="20" customWidth="1" min="23" max="23"/>
    <col width="16" customWidth="1" min="24" max="24"/>
    <col width="20" customWidth="1" min="25" max="25"/>
    <col width="20" customWidth="1" min="26" max="26"/>
    <col width="16" customWidth="1" min="27" max="27"/>
    <col width="20" customWidth="1" min="28" max="28"/>
    <col width="48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Допуслуги</t>
        </is>
      </c>
      <c r="I1" s="1" t="inlineStr">
        <is>
          <t>Стоимость для налога</t>
        </is>
      </c>
      <c r="J1" s="1" t="inlineStr">
        <is>
          <t>Наименование допуслуг</t>
        </is>
      </c>
      <c r="K1" s="1" t="inlineStr">
        <is>
          <t>Заезд</t>
        </is>
      </c>
      <c r="L1" s="1" t="inlineStr">
        <is>
          <t>Ночей</t>
        </is>
      </c>
      <c r="M1" s="1" t="inlineStr">
        <is>
          <t>Сут.ставка</t>
        </is>
      </c>
      <c r="N1" s="1" t="inlineStr">
        <is>
          <t>Метод</t>
        </is>
      </c>
      <c r="O1" s="1" t="inlineStr">
        <is>
          <t>Налог</t>
        </is>
      </c>
      <c r="P1" s="1" t="inlineStr">
        <is>
          <t>Выезд</t>
        </is>
      </c>
      <c r="Q1" s="1" t="inlineStr">
        <is>
          <t>Источник</t>
        </is>
      </c>
      <c r="R1" s="1" t="inlineStr">
        <is>
          <t>Категория номера</t>
        </is>
      </c>
      <c r="S1" s="1" t="inlineStr">
        <is>
          <t>№ комнаты</t>
        </is>
      </c>
      <c r="T1" s="1" t="inlineStr">
        <is>
          <t>корпус</t>
        </is>
      </c>
      <c r="U1" s="1" t="inlineStr">
        <is>
          <t>Примечание</t>
        </is>
      </c>
      <c r="V1" s="1" t="inlineStr">
        <is>
          <t>Тариф</t>
        </is>
      </c>
      <c r="W1" s="1" t="inlineStr">
        <is>
          <t>Итог брони</t>
        </is>
      </c>
      <c r="X1" s="1" t="inlineStr">
        <is>
          <t>Скидка TravelLine, ₽</t>
        </is>
      </c>
      <c r="Y1" s="1" t="inlineStr">
        <is>
          <t>Процент скидки TravelLine</t>
        </is>
      </c>
      <c r="Z1" s="1" t="inlineStr">
        <is>
          <t>Предполагаемые ночи со скидкой TravelLine</t>
        </is>
      </c>
      <c r="AA1" s="1" t="inlineStr">
        <is>
          <t>Сумма dailyRates</t>
        </is>
      </c>
      <c r="AB1" s="1" t="inlineStr">
        <is>
          <t>Сверка dailyRates</t>
        </is>
      </c>
      <c r="AC1" s="1" t="inlineStr">
        <is>
          <t>Название скидки/кампании TravelLine</t>
        </is>
      </c>
      <c r="AD1" s="1" t="inlineStr">
        <is>
          <t>Скидка добавлена к налоговой базе, ₽</t>
        </is>
      </c>
      <c r="AE1" s="1" t="inlineStr">
        <is>
          <t>Скидка сохранена в базе, ₽</t>
        </is>
      </c>
      <c r="AF1" s="1" t="inlineStr">
        <is>
          <t>Правило скидки TravelLine</t>
        </is>
      </c>
      <c r="AG1" s="1" t="inlineStr">
        <is>
          <t>Налоговая база TravelLine, ₽</t>
        </is>
      </c>
      <c r="AH1" s="1" t="inlineStr">
        <is>
          <t>Стоимость проживания за выбранный период TravelLine, ₽</t>
        </is>
      </c>
      <c r="AI1" s="1" t="inlineStr">
        <is>
          <t>Распределение по периоду TravelLine</t>
        </is>
      </c>
    </row>
    <row r="2">
      <c r="A2" t="inlineStr">
        <is>
          <t>20260701-8186-446674393</t>
        </is>
      </c>
      <c r="B2" t="n">
        <v>1</v>
      </c>
      <c r="C2" s="2" t="inlineStr">
        <is>
          <t>55 САВОЧКИН</t>
        </is>
      </c>
      <c r="D2" s="3" t="n">
        <v>10900</v>
      </c>
      <c r="E2" s="4" t="n">
        <v>0</v>
      </c>
      <c r="F2" t="inlineStr">
        <is>
          <t>Прямые бронирования (стойка) [Чайковский]</t>
        </is>
      </c>
      <c r="G2" s="3">
        <f>ROUND(D2/(100-E2)*100,2)</f>
        <v/>
      </c>
      <c r="H2" s="3" t="n">
        <v>0</v>
      </c>
      <c r="I2" s="3">
        <f>ROUND(IF(ISNUMBER(AG2),AG2,G2)+H2,2)</f>
        <v/>
      </c>
      <c r="J2" s="2" t="inlineStr"/>
      <c r="K2" s="5" t="n">
        <v>46204.58333333334</v>
      </c>
      <c r="L2" t="n">
        <v>1</v>
      </c>
      <c r="M2" s="3">
        <f>I2/L2</f>
        <v/>
      </c>
      <c r="N2">
        <f>IF(M2&gt;=5100,"ставка","мин.ставка")</f>
        <v/>
      </c>
      <c r="O2" s="3">
        <f>ROUND(IF(N2="мин.ставка",L2*100,I2/102*2),2)</f>
        <v/>
      </c>
      <c r="P2" s="5" t="n">
        <v>46205.5</v>
      </c>
      <c r="Q2" t="inlineStr">
        <is>
          <t>TravelLine ресепшен</t>
        </is>
      </c>
      <c r="R2" s="2" t="inlineStr">
        <is>
          <t>УЛУЧШЕННЫЙ ДВУХМЕСТНЫЙ НОМЕР</t>
        </is>
      </c>
      <c r="S2" t="n">
        <v>59</v>
      </c>
      <c r="T2" t="n">
        <v>2</v>
      </c>
      <c r="U2" t="inlineStr"/>
      <c r="V2" t="inlineStr">
        <is>
          <t>Основной тариф без завтрака</t>
        </is>
      </c>
      <c r="W2" t="n">
        <v>10900</v>
      </c>
      <c r="X2" s="3" t="n">
        <v>0</v>
      </c>
      <c r="Y2" t="inlineStr"/>
      <c r="Z2" t="inlineStr"/>
      <c r="AA2" s="3" t="n">
        <v>10900</v>
      </c>
      <c r="AB2" t="inlineStr">
        <is>
          <t>Сошлось по ночным тарифам</t>
        </is>
      </c>
      <c r="AC2" s="2" t="inlineStr"/>
      <c r="AD2" t="n">
        <v>0</v>
      </c>
      <c r="AE2" t="n">
        <v>0</v>
      </c>
      <c r="AF2" t="inlineStr">
        <is>
          <t>Скидки нет</t>
        </is>
      </c>
      <c r="AG2" t="n">
        <v>10900</v>
      </c>
      <c r="AH2" t="n">
        <v>10900</v>
      </c>
      <c r="AI2" t="inlineStr">
        <is>
          <t>Полное проживание в выбранном периоде</t>
        </is>
      </c>
    </row>
    <row r="3">
      <c r="A3" t="inlineStr">
        <is>
          <t>20260720-8186-450480368</t>
        </is>
      </c>
      <c r="B3" t="n">
        <v>1</v>
      </c>
      <c r="C3" s="2" t="inlineStr">
        <is>
          <t>ADAM GASTAN</t>
        </is>
      </c>
      <c r="D3" s="3" t="n">
        <v>26800</v>
      </c>
      <c r="E3" s="4" t="n">
        <v>0</v>
      </c>
      <c r="F3" t="inlineStr">
        <is>
          <t>Прямые бронирования (стойка) [Чайковский]</t>
        </is>
      </c>
      <c r="G3" s="3">
        <f>ROUND(D3/(100-E3)*100,2)</f>
        <v/>
      </c>
      <c r="H3" s="3" t="n">
        <v>0</v>
      </c>
      <c r="I3" s="3">
        <f>ROUND(IF(ISNUMBER(AG3),AG3,G3)+H3,2)</f>
        <v/>
      </c>
      <c r="J3" s="2" t="inlineStr">
        <is>
          <t>Завтрак "Шведский стол"</t>
        </is>
      </c>
      <c r="K3" s="5" t="n">
        <v>46223.58333333334</v>
      </c>
      <c r="L3" t="n">
        <v>2</v>
      </c>
      <c r="M3" s="3">
        <f>I3/L3</f>
        <v/>
      </c>
      <c r="N3">
        <f>IF(M3&gt;=5100,"ставка","мин.ставка")</f>
        <v/>
      </c>
      <c r="O3" s="3">
        <f>ROUND(IF(N3="мин.ставка",L3*100,I3/102*2),2)</f>
        <v/>
      </c>
      <c r="P3" s="5" t="n">
        <v>46225.5</v>
      </c>
      <c r="Q3" t="inlineStr">
        <is>
          <t>TravelLine ресепшен</t>
        </is>
      </c>
      <c r="R3" s="2" t="inlineStr">
        <is>
          <t>УЛУЧШЕННЫЙ ДВУХМЕСТНЫЙ НОМЕР</t>
        </is>
      </c>
      <c r="S3" t="n">
        <v>59</v>
      </c>
      <c r="T3" t="n">
        <v>2</v>
      </c>
      <c r="U3" t="inlineStr"/>
      <c r="V3" t="inlineStr">
        <is>
          <t>Тариф с завтраком</t>
        </is>
      </c>
      <c r="W3" t="n">
        <v>26800</v>
      </c>
      <c r="X3" s="3" t="n">
        <v>0</v>
      </c>
      <c r="Y3" t="inlineStr"/>
      <c r="Z3" t="inlineStr"/>
      <c r="AA3" s="3" t="n">
        <v>26800</v>
      </c>
      <c r="AB3" t="inlineStr">
        <is>
          <t>Сошлось по ночным тарифам</t>
        </is>
      </c>
      <c r="AC3" s="2" t="inlineStr"/>
      <c r="AD3" t="n">
        <v>0</v>
      </c>
      <c r="AE3" t="n">
        <v>0</v>
      </c>
      <c r="AF3" t="inlineStr">
        <is>
          <t>Скидки нет</t>
        </is>
      </c>
      <c r="AG3" t="n">
        <v>26800</v>
      </c>
      <c r="AH3" t="n">
        <v>26800</v>
      </c>
      <c r="AI3" t="inlineStr">
        <is>
          <t>Полное проживание в выбранном периоде</t>
        </is>
      </c>
    </row>
    <row r="4">
      <c r="A4" t="inlineStr">
        <is>
          <t>20260717-8186-393996392</t>
        </is>
      </c>
      <c r="B4" t="n">
        <v>1</v>
      </c>
      <c r="C4" s="2" t="inlineStr">
        <is>
          <t>Anastasiya Chumanova, Михаил Сагаев</t>
        </is>
      </c>
      <c r="D4" s="3" t="n">
        <v>15130</v>
      </c>
      <c r="E4" s="4" t="n">
        <v>15</v>
      </c>
      <c r="F4" t="inlineStr">
        <is>
          <t>ООО "БРОНИРОВАНИЕ ГОСТИНИЦ" (OSTROVOK) [Чайковский]</t>
        </is>
      </c>
      <c r="G4" s="3">
        <f>ROUND(D4/(100-E4)*100,2)</f>
        <v/>
      </c>
      <c r="H4" s="3" t="n">
        <v>0</v>
      </c>
      <c r="I4" s="3">
        <f>ROUND(IF(ISNUMBER(AG4),AG4,G4)+H4,2)</f>
        <v/>
      </c>
      <c r="J4" s="2" t="inlineStr">
        <is>
          <t>Завтрак "Шведский стол"</t>
        </is>
      </c>
      <c r="K4" s="5" t="n">
        <v>46220.58333333334</v>
      </c>
      <c r="L4" t="n">
        <v>1</v>
      </c>
      <c r="M4" s="3">
        <f>I4/L4</f>
        <v/>
      </c>
      <c r="N4">
        <f>IF(M4&gt;=5100,"ставка","мин.ставка")</f>
        <v/>
      </c>
      <c r="O4" s="3">
        <f>ROUND(IF(N4="мин.ставка",L4*100,I4/102*2),2)</f>
        <v/>
      </c>
      <c r="P4" s="5" t="n">
        <v>46221.5</v>
      </c>
      <c r="Q4" t="inlineStr">
        <is>
          <t>TravelLine OTK</t>
        </is>
      </c>
      <c r="R4" s="2" t="inlineStr">
        <is>
          <t>ЛЮКС</t>
        </is>
      </c>
      <c r="S4" t="n">
        <v>53</v>
      </c>
      <c r="T4" t="n">
        <v>2</v>
      </c>
      <c r="U4" t="inlineStr"/>
      <c r="V4" t="inlineStr">
        <is>
          <t>Тариф с завтраком</t>
        </is>
      </c>
      <c r="W4" t="n">
        <v>15130</v>
      </c>
      <c r="X4" s="3" t="n">
        <v>2670</v>
      </c>
      <c r="Y4" t="inlineStr">
        <is>
          <t>15%</t>
        </is>
      </c>
      <c r="Z4" t="inlineStr">
        <is>
          <t>2026-07-17</t>
        </is>
      </c>
      <c r="AA4" s="3" t="n">
        <v>15130</v>
      </c>
      <c r="AB4" t="inlineStr">
        <is>
          <t>Сошлось по ночным тарифам</t>
        </is>
      </c>
      <c r="AC4" s="2" t="inlineStr"/>
      <c r="AD4" t="n">
        <v>2670</v>
      </c>
      <c r="AE4" t="n">
        <v>0</v>
      </c>
      <c r="AF4" t="inlineStr">
        <is>
          <t>Скидка добавлена к налоговой базе</t>
        </is>
      </c>
      <c r="AG4" t="n">
        <v>17800</v>
      </c>
      <c r="AH4" t="n">
        <v>15130</v>
      </c>
      <c r="AI4" t="inlineStr">
        <is>
          <t>Полное проживание в выбранном периоде</t>
        </is>
      </c>
    </row>
    <row r="5">
      <c r="A5" t="inlineStr">
        <is>
          <t>20260708-8186-448665817</t>
        </is>
      </c>
      <c r="B5" t="n">
        <v>1</v>
      </c>
      <c r="C5" s="2" t="inlineStr">
        <is>
          <t>Anastassiya Dobrovolskaya</t>
        </is>
      </c>
      <c r="D5" s="3" t="n">
        <v>7866</v>
      </c>
      <c r="E5" s="4" t="n">
        <v>18</v>
      </c>
      <c r="F5" t="inlineStr">
        <is>
          <t>Яндекс.Путешествия [Чайковский]</t>
        </is>
      </c>
      <c r="G5" s="3">
        <f>ROUND(D5/(100-E5)*100,2)</f>
        <v/>
      </c>
      <c r="H5" s="3" t="n">
        <v>0</v>
      </c>
      <c r="I5" s="3">
        <f>ROUND(IF(ISNUMBER(AG5),AG5,G5)+H5,2)</f>
        <v/>
      </c>
      <c r="J5" s="2" t="inlineStr">
        <is>
          <t>Завтрак "Шведский стол"</t>
        </is>
      </c>
      <c r="K5" s="5" t="n">
        <v>46211.58333333334</v>
      </c>
      <c r="L5" t="n">
        <v>1</v>
      </c>
      <c r="M5" s="3">
        <f>I5/L5</f>
        <v/>
      </c>
      <c r="N5">
        <f>IF(M5&gt;=5100,"ставка","мин.ставка")</f>
        <v/>
      </c>
      <c r="O5" s="3">
        <f>ROUND(IF(N5="мин.ставка",L5*100,I5/102*2),2)</f>
        <v/>
      </c>
      <c r="P5" s="5" t="n">
        <v>46212.5</v>
      </c>
      <c r="Q5" t="inlineStr">
        <is>
          <t>TravelLine YAX</t>
        </is>
      </c>
      <c r="R5" s="2" t="inlineStr">
        <is>
          <t>СТАНДАРТНЫЙ ДВУХМЕСТНЫЙ НОМЕР</t>
        </is>
      </c>
      <c r="S5" t="n">
        <v>52</v>
      </c>
      <c r="T5" t="n">
        <v>2</v>
      </c>
      <c r="U5" t="inlineStr"/>
      <c r="V5" t="inlineStr">
        <is>
          <t>Тариф с завтраком</t>
        </is>
      </c>
      <c r="W5" t="n">
        <v>7866</v>
      </c>
      <c r="X5" s="3" t="n">
        <v>0</v>
      </c>
      <c r="Y5" t="inlineStr"/>
      <c r="Z5" t="inlineStr"/>
      <c r="AA5" s="3" t="n">
        <v>7866</v>
      </c>
      <c r="AB5" t="inlineStr">
        <is>
          <t>Сошлось по ночным тарифам</t>
        </is>
      </c>
      <c r="AC5" s="2" t="inlineStr"/>
      <c r="AD5" t="n">
        <v>0</v>
      </c>
      <c r="AE5" t="n">
        <v>0</v>
      </c>
      <c r="AF5" t="inlineStr">
        <is>
          <t>Скидки нет</t>
        </is>
      </c>
      <c r="AG5" t="n">
        <v>7866</v>
      </c>
      <c r="AH5" t="n">
        <v>7866</v>
      </c>
      <c r="AI5" t="inlineStr">
        <is>
          <t>Полное проживание в выбранном периоде</t>
        </is>
      </c>
    </row>
    <row r="6">
      <c r="A6" t="inlineStr">
        <is>
          <t>20260724-8186-452456263</t>
        </is>
      </c>
      <c r="B6" t="n">
        <v>1</v>
      </c>
      <c r="C6" s="2" t="inlineStr">
        <is>
          <t>Andrei Lukashenko</t>
        </is>
      </c>
      <c r="D6" s="3" t="n">
        <v>24310</v>
      </c>
      <c r="E6" s="4" t="n">
        <v>15</v>
      </c>
      <c r="F6" t="inlineStr">
        <is>
          <t>ООО "БРОНИРОВАНИЕ ГОСТИНИЦ" (OSTROVOK) [Чайковский]</t>
        </is>
      </c>
      <c r="G6" s="3">
        <f>ROUND(D6/(100-E6)*100,2)</f>
        <v/>
      </c>
      <c r="H6" s="3" t="n">
        <v>0</v>
      </c>
      <c r="I6" s="3">
        <f>ROUND(IF(ISNUMBER(AG6),AG6,G6)+H6,2)</f>
        <v/>
      </c>
      <c r="J6" s="2" t="inlineStr"/>
      <c r="K6" s="5" t="n">
        <v>46227.58333333334</v>
      </c>
      <c r="L6" t="n">
        <v>2</v>
      </c>
      <c r="M6" s="3">
        <f>I6/L6</f>
        <v/>
      </c>
      <c r="N6">
        <f>IF(M6&gt;=5100,"ставка","мин.ставка")</f>
        <v/>
      </c>
      <c r="O6" s="3">
        <f>ROUND(IF(N6="мин.ставка",L6*100,I6/102*2),2)</f>
        <v/>
      </c>
      <c r="P6" s="5" t="n">
        <v>46229.5</v>
      </c>
      <c r="Q6" t="inlineStr">
        <is>
          <t>TravelLine OTK</t>
        </is>
      </c>
      <c r="R6" s="2" t="inlineStr">
        <is>
          <t>ЛЮКС ВТОРОЙ КОРПУС</t>
        </is>
      </c>
      <c r="S6" t="n">
        <v>54</v>
      </c>
      <c r="T6" t="n">
        <v>2</v>
      </c>
      <c r="U6" t="inlineStr"/>
      <c r="V6" t="inlineStr">
        <is>
          <t>Основной тариф без завтрака</t>
        </is>
      </c>
      <c r="W6" t="n">
        <v>24310</v>
      </c>
      <c r="X6" s="3" t="n">
        <v>4290</v>
      </c>
      <c r="Y6" t="inlineStr">
        <is>
          <t>15%</t>
        </is>
      </c>
      <c r="Z6" t="inlineStr">
        <is>
          <t>2026-07-24, 2026-07-25</t>
        </is>
      </c>
      <c r="AA6" s="3" t="n">
        <v>24310</v>
      </c>
      <c r="AB6" t="inlineStr">
        <is>
          <t>Сошлось по ночным тарифам</t>
        </is>
      </c>
      <c r="AC6" s="2" t="inlineStr"/>
      <c r="AD6" t="n">
        <v>4290</v>
      </c>
      <c r="AE6" t="n">
        <v>0</v>
      </c>
      <c r="AF6" t="inlineStr">
        <is>
          <t>Скидка добавлена к налоговой базе</t>
        </is>
      </c>
      <c r="AG6" t="n">
        <v>28600</v>
      </c>
      <c r="AH6" t="n">
        <v>24310</v>
      </c>
      <c r="AI6" t="inlineStr">
        <is>
          <t>Полное проживание в выбранном периоде</t>
        </is>
      </c>
    </row>
    <row r="7">
      <c r="A7" t="inlineStr">
        <is>
          <t>20260924-8186-466763458</t>
        </is>
      </c>
      <c r="B7" t="n">
        <v>1</v>
      </c>
      <c r="C7" s="2" t="inlineStr">
        <is>
          <t>Annerose HILDA DORA Bannach</t>
        </is>
      </c>
      <c r="D7" s="3" t="n">
        <v>87112.5</v>
      </c>
      <c r="E7" s="4" t="n">
        <v>4</v>
      </c>
      <c r="F7" t="inlineStr">
        <is>
          <t>TravelLine Booking Engine [Чайковский]</t>
        </is>
      </c>
      <c r="G7" s="3">
        <f>ROUND(D7/(100-E7)*100,2)</f>
        <v/>
      </c>
      <c r="H7" s="3" t="n">
        <v>0</v>
      </c>
      <c r="I7" s="3">
        <f>ROUND(IF(ISNUMBER(AG7),AG7,G7)+H7,2)</f>
        <v/>
      </c>
      <c r="J7" s="2" t="inlineStr"/>
      <c r="K7" s="5" t="n">
        <v>46289.58333333334</v>
      </c>
      <c r="L7" t="n">
        <v>7</v>
      </c>
      <c r="M7" s="3">
        <f>I7/L7</f>
        <v/>
      </c>
      <c r="N7">
        <f>IF(M7&gt;=5100,"ставка","мин.ставка")</f>
        <v/>
      </c>
      <c r="O7" s="3">
        <f>ROUND(IF(N7="мин.ставка",L7*100,I7/102*2),2)</f>
        <v/>
      </c>
      <c r="P7" s="5" t="n">
        <v>46296.5</v>
      </c>
      <c r="Q7" t="inlineStr">
        <is>
          <t>TravelLine сайт</t>
        </is>
      </c>
      <c r="R7" s="2" t="inlineStr">
        <is>
          <t>ЛЮКС ВТОРОЙ КОРПУС</t>
        </is>
      </c>
      <c r="S7" t="n">
        <v>57</v>
      </c>
      <c r="T7" t="n">
        <v>2</v>
      </c>
      <c r="U7" t="inlineStr"/>
      <c r="V7" t="inlineStr">
        <is>
          <t>Основной тариф без завтрака</t>
        </is>
      </c>
      <c r="W7" t="n">
        <v>87112.5</v>
      </c>
      <c r="X7" s="3" t="n">
        <v>387.5</v>
      </c>
      <c r="Y7" t="inlineStr">
        <is>
          <t>3.1%</t>
        </is>
      </c>
      <c r="Z7" t="inlineStr">
        <is>
          <t>2026-09-24</t>
        </is>
      </c>
      <c r="AA7" s="3" t="n">
        <v>87112.5</v>
      </c>
      <c r="AB7" t="inlineStr">
        <is>
          <t>Сошлось по ночным тарифам</t>
        </is>
      </c>
      <c r="AC7" s="2" t="inlineStr"/>
      <c r="AD7" t="n">
        <v>387.5</v>
      </c>
      <c r="AE7" t="n">
        <v>0</v>
      </c>
      <c r="AF7" t="inlineStr">
        <is>
          <t>Скидка добавлена к налоговой базе</t>
        </is>
      </c>
      <c r="AG7" t="n">
        <v>87500</v>
      </c>
      <c r="AH7" t="n">
        <v>87112.5</v>
      </c>
      <c r="AI7" t="inlineStr">
        <is>
          <t>Полное проживание в выбранном периоде</t>
        </is>
      </c>
    </row>
    <row r="8">
      <c r="A8" t="inlineStr">
        <is>
          <t>20260817-8186-453479249</t>
        </is>
      </c>
      <c r="B8" t="n">
        <v>1</v>
      </c>
      <c r="C8" s="2" t="inlineStr">
        <is>
          <t>ARTUR WLODARCZYK</t>
        </is>
      </c>
      <c r="D8" s="3" t="n">
        <v>11350</v>
      </c>
      <c r="E8" s="4" t="n">
        <v>4</v>
      </c>
      <c r="F8" t="inlineStr">
        <is>
          <t>TravelLine Booking Engine [Чайковский]</t>
        </is>
      </c>
      <c r="G8" s="3">
        <f>ROUND(D8/(100-E8)*100,2)</f>
        <v/>
      </c>
      <c r="H8" s="3" t="n">
        <v>0</v>
      </c>
      <c r="I8" s="3">
        <f>ROUND(IF(ISNUMBER(AG8),AG8,G8)+H8,2)</f>
        <v/>
      </c>
      <c r="J8" s="2" t="inlineStr">
        <is>
          <t>Завтрак "Шведский стол"</t>
        </is>
      </c>
      <c r="K8" s="5" t="n">
        <v>46251.58333333334</v>
      </c>
      <c r="L8" t="n">
        <v>1</v>
      </c>
      <c r="M8" s="3">
        <f>I8/L8</f>
        <v/>
      </c>
      <c r="N8">
        <f>IF(M8&gt;=5100,"ставка","мин.ставка")</f>
        <v/>
      </c>
      <c r="O8" s="3">
        <f>ROUND(IF(N8="мин.ставка",L8*100,I8/102*2),2)</f>
        <v/>
      </c>
      <c r="P8" s="5" t="n">
        <v>46252.5</v>
      </c>
      <c r="Q8" t="inlineStr">
        <is>
          <t>TravelLine сайт</t>
        </is>
      </c>
      <c r="R8" s="2" t="inlineStr">
        <is>
          <t>СТАНДАРТНЫЙ ДВУХМЕСТНЫЙ НОМЕР</t>
        </is>
      </c>
      <c r="S8" t="n">
        <v>55</v>
      </c>
      <c r="T8" t="n">
        <v>2</v>
      </c>
      <c r="U8" t="inlineStr"/>
      <c r="V8" t="inlineStr">
        <is>
          <t>Тариф с завтраком</t>
        </is>
      </c>
      <c r="W8" t="n">
        <v>11350</v>
      </c>
      <c r="X8" s="3" t="n">
        <v>0</v>
      </c>
      <c r="Y8" t="inlineStr"/>
      <c r="Z8" t="inlineStr"/>
      <c r="AA8" s="3" t="n">
        <v>11350</v>
      </c>
      <c r="AB8" t="inlineStr">
        <is>
          <t>Сошлось по ночным тарифам</t>
        </is>
      </c>
      <c r="AC8" s="2" t="inlineStr"/>
      <c r="AD8" t="n">
        <v>0</v>
      </c>
      <c r="AE8" t="n">
        <v>0</v>
      </c>
      <c r="AF8" t="inlineStr">
        <is>
          <t>Скидки нет</t>
        </is>
      </c>
      <c r="AG8" t="n">
        <v>11350</v>
      </c>
      <c r="AH8" t="n">
        <v>11350</v>
      </c>
      <c r="AI8" t="inlineStr">
        <is>
          <t>Полное проживание в выбранном периоде</t>
        </is>
      </c>
    </row>
    <row r="9">
      <c r="A9" t="inlineStr">
        <is>
          <t>20260904-8186-462864579</t>
        </is>
      </c>
      <c r="B9" t="n">
        <v>1</v>
      </c>
      <c r="C9" s="2" t="inlineStr">
        <is>
          <t>IRENE PREDIGER, EUGEN PREDIGER</t>
        </is>
      </c>
      <c r="D9" s="3" t="n">
        <v>30800</v>
      </c>
      <c r="E9" s="4" t="n">
        <v>0</v>
      </c>
      <c r="F9" t="inlineStr">
        <is>
          <t>Прямые бронирования (стойка) [Чайковский]</t>
        </is>
      </c>
      <c r="G9" s="3">
        <f>ROUND(D9/(100-E9)*100,2)</f>
        <v/>
      </c>
      <c r="H9" s="3" t="n">
        <v>0</v>
      </c>
      <c r="I9" s="3">
        <f>ROUND(IF(ISNUMBER(AG9),AG9,G9)+H9,2)</f>
        <v/>
      </c>
      <c r="J9" s="2" t="inlineStr">
        <is>
          <t>Завтрак "Шведский стол"</t>
        </is>
      </c>
      <c r="K9" s="5" t="n">
        <v>46269.58333333334</v>
      </c>
      <c r="L9" t="n">
        <v>2</v>
      </c>
      <c r="M9" s="3">
        <f>I9/L9</f>
        <v/>
      </c>
      <c r="N9">
        <f>IF(M9&gt;=5100,"ставка","мин.ставка")</f>
        <v/>
      </c>
      <c r="O9" s="3">
        <f>ROUND(IF(N9="мин.ставка",L9*100,I9/102*2),2)</f>
        <v/>
      </c>
      <c r="P9" s="5" t="n">
        <v>46271.5</v>
      </c>
      <c r="Q9" t="inlineStr">
        <is>
          <t>TravelLine ресепшен</t>
        </is>
      </c>
      <c r="R9" s="2" t="inlineStr">
        <is>
          <t>УЛУЧШЕННЫЙ ДВУХМЕСТНЫЙ НОМЕР</t>
        </is>
      </c>
      <c r="S9" t="n">
        <v>59</v>
      </c>
      <c r="T9" t="n">
        <v>2</v>
      </c>
      <c r="U9" t="inlineStr"/>
      <c r="V9" t="inlineStr">
        <is>
          <t>Тариф с завтраком</t>
        </is>
      </c>
      <c r="W9" t="n">
        <v>30800</v>
      </c>
      <c r="X9" s="3" t="n">
        <v>0</v>
      </c>
      <c r="Y9" t="inlineStr"/>
      <c r="Z9" t="inlineStr"/>
      <c r="AA9" s="3" t="n">
        <v>30800</v>
      </c>
      <c r="AB9" t="inlineStr">
        <is>
          <t>Сошлось по ночным тарифам</t>
        </is>
      </c>
      <c r="AC9" s="2" t="inlineStr"/>
      <c r="AD9" t="n">
        <v>0</v>
      </c>
      <c r="AE9" t="n">
        <v>0</v>
      </c>
      <c r="AF9" t="inlineStr">
        <is>
          <t>Скидки нет</t>
        </is>
      </c>
      <c r="AG9" t="n">
        <v>30800</v>
      </c>
      <c r="AH9" t="n">
        <v>30800</v>
      </c>
      <c r="AI9" t="inlineStr">
        <is>
          <t>Полное проживание в выбранном периоде</t>
        </is>
      </c>
    </row>
    <row r="10">
      <c r="A10" t="inlineStr">
        <is>
          <t>20260905-8186-463904028</t>
        </is>
      </c>
      <c r="B10" t="n">
        <v>1</v>
      </c>
      <c r="C10" s="2" t="inlineStr">
        <is>
          <t>JACOBUS SCHONEVELD, WIKANDA SCHONEVELD</t>
        </is>
      </c>
      <c r="D10" s="3" t="n">
        <v>32040</v>
      </c>
      <c r="E10" s="4" t="n">
        <v>0</v>
      </c>
      <c r="F10" t="inlineStr">
        <is>
          <t>Прямые бронирования (стойка) [Чайковский]</t>
        </is>
      </c>
      <c r="G10" s="3">
        <f>ROUND(D10/(100-E10)*100,2)</f>
        <v/>
      </c>
      <c r="H10" s="3" t="n">
        <v>0</v>
      </c>
      <c r="I10" s="3">
        <f>ROUND(IF(ISNUMBER(AG10),AG10,G10)+H10,2)</f>
        <v/>
      </c>
      <c r="J10" s="2" t="inlineStr">
        <is>
          <t>Завтрак "Шведский стол"</t>
        </is>
      </c>
      <c r="K10" s="5" t="n">
        <v>46270.58333333334</v>
      </c>
      <c r="L10" t="n">
        <v>2</v>
      </c>
      <c r="M10" s="3">
        <f>I10/L10</f>
        <v/>
      </c>
      <c r="N10">
        <f>IF(M10&gt;=5100,"ставка","мин.ставка")</f>
        <v/>
      </c>
      <c r="O10" s="3">
        <f>ROUND(IF(N10="мин.ставка",L10*100,I10/102*2),2)</f>
        <v/>
      </c>
      <c r="P10" s="5" t="n">
        <v>46272.5</v>
      </c>
      <c r="Q10" t="inlineStr">
        <is>
          <t>TravelLine ресепшен</t>
        </is>
      </c>
      <c r="R10" s="2" t="inlineStr">
        <is>
          <t>ЛЮКС ВТОРОЙ КОРПУС</t>
        </is>
      </c>
      <c r="S10" t="n">
        <v>53</v>
      </c>
      <c r="T10" t="n">
        <v>2</v>
      </c>
      <c r="U10" t="inlineStr"/>
      <c r="V10" t="inlineStr">
        <is>
          <t>Тариф с завтраком</t>
        </is>
      </c>
      <c r="W10" t="n">
        <v>32040</v>
      </c>
      <c r="X10" s="3" t="n">
        <v>3560</v>
      </c>
      <c r="Y10" t="inlineStr">
        <is>
          <t>10%</t>
        </is>
      </c>
      <c r="Z10" t="inlineStr">
        <is>
          <t>2026-09-05, 2026-09-06</t>
        </is>
      </c>
      <c r="AA10" s="3" t="n">
        <v>32040</v>
      </c>
      <c r="AB10" t="inlineStr">
        <is>
          <t>Сошлось по ночным тарифам</t>
        </is>
      </c>
      <c r="AC10" s="2" t="inlineStr"/>
      <c r="AD10" t="n">
        <v>3560</v>
      </c>
      <c r="AE10" t="n">
        <v>0</v>
      </c>
      <c r="AF10" t="inlineStr">
        <is>
          <t>Скидка добавлена к налоговой базе</t>
        </is>
      </c>
      <c r="AG10" t="n">
        <v>35600</v>
      </c>
      <c r="AH10" t="n">
        <v>32040</v>
      </c>
      <c r="AI10" t="inlineStr">
        <is>
          <t>Полное проживание в выбранном периоде</t>
        </is>
      </c>
    </row>
    <row r="11">
      <c r="A11" t="inlineStr">
        <is>
          <t>20260731-8186-454688935</t>
        </is>
      </c>
      <c r="B11" t="n">
        <v>1</v>
      </c>
      <c r="C11" s="2" t="inlineStr">
        <is>
          <t>Kayoko Meguro, Jun Meguro</t>
        </is>
      </c>
      <c r="D11" s="3" t="n">
        <v>43350</v>
      </c>
      <c r="E11" s="4" t="n">
        <v>0</v>
      </c>
      <c r="F11" t="inlineStr">
        <is>
          <t>Прямые бронирования (стойка) [Чайковский]</t>
        </is>
      </c>
      <c r="G11" s="3">
        <f>ROUND(D11/(100-E11)*100,2)</f>
        <v/>
      </c>
      <c r="H11" s="3" t="n">
        <v>0</v>
      </c>
      <c r="I11" s="3">
        <f>ROUND(IF(ISNUMBER(AG11),AG11,G11)+H11,2)</f>
        <v/>
      </c>
      <c r="J11" s="2" t="inlineStr">
        <is>
          <t>Завтрак "Шведский стол"</t>
        </is>
      </c>
      <c r="K11" s="5" t="n">
        <v>46234.58333333334</v>
      </c>
      <c r="L11" t="n">
        <v>3</v>
      </c>
      <c r="M11" s="3">
        <f>I11/L11</f>
        <v/>
      </c>
      <c r="N11">
        <f>IF(M11&gt;=5100,"ставка","мин.ставка")</f>
        <v/>
      </c>
      <c r="O11" s="3">
        <f>ROUND(IF(N11="мин.ставка",L11*100,I11/102*2),2)</f>
        <v/>
      </c>
      <c r="P11" s="5" t="n">
        <v>46237.5</v>
      </c>
      <c r="Q11" t="inlineStr">
        <is>
          <t>TravelLine ресепшен</t>
        </is>
      </c>
      <c r="R11" s="2" t="inlineStr">
        <is>
          <t>СЕМЕЙНЫЙ НОМЕР КАТЕГОРИИ "СТАНДАРТ" ВТОРОЙ КОРПУС</t>
        </is>
      </c>
      <c r="S11" t="n">
        <v>50</v>
      </c>
      <c r="T11" t="n">
        <v>2</v>
      </c>
      <c r="U11" t="inlineStr"/>
      <c r="V11" t="inlineStr">
        <is>
          <t>Тариф с завтраком</t>
        </is>
      </c>
      <c r="W11" t="n">
        <v>43350</v>
      </c>
      <c r="X11" s="3" t="n">
        <v>0</v>
      </c>
      <c r="Y11" t="inlineStr"/>
      <c r="Z11" t="inlineStr"/>
      <c r="AA11" s="3" t="n">
        <v>43350</v>
      </c>
      <c r="AB11" t="inlineStr">
        <is>
          <t>Сошлось по ночным тарифам</t>
        </is>
      </c>
      <c r="AC11" s="2" t="inlineStr"/>
      <c r="AD11" t="n">
        <v>0</v>
      </c>
      <c r="AE11" t="n">
        <v>0</v>
      </c>
      <c r="AF11" t="inlineStr">
        <is>
          <t>Скидки нет</t>
        </is>
      </c>
      <c r="AG11" t="n">
        <v>43350</v>
      </c>
      <c r="AH11" t="n">
        <v>43350</v>
      </c>
      <c r="AI11" t="inlineStr">
        <is>
          <t>Полное проживание в выбранном периоде</t>
        </is>
      </c>
    </row>
    <row r="12">
      <c r="A12" t="inlineStr">
        <is>
          <t>20260904-8186-462864511</t>
        </is>
      </c>
      <c r="B12" t="n">
        <v>1</v>
      </c>
      <c r="C12" s="2" t="inlineStr">
        <is>
          <t>LARISSA PAVLENKO, ANDREJ SCHULEPOW</t>
        </is>
      </c>
      <c r="D12" s="3" t="n">
        <v>26700</v>
      </c>
      <c r="E12" s="4" t="n">
        <v>0</v>
      </c>
      <c r="F12" t="inlineStr">
        <is>
          <t>Прямые бронирования (стойка) [Чайковский]</t>
        </is>
      </c>
      <c r="G12" s="3">
        <f>ROUND(D12/(100-E12)*100,2)</f>
        <v/>
      </c>
      <c r="H12" s="3" t="n">
        <v>0</v>
      </c>
      <c r="I12" s="3">
        <f>ROUND(IF(ISNUMBER(AG12),AG12,G12)+H12,2)</f>
        <v/>
      </c>
      <c r="J12" s="2" t="inlineStr">
        <is>
          <t>Завтрак "Шведский стол"</t>
        </is>
      </c>
      <c r="K12" s="5" t="n">
        <v>46269.58333333334</v>
      </c>
      <c r="L12" t="n">
        <v>2</v>
      </c>
      <c r="M12" s="3">
        <f>I12/L12</f>
        <v/>
      </c>
      <c r="N12">
        <f>IF(M12&gt;=5100,"ставка","мин.ставка")</f>
        <v/>
      </c>
      <c r="O12" s="3">
        <f>ROUND(IF(N12="мин.ставка",L12*100,I12/102*2),2)</f>
        <v/>
      </c>
      <c r="P12" s="5" t="n">
        <v>46271.5</v>
      </c>
      <c r="Q12" t="inlineStr">
        <is>
          <t>TravelLine ресепшен</t>
        </is>
      </c>
      <c r="R12" s="2" t="inlineStr">
        <is>
          <t>СТАНДАРТНЫЙ ДВУХМЕСТНЫЙ НОМЕР</t>
        </is>
      </c>
      <c r="S12" t="n">
        <v>52</v>
      </c>
      <c r="T12" t="n">
        <v>2</v>
      </c>
      <c r="U12" t="inlineStr"/>
      <c r="V12" t="inlineStr">
        <is>
          <t>Тариф с завтраком</t>
        </is>
      </c>
      <c r="W12" t="n">
        <v>26700</v>
      </c>
      <c r="X12" s="3" t="n">
        <v>0</v>
      </c>
      <c r="Y12" t="inlineStr"/>
      <c r="Z12" t="inlineStr"/>
      <c r="AA12" s="3" t="n">
        <v>26700</v>
      </c>
      <c r="AB12" t="inlineStr">
        <is>
          <t>Сошлось по ночным тарифам</t>
        </is>
      </c>
      <c r="AC12" s="2" t="inlineStr"/>
      <c r="AD12" t="n">
        <v>0</v>
      </c>
      <c r="AE12" t="n">
        <v>0</v>
      </c>
      <c r="AF12" t="inlineStr">
        <is>
          <t>Скидки нет</t>
        </is>
      </c>
      <c r="AG12" t="n">
        <v>26700</v>
      </c>
      <c r="AH12" t="n">
        <v>26700</v>
      </c>
      <c r="AI12" t="inlineStr">
        <is>
          <t>Полное проживание в выбранном периоде</t>
        </is>
      </c>
    </row>
    <row r="13">
      <c r="A13" t="inlineStr">
        <is>
          <t>20260727-8186-453517212</t>
        </is>
      </c>
      <c r="B13" t="n">
        <v>1</v>
      </c>
      <c r="C13" s="2" t="inlineStr">
        <is>
          <t>LIYA VINOGRADOVA</t>
        </is>
      </c>
      <c r="D13" s="3" t="n">
        <v>8900</v>
      </c>
      <c r="E13" s="4" t="n">
        <v>0</v>
      </c>
      <c r="F13" t="inlineStr">
        <is>
          <t>Прямые бронирования (стойка) [Чайковский]</t>
        </is>
      </c>
      <c r="G13" s="3">
        <f>ROUND(D13/(100-E13)*100,2)</f>
        <v/>
      </c>
      <c r="H13" s="3" t="n">
        <v>0</v>
      </c>
      <c r="I13" s="3">
        <f>ROUND(IF(ISNUMBER(AG13),AG13,G13)+H13,2)</f>
        <v/>
      </c>
      <c r="J13" s="2" t="inlineStr">
        <is>
          <t>Завтрак "Шведский стол"</t>
        </is>
      </c>
      <c r="K13" s="5" t="n">
        <v>46230.58333333334</v>
      </c>
      <c r="L13" t="n">
        <v>1</v>
      </c>
      <c r="M13" s="3">
        <f>I13/L13</f>
        <v/>
      </c>
      <c r="N13">
        <f>IF(M13&gt;=5100,"ставка","мин.ставка")</f>
        <v/>
      </c>
      <c r="O13" s="3">
        <f>ROUND(IF(N13="мин.ставка",L13*100,I13/102*2),2)</f>
        <v/>
      </c>
      <c r="P13" s="5" t="n">
        <v>46231.5</v>
      </c>
      <c r="Q13" t="inlineStr">
        <is>
          <t>TravelLine ресепшен</t>
        </is>
      </c>
      <c r="R13" s="2" t="inlineStr">
        <is>
          <t>СТАНДАРТНЫЙ ДВУХМЕСТНЫЙ НОМЕР</t>
        </is>
      </c>
      <c r="S13" t="n">
        <v>52</v>
      </c>
      <c r="T13" t="n">
        <v>2</v>
      </c>
      <c r="U13" t="inlineStr"/>
      <c r="V13" t="inlineStr">
        <is>
          <t>Тариф с завтраком</t>
        </is>
      </c>
      <c r="W13" t="n">
        <v>8900</v>
      </c>
      <c r="X13" s="3" t="n">
        <v>0</v>
      </c>
      <c r="Y13" t="inlineStr"/>
      <c r="Z13" t="inlineStr"/>
      <c r="AA13" s="3" t="n">
        <v>8900</v>
      </c>
      <c r="AB13" t="inlineStr">
        <is>
          <t>Сошлось по ночным тарифам</t>
        </is>
      </c>
      <c r="AC13" s="2" t="inlineStr"/>
      <c r="AD13" t="n">
        <v>0</v>
      </c>
      <c r="AE13" t="n">
        <v>0</v>
      </c>
      <c r="AF13" t="inlineStr">
        <is>
          <t>Скидки нет</t>
        </is>
      </c>
      <c r="AG13" t="n">
        <v>8900</v>
      </c>
      <c r="AH13" t="n">
        <v>8900</v>
      </c>
      <c r="AI13" t="inlineStr">
        <is>
          <t>Полное проживание в выбранном периоде</t>
        </is>
      </c>
    </row>
    <row r="14">
      <c r="A14" t="inlineStr">
        <is>
          <t>20260712-8186-449646004</t>
        </is>
      </c>
      <c r="B14" t="n">
        <v>1</v>
      </c>
      <c r="C14" s="2" t="inlineStr">
        <is>
          <t>ozon сухоруков штраф</t>
        </is>
      </c>
      <c r="D14" s="3" t="n">
        <v>11371</v>
      </c>
      <c r="E14" s="4" t="n">
        <v>0</v>
      </c>
      <c r="F14" t="inlineStr">
        <is>
          <t>Прямые бронирования (стойка) [Чайковский]</t>
        </is>
      </c>
      <c r="G14" s="3">
        <f>ROUND(D14/(100-E14)*100,2)</f>
        <v/>
      </c>
      <c r="H14" s="3" t="n">
        <v>0</v>
      </c>
      <c r="I14" s="3">
        <f>ROUND(IF(ISNUMBER(AG14),AG14,G14)+H14,2)</f>
        <v/>
      </c>
      <c r="J14" s="2" t="inlineStr">
        <is>
          <t>Завтрак "Шведский стол"</t>
        </is>
      </c>
      <c r="K14" s="5" t="n">
        <v>46215.58333333334</v>
      </c>
      <c r="L14" t="n">
        <v>1</v>
      </c>
      <c r="M14" s="3">
        <f>I14/L14</f>
        <v/>
      </c>
      <c r="N14">
        <f>IF(M14&gt;=5100,"ставка","мин.ставка")</f>
        <v/>
      </c>
      <c r="O14" s="3">
        <f>ROUND(IF(N14="мин.ставка",L14*100,I14/102*2),2)</f>
        <v/>
      </c>
      <c r="P14" s="5" t="n">
        <v>46216.5</v>
      </c>
      <c r="Q14" t="inlineStr">
        <is>
          <t>TravelLine ресепшен</t>
        </is>
      </c>
      <c r="R14" s="2" t="inlineStr">
        <is>
          <t>СЕМЕЙНЫЙ НОМЕР КАТЕГОРИИ "СТАНДАРТ" ВТОРОЙ КОРПУС</t>
        </is>
      </c>
      <c r="S14" t="n">
        <v>51</v>
      </c>
      <c r="T14" t="n">
        <v>2</v>
      </c>
      <c r="U14" t="inlineStr"/>
      <c r="V14" t="inlineStr">
        <is>
          <t>Тариф с завтраком</t>
        </is>
      </c>
      <c r="W14" t="n">
        <v>11371</v>
      </c>
      <c r="X14" s="3" t="n">
        <v>0</v>
      </c>
      <c r="Y14" t="inlineStr"/>
      <c r="Z14" t="inlineStr"/>
      <c r="AA14" s="3" t="n">
        <v>11371</v>
      </c>
      <c r="AB14" t="inlineStr">
        <is>
          <t>Сошлось по ночным тарифам</t>
        </is>
      </c>
      <c r="AC14" s="2" t="inlineStr"/>
      <c r="AD14" t="n">
        <v>0</v>
      </c>
      <c r="AE14" t="n">
        <v>0</v>
      </c>
      <c r="AF14" t="inlineStr">
        <is>
          <t>Скидки нет</t>
        </is>
      </c>
      <c r="AG14" t="n">
        <v>11371</v>
      </c>
      <c r="AH14" t="n">
        <v>11371</v>
      </c>
      <c r="AI14" t="inlineStr">
        <is>
          <t>Полное проживание в выбранном периоде</t>
        </is>
      </c>
    </row>
    <row r="15">
      <c r="A15" t="inlineStr">
        <is>
          <t>20260720-8186-450480260</t>
        </is>
      </c>
      <c r="B15" t="n">
        <v>1</v>
      </c>
      <c r="C15" s="2" t="inlineStr">
        <is>
          <t>TELMAN MUSAYEV</t>
        </is>
      </c>
      <c r="D15" s="3" t="n">
        <v>22700</v>
      </c>
      <c r="E15" s="4" t="n">
        <v>0</v>
      </c>
      <c r="F15" t="inlineStr">
        <is>
          <t>Прямые бронирования (стойка) [Чайковский]</t>
        </is>
      </c>
      <c r="G15" s="3">
        <f>ROUND(D15/(100-E15)*100,2)</f>
        <v/>
      </c>
      <c r="H15" s="3" t="n">
        <v>0</v>
      </c>
      <c r="I15" s="3">
        <f>ROUND(IF(ISNUMBER(AG15),AG15,G15)+H15,2)</f>
        <v/>
      </c>
      <c r="J15" s="2" t="inlineStr">
        <is>
          <t>Завтрак "Шведский стол"</t>
        </is>
      </c>
      <c r="K15" s="5" t="n">
        <v>46223.58333333334</v>
      </c>
      <c r="L15" t="n">
        <v>2</v>
      </c>
      <c r="M15" s="3">
        <f>I15/L15</f>
        <v/>
      </c>
      <c r="N15">
        <f>IF(M15&gt;=5100,"ставка","мин.ставка")</f>
        <v/>
      </c>
      <c r="O15" s="3">
        <f>ROUND(IF(N15="мин.ставка",L15*100,I15/102*2),2)</f>
        <v/>
      </c>
      <c r="P15" s="5" t="n">
        <v>46225.5</v>
      </c>
      <c r="Q15" t="inlineStr">
        <is>
          <t>TravelLine ресепшен</t>
        </is>
      </c>
      <c r="R15" s="2" t="inlineStr">
        <is>
          <t>СТАНДАРТНЫЙ ДВУХМЕСТНЫЙ НОМЕР</t>
        </is>
      </c>
      <c r="S15" t="n">
        <v>55</v>
      </c>
      <c r="T15" t="n">
        <v>2</v>
      </c>
      <c r="U15" t="inlineStr"/>
      <c r="V15" t="inlineStr">
        <is>
          <t>Тариф с завтраком</t>
        </is>
      </c>
      <c r="W15" t="n">
        <v>22700</v>
      </c>
      <c r="X15" s="3" t="n">
        <v>0</v>
      </c>
      <c r="Y15" t="inlineStr"/>
      <c r="Z15" t="inlineStr"/>
      <c r="AA15" s="3" t="n">
        <v>22700</v>
      </c>
      <c r="AB15" t="inlineStr">
        <is>
          <t>Сошлось по ночным тарифам</t>
        </is>
      </c>
      <c r="AC15" s="2" t="inlineStr"/>
      <c r="AD15" t="n">
        <v>0</v>
      </c>
      <c r="AE15" t="n">
        <v>0</v>
      </c>
      <c r="AF15" t="inlineStr">
        <is>
          <t>Скидки нет</t>
        </is>
      </c>
      <c r="AG15" t="n">
        <v>22700</v>
      </c>
      <c r="AH15" t="n">
        <v>22700</v>
      </c>
      <c r="AI15" t="inlineStr">
        <is>
          <t>Полное проживание в выбранном периоде</t>
        </is>
      </c>
    </row>
    <row r="16">
      <c r="A16" t="inlineStr">
        <is>
          <t>20260704-8186-447653921</t>
        </is>
      </c>
      <c r="B16" t="n">
        <v>1</v>
      </c>
      <c r="C16" s="2" t="inlineStr">
        <is>
          <t>VADIM JOSAN, MARIANA JOSAN</t>
        </is>
      </c>
      <c r="D16" s="3" t="n">
        <v>10900</v>
      </c>
      <c r="E16" s="4" t="n">
        <v>0</v>
      </c>
      <c r="F16" t="inlineStr">
        <is>
          <t>Прямые бронирования (стойка) [Чайковский]</t>
        </is>
      </c>
      <c r="G16" s="3">
        <f>ROUND(D16/(100-E16)*100,2)</f>
        <v/>
      </c>
      <c r="H16" s="3" t="n">
        <v>5600</v>
      </c>
      <c r="I16" s="3">
        <f>ROUND(IF(ISNUMBER(AG16),AG16,G16)+H16,2)</f>
        <v/>
      </c>
      <c r="J16" s="2" t="inlineStr">
        <is>
          <t>продление номера — 5 600,00 ₽; Завтрак "Шведский стол"</t>
        </is>
      </c>
      <c r="K16" s="5" t="n">
        <v>46207.58333333334</v>
      </c>
      <c r="L16" t="n">
        <v>1</v>
      </c>
      <c r="M16" s="3">
        <f>I16/L16</f>
        <v/>
      </c>
      <c r="N16">
        <f>IF(M16&gt;=5100,"ставка","мин.ставка")</f>
        <v/>
      </c>
      <c r="O16" s="3">
        <f>ROUND(IF(N16="мин.ставка",L16*100,I16/102*2),2)</f>
        <v/>
      </c>
      <c r="P16" s="5" t="n">
        <v>46208.5</v>
      </c>
      <c r="Q16" t="inlineStr">
        <is>
          <t>TravelLine ресепшен</t>
        </is>
      </c>
      <c r="R16" s="2" t="inlineStr">
        <is>
          <t>СЕМЕЙНЫЙ НОМЕР КАТЕГОРИИ "СТАНДАРТ" ВТОРОЙ КОРПУС</t>
        </is>
      </c>
      <c r="S16" t="n">
        <v>51</v>
      </c>
      <c r="T16" t="n">
        <v>2</v>
      </c>
      <c r="U16" t="inlineStr"/>
      <c r="V16" t="inlineStr">
        <is>
          <t>Тариф с завтраком</t>
        </is>
      </c>
      <c r="W16" t="n">
        <v>16500</v>
      </c>
      <c r="X16" s="3" t="n">
        <v>0</v>
      </c>
      <c r="Y16" t="inlineStr"/>
      <c r="Z16" t="inlineStr"/>
      <c r="AA16" s="3" t="n">
        <v>10900</v>
      </c>
      <c r="AB16" t="inlineStr">
        <is>
          <t>Сошлось с услугами</t>
        </is>
      </c>
      <c r="AC16" s="2" t="inlineStr"/>
      <c r="AD16" t="n">
        <v>0</v>
      </c>
      <c r="AE16" t="n">
        <v>0</v>
      </c>
      <c r="AF16" t="inlineStr">
        <is>
          <t>Скидки нет</t>
        </is>
      </c>
      <c r="AG16" t="n">
        <v>10900</v>
      </c>
      <c r="AH16" t="n">
        <v>10900</v>
      </c>
      <c r="AI16" t="inlineStr">
        <is>
          <t>Полное проживание в выбранном периоде</t>
        </is>
      </c>
    </row>
    <row r="17">
      <c r="A17" t="inlineStr">
        <is>
          <t>20260703-8186-446990671</t>
        </is>
      </c>
      <c r="B17" t="n">
        <v>1</v>
      </c>
      <c r="C17" s="2" t="inlineStr">
        <is>
          <t>а Аня от ольги Агеевой</t>
        </is>
      </c>
      <c r="D17" s="3" t="n">
        <v>7000</v>
      </c>
      <c r="E17" s="4" t="n">
        <v>0</v>
      </c>
      <c r="F17" t="inlineStr">
        <is>
          <t>Прямые бронирования (стойка) [Чайковский]</t>
        </is>
      </c>
      <c r="G17" s="3">
        <f>ROUND(D17/(100-E17)*100,2)</f>
        <v/>
      </c>
      <c r="H17" s="3" t="n">
        <v>0</v>
      </c>
      <c r="I17" s="3">
        <f>ROUND(IF(ISNUMBER(AG17),AG17,G17)+H17,2)</f>
        <v/>
      </c>
      <c r="J17" s="2" t="inlineStr">
        <is>
          <t>Завтрак "Шведский стол"</t>
        </is>
      </c>
      <c r="K17" s="5" t="n">
        <v>46206.58333333334</v>
      </c>
      <c r="L17" t="n">
        <v>1</v>
      </c>
      <c r="M17" s="3">
        <f>I17/L17</f>
        <v/>
      </c>
      <c r="N17">
        <f>IF(M17&gt;=5100,"ставка","мин.ставка")</f>
        <v/>
      </c>
      <c r="O17" s="3">
        <f>ROUND(IF(N17="мин.ставка",L17*100,I17/102*2),2)</f>
        <v/>
      </c>
      <c r="P17" s="5" t="n">
        <v>46207.5</v>
      </c>
      <c r="Q17" t="inlineStr">
        <is>
          <t>TravelLine ресепшен</t>
        </is>
      </c>
      <c r="R17" s="2" t="inlineStr">
        <is>
          <t>ЛЮКС ВТОРОЙ КОРПУС</t>
        </is>
      </c>
      <c r="S17" t="n">
        <v>53</v>
      </c>
      <c r="T17" t="n">
        <v>2</v>
      </c>
      <c r="U17" t="inlineStr"/>
      <c r="V17" t="inlineStr">
        <is>
          <t>Тариф с завтраком</t>
        </is>
      </c>
      <c r="W17" t="n">
        <v>7000</v>
      </c>
      <c r="X17" s="3" t="n">
        <v>0</v>
      </c>
      <c r="Y17" t="inlineStr"/>
      <c r="Z17" t="inlineStr"/>
      <c r="AA17" s="3" t="n">
        <v>7000</v>
      </c>
      <c r="AB17" t="inlineStr">
        <is>
          <t>Сошлось по ночным тарифам</t>
        </is>
      </c>
      <c r="AC17" s="2" t="inlineStr"/>
      <c r="AD17" t="n">
        <v>0</v>
      </c>
      <c r="AE17" t="n">
        <v>0</v>
      </c>
      <c r="AF17" t="inlineStr">
        <is>
          <t>Скидки нет</t>
        </is>
      </c>
      <c r="AG17" t="n">
        <v>7000</v>
      </c>
      <c r="AH17" t="n">
        <v>7000</v>
      </c>
      <c r="AI17" t="inlineStr">
        <is>
          <t>Полное проживание в выбранном периоде</t>
        </is>
      </c>
    </row>
    <row r="18">
      <c r="A18" t="inlineStr">
        <is>
          <t>20260701-8186-429047315</t>
        </is>
      </c>
      <c r="B18" t="n">
        <v>1</v>
      </c>
      <c r="C18" s="2" t="inlineStr">
        <is>
          <t>Аделя Каримова</t>
        </is>
      </c>
      <c r="D18" s="3" t="n">
        <v>13149.75</v>
      </c>
      <c r="E18" s="4" t="n">
        <v>4</v>
      </c>
      <c r="F18" t="inlineStr">
        <is>
          <t>TravelLine Booking Engine [Чайковский]</t>
        </is>
      </c>
      <c r="G18" s="3">
        <f>ROUND(D18/(100-E18)*100,2)</f>
        <v/>
      </c>
      <c r="H18" s="3" t="n">
        <v>0</v>
      </c>
      <c r="I18" s="3">
        <f>ROUND(IF(ISNUMBER(AG18),AG18,G18)+H18,2)</f>
        <v/>
      </c>
      <c r="J18" s="2" t="inlineStr">
        <is>
          <t>Завтрак "Шведский стол"</t>
        </is>
      </c>
      <c r="K18" s="5" t="n">
        <v>46204.58333333334</v>
      </c>
      <c r="L18" t="n">
        <v>1</v>
      </c>
      <c r="M18" s="3">
        <f>I18/L18</f>
        <v/>
      </c>
      <c r="N18">
        <f>IF(M18&gt;=5100,"ставка","мин.ставка")</f>
        <v/>
      </c>
      <c r="O18" s="3">
        <f>ROUND(IF(N18="мин.ставка",L18*100,I18/102*2),2)</f>
        <v/>
      </c>
      <c r="P18" s="5" t="n">
        <v>46205.5</v>
      </c>
      <c r="Q18" t="inlineStr">
        <is>
          <t>TravelLine сайт</t>
        </is>
      </c>
      <c r="R18" s="2" t="inlineStr">
        <is>
          <t>СТАНДАРТНЫЙ ДВУХМЕСТНЫЙ НОМЕР</t>
        </is>
      </c>
      <c r="S18" t="n">
        <v>55</v>
      </c>
      <c r="T18" t="n">
        <v>2</v>
      </c>
      <c r="U18" t="inlineStr"/>
      <c r="V18" t="inlineStr">
        <is>
          <t>Тариф с завтраком</t>
        </is>
      </c>
      <c r="W18" t="n">
        <v>13149.75</v>
      </c>
      <c r="X18" s="3" t="n">
        <v>200.25</v>
      </c>
      <c r="Y18" t="inlineStr">
        <is>
          <t>1.5%</t>
        </is>
      </c>
      <c r="Z18" t="inlineStr">
        <is>
          <t>2026-07-01</t>
        </is>
      </c>
      <c r="AA18" s="3" t="n">
        <v>13149.75</v>
      </c>
      <c r="AB18" t="inlineStr">
        <is>
          <t>Сошлось по ночным тарифам</t>
        </is>
      </c>
      <c r="AC18" s="2" t="inlineStr"/>
      <c r="AD18" t="n">
        <v>200.25</v>
      </c>
      <c r="AE18" t="n">
        <v>0</v>
      </c>
      <c r="AF18" t="inlineStr">
        <is>
          <t>Скидка добавлена к налоговой базе</t>
        </is>
      </c>
      <c r="AG18" t="n">
        <v>13350</v>
      </c>
      <c r="AH18" t="n">
        <v>13149.75</v>
      </c>
      <c r="AI18" t="inlineStr">
        <is>
          <t>Полное проживание в выбранном периоде</t>
        </is>
      </c>
    </row>
    <row r="19">
      <c r="A19" t="inlineStr">
        <is>
          <t>20260805-8186-449311826</t>
        </is>
      </c>
      <c r="B19" t="n">
        <v>1</v>
      </c>
      <c r="C19" s="2" t="inlineStr">
        <is>
          <t>Александр Березин, ВАЛЕНТИНА БЕРЕЗИНА</t>
        </is>
      </c>
      <c r="D19" s="3" t="n">
        <v>26499.75</v>
      </c>
      <c r="E19" s="4" t="n">
        <v>4</v>
      </c>
      <c r="F19" t="inlineStr">
        <is>
          <t>TravelLine Booking Engine [Чайковский]</t>
        </is>
      </c>
      <c r="G19" s="3">
        <f>ROUND(D19/(100-E19)*100,2)</f>
        <v/>
      </c>
      <c r="H19" s="3" t="n">
        <v>0</v>
      </c>
      <c r="I19" s="3">
        <f>ROUND(IF(ISNUMBER(AG19),AG19,G19)+H19,2)</f>
        <v/>
      </c>
      <c r="J19" s="2" t="inlineStr">
        <is>
          <t>Завтрак "Шведский стол"</t>
        </is>
      </c>
      <c r="K19" s="5" t="n">
        <v>46239.58333333334</v>
      </c>
      <c r="L19" t="n">
        <v>2</v>
      </c>
      <c r="M19" s="3">
        <f>I19/L19</f>
        <v/>
      </c>
      <c r="N19">
        <f>IF(M19&gt;=5100,"ставка","мин.ставка")</f>
        <v/>
      </c>
      <c r="O19" s="3">
        <f>ROUND(IF(N19="мин.ставка",L19*100,I19/102*2),2)</f>
        <v/>
      </c>
      <c r="P19" s="5" t="n">
        <v>46241.5</v>
      </c>
      <c r="Q19" t="inlineStr">
        <is>
          <t>TravelLine сайт</t>
        </is>
      </c>
      <c r="R19" s="2" t="inlineStr">
        <is>
          <t>СТАНДАРТНЫЙ ДВУХМЕСТНЫЙ НОМЕР</t>
        </is>
      </c>
      <c r="S19" t="n">
        <v>58</v>
      </c>
      <c r="T19" t="n">
        <v>2</v>
      </c>
      <c r="U19" t="inlineStr"/>
      <c r="V19" t="inlineStr">
        <is>
          <t>Тариф с завтраком</t>
        </is>
      </c>
      <c r="W19" t="n">
        <v>26499.75</v>
      </c>
      <c r="X19" s="3" t="n">
        <v>200.25</v>
      </c>
      <c r="Y19" t="inlineStr">
        <is>
          <t>1.5%</t>
        </is>
      </c>
      <c r="Z19" t="inlineStr">
        <is>
          <t>2026-08-05</t>
        </is>
      </c>
      <c r="AA19" s="3" t="n">
        <v>26499.75</v>
      </c>
      <c r="AB19" t="inlineStr">
        <is>
          <t>Сошлось по ночным тарифам</t>
        </is>
      </c>
      <c r="AC19" s="2" t="inlineStr"/>
      <c r="AD19" t="n">
        <v>200.25</v>
      </c>
      <c r="AE19" t="n">
        <v>0</v>
      </c>
      <c r="AF19" t="inlineStr">
        <is>
          <t>Скидка добавлена к налоговой базе</t>
        </is>
      </c>
      <c r="AG19" t="n">
        <v>26700</v>
      </c>
      <c r="AH19" t="n">
        <v>26499.75</v>
      </c>
      <c r="AI19" t="inlineStr">
        <is>
          <t>Полное проживание в выбранном периоде</t>
        </is>
      </c>
    </row>
    <row r="20">
      <c r="A20" t="inlineStr">
        <is>
          <t>20260919-8186-458495849</t>
        </is>
      </c>
      <c r="B20" t="n">
        <v>1</v>
      </c>
      <c r="C20" s="2" t="inlineStr">
        <is>
          <t>Александр Большаков, ТАТЬЯНА БОЛЬШАКОВА</t>
        </is>
      </c>
      <c r="D20" s="3" t="n">
        <v>48060</v>
      </c>
      <c r="E20" s="4" t="n">
        <v>0</v>
      </c>
      <c r="F20" t="inlineStr">
        <is>
          <t>Прямые бронирования (стойка) [Чайковский]</t>
        </is>
      </c>
      <c r="G20" s="3">
        <f>ROUND(D20/(100-E20)*100,2)</f>
        <v/>
      </c>
      <c r="H20" s="3" t="n">
        <v>0</v>
      </c>
      <c r="I20" s="3">
        <f>ROUND(IF(ISNUMBER(AG20),AG20,G20)+H20,2)</f>
        <v/>
      </c>
      <c r="J20" s="2" t="inlineStr">
        <is>
          <t>Завтрак "Шведский стол"</t>
        </is>
      </c>
      <c r="K20" s="5" t="n">
        <v>46284.58333333334</v>
      </c>
      <c r="L20" t="n">
        <v>3</v>
      </c>
      <c r="M20" s="3">
        <f>I20/L20</f>
        <v/>
      </c>
      <c r="N20">
        <f>IF(M20&gt;=5100,"ставка","мин.ставка")</f>
        <v/>
      </c>
      <c r="O20" s="3">
        <f>ROUND(IF(N20="мин.ставка",L20*100,I20/102*2),2)</f>
        <v/>
      </c>
      <c r="P20" s="5" t="n">
        <v>46287.5</v>
      </c>
      <c r="Q20" t="inlineStr">
        <is>
          <t>TravelLine ресепшен</t>
        </is>
      </c>
      <c r="R20" s="2" t="inlineStr">
        <is>
          <t>ЛЮКС ВТОРОЙ КОРПУС</t>
        </is>
      </c>
      <c r="S20" t="n">
        <v>54</v>
      </c>
      <c r="T20" t="n">
        <v>2</v>
      </c>
      <c r="U20" t="inlineStr"/>
      <c r="V20" t="inlineStr">
        <is>
          <t>Тариф с завтраком</t>
        </is>
      </c>
      <c r="W20" t="n">
        <v>48060</v>
      </c>
      <c r="X20" s="3" t="n">
        <v>5340</v>
      </c>
      <c r="Y20" t="inlineStr">
        <is>
          <t>10%</t>
        </is>
      </c>
      <c r="Z20" t="inlineStr">
        <is>
          <t>2026-09-19, 2026-09-20, 2026-09-21</t>
        </is>
      </c>
      <c r="AA20" s="3" t="n">
        <v>48060</v>
      </c>
      <c r="AB20" t="inlineStr">
        <is>
          <t>Сошлось по ночным тарифам</t>
        </is>
      </c>
      <c r="AC20" s="2" t="inlineStr"/>
      <c r="AD20" t="n">
        <v>5340</v>
      </c>
      <c r="AE20" t="n">
        <v>0</v>
      </c>
      <c r="AF20" t="inlineStr">
        <is>
          <t>Скидка добавлена к налоговой базе</t>
        </is>
      </c>
      <c r="AG20" t="n">
        <v>53400</v>
      </c>
      <c r="AH20" t="n">
        <v>48060</v>
      </c>
      <c r="AI20" t="inlineStr">
        <is>
          <t>Полное проживание в выбранном периоде</t>
        </is>
      </c>
    </row>
    <row r="21">
      <c r="A21" t="inlineStr">
        <is>
          <t>20260903-8186-463463667</t>
        </is>
      </c>
      <c r="B21" t="n">
        <v>1</v>
      </c>
      <c r="C21" s="2" t="inlineStr">
        <is>
          <t>Александр Бухвалов</t>
        </is>
      </c>
      <c r="D21" s="3" t="n">
        <v>11390</v>
      </c>
      <c r="E21" s="4" t="n">
        <v>0</v>
      </c>
      <c r="F21" t="inlineStr">
        <is>
          <t>Прямые бронирования (стойка) [Чайковский]</t>
        </is>
      </c>
      <c r="G21" s="3">
        <f>ROUND(D21/(100-E21)*100,2)</f>
        <v/>
      </c>
      <c r="H21" s="3" t="n">
        <v>0</v>
      </c>
      <c r="I21" s="3">
        <f>ROUND(IF(ISNUMBER(AG21),AG21,G21)+H21,2)</f>
        <v/>
      </c>
      <c r="J21" s="2" t="inlineStr">
        <is>
          <t>Завтрак "Шведский стол"</t>
        </is>
      </c>
      <c r="K21" s="5" t="n">
        <v>46268.58333333334</v>
      </c>
      <c r="L21" t="n">
        <v>1</v>
      </c>
      <c r="M21" s="3">
        <f>I21/L21</f>
        <v/>
      </c>
      <c r="N21">
        <f>IF(M21&gt;=5100,"ставка","мин.ставка")</f>
        <v/>
      </c>
      <c r="O21" s="3">
        <f>ROUND(IF(N21="мин.ставка",L21*100,I21/102*2),2)</f>
        <v/>
      </c>
      <c r="P21" s="5" t="n">
        <v>46269.5</v>
      </c>
      <c r="Q21" t="inlineStr">
        <is>
          <t>TravelLine ресепшен</t>
        </is>
      </c>
      <c r="R21" s="2" t="inlineStr">
        <is>
          <t>УЛУЧШЕННЫЙ ДВУХМЕСТНЫЙ НОМЕР</t>
        </is>
      </c>
      <c r="S21" t="n">
        <v>56</v>
      </c>
      <c r="T21" t="n">
        <v>2</v>
      </c>
      <c r="U21" t="inlineStr"/>
      <c r="V21" t="inlineStr">
        <is>
          <t>Тариф с завтраком</t>
        </is>
      </c>
      <c r="W21" t="n">
        <v>11390</v>
      </c>
      <c r="X21" s="3" t="n">
        <v>2010</v>
      </c>
      <c r="Y21" t="inlineStr">
        <is>
          <t>15%</t>
        </is>
      </c>
      <c r="Z21" t="inlineStr">
        <is>
          <t>2026-09-03</t>
        </is>
      </c>
      <c r="AA21" s="3" t="n">
        <v>11390</v>
      </c>
      <c r="AB21" t="inlineStr">
        <is>
          <t>Сошлось по ночным тарифам</t>
        </is>
      </c>
      <c r="AC21" s="2" t="inlineStr"/>
      <c r="AD21" t="n">
        <v>2010</v>
      </c>
      <c r="AE21" t="n">
        <v>0</v>
      </c>
      <c r="AF21" t="inlineStr">
        <is>
          <t>Скидка добавлена к налоговой базе</t>
        </is>
      </c>
      <c r="AG21" t="n">
        <v>13400</v>
      </c>
      <c r="AH21" t="n">
        <v>11390</v>
      </c>
      <c r="AI21" t="inlineStr">
        <is>
          <t>Полное проживание в выбранном периоде</t>
        </is>
      </c>
    </row>
    <row r="22">
      <c r="A22" t="inlineStr">
        <is>
          <t>20260806-8186-429215981</t>
        </is>
      </c>
      <c r="B22" t="n">
        <v>1</v>
      </c>
      <c r="C22" s="2" t="inlineStr">
        <is>
          <t>Александр Веретенников, ГАЛИНА ОЖМЕГОВА</t>
        </is>
      </c>
      <c r="D22" s="3" t="n">
        <v>49280</v>
      </c>
      <c r="E22" s="4" t="n">
        <v>18</v>
      </c>
      <c r="F22" t="inlineStr">
        <is>
          <t>Яндекс.Путешествия [Чайковский]</t>
        </is>
      </c>
      <c r="G22" s="3">
        <f>ROUND(D22/(100-E22)*100,2)</f>
        <v/>
      </c>
      <c r="H22" s="3" t="n">
        <v>0</v>
      </c>
      <c r="I22" s="3">
        <f>ROUND(IF(ISNUMBER(AG22),AG22,G22)+H22,2)</f>
        <v/>
      </c>
      <c r="J22" s="2" t="inlineStr">
        <is>
          <t>Завтрак "Шведский стол"</t>
        </is>
      </c>
      <c r="K22" s="5" t="n">
        <v>46240.58333333334</v>
      </c>
      <c r="L22" t="n">
        <v>4</v>
      </c>
      <c r="M22" s="3">
        <f>I22/L22</f>
        <v/>
      </c>
      <c r="N22">
        <f>IF(M22&gt;=5100,"ставка","мин.ставка")</f>
        <v/>
      </c>
      <c r="O22" s="3">
        <f>ROUND(IF(N22="мин.ставка",L22*100,I22/102*2),2)</f>
        <v/>
      </c>
      <c r="P22" s="5" t="n">
        <v>46244.5</v>
      </c>
      <c r="Q22" t="inlineStr">
        <is>
          <t>TravelLine YAX</t>
        </is>
      </c>
      <c r="R22" s="2" t="inlineStr">
        <is>
          <t>УЛУЧШЕННЫЙ ДВУХМЕСТНЫЙ НОМЕР</t>
        </is>
      </c>
      <c r="S22" t="n">
        <v>56</v>
      </c>
      <c r="T22" t="n">
        <v>2</v>
      </c>
      <c r="U22" t="inlineStr"/>
      <c r="V22" t="inlineStr">
        <is>
          <t>Тариф с завтраком</t>
        </is>
      </c>
      <c r="W22" t="n">
        <v>49280</v>
      </c>
      <c r="X22" s="3" t="n">
        <v>12320</v>
      </c>
      <c r="Y22" t="inlineStr">
        <is>
          <t>20%</t>
        </is>
      </c>
      <c r="Z22" t="inlineStr">
        <is>
          <t>2026-08-06, 2026-08-07, 2026-08-08, 2026-08-09</t>
        </is>
      </c>
      <c r="AA22" s="3" t="n">
        <v>49280</v>
      </c>
      <c r="AB22" t="inlineStr">
        <is>
          <t>Сошлось по ночным тарифам</t>
        </is>
      </c>
      <c r="AC22" s="2" t="inlineStr"/>
      <c r="AD22" t="n">
        <v>12320</v>
      </c>
      <c r="AE22" t="n">
        <v>0</v>
      </c>
      <c r="AF22" t="inlineStr">
        <is>
          <t>Скидка добавлена к налоговой базе</t>
        </is>
      </c>
      <c r="AG22" t="n">
        <v>61600</v>
      </c>
      <c r="AH22" t="n">
        <v>49280</v>
      </c>
      <c r="AI22" t="inlineStr">
        <is>
          <t>Полное проживание в выбранном периоде</t>
        </is>
      </c>
    </row>
    <row r="23">
      <c r="A23" t="inlineStr">
        <is>
          <t>20260818-8186-443503370</t>
        </is>
      </c>
      <c r="B23" t="n">
        <v>1</v>
      </c>
      <c r="C23" s="2" t="inlineStr">
        <is>
          <t>АЛЕКСАНДР ВЕРЯСОВ, ЕЛИЗАВЕТА ФЕДОТОВА</t>
        </is>
      </c>
      <c r="D23" s="3" t="n">
        <v>64080</v>
      </c>
      <c r="E23" s="4" t="n">
        <v>20</v>
      </c>
      <c r="F23" t="inlineStr">
        <is>
          <t>ООО "ХБ-ПРО" [Чайковский]</t>
        </is>
      </c>
      <c r="G23" s="3">
        <f>ROUND(D23/(100-E23)*100,2)</f>
        <v/>
      </c>
      <c r="H23" s="3" t="n">
        <v>0</v>
      </c>
      <c r="I23" s="3">
        <f>ROUND(IF(ISNUMBER(AG23),AG23,G23)+H23,2)</f>
        <v/>
      </c>
      <c r="J23" s="2" t="inlineStr">
        <is>
          <t>Завтрак "Шведский стол"</t>
        </is>
      </c>
      <c r="K23" s="5" t="n">
        <v>46252.58333333334</v>
      </c>
      <c r="L23" t="n">
        <v>6</v>
      </c>
      <c r="M23" s="3">
        <f>I23/L23</f>
        <v/>
      </c>
      <c r="N23">
        <f>IF(M23&gt;=5100,"ставка","мин.ставка")</f>
        <v/>
      </c>
      <c r="O23" s="3">
        <f>ROUND(IF(N23="мин.ставка",L23*100,I23/102*2),2)</f>
        <v/>
      </c>
      <c r="P23" s="5" t="n">
        <v>46258.5</v>
      </c>
      <c r="Q23" t="inlineStr">
        <is>
          <t>TravelLine UTS</t>
        </is>
      </c>
      <c r="R23" s="2" t="inlineStr">
        <is>
          <t>СТАНДАРТНЫЙ ДВУХМЕСТНЫЙ НОМЕР</t>
        </is>
      </c>
      <c r="S23" t="n">
        <v>58</v>
      </c>
      <c r="T23" t="n">
        <v>2</v>
      </c>
      <c r="U23" t="inlineStr"/>
      <c r="V23" t="inlineStr">
        <is>
          <t>Тариф с завтраком</t>
        </is>
      </c>
      <c r="W23" t="n">
        <v>64080</v>
      </c>
      <c r="X23" s="3" t="n">
        <v>0</v>
      </c>
      <c r="Y23" t="inlineStr"/>
      <c r="Z23" t="inlineStr"/>
      <c r="AA23" s="3" t="n">
        <v>64080</v>
      </c>
      <c r="AB23" t="inlineStr">
        <is>
          <t>Сошлось по ночным тарифам</t>
        </is>
      </c>
      <c r="AC23" s="2" t="inlineStr"/>
      <c r="AD23" t="n">
        <v>0</v>
      </c>
      <c r="AE23" t="n">
        <v>0</v>
      </c>
      <c r="AF23" t="inlineStr">
        <is>
          <t>Скидки нет</t>
        </is>
      </c>
      <c r="AG23" t="n">
        <v>64080</v>
      </c>
      <c r="AH23" t="n">
        <v>64080</v>
      </c>
      <c r="AI23" t="inlineStr">
        <is>
          <t>Полное проживание в выбранном периоде</t>
        </is>
      </c>
    </row>
    <row r="24">
      <c r="A24" t="inlineStr">
        <is>
          <t>20260728-8186-453732694</t>
        </is>
      </c>
      <c r="B24" t="n">
        <v>1</v>
      </c>
      <c r="C24" s="2" t="inlineStr">
        <is>
          <t>АЛЕКСАНДР ВОЛЕГОВ, ЮЛИЯ ВОЛЕГОВА</t>
        </is>
      </c>
      <c r="D24" s="3" t="n">
        <v>9265</v>
      </c>
      <c r="E24" s="4" t="n">
        <v>15</v>
      </c>
      <c r="F24" t="inlineStr">
        <is>
          <t>ООО "БРОНИРОВАНИЕ ГОСТИНИЦ" (OSTROVOK) [Чайковский]</t>
        </is>
      </c>
      <c r="G24" s="3">
        <f>ROUND(D24/(100-E24)*100,2)</f>
        <v/>
      </c>
      <c r="H24" s="3" t="n">
        <v>0</v>
      </c>
      <c r="I24" s="3">
        <f>ROUND(IF(ISNUMBER(AG24),AG24,G24)+H24,2)</f>
        <v/>
      </c>
      <c r="J24" s="2" t="inlineStr">
        <is>
          <t>Завтрак "Шведский стол"</t>
        </is>
      </c>
      <c r="K24" s="5" t="n">
        <v>46231.58333333334</v>
      </c>
      <c r="L24" t="n">
        <v>1</v>
      </c>
      <c r="M24" s="3">
        <f>I24/L24</f>
        <v/>
      </c>
      <c r="N24">
        <f>IF(M24&gt;=5100,"ставка","мин.ставка")</f>
        <v/>
      </c>
      <c r="O24" s="3">
        <f>ROUND(IF(N24="мин.ставка",L24*100,I24/102*2),2)</f>
        <v/>
      </c>
      <c r="P24" s="5" t="n">
        <v>46232.5</v>
      </c>
      <c r="Q24" t="inlineStr">
        <is>
          <t>TravelLine OTK</t>
        </is>
      </c>
      <c r="R24" s="2" t="inlineStr">
        <is>
          <t>СТАНДАРТНЫЙ ДВУХМЕСТНЫЙ НОМЕР</t>
        </is>
      </c>
      <c r="S24" t="n">
        <v>55</v>
      </c>
      <c r="T24" t="n">
        <v>2</v>
      </c>
      <c r="U24" t="inlineStr"/>
      <c r="V24" t="inlineStr">
        <is>
          <t>Тариф с завтраком</t>
        </is>
      </c>
      <c r="W24" t="n">
        <v>9265</v>
      </c>
      <c r="X24" s="3" t="n">
        <v>1635</v>
      </c>
      <c r="Y24" t="inlineStr">
        <is>
          <t>15%</t>
        </is>
      </c>
      <c r="Z24" t="inlineStr">
        <is>
          <t>2026-07-28</t>
        </is>
      </c>
      <c r="AA24" s="3" t="n">
        <v>9265</v>
      </c>
      <c r="AB24" t="inlineStr">
        <is>
          <t>Сошлось по ночным тарифам</t>
        </is>
      </c>
      <c r="AC24" s="2" t="inlineStr"/>
      <c r="AD24" t="n">
        <v>1635</v>
      </c>
      <c r="AE24" t="n">
        <v>0</v>
      </c>
      <c r="AF24" t="inlineStr">
        <is>
          <t>Скидка добавлена к налоговой базе</t>
        </is>
      </c>
      <c r="AG24" t="n">
        <v>10900</v>
      </c>
      <c r="AH24" t="n">
        <v>9265</v>
      </c>
      <c r="AI24" t="inlineStr">
        <is>
          <t>Полное проживание в выбранном периоде</t>
        </is>
      </c>
    </row>
    <row r="25">
      <c r="A25" t="inlineStr">
        <is>
          <t>20260930-8186-467154926</t>
        </is>
      </c>
      <c r="B25" t="n">
        <v>1</v>
      </c>
      <c r="C25" s="2" t="inlineStr">
        <is>
          <t>АЛЕКСАНДР ДЕДКОВ</t>
        </is>
      </c>
      <c r="D25" s="3" t="n">
        <v>17800</v>
      </c>
      <c r="E25" s="4" t="n">
        <v>0</v>
      </c>
      <c r="F25" t="inlineStr">
        <is>
          <t>Прямые бронирования (стойка) [Чайковский]</t>
        </is>
      </c>
      <c r="G25" s="3">
        <f>ROUND(D25/(100-E25)*100,2)</f>
        <v/>
      </c>
      <c r="H25" s="3" t="n">
        <v>0</v>
      </c>
      <c r="I25" s="3">
        <f>ROUND(IF(ISNUMBER(AG25),AG25,G25)+H25,2)</f>
        <v/>
      </c>
      <c r="J25" s="2" t="inlineStr"/>
      <c r="K25" s="5" t="n">
        <v>46295.58333333334</v>
      </c>
      <c r="L25" t="n">
        <v>1</v>
      </c>
      <c r="M25" s="3">
        <f>I25/L25</f>
        <v/>
      </c>
      <c r="N25">
        <f>IF(M25&gt;=5100,"ставка","мин.ставка")</f>
        <v/>
      </c>
      <c r="O25" s="3">
        <f>ROUND(IF(N25="мин.ставка",L25*100,I25/102*2),2)</f>
        <v/>
      </c>
      <c r="P25" s="5" t="n">
        <v>46297.5</v>
      </c>
      <c r="Q25" t="inlineStr">
        <is>
          <t>TravelLine ресепшен</t>
        </is>
      </c>
      <c r="R25" s="2" t="inlineStr">
        <is>
          <t>СТАНДАРТНЫЙ ДВУХМЕСТНЫЙ НОМЕР</t>
        </is>
      </c>
      <c r="S25" t="n">
        <v>55</v>
      </c>
      <c r="T25" t="n">
        <v>2</v>
      </c>
      <c r="U25" t="inlineStr"/>
      <c r="V25" t="inlineStr">
        <is>
          <t>Тариф с завтраком</t>
        </is>
      </c>
      <c r="W25" t="n">
        <v>17800</v>
      </c>
      <c r="X25" s="3" t="n">
        <v>0</v>
      </c>
      <c r="Y25" t="inlineStr"/>
      <c r="Z25" t="inlineStr"/>
      <c r="AA25" s="3" t="n">
        <v>17800</v>
      </c>
      <c r="AB25" t="inlineStr">
        <is>
          <t>Сошлось по ночным тарифам</t>
        </is>
      </c>
      <c r="AC25" s="2" t="inlineStr"/>
      <c r="AD25" t="n">
        <v>0</v>
      </c>
      <c r="AE25" t="n">
        <v>0</v>
      </c>
      <c r="AF25" t="inlineStr">
        <is>
          <t>Скидки нет</t>
        </is>
      </c>
      <c r="AG25" t="n">
        <v>9850</v>
      </c>
      <c r="AH25" t="n">
        <v>9850</v>
      </c>
      <c r="AI25" t="inlineStr">
        <is>
          <t>Частичное проживание распределено по dailyRates</t>
        </is>
      </c>
    </row>
    <row r="26">
      <c r="A26" t="inlineStr">
        <is>
          <t>20260811-8186-456346255</t>
        </is>
      </c>
      <c r="B26" t="n">
        <v>1</v>
      </c>
      <c r="C26" s="2" t="inlineStr">
        <is>
          <t>аЛЕКСАНДР Дмитрук</t>
        </is>
      </c>
      <c r="D26" s="3" t="n">
        <v>9307</v>
      </c>
      <c r="E26" s="4" t="n">
        <v>18</v>
      </c>
      <c r="F26" t="inlineStr">
        <is>
          <t>ООО "Эй энд Эй" [Чайковский]</t>
        </is>
      </c>
      <c r="G26" s="3">
        <f>ROUND(D26/(100-E26)*100,2)</f>
        <v/>
      </c>
      <c r="H26" s="3" t="n">
        <v>0</v>
      </c>
      <c r="I26" s="3">
        <f>ROUND(IF(ISNUMBER(AG26),AG26,G26)+H26,2)</f>
        <v/>
      </c>
      <c r="J26" s="2" t="inlineStr">
        <is>
          <t>Завтрак "Шведский стол"</t>
        </is>
      </c>
      <c r="K26" s="5" t="n">
        <v>46245.58333333334</v>
      </c>
      <c r="L26" t="n">
        <v>1</v>
      </c>
      <c r="M26" s="3">
        <f>I26/L26</f>
        <v/>
      </c>
      <c r="N26">
        <f>IF(M26&gt;=5100,"ставка","мин.ставка")</f>
        <v/>
      </c>
      <c r="O26" s="3">
        <f>ROUND(IF(N26="мин.ставка",L26*100,I26/102*2),2)</f>
        <v/>
      </c>
      <c r="P26" s="5" t="n">
        <v>46246.5</v>
      </c>
      <c r="Q26" t="inlineStr">
        <is>
          <t>TravelLine ANA</t>
        </is>
      </c>
      <c r="R26" s="2" t="inlineStr">
        <is>
          <t>СТАНДАРТНЫЙ ДВУХМЕСТНЫЙ НОМЕР</t>
        </is>
      </c>
      <c r="S26" t="n">
        <v>52</v>
      </c>
      <c r="T26" t="n">
        <v>2</v>
      </c>
      <c r="U26" t="inlineStr"/>
      <c r="V26" t="inlineStr">
        <is>
          <t>Тариф с завтраком</t>
        </is>
      </c>
      <c r="W26" t="n">
        <v>9307</v>
      </c>
      <c r="X26" s="3" t="n">
        <v>2043</v>
      </c>
      <c r="Y26" t="inlineStr">
        <is>
          <t>18%</t>
        </is>
      </c>
      <c r="Z26" t="inlineStr">
        <is>
          <t>2026-08-11</t>
        </is>
      </c>
      <c r="AA26" s="3" t="n">
        <v>9307</v>
      </c>
      <c r="AB26" t="inlineStr">
        <is>
          <t>Сошлось по ночным тарифам</t>
        </is>
      </c>
      <c r="AC26" s="2" t="inlineStr"/>
      <c r="AD26" t="n">
        <v>2043</v>
      </c>
      <c r="AE26" t="n">
        <v>0</v>
      </c>
      <c r="AF26" t="inlineStr">
        <is>
          <t>Скидка добавлена к налоговой базе</t>
        </is>
      </c>
      <c r="AG26" t="n">
        <v>11350</v>
      </c>
      <c r="AH26" t="n">
        <v>9307</v>
      </c>
      <c r="AI26" t="inlineStr">
        <is>
          <t>Полное проживание в выбранном периоде</t>
        </is>
      </c>
    </row>
    <row r="27">
      <c r="A27" t="inlineStr">
        <is>
          <t>20260901-8186-458501210</t>
        </is>
      </c>
      <c r="B27" t="n">
        <v>1</v>
      </c>
      <c r="C27" s="2" t="inlineStr">
        <is>
          <t>Александр Максимов</t>
        </is>
      </c>
      <c r="D27" s="3" t="n">
        <v>27240</v>
      </c>
      <c r="E27" s="4" t="n">
        <v>20</v>
      </c>
      <c r="F27" t="inlineStr">
        <is>
          <t>ООО "КОМПАНИЯ БРОНЕВИК" [Чайковский]</t>
        </is>
      </c>
      <c r="G27" s="3">
        <f>ROUND(D27/(100-E27)*100,2)</f>
        <v/>
      </c>
      <c r="H27" s="3" t="n">
        <v>0</v>
      </c>
      <c r="I27" s="3">
        <f>ROUND(IF(ISNUMBER(AG27),AG27,G27)+H27,2)</f>
        <v/>
      </c>
      <c r="J27" s="2" t="inlineStr">
        <is>
          <t>Завтрак "Шведский стол"</t>
        </is>
      </c>
      <c r="K27" s="5" t="n">
        <v>46266.58333333334</v>
      </c>
      <c r="L27" t="n">
        <v>3</v>
      </c>
      <c r="M27" s="3">
        <f>I27/L27</f>
        <v/>
      </c>
      <c r="N27">
        <f>IF(M27&gt;=5100,"ставка","мин.ставка")</f>
        <v/>
      </c>
      <c r="O27" s="3">
        <f>ROUND(IF(N27="мин.ставка",L27*100,I27/102*2),2)</f>
        <v/>
      </c>
      <c r="P27" s="5" t="n">
        <v>46269.5</v>
      </c>
      <c r="Q27" t="inlineStr">
        <is>
          <t>TravelLine BR2</t>
        </is>
      </c>
      <c r="R27" s="2" t="inlineStr">
        <is>
          <t>СТАНДАРТНЫЙ ДВУХМЕСТНЫЙ НОМЕР</t>
        </is>
      </c>
      <c r="S27" t="n">
        <v>52</v>
      </c>
      <c r="T27" t="n">
        <v>2</v>
      </c>
      <c r="U27" t="inlineStr"/>
      <c r="V27" t="inlineStr">
        <is>
          <t>Тариф с завтраком</t>
        </is>
      </c>
      <c r="W27" t="n">
        <v>27240</v>
      </c>
      <c r="X27" s="3" t="n">
        <v>0</v>
      </c>
      <c r="Y27" t="inlineStr"/>
      <c r="Z27" t="inlineStr"/>
      <c r="AA27" s="3" t="n">
        <v>27240</v>
      </c>
      <c r="AB27" t="inlineStr">
        <is>
          <t>Сошлось по ночным тарифам</t>
        </is>
      </c>
      <c r="AC27" s="2" t="inlineStr"/>
      <c r="AD27" t="n">
        <v>0</v>
      </c>
      <c r="AE27" t="n">
        <v>0</v>
      </c>
      <c r="AF27" t="inlineStr">
        <is>
          <t>Скидки нет</t>
        </is>
      </c>
      <c r="AG27" t="n">
        <v>27240</v>
      </c>
      <c r="AH27" t="n">
        <v>27240</v>
      </c>
      <c r="AI27" t="inlineStr">
        <is>
          <t>Полное проживание в выбранном периоде</t>
        </is>
      </c>
    </row>
    <row r="28">
      <c r="A28" t="inlineStr">
        <is>
          <t>20260719-8186-447014870</t>
        </is>
      </c>
      <c r="B28" t="n">
        <v>1</v>
      </c>
      <c r="C28" s="2" t="inlineStr">
        <is>
          <t>АЛЕКСАНДР МЕЛИХОВ</t>
        </is>
      </c>
      <c r="D28" s="3" t="n">
        <v>28942.5</v>
      </c>
      <c r="E28" s="4" t="n">
        <v>15</v>
      </c>
      <c r="F28" t="inlineStr">
        <is>
          <t>ООО "АКАДЕМ-ОНЛАЙН" [Чайковский]</t>
        </is>
      </c>
      <c r="G28" s="3">
        <f>ROUND(D28/(100-E28)*100,2)</f>
        <v/>
      </c>
      <c r="H28" s="3" t="n">
        <v>0</v>
      </c>
      <c r="I28" s="3">
        <f>ROUND(IF(ISNUMBER(AG28),AG28,G28)+H28,2)</f>
        <v/>
      </c>
      <c r="J28" s="2" t="inlineStr">
        <is>
          <t>Завтрак "Шведский стол"</t>
        </is>
      </c>
      <c r="K28" s="5" t="n">
        <v>46222.58333333334</v>
      </c>
      <c r="L28" t="n">
        <v>3</v>
      </c>
      <c r="M28" s="3">
        <f>I28/L28</f>
        <v/>
      </c>
      <c r="N28">
        <f>IF(M28&gt;=5100,"ставка","мин.ставка")</f>
        <v/>
      </c>
      <c r="O28" s="3">
        <f>ROUND(IF(N28="мин.ставка",L28*100,I28/102*2),2)</f>
        <v/>
      </c>
      <c r="P28" s="5" t="n">
        <v>46225.5</v>
      </c>
      <c r="Q28" t="inlineStr">
        <is>
          <t>TravelLine ACS</t>
        </is>
      </c>
      <c r="R28" s="2" t="inlineStr">
        <is>
          <t>СТАНДАРТНЫЙ ДВУХМЕСТНЫЙ НОМЕР</t>
        </is>
      </c>
      <c r="S28" t="n">
        <v>58</v>
      </c>
      <c r="T28" t="n">
        <v>2</v>
      </c>
      <c r="U28" t="inlineStr"/>
      <c r="V28" t="inlineStr">
        <is>
          <t>Тариф с завтраком</t>
        </is>
      </c>
      <c r="W28" t="n">
        <v>28942.5</v>
      </c>
      <c r="X28" s="3" t="n">
        <v>5107.5</v>
      </c>
      <c r="Y28" t="inlineStr">
        <is>
          <t>15%</t>
        </is>
      </c>
      <c r="Z28" t="inlineStr">
        <is>
          <t>2026-07-19, 2026-07-20, 2026-07-21</t>
        </is>
      </c>
      <c r="AA28" s="3" t="n">
        <v>28942.5</v>
      </c>
      <c r="AB28" t="inlineStr">
        <is>
          <t>Сошлось по ночным тарифам</t>
        </is>
      </c>
      <c r="AC28" s="2" t="inlineStr"/>
      <c r="AD28" t="n">
        <v>5107.5</v>
      </c>
      <c r="AE28" t="n">
        <v>0</v>
      </c>
      <c r="AF28" t="inlineStr">
        <is>
          <t>Скидка добавлена к налоговой базе</t>
        </is>
      </c>
      <c r="AG28" t="n">
        <v>34050</v>
      </c>
      <c r="AH28" t="n">
        <v>28942.5</v>
      </c>
      <c r="AI28" t="inlineStr">
        <is>
          <t>Полное проживание в выбранном периоде</t>
        </is>
      </c>
    </row>
    <row r="29">
      <c r="A29" t="inlineStr">
        <is>
          <t>20260928-8186-464745297</t>
        </is>
      </c>
      <c r="B29" t="n">
        <v>1</v>
      </c>
      <c r="C29" s="2" t="inlineStr">
        <is>
          <t>АЛЕКСАНДР НЕПОМЯЩИЙ</t>
        </is>
      </c>
      <c r="D29" s="3" t="n">
        <v>77137.5</v>
      </c>
      <c r="E29" s="4" t="n">
        <v>15</v>
      </c>
      <c r="F29" t="inlineStr">
        <is>
          <t>ООО "АКАДЕМ-ОНЛАЙН" [Чайковский]</t>
        </is>
      </c>
      <c r="G29" s="3">
        <f>ROUND(D29/(100-E29)*100,2)</f>
        <v/>
      </c>
      <c r="H29" s="3" t="n">
        <v>0</v>
      </c>
      <c r="I29" s="3">
        <f>ROUND(IF(ISNUMBER(AG29),AG29,G29)+H29,2)</f>
        <v/>
      </c>
      <c r="J29" s="2" t="inlineStr"/>
      <c r="K29" s="5" t="n">
        <v>46293.58333333334</v>
      </c>
      <c r="L29" t="n">
        <v>3</v>
      </c>
      <c r="M29" s="3">
        <f>I29/L29</f>
        <v/>
      </c>
      <c r="N29">
        <f>IF(M29&gt;=5100,"ставка","мин.ставка")</f>
        <v/>
      </c>
      <c r="O29" s="3">
        <f>ROUND(IF(N29="мин.ставка",L29*100,I29/102*2),2)</f>
        <v/>
      </c>
      <c r="P29" s="5" t="n">
        <v>46302.5</v>
      </c>
      <c r="Q29" t="inlineStr">
        <is>
          <t>TravelLine ACS</t>
        </is>
      </c>
      <c r="R29" s="2" t="inlineStr">
        <is>
          <t>СЕМЕЙНЫЙ НОМЕР КАТЕГОРИИ "СТАНДАРТ" ВТОРОЙ КОРПУС</t>
        </is>
      </c>
      <c r="S29" t="n">
        <v>50</v>
      </c>
      <c r="T29" t="n">
        <v>2</v>
      </c>
      <c r="U29" t="inlineStr"/>
      <c r="V29" t="inlineStr">
        <is>
          <t>Тариф с завтраком</t>
        </is>
      </c>
      <c r="W29" t="n">
        <v>77137.5</v>
      </c>
      <c r="X29" s="3" t="n">
        <v>13612.5</v>
      </c>
      <c r="Y29" t="inlineStr">
        <is>
          <t>15%</t>
        </is>
      </c>
      <c r="Z29" t="inlineStr">
        <is>
          <t>Не распределена по датам</t>
        </is>
      </c>
      <c r="AA29" s="3" t="n">
        <v>77137.5</v>
      </c>
      <c r="AB29" t="inlineStr">
        <is>
          <t>Сошлось по ночным тарифам</t>
        </is>
      </c>
      <c r="AC29" s="2" t="inlineStr"/>
      <c r="AD29" t="n">
        <v>0</v>
      </c>
      <c r="AE29" t="n">
        <v>0</v>
      </c>
      <c r="AF29" t="inlineStr">
        <is>
          <t>Частичный период: дата агрегированной скидки не определена; скидка не добавлена к базе</t>
        </is>
      </c>
      <c r="AG29" t="n">
        <v>31747.5</v>
      </c>
      <c r="AH29" t="n">
        <v>31747.5</v>
      </c>
      <c r="AI29" t="inlineStr">
        <is>
          <t>Частичное проживание распределено по dailyRates; скидка без даты не восстановлена</t>
        </is>
      </c>
    </row>
    <row r="30">
      <c r="A30" t="inlineStr">
        <is>
          <t>20260831-8186-461884701</t>
        </is>
      </c>
      <c r="B30" t="n">
        <v>1</v>
      </c>
      <c r="C30" s="2" t="inlineStr">
        <is>
          <t>Александр Преснецов, Елизавета Скрябикова</t>
        </is>
      </c>
      <c r="D30" s="3" t="n">
        <v>27556</v>
      </c>
      <c r="E30" s="4" t="n">
        <v>18</v>
      </c>
      <c r="F30" t="inlineStr">
        <is>
          <t>Яндекс.Путешествия [Чайковский]</t>
        </is>
      </c>
      <c r="G30" s="3">
        <f>ROUND(D30/(100-E30)*100,2)</f>
        <v/>
      </c>
      <c r="H30" s="3" t="n">
        <v>0</v>
      </c>
      <c r="I30" s="3">
        <f>ROUND(IF(ISNUMBER(AG30),AG30,G30)+H30,2)</f>
        <v/>
      </c>
      <c r="J30" s="2" t="inlineStr">
        <is>
          <t>Завтрак "Шведский стол"</t>
        </is>
      </c>
      <c r="K30" s="5" t="n">
        <v>46265.58333333334</v>
      </c>
      <c r="L30" t="n">
        <v>2</v>
      </c>
      <c r="M30" s="3">
        <f>I30/L30</f>
        <v/>
      </c>
      <c r="N30">
        <f>IF(M30&gt;=5100,"ставка","мин.ставка")</f>
        <v/>
      </c>
      <c r="O30" s="3">
        <f>ROUND(IF(N30="мин.ставка",L30*100,I30/102*2),2)</f>
        <v/>
      </c>
      <c r="P30" s="5" t="n">
        <v>46267.5</v>
      </c>
      <c r="Q30" t="inlineStr">
        <is>
          <t>TravelLine YAX</t>
        </is>
      </c>
      <c r="R30" s="2" t="inlineStr">
        <is>
          <t>ЛЮКС ВТОРОЙ КОРПУС</t>
        </is>
      </c>
      <c r="S30" t="n">
        <v>57</v>
      </c>
      <c r="T30" t="n">
        <v>2</v>
      </c>
      <c r="U30" t="inlineStr"/>
      <c r="V30" t="inlineStr">
        <is>
          <t>Тариф с завтраком</t>
        </is>
      </c>
      <c r="W30" t="n">
        <v>27556</v>
      </c>
      <c r="X30" s="3" t="n">
        <v>5644</v>
      </c>
      <c r="Y30" t="inlineStr">
        <is>
          <t>17%</t>
        </is>
      </c>
      <c r="Z30" t="inlineStr">
        <is>
          <t>Не распределена по датам</t>
        </is>
      </c>
      <c r="AA30" s="3" t="n">
        <v>27556</v>
      </c>
      <c r="AB30" t="inlineStr">
        <is>
          <t>Сошлось по ночным тарифам</t>
        </is>
      </c>
      <c r="AC30" s="2" t="inlineStr"/>
      <c r="AD30" t="n">
        <v>5644</v>
      </c>
      <c r="AE30" t="n">
        <v>0</v>
      </c>
      <c r="AF30" t="inlineStr">
        <is>
          <t>Скидка добавлена к налоговой базе</t>
        </is>
      </c>
      <c r="AG30" t="n">
        <v>33200</v>
      </c>
      <c r="AH30" t="n">
        <v>27556</v>
      </c>
      <c r="AI30" t="inlineStr">
        <is>
          <t>Полное проживание в выбранном периоде</t>
        </is>
      </c>
    </row>
    <row r="31">
      <c r="A31" t="inlineStr">
        <is>
          <t>20260805-8186-451886641</t>
        </is>
      </c>
      <c r="B31" t="n">
        <v>1</v>
      </c>
      <c r="C31" s="2" t="inlineStr">
        <is>
          <t>Александр Семенов, Ирина Сергеева</t>
        </is>
      </c>
      <c r="D31" s="3" t="n">
        <v>11120</v>
      </c>
      <c r="E31" s="4" t="n">
        <v>18</v>
      </c>
      <c r="F31" t="inlineStr">
        <is>
          <t>Яндекс.Путешествия [Чайковский]</t>
        </is>
      </c>
      <c r="G31" s="3">
        <f>ROUND(D31/(100-E31)*100,2)</f>
        <v/>
      </c>
      <c r="H31" s="3" t="n">
        <v>0</v>
      </c>
      <c r="I31" s="3">
        <f>ROUND(IF(ISNUMBER(AG31),AG31,G31)+H31,2)</f>
        <v/>
      </c>
      <c r="J31" s="2" t="inlineStr"/>
      <c r="K31" s="5" t="n">
        <v>46239.58333333334</v>
      </c>
      <c r="L31" t="n">
        <v>1</v>
      </c>
      <c r="M31" s="3">
        <f>I31/L31</f>
        <v/>
      </c>
      <c r="N31">
        <f>IF(M31&gt;=5100,"ставка","мин.ставка")</f>
        <v/>
      </c>
      <c r="O31" s="3">
        <f>ROUND(IF(N31="мин.ставка",L31*100,I31/102*2),2)</f>
        <v/>
      </c>
      <c r="P31" s="5" t="n">
        <v>46240.5</v>
      </c>
      <c r="Q31" t="inlineStr">
        <is>
          <t>TravelLine YAX</t>
        </is>
      </c>
      <c r="R31" s="2" t="inlineStr">
        <is>
          <t>УЛУЧШЕННЫЙ ДВУХМЕСТНЫЙ НОМЕР</t>
        </is>
      </c>
      <c r="S31" t="n">
        <v>56</v>
      </c>
      <c r="T31" t="n">
        <v>2</v>
      </c>
      <c r="U31" t="inlineStr"/>
      <c r="V31" t="inlineStr">
        <is>
          <t>Основной тариф без завтрака</t>
        </is>
      </c>
      <c r="W31" t="n">
        <v>11120</v>
      </c>
      <c r="X31" s="3" t="n">
        <v>2780</v>
      </c>
      <c r="Y31" t="inlineStr">
        <is>
          <t>20%</t>
        </is>
      </c>
      <c r="Z31" t="inlineStr">
        <is>
          <t>2026-08-05</t>
        </is>
      </c>
      <c r="AA31" s="3" t="n">
        <v>11120</v>
      </c>
      <c r="AB31" t="inlineStr">
        <is>
          <t>Сошлось по ночным тарифам</t>
        </is>
      </c>
      <c r="AC31" s="2" t="inlineStr"/>
      <c r="AD31" t="n">
        <v>2780</v>
      </c>
      <c r="AE31" t="n">
        <v>0</v>
      </c>
      <c r="AF31" t="inlineStr">
        <is>
          <t>Скидка добавлена к налоговой базе</t>
        </is>
      </c>
      <c r="AG31" t="n">
        <v>13900</v>
      </c>
      <c r="AH31" t="n">
        <v>11120</v>
      </c>
      <c r="AI31" t="inlineStr">
        <is>
          <t>Полное проживание в выбранном периоде</t>
        </is>
      </c>
    </row>
    <row r="32">
      <c r="A32" t="inlineStr">
        <is>
          <t>20260714-8186-449199681</t>
        </is>
      </c>
      <c r="B32" t="n">
        <v>1</v>
      </c>
      <c r="C32" s="2" t="inlineStr">
        <is>
          <t>Александр Соломкин</t>
        </is>
      </c>
      <c r="D32" s="3" t="n">
        <v>18160</v>
      </c>
      <c r="E32" s="4" t="n">
        <v>20</v>
      </c>
      <c r="F32" t="inlineStr">
        <is>
          <t>ООО "КОМПАНИЯ БРОНЕВИК" [Чайковский]</t>
        </is>
      </c>
      <c r="G32" s="3">
        <f>ROUND(D32/(100-E32)*100,2)</f>
        <v/>
      </c>
      <c r="H32" s="3" t="n">
        <v>0</v>
      </c>
      <c r="I32" s="3">
        <f>ROUND(IF(ISNUMBER(AG32),AG32,G32)+H32,2)</f>
        <v/>
      </c>
      <c r="J32" s="2" t="inlineStr">
        <is>
          <t>Завтрак "Шведский стол"</t>
        </is>
      </c>
      <c r="K32" s="5" t="n">
        <v>46217.58333333334</v>
      </c>
      <c r="L32" t="n">
        <v>2</v>
      </c>
      <c r="M32" s="3">
        <f>I32/L32</f>
        <v/>
      </c>
      <c r="N32">
        <f>IF(M32&gt;=5100,"ставка","мин.ставка")</f>
        <v/>
      </c>
      <c r="O32" s="3">
        <f>ROUND(IF(N32="мин.ставка",L32*100,I32/102*2),2)</f>
        <v/>
      </c>
      <c r="P32" s="5" t="n">
        <v>46219.5</v>
      </c>
      <c r="Q32" t="inlineStr">
        <is>
          <t>TravelLine BR2</t>
        </is>
      </c>
      <c r="R32" s="2" t="inlineStr">
        <is>
          <t>СЕМЕЙНЫЙ НОМЕР КАТЕГОРИИ "СТАНДАРТ" ВТОРОЙ КОРПУС</t>
        </is>
      </c>
      <c r="S32" t="n">
        <v>50</v>
      </c>
      <c r="T32" t="n">
        <v>2</v>
      </c>
      <c r="U32" t="inlineStr"/>
      <c r="V32" t="inlineStr">
        <is>
          <t>Тариф с завтраком</t>
        </is>
      </c>
      <c r="W32" t="n">
        <v>18160</v>
      </c>
      <c r="X32" s="3" t="n">
        <v>0</v>
      </c>
      <c r="Y32" t="inlineStr"/>
      <c r="Z32" t="inlineStr"/>
      <c r="AA32" s="3" t="n">
        <v>18160</v>
      </c>
      <c r="AB32" t="inlineStr">
        <is>
          <t>Сошлось по ночным тарифам</t>
        </is>
      </c>
      <c r="AC32" s="2" t="inlineStr"/>
      <c r="AD32" t="n">
        <v>0</v>
      </c>
      <c r="AE32" t="n">
        <v>0</v>
      </c>
      <c r="AF32" t="inlineStr">
        <is>
          <t>Скидки нет</t>
        </is>
      </c>
      <c r="AG32" t="n">
        <v>18160</v>
      </c>
      <c r="AH32" t="n">
        <v>18160</v>
      </c>
      <c r="AI32" t="inlineStr">
        <is>
          <t>Полное проживание в выбранном периоде</t>
        </is>
      </c>
    </row>
    <row r="33">
      <c r="A33" t="inlineStr">
        <is>
          <t>20260808-8186-449681859</t>
        </is>
      </c>
      <c r="B33" t="n">
        <v>1</v>
      </c>
      <c r="C33" s="2" t="inlineStr">
        <is>
          <t>Александра Крафт</t>
        </is>
      </c>
      <c r="D33" s="3" t="n">
        <v>13430</v>
      </c>
      <c r="E33" s="4" t="n">
        <v>16</v>
      </c>
      <c r="F33" t="inlineStr">
        <is>
          <t>ООО "БРОНИРОВАНИЕ ГОСТИНИЦ" (OSTROVOK) [Чайковский]</t>
        </is>
      </c>
      <c r="G33" s="3">
        <f>ROUND(D33/(100-E33)*100,2)</f>
        <v/>
      </c>
      <c r="H33" s="3" t="n">
        <v>0</v>
      </c>
      <c r="I33" s="3">
        <f>ROUND(IF(ISNUMBER(AG33),AG33,G33)+H33,2)</f>
        <v/>
      </c>
      <c r="J33" s="2" t="inlineStr">
        <is>
          <t>Завтрак "Шведский стол"</t>
        </is>
      </c>
      <c r="K33" s="5" t="n">
        <v>46242.58333333334</v>
      </c>
      <c r="L33" t="n">
        <v>1</v>
      </c>
      <c r="M33" s="3">
        <f>I33/L33</f>
        <v/>
      </c>
      <c r="N33">
        <f>IF(M33&gt;=5100,"ставка","мин.ставка")</f>
        <v/>
      </c>
      <c r="O33" s="3">
        <f>ROUND(IF(N33="мин.ставка",L33*100,I33/102*2),2)</f>
        <v/>
      </c>
      <c r="P33" s="5" t="n">
        <v>46243.5</v>
      </c>
      <c r="Q33" t="inlineStr">
        <is>
          <t>TravelLine OTK</t>
        </is>
      </c>
      <c r="R33" s="2" t="inlineStr">
        <is>
          <t>ЛЮКС ВТОРОЙ КОРПУС</t>
        </is>
      </c>
      <c r="S33" t="n">
        <v>54</v>
      </c>
      <c r="T33" t="n">
        <v>2</v>
      </c>
      <c r="U33" t="inlineStr"/>
      <c r="V33" t="inlineStr">
        <is>
          <t>Тариф с завтраком</t>
        </is>
      </c>
      <c r="W33" t="n">
        <v>13430</v>
      </c>
      <c r="X33" s="3" t="n">
        <v>2370</v>
      </c>
      <c r="Y33" t="inlineStr">
        <is>
          <t>15%</t>
        </is>
      </c>
      <c r="Z33" t="inlineStr">
        <is>
          <t>2026-08-08</t>
        </is>
      </c>
      <c r="AA33" s="3" t="n">
        <v>13430</v>
      </c>
      <c r="AB33" t="inlineStr">
        <is>
          <t>Сошлось по ночным тарифам</t>
        </is>
      </c>
      <c r="AC33" s="2" t="inlineStr"/>
      <c r="AD33" t="n">
        <v>2370</v>
      </c>
      <c r="AE33" t="n">
        <v>0</v>
      </c>
      <c r="AF33" t="inlineStr">
        <is>
          <t>Скидка добавлена к налоговой базе</t>
        </is>
      </c>
      <c r="AG33" t="n">
        <v>15800</v>
      </c>
      <c r="AH33" t="n">
        <v>13430</v>
      </c>
      <c r="AI33" t="inlineStr">
        <is>
          <t>Полное проживание в выбранном периоде</t>
        </is>
      </c>
    </row>
    <row r="34">
      <c r="A34" t="inlineStr">
        <is>
          <t>20260924-8186-468296119</t>
        </is>
      </c>
      <c r="B34" t="n">
        <v>1</v>
      </c>
      <c r="C34" s="2" t="inlineStr">
        <is>
          <t>Александра Реброва</t>
        </is>
      </c>
      <c r="D34" s="3" t="n">
        <v>9702.25</v>
      </c>
      <c r="E34" s="4" t="n">
        <v>4</v>
      </c>
      <c r="F34" t="inlineStr">
        <is>
          <t>TravelLine Booking Engine [Чайковский]</t>
        </is>
      </c>
      <c r="G34" s="3">
        <f>ROUND(D34/(100-E34)*100,2)</f>
        <v/>
      </c>
      <c r="H34" s="3" t="n">
        <v>0</v>
      </c>
      <c r="I34" s="3">
        <f>ROUND(IF(ISNUMBER(AG34),AG34,G34)+H34,2)</f>
        <v/>
      </c>
      <c r="J34" s="2" t="inlineStr"/>
      <c r="K34" s="5" t="n">
        <v>46289.66666666666</v>
      </c>
      <c r="L34" t="n">
        <v>1</v>
      </c>
      <c r="M34" s="3">
        <f>I34/L34</f>
        <v/>
      </c>
      <c r="N34">
        <f>IF(M34&gt;=5100,"ставка","мин.ставка")</f>
        <v/>
      </c>
      <c r="O34" s="3">
        <f>ROUND(IF(N34="мин.ставка",L34*100,I34/102*2),2)</f>
        <v/>
      </c>
      <c r="P34" s="5" t="n">
        <v>46290.5</v>
      </c>
      <c r="Q34" t="inlineStr">
        <is>
          <t>TravelLine сайт</t>
        </is>
      </c>
      <c r="R34" s="2" t="inlineStr">
        <is>
          <t>СТАНДАРТНЫЙ ДВУХМЕСТНЫЙ НОМЕР</t>
        </is>
      </c>
      <c r="S34" t="n">
        <v>52</v>
      </c>
      <c r="T34" t="n">
        <v>2</v>
      </c>
      <c r="U34" t="inlineStr"/>
      <c r="V34" t="inlineStr">
        <is>
          <t>Основной тариф без завтрака</t>
        </is>
      </c>
      <c r="W34" t="n">
        <v>9702.25</v>
      </c>
      <c r="X34" s="3" t="n">
        <v>147.75</v>
      </c>
      <c r="Y34" t="inlineStr">
        <is>
          <t>1.5%</t>
        </is>
      </c>
      <c r="Z34" t="inlineStr">
        <is>
          <t>2026-09-24</t>
        </is>
      </c>
      <c r="AA34" s="3" t="n">
        <v>9702.25</v>
      </c>
      <c r="AB34" t="inlineStr">
        <is>
          <t>Сошлось по ночным тарифам</t>
        </is>
      </c>
      <c r="AC34" s="2" t="inlineStr"/>
      <c r="AD34" t="n">
        <v>147.75</v>
      </c>
      <c r="AE34" t="n">
        <v>0</v>
      </c>
      <c r="AF34" t="inlineStr">
        <is>
          <t>Скидка добавлена к налоговой базе</t>
        </is>
      </c>
      <c r="AG34" t="n">
        <v>9850</v>
      </c>
      <c r="AH34" t="n">
        <v>9702.25</v>
      </c>
      <c r="AI34" t="inlineStr">
        <is>
          <t>Полное проживание в выбранном периоде</t>
        </is>
      </c>
    </row>
    <row r="35">
      <c r="A35" t="inlineStr">
        <is>
          <t>20260928-8186-468491445</t>
        </is>
      </c>
      <c r="B35" t="n">
        <v>1</v>
      </c>
      <c r="C35" s="2" t="inlineStr">
        <is>
          <t>Алексей Власов</t>
        </is>
      </c>
      <c r="D35" s="3" t="n">
        <v>27921</v>
      </c>
      <c r="E35" s="4" t="n">
        <v>18</v>
      </c>
      <c r="F35" t="inlineStr">
        <is>
          <t>ООО "Эй энд Эй" [Чайковский]</t>
        </is>
      </c>
      <c r="G35" s="3">
        <f>ROUND(D35/(100-E35)*100,2)</f>
        <v/>
      </c>
      <c r="H35" s="3" t="n">
        <v>0</v>
      </c>
      <c r="I35" s="3">
        <f>ROUND(IF(ISNUMBER(AG35),AG35,G35)+H35,2)</f>
        <v/>
      </c>
      <c r="J35" s="2" t="inlineStr">
        <is>
          <t>Завтрак "Шведский стол"</t>
        </is>
      </c>
      <c r="K35" s="5" t="n">
        <v>46293.58333333334</v>
      </c>
      <c r="L35" t="n">
        <v>3</v>
      </c>
      <c r="M35" s="3">
        <f>I35/L35</f>
        <v/>
      </c>
      <c r="N35">
        <f>IF(M35&gt;=5100,"ставка","мин.ставка")</f>
        <v/>
      </c>
      <c r="O35" s="3">
        <f>ROUND(IF(N35="мин.ставка",L35*100,I35/102*2),2)</f>
        <v/>
      </c>
      <c r="P35" s="5" t="n">
        <v>46296.5</v>
      </c>
      <c r="Q35" t="inlineStr">
        <is>
          <t>TravelLine ANA</t>
        </is>
      </c>
      <c r="R35" s="2" t="inlineStr">
        <is>
          <t>СТАНДАРТНЫЙ ДВУХМЕСТНЫЙ НОМЕР</t>
        </is>
      </c>
      <c r="S35" t="n">
        <v>58</v>
      </c>
      <c r="T35" t="n">
        <v>2</v>
      </c>
      <c r="U35" t="inlineStr"/>
      <c r="V35" t="inlineStr">
        <is>
          <t>Тариф с завтраком</t>
        </is>
      </c>
      <c r="W35" t="n">
        <v>27921</v>
      </c>
      <c r="X35" s="3" t="n">
        <v>6129</v>
      </c>
      <c r="Y35" t="inlineStr">
        <is>
          <t>18%</t>
        </is>
      </c>
      <c r="Z35" t="inlineStr">
        <is>
          <t>2026-09-28, 2026-09-29, 2026-09-30</t>
        </is>
      </c>
      <c r="AA35" s="3" t="n">
        <v>27921</v>
      </c>
      <c r="AB35" t="inlineStr">
        <is>
          <t>Сошлось по ночным тарифам</t>
        </is>
      </c>
      <c r="AC35" s="2" t="inlineStr"/>
      <c r="AD35" t="n">
        <v>6129</v>
      </c>
      <c r="AE35" t="n">
        <v>0</v>
      </c>
      <c r="AF35" t="inlineStr">
        <is>
          <t>Скидка добавлена к налоговой базе</t>
        </is>
      </c>
      <c r="AG35" t="n">
        <v>34050</v>
      </c>
      <c r="AH35" t="n">
        <v>27921</v>
      </c>
      <c r="AI35" t="inlineStr">
        <is>
          <t>Полное проживание в выбранном периоде</t>
        </is>
      </c>
    </row>
    <row r="36">
      <c r="A36" t="inlineStr">
        <is>
          <t>20260715-8186-450339541</t>
        </is>
      </c>
      <c r="B36" t="n">
        <v>1</v>
      </c>
      <c r="C36" s="2" t="inlineStr">
        <is>
          <t>Алексей Дегтярёв, Екатерина Дегтярёва, Олеся Дегтярёва</t>
        </is>
      </c>
      <c r="D36" s="3" t="n">
        <v>13275.3</v>
      </c>
      <c r="E36" s="4" t="n">
        <v>4</v>
      </c>
      <c r="F36" t="inlineStr">
        <is>
          <t>TravelLine Booking Engine [Чайковский]</t>
        </is>
      </c>
      <c r="G36" s="3">
        <f>ROUND(D36/(100-E36)*100,2)</f>
        <v/>
      </c>
      <c r="H36" s="3" t="n">
        <v>0</v>
      </c>
      <c r="I36" s="3">
        <f>ROUND(IF(ISNUMBER(AG36),AG36,G36)+H36,2)</f>
        <v/>
      </c>
      <c r="J36" s="2" t="inlineStr">
        <is>
          <t>Завтрак "Шведский стол"</t>
        </is>
      </c>
      <c r="K36" s="5" t="n">
        <v>46218.83333333334</v>
      </c>
      <c r="L36" t="n">
        <v>1</v>
      </c>
      <c r="M36" s="3">
        <f>I36/L36</f>
        <v/>
      </c>
      <c r="N36">
        <f>IF(M36&gt;=5100,"ставка","мин.ставка")</f>
        <v/>
      </c>
      <c r="O36" s="3">
        <f>ROUND(IF(N36="мин.ставка",L36*100,I36/102*2),2)</f>
        <v/>
      </c>
      <c r="P36" s="5" t="n">
        <v>46219.5</v>
      </c>
      <c r="Q36" t="inlineStr">
        <is>
          <t>TravelLine сайт</t>
        </is>
      </c>
      <c r="R36" s="2" t="inlineStr">
        <is>
          <t>СЕМЕЙНЫЙ НОМЕР КАТЕГОРИИ "СТАНДАРТ" ВТОРОЙ КОРПУС</t>
        </is>
      </c>
      <c r="S36" t="n">
        <v>51</v>
      </c>
      <c r="T36" t="n">
        <v>2</v>
      </c>
      <c r="U36" t="inlineStr"/>
      <c r="V36" t="inlineStr">
        <is>
          <t>Тариф с завтраком</t>
        </is>
      </c>
      <c r="W36" t="n">
        <v>13275.3</v>
      </c>
      <c r="X36" s="3" t="n">
        <v>424.7</v>
      </c>
      <c r="Y36" t="inlineStr">
        <is>
          <t>3.1%</t>
        </is>
      </c>
      <c r="Z36" t="inlineStr">
        <is>
          <t>2026-07-15</t>
        </is>
      </c>
      <c r="AA36" s="3" t="n">
        <v>13275.3</v>
      </c>
      <c r="AB36" t="inlineStr">
        <is>
          <t>Сошлось по ночным тарифам</t>
        </is>
      </c>
      <c r="AC36" s="2" t="inlineStr"/>
      <c r="AD36" t="n">
        <v>424.7</v>
      </c>
      <c r="AE36" t="n">
        <v>0</v>
      </c>
      <c r="AF36" t="inlineStr">
        <is>
          <t>Скидка добавлена к налоговой базе</t>
        </is>
      </c>
      <c r="AG36" t="n">
        <v>13700</v>
      </c>
      <c r="AH36" t="n">
        <v>13275.3</v>
      </c>
      <c r="AI36" t="inlineStr">
        <is>
          <t>Полное проживание в выбранном периоде</t>
        </is>
      </c>
    </row>
    <row r="37">
      <c r="A37" t="inlineStr">
        <is>
          <t>20260713-8186-448221235</t>
        </is>
      </c>
      <c r="B37" t="n">
        <v>1</v>
      </c>
      <c r="C37" s="2" t="inlineStr">
        <is>
          <t>Алексей Косарев</t>
        </is>
      </c>
      <c r="D37" s="3" t="n">
        <v>45400</v>
      </c>
      <c r="E37" s="4" t="n">
        <v>4</v>
      </c>
      <c r="F37" t="inlineStr">
        <is>
          <t>TravelLine Booking Engine [Чайковский]</t>
        </is>
      </c>
      <c r="G37" s="3">
        <f>ROUND(D37/(100-E37)*100,2)</f>
        <v/>
      </c>
      <c r="H37" s="3" t="n">
        <v>0</v>
      </c>
      <c r="I37" s="3">
        <f>ROUND(IF(ISNUMBER(AG37),AG37,G37)+H37,2)</f>
        <v/>
      </c>
      <c r="J37" s="2" t="inlineStr">
        <is>
          <t>Завтрак "Шведский стол"</t>
        </is>
      </c>
      <c r="K37" s="5" t="n">
        <v>46216.58333333334</v>
      </c>
      <c r="L37" t="n">
        <v>4</v>
      </c>
      <c r="M37" s="3">
        <f>I37/L37</f>
        <v/>
      </c>
      <c r="N37">
        <f>IF(M37&gt;=5100,"ставка","мин.ставка")</f>
        <v/>
      </c>
      <c r="O37" s="3">
        <f>ROUND(IF(N37="мин.ставка",L37*100,I37/102*2),2)</f>
        <v/>
      </c>
      <c r="P37" s="5" t="n">
        <v>46220.5</v>
      </c>
      <c r="Q37" t="inlineStr">
        <is>
          <t>TravelLine сайт</t>
        </is>
      </c>
      <c r="R37" s="2" t="inlineStr">
        <is>
          <t>СТАНДАРТНЫЙ ДВУХМЕСТНЫЙ НОМЕР</t>
        </is>
      </c>
      <c r="S37" t="n">
        <v>52</v>
      </c>
      <c r="T37" t="n">
        <v>2</v>
      </c>
      <c r="U37" t="inlineStr"/>
      <c r="V37" t="inlineStr">
        <is>
          <t>Тариф с завтраком</t>
        </is>
      </c>
      <c r="W37" t="n">
        <v>90800</v>
      </c>
      <c r="X37" s="3" t="n">
        <v>0</v>
      </c>
      <c r="Y37" t="inlineStr"/>
      <c r="Z37" t="inlineStr"/>
      <c r="AA37" s="3" t="n">
        <v>45400</v>
      </c>
      <c r="AB37" t="inlineStr">
        <is>
          <t>Сошлось по ночным тарифам</t>
        </is>
      </c>
      <c r="AC37" s="2" t="inlineStr"/>
      <c r="AD37" t="n">
        <v>0</v>
      </c>
      <c r="AE37" t="n">
        <v>0</v>
      </c>
      <c r="AF37" t="inlineStr">
        <is>
          <t>Скидки нет</t>
        </is>
      </c>
      <c r="AG37" t="n">
        <v>45400</v>
      </c>
      <c r="AH37" t="n">
        <v>45400</v>
      </c>
      <c r="AI37" t="inlineStr">
        <is>
          <t>Полное проживание в выбранном периоде</t>
        </is>
      </c>
    </row>
    <row r="38">
      <c r="A38" t="inlineStr">
        <is>
          <t>20260712-8186-449256550</t>
        </is>
      </c>
      <c r="B38" t="n">
        <v>1</v>
      </c>
      <c r="C38" s="2" t="inlineStr">
        <is>
          <t>алексей красоцкий, ольга красоцкая</t>
        </is>
      </c>
      <c r="D38" s="3" t="n">
        <v>8720</v>
      </c>
      <c r="E38" s="4" t="n">
        <v>20</v>
      </c>
      <c r="F38" t="inlineStr">
        <is>
          <t>ООО "КОМПАНИЯ БРОНЕВИК" [Чайковский]</t>
        </is>
      </c>
      <c r="G38" s="3">
        <f>ROUND(D38/(100-E38)*100,2)</f>
        <v/>
      </c>
      <c r="H38" s="3" t="n">
        <v>0</v>
      </c>
      <c r="I38" s="3">
        <f>ROUND(IF(ISNUMBER(AG38),AG38,G38)+H38,2)</f>
        <v/>
      </c>
      <c r="J38" s="2" t="inlineStr">
        <is>
          <t>Завтрак "Шведский стол"</t>
        </is>
      </c>
      <c r="K38" s="5" t="n">
        <v>46215.58333333334</v>
      </c>
      <c r="L38" t="n">
        <v>1</v>
      </c>
      <c r="M38" s="3">
        <f>I38/L38</f>
        <v/>
      </c>
      <c r="N38">
        <f>IF(M38&gt;=5100,"ставка","мин.ставка")</f>
        <v/>
      </c>
      <c r="O38" s="3">
        <f>ROUND(IF(N38="мин.ставка",L38*100,I38/102*2),2)</f>
        <v/>
      </c>
      <c r="P38" s="5" t="n">
        <v>46216.5</v>
      </c>
      <c r="Q38" t="inlineStr">
        <is>
          <t>TravelLine BR2</t>
        </is>
      </c>
      <c r="R38" s="2" t="inlineStr">
        <is>
          <t>СЕМЕЙНЫЙ НОМЕР КАТЕГОРИИ "СТАНДАРТ" ВТОРОЙ КОРПУС</t>
        </is>
      </c>
      <c r="S38" t="n">
        <v>50</v>
      </c>
      <c r="T38" t="n">
        <v>2</v>
      </c>
      <c r="U38" t="inlineStr"/>
      <c r="V38" t="inlineStr">
        <is>
          <t>Тариф с завтраком</t>
        </is>
      </c>
      <c r="W38" t="n">
        <v>8720</v>
      </c>
      <c r="X38" s="3" t="n">
        <v>0</v>
      </c>
      <c r="Y38" t="inlineStr"/>
      <c r="Z38" t="inlineStr"/>
      <c r="AA38" s="3" t="n">
        <v>8720</v>
      </c>
      <c r="AB38" t="inlineStr">
        <is>
          <t>Сошлось по ночным тарифам</t>
        </is>
      </c>
      <c r="AC38" s="2" t="inlineStr"/>
      <c r="AD38" t="n">
        <v>0</v>
      </c>
      <c r="AE38" t="n">
        <v>0</v>
      </c>
      <c r="AF38" t="inlineStr">
        <is>
          <t>Скидки нет</t>
        </is>
      </c>
      <c r="AG38" t="n">
        <v>8720</v>
      </c>
      <c r="AH38" t="n">
        <v>8720</v>
      </c>
      <c r="AI38" t="inlineStr">
        <is>
          <t>Полное проживание в выбранном периоде</t>
        </is>
      </c>
    </row>
    <row r="39">
      <c r="A39" t="inlineStr">
        <is>
          <t>20260718-8186-448944338</t>
        </is>
      </c>
      <c r="B39" t="n">
        <v>1</v>
      </c>
      <c r="C39" s="2" t="inlineStr">
        <is>
          <t>Алексей Митрохин</t>
        </is>
      </c>
      <c r="D39" s="3" t="n">
        <v>56960</v>
      </c>
      <c r="E39" s="4" t="n">
        <v>20</v>
      </c>
      <c r="F39" t="inlineStr">
        <is>
          <t>ООО "КОМПАНИЯ БРОНЕВИК" [Чайковский]</t>
        </is>
      </c>
      <c r="G39" s="3">
        <f>ROUND(D39/(100-E39)*100,2)</f>
        <v/>
      </c>
      <c r="H39" s="3" t="n">
        <v>0</v>
      </c>
      <c r="I39" s="3">
        <f>ROUND(IF(ISNUMBER(AG39),AG39,G39)+H39,2)</f>
        <v/>
      </c>
      <c r="J39" s="2" t="inlineStr">
        <is>
          <t>Завтрак "Шведский стол"</t>
        </is>
      </c>
      <c r="K39" s="5" t="n">
        <v>46221.58333333334</v>
      </c>
      <c r="L39" t="n">
        <v>8</v>
      </c>
      <c r="M39" s="3">
        <f>I39/L39</f>
        <v/>
      </c>
      <c r="N39">
        <f>IF(M39&gt;=5100,"ставка","мин.ставка")</f>
        <v/>
      </c>
      <c r="O39" s="3">
        <f>ROUND(IF(N39="мин.ставка",L39*100,I39/102*2),2)</f>
        <v/>
      </c>
      <c r="P39" s="5" t="n">
        <v>46229.5</v>
      </c>
      <c r="Q39" t="inlineStr">
        <is>
          <t>TravelLine BR2</t>
        </is>
      </c>
      <c r="R39" s="2" t="inlineStr">
        <is>
          <t>СЕМЕЙНЫЙ НОМЕР КАТЕГОРИИ "СТАНДАРТ" ВТОРОЙ КОРПУС</t>
        </is>
      </c>
      <c r="S39" t="n">
        <v>50</v>
      </c>
      <c r="T39" t="n">
        <v>2</v>
      </c>
      <c r="U39" t="inlineStr"/>
      <c r="V39" t="inlineStr">
        <is>
          <t>Тариф с завтраком</t>
        </is>
      </c>
      <c r="W39" t="n">
        <v>56960</v>
      </c>
      <c r="X39" s="3" t="n">
        <v>0</v>
      </c>
      <c r="Y39" t="inlineStr"/>
      <c r="Z39" t="inlineStr"/>
      <c r="AA39" s="3" t="n">
        <v>56960</v>
      </c>
      <c r="AB39" t="inlineStr">
        <is>
          <t>Сошлось по ночным тарифам</t>
        </is>
      </c>
      <c r="AC39" s="2" t="inlineStr"/>
      <c r="AD39" t="n">
        <v>0</v>
      </c>
      <c r="AE39" t="n">
        <v>0</v>
      </c>
      <c r="AF39" t="inlineStr">
        <is>
          <t>Скидки нет</t>
        </is>
      </c>
      <c r="AG39" t="n">
        <v>56960</v>
      </c>
      <c r="AH39" t="n">
        <v>56960</v>
      </c>
      <c r="AI39" t="inlineStr">
        <is>
          <t>Полное проживание в выбранном периоде</t>
        </is>
      </c>
    </row>
    <row r="40">
      <c r="A40" t="inlineStr">
        <is>
          <t>20260720-8186-451788457</t>
        </is>
      </c>
      <c r="B40" t="n">
        <v>1</v>
      </c>
      <c r="C40" s="2" t="inlineStr">
        <is>
          <t>Алексей Познокос, МАРИАННА ГНЕЗДИЛОВА</t>
        </is>
      </c>
      <c r="D40" s="3" t="n">
        <v>16020</v>
      </c>
      <c r="E40" s="4" t="n">
        <v>0</v>
      </c>
      <c r="F40" t="inlineStr">
        <is>
          <t>Прямые бронирования (стойка) [Чайковский]</t>
        </is>
      </c>
      <c r="G40" s="3">
        <f>ROUND(D40/(100-E40)*100,2)</f>
        <v/>
      </c>
      <c r="H40" s="3" t="n">
        <v>3338</v>
      </c>
      <c r="I40" s="3">
        <f>ROUND(IF(ISNUMBER(AG40),AG40,G40)+H40,2)</f>
        <v/>
      </c>
      <c r="J40" s="2" t="inlineStr">
        <is>
          <t>Завтрак "Шведский стол"; Поздний выезд — 3 338,00 ₽</t>
        </is>
      </c>
      <c r="K40" s="5" t="n">
        <v>46223.66666666666</v>
      </c>
      <c r="L40" t="n">
        <v>1</v>
      </c>
      <c r="M40" s="3">
        <f>I40/L40</f>
        <v/>
      </c>
      <c r="N40">
        <f>IF(M40&gt;=5100,"ставка","мин.ставка")</f>
        <v/>
      </c>
      <c r="O40" s="3">
        <f>ROUND(IF(N40="мин.ставка",L40*100,I40/102*2),2)</f>
        <v/>
      </c>
      <c r="P40" s="5" t="n">
        <v>46224.70833333334</v>
      </c>
      <c r="Q40" t="inlineStr">
        <is>
          <t>TravelLine ресепшен</t>
        </is>
      </c>
      <c r="R40" s="2" t="inlineStr">
        <is>
          <t>ЛЮКС ВТОРОЙ КОРПУС</t>
        </is>
      </c>
      <c r="S40" t="n">
        <v>54</v>
      </c>
      <c r="T40" t="n">
        <v>2</v>
      </c>
      <c r="U40" t="inlineStr"/>
      <c r="V40" t="inlineStr">
        <is>
          <t>Тариф с завтраком</t>
        </is>
      </c>
      <c r="W40" t="n">
        <v>19358</v>
      </c>
      <c r="X40" s="3" t="n">
        <v>1780</v>
      </c>
      <c r="Y40" t="inlineStr">
        <is>
          <t>10%</t>
        </is>
      </c>
      <c r="Z40" t="inlineStr">
        <is>
          <t>2026-07-20</t>
        </is>
      </c>
      <c r="AA40" s="3" t="n">
        <v>16020</v>
      </c>
      <c r="AB40" t="inlineStr">
        <is>
          <t>Расхождение -3338.00 ₽</t>
        </is>
      </c>
      <c r="AC40" s="2" t="inlineStr"/>
      <c r="AD40" t="n">
        <v>1780</v>
      </c>
      <c r="AE40" t="n">
        <v>0</v>
      </c>
      <c r="AF40" t="inlineStr">
        <is>
          <t>Скидка добавлена к налоговой базе</t>
        </is>
      </c>
      <c r="AG40" t="n">
        <v>17800</v>
      </c>
      <c r="AH40" t="n">
        <v>16020</v>
      </c>
      <c r="AI40" t="inlineStr">
        <is>
          <t>Полное проживание в выбранном периоде</t>
        </is>
      </c>
    </row>
    <row r="41">
      <c r="A41" t="inlineStr">
        <is>
          <t>20260708-8186-448591389</t>
        </is>
      </c>
      <c r="B41" t="n">
        <v>1</v>
      </c>
      <c r="C41" s="2" t="inlineStr">
        <is>
          <t>АЛЕКСЕЙ ТАРАСЕНКО</t>
        </is>
      </c>
      <c r="D41" s="3" t="n">
        <v>17181</v>
      </c>
      <c r="E41" s="4" t="n">
        <v>0</v>
      </c>
      <c r="F41" t="inlineStr">
        <is>
          <t>Прямые бронирования (стойка) [Чайковский]</t>
        </is>
      </c>
      <c r="G41" s="3">
        <f>ROUND(D41/(100-E41)*100,2)</f>
        <v/>
      </c>
      <c r="H41" s="3" t="n">
        <v>0</v>
      </c>
      <c r="I41" s="3">
        <f>ROUND(IF(ISNUMBER(AG41),AG41,G41)+H41,2)</f>
        <v/>
      </c>
      <c r="J41" s="2" t="inlineStr">
        <is>
          <t>Завтрак "Шведский стол"</t>
        </is>
      </c>
      <c r="K41" s="5" t="n">
        <v>46211.58333333334</v>
      </c>
      <c r="L41" t="n">
        <v>2</v>
      </c>
      <c r="M41" s="3">
        <f>I41/L41</f>
        <v/>
      </c>
      <c r="N41">
        <f>IF(M41&gt;=5100,"ставка","мин.ставка")</f>
        <v/>
      </c>
      <c r="O41" s="3">
        <f>ROUND(IF(N41="мин.ставка",L41*100,I41/102*2),2)</f>
        <v/>
      </c>
      <c r="P41" s="5" t="n">
        <v>46213.5</v>
      </c>
      <c r="Q41" t="inlineStr">
        <is>
          <t>TravelLine CMB</t>
        </is>
      </c>
      <c r="R41" s="2" t="inlineStr">
        <is>
          <t>СТАНДАРТНЫЙ ДВУХМЕСТНЫЙ НОМЕР</t>
        </is>
      </c>
      <c r="S41" t="n">
        <v>58</v>
      </c>
      <c r="T41" t="n">
        <v>2</v>
      </c>
      <c r="U41" t="inlineStr"/>
      <c r="V41" t="inlineStr">
        <is>
          <t>Тариф с завтраком</t>
        </is>
      </c>
      <c r="W41" t="n">
        <v>17181</v>
      </c>
      <c r="X41" s="3" t="n">
        <v>3519</v>
      </c>
      <c r="Y41" t="inlineStr">
        <is>
          <t>17%</t>
        </is>
      </c>
      <c r="Z41" t="inlineStr">
        <is>
          <t>2026-07-08, 2026-07-09</t>
        </is>
      </c>
      <c r="AA41" s="3" t="n">
        <v>17181</v>
      </c>
      <c r="AB41" t="inlineStr">
        <is>
          <t>Сошлось по ночным тарифам</t>
        </is>
      </c>
      <c r="AC41" s="2" t="inlineStr"/>
      <c r="AD41" t="n">
        <v>3519</v>
      </c>
      <c r="AE41" t="n">
        <v>0</v>
      </c>
      <c r="AF41" t="inlineStr">
        <is>
          <t>Скидка добавлена к налоговой базе</t>
        </is>
      </c>
      <c r="AG41" t="n">
        <v>20700</v>
      </c>
      <c r="AH41" t="n">
        <v>17181</v>
      </c>
      <c r="AI41" t="inlineStr">
        <is>
          <t>Полное проживание в выбранном периоде</t>
        </is>
      </c>
    </row>
    <row r="42">
      <c r="A42" t="inlineStr">
        <is>
          <t>20260925-8186-457986183</t>
        </is>
      </c>
      <c r="B42" t="n">
        <v>1</v>
      </c>
      <c r="C42" s="2" t="inlineStr">
        <is>
          <t>Альберт Нургазизов, Гузель Нургазизова</t>
        </is>
      </c>
      <c r="D42" s="3" t="n">
        <v>60520</v>
      </c>
      <c r="E42" s="4" t="n">
        <v>0</v>
      </c>
      <c r="F42" t="inlineStr">
        <is>
          <t>ООО «ХОМЛИН ЛЭНД» (ПЕГАС) [Чайковский]</t>
        </is>
      </c>
      <c r="G42" s="3">
        <f>ROUND(D42/(100-E42)*100,2)</f>
        <v/>
      </c>
      <c r="H42" s="3" t="n">
        <v>0</v>
      </c>
      <c r="I42" s="3">
        <f>ROUND(IF(ISNUMBER(AG42),AG42,G42)+H42,2)</f>
        <v/>
      </c>
      <c r="J42" s="2" t="inlineStr">
        <is>
          <t>Завтрак "Шведский стол"</t>
        </is>
      </c>
      <c r="K42" s="5" t="n">
        <v>46290.58333333334</v>
      </c>
      <c r="L42" t="n">
        <v>4</v>
      </c>
      <c r="M42" s="3">
        <f>I42/L42</f>
        <v/>
      </c>
      <c r="N42">
        <f>IF(M42&gt;=5100,"ставка","мин.ставка")</f>
        <v/>
      </c>
      <c r="O42" s="3">
        <f>ROUND(IF(N42="мин.ставка",L42*100,I42/102*2),2)</f>
        <v/>
      </c>
      <c r="P42" s="5" t="n">
        <v>46294.5</v>
      </c>
      <c r="Q42" t="inlineStr">
        <is>
          <t>TravelLine PGS</t>
        </is>
      </c>
      <c r="R42" s="2" t="inlineStr">
        <is>
          <t>ЛЮКС ВТОРОЙ КОРПУС</t>
        </is>
      </c>
      <c r="S42" t="n">
        <v>53</v>
      </c>
      <c r="T42" t="n">
        <v>2</v>
      </c>
      <c r="U42" t="inlineStr"/>
      <c r="V42" t="inlineStr">
        <is>
          <t>Тариф с завтраком</t>
        </is>
      </c>
      <c r="W42" t="n">
        <v>60520</v>
      </c>
      <c r="X42" s="3" t="n">
        <v>10680</v>
      </c>
      <c r="Y42" t="inlineStr">
        <is>
          <t>15%</t>
        </is>
      </c>
      <c r="Z42" t="inlineStr">
        <is>
          <t>2026-09-25, 2026-09-26, 2026-09-27, 2026-09-28</t>
        </is>
      </c>
      <c r="AA42" s="3" t="n">
        <v>60520</v>
      </c>
      <c r="AB42" t="inlineStr">
        <is>
          <t>Сошлось по ночным тарифам</t>
        </is>
      </c>
      <c r="AC42" s="2" t="inlineStr"/>
      <c r="AD42" t="n">
        <v>10680</v>
      </c>
      <c r="AE42" t="n">
        <v>0</v>
      </c>
      <c r="AF42" t="inlineStr">
        <is>
          <t>Скидка добавлена к налоговой базе</t>
        </is>
      </c>
      <c r="AG42" t="n">
        <v>71200</v>
      </c>
      <c r="AH42" t="n">
        <v>60520</v>
      </c>
      <c r="AI42" t="inlineStr">
        <is>
          <t>Полное проживание в выбранном периоде</t>
        </is>
      </c>
    </row>
    <row r="43">
      <c r="A43" t="inlineStr">
        <is>
          <t>20260829-8186-460805833</t>
        </is>
      </c>
      <c r="B43" t="n">
        <v>1</v>
      </c>
      <c r="C43" s="2" t="inlineStr">
        <is>
          <t>Анастасия Левкина, Андрей Левкин</t>
        </is>
      </c>
      <c r="D43" s="3" t="n">
        <v>12782</v>
      </c>
      <c r="E43" s="4" t="n">
        <v>17</v>
      </c>
      <c r="F43" t="inlineStr">
        <is>
          <t>ООО «Интернет Трэвел» (OZON) [Чайковский]</t>
        </is>
      </c>
      <c r="G43" s="3">
        <f>ROUND(D43/(100-E43)*100,2)</f>
        <v/>
      </c>
      <c r="H43" s="3" t="n">
        <v>0</v>
      </c>
      <c r="I43" s="3">
        <f>ROUND(IF(ISNUMBER(AG43),AG43,G43)+H43,2)</f>
        <v/>
      </c>
      <c r="J43" s="2" t="inlineStr">
        <is>
          <t>Завтрак "Шведский стол"</t>
        </is>
      </c>
      <c r="K43" s="5" t="n">
        <v>46263.58333333334</v>
      </c>
      <c r="L43" t="n">
        <v>1</v>
      </c>
      <c r="M43" s="3">
        <f>I43/L43</f>
        <v/>
      </c>
      <c r="N43">
        <f>IF(M43&gt;=5100,"ставка","мин.ставка")</f>
        <v/>
      </c>
      <c r="O43" s="3">
        <f>ROUND(IF(N43="мин.ставка",L43*100,I43/102*2),2)</f>
        <v/>
      </c>
      <c r="P43" s="5" t="n">
        <v>46264.5</v>
      </c>
      <c r="Q43" t="inlineStr">
        <is>
          <t>TravelLine OZ2</t>
        </is>
      </c>
      <c r="R43" s="2" t="inlineStr">
        <is>
          <t>УЛУЧШЕННЫЙ ДВУХМЕСТНЫЙ НОМЕР</t>
        </is>
      </c>
      <c r="S43" t="n">
        <v>56</v>
      </c>
      <c r="T43" t="n">
        <v>2</v>
      </c>
      <c r="U43" t="inlineStr"/>
      <c r="V43" t="inlineStr">
        <is>
          <t>Тариф с завтраком</t>
        </is>
      </c>
      <c r="W43" t="n">
        <v>12782</v>
      </c>
      <c r="X43" s="3" t="n">
        <v>2618</v>
      </c>
      <c r="Y43" t="inlineStr">
        <is>
          <t>17%</t>
        </is>
      </c>
      <c r="Z43" t="inlineStr">
        <is>
          <t>2026-08-29</t>
        </is>
      </c>
      <c r="AA43" s="3" t="n">
        <v>12782</v>
      </c>
      <c r="AB43" t="inlineStr">
        <is>
          <t>Сошлось по ночным тарифам</t>
        </is>
      </c>
      <c r="AC43" s="2" t="inlineStr"/>
      <c r="AD43" t="n">
        <v>2618</v>
      </c>
      <c r="AE43" t="n">
        <v>0</v>
      </c>
      <c r="AF43" t="inlineStr">
        <is>
          <t>Скидка добавлена к налоговой базе</t>
        </is>
      </c>
      <c r="AG43" t="n">
        <v>15400</v>
      </c>
      <c r="AH43" t="n">
        <v>12782</v>
      </c>
      <c r="AI43" t="inlineStr">
        <is>
          <t>Полное проживание в выбранном периоде</t>
        </is>
      </c>
    </row>
    <row r="44">
      <c r="A44" t="inlineStr">
        <is>
          <t>20260715-8186-423875318</t>
        </is>
      </c>
      <c r="B44" t="n">
        <v>1</v>
      </c>
      <c r="C44" s="2" t="inlineStr">
        <is>
          <t>Анастасия Михайлова, Анна Юрчук</t>
        </is>
      </c>
      <c r="D44" s="3" t="n">
        <v>56960</v>
      </c>
      <c r="E44" s="4" t="n">
        <v>18</v>
      </c>
      <c r="F44" t="inlineStr">
        <is>
          <t>Яндекс.Путешествия [Чайковский]</t>
        </is>
      </c>
      <c r="G44" s="3">
        <f>ROUND(D44/(100-E44)*100,2)</f>
        <v/>
      </c>
      <c r="H44" s="3" t="n">
        <v>0</v>
      </c>
      <c r="I44" s="3">
        <f>ROUND(IF(ISNUMBER(AG44),AG44,G44)+H44,2)</f>
        <v/>
      </c>
      <c r="J44" s="2" t="inlineStr">
        <is>
          <t>Завтрак "Шведский стол"</t>
        </is>
      </c>
      <c r="K44" s="5" t="n">
        <v>46218.58333333334</v>
      </c>
      <c r="L44" t="n">
        <v>4</v>
      </c>
      <c r="M44" s="3">
        <f>I44/L44</f>
        <v/>
      </c>
      <c r="N44">
        <f>IF(M44&gt;=5100,"ставка","мин.ставка")</f>
        <v/>
      </c>
      <c r="O44" s="3">
        <f>ROUND(IF(N44="мин.ставка",L44*100,I44/102*2),2)</f>
        <v/>
      </c>
      <c r="P44" s="5" t="n">
        <v>46222.5</v>
      </c>
      <c r="Q44" t="inlineStr">
        <is>
          <t>TravelLine YAX</t>
        </is>
      </c>
      <c r="R44" s="2" t="inlineStr">
        <is>
          <t>ЛЮКС</t>
        </is>
      </c>
      <c r="S44" t="n">
        <v>57</v>
      </c>
      <c r="T44" t="n">
        <v>2</v>
      </c>
      <c r="U44" t="inlineStr"/>
      <c r="V44" t="inlineStr">
        <is>
          <t>Тариф с завтраком</t>
        </is>
      </c>
      <c r="W44" t="n">
        <v>56960</v>
      </c>
      <c r="X44" s="3" t="n">
        <v>14240</v>
      </c>
      <c r="Y44" t="inlineStr">
        <is>
          <t>20%</t>
        </is>
      </c>
      <c r="Z44" t="inlineStr">
        <is>
          <t>2026-07-15, 2026-07-16, 2026-07-17, 2026-07-18</t>
        </is>
      </c>
      <c r="AA44" s="3" t="n">
        <v>56960</v>
      </c>
      <c r="AB44" t="inlineStr">
        <is>
          <t>Сошлось по ночным тарифам</t>
        </is>
      </c>
      <c r="AC44" s="2" t="inlineStr"/>
      <c r="AD44" t="n">
        <v>14240</v>
      </c>
      <c r="AE44" t="n">
        <v>0</v>
      </c>
      <c r="AF44" t="inlineStr">
        <is>
          <t>Скидка добавлена к налоговой базе</t>
        </is>
      </c>
      <c r="AG44" t="n">
        <v>71200</v>
      </c>
      <c r="AH44" t="n">
        <v>56960</v>
      </c>
      <c r="AI44" t="inlineStr">
        <is>
          <t>Полное проживание в выбранном периоде</t>
        </is>
      </c>
    </row>
    <row r="45">
      <c r="A45" t="inlineStr">
        <is>
          <t>20260811-8186-457781207</t>
        </is>
      </c>
      <c r="B45" t="n">
        <v>1</v>
      </c>
      <c r="C45" s="2" t="inlineStr">
        <is>
          <t>Анастасия Можайская</t>
        </is>
      </c>
      <c r="D45" s="3" t="n">
        <v>12450</v>
      </c>
      <c r="E45" s="4" t="n">
        <v>0</v>
      </c>
      <c r="F45" t="inlineStr">
        <is>
          <t>Прямые бронирования (стойка) [Чайковский]</t>
        </is>
      </c>
      <c r="G45" s="3">
        <f>ROUND(D45/(100-E45)*100,2)</f>
        <v/>
      </c>
      <c r="H45" s="3" t="n">
        <v>0</v>
      </c>
      <c r="I45" s="3">
        <f>ROUND(IF(ISNUMBER(AG45),AG45,G45)+H45,2)</f>
        <v/>
      </c>
      <c r="J45" s="2" t="inlineStr">
        <is>
          <t>Завтрак "Шведский стол"</t>
        </is>
      </c>
      <c r="K45" s="5" t="n">
        <v>46245.58333333334</v>
      </c>
      <c r="L45" t="n">
        <v>1</v>
      </c>
      <c r="M45" s="3">
        <f>I45/L45</f>
        <v/>
      </c>
      <c r="N45">
        <f>IF(M45&gt;=5100,"ставка","мин.ставка")</f>
        <v/>
      </c>
      <c r="O45" s="3">
        <f>ROUND(IF(N45="мин.ставка",L45*100,I45/102*2),2)</f>
        <v/>
      </c>
      <c r="P45" s="5" t="n">
        <v>46246.5</v>
      </c>
      <c r="Q45" t="inlineStr">
        <is>
          <t>TravelLine ресепшен</t>
        </is>
      </c>
      <c r="R45" s="2" t="inlineStr">
        <is>
          <t>СЕМЕЙНЫЙ НОМЕР КАТЕГОРИИ "СТАНДАРТ" ВТОРОЙ КОРПУС</t>
        </is>
      </c>
      <c r="S45" t="n">
        <v>51</v>
      </c>
      <c r="T45" t="n">
        <v>2</v>
      </c>
      <c r="U45" t="inlineStr"/>
      <c r="V45" t="inlineStr">
        <is>
          <t>Тариф с завтраком</t>
        </is>
      </c>
      <c r="W45" t="n">
        <v>12450</v>
      </c>
      <c r="X45" s="3" t="n">
        <v>0</v>
      </c>
      <c r="Y45" t="inlineStr"/>
      <c r="Z45" t="inlineStr"/>
      <c r="AA45" s="3" t="n">
        <v>12450</v>
      </c>
      <c r="AB45" t="inlineStr">
        <is>
          <t>Сошлось по ночным тарифам</t>
        </is>
      </c>
      <c r="AC45" s="2" t="inlineStr"/>
      <c r="AD45" t="n">
        <v>0</v>
      </c>
      <c r="AE45" t="n">
        <v>0</v>
      </c>
      <c r="AF45" t="inlineStr">
        <is>
          <t>Скидки нет</t>
        </is>
      </c>
      <c r="AG45" t="n">
        <v>12450</v>
      </c>
      <c r="AH45" t="n">
        <v>12450</v>
      </c>
      <c r="AI45" t="inlineStr">
        <is>
          <t>Полное проживание в выбранном периоде</t>
        </is>
      </c>
    </row>
    <row r="46">
      <c r="A46" t="inlineStr">
        <is>
          <t>20260812-8186-457335221</t>
        </is>
      </c>
      <c r="B46" t="n">
        <v>1</v>
      </c>
      <c r="C46" s="2" t="inlineStr">
        <is>
          <t>Анастасия Рочкус, Ирина Морозюк</t>
        </is>
      </c>
      <c r="D46" s="3" t="n">
        <v>43350</v>
      </c>
      <c r="E46" s="4" t="n">
        <v>0</v>
      </c>
      <c r="F46" t="inlineStr">
        <is>
          <t>Прямые бронирования (стойка) [Чайковский]</t>
        </is>
      </c>
      <c r="G46" s="3">
        <f>ROUND(D46/(100-E46)*100,2)</f>
        <v/>
      </c>
      <c r="H46" s="3" t="n">
        <v>16800</v>
      </c>
      <c r="I46" s="3">
        <f>ROUND(IF(ISNUMBER(AG46),AG46,G46)+H46,2)</f>
        <v/>
      </c>
      <c r="J46" s="2" t="inlineStr">
        <is>
          <t>продление номера — 5 600,00 ₽; продление номера — 5 600,00 ₽; продление номера — 5 600,00 ₽; Завтрак "Шведский стол"</t>
        </is>
      </c>
      <c r="K46" s="5" t="n">
        <v>46246.58333333334</v>
      </c>
      <c r="L46" t="n">
        <v>3</v>
      </c>
      <c r="M46" s="3">
        <f>I46/L46</f>
        <v/>
      </c>
      <c r="N46">
        <f>IF(M46&gt;=5100,"ставка","мин.ставка")</f>
        <v/>
      </c>
      <c r="O46" s="3">
        <f>ROUND(IF(N46="мин.ставка",L46*100,I46/102*2),2)</f>
        <v/>
      </c>
      <c r="P46" s="5" t="n">
        <v>46249.5</v>
      </c>
      <c r="Q46" t="inlineStr">
        <is>
          <t>TravelLine ресепшен</t>
        </is>
      </c>
      <c r="R46" s="2" t="inlineStr">
        <is>
          <t>СЕМЕЙНЫЙ НОМЕР КАТЕГОРИИ "СТАНДАРТ" ВТОРОЙ КОРПУС</t>
        </is>
      </c>
      <c r="S46" t="n">
        <v>51</v>
      </c>
      <c r="T46" t="n">
        <v>2</v>
      </c>
      <c r="U46" t="inlineStr"/>
      <c r="V46" t="inlineStr">
        <is>
          <t>Тариф с завтраком</t>
        </is>
      </c>
      <c r="W46" t="n">
        <v>60150</v>
      </c>
      <c r="X46" s="3" t="n">
        <v>0</v>
      </c>
      <c r="Y46" t="inlineStr"/>
      <c r="Z46" t="inlineStr"/>
      <c r="AA46" s="3" t="n">
        <v>43350</v>
      </c>
      <c r="AB46" t="inlineStr">
        <is>
          <t>Сошлось с услугами</t>
        </is>
      </c>
      <c r="AC46" s="2" t="inlineStr"/>
      <c r="AD46" t="n">
        <v>0</v>
      </c>
      <c r="AE46" t="n">
        <v>0</v>
      </c>
      <c r="AF46" t="inlineStr">
        <is>
          <t>Скидки нет</t>
        </is>
      </c>
      <c r="AG46" t="n">
        <v>43350</v>
      </c>
      <c r="AH46" t="n">
        <v>43350</v>
      </c>
      <c r="AI46" t="inlineStr">
        <is>
          <t>Полное проживание в выбранном периоде</t>
        </is>
      </c>
    </row>
    <row r="47">
      <c r="A47" t="inlineStr">
        <is>
          <t>20260917-8186-464301061</t>
        </is>
      </c>
      <c r="B47" t="n">
        <v>1</v>
      </c>
      <c r="C47" s="2" t="inlineStr">
        <is>
          <t>Анастасия Ювченко</t>
        </is>
      </c>
      <c r="D47" s="3" t="n">
        <v>21440</v>
      </c>
      <c r="E47" s="4" t="n">
        <v>20</v>
      </c>
      <c r="F47" t="inlineStr">
        <is>
          <t>ООО "ХБ-ПРО" [Чайковский]</t>
        </is>
      </c>
      <c r="G47" s="3">
        <f>ROUND(D47/(100-E47)*100,2)</f>
        <v/>
      </c>
      <c r="H47" s="3" t="n">
        <v>0</v>
      </c>
      <c r="I47" s="3">
        <f>ROUND(IF(ISNUMBER(AG47),AG47,G47)+H47,2)</f>
        <v/>
      </c>
      <c r="J47" s="2" t="inlineStr">
        <is>
          <t>Завтрак "Шведский стол"</t>
        </is>
      </c>
      <c r="K47" s="5" t="n">
        <v>46282.58333333334</v>
      </c>
      <c r="L47" t="n">
        <v>2</v>
      </c>
      <c r="M47" s="3">
        <f>I47/L47</f>
        <v/>
      </c>
      <c r="N47">
        <f>IF(M47&gt;=5100,"ставка","мин.ставка")</f>
        <v/>
      </c>
      <c r="O47" s="3">
        <f>ROUND(IF(N47="мин.ставка",L47*100,I47/102*2),2)</f>
        <v/>
      </c>
      <c r="P47" s="5" t="n">
        <v>46284.5</v>
      </c>
      <c r="Q47" t="inlineStr">
        <is>
          <t>TravelLine UTS</t>
        </is>
      </c>
      <c r="R47" s="2" t="inlineStr">
        <is>
          <t>УЛУЧШЕННЫЙ ДВУХМЕСТНЫЙ НОМЕР</t>
        </is>
      </c>
      <c r="S47" t="n">
        <v>59</v>
      </c>
      <c r="T47" t="n">
        <v>2</v>
      </c>
      <c r="U47" t="inlineStr"/>
      <c r="V47" t="inlineStr">
        <is>
          <t>Тариф с завтраком</t>
        </is>
      </c>
      <c r="W47" t="n">
        <v>21440</v>
      </c>
      <c r="X47" s="3" t="n">
        <v>0</v>
      </c>
      <c r="Y47" t="inlineStr"/>
      <c r="Z47" t="inlineStr"/>
      <c r="AA47" s="3" t="n">
        <v>21440</v>
      </c>
      <c r="AB47" t="inlineStr">
        <is>
          <t>Сошлось по ночным тарифам</t>
        </is>
      </c>
      <c r="AC47" s="2" t="inlineStr"/>
      <c r="AD47" t="n">
        <v>0</v>
      </c>
      <c r="AE47" t="n">
        <v>0</v>
      </c>
      <c r="AF47" t="inlineStr">
        <is>
          <t>Скидки нет</t>
        </is>
      </c>
      <c r="AG47" t="n">
        <v>21440</v>
      </c>
      <c r="AH47" t="n">
        <v>21440</v>
      </c>
      <c r="AI47" t="inlineStr">
        <is>
          <t>Полное проживание в выбранном периоде</t>
        </is>
      </c>
    </row>
    <row r="48">
      <c r="A48" t="inlineStr">
        <is>
          <t>20260909-8186-464665870</t>
        </is>
      </c>
      <c r="B48" t="n">
        <v>1</v>
      </c>
      <c r="C48" s="2" t="inlineStr">
        <is>
          <t>АНАТОЛИЙ ДАНИЛОВИЧ, Анастасия Коневина</t>
        </is>
      </c>
      <c r="D48" s="3" t="n">
        <v>34042.5</v>
      </c>
      <c r="E48" s="4" t="n">
        <v>15</v>
      </c>
      <c r="F48" t="inlineStr">
        <is>
          <t>ООО "АКАДЕМ-ОНЛАЙН" [Чайковский]</t>
        </is>
      </c>
      <c r="G48" s="3">
        <f>ROUND(D48/(100-E48)*100,2)</f>
        <v/>
      </c>
      <c r="H48" s="3" t="n">
        <v>3360</v>
      </c>
      <c r="I48" s="3">
        <f>ROUND(IF(ISNUMBER(AG48),AG48,G48)+H48,2)</f>
        <v/>
      </c>
      <c r="J48" s="2" t="inlineStr">
        <is>
          <t>продление номера — 3 360,00 ₽; Завтрак "Шведский стол"</t>
        </is>
      </c>
      <c r="K48" s="5" t="n">
        <v>46274.58333333334</v>
      </c>
      <c r="L48" t="n">
        <v>3</v>
      </c>
      <c r="M48" s="3">
        <f>I48/L48</f>
        <v/>
      </c>
      <c r="N48">
        <f>IF(M48&gt;=5100,"ставка","мин.ставка")</f>
        <v/>
      </c>
      <c r="O48" s="3">
        <f>ROUND(IF(N48="мин.ставка",L48*100,I48/102*2),2)</f>
        <v/>
      </c>
      <c r="P48" s="5" t="n">
        <v>46277.75</v>
      </c>
      <c r="Q48" t="inlineStr">
        <is>
          <t>TravelLine ACS</t>
        </is>
      </c>
      <c r="R48" s="2" t="inlineStr">
        <is>
          <t>СТАНДАРТНЫЙ ДВУХМЕСТНЫЙ НОМЕР</t>
        </is>
      </c>
      <c r="S48" t="n">
        <v>52</v>
      </c>
      <c r="T48" t="n">
        <v>2</v>
      </c>
      <c r="U48" t="inlineStr"/>
      <c r="V48" t="inlineStr">
        <is>
          <t>Тариф с завтраком</t>
        </is>
      </c>
      <c r="W48" t="n">
        <v>37402.5</v>
      </c>
      <c r="X48" s="3" t="n">
        <v>6007.5</v>
      </c>
      <c r="Y48" t="inlineStr">
        <is>
          <t>15%</t>
        </is>
      </c>
      <c r="Z48" t="inlineStr">
        <is>
          <t>2026-09-09, 2026-09-10, 2026-09-11</t>
        </is>
      </c>
      <c r="AA48" s="3" t="n">
        <v>34042.5</v>
      </c>
      <c r="AB48" t="inlineStr">
        <is>
          <t>Сошлось с услугами</t>
        </is>
      </c>
      <c r="AC48" s="2" t="inlineStr"/>
      <c r="AD48" t="n">
        <v>6007.5</v>
      </c>
      <c r="AE48" t="n">
        <v>0</v>
      </c>
      <c r="AF48" t="inlineStr">
        <is>
          <t>Скидка добавлена к налоговой базе</t>
        </is>
      </c>
      <c r="AG48" t="n">
        <v>40050</v>
      </c>
      <c r="AH48" t="n">
        <v>34042.5</v>
      </c>
      <c r="AI48" t="inlineStr">
        <is>
          <t>Полное проживание в выбранном периоде</t>
        </is>
      </c>
    </row>
    <row r="49">
      <c r="A49" t="inlineStr">
        <is>
          <t>20260928-8186-468298353</t>
        </is>
      </c>
      <c r="B49" t="n">
        <v>1</v>
      </c>
      <c r="C49" s="2" t="inlineStr">
        <is>
          <t>АНДРЕЙ ВОРНОВСКИЙ</t>
        </is>
      </c>
      <c r="D49" s="3" t="n">
        <v>39690</v>
      </c>
      <c r="E49" s="4" t="n">
        <v>16</v>
      </c>
      <c r="F49" t="inlineStr">
        <is>
          <t>ООО "БРОНИРОВАНИЕ ГОСТИНИЦ" (OSTROVOK) [Чайковский]</t>
        </is>
      </c>
      <c r="G49" s="3">
        <f>ROUND(D49/(100-E49)*100,2)</f>
        <v/>
      </c>
      <c r="H49" s="3" t="n">
        <v>0</v>
      </c>
      <c r="I49" s="3">
        <f>ROUND(IF(ISNUMBER(AG49),AG49,G49)+H49,2)</f>
        <v/>
      </c>
      <c r="J49" s="2" t="inlineStr"/>
      <c r="K49" s="5" t="n">
        <v>46293.58333333334</v>
      </c>
      <c r="L49" t="n">
        <v>3</v>
      </c>
      <c r="M49" s="3">
        <f>I49/L49</f>
        <v/>
      </c>
      <c r="N49">
        <f>IF(M49&gt;=5100,"ставка","мин.ставка")</f>
        <v/>
      </c>
      <c r="O49" s="3">
        <f>ROUND(IF(N49="мин.ставка",L49*100,I49/102*2),2)</f>
        <v/>
      </c>
      <c r="P49" s="5" t="n">
        <v>46297.5</v>
      </c>
      <c r="Q49" t="inlineStr">
        <is>
          <t>TravelLine OTK</t>
        </is>
      </c>
      <c r="R49" s="2" t="inlineStr">
        <is>
          <t>СЕМЕЙНЫЙ НОМЕР КАТЕГОРИИ "СТАНДАРТ" ВТОРОЙ КОРПУС</t>
        </is>
      </c>
      <c r="S49" t="n">
        <v>51</v>
      </c>
      <c r="T49" t="n">
        <v>2</v>
      </c>
      <c r="U49" t="inlineStr"/>
      <c r="V49" t="inlineStr">
        <is>
          <t>Тариф с завтраком</t>
        </is>
      </c>
      <c r="W49" t="n">
        <v>39690</v>
      </c>
      <c r="X49" s="3" t="n">
        <v>7560</v>
      </c>
      <c r="Y49" t="inlineStr">
        <is>
          <t>16%</t>
        </is>
      </c>
      <c r="Z49" t="inlineStr">
        <is>
          <t>Не распределена по датам</t>
        </is>
      </c>
      <c r="AA49" s="3" t="n">
        <v>39690</v>
      </c>
      <c r="AB49" t="inlineStr">
        <is>
          <t>Сошлось по ночным тарифам</t>
        </is>
      </c>
      <c r="AC49" s="2" t="inlineStr"/>
      <c r="AD49" t="n">
        <v>0</v>
      </c>
      <c r="AE49" t="n">
        <v>0</v>
      </c>
      <c r="AF49" t="inlineStr">
        <is>
          <t>Частичный период: дата агрегированной скидки не определена; скидка не добавлена к базе</t>
        </is>
      </c>
      <c r="AG49" t="n">
        <v>31374</v>
      </c>
      <c r="AH49" t="n">
        <v>31374</v>
      </c>
      <c r="AI49" t="inlineStr">
        <is>
          <t>Частичное проживание распределено по dailyRates; скидка без даты не восстановлена</t>
        </is>
      </c>
    </row>
    <row r="50">
      <c r="A50" t="inlineStr">
        <is>
          <t>20260718-8186-451312706</t>
        </is>
      </c>
      <c r="B50" t="n">
        <v>1</v>
      </c>
      <c r="C50" s="2" t="inlineStr">
        <is>
          <t>АНДРЕЙ ДОБРЯКОВ, АЛИНА ЖУКОВА</t>
        </is>
      </c>
      <c r="D50" s="3" t="n">
        <v>12320</v>
      </c>
      <c r="E50" s="4" t="n">
        <v>18</v>
      </c>
      <c r="F50" t="inlineStr">
        <is>
          <t>Яндекс.Путешествия [Чайковский]</t>
        </is>
      </c>
      <c r="G50" s="3">
        <f>ROUND(D50/(100-E50)*100,2)</f>
        <v/>
      </c>
      <c r="H50" s="3" t="n">
        <v>0</v>
      </c>
      <c r="I50" s="3">
        <f>ROUND(IF(ISNUMBER(AG50),AG50,G50)+H50,2)</f>
        <v/>
      </c>
      <c r="J50" s="2" t="inlineStr">
        <is>
          <t>Завтрак "Шведский стол"</t>
        </is>
      </c>
      <c r="K50" s="5" t="n">
        <v>46221.58333333334</v>
      </c>
      <c r="L50" t="n">
        <v>1</v>
      </c>
      <c r="M50" s="3">
        <f>I50/L50</f>
        <v/>
      </c>
      <c r="N50">
        <f>IF(M50&gt;=5100,"ставка","мин.ставка")</f>
        <v/>
      </c>
      <c r="O50" s="3">
        <f>ROUND(IF(N50="мин.ставка",L50*100,I50/102*2),2)</f>
        <v/>
      </c>
      <c r="P50" s="5" t="n">
        <v>46222.5</v>
      </c>
      <c r="Q50" t="inlineStr">
        <is>
          <t>TravelLine YAX</t>
        </is>
      </c>
      <c r="R50" s="2" t="inlineStr">
        <is>
          <t>УЛУЧШЕННЫЙ ДВУХМЕСТНЫЙ НОМЕР</t>
        </is>
      </c>
      <c r="S50" t="n">
        <v>56</v>
      </c>
      <c r="T50" t="n">
        <v>2</v>
      </c>
      <c r="U50" t="inlineStr"/>
      <c r="V50" t="inlineStr">
        <is>
          <t>Тариф с завтраком</t>
        </is>
      </c>
      <c r="W50" t="n">
        <v>12320</v>
      </c>
      <c r="X50" s="3" t="n">
        <v>3080</v>
      </c>
      <c r="Y50" t="inlineStr">
        <is>
          <t>20%</t>
        </is>
      </c>
      <c r="Z50" t="inlineStr">
        <is>
          <t>2026-07-18</t>
        </is>
      </c>
      <c r="AA50" s="3" t="n">
        <v>12320</v>
      </c>
      <c r="AB50" t="inlineStr">
        <is>
          <t>Сошлось по ночным тарифам</t>
        </is>
      </c>
      <c r="AC50" s="2" t="inlineStr"/>
      <c r="AD50" t="n">
        <v>3080</v>
      </c>
      <c r="AE50" t="n">
        <v>0</v>
      </c>
      <c r="AF50" t="inlineStr">
        <is>
          <t>Скидка добавлена к налоговой базе</t>
        </is>
      </c>
      <c r="AG50" t="n">
        <v>15400</v>
      </c>
      <c r="AH50" t="n">
        <v>12320</v>
      </c>
      <c r="AI50" t="inlineStr">
        <is>
          <t>Полное проживание в выбранном периоде</t>
        </is>
      </c>
    </row>
    <row r="51">
      <c r="A51" t="inlineStr">
        <is>
          <t>20260710-8186-448524052</t>
        </is>
      </c>
      <c r="B51" t="n">
        <v>1</v>
      </c>
      <c r="C51" s="2" t="inlineStr">
        <is>
          <t>Андрей Дьяков</t>
        </is>
      </c>
      <c r="D51" s="3" t="n">
        <v>11205</v>
      </c>
      <c r="E51" s="4" t="n">
        <v>0</v>
      </c>
      <c r="F51" t="inlineStr">
        <is>
          <t>Прямые бронирования (стойка) [Чайковский]</t>
        </is>
      </c>
      <c r="G51" s="3">
        <f>ROUND(D51/(100-E51)*100,2)</f>
        <v/>
      </c>
      <c r="H51" s="3" t="n">
        <v>0</v>
      </c>
      <c r="I51" s="3">
        <f>ROUND(IF(ISNUMBER(AG51),AG51,G51)+H51,2)</f>
        <v/>
      </c>
      <c r="J51" s="2" t="inlineStr">
        <is>
          <t>Завтрак "Шведский стол"</t>
        </is>
      </c>
      <c r="K51" s="5" t="n">
        <v>46213.58333333334</v>
      </c>
      <c r="L51" t="n">
        <v>1</v>
      </c>
      <c r="M51" s="3">
        <f>I51/L51</f>
        <v/>
      </c>
      <c r="N51">
        <f>IF(M51&gt;=5100,"ставка","мин.ставка")</f>
        <v/>
      </c>
      <c r="O51" s="3">
        <f>ROUND(IF(N51="мин.ставка",L51*100,I51/102*2),2)</f>
        <v/>
      </c>
      <c r="P51" s="5" t="n">
        <v>46214.5</v>
      </c>
      <c r="Q51" t="inlineStr">
        <is>
          <t>TravelLine ресепшен</t>
        </is>
      </c>
      <c r="R51" s="2" t="inlineStr">
        <is>
          <t>СЕМЕЙНЫЙ НОМЕР КАТЕГОРИИ "СТАНДАРТ" ВТОРОЙ КОРПУС</t>
        </is>
      </c>
      <c r="S51" t="n">
        <v>50</v>
      </c>
      <c r="T51" t="n">
        <v>2</v>
      </c>
      <c r="U51" t="inlineStr"/>
      <c r="V51" t="inlineStr">
        <is>
          <t>Тариф с завтраком</t>
        </is>
      </c>
      <c r="W51" t="n">
        <v>11205</v>
      </c>
      <c r="X51" s="3" t="n">
        <v>1245</v>
      </c>
      <c r="Y51" t="inlineStr">
        <is>
          <t>10%</t>
        </is>
      </c>
      <c r="Z51" t="inlineStr">
        <is>
          <t>2026-07-10</t>
        </is>
      </c>
      <c r="AA51" s="3" t="n">
        <v>11205</v>
      </c>
      <c r="AB51" t="inlineStr">
        <is>
          <t>Сошлось по ночным тарифам</t>
        </is>
      </c>
      <c r="AC51" s="2" t="inlineStr"/>
      <c r="AD51" t="n">
        <v>1245</v>
      </c>
      <c r="AE51" t="n">
        <v>0</v>
      </c>
      <c r="AF51" t="inlineStr">
        <is>
          <t>Скидка добавлена к налоговой базе</t>
        </is>
      </c>
      <c r="AG51" t="n">
        <v>12450</v>
      </c>
      <c r="AH51" t="n">
        <v>11205</v>
      </c>
      <c r="AI51" t="inlineStr">
        <is>
          <t>Полное проживание в выбранном периоде</t>
        </is>
      </c>
    </row>
    <row r="52">
      <c r="A52" t="inlineStr">
        <is>
          <t>20260722-8186-452174809</t>
        </is>
      </c>
      <c r="B52" t="n">
        <v>1</v>
      </c>
      <c r="C52" s="2" t="inlineStr">
        <is>
          <t>Андрей Лукашенко</t>
        </is>
      </c>
      <c r="D52" s="3" t="n">
        <v>24310</v>
      </c>
      <c r="E52" s="4" t="n">
        <v>15</v>
      </c>
      <c r="F52" t="inlineStr">
        <is>
          <t>ООО "БРОНИРОВАНИЕ ГОСТИНИЦ" (OSTROVOK) [Чайковский]</t>
        </is>
      </c>
      <c r="G52" s="3">
        <f>ROUND(D52/(100-E52)*100,2)</f>
        <v/>
      </c>
      <c r="H52" s="3" t="n">
        <v>0</v>
      </c>
      <c r="I52" s="3">
        <f>ROUND(IF(ISNUMBER(AG52),AG52,G52)+H52,2)</f>
        <v/>
      </c>
      <c r="J52" s="2" t="inlineStr"/>
      <c r="K52" s="5" t="n">
        <v>46225.58333333334</v>
      </c>
      <c r="L52" t="n">
        <v>2</v>
      </c>
      <c r="M52" s="3">
        <f>I52/L52</f>
        <v/>
      </c>
      <c r="N52">
        <f>IF(M52&gt;=5100,"ставка","мин.ставка")</f>
        <v/>
      </c>
      <c r="O52" s="3">
        <f>ROUND(IF(N52="мин.ставка",L52*100,I52/102*2),2)</f>
        <v/>
      </c>
      <c r="P52" s="5" t="n">
        <v>46227.5</v>
      </c>
      <c r="Q52" t="inlineStr">
        <is>
          <t>TravelLine OTK</t>
        </is>
      </c>
      <c r="R52" s="2" t="inlineStr">
        <is>
          <t>ЛЮКС ВТОРОЙ КОРПУС</t>
        </is>
      </c>
      <c r="S52" t="n">
        <v>54</v>
      </c>
      <c r="T52" t="n">
        <v>2</v>
      </c>
      <c r="U52" t="inlineStr"/>
      <c r="V52" t="inlineStr">
        <is>
          <t>Основной тариф без завтрака</t>
        </is>
      </c>
      <c r="W52" t="n">
        <v>24310</v>
      </c>
      <c r="X52" s="3" t="n">
        <v>4290</v>
      </c>
      <c r="Y52" t="inlineStr">
        <is>
          <t>15%</t>
        </is>
      </c>
      <c r="Z52" t="inlineStr">
        <is>
          <t>2026-07-22, 2026-07-23</t>
        </is>
      </c>
      <c r="AA52" s="3" t="n">
        <v>24310</v>
      </c>
      <c r="AB52" t="inlineStr">
        <is>
          <t>Сошлось по ночным тарифам</t>
        </is>
      </c>
      <c r="AC52" s="2" t="inlineStr"/>
      <c r="AD52" t="n">
        <v>4290</v>
      </c>
      <c r="AE52" t="n">
        <v>0</v>
      </c>
      <c r="AF52" t="inlineStr">
        <is>
          <t>Скидка добавлена к налоговой базе</t>
        </is>
      </c>
      <c r="AG52" t="n">
        <v>28600</v>
      </c>
      <c r="AH52" t="n">
        <v>24310</v>
      </c>
      <c r="AI52" t="inlineStr">
        <is>
          <t>Полное проживание в выбранном периоде</t>
        </is>
      </c>
    </row>
    <row r="53">
      <c r="A53" t="inlineStr">
        <is>
          <t>20260726-8186-453324720</t>
        </is>
      </c>
      <c r="B53" t="n">
        <v>1</v>
      </c>
      <c r="C53" s="2" t="inlineStr">
        <is>
          <t>Андрей Лукашенко</t>
        </is>
      </c>
      <c r="D53" s="3" t="n">
        <v>28050</v>
      </c>
      <c r="E53" s="4" t="n">
        <v>15</v>
      </c>
      <c r="F53" t="inlineStr">
        <is>
          <t>ООО "БРОНИРОВАНИЕ ГОСТИНИЦ" (OSTROVOK) [Чайковский]</t>
        </is>
      </c>
      <c r="G53" s="3">
        <f>ROUND(D53/(100-E53)*100,2)</f>
        <v/>
      </c>
      <c r="H53" s="3" t="n">
        <v>0</v>
      </c>
      <c r="I53" s="3">
        <f>ROUND(IF(ISNUMBER(AG53),AG53,G53)+H53,2)</f>
        <v/>
      </c>
      <c r="J53" s="2" t="inlineStr"/>
      <c r="K53" s="5" t="n">
        <v>46229.58333333334</v>
      </c>
      <c r="L53" t="n">
        <v>3</v>
      </c>
      <c r="M53" s="3">
        <f>I53/L53</f>
        <v/>
      </c>
      <c r="N53">
        <f>IF(M53&gt;=5100,"ставка","мин.ставка")</f>
        <v/>
      </c>
      <c r="O53" s="3">
        <f>ROUND(IF(N53="мин.ставка",L53*100,I53/102*2),2)</f>
        <v/>
      </c>
      <c r="P53" s="5" t="n">
        <v>46232.5</v>
      </c>
      <c r="Q53" t="inlineStr">
        <is>
          <t>TravelLine OTK</t>
        </is>
      </c>
      <c r="R53" s="2" t="inlineStr">
        <is>
          <t>ЛЮКС ВТОРОЙ КОРПУС</t>
        </is>
      </c>
      <c r="S53" t="n">
        <v>54</v>
      </c>
      <c r="T53" t="n">
        <v>2</v>
      </c>
      <c r="U53" t="inlineStr"/>
      <c r="V53" t="inlineStr">
        <is>
          <t>Основной тариф без завтрака</t>
        </is>
      </c>
      <c r="W53" t="n">
        <v>28050</v>
      </c>
      <c r="X53" s="3" t="n">
        <v>4950</v>
      </c>
      <c r="Y53" t="inlineStr">
        <is>
          <t>15%</t>
        </is>
      </c>
      <c r="Z53" t="inlineStr">
        <is>
          <t>2026-07-26, 2026-07-27, 2026-07-28</t>
        </is>
      </c>
      <c r="AA53" s="3" t="n">
        <v>28050</v>
      </c>
      <c r="AB53" t="inlineStr">
        <is>
          <t>Сошлось по ночным тарифам</t>
        </is>
      </c>
      <c r="AC53" s="2" t="inlineStr"/>
      <c r="AD53" t="n">
        <v>4950</v>
      </c>
      <c r="AE53" t="n">
        <v>0</v>
      </c>
      <c r="AF53" t="inlineStr">
        <is>
          <t>Скидка добавлена к налоговой базе</t>
        </is>
      </c>
      <c r="AG53" t="n">
        <v>33000</v>
      </c>
      <c r="AH53" t="n">
        <v>28050</v>
      </c>
      <c r="AI53" t="inlineStr">
        <is>
          <t>Полное проживание в выбранном периоде</t>
        </is>
      </c>
    </row>
    <row r="54">
      <c r="A54" t="inlineStr">
        <is>
          <t>20260720-8186-451695475</t>
        </is>
      </c>
      <c r="B54" t="n">
        <v>1</v>
      </c>
      <c r="C54" s="2" t="inlineStr">
        <is>
          <t>АНДРЕЙ МОХНОВ</t>
        </is>
      </c>
      <c r="D54" s="3" t="n">
        <v>14240</v>
      </c>
      <c r="E54" s="4" t="n">
        <v>0</v>
      </c>
      <c r="F54" t="inlineStr">
        <is>
          <t>Прямые бронирования (стойка) [Чайковский]</t>
        </is>
      </c>
      <c r="G54" s="3">
        <f>ROUND(D54/(100-E54)*100,2)</f>
        <v/>
      </c>
      <c r="H54" s="3" t="n">
        <v>0</v>
      </c>
      <c r="I54" s="3">
        <f>ROUND(IF(ISNUMBER(AG54),AG54,G54)+H54,2)</f>
        <v/>
      </c>
      <c r="J54" s="2" t="inlineStr">
        <is>
          <t>Завтрак "Шведский стол"</t>
        </is>
      </c>
      <c r="K54" s="5" t="n">
        <v>46223.58333333334</v>
      </c>
      <c r="L54" t="n">
        <v>1</v>
      </c>
      <c r="M54" s="3">
        <f>I54/L54</f>
        <v/>
      </c>
      <c r="N54">
        <f>IF(M54&gt;=5100,"ставка","мин.ставка")</f>
        <v/>
      </c>
      <c r="O54" s="3">
        <f>ROUND(IF(N54="мин.ставка",L54*100,I54/102*2),2)</f>
        <v/>
      </c>
      <c r="P54" s="5" t="n">
        <v>46224.5</v>
      </c>
      <c r="Q54" t="inlineStr">
        <is>
          <t>TravelLine ресепшен</t>
        </is>
      </c>
      <c r="R54" s="2" t="inlineStr">
        <is>
          <t>ЛЮКС ВТОРОЙ КОРПУС</t>
        </is>
      </c>
      <c r="S54" t="n">
        <v>57</v>
      </c>
      <c r="T54" t="n">
        <v>2</v>
      </c>
      <c r="U54" t="inlineStr"/>
      <c r="V54" t="inlineStr">
        <is>
          <t>Тариф с завтраком</t>
        </is>
      </c>
      <c r="W54" t="n">
        <v>14240</v>
      </c>
      <c r="X54" s="3" t="n">
        <v>3560</v>
      </c>
      <c r="Y54" t="inlineStr">
        <is>
          <t>20%</t>
        </is>
      </c>
      <c r="Z54" t="inlineStr">
        <is>
          <t>2026-07-20</t>
        </is>
      </c>
      <c r="AA54" s="3" t="n">
        <v>14240</v>
      </c>
      <c r="AB54" t="inlineStr">
        <is>
          <t>Сошлось по ночным тарифам</t>
        </is>
      </c>
      <c r="AC54" s="2" t="inlineStr"/>
      <c r="AD54" t="n">
        <v>3560</v>
      </c>
      <c r="AE54" t="n">
        <v>0</v>
      </c>
      <c r="AF54" t="inlineStr">
        <is>
          <t>Скидка добавлена к налоговой базе</t>
        </is>
      </c>
      <c r="AG54" t="n">
        <v>17800</v>
      </c>
      <c r="AH54" t="n">
        <v>14240</v>
      </c>
      <c r="AI54" t="inlineStr">
        <is>
          <t>Полное проживание в выбранном периоде</t>
        </is>
      </c>
    </row>
    <row r="55">
      <c r="A55" t="inlineStr">
        <is>
          <t>20260727-8186-453604137</t>
        </is>
      </c>
      <c r="B55" t="n">
        <v>1</v>
      </c>
      <c r="C55" s="2" t="inlineStr">
        <is>
          <t>Андрей Мохнов</t>
        </is>
      </c>
      <c r="D55" s="3" t="n">
        <v>14240</v>
      </c>
      <c r="E55" s="4" t="n">
        <v>0</v>
      </c>
      <c r="F55" t="inlineStr">
        <is>
          <t>Прямые бронирования (стойка) [Чайковский]</t>
        </is>
      </c>
      <c r="G55" s="3">
        <f>ROUND(D55/(100-E55)*100,2)</f>
        <v/>
      </c>
      <c r="H55" s="3" t="n">
        <v>0</v>
      </c>
      <c r="I55" s="3">
        <f>ROUND(IF(ISNUMBER(AG55),AG55,G55)+H55,2)</f>
        <v/>
      </c>
      <c r="J55" s="2" t="inlineStr">
        <is>
          <t>Завтрак "Шведский стол"</t>
        </is>
      </c>
      <c r="K55" s="5" t="n">
        <v>46230.58333333334</v>
      </c>
      <c r="L55" t="n">
        <v>1</v>
      </c>
      <c r="M55" s="3">
        <f>I55/L55</f>
        <v/>
      </c>
      <c r="N55">
        <f>IF(M55&gt;=5100,"ставка","мин.ставка")</f>
        <v/>
      </c>
      <c r="O55" s="3">
        <f>ROUND(IF(N55="мин.ставка",L55*100,I55/102*2),2)</f>
        <v/>
      </c>
      <c r="P55" s="5" t="n">
        <v>46231.5</v>
      </c>
      <c r="Q55" t="inlineStr">
        <is>
          <t>TravelLine ресепшен</t>
        </is>
      </c>
      <c r="R55" s="2" t="inlineStr">
        <is>
          <t>ЛЮКС ВТОРОЙ КОРПУС</t>
        </is>
      </c>
      <c r="S55" t="n">
        <v>53</v>
      </c>
      <c r="T55" t="n">
        <v>2</v>
      </c>
      <c r="U55" t="inlineStr"/>
      <c r="V55" t="inlineStr">
        <is>
          <t>Тариф с завтраком</t>
        </is>
      </c>
      <c r="W55" t="n">
        <v>14240</v>
      </c>
      <c r="X55" s="3" t="n">
        <v>3560</v>
      </c>
      <c r="Y55" t="inlineStr">
        <is>
          <t>20%</t>
        </is>
      </c>
      <c r="Z55" t="inlineStr">
        <is>
          <t>2026-07-27</t>
        </is>
      </c>
      <c r="AA55" s="3" t="n">
        <v>14240</v>
      </c>
      <c r="AB55" t="inlineStr">
        <is>
          <t>Сошлось по ночным тарифам</t>
        </is>
      </c>
      <c r="AC55" s="2" t="inlineStr"/>
      <c r="AD55" t="n">
        <v>3560</v>
      </c>
      <c r="AE55" t="n">
        <v>0</v>
      </c>
      <c r="AF55" t="inlineStr">
        <is>
          <t>Скидка добавлена к налоговой базе</t>
        </is>
      </c>
      <c r="AG55" t="n">
        <v>17800</v>
      </c>
      <c r="AH55" t="n">
        <v>14240</v>
      </c>
      <c r="AI55" t="inlineStr">
        <is>
          <t>Полное проживание в выбранном периоде</t>
        </is>
      </c>
    </row>
    <row r="56">
      <c r="A56" t="inlineStr">
        <is>
          <t>20260803-8186-454362212</t>
        </is>
      </c>
      <c r="B56" t="n">
        <v>1</v>
      </c>
      <c r="C56" s="2" t="inlineStr">
        <is>
          <t>андрей мохнов</t>
        </is>
      </c>
      <c r="D56" s="3" t="n">
        <v>14240</v>
      </c>
      <c r="E56" s="4" t="n">
        <v>0</v>
      </c>
      <c r="F56" t="inlineStr">
        <is>
          <t>Прямые бронирования (стойка) [Чайковский]</t>
        </is>
      </c>
      <c r="G56" s="3">
        <f>ROUND(D56/(100-E56)*100,2)</f>
        <v/>
      </c>
      <c r="H56" s="3" t="n">
        <v>0</v>
      </c>
      <c r="I56" s="3">
        <f>ROUND(IF(ISNUMBER(AG56),AG56,G56)+H56,2)</f>
        <v/>
      </c>
      <c r="J56" s="2" t="inlineStr">
        <is>
          <t>Завтрак "Шведский стол"</t>
        </is>
      </c>
      <c r="K56" s="5" t="n">
        <v>46237.58333333334</v>
      </c>
      <c r="L56" t="n">
        <v>1</v>
      </c>
      <c r="M56" s="3">
        <f>I56/L56</f>
        <v/>
      </c>
      <c r="N56">
        <f>IF(M56&gt;=5100,"ставка","мин.ставка")</f>
        <v/>
      </c>
      <c r="O56" s="3">
        <f>ROUND(IF(N56="мин.ставка",L56*100,I56/102*2),2)</f>
        <v/>
      </c>
      <c r="P56" s="5" t="n">
        <v>46238.5</v>
      </c>
      <c r="Q56" t="inlineStr">
        <is>
          <t>TravelLine ресепшен</t>
        </is>
      </c>
      <c r="R56" s="2" t="inlineStr">
        <is>
          <t>ЛЮКС ВТОРОЙ КОРПУС</t>
        </is>
      </c>
      <c r="S56" t="n">
        <v>53</v>
      </c>
      <c r="T56" t="n">
        <v>2</v>
      </c>
      <c r="U56" t="inlineStr"/>
      <c r="V56" t="inlineStr">
        <is>
          <t>Тариф с завтраком</t>
        </is>
      </c>
      <c r="W56" t="n">
        <v>14240</v>
      </c>
      <c r="X56" s="3" t="n">
        <v>3560</v>
      </c>
      <c r="Y56" t="inlineStr">
        <is>
          <t>20%</t>
        </is>
      </c>
      <c r="Z56" t="inlineStr">
        <is>
          <t>2026-08-03</t>
        </is>
      </c>
      <c r="AA56" s="3" t="n">
        <v>14240</v>
      </c>
      <c r="AB56" t="inlineStr">
        <is>
          <t>Сошлось по ночным тарифам</t>
        </is>
      </c>
      <c r="AC56" s="2" t="inlineStr"/>
      <c r="AD56" t="n">
        <v>3560</v>
      </c>
      <c r="AE56" t="n">
        <v>0</v>
      </c>
      <c r="AF56" t="inlineStr">
        <is>
          <t>Скидка добавлена к налоговой базе</t>
        </is>
      </c>
      <c r="AG56" t="n">
        <v>17800</v>
      </c>
      <c r="AH56" t="n">
        <v>14240</v>
      </c>
      <c r="AI56" t="inlineStr">
        <is>
          <t>Полное проживание в выбранном периоде</t>
        </is>
      </c>
    </row>
    <row r="57">
      <c r="A57" t="inlineStr">
        <is>
          <t>20260810-8186-457354060</t>
        </is>
      </c>
      <c r="B57" t="n">
        <v>1</v>
      </c>
      <c r="C57" s="2" t="inlineStr">
        <is>
          <t>андрей мохнов</t>
        </is>
      </c>
      <c r="D57" s="3" t="n">
        <v>14240</v>
      </c>
      <c r="E57" s="4" t="n">
        <v>0</v>
      </c>
      <c r="F57" t="inlineStr">
        <is>
          <t>Прямые бронирования (стойка) [Чайковский]</t>
        </is>
      </c>
      <c r="G57" s="3">
        <f>ROUND(D57/(100-E57)*100,2)</f>
        <v/>
      </c>
      <c r="H57" s="3" t="n">
        <v>0</v>
      </c>
      <c r="I57" s="3">
        <f>ROUND(IF(ISNUMBER(AG57),AG57,G57)+H57,2)</f>
        <v/>
      </c>
      <c r="J57" s="2" t="inlineStr">
        <is>
          <t>Завтрак "Шведский стол"</t>
        </is>
      </c>
      <c r="K57" s="5" t="n">
        <v>46244.58333333334</v>
      </c>
      <c r="L57" t="n">
        <v>1</v>
      </c>
      <c r="M57" s="3">
        <f>I57/L57</f>
        <v/>
      </c>
      <c r="N57">
        <f>IF(M57&gt;=5100,"ставка","мин.ставка")</f>
        <v/>
      </c>
      <c r="O57" s="3">
        <f>ROUND(IF(N57="мин.ставка",L57*100,I57/102*2),2)</f>
        <v/>
      </c>
      <c r="P57" s="5" t="n">
        <v>46245.5</v>
      </c>
      <c r="Q57" t="inlineStr">
        <is>
          <t>TravelLine ресепшен</t>
        </is>
      </c>
      <c r="R57" s="2" t="inlineStr">
        <is>
          <t>ЛЮКС ВТОРОЙ КОРПУС</t>
        </is>
      </c>
      <c r="S57" t="n">
        <v>53</v>
      </c>
      <c r="T57" t="n">
        <v>2</v>
      </c>
      <c r="U57" t="inlineStr"/>
      <c r="V57" t="inlineStr">
        <is>
          <t>Тариф с завтраком</t>
        </is>
      </c>
      <c r="W57" t="n">
        <v>14240</v>
      </c>
      <c r="X57" s="3" t="n">
        <v>3560</v>
      </c>
      <c r="Y57" t="inlineStr">
        <is>
          <t>20%</t>
        </is>
      </c>
      <c r="Z57" t="inlineStr">
        <is>
          <t>2026-08-10</t>
        </is>
      </c>
      <c r="AA57" s="3" t="n">
        <v>14240</v>
      </c>
      <c r="AB57" t="inlineStr">
        <is>
          <t>Сошлось по ночным тарифам</t>
        </is>
      </c>
      <c r="AC57" s="2" t="inlineStr"/>
      <c r="AD57" t="n">
        <v>3560</v>
      </c>
      <c r="AE57" t="n">
        <v>0</v>
      </c>
      <c r="AF57" t="inlineStr">
        <is>
          <t>Скидка добавлена к налоговой базе</t>
        </is>
      </c>
      <c r="AG57" t="n">
        <v>17800</v>
      </c>
      <c r="AH57" t="n">
        <v>14240</v>
      </c>
      <c r="AI57" t="inlineStr">
        <is>
          <t>Полное проживание в выбранном периоде</t>
        </is>
      </c>
    </row>
    <row r="58">
      <c r="A58" t="inlineStr">
        <is>
          <t>20260817-8186-459203359</t>
        </is>
      </c>
      <c r="B58" t="n">
        <v>1</v>
      </c>
      <c r="C58" s="2" t="inlineStr">
        <is>
          <t>Андрей Мохнов</t>
        </is>
      </c>
      <c r="D58" s="3" t="n">
        <v>9080</v>
      </c>
      <c r="E58" s="4" t="n">
        <v>0</v>
      </c>
      <c r="F58" t="inlineStr">
        <is>
          <t>Прямые бронирования (стойка) [Чайковский]</t>
        </is>
      </c>
      <c r="G58" s="3">
        <f>ROUND(D58/(100-E58)*100,2)</f>
        <v/>
      </c>
      <c r="H58" s="3" t="n">
        <v>0</v>
      </c>
      <c r="I58" s="3">
        <f>ROUND(IF(ISNUMBER(AG58),AG58,G58)+H58,2)</f>
        <v/>
      </c>
      <c r="J58" s="2" t="inlineStr">
        <is>
          <t>Завтрак "Шведский стол"</t>
        </is>
      </c>
      <c r="K58" s="5" t="n">
        <v>46251.58333333334</v>
      </c>
      <c r="L58" t="n">
        <v>1</v>
      </c>
      <c r="M58" s="3">
        <f>I58/L58</f>
        <v/>
      </c>
      <c r="N58">
        <f>IF(M58&gt;=5100,"ставка","мин.ставка")</f>
        <v/>
      </c>
      <c r="O58" s="3">
        <f>ROUND(IF(N58="мин.ставка",L58*100,I58/102*2),2)</f>
        <v/>
      </c>
      <c r="P58" s="5" t="n">
        <v>46252.5</v>
      </c>
      <c r="Q58" t="inlineStr">
        <is>
          <t>TravelLine ресепшен</t>
        </is>
      </c>
      <c r="R58" s="2" t="inlineStr">
        <is>
          <t>СТАНДАРТНЫЙ ДВУХМЕСТНЫЙ НОМЕР</t>
        </is>
      </c>
      <c r="S58" t="n">
        <v>52</v>
      </c>
      <c r="T58" t="n">
        <v>2</v>
      </c>
      <c r="U58" t="inlineStr"/>
      <c r="V58" t="inlineStr">
        <is>
          <t>Тариф с завтраком</t>
        </is>
      </c>
      <c r="W58" t="n">
        <v>9080</v>
      </c>
      <c r="X58" s="3" t="n">
        <v>2270</v>
      </c>
      <c r="Y58" t="inlineStr">
        <is>
          <t>20%</t>
        </is>
      </c>
      <c r="Z58" t="inlineStr">
        <is>
          <t>2026-08-17</t>
        </is>
      </c>
      <c r="AA58" s="3" t="n">
        <v>9080</v>
      </c>
      <c r="AB58" t="inlineStr">
        <is>
          <t>Сошлось по ночным тарифам</t>
        </is>
      </c>
      <c r="AC58" s="2" t="inlineStr"/>
      <c r="AD58" t="n">
        <v>2270</v>
      </c>
      <c r="AE58" t="n">
        <v>0</v>
      </c>
      <c r="AF58" t="inlineStr">
        <is>
          <t>Скидка добавлена к налоговой базе</t>
        </is>
      </c>
      <c r="AG58" t="n">
        <v>11350</v>
      </c>
      <c r="AH58" t="n">
        <v>9080</v>
      </c>
      <c r="AI58" t="inlineStr">
        <is>
          <t>Полное проживание в выбранном периоде</t>
        </is>
      </c>
    </row>
    <row r="59">
      <c r="A59" t="inlineStr">
        <is>
          <t>20260903-8186-463391238</t>
        </is>
      </c>
      <c r="B59" t="n">
        <v>1</v>
      </c>
      <c r="C59" s="2" t="inlineStr">
        <is>
          <t>андрей мохнов</t>
        </is>
      </c>
      <c r="D59" s="3" t="n">
        <v>14240</v>
      </c>
      <c r="E59" s="4" t="n">
        <v>0</v>
      </c>
      <c r="F59" t="inlineStr">
        <is>
          <t>Прямые бронирования (стойка) [Чайковский]</t>
        </is>
      </c>
      <c r="G59" s="3">
        <f>ROUND(D59/(100-E59)*100,2)</f>
        <v/>
      </c>
      <c r="H59" s="3" t="n">
        <v>0</v>
      </c>
      <c r="I59" s="3">
        <f>ROUND(IF(ISNUMBER(AG59),AG59,G59)+H59,2)</f>
        <v/>
      </c>
      <c r="J59" s="2" t="inlineStr">
        <is>
          <t>Завтрак "Шведский стол"</t>
        </is>
      </c>
      <c r="K59" s="5" t="n">
        <v>46268.58333333334</v>
      </c>
      <c r="L59" t="n">
        <v>1</v>
      </c>
      <c r="M59" s="3">
        <f>I59/L59</f>
        <v/>
      </c>
      <c r="N59">
        <f>IF(M59&gt;=5100,"ставка","мин.ставка")</f>
        <v/>
      </c>
      <c r="O59" s="3">
        <f>ROUND(IF(N59="мин.ставка",L59*100,I59/102*2),2)</f>
        <v/>
      </c>
      <c r="P59" s="5" t="n">
        <v>46269.5</v>
      </c>
      <c r="Q59" t="inlineStr">
        <is>
          <t>TravelLine ресепшен</t>
        </is>
      </c>
      <c r="R59" s="2" t="inlineStr">
        <is>
          <t>ЛЮКС ВТОРОЙ КОРПУС</t>
        </is>
      </c>
      <c r="S59" t="n">
        <v>53</v>
      </c>
      <c r="T59" t="n">
        <v>2</v>
      </c>
      <c r="U59" t="inlineStr"/>
      <c r="V59" t="inlineStr">
        <is>
          <t>Тариф с завтраком</t>
        </is>
      </c>
      <c r="W59" t="n">
        <v>14240</v>
      </c>
      <c r="X59" s="3" t="n">
        <v>3560</v>
      </c>
      <c r="Y59" t="inlineStr">
        <is>
          <t>20%</t>
        </is>
      </c>
      <c r="Z59" t="inlineStr">
        <is>
          <t>2026-09-03</t>
        </is>
      </c>
      <c r="AA59" s="3" t="n">
        <v>14240</v>
      </c>
      <c r="AB59" t="inlineStr">
        <is>
          <t>Сошлось по ночным тарифам</t>
        </is>
      </c>
      <c r="AC59" s="2" t="inlineStr"/>
      <c r="AD59" t="n">
        <v>3560</v>
      </c>
      <c r="AE59" t="n">
        <v>0</v>
      </c>
      <c r="AF59" t="inlineStr">
        <is>
          <t>Скидка добавлена к налоговой базе</t>
        </is>
      </c>
      <c r="AG59" t="n">
        <v>17800</v>
      </c>
      <c r="AH59" t="n">
        <v>14240</v>
      </c>
      <c r="AI59" t="inlineStr">
        <is>
          <t>Полное проживание в выбранном периоде</t>
        </is>
      </c>
    </row>
    <row r="60">
      <c r="A60" t="inlineStr">
        <is>
          <t>20260907-8186-464277168</t>
        </is>
      </c>
      <c r="B60" t="n">
        <v>1</v>
      </c>
      <c r="C60" s="2" t="inlineStr">
        <is>
          <t>андрей мохнов</t>
        </is>
      </c>
      <c r="D60" s="3" t="n">
        <v>14240</v>
      </c>
      <c r="E60" s="4" t="n">
        <v>0</v>
      </c>
      <c r="F60" t="inlineStr">
        <is>
          <t>Прямые бронирования (стойка) [Чайковский]</t>
        </is>
      </c>
      <c r="G60" s="3">
        <f>ROUND(D60/(100-E60)*100,2)</f>
        <v/>
      </c>
      <c r="H60" s="3" t="n">
        <v>0</v>
      </c>
      <c r="I60" s="3">
        <f>ROUND(IF(ISNUMBER(AG60),AG60,G60)+H60,2)</f>
        <v/>
      </c>
      <c r="J60" s="2" t="inlineStr">
        <is>
          <t>Завтрак "Шведский стол"</t>
        </is>
      </c>
      <c r="K60" s="5" t="n">
        <v>46272.58333333334</v>
      </c>
      <c r="L60" t="n">
        <v>1</v>
      </c>
      <c r="M60" s="3">
        <f>I60/L60</f>
        <v/>
      </c>
      <c r="N60">
        <f>IF(M60&gt;=5100,"ставка","мин.ставка")</f>
        <v/>
      </c>
      <c r="O60" s="3">
        <f>ROUND(IF(N60="мин.ставка",L60*100,I60/102*2),2)</f>
        <v/>
      </c>
      <c r="P60" s="5" t="n">
        <v>46273.5</v>
      </c>
      <c r="Q60" t="inlineStr">
        <is>
          <t>TravelLine ресепшен</t>
        </is>
      </c>
      <c r="R60" s="2" t="inlineStr">
        <is>
          <t>ЛЮКС ВТОРОЙ КОРПУС</t>
        </is>
      </c>
      <c r="S60" t="n">
        <v>53</v>
      </c>
      <c r="T60" t="n">
        <v>2</v>
      </c>
      <c r="U60" t="inlineStr"/>
      <c r="V60" t="inlineStr">
        <is>
          <t>Тариф с завтраком</t>
        </is>
      </c>
      <c r="W60" t="n">
        <v>14240</v>
      </c>
      <c r="X60" s="3" t="n">
        <v>3560</v>
      </c>
      <c r="Y60" t="inlineStr">
        <is>
          <t>20%</t>
        </is>
      </c>
      <c r="Z60" t="inlineStr">
        <is>
          <t>2026-09-07</t>
        </is>
      </c>
      <c r="AA60" s="3" t="n">
        <v>14240</v>
      </c>
      <c r="AB60" t="inlineStr">
        <is>
          <t>Сошлось по ночным тарифам</t>
        </is>
      </c>
      <c r="AC60" s="2" t="inlineStr"/>
      <c r="AD60" t="n">
        <v>3560</v>
      </c>
      <c r="AE60" t="n">
        <v>0</v>
      </c>
      <c r="AF60" t="inlineStr">
        <is>
          <t>Скидка добавлена к налоговой базе</t>
        </is>
      </c>
      <c r="AG60" t="n">
        <v>17800</v>
      </c>
      <c r="AH60" t="n">
        <v>14240</v>
      </c>
      <c r="AI60" t="inlineStr">
        <is>
          <t>Полное проживание в выбранном периоде</t>
        </is>
      </c>
    </row>
    <row r="61">
      <c r="A61" t="inlineStr">
        <is>
          <t>20260914-8186-465856722</t>
        </is>
      </c>
      <c r="B61" t="n">
        <v>1</v>
      </c>
      <c r="C61" s="2" t="inlineStr">
        <is>
          <t>Андрей МОХНОВ</t>
        </is>
      </c>
      <c r="D61" s="3" t="n">
        <v>9960</v>
      </c>
      <c r="E61" s="4" t="n">
        <v>0</v>
      </c>
      <c r="F61" t="inlineStr">
        <is>
          <t>Прямые бронирования (стойка) [Чайковский]</t>
        </is>
      </c>
      <c r="G61" s="3">
        <f>ROUND(D61/(100-E61)*100,2)</f>
        <v/>
      </c>
      <c r="H61" s="3" t="n">
        <v>0</v>
      </c>
      <c r="I61" s="3">
        <f>ROUND(IF(ISNUMBER(AG61),AG61,G61)+H61,2)</f>
        <v/>
      </c>
      <c r="J61" s="2" t="inlineStr">
        <is>
          <t>Завтрак "Шведский стол"</t>
        </is>
      </c>
      <c r="K61" s="5" t="n">
        <v>46279.58333333334</v>
      </c>
      <c r="L61" t="n">
        <v>1</v>
      </c>
      <c r="M61" s="3">
        <f>I61/L61</f>
        <v/>
      </c>
      <c r="N61">
        <f>IF(M61&gt;=5100,"ставка","мин.ставка")</f>
        <v/>
      </c>
      <c r="O61" s="3">
        <f>ROUND(IF(N61="мин.ставка",L61*100,I61/102*2),2)</f>
        <v/>
      </c>
      <c r="P61" s="5" t="n">
        <v>46280.5</v>
      </c>
      <c r="Q61" t="inlineStr">
        <is>
          <t>TravelLine ресепшен</t>
        </is>
      </c>
      <c r="R61" s="2" t="inlineStr">
        <is>
          <t>СЕМЕЙНЫЙ НОМЕР КАТЕГОРИИ "СТАНДАРТ" ВТОРОЙ КОРПУС</t>
        </is>
      </c>
      <c r="S61" t="n">
        <v>51</v>
      </c>
      <c r="T61" t="n">
        <v>2</v>
      </c>
      <c r="U61" t="inlineStr"/>
      <c r="V61" t="inlineStr">
        <is>
          <t>Тариф с завтраком</t>
        </is>
      </c>
      <c r="W61" t="n">
        <v>9960</v>
      </c>
      <c r="X61" s="3" t="n">
        <v>2490</v>
      </c>
      <c r="Y61" t="inlineStr">
        <is>
          <t>20%</t>
        </is>
      </c>
      <c r="Z61" t="inlineStr">
        <is>
          <t>2026-09-14</t>
        </is>
      </c>
      <c r="AA61" s="3" t="n">
        <v>9960</v>
      </c>
      <c r="AB61" t="inlineStr">
        <is>
          <t>Сошлось по ночным тарифам</t>
        </is>
      </c>
      <c r="AC61" s="2" t="inlineStr"/>
      <c r="AD61" t="n">
        <v>2490</v>
      </c>
      <c r="AE61" t="n">
        <v>0</v>
      </c>
      <c r="AF61" t="inlineStr">
        <is>
          <t>Скидка добавлена к налоговой базе</t>
        </is>
      </c>
      <c r="AG61" t="n">
        <v>12450</v>
      </c>
      <c r="AH61" t="n">
        <v>9960</v>
      </c>
      <c r="AI61" t="inlineStr">
        <is>
          <t>Полное проживание в выбранном периоде</t>
        </is>
      </c>
    </row>
    <row r="62">
      <c r="A62" t="inlineStr">
        <is>
          <t>20260713-8186-448221235</t>
        </is>
      </c>
      <c r="B62" t="n">
        <v>1</v>
      </c>
      <c r="C62" s="2" t="inlineStr">
        <is>
          <t>Андрей Оклеев</t>
        </is>
      </c>
      <c r="D62" s="3" t="n">
        <v>45400</v>
      </c>
      <c r="E62" s="4" t="n">
        <v>4</v>
      </c>
      <c r="F62" t="inlineStr">
        <is>
          <t>TravelLine Booking Engine [Чайковский]</t>
        </is>
      </c>
      <c r="G62" s="3">
        <f>ROUND(D62/(100-E62)*100,2)</f>
        <v/>
      </c>
      <c r="H62" s="3" t="n">
        <v>0</v>
      </c>
      <c r="I62" s="3">
        <f>ROUND(IF(ISNUMBER(AG62),AG62,G62)+H62,2)</f>
        <v/>
      </c>
      <c r="J62" s="2" t="inlineStr">
        <is>
          <t>Завтрак "Шведский стол"</t>
        </is>
      </c>
      <c r="K62" s="5" t="n">
        <v>46216.58333333334</v>
      </c>
      <c r="L62" t="n">
        <v>4</v>
      </c>
      <c r="M62" s="3">
        <f>I62/L62</f>
        <v/>
      </c>
      <c r="N62">
        <f>IF(M62&gt;=5100,"ставка","мин.ставка")</f>
        <v/>
      </c>
      <c r="O62" s="3">
        <f>ROUND(IF(N62="мин.ставка",L62*100,I62/102*2),2)</f>
        <v/>
      </c>
      <c r="P62" s="5" t="n">
        <v>46220.5</v>
      </c>
      <c r="Q62" t="inlineStr">
        <is>
          <t>TravelLine сайт</t>
        </is>
      </c>
      <c r="R62" s="2" t="inlineStr">
        <is>
          <t>СТАНДАРТНЫЙ ДВУХМЕСТНЫЙ НОМЕР</t>
        </is>
      </c>
      <c r="S62" t="n">
        <v>58</v>
      </c>
      <c r="T62" t="n">
        <v>2</v>
      </c>
      <c r="U62" t="inlineStr"/>
      <c r="V62" t="inlineStr">
        <is>
          <t>Тариф с завтраком</t>
        </is>
      </c>
      <c r="W62" t="n">
        <v>90800</v>
      </c>
      <c r="X62" s="3" t="n">
        <v>0</v>
      </c>
      <c r="Y62" t="inlineStr"/>
      <c r="Z62" t="inlineStr"/>
      <c r="AA62" s="3" t="n">
        <v>45400</v>
      </c>
      <c r="AB62" t="inlineStr">
        <is>
          <t>Сошлось по ночным тарифам</t>
        </is>
      </c>
      <c r="AC62" s="2" t="inlineStr"/>
      <c r="AD62" t="n">
        <v>0</v>
      </c>
      <c r="AE62" t="n">
        <v>0</v>
      </c>
      <c r="AF62" t="inlineStr">
        <is>
          <t>Скидки нет</t>
        </is>
      </c>
      <c r="AG62" t="n">
        <v>45400</v>
      </c>
      <c r="AH62" t="n">
        <v>45400</v>
      </c>
      <c r="AI62" t="inlineStr">
        <is>
          <t>Полное проживание в выбранном периоде</t>
        </is>
      </c>
    </row>
    <row r="63">
      <c r="A63" t="inlineStr">
        <is>
          <t>20260818-8186-443505889</t>
        </is>
      </c>
      <c r="B63" t="n">
        <v>1</v>
      </c>
      <c r="C63" s="2" t="inlineStr">
        <is>
          <t>Андрей Федотов, Светлана Федотова</t>
        </is>
      </c>
      <c r="D63" s="3" t="n">
        <v>54480</v>
      </c>
      <c r="E63" s="4" t="n">
        <v>18</v>
      </c>
      <c r="F63" t="inlineStr">
        <is>
          <t>Яндекс.Путешествия [Чайковский]</t>
        </is>
      </c>
      <c r="G63" s="3">
        <f>ROUND(D63/(100-E63)*100,2)</f>
        <v/>
      </c>
      <c r="H63" s="3" t="n">
        <v>0</v>
      </c>
      <c r="I63" s="3">
        <f>ROUND(IF(ISNUMBER(AG63),AG63,G63)+H63,2)</f>
        <v/>
      </c>
      <c r="J63" s="2" t="inlineStr">
        <is>
          <t>Завтрак "Шведский стол"</t>
        </is>
      </c>
      <c r="K63" s="5" t="n">
        <v>46252.58333333334</v>
      </c>
      <c r="L63" t="n">
        <v>6</v>
      </c>
      <c r="M63" s="3">
        <f>I63/L63</f>
        <v/>
      </c>
      <c r="N63">
        <f>IF(M63&gt;=5100,"ставка","мин.ставка")</f>
        <v/>
      </c>
      <c r="O63" s="3">
        <f>ROUND(IF(N63="мин.ставка",L63*100,I63/102*2),2)</f>
        <v/>
      </c>
      <c r="P63" s="5" t="n">
        <v>46258.5</v>
      </c>
      <c r="Q63" t="inlineStr">
        <is>
          <t>TravelLine YAX</t>
        </is>
      </c>
      <c r="R63" s="2" t="inlineStr">
        <is>
          <t>СТАНДАРТНЫЙ ДВУХМЕСТНЫЙ НОМЕР</t>
        </is>
      </c>
      <c r="S63" t="n">
        <v>55</v>
      </c>
      <c r="T63" t="n">
        <v>2</v>
      </c>
      <c r="U63" t="inlineStr"/>
      <c r="V63" t="inlineStr">
        <is>
          <t>Тариф с завтраком</t>
        </is>
      </c>
      <c r="W63" t="n">
        <v>118560</v>
      </c>
      <c r="X63" s="3" t="n">
        <v>13620</v>
      </c>
      <c r="Y63" t="inlineStr">
        <is>
          <t>20%</t>
        </is>
      </c>
      <c r="Z63" t="inlineStr">
        <is>
          <t>2026-08-18, 2026-08-19, 2026-08-20, 2026-08-21, 2026-08-22, 2026-08-23</t>
        </is>
      </c>
      <c r="AA63" s="3" t="n">
        <v>54480</v>
      </c>
      <c r="AB63" t="inlineStr">
        <is>
          <t>Сошлось по ночным тарифам</t>
        </is>
      </c>
      <c r="AC63" s="2" t="inlineStr"/>
      <c r="AD63" t="n">
        <v>13620</v>
      </c>
      <c r="AE63" t="n">
        <v>0</v>
      </c>
      <c r="AF63" t="inlineStr">
        <is>
          <t>Скидка добавлена к налоговой базе</t>
        </is>
      </c>
      <c r="AG63" t="n">
        <v>68100</v>
      </c>
      <c r="AH63" t="n">
        <v>54480</v>
      </c>
      <c r="AI63" t="inlineStr">
        <is>
          <t>Полное проживание в выбранном периоде</t>
        </is>
      </c>
    </row>
    <row r="64">
      <c r="A64" t="inlineStr">
        <is>
          <t>20260822-8186-448832829</t>
        </is>
      </c>
      <c r="B64" t="n">
        <v>1</v>
      </c>
      <c r="C64" s="2" t="inlineStr">
        <is>
          <t>Андрей Федянин, ОЛЬГА МИРОНЮК</t>
        </is>
      </c>
      <c r="D64" s="3" t="n">
        <v>88448.2</v>
      </c>
      <c r="E64" s="4" t="n">
        <v>4</v>
      </c>
      <c r="F64" t="inlineStr">
        <is>
          <t>TravelLine Booking Engine [Чайковский]</t>
        </is>
      </c>
      <c r="G64" s="3">
        <f>ROUND(D64/(100-E64)*100,2)</f>
        <v/>
      </c>
      <c r="H64" s="3" t="n">
        <v>0</v>
      </c>
      <c r="I64" s="3">
        <f>ROUND(IF(ISNUMBER(AG64),AG64,G64)+H64,2)</f>
        <v/>
      </c>
      <c r="J64" s="2" t="inlineStr">
        <is>
          <t>Завтрак "Шведский стол"</t>
        </is>
      </c>
      <c r="K64" s="5" t="n">
        <v>46256.58333333334</v>
      </c>
      <c r="L64" t="n">
        <v>5</v>
      </c>
      <c r="M64" s="3">
        <f>I64/L64</f>
        <v/>
      </c>
      <c r="N64">
        <f>IF(M64&gt;=5100,"ставка","мин.ставка")</f>
        <v/>
      </c>
      <c r="O64" s="3">
        <f>ROUND(IF(N64="мин.ставка",L64*100,I64/102*2),2)</f>
        <v/>
      </c>
      <c r="P64" s="5" t="n">
        <v>46261.5</v>
      </c>
      <c r="Q64" t="inlineStr">
        <is>
          <t>TravelLine сайт</t>
        </is>
      </c>
      <c r="R64" s="2" t="inlineStr">
        <is>
          <t>ЛЮКС ВТОРОЙ КОРПУС</t>
        </is>
      </c>
      <c r="S64" t="n">
        <v>54</v>
      </c>
      <c r="T64" t="n">
        <v>2</v>
      </c>
      <c r="U64" t="inlineStr"/>
      <c r="V64" t="inlineStr">
        <is>
          <t>Тариф с завтраком</t>
        </is>
      </c>
      <c r="W64" t="n">
        <v>88448.2</v>
      </c>
      <c r="X64" s="3" t="n">
        <v>551.8</v>
      </c>
      <c r="Y64" t="inlineStr">
        <is>
          <t>3.1%</t>
        </is>
      </c>
      <c r="Z64" t="inlineStr">
        <is>
          <t>2026-08-22</t>
        </is>
      </c>
      <c r="AA64" s="3" t="n">
        <v>88448.2</v>
      </c>
      <c r="AB64" t="inlineStr">
        <is>
          <t>Сошлось по ночным тарифам</t>
        </is>
      </c>
      <c r="AC64" s="2" t="inlineStr"/>
      <c r="AD64" t="n">
        <v>551.8</v>
      </c>
      <c r="AE64" t="n">
        <v>0</v>
      </c>
      <c r="AF64" t="inlineStr">
        <is>
          <t>Скидка добавлена к налоговой базе</t>
        </is>
      </c>
      <c r="AG64" t="n">
        <v>89000</v>
      </c>
      <c r="AH64" t="n">
        <v>88448.2</v>
      </c>
      <c r="AI64" t="inlineStr">
        <is>
          <t>Полное проживание в выбранном периоде</t>
        </is>
      </c>
    </row>
    <row r="65">
      <c r="A65" t="inlineStr">
        <is>
          <t>20260916-8186-466291736</t>
        </is>
      </c>
      <c r="B65" t="n">
        <v>1</v>
      </c>
      <c r="C65" s="2" t="inlineStr">
        <is>
          <t>Андрей Феоктистов</t>
        </is>
      </c>
      <c r="D65" s="3" t="n">
        <v>12312.5</v>
      </c>
      <c r="E65" s="4" t="n">
        <v>4</v>
      </c>
      <c r="F65" t="inlineStr">
        <is>
          <t>TravelLine Booking Engine [Чайковский]</t>
        </is>
      </c>
      <c r="G65" s="3">
        <f>ROUND(D65/(100-E65)*100,2)</f>
        <v/>
      </c>
      <c r="H65" s="3" t="n">
        <v>0</v>
      </c>
      <c r="I65" s="3">
        <f>ROUND(IF(ISNUMBER(AG65),AG65,G65)+H65,2)</f>
        <v/>
      </c>
      <c r="J65" s="2" t="inlineStr"/>
      <c r="K65" s="5" t="n">
        <v>46281.58333333334</v>
      </c>
      <c r="L65" t="n">
        <v>1</v>
      </c>
      <c r="M65" s="3">
        <f>I65/L65</f>
        <v/>
      </c>
      <c r="N65">
        <f>IF(M65&gt;=5100,"ставка","мин.ставка")</f>
        <v/>
      </c>
      <c r="O65" s="3">
        <f>ROUND(IF(N65="мин.ставка",L65*100,I65/102*2),2)</f>
        <v/>
      </c>
      <c r="P65" s="5" t="n">
        <v>46282.5</v>
      </c>
      <c r="Q65" t="inlineStr">
        <is>
          <t>TravelLine сайт</t>
        </is>
      </c>
      <c r="R65" s="2" t="inlineStr">
        <is>
          <t>ЛЮКС ВТОРОЙ КОРПУС</t>
        </is>
      </c>
      <c r="S65" t="n">
        <v>54</v>
      </c>
      <c r="T65" t="n">
        <v>2</v>
      </c>
      <c r="U65" t="inlineStr"/>
      <c r="V65" t="inlineStr">
        <is>
          <t>Основной тариф без завтрака</t>
        </is>
      </c>
      <c r="W65" t="n">
        <v>12312.5</v>
      </c>
      <c r="X65" s="3" t="n">
        <v>187.5</v>
      </c>
      <c r="Y65" t="inlineStr">
        <is>
          <t>1.5%</t>
        </is>
      </c>
      <c r="Z65" t="inlineStr">
        <is>
          <t>2026-09-16</t>
        </is>
      </c>
      <c r="AA65" s="3" t="n">
        <v>12312.5</v>
      </c>
      <c r="AB65" t="inlineStr">
        <is>
          <t>Сошлось по ночным тарифам</t>
        </is>
      </c>
      <c r="AC65" s="2" t="inlineStr"/>
      <c r="AD65" t="n">
        <v>187.5</v>
      </c>
      <c r="AE65" t="n">
        <v>0</v>
      </c>
      <c r="AF65" t="inlineStr">
        <is>
          <t>Скидка добавлена к налоговой базе</t>
        </is>
      </c>
      <c r="AG65" t="n">
        <v>12500</v>
      </c>
      <c r="AH65" t="n">
        <v>12312.5</v>
      </c>
      <c r="AI65" t="inlineStr">
        <is>
          <t>Полное проживание в выбранном периоде</t>
        </is>
      </c>
    </row>
    <row r="66">
      <c r="A66" t="inlineStr">
        <is>
          <t>20260919-8186-466617844</t>
        </is>
      </c>
      <c r="B66" t="n">
        <v>1</v>
      </c>
      <c r="C66" s="2" t="inlineStr">
        <is>
          <t>Андриан Куликов</t>
        </is>
      </c>
      <c r="D66" s="3" t="n">
        <v>11122</v>
      </c>
      <c r="E66" s="4" t="n">
        <v>17</v>
      </c>
      <c r="F66" t="inlineStr">
        <is>
          <t>ООО «Интернет Трэвел» (OZON) [Чайковский]</t>
        </is>
      </c>
      <c r="G66" s="3">
        <f>ROUND(D66/(100-E66)*100,2)</f>
        <v/>
      </c>
      <c r="H66" s="3" t="n">
        <v>0</v>
      </c>
      <c r="I66" s="3">
        <f>ROUND(IF(ISNUMBER(AG66),AG66,G66)+H66,2)</f>
        <v/>
      </c>
      <c r="J66" s="2" t="inlineStr">
        <is>
          <t>Завтрак "Шведский стол"</t>
        </is>
      </c>
      <c r="K66" s="5" t="n">
        <v>46284.58333333334</v>
      </c>
      <c r="L66" t="n">
        <v>1</v>
      </c>
      <c r="M66" s="3">
        <f>I66/L66</f>
        <v/>
      </c>
      <c r="N66">
        <f>IF(M66&gt;=5100,"ставка","мин.ставка")</f>
        <v/>
      </c>
      <c r="O66" s="3">
        <f>ROUND(IF(N66="мин.ставка",L66*100,I66/102*2),2)</f>
        <v/>
      </c>
      <c r="P66" s="5" t="n">
        <v>46285.5</v>
      </c>
      <c r="Q66" t="inlineStr">
        <is>
          <t>TravelLine OZ2</t>
        </is>
      </c>
      <c r="R66" s="2" t="inlineStr">
        <is>
          <t>УЛУЧШЕННЫЙ ДВУХМЕСТНЫЙ НОМЕР</t>
        </is>
      </c>
      <c r="S66" t="n">
        <v>59</v>
      </c>
      <c r="T66" t="n">
        <v>2</v>
      </c>
      <c r="U66" t="inlineStr"/>
      <c r="V66" t="inlineStr">
        <is>
          <t>Тариф с завтраком</t>
        </is>
      </c>
      <c r="W66" t="n">
        <v>11122</v>
      </c>
      <c r="X66" s="3" t="n">
        <v>2278</v>
      </c>
      <c r="Y66" t="inlineStr">
        <is>
          <t>17%</t>
        </is>
      </c>
      <c r="Z66" t="inlineStr">
        <is>
          <t>2026-09-19</t>
        </is>
      </c>
      <c r="AA66" s="3" t="n">
        <v>11122</v>
      </c>
      <c r="AB66" t="inlineStr">
        <is>
          <t>Сошлось по ночным тарифам</t>
        </is>
      </c>
      <c r="AC66" s="2" t="inlineStr"/>
      <c r="AD66" t="n">
        <v>2278</v>
      </c>
      <c r="AE66" t="n">
        <v>0</v>
      </c>
      <c r="AF66" t="inlineStr">
        <is>
          <t>Скидка добавлена к налоговой базе</t>
        </is>
      </c>
      <c r="AG66" t="n">
        <v>13400</v>
      </c>
      <c r="AH66" t="n">
        <v>11122</v>
      </c>
      <c r="AI66" t="inlineStr">
        <is>
          <t>Полное проживание в выбранном периоде</t>
        </is>
      </c>
    </row>
    <row r="67">
      <c r="A67" t="inlineStr">
        <is>
          <t>20260710-8186-443768768</t>
        </is>
      </c>
      <c r="B67" t="n">
        <v>1</v>
      </c>
      <c r="C67" s="2" t="inlineStr">
        <is>
          <t>Анна Волхонская, Алиса Ситало</t>
        </is>
      </c>
      <c r="D67" s="3" t="n">
        <v>35048.2</v>
      </c>
      <c r="E67" s="4" t="n">
        <v>4</v>
      </c>
      <c r="F67" t="inlineStr">
        <is>
          <t>TravelLine Booking Engine [Чайковский]</t>
        </is>
      </c>
      <c r="G67" s="3">
        <f>ROUND(D67/(100-E67)*100,2)</f>
        <v/>
      </c>
      <c r="H67" s="3" t="n">
        <v>0</v>
      </c>
      <c r="I67" s="3">
        <f>ROUND(IF(ISNUMBER(AG67),AG67,G67)+H67,2)</f>
        <v/>
      </c>
      <c r="J67" s="2" t="inlineStr">
        <is>
          <t>Завтрак "Шведский стол"</t>
        </is>
      </c>
      <c r="K67" s="5" t="n">
        <v>46213.58333333334</v>
      </c>
      <c r="L67" t="n">
        <v>2</v>
      </c>
      <c r="M67" s="3">
        <f>I67/L67</f>
        <v/>
      </c>
      <c r="N67">
        <f>IF(M67&gt;=5100,"ставка","мин.ставка")</f>
        <v/>
      </c>
      <c r="O67" s="3">
        <f>ROUND(IF(N67="мин.ставка",L67*100,I67/102*2),2)</f>
        <v/>
      </c>
      <c r="P67" s="5" t="n">
        <v>46215.5</v>
      </c>
      <c r="Q67" t="inlineStr">
        <is>
          <t>TravelLine сайт</t>
        </is>
      </c>
      <c r="R67" s="2" t="inlineStr">
        <is>
          <t>ЛЮКС ВТОРОЙ КОРПУС</t>
        </is>
      </c>
      <c r="S67" t="n">
        <v>53</v>
      </c>
      <c r="T67" t="n">
        <v>2</v>
      </c>
      <c r="U67" t="inlineStr"/>
      <c r="V67" t="inlineStr">
        <is>
          <t>Тариф с завтраком</t>
        </is>
      </c>
      <c r="W67" t="n">
        <v>35048.2</v>
      </c>
      <c r="X67" s="3" t="n">
        <v>551.8</v>
      </c>
      <c r="Y67" t="inlineStr">
        <is>
          <t>3.1%</t>
        </is>
      </c>
      <c r="Z67" t="inlineStr">
        <is>
          <t>2026-07-10</t>
        </is>
      </c>
      <c r="AA67" s="3" t="n">
        <v>35048.2</v>
      </c>
      <c r="AB67" t="inlineStr">
        <is>
          <t>Сошлось по ночным тарифам</t>
        </is>
      </c>
      <c r="AC67" s="2" t="inlineStr"/>
      <c r="AD67" t="n">
        <v>551.8</v>
      </c>
      <c r="AE67" t="n">
        <v>0</v>
      </c>
      <c r="AF67" t="inlineStr">
        <is>
          <t>Скидка добавлена к налоговой базе</t>
        </is>
      </c>
      <c r="AG67" t="n">
        <v>35600</v>
      </c>
      <c r="AH67" t="n">
        <v>35048.2</v>
      </c>
      <c r="AI67" t="inlineStr">
        <is>
          <t>Полное проживание в выбранном периоде</t>
        </is>
      </c>
    </row>
    <row r="68">
      <c r="A68" t="inlineStr">
        <is>
          <t>20260826-8186-461070085</t>
        </is>
      </c>
      <c r="B68" t="n">
        <v>1</v>
      </c>
      <c r="C68" s="2" t="inlineStr">
        <is>
          <t>АННА ДЕМИДОВА</t>
        </is>
      </c>
      <c r="D68" s="3" t="n">
        <v>28942.5</v>
      </c>
      <c r="E68" s="4" t="n">
        <v>15</v>
      </c>
      <c r="F68" t="inlineStr">
        <is>
          <t>ООО "АКАДЕМ-ОНЛАЙН" [Чайковский]</t>
        </is>
      </c>
      <c r="G68" s="3">
        <f>ROUND(D68/(100-E68)*100,2)</f>
        <v/>
      </c>
      <c r="H68" s="3" t="n">
        <v>0</v>
      </c>
      <c r="I68" s="3">
        <f>ROUND(IF(ISNUMBER(AG68),AG68,G68)+H68,2)</f>
        <v/>
      </c>
      <c r="J68" s="2" t="inlineStr">
        <is>
          <t>Завтрак "Шведский стол"</t>
        </is>
      </c>
      <c r="K68" s="5" t="n">
        <v>46260.58333333334</v>
      </c>
      <c r="L68" t="n">
        <v>3</v>
      </c>
      <c r="M68" s="3">
        <f>I68/L68</f>
        <v/>
      </c>
      <c r="N68">
        <f>IF(M68&gt;=5100,"ставка","мин.ставка")</f>
        <v/>
      </c>
      <c r="O68" s="3">
        <f>ROUND(IF(N68="мин.ставка",L68*100,I68/102*2),2)</f>
        <v/>
      </c>
      <c r="P68" s="5" t="n">
        <v>46263.5</v>
      </c>
      <c r="Q68" t="inlineStr">
        <is>
          <t>TravelLine ACS</t>
        </is>
      </c>
      <c r="R68" s="2" t="inlineStr">
        <is>
          <t>СТАНДАРТНЫЙ ДВУХМЕСТНЫЙ НОМЕР</t>
        </is>
      </c>
      <c r="S68" t="n">
        <v>58</v>
      </c>
      <c r="T68" t="n">
        <v>2</v>
      </c>
      <c r="U68" t="inlineStr"/>
      <c r="V68" t="inlineStr">
        <is>
          <t>Тариф с завтраком</t>
        </is>
      </c>
      <c r="W68" t="n">
        <v>28942.5</v>
      </c>
      <c r="X68" s="3" t="n">
        <v>5107.5</v>
      </c>
      <c r="Y68" t="inlineStr">
        <is>
          <t>15%</t>
        </is>
      </c>
      <c r="Z68" t="inlineStr">
        <is>
          <t>2026-08-26, 2026-08-27, 2026-08-28</t>
        </is>
      </c>
      <c r="AA68" s="3" t="n">
        <v>28942.5</v>
      </c>
      <c r="AB68" t="inlineStr">
        <is>
          <t>Сошлось по ночным тарифам</t>
        </is>
      </c>
      <c r="AC68" s="2" t="inlineStr"/>
      <c r="AD68" t="n">
        <v>5107.5</v>
      </c>
      <c r="AE68" t="n">
        <v>0</v>
      </c>
      <c r="AF68" t="inlineStr">
        <is>
          <t>Скидка добавлена к налоговой базе</t>
        </is>
      </c>
      <c r="AG68" t="n">
        <v>34050</v>
      </c>
      <c r="AH68" t="n">
        <v>28942.5</v>
      </c>
      <c r="AI68" t="inlineStr">
        <is>
          <t>Полное проживание в выбранном периоде</t>
        </is>
      </c>
    </row>
    <row r="69">
      <c r="A69" t="inlineStr">
        <is>
          <t>20260711-8186-449029236</t>
        </is>
      </c>
      <c r="B69" t="n">
        <v>1</v>
      </c>
      <c r="C69" s="2" t="inlineStr">
        <is>
          <t>Анна Иохим</t>
        </is>
      </c>
      <c r="D69" s="3" t="n">
        <v>14085.5</v>
      </c>
      <c r="E69" s="4" t="n">
        <v>4</v>
      </c>
      <c r="F69" t="inlineStr">
        <is>
          <t>TravelLine Booking Engine [Чайковский]</t>
        </is>
      </c>
      <c r="G69" s="3">
        <f>ROUND(D69/(100-E69)*100,2)</f>
        <v/>
      </c>
      <c r="H69" s="3" t="n">
        <v>500</v>
      </c>
      <c r="I69" s="3">
        <f>ROUND(IF(ISNUMBER(AG69),AG69,G69)+H69,2)</f>
        <v/>
      </c>
      <c r="J69" s="2" t="inlineStr">
        <is>
          <t>продление номера — 500,00 ₽</t>
        </is>
      </c>
      <c r="K69" s="5" t="n">
        <v>46214.58333333334</v>
      </c>
      <c r="L69" t="n">
        <v>1</v>
      </c>
      <c r="M69" s="3">
        <f>I69/L69</f>
        <v/>
      </c>
      <c r="N69">
        <f>IF(M69&gt;=5100,"ставка","мин.ставка")</f>
        <v/>
      </c>
      <c r="O69" s="3">
        <f>ROUND(IF(N69="мин.ставка",L69*100,I69/102*2),2)</f>
        <v/>
      </c>
      <c r="P69" s="5" t="n">
        <v>46215.5</v>
      </c>
      <c r="Q69" t="inlineStr">
        <is>
          <t>TravelLine сайт</t>
        </is>
      </c>
      <c r="R69" s="2" t="inlineStr">
        <is>
          <t>ЛЮКС ВТОРОЙ КОРПУС</t>
        </is>
      </c>
      <c r="S69" t="n">
        <v>57</v>
      </c>
      <c r="T69" t="n">
        <v>2</v>
      </c>
      <c r="U69" t="inlineStr"/>
      <c r="V69" t="inlineStr">
        <is>
          <t>Основной тариф без завтрака</t>
        </is>
      </c>
      <c r="W69" t="n">
        <v>14585.5</v>
      </c>
      <c r="X69" s="3" t="n">
        <v>214.5</v>
      </c>
      <c r="Y69" t="inlineStr">
        <is>
          <t>1.5%</t>
        </is>
      </c>
      <c r="Z69" t="inlineStr">
        <is>
          <t>2026-07-11</t>
        </is>
      </c>
      <c r="AA69" s="3" t="n">
        <v>14085.5</v>
      </c>
      <c r="AB69" t="inlineStr">
        <is>
          <t>Сошлось с услугами</t>
        </is>
      </c>
      <c r="AC69" s="2" t="inlineStr"/>
      <c r="AD69" t="n">
        <v>214.5</v>
      </c>
      <c r="AE69" t="n">
        <v>0</v>
      </c>
      <c r="AF69" t="inlineStr">
        <is>
          <t>Скидка добавлена к налоговой базе</t>
        </is>
      </c>
      <c r="AG69" t="n">
        <v>14300</v>
      </c>
      <c r="AH69" t="n">
        <v>14085.5</v>
      </c>
      <c r="AI69" t="inlineStr">
        <is>
          <t>Полное проживание в выбранном периоде</t>
        </is>
      </c>
    </row>
    <row r="70">
      <c r="A70" t="inlineStr">
        <is>
          <t>20260726-8186-434777679</t>
        </is>
      </c>
      <c r="B70" t="n">
        <v>1</v>
      </c>
      <c r="C70" s="2" t="inlineStr">
        <is>
          <t>Анна Леер, Владимир Леер</t>
        </is>
      </c>
      <c r="D70" s="3" t="n">
        <v>14002.05</v>
      </c>
      <c r="E70" s="4" t="n">
        <v>4</v>
      </c>
      <c r="F70" t="inlineStr">
        <is>
          <t>TravelLine Booking Engine [Чайковский]</t>
        </is>
      </c>
      <c r="G70" s="3">
        <f>ROUND(D70/(100-E70)*100,2)</f>
        <v/>
      </c>
      <c r="H70" s="3" t="n">
        <v>0</v>
      </c>
      <c r="I70" s="3">
        <f>ROUND(IF(ISNUMBER(AG70),AG70,G70)+H70,2)</f>
        <v/>
      </c>
      <c r="J70" s="2" t="inlineStr"/>
      <c r="K70" s="5" t="n">
        <v>46229.58333333334</v>
      </c>
      <c r="L70" t="n">
        <v>1</v>
      </c>
      <c r="M70" s="3">
        <f>I70/L70</f>
        <v/>
      </c>
      <c r="N70">
        <f>IF(M70&gt;=5100,"ставка","мин.ставка")</f>
        <v/>
      </c>
      <c r="O70" s="3">
        <f>ROUND(IF(N70="мин.ставка",L70*100,I70/102*2),2)</f>
        <v/>
      </c>
      <c r="P70" s="5" t="n">
        <v>46230.5</v>
      </c>
      <c r="Q70" t="inlineStr">
        <is>
          <t>TravelLine сайт</t>
        </is>
      </c>
      <c r="R70" s="2" t="inlineStr">
        <is>
          <t>СЕМЕЙНЫЙ НОМЕР КАТЕГОРИИ "СТАНДАРТ" ВТОРОЙ КОРПУС</t>
        </is>
      </c>
      <c r="S70" t="n">
        <v>50</v>
      </c>
      <c r="T70" t="n">
        <v>2</v>
      </c>
      <c r="U70" t="inlineStr"/>
      <c r="V70" t="inlineStr">
        <is>
          <t>Тариф с завтраком</t>
        </is>
      </c>
      <c r="W70" t="n">
        <v>14002.05</v>
      </c>
      <c r="X70" s="3" t="n">
        <v>447.95</v>
      </c>
      <c r="Y70" t="inlineStr">
        <is>
          <t>3.1%</t>
        </is>
      </c>
      <c r="Z70" t="inlineStr">
        <is>
          <t>2026-07-26</t>
        </is>
      </c>
      <c r="AA70" s="3" t="n">
        <v>14002.05</v>
      </c>
      <c r="AB70" t="inlineStr">
        <is>
          <t>Сошлось по ночным тарифам</t>
        </is>
      </c>
      <c r="AC70" s="2" t="inlineStr"/>
      <c r="AD70" t="n">
        <v>447.95</v>
      </c>
      <c r="AE70" t="n">
        <v>0</v>
      </c>
      <c r="AF70" t="inlineStr">
        <is>
          <t>Скидка добавлена к налоговой базе</t>
        </is>
      </c>
      <c r="AG70" t="n">
        <v>14450</v>
      </c>
      <c r="AH70" t="n">
        <v>14002.05</v>
      </c>
      <c r="AI70" t="inlineStr">
        <is>
          <t>Полное проживание в выбранном периоде</t>
        </is>
      </c>
    </row>
    <row r="71">
      <c r="A71" t="inlineStr">
        <is>
          <t>20260902-8186-463008969</t>
        </is>
      </c>
      <c r="B71" t="n">
        <v>1</v>
      </c>
      <c r="C71" s="2" t="inlineStr">
        <is>
          <t>АННА ЧЕРНОВА</t>
        </is>
      </c>
      <c r="D71" s="3" t="n">
        <v>9960</v>
      </c>
      <c r="E71" s="4" t="n">
        <v>18</v>
      </c>
      <c r="F71" t="inlineStr">
        <is>
          <t>Яндекс.Путешествия [Чайковский]</t>
        </is>
      </c>
      <c r="G71" s="3">
        <f>ROUND(D71/(100-E71)*100,2)</f>
        <v/>
      </c>
      <c r="H71" s="3" t="n">
        <v>0</v>
      </c>
      <c r="I71" s="3">
        <f>ROUND(IF(ISNUMBER(AG71),AG71,G71)+H71,2)</f>
        <v/>
      </c>
      <c r="J71" s="2" t="inlineStr">
        <is>
          <t>Завтрак "Шведский стол"</t>
        </is>
      </c>
      <c r="K71" s="5" t="n">
        <v>46267.58333333334</v>
      </c>
      <c r="L71" t="n">
        <v>1</v>
      </c>
      <c r="M71" s="3">
        <f>I71/L71</f>
        <v/>
      </c>
      <c r="N71">
        <f>IF(M71&gt;=5100,"ставка","мин.ставка")</f>
        <v/>
      </c>
      <c r="O71" s="3">
        <f>ROUND(IF(N71="мин.ставка",L71*100,I71/102*2),2)</f>
        <v/>
      </c>
      <c r="P71" s="5" t="n">
        <v>46268.5</v>
      </c>
      <c r="Q71" t="inlineStr">
        <is>
          <t>TravelLine YAX</t>
        </is>
      </c>
      <c r="R71" s="2" t="inlineStr">
        <is>
          <t>СЕМЕЙНЫЙ НОМЕР КАТЕГОРИИ "СТАНДАРТ" ВТОРОЙ КОРПУС</t>
        </is>
      </c>
      <c r="S71" t="n">
        <v>51</v>
      </c>
      <c r="T71" t="n">
        <v>2</v>
      </c>
      <c r="U71" t="inlineStr"/>
      <c r="V71" t="inlineStr">
        <is>
          <t>Тариф с завтраком</t>
        </is>
      </c>
      <c r="W71" t="n">
        <v>9960</v>
      </c>
      <c r="X71" s="3" t="n">
        <v>2490</v>
      </c>
      <c r="Y71" t="inlineStr">
        <is>
          <t>20%</t>
        </is>
      </c>
      <c r="Z71" t="inlineStr">
        <is>
          <t>2026-09-02</t>
        </is>
      </c>
      <c r="AA71" s="3" t="n">
        <v>9960</v>
      </c>
      <c r="AB71" t="inlineStr">
        <is>
          <t>Сошлось по ночным тарифам</t>
        </is>
      </c>
      <c r="AC71" s="2" t="inlineStr"/>
      <c r="AD71" t="n">
        <v>2490</v>
      </c>
      <c r="AE71" t="n">
        <v>0</v>
      </c>
      <c r="AF71" t="inlineStr">
        <is>
          <t>Скидка добавлена к налоговой базе</t>
        </is>
      </c>
      <c r="AG71" t="n">
        <v>12450</v>
      </c>
      <c r="AH71" t="n">
        <v>9960</v>
      </c>
      <c r="AI71" t="inlineStr">
        <is>
          <t>Полное проживание в выбранном периоде</t>
        </is>
      </c>
    </row>
    <row r="72">
      <c r="A72" t="inlineStr">
        <is>
          <t>20260922-8186-467585284</t>
        </is>
      </c>
      <c r="B72" t="n">
        <v>1</v>
      </c>
      <c r="C72" s="2" t="inlineStr">
        <is>
          <t>Антон Кальвинов</t>
        </is>
      </c>
      <c r="D72" s="3" t="n">
        <v>18160</v>
      </c>
      <c r="E72" s="4" t="n">
        <v>20</v>
      </c>
      <c r="F72" t="inlineStr">
        <is>
          <t>ООО "КОМПАНИЯ БРОНЕВИК" [Чайковский]</t>
        </is>
      </c>
      <c r="G72" s="3">
        <f>ROUND(D72/(100-E72)*100,2)</f>
        <v/>
      </c>
      <c r="H72" s="3" t="n">
        <v>0</v>
      </c>
      <c r="I72" s="3">
        <f>ROUND(IF(ISNUMBER(AG72),AG72,G72)+H72,2)</f>
        <v/>
      </c>
      <c r="J72" s="2" t="inlineStr">
        <is>
          <t>Завтрак "Шведский стол"</t>
        </is>
      </c>
      <c r="K72" s="5" t="n">
        <v>46287.58333333334</v>
      </c>
      <c r="L72" t="n">
        <v>2</v>
      </c>
      <c r="M72" s="3">
        <f>I72/L72</f>
        <v/>
      </c>
      <c r="N72">
        <f>IF(M72&gt;=5100,"ставка","мин.ставка")</f>
        <v/>
      </c>
      <c r="O72" s="3">
        <f>ROUND(IF(N72="мин.ставка",L72*100,I72/102*2),2)</f>
        <v/>
      </c>
      <c r="P72" s="5" t="n">
        <v>46289.5</v>
      </c>
      <c r="Q72" t="inlineStr">
        <is>
          <t>TravelLine BR2</t>
        </is>
      </c>
      <c r="R72" s="2" t="inlineStr">
        <is>
          <t>СТАНДАРТНЫЙ ДВУХМЕСТНЫЙ НОМЕР</t>
        </is>
      </c>
      <c r="S72" t="n">
        <v>52</v>
      </c>
      <c r="T72" t="n">
        <v>2</v>
      </c>
      <c r="U72" t="inlineStr"/>
      <c r="V72" t="inlineStr">
        <is>
          <t>Тариф с завтраком</t>
        </is>
      </c>
      <c r="W72" t="n">
        <v>18160</v>
      </c>
      <c r="X72" s="3" t="n">
        <v>0</v>
      </c>
      <c r="Y72" t="inlineStr"/>
      <c r="Z72" t="inlineStr"/>
      <c r="AA72" s="3" t="n">
        <v>18160</v>
      </c>
      <c r="AB72" t="inlineStr">
        <is>
          <t>Сошлось по ночным тарифам</t>
        </is>
      </c>
      <c r="AC72" s="2" t="inlineStr"/>
      <c r="AD72" t="n">
        <v>0</v>
      </c>
      <c r="AE72" t="n">
        <v>0</v>
      </c>
      <c r="AF72" t="inlineStr">
        <is>
          <t>Скидки нет</t>
        </is>
      </c>
      <c r="AG72" t="n">
        <v>18160</v>
      </c>
      <c r="AH72" t="n">
        <v>18160</v>
      </c>
      <c r="AI72" t="inlineStr">
        <is>
          <t>Полное проживание в выбранном периоде</t>
        </is>
      </c>
    </row>
    <row r="73">
      <c r="A73" t="inlineStr">
        <is>
          <t>20260711-8186-447668511</t>
        </is>
      </c>
      <c r="B73" t="n">
        <v>1</v>
      </c>
      <c r="C73" s="2" t="inlineStr">
        <is>
          <t>Ариадна Рокоссовская, Юрий Лепский</t>
        </is>
      </c>
      <c r="D73" s="3" t="n">
        <v>12282.5</v>
      </c>
      <c r="E73" s="4" t="n">
        <v>15</v>
      </c>
      <c r="F73" t="inlineStr">
        <is>
          <t>ООО "БРОНИРОВАНИЕ ГОСТИНИЦ" (OSTROVOK) [Чайковский]</t>
        </is>
      </c>
      <c r="G73" s="3">
        <f>ROUND(D73/(100-E73)*100,2)</f>
        <v/>
      </c>
      <c r="H73" s="3" t="n">
        <v>0</v>
      </c>
      <c r="I73" s="3">
        <f>ROUND(IF(ISNUMBER(AG73),AG73,G73)+H73,2)</f>
        <v/>
      </c>
      <c r="J73" s="2" t="inlineStr">
        <is>
          <t>Завтрак "Шведский стол"</t>
        </is>
      </c>
      <c r="K73" s="5" t="n">
        <v>46214.58333333334</v>
      </c>
      <c r="L73" t="n">
        <v>1</v>
      </c>
      <c r="M73" s="3">
        <f>I73/L73</f>
        <v/>
      </c>
      <c r="N73">
        <f>IF(M73&gt;=5100,"ставка","мин.ставка")</f>
        <v/>
      </c>
      <c r="O73" s="3">
        <f>ROUND(IF(N73="мин.ставка",L73*100,I73/102*2),2)</f>
        <v/>
      </c>
      <c r="P73" s="5" t="n">
        <v>46215.5</v>
      </c>
      <c r="Q73" t="inlineStr">
        <is>
          <t>TravelLine OTK</t>
        </is>
      </c>
      <c r="R73" s="2" t="inlineStr">
        <is>
          <t>СЕМЕЙНЫЙ НОМЕР КАТЕГОРИИ "СТАНДАРТ" ВТОРОЙ КОРПУС</t>
        </is>
      </c>
      <c r="S73" t="n">
        <v>50</v>
      </c>
      <c r="T73" t="n">
        <v>2</v>
      </c>
      <c r="U73" t="inlineStr"/>
      <c r="V73" t="inlineStr">
        <is>
          <t>Тариф с завтраком</t>
        </is>
      </c>
      <c r="W73" t="n">
        <v>12282.5</v>
      </c>
      <c r="X73" s="3" t="n">
        <v>2167.5</v>
      </c>
      <c r="Y73" t="inlineStr">
        <is>
          <t>15%</t>
        </is>
      </c>
      <c r="Z73" t="inlineStr">
        <is>
          <t>2026-07-11</t>
        </is>
      </c>
      <c r="AA73" s="3" t="n">
        <v>12282.5</v>
      </c>
      <c r="AB73" t="inlineStr">
        <is>
          <t>Сошлось по ночным тарифам</t>
        </is>
      </c>
      <c r="AC73" s="2" t="inlineStr"/>
      <c r="AD73" t="n">
        <v>2167.5</v>
      </c>
      <c r="AE73" t="n">
        <v>0</v>
      </c>
      <c r="AF73" t="inlineStr">
        <is>
          <t>Скидка добавлена к налоговой базе</t>
        </is>
      </c>
      <c r="AG73" t="n">
        <v>14450</v>
      </c>
      <c r="AH73" t="n">
        <v>12282.5</v>
      </c>
      <c r="AI73" t="inlineStr">
        <is>
          <t>Полное проживание в выбранном периоде</t>
        </is>
      </c>
    </row>
    <row r="74">
      <c r="A74" t="inlineStr">
        <is>
          <t>20260904-8186-461720395</t>
        </is>
      </c>
      <c r="B74" t="n">
        <v>1</v>
      </c>
      <c r="C74" s="2" t="inlineStr">
        <is>
          <t>Арина Глебова</t>
        </is>
      </c>
      <c r="D74" s="3" t="n">
        <v>36320</v>
      </c>
      <c r="E74" s="4" t="n">
        <v>20</v>
      </c>
      <c r="F74" t="inlineStr">
        <is>
          <t>ООО "КОМПАНИЯ БРОНЕВИК" [Чайковский]</t>
        </is>
      </c>
      <c r="G74" s="3">
        <f>ROUND(D74/(100-E74)*100,2)</f>
        <v/>
      </c>
      <c r="H74" s="3" t="n">
        <v>0</v>
      </c>
      <c r="I74" s="3">
        <f>ROUND(IF(ISNUMBER(AG74),AG74,G74)+H74,2)</f>
        <v/>
      </c>
      <c r="J74" s="2" t="inlineStr">
        <is>
          <t>Завтрак "Шведский стол"</t>
        </is>
      </c>
      <c r="K74" s="5" t="n">
        <v>46269.58333333334</v>
      </c>
      <c r="L74" t="n">
        <v>4</v>
      </c>
      <c r="M74" s="3">
        <f>I74/L74</f>
        <v/>
      </c>
      <c r="N74">
        <f>IF(M74&gt;=5100,"ставка","мин.ставка")</f>
        <v/>
      </c>
      <c r="O74" s="3">
        <f>ROUND(IF(N74="мин.ставка",L74*100,I74/102*2),2)</f>
        <v/>
      </c>
      <c r="P74" s="5" t="n">
        <v>46273.5</v>
      </c>
      <c r="Q74" t="inlineStr">
        <is>
          <t>TravelLine BR2</t>
        </is>
      </c>
      <c r="R74" s="2" t="inlineStr">
        <is>
          <t>СТАНДАРТНЫЙ ДВУХМЕСТНЫЙ НОМЕР</t>
        </is>
      </c>
      <c r="S74" t="n">
        <v>58</v>
      </c>
      <c r="T74" t="n">
        <v>2</v>
      </c>
      <c r="U74" t="inlineStr"/>
      <c r="V74" t="inlineStr">
        <is>
          <t>Тариф с завтраком</t>
        </is>
      </c>
      <c r="W74" t="n">
        <v>36320</v>
      </c>
      <c r="X74" s="3" t="n">
        <v>0</v>
      </c>
      <c r="Y74" t="inlineStr"/>
      <c r="Z74" t="inlineStr"/>
      <c r="AA74" s="3" t="n">
        <v>36320</v>
      </c>
      <c r="AB74" t="inlineStr">
        <is>
          <t>Сошлось по ночным тарифам</t>
        </is>
      </c>
      <c r="AC74" s="2" t="inlineStr"/>
      <c r="AD74" t="n">
        <v>0</v>
      </c>
      <c r="AE74" t="n">
        <v>0</v>
      </c>
      <c r="AF74" t="inlineStr">
        <is>
          <t>Скидки нет</t>
        </is>
      </c>
      <c r="AG74" t="n">
        <v>36320</v>
      </c>
      <c r="AH74" t="n">
        <v>36320</v>
      </c>
      <c r="AI74" t="inlineStr">
        <is>
          <t>Полное проживание в выбранном периоде</t>
        </is>
      </c>
    </row>
    <row r="75">
      <c r="A75" t="inlineStr">
        <is>
          <t>20260929-8186-467723154</t>
        </is>
      </c>
      <c r="B75" t="n">
        <v>1</v>
      </c>
      <c r="C75" s="2" t="inlineStr">
        <is>
          <t>Аркадий Лурье, Ангелина Лурье</t>
        </is>
      </c>
      <c r="D75" s="3" t="n">
        <v>61625</v>
      </c>
      <c r="E75" s="4" t="n">
        <v>0</v>
      </c>
      <c r="F75" t="inlineStr">
        <is>
          <t>ООО "АЛЕАН ОТДЫХ" [Чайковский]</t>
        </is>
      </c>
      <c r="G75" s="3">
        <f>ROUND(D75/(100-E75)*100,2)</f>
        <v/>
      </c>
      <c r="H75" s="3" t="n">
        <v>0</v>
      </c>
      <c r="I75" s="3">
        <f>ROUND(IF(ISNUMBER(AG75),AG75,G75)+H75,2)</f>
        <v/>
      </c>
      <c r="J75" s="2" t="inlineStr"/>
      <c r="K75" s="5" t="n">
        <v>46294.58333333334</v>
      </c>
      <c r="L75" t="n">
        <v>2</v>
      </c>
      <c r="M75" s="3">
        <f>I75/L75</f>
        <v/>
      </c>
      <c r="N75">
        <f>IF(M75&gt;=5100,"ставка","мин.ставка")</f>
        <v/>
      </c>
      <c r="O75" s="3">
        <f>ROUND(IF(N75="мин.ставка",L75*100,I75/102*2),2)</f>
        <v/>
      </c>
      <c r="P75" s="5" t="n">
        <v>46300.5</v>
      </c>
      <c r="Q75" t="inlineStr">
        <is>
          <t>TravelLine ALN</t>
        </is>
      </c>
      <c r="R75" s="2" t="inlineStr">
        <is>
          <t>СТАНДАРТНЫЙ ДВУХМЕСТНЫЙ НОМЕР</t>
        </is>
      </c>
      <c r="S75" t="n">
        <v>52</v>
      </c>
      <c r="T75" t="n">
        <v>2</v>
      </c>
      <c r="U75" t="inlineStr"/>
      <c r="V75" t="inlineStr">
        <is>
          <t>Тариф с завтраком</t>
        </is>
      </c>
      <c r="W75" t="n">
        <v>61625</v>
      </c>
      <c r="X75" s="3" t="n">
        <v>10875</v>
      </c>
      <c r="Y75" t="inlineStr">
        <is>
          <t>15%</t>
        </is>
      </c>
      <c r="Z75" t="inlineStr">
        <is>
          <t>Не распределена по датам</t>
        </is>
      </c>
      <c r="AA75" s="3" t="n">
        <v>61625</v>
      </c>
      <c r="AB75" t="inlineStr">
        <is>
          <t>Сошлось по ночным тарифам</t>
        </is>
      </c>
      <c r="AC75" s="2" t="inlineStr"/>
      <c r="AD75" t="n">
        <v>0</v>
      </c>
      <c r="AE75" t="n">
        <v>0</v>
      </c>
      <c r="AF75" t="inlineStr">
        <is>
          <t>Частичный период: дата агрегированной скидки не определена; скидка не добавлена к базе</t>
        </is>
      </c>
      <c r="AG75" t="n">
        <v>22695</v>
      </c>
      <c r="AH75" t="n">
        <v>22695</v>
      </c>
      <c r="AI75" t="inlineStr">
        <is>
          <t>Частичное проживание распределено по dailyRates; скидка без даты не восстановлена</t>
        </is>
      </c>
    </row>
    <row r="76">
      <c r="A76" t="inlineStr">
        <is>
          <t>20260925-8186-468345543</t>
        </is>
      </c>
      <c r="B76" t="n">
        <v>1</v>
      </c>
      <c r="C76" s="2" t="inlineStr">
        <is>
          <t>Арсен Силанян, Юлия Егорова</t>
        </is>
      </c>
      <c r="D76" s="3" t="n">
        <v>14002.05</v>
      </c>
      <c r="E76" s="4" t="n">
        <v>4</v>
      </c>
      <c r="F76" t="inlineStr">
        <is>
          <t>TravelLine Booking Engine [Чайковский]</t>
        </is>
      </c>
      <c r="G76" s="3">
        <f>ROUND(D76/(100-E76)*100,2)</f>
        <v/>
      </c>
      <c r="H76" s="3" t="n">
        <v>0</v>
      </c>
      <c r="I76" s="3">
        <f>ROUND(IF(ISNUMBER(AG76),AG76,G76)+H76,2)</f>
        <v/>
      </c>
      <c r="J76" s="2" t="inlineStr">
        <is>
          <t>Завтрак "Шведский стол"</t>
        </is>
      </c>
      <c r="K76" s="5" t="n">
        <v>46290.58333333334</v>
      </c>
      <c r="L76" t="n">
        <v>1</v>
      </c>
      <c r="M76" s="3">
        <f>I76/L76</f>
        <v/>
      </c>
      <c r="N76">
        <f>IF(M76&gt;=5100,"ставка","мин.ставка")</f>
        <v/>
      </c>
      <c r="O76" s="3">
        <f>ROUND(IF(N76="мин.ставка",L76*100,I76/102*2),2)</f>
        <v/>
      </c>
      <c r="P76" s="5" t="n">
        <v>46291.5</v>
      </c>
      <c r="Q76" t="inlineStr">
        <is>
          <t>TravelLine сайт</t>
        </is>
      </c>
      <c r="R76" s="2" t="inlineStr">
        <is>
          <t>СЕМЕЙНЫЙ НОМЕР КАТЕГОРИИ "СТАНДАРТ" ВТОРОЙ КОРПУС</t>
        </is>
      </c>
      <c r="S76" t="n">
        <v>51</v>
      </c>
      <c r="T76" t="n">
        <v>2</v>
      </c>
      <c r="U76" t="inlineStr"/>
      <c r="V76" t="inlineStr">
        <is>
          <t>Тариф с завтраком</t>
        </is>
      </c>
      <c r="W76" t="n">
        <v>14002.05</v>
      </c>
      <c r="X76" s="3" t="n">
        <v>447.95</v>
      </c>
      <c r="Y76" t="inlineStr">
        <is>
          <t>3.1%</t>
        </is>
      </c>
      <c r="Z76" t="inlineStr">
        <is>
          <t>2026-09-25</t>
        </is>
      </c>
      <c r="AA76" s="3" t="n">
        <v>14002.05</v>
      </c>
      <c r="AB76" t="inlineStr">
        <is>
          <t>Сошлось по ночным тарифам</t>
        </is>
      </c>
      <c r="AC76" s="2" t="inlineStr"/>
      <c r="AD76" t="n">
        <v>447.95</v>
      </c>
      <c r="AE76" t="n">
        <v>0</v>
      </c>
      <c r="AF76" t="inlineStr">
        <is>
          <t>Скидка добавлена к налоговой базе</t>
        </is>
      </c>
      <c r="AG76" t="n">
        <v>14450</v>
      </c>
      <c r="AH76" t="n">
        <v>14002.05</v>
      </c>
      <c r="AI76" t="inlineStr">
        <is>
          <t>Полное проживание в выбранном периоде</t>
        </is>
      </c>
    </row>
    <row r="77">
      <c r="A77" t="inlineStr">
        <is>
          <t>20260803-8186-450274713</t>
        </is>
      </c>
      <c r="B77" t="n">
        <v>1</v>
      </c>
      <c r="C77" s="2" t="inlineStr">
        <is>
          <t>Артем Кавалерян</t>
        </is>
      </c>
      <c r="D77" s="3" t="n">
        <v>124679.75</v>
      </c>
      <c r="E77" s="4" t="n">
        <v>4</v>
      </c>
      <c r="F77" t="inlineStr">
        <is>
          <t>TravelLine Booking Engine [Чайковский]</t>
        </is>
      </c>
      <c r="G77" s="3">
        <f>ROUND(D77/(100-E77)*100,2)</f>
        <v/>
      </c>
      <c r="H77" s="3" t="n">
        <v>2640</v>
      </c>
      <c r="I77" s="3">
        <f>ROUND(IF(ISNUMBER(AG77),AG77,G77)+H77,2)</f>
        <v/>
      </c>
      <c r="J77" s="2" t="inlineStr">
        <is>
          <t>продление номера — 2 640,00 ₽; Завтрак "Шведский стол"</t>
        </is>
      </c>
      <c r="K77" s="5" t="n">
        <v>46237.58333333334</v>
      </c>
      <c r="L77" t="n">
        <v>11</v>
      </c>
      <c r="M77" s="3">
        <f>I77/L77</f>
        <v/>
      </c>
      <c r="N77">
        <f>IF(M77&gt;=5100,"ставка","мин.ставка")</f>
        <v/>
      </c>
      <c r="O77" s="3">
        <f>ROUND(IF(N77="мин.ставка",L77*100,I77/102*2),2)</f>
        <v/>
      </c>
      <c r="P77" s="5" t="n">
        <v>46248.5</v>
      </c>
      <c r="Q77" t="inlineStr">
        <is>
          <t>TravelLine сайт</t>
        </is>
      </c>
      <c r="R77" s="2" t="inlineStr">
        <is>
          <t>СТАНДАРТНЫЙ ДВУХМЕСТНЫЙ НОМЕР</t>
        </is>
      </c>
      <c r="S77" t="n">
        <v>55</v>
      </c>
      <c r="T77" t="n">
        <v>2</v>
      </c>
      <c r="U77" t="inlineStr"/>
      <c r="V77" t="inlineStr">
        <is>
          <t>Тариф с завтраком</t>
        </is>
      </c>
      <c r="W77" t="n">
        <v>127319.75</v>
      </c>
      <c r="X77" s="3" t="n">
        <v>170.25</v>
      </c>
      <c r="Y77" t="inlineStr">
        <is>
          <t>1.5%</t>
        </is>
      </c>
      <c r="Z77" t="inlineStr">
        <is>
          <t>2026-08-03</t>
        </is>
      </c>
      <c r="AA77" s="3" t="n">
        <v>124679.75</v>
      </c>
      <c r="AB77" t="inlineStr">
        <is>
          <t>Сошлось с услугами</t>
        </is>
      </c>
      <c r="AC77" s="2" t="inlineStr"/>
      <c r="AD77" t="n">
        <v>170.25</v>
      </c>
      <c r="AE77" t="n">
        <v>0</v>
      </c>
      <c r="AF77" t="inlineStr">
        <is>
          <t>Скидка добавлена к налоговой базе</t>
        </is>
      </c>
      <c r="AG77" t="n">
        <v>124850</v>
      </c>
      <c r="AH77" t="n">
        <v>124679.75</v>
      </c>
      <c r="AI77" t="inlineStr">
        <is>
          <t>Полное проживание в выбранном периоде</t>
        </is>
      </c>
    </row>
    <row r="78">
      <c r="A78" t="inlineStr">
        <is>
          <t>20260918-8186-466399590</t>
        </is>
      </c>
      <c r="B78" t="n">
        <v>1</v>
      </c>
      <c r="C78" s="2" t="inlineStr">
        <is>
          <t>АРТЁМ КИРИЧЕНКО, Виолетта Хисамова</t>
        </is>
      </c>
      <c r="D78" s="3" t="n">
        <v>17248.2</v>
      </c>
      <c r="E78" s="4" t="n">
        <v>4</v>
      </c>
      <c r="F78" t="inlineStr">
        <is>
          <t>TravelLine Booking Engine [Чайковский]</t>
        </is>
      </c>
      <c r="G78" s="3">
        <f>ROUND(D78/(100-E78)*100,2)</f>
        <v/>
      </c>
      <c r="H78" s="3" t="n">
        <v>0</v>
      </c>
      <c r="I78" s="3">
        <f>ROUND(IF(ISNUMBER(AG78),AG78,G78)+H78,2)</f>
        <v/>
      </c>
      <c r="J78" s="2" t="inlineStr">
        <is>
          <t>Завтрак "Шведский стол"</t>
        </is>
      </c>
      <c r="K78" s="5" t="n">
        <v>46283.58333333334</v>
      </c>
      <c r="L78" t="n">
        <v>1</v>
      </c>
      <c r="M78" s="3">
        <f>I78/L78</f>
        <v/>
      </c>
      <c r="N78">
        <f>IF(M78&gt;=5100,"ставка","мин.ставка")</f>
        <v/>
      </c>
      <c r="O78" s="3">
        <f>ROUND(IF(N78="мин.ставка",L78*100,I78/102*2),2)</f>
        <v/>
      </c>
      <c r="P78" s="5" t="n">
        <v>46284.5</v>
      </c>
      <c r="Q78" t="inlineStr">
        <is>
          <t>TravelLine сайт</t>
        </is>
      </c>
      <c r="R78" s="2" t="inlineStr">
        <is>
          <t>ЛЮКС ВТОРОЙ КОРПУС</t>
        </is>
      </c>
      <c r="S78" t="n">
        <v>53</v>
      </c>
      <c r="T78" t="n">
        <v>2</v>
      </c>
      <c r="U78" t="inlineStr"/>
      <c r="V78" t="inlineStr">
        <is>
          <t>Тариф с завтраком</t>
        </is>
      </c>
      <c r="W78" t="n">
        <v>17248.2</v>
      </c>
      <c r="X78" s="3" t="n">
        <v>551.8</v>
      </c>
      <c r="Y78" t="inlineStr">
        <is>
          <t>3.1%</t>
        </is>
      </c>
      <c r="Z78" t="inlineStr">
        <is>
          <t>2026-09-18</t>
        </is>
      </c>
      <c r="AA78" s="3" t="n">
        <v>17248.2</v>
      </c>
      <c r="AB78" t="inlineStr">
        <is>
          <t>Сошлось по ночным тарифам</t>
        </is>
      </c>
      <c r="AC78" s="2" t="inlineStr"/>
      <c r="AD78" t="n">
        <v>551.8</v>
      </c>
      <c r="AE78" t="n">
        <v>0</v>
      </c>
      <c r="AF78" t="inlineStr">
        <is>
          <t>Скидка добавлена к налоговой базе</t>
        </is>
      </c>
      <c r="AG78" t="n">
        <v>17800</v>
      </c>
      <c r="AH78" t="n">
        <v>17248.2</v>
      </c>
      <c r="AI78" t="inlineStr">
        <is>
          <t>Полное проживание в выбранном периоде</t>
        </is>
      </c>
    </row>
    <row r="79">
      <c r="A79" t="inlineStr">
        <is>
          <t>20260717-8186-443674528</t>
        </is>
      </c>
      <c r="B79" t="n">
        <v>1</v>
      </c>
      <c r="C79" s="2" t="inlineStr">
        <is>
          <t>АРТЕМ СПИВАКОВ, ЭММА СПИВАКОВА</t>
        </is>
      </c>
      <c r="D79" s="3" t="n">
        <v>21360</v>
      </c>
      <c r="E79" s="4" t="n">
        <v>18</v>
      </c>
      <c r="F79" t="inlineStr">
        <is>
          <t>Яндекс.Путешествия [Чайковский]</t>
        </is>
      </c>
      <c r="G79" s="3">
        <f>ROUND(D79/(100-E79)*100,2)</f>
        <v/>
      </c>
      <c r="H79" s="3" t="n">
        <v>0</v>
      </c>
      <c r="I79" s="3">
        <f>ROUND(IF(ISNUMBER(AG79),AG79,G79)+H79,2)</f>
        <v/>
      </c>
      <c r="J79" s="2" t="inlineStr">
        <is>
          <t>Завтрак "Шведский стол"</t>
        </is>
      </c>
      <c r="K79" s="5" t="n">
        <v>46220.58333333334</v>
      </c>
      <c r="L79" t="n">
        <v>2</v>
      </c>
      <c r="M79" s="3">
        <f>I79/L79</f>
        <v/>
      </c>
      <c r="N79">
        <f>IF(M79&gt;=5100,"ставка","мин.ставка")</f>
        <v/>
      </c>
      <c r="O79" s="3">
        <f>ROUND(IF(N79="мин.ставка",L79*100,I79/102*2),2)</f>
        <v/>
      </c>
      <c r="P79" s="5" t="n">
        <v>46222.5</v>
      </c>
      <c r="Q79" t="inlineStr">
        <is>
          <t>TravelLine YAX</t>
        </is>
      </c>
      <c r="R79" s="2" t="inlineStr">
        <is>
          <t>СТАНДАРТНЫЙ ДВУХМЕСТНЫЙ НОМЕР</t>
        </is>
      </c>
      <c r="S79" t="n">
        <v>58</v>
      </c>
      <c r="T79" t="n">
        <v>2</v>
      </c>
      <c r="U79" t="inlineStr"/>
      <c r="V79" t="inlineStr">
        <is>
          <t>Тариф с завтраком</t>
        </is>
      </c>
      <c r="W79" t="n">
        <v>21360</v>
      </c>
      <c r="X79" s="3" t="n">
        <v>5340</v>
      </c>
      <c r="Y79" t="inlineStr">
        <is>
          <t>20%</t>
        </is>
      </c>
      <c r="Z79" t="inlineStr">
        <is>
          <t>2026-07-17, 2026-07-18</t>
        </is>
      </c>
      <c r="AA79" s="3" t="n">
        <v>21360</v>
      </c>
      <c r="AB79" t="inlineStr">
        <is>
          <t>Сошлось по ночным тарифам</t>
        </is>
      </c>
      <c r="AC79" s="2" t="inlineStr"/>
      <c r="AD79" t="n">
        <v>5340</v>
      </c>
      <c r="AE79" t="n">
        <v>0</v>
      </c>
      <c r="AF79" t="inlineStr">
        <is>
          <t>Скидка добавлена к налоговой базе</t>
        </is>
      </c>
      <c r="AG79" t="n">
        <v>26700</v>
      </c>
      <c r="AH79" t="n">
        <v>21360</v>
      </c>
      <c r="AI79" t="inlineStr">
        <is>
          <t>Полное проживание в выбранном периоде</t>
        </is>
      </c>
    </row>
    <row r="80">
      <c r="A80" t="inlineStr">
        <is>
          <t>20260911-8186-464717084</t>
        </is>
      </c>
      <c r="B80" t="n">
        <v>1</v>
      </c>
      <c r="C80" s="2" t="inlineStr">
        <is>
          <t>Артур Абуляев</t>
        </is>
      </c>
      <c r="D80" s="3" t="n">
        <v>20000</v>
      </c>
      <c r="E80" s="4" t="n">
        <v>20</v>
      </c>
      <c r="F80" t="inlineStr">
        <is>
          <t>ООО «Дубль Гис» (OTELLO) [Чайковский]</t>
        </is>
      </c>
      <c r="G80" s="3">
        <f>ROUND(D80/(100-E80)*100,2)</f>
        <v/>
      </c>
      <c r="H80" s="3" t="n">
        <v>0</v>
      </c>
      <c r="I80" s="3">
        <f>ROUND(IF(ISNUMBER(AG80),AG80,G80)+H80,2)</f>
        <v/>
      </c>
      <c r="J80" s="2" t="inlineStr"/>
      <c r="K80" s="5" t="n">
        <v>46276.58333333334</v>
      </c>
      <c r="L80" t="n">
        <v>2</v>
      </c>
      <c r="M80" s="3">
        <f>I80/L80</f>
        <v/>
      </c>
      <c r="N80">
        <f>IF(M80&gt;=5100,"ставка","мин.ставка")</f>
        <v/>
      </c>
      <c r="O80" s="3">
        <f>ROUND(IF(N80="мин.ставка",L80*100,I80/102*2),2)</f>
        <v/>
      </c>
      <c r="P80" s="5" t="n">
        <v>46278.5</v>
      </c>
      <c r="Q80" t="inlineStr">
        <is>
          <t>TravelLine OL2</t>
        </is>
      </c>
      <c r="R80" s="2" t="inlineStr">
        <is>
          <t>ЛЮКС ВТОРОЙ КОРПУС</t>
        </is>
      </c>
      <c r="S80" t="n">
        <v>57</v>
      </c>
      <c r="T80" t="n">
        <v>2</v>
      </c>
      <c r="U80" t="inlineStr"/>
      <c r="V80" t="inlineStr">
        <is>
          <t>Основной тариф без завтрака</t>
        </is>
      </c>
      <c r="W80" t="n">
        <v>20000</v>
      </c>
      <c r="X80" s="3" t="n">
        <v>5000</v>
      </c>
      <c r="Y80" t="inlineStr">
        <is>
          <t>20%</t>
        </is>
      </c>
      <c r="Z80" t="inlineStr">
        <is>
          <t>2026-09-11, 2026-09-12</t>
        </is>
      </c>
      <c r="AA80" s="3" t="n">
        <v>20000</v>
      </c>
      <c r="AB80" t="inlineStr">
        <is>
          <t>Сошлось по ночным тарифам</t>
        </is>
      </c>
      <c r="AC80" s="2" t="inlineStr"/>
      <c r="AD80" t="n">
        <v>5000</v>
      </c>
      <c r="AE80" t="n">
        <v>0</v>
      </c>
      <c r="AF80" t="inlineStr">
        <is>
          <t>Скидка добавлена к налоговой базе</t>
        </is>
      </c>
      <c r="AG80" t="n">
        <v>25000</v>
      </c>
      <c r="AH80" t="n">
        <v>20000</v>
      </c>
      <c r="AI80" t="inlineStr">
        <is>
          <t>Полное проживание в выбранном периоде</t>
        </is>
      </c>
    </row>
    <row r="81">
      <c r="A81" t="inlineStr">
        <is>
          <t>20260830-8186-462361686</t>
        </is>
      </c>
      <c r="B81" t="n">
        <v>1</v>
      </c>
      <c r="C81" s="2" t="inlineStr">
        <is>
          <t>Ася Абрамова</t>
        </is>
      </c>
      <c r="D81" s="3" t="n">
        <v>11122</v>
      </c>
      <c r="E81" s="4" t="n">
        <v>18</v>
      </c>
      <c r="F81" t="inlineStr">
        <is>
          <t>Яндекс.Путешествия [Чайковский]</t>
        </is>
      </c>
      <c r="G81" s="3">
        <f>ROUND(D81/(100-E81)*100,2)</f>
        <v/>
      </c>
      <c r="H81" s="3" t="n">
        <v>2560</v>
      </c>
      <c r="I81" s="3">
        <f>ROUND(IF(ISNUMBER(AG81),AG81,G81)+H81,2)</f>
        <v/>
      </c>
      <c r="J81" s="2" t="inlineStr">
        <is>
          <t>продление номера — 2 560,00 ₽; Завтрак "Шведский стол"</t>
        </is>
      </c>
      <c r="K81" s="5" t="n">
        <v>46264.58333333334</v>
      </c>
      <c r="L81" t="n">
        <v>1</v>
      </c>
      <c r="M81" s="3">
        <f>I81/L81</f>
        <v/>
      </c>
      <c r="N81">
        <f>IF(M81&gt;=5100,"ставка","мин.ставка")</f>
        <v/>
      </c>
      <c r="O81" s="3">
        <f>ROUND(IF(N81="мин.ставка",L81*100,I81/102*2),2)</f>
        <v/>
      </c>
      <c r="P81" s="5" t="n">
        <v>46265.66666666666</v>
      </c>
      <c r="Q81" t="inlineStr">
        <is>
          <t>TravelLine YAX</t>
        </is>
      </c>
      <c r="R81" s="2" t="inlineStr">
        <is>
          <t>ЛЮКС ВТОРОЙ КОРПУС</t>
        </is>
      </c>
      <c r="S81" t="n">
        <v>53</v>
      </c>
      <c r="T81" t="n">
        <v>2</v>
      </c>
      <c r="U81" t="inlineStr"/>
      <c r="V81" t="inlineStr">
        <is>
          <t>Тариф с завтраком</t>
        </is>
      </c>
      <c r="W81" t="n">
        <v>13682</v>
      </c>
      <c r="X81" s="3" t="n">
        <v>2278</v>
      </c>
      <c r="Y81" t="inlineStr">
        <is>
          <t>17%</t>
        </is>
      </c>
      <c r="Z81" t="inlineStr">
        <is>
          <t>2026-08-30</t>
        </is>
      </c>
      <c r="AA81" s="3" t="n">
        <v>11122</v>
      </c>
      <c r="AB81" t="inlineStr">
        <is>
          <t>Сошлось с услугами</t>
        </is>
      </c>
      <c r="AC81" s="2" t="inlineStr"/>
      <c r="AD81" t="n">
        <v>2278</v>
      </c>
      <c r="AE81" t="n">
        <v>0</v>
      </c>
      <c r="AF81" t="inlineStr">
        <is>
          <t>Скидка добавлена к налоговой базе</t>
        </is>
      </c>
      <c r="AG81" t="n">
        <v>13400</v>
      </c>
      <c r="AH81" t="n">
        <v>11122</v>
      </c>
      <c r="AI81" t="inlineStr">
        <is>
          <t>Полное проживание в выбранном периоде</t>
        </is>
      </c>
    </row>
    <row r="82">
      <c r="A82" t="inlineStr">
        <is>
          <t>20260703-8186-447441430</t>
        </is>
      </c>
      <c r="B82" t="n">
        <v>1</v>
      </c>
      <c r="C82" s="2" t="inlineStr">
        <is>
          <t>Баатр Лиджиев, Виктория Лиджиева</t>
        </is>
      </c>
      <c r="D82" s="3" t="n">
        <v>5880</v>
      </c>
      <c r="E82" s="4" t="n">
        <v>18</v>
      </c>
      <c r="F82" t="inlineStr">
        <is>
          <t>Яндекс.Путешествия [Чайковский]</t>
        </is>
      </c>
      <c r="G82" s="3">
        <f>ROUND(D82/(100-E82)*100,2)</f>
        <v/>
      </c>
      <c r="H82" s="3" t="n">
        <v>0</v>
      </c>
      <c r="I82" s="3">
        <f>ROUND(IF(ISNUMBER(AG82),AG82,G82)+H82,2)</f>
        <v/>
      </c>
      <c r="J82" s="2" t="inlineStr"/>
      <c r="K82" s="5" t="n">
        <v>46206.58333333334</v>
      </c>
      <c r="L82" t="n">
        <v>1</v>
      </c>
      <c r="M82" s="3">
        <f>I82/L82</f>
        <v/>
      </c>
      <c r="N82">
        <f>IF(M82&gt;=5100,"ставка","мин.ставка")</f>
        <v/>
      </c>
      <c r="O82" s="3">
        <f>ROUND(IF(N82="мин.ставка",L82*100,I82/102*2),2)</f>
        <v/>
      </c>
      <c r="P82" s="5" t="n">
        <v>46207.5</v>
      </c>
      <c r="Q82" t="inlineStr">
        <is>
          <t>TravelLine YAX</t>
        </is>
      </c>
      <c r="R82" s="2" t="inlineStr">
        <is>
          <t>СЕМЕЙНЫЙ НОМЕР КАТЕГОРИИ "СТАНДАРТ" ВТОРОЙ КОРПУС</t>
        </is>
      </c>
      <c r="S82" t="n">
        <v>51</v>
      </c>
      <c r="T82" t="n">
        <v>2</v>
      </c>
      <c r="U82" t="inlineStr"/>
      <c r="V82" t="inlineStr">
        <is>
          <t>Основной тариф без завтрака</t>
        </is>
      </c>
      <c r="W82" t="n">
        <v>5880</v>
      </c>
      <c r="X82" s="3" t="n">
        <v>1470</v>
      </c>
      <c r="Y82" t="inlineStr">
        <is>
          <t>20%</t>
        </is>
      </c>
      <c r="Z82" t="inlineStr">
        <is>
          <t>2026-07-03</t>
        </is>
      </c>
      <c r="AA82" s="3" t="n">
        <v>5880</v>
      </c>
      <c r="AB82" t="inlineStr">
        <is>
          <t>Сошлось по ночным тарифам</t>
        </is>
      </c>
      <c r="AC82" s="2" t="inlineStr"/>
      <c r="AD82" t="n">
        <v>1470</v>
      </c>
      <c r="AE82" t="n">
        <v>0</v>
      </c>
      <c r="AF82" t="inlineStr">
        <is>
          <t>Скидка добавлена к налоговой базе</t>
        </is>
      </c>
      <c r="AG82" t="n">
        <v>7350</v>
      </c>
      <c r="AH82" t="n">
        <v>5880</v>
      </c>
      <c r="AI82" t="inlineStr">
        <is>
          <t>Полное проживание в выбранном периоде</t>
        </is>
      </c>
    </row>
    <row r="83">
      <c r="A83" t="inlineStr">
        <is>
          <t>20260717-8186-450249391</t>
        </is>
      </c>
      <c r="B83" t="n">
        <v>1</v>
      </c>
      <c r="C83" s="2" t="inlineStr">
        <is>
          <t>Вадим Стародубов</t>
        </is>
      </c>
      <c r="D83" s="3" t="n">
        <v>8624.1</v>
      </c>
      <c r="E83" s="4" t="n">
        <v>4</v>
      </c>
      <c r="F83" t="inlineStr">
        <is>
          <t>TravelLine Booking Engine [Чайковский]</t>
        </is>
      </c>
      <c r="G83" s="3">
        <f>ROUND(D83/(100-E83)*100,2)</f>
        <v/>
      </c>
      <c r="H83" s="3" t="n">
        <v>0</v>
      </c>
      <c r="I83" s="3">
        <f>ROUND(IF(ISNUMBER(AG83),AG83,G83)+H83,2)</f>
        <v/>
      </c>
      <c r="J83" s="2" t="inlineStr">
        <is>
          <t>Завтрак "Шведский стол"</t>
        </is>
      </c>
      <c r="K83" s="5" t="n">
        <v>46220.89583333334</v>
      </c>
      <c r="L83" t="n">
        <v>1</v>
      </c>
      <c r="M83" s="3">
        <f>I83/L83</f>
        <v/>
      </c>
      <c r="N83">
        <f>IF(M83&gt;=5100,"ставка","мин.ставка")</f>
        <v/>
      </c>
      <c r="O83" s="3">
        <f>ROUND(IF(N83="мин.ставка",L83*100,I83/102*2),2)</f>
        <v/>
      </c>
      <c r="P83" s="5" t="n">
        <v>46221.5</v>
      </c>
      <c r="Q83" t="inlineStr">
        <is>
          <t>TravelLine сайт</t>
        </is>
      </c>
      <c r="R83" s="2" t="inlineStr">
        <is>
          <t>СЕМЕЙНЫЙ НОМЕР КАТЕГОРИИ "СТАНДАРТ" ВТОРОЙ КОРПУС</t>
        </is>
      </c>
      <c r="S83" t="n">
        <v>50</v>
      </c>
      <c r="T83" t="n">
        <v>2</v>
      </c>
      <c r="U83" t="inlineStr"/>
      <c r="V83" t="inlineStr">
        <is>
          <t>Тариф с завтраком</t>
        </is>
      </c>
      <c r="W83" t="n">
        <v>16324.1</v>
      </c>
      <c r="X83" s="3" t="n">
        <v>275.9</v>
      </c>
      <c r="Y83" t="inlineStr">
        <is>
          <t>3.1%</t>
        </is>
      </c>
      <c r="Z83" t="inlineStr">
        <is>
          <t>2026-07-17</t>
        </is>
      </c>
      <c r="AA83" s="3" t="n">
        <v>8624.1</v>
      </c>
      <c r="AB83" t="inlineStr">
        <is>
          <t>Сошлось по ночным тарифам</t>
        </is>
      </c>
      <c r="AC83" s="2" t="inlineStr"/>
      <c r="AD83" t="n">
        <v>275.9</v>
      </c>
      <c r="AE83" t="n">
        <v>0</v>
      </c>
      <c r="AF83" t="inlineStr">
        <is>
          <t>Скидка добавлена к налоговой базе</t>
        </is>
      </c>
      <c r="AG83" t="n">
        <v>8900</v>
      </c>
      <c r="AH83" t="n">
        <v>8624.1</v>
      </c>
      <c r="AI83" t="inlineStr">
        <is>
          <t>Полное проживание в выбранном периоде</t>
        </is>
      </c>
    </row>
    <row r="84">
      <c r="A84" t="inlineStr">
        <is>
          <t>20260807-8186-443876865</t>
        </is>
      </c>
      <c r="B84" t="n">
        <v>1</v>
      </c>
      <c r="C84" s="2" t="inlineStr">
        <is>
          <t>ВАЛЕРИЙ ЖИЛИН, Марина Жилина</t>
        </is>
      </c>
      <c r="D84" s="3" t="n">
        <v>26700</v>
      </c>
      <c r="E84" s="4" t="n">
        <v>0</v>
      </c>
      <c r="F84" t="inlineStr">
        <is>
          <t>Прямые бронирования (стойка) [Чайковский]</t>
        </is>
      </c>
      <c r="G84" s="3">
        <f>ROUND(D84/(100-E84)*100,2)</f>
        <v/>
      </c>
      <c r="H84" s="3" t="n">
        <v>0</v>
      </c>
      <c r="I84" s="3">
        <f>ROUND(IF(ISNUMBER(AG84),AG84,G84)+H84,2)</f>
        <v/>
      </c>
      <c r="J84" s="2" t="inlineStr">
        <is>
          <t>Завтрак "Шведский стол"</t>
        </is>
      </c>
      <c r="K84" s="5" t="n">
        <v>46241.58333333334</v>
      </c>
      <c r="L84" t="n">
        <v>2</v>
      </c>
      <c r="M84" s="3">
        <f>I84/L84</f>
        <v/>
      </c>
      <c r="N84">
        <f>IF(M84&gt;=5100,"ставка","мин.ставка")</f>
        <v/>
      </c>
      <c r="O84" s="3">
        <f>ROUND(IF(N84="мин.ставка",L84*100,I84/102*2),2)</f>
        <v/>
      </c>
      <c r="P84" s="5" t="n">
        <v>46243.5</v>
      </c>
      <c r="Q84" t="inlineStr">
        <is>
          <t>TravelLine ресепшен</t>
        </is>
      </c>
      <c r="R84" s="2" t="inlineStr">
        <is>
          <t>СТАНДАРТНЫЙ ДВУХМЕСТНЫЙ НОМЕР</t>
        </is>
      </c>
      <c r="S84" t="n">
        <v>52</v>
      </c>
      <c r="T84" t="n">
        <v>2</v>
      </c>
      <c r="U84" t="inlineStr"/>
      <c r="V84" t="inlineStr">
        <is>
          <t>Тариф с завтраком</t>
        </is>
      </c>
      <c r="W84" t="n">
        <v>26700</v>
      </c>
      <c r="X84" s="3" t="n">
        <v>0</v>
      </c>
      <c r="Y84" t="inlineStr"/>
      <c r="Z84" t="inlineStr"/>
      <c r="AA84" s="3" t="n">
        <v>26700</v>
      </c>
      <c r="AB84" t="inlineStr">
        <is>
          <t>Сошлось по ночным тарифам</t>
        </is>
      </c>
      <c r="AC84" s="2" t="inlineStr"/>
      <c r="AD84" t="n">
        <v>0</v>
      </c>
      <c r="AE84" t="n">
        <v>0</v>
      </c>
      <c r="AF84" t="inlineStr">
        <is>
          <t>Скидки нет</t>
        </is>
      </c>
      <c r="AG84" t="n">
        <v>26700</v>
      </c>
      <c r="AH84" t="n">
        <v>26700</v>
      </c>
      <c r="AI84" t="inlineStr">
        <is>
          <t>Полное проживание в выбранном периоде</t>
        </is>
      </c>
    </row>
    <row r="85">
      <c r="A85" t="inlineStr">
        <is>
          <t>20260629-8186-437245802</t>
        </is>
      </c>
      <c r="B85" t="n">
        <v>1</v>
      </c>
      <c r="C85" s="2" t="inlineStr">
        <is>
          <t>Валерий Марунич</t>
        </is>
      </c>
      <c r="D85" s="3" t="n">
        <v>36320</v>
      </c>
      <c r="E85" s="4" t="n">
        <v>20</v>
      </c>
      <c r="F85" t="inlineStr">
        <is>
          <t>ООО "УК ГЦБ и Т" [Чайковский]</t>
        </is>
      </c>
      <c r="G85" s="3">
        <f>ROUND(D85/(100-E85)*100,2)</f>
        <v/>
      </c>
      <c r="H85" s="3" t="n">
        <v>0</v>
      </c>
      <c r="I85" s="3">
        <f>ROUND(IF(ISNUMBER(AG85),AG85,G85)+H85,2)</f>
        <v/>
      </c>
      <c r="J85" s="2" t="inlineStr"/>
      <c r="K85" s="5" t="n">
        <v>46202.58333333334</v>
      </c>
      <c r="L85" t="n">
        <v>2</v>
      </c>
      <c r="M85" s="3">
        <f>I85/L85</f>
        <v/>
      </c>
      <c r="N85">
        <f>IF(M85&gt;=5100,"ставка","мин.ставка")</f>
        <v/>
      </c>
      <c r="O85" s="3">
        <f>ROUND(IF(N85="мин.ставка",L85*100,I85/102*2),2)</f>
        <v/>
      </c>
      <c r="P85" s="5" t="n">
        <v>46206.5</v>
      </c>
      <c r="Q85" t="inlineStr">
        <is>
          <t>TravelLine CBC</t>
        </is>
      </c>
      <c r="R85" s="2" t="inlineStr">
        <is>
          <t>СТАНДАРТНЫЙ ДВУХМЕСТНЫЙ НОМЕР</t>
        </is>
      </c>
      <c r="S85" t="n">
        <v>58</v>
      </c>
      <c r="T85" t="n">
        <v>2</v>
      </c>
      <c r="U85" t="inlineStr"/>
      <c r="V85" t="inlineStr">
        <is>
          <t>Тариф с завтраком</t>
        </is>
      </c>
      <c r="W85" t="n">
        <v>36320</v>
      </c>
      <c r="X85" s="3" t="n">
        <v>9080</v>
      </c>
      <c r="Y85" t="inlineStr">
        <is>
          <t>20%</t>
        </is>
      </c>
      <c r="Z85" t="inlineStr">
        <is>
          <t>2026-06-29, 2026-06-30, 2026-07-01, 2026-07-02</t>
        </is>
      </c>
      <c r="AA85" s="3" t="n">
        <v>36320</v>
      </c>
      <c r="AB85" t="inlineStr">
        <is>
          <t>Сошлось по ночным тарифам</t>
        </is>
      </c>
      <c r="AC85" s="2" t="inlineStr"/>
      <c r="AD85" t="n">
        <v>4540</v>
      </c>
      <c r="AE85" t="n">
        <v>0</v>
      </c>
      <c r="AF85" t="inlineStr">
        <is>
          <t>Ночи скидки определены по dailyRates; в базу добавлена только часть выбранного периода</t>
        </is>
      </c>
      <c r="AG85" t="n">
        <v>22700</v>
      </c>
      <c r="AH85" t="n">
        <v>18160</v>
      </c>
      <c r="AI85" t="inlineStr">
        <is>
          <t>Частичное проживание распределено по dailyRates</t>
        </is>
      </c>
    </row>
    <row r="86">
      <c r="A86" t="inlineStr">
        <is>
          <t>20260811-8186-456721547</t>
        </is>
      </c>
      <c r="B86" t="n">
        <v>1</v>
      </c>
      <c r="C86" s="2" t="inlineStr">
        <is>
          <t>Василий Лаптев, мария Лаптева</t>
        </is>
      </c>
      <c r="D86" s="3" t="n">
        <v>89000</v>
      </c>
      <c r="E86" s="4" t="n">
        <v>0</v>
      </c>
      <c r="F86" t="inlineStr">
        <is>
          <t>Прямые бронирования (стойка) [Чайковский]</t>
        </is>
      </c>
      <c r="G86" s="3">
        <f>ROUND(D86/(100-E86)*100,2)</f>
        <v/>
      </c>
      <c r="H86" s="3" t="n">
        <v>0</v>
      </c>
      <c r="I86" s="3">
        <f>ROUND(IF(ISNUMBER(AG86),AG86,G86)+H86,2)</f>
        <v/>
      </c>
      <c r="J86" s="2" t="inlineStr">
        <is>
          <t>Завтрак "Шведский стол"</t>
        </is>
      </c>
      <c r="K86" s="5" t="n">
        <v>46245.58333333334</v>
      </c>
      <c r="L86" t="n">
        <v>5</v>
      </c>
      <c r="M86" s="3">
        <f>I86/L86</f>
        <v/>
      </c>
      <c r="N86">
        <f>IF(M86&gt;=5100,"ставка","мин.ставка")</f>
        <v/>
      </c>
      <c r="O86" s="3">
        <f>ROUND(IF(N86="мин.ставка",L86*100,I86/102*2),2)</f>
        <v/>
      </c>
      <c r="P86" s="5" t="n">
        <v>46250.5</v>
      </c>
      <c r="Q86" t="inlineStr">
        <is>
          <t>TravelLine ресепшен</t>
        </is>
      </c>
      <c r="R86" s="2" t="inlineStr">
        <is>
          <t>ЛЮКС ВТОРОЙ КОРПУС</t>
        </is>
      </c>
      <c r="S86" t="n">
        <v>54</v>
      </c>
      <c r="T86" t="n">
        <v>2</v>
      </c>
      <c r="U86" t="inlineStr"/>
      <c r="V86" t="inlineStr">
        <is>
          <t>Тариф с завтраком</t>
        </is>
      </c>
      <c r="W86" t="n">
        <v>89000</v>
      </c>
      <c r="X86" s="3" t="n">
        <v>0</v>
      </c>
      <c r="Y86" t="inlineStr"/>
      <c r="Z86" t="inlineStr"/>
      <c r="AA86" s="3" t="n">
        <v>89000</v>
      </c>
      <c r="AB86" t="inlineStr">
        <is>
          <t>Сошлось по ночным тарифам</t>
        </is>
      </c>
      <c r="AC86" s="2" t="inlineStr"/>
      <c r="AD86" t="n">
        <v>0</v>
      </c>
      <c r="AE86" t="n">
        <v>0</v>
      </c>
      <c r="AF86" t="inlineStr">
        <is>
          <t>Скидки нет</t>
        </is>
      </c>
      <c r="AG86" t="n">
        <v>89000</v>
      </c>
      <c r="AH86" t="n">
        <v>89000</v>
      </c>
      <c r="AI86" t="inlineStr">
        <is>
          <t>Полное проживание в выбранном периоде</t>
        </is>
      </c>
    </row>
    <row r="87">
      <c r="A87" t="inlineStr">
        <is>
          <t>20260716-8186-439058294</t>
        </is>
      </c>
      <c r="B87" t="n">
        <v>1</v>
      </c>
      <c r="C87" s="2" t="inlineStr">
        <is>
          <t>ВАСИЛИЙ ЛИМАНСКИЙ, АЛЛА ЛИМАНСКАЯ, ЛЕОНИД ЛИМАНСКИЙ</t>
        </is>
      </c>
      <c r="D87" s="3" t="n">
        <v>34042.5</v>
      </c>
      <c r="E87" s="4" t="n">
        <v>15</v>
      </c>
      <c r="F87" t="inlineStr">
        <is>
          <t>ООО "БРОНИРОВАНИЕ ГОСТИНИЦ" (OSTROVOK) [Чайковский]</t>
        </is>
      </c>
      <c r="G87" s="3">
        <f>ROUND(D87/(100-E87)*100,2)</f>
        <v/>
      </c>
      <c r="H87" s="3" t="n">
        <v>8400</v>
      </c>
      <c r="I87" s="3">
        <f>ROUND(IF(ISNUMBER(AG87),AG87,G87)+H87,2)</f>
        <v/>
      </c>
      <c r="J87" s="2" t="inlineStr">
        <is>
          <t>продление номера — 8 400,00 ₽; Завтрак "Шведский стол"</t>
        </is>
      </c>
      <c r="K87" s="5" t="n">
        <v>46219.58333333334</v>
      </c>
      <c r="L87" t="n">
        <v>3</v>
      </c>
      <c r="M87" s="3">
        <f>I87/L87</f>
        <v/>
      </c>
      <c r="N87">
        <f>IF(M87&gt;=5100,"ставка","мин.ставка")</f>
        <v/>
      </c>
      <c r="O87" s="3">
        <f>ROUND(IF(N87="мин.ставка",L87*100,I87/102*2),2)</f>
        <v/>
      </c>
      <c r="P87" s="5" t="n">
        <v>46222.5</v>
      </c>
      <c r="Q87" t="inlineStr">
        <is>
          <t>TravelLine OTK</t>
        </is>
      </c>
      <c r="R87" s="2" t="inlineStr">
        <is>
          <t>СЕМЕЙНЫЙ НОМЕР КАТЕГОРИИ "СТАНДАРТ" ВТОРОЙ КОРПУС</t>
        </is>
      </c>
      <c r="S87" t="n">
        <v>51</v>
      </c>
      <c r="T87" t="n">
        <v>2</v>
      </c>
      <c r="U87" t="inlineStr"/>
      <c r="V87" t="inlineStr">
        <is>
          <t>Тариф с завтраком</t>
        </is>
      </c>
      <c r="W87" t="n">
        <v>42442.5</v>
      </c>
      <c r="X87" s="3" t="n">
        <v>6007.5</v>
      </c>
      <c r="Y87" t="inlineStr">
        <is>
          <t>15%</t>
        </is>
      </c>
      <c r="Z87" t="inlineStr">
        <is>
          <t>2026-07-16, 2026-07-17, 2026-07-18</t>
        </is>
      </c>
      <c r="AA87" s="3" t="n">
        <v>34042.5</v>
      </c>
      <c r="AB87" t="inlineStr">
        <is>
          <t>Сошлось с услугами</t>
        </is>
      </c>
      <c r="AC87" s="2" t="inlineStr"/>
      <c r="AD87" t="n">
        <v>6007.5</v>
      </c>
      <c r="AE87" t="n">
        <v>0</v>
      </c>
      <c r="AF87" t="inlineStr">
        <is>
          <t>Скидка добавлена к налоговой базе</t>
        </is>
      </c>
      <c r="AG87" t="n">
        <v>40050</v>
      </c>
      <c r="AH87" t="n">
        <v>34042.5</v>
      </c>
      <c r="AI87" t="inlineStr">
        <is>
          <t>Полное проживание в выбранном периоде</t>
        </is>
      </c>
    </row>
    <row r="88">
      <c r="A88" t="inlineStr">
        <is>
          <t>20260907-8186-458413850</t>
        </is>
      </c>
      <c r="B88" t="n">
        <v>1</v>
      </c>
      <c r="C88" s="2" t="inlineStr">
        <is>
          <t>ВЕНЕРА Мкртычян, ТАТЬЯНА Жидкова</t>
        </is>
      </c>
      <c r="D88" s="3" t="n">
        <v>53400</v>
      </c>
      <c r="E88" s="4" t="n">
        <v>20</v>
      </c>
      <c r="F88" t="inlineStr">
        <is>
          <t>ООО "КОМПАНИЯ БРОНЕВИК" [Чайковский]</t>
        </is>
      </c>
      <c r="G88" s="3">
        <f>ROUND(D88/(100-E88)*100,2)</f>
        <v/>
      </c>
      <c r="H88" s="3" t="n">
        <v>0</v>
      </c>
      <c r="I88" s="3">
        <f>ROUND(IF(ISNUMBER(AG88),AG88,G88)+H88,2)</f>
        <v/>
      </c>
      <c r="J88" s="2" t="inlineStr">
        <is>
          <t>Завтрак "Шведский стол"</t>
        </is>
      </c>
      <c r="K88" s="5" t="n">
        <v>46272.58333333334</v>
      </c>
      <c r="L88" t="n">
        <v>5</v>
      </c>
      <c r="M88" s="3">
        <f>I88/L88</f>
        <v/>
      </c>
      <c r="N88">
        <f>IF(M88&gt;=5100,"ставка","мин.ставка")</f>
        <v/>
      </c>
      <c r="O88" s="3">
        <f>ROUND(IF(N88="мин.ставка",L88*100,I88/102*2),2)</f>
        <v/>
      </c>
      <c r="P88" s="5" t="n">
        <v>46277.5</v>
      </c>
      <c r="Q88" t="inlineStr">
        <is>
          <t>TravelLine BR2</t>
        </is>
      </c>
      <c r="R88" s="2" t="inlineStr">
        <is>
          <t>УЛУЧШЕННЫЙ ДВУХМЕСТНЫЙ НОМЕР</t>
        </is>
      </c>
      <c r="S88" t="n">
        <v>59</v>
      </c>
      <c r="T88" t="n">
        <v>2</v>
      </c>
      <c r="U88" t="inlineStr"/>
      <c r="V88" t="inlineStr">
        <is>
          <t>Тариф с завтраком</t>
        </is>
      </c>
      <c r="W88" t="n">
        <v>53400</v>
      </c>
      <c r="X88" s="3" t="n">
        <v>0</v>
      </c>
      <c r="Y88" t="inlineStr"/>
      <c r="Z88" t="inlineStr"/>
      <c r="AA88" s="3" t="n">
        <v>53400</v>
      </c>
      <c r="AB88" t="inlineStr">
        <is>
          <t>Сошлось по ночным тарифам</t>
        </is>
      </c>
      <c r="AC88" s="2" t="inlineStr"/>
      <c r="AD88" t="n">
        <v>0</v>
      </c>
      <c r="AE88" t="n">
        <v>0</v>
      </c>
      <c r="AF88" t="inlineStr">
        <is>
          <t>Скидки нет</t>
        </is>
      </c>
      <c r="AG88" t="n">
        <v>53400</v>
      </c>
      <c r="AH88" t="n">
        <v>53400</v>
      </c>
      <c r="AI88" t="inlineStr">
        <is>
          <t>Полное проживание в выбранном периоде</t>
        </is>
      </c>
    </row>
    <row r="89">
      <c r="A89" t="inlineStr">
        <is>
          <t>20260812-8186-457461972</t>
        </is>
      </c>
      <c r="B89" t="n">
        <v>1</v>
      </c>
      <c r="C89" s="2" t="inlineStr">
        <is>
          <t>Вера Аксенова, Иван Васильев</t>
        </is>
      </c>
      <c r="D89" s="3" t="n">
        <v>57352.05</v>
      </c>
      <c r="E89" s="4" t="n">
        <v>4</v>
      </c>
      <c r="F89" t="inlineStr">
        <is>
          <t>TravelLine Booking Engine [Чайковский]</t>
        </is>
      </c>
      <c r="G89" s="3">
        <f>ROUND(D89/(100-E89)*100,2)</f>
        <v/>
      </c>
      <c r="H89" s="3" t="n">
        <v>0</v>
      </c>
      <c r="I89" s="3">
        <f>ROUND(IF(ISNUMBER(AG89),AG89,G89)+H89,2)</f>
        <v/>
      </c>
      <c r="J89" s="2" t="inlineStr">
        <is>
          <t>Завтрак "Шведский стол"</t>
        </is>
      </c>
      <c r="K89" s="5" t="n">
        <v>46246.58333333334</v>
      </c>
      <c r="L89" t="n">
        <v>4</v>
      </c>
      <c r="M89" s="3">
        <f>I89/L89</f>
        <v/>
      </c>
      <c r="N89">
        <f>IF(M89&gt;=5100,"ставка","мин.ставка")</f>
        <v/>
      </c>
      <c r="O89" s="3">
        <f>ROUND(IF(N89="мин.ставка",L89*100,I89/102*2),2)</f>
        <v/>
      </c>
      <c r="P89" s="5" t="n">
        <v>46250.5</v>
      </c>
      <c r="Q89" t="inlineStr">
        <is>
          <t>TravelLine сайт</t>
        </is>
      </c>
      <c r="R89" s="2" t="inlineStr">
        <is>
          <t>СЕМЕЙНЫЙ НОМЕР КАТЕГОРИИ "СТАНДАРТ" ВТОРОЙ КОРПУС</t>
        </is>
      </c>
      <c r="S89" t="n">
        <v>50</v>
      </c>
      <c r="T89" t="n">
        <v>2</v>
      </c>
      <c r="U89" t="inlineStr"/>
      <c r="V89" t="inlineStr">
        <is>
          <t>Тариф с завтраком</t>
        </is>
      </c>
      <c r="W89" t="n">
        <v>57352.05</v>
      </c>
      <c r="X89" s="3" t="n">
        <v>447.95</v>
      </c>
      <c r="Y89" t="inlineStr">
        <is>
          <t>3.1%</t>
        </is>
      </c>
      <c r="Z89" t="inlineStr">
        <is>
          <t>2026-08-12</t>
        </is>
      </c>
      <c r="AA89" s="3" t="n">
        <v>57352.05</v>
      </c>
      <c r="AB89" t="inlineStr">
        <is>
          <t>Сошлось по ночным тарифам</t>
        </is>
      </c>
      <c r="AC89" s="2" t="inlineStr"/>
      <c r="AD89" t="n">
        <v>447.95</v>
      </c>
      <c r="AE89" t="n">
        <v>0</v>
      </c>
      <c r="AF89" t="inlineStr">
        <is>
          <t>Скидка добавлена к налоговой базе</t>
        </is>
      </c>
      <c r="AG89" t="n">
        <v>57800</v>
      </c>
      <c r="AH89" t="n">
        <v>57352.05</v>
      </c>
      <c r="AI89" t="inlineStr">
        <is>
          <t>Полное проживание в выбранном периоде</t>
        </is>
      </c>
    </row>
    <row r="90">
      <c r="A90" t="inlineStr">
        <is>
          <t>20260710-8186-449179588</t>
        </is>
      </c>
      <c r="B90" t="n">
        <v>1</v>
      </c>
      <c r="C90" s="2" t="inlineStr">
        <is>
          <t>Виктор Дьяков</t>
        </is>
      </c>
      <c r="D90" s="3" t="n">
        <v>9315</v>
      </c>
      <c r="E90" s="4" t="n">
        <v>0</v>
      </c>
      <c r="F90" t="inlineStr">
        <is>
          <t>Прямые бронирования (стойка) [Чайковский]</t>
        </is>
      </c>
      <c r="G90" s="3">
        <f>ROUND(D90/(100-E90)*100,2)</f>
        <v/>
      </c>
      <c r="H90" s="3" t="n">
        <v>0</v>
      </c>
      <c r="I90" s="3">
        <f>ROUND(IF(ISNUMBER(AG90),AG90,G90)+H90,2)</f>
        <v/>
      </c>
      <c r="J90" s="2" t="inlineStr">
        <is>
          <t>Завтрак "Шведский стол"</t>
        </is>
      </c>
      <c r="K90" s="5" t="n">
        <v>46213.58333333334</v>
      </c>
      <c r="L90" t="n">
        <v>1</v>
      </c>
      <c r="M90" s="3">
        <f>I90/L90</f>
        <v/>
      </c>
      <c r="N90">
        <f>IF(M90&gt;=5100,"ставка","мин.ставка")</f>
        <v/>
      </c>
      <c r="O90" s="3">
        <f>ROUND(IF(N90="мин.ставка",L90*100,I90/102*2),2)</f>
        <v/>
      </c>
      <c r="P90" s="5" t="n">
        <v>46214.5</v>
      </c>
      <c r="Q90" t="inlineStr">
        <is>
          <t>TravelLine ресепшен</t>
        </is>
      </c>
      <c r="R90" s="2" t="inlineStr">
        <is>
          <t>СТАНДАРТНЫЙ ДВУХМЕСТНЫЙ НОМЕР</t>
        </is>
      </c>
      <c r="S90" t="n">
        <v>52</v>
      </c>
      <c r="T90" t="n">
        <v>2</v>
      </c>
      <c r="U90" t="inlineStr"/>
      <c r="V90" t="inlineStr">
        <is>
          <t>Тариф с завтраком</t>
        </is>
      </c>
      <c r="W90" t="n">
        <v>9315</v>
      </c>
      <c r="X90" s="3" t="n">
        <v>1035</v>
      </c>
      <c r="Y90" t="inlineStr">
        <is>
          <t>10%</t>
        </is>
      </c>
      <c r="Z90" t="inlineStr">
        <is>
          <t>2026-07-10</t>
        </is>
      </c>
      <c r="AA90" s="3" t="n">
        <v>9315</v>
      </c>
      <c r="AB90" t="inlineStr">
        <is>
          <t>Сошлось по ночным тарифам</t>
        </is>
      </c>
      <c r="AC90" s="2" t="inlineStr"/>
      <c r="AD90" t="n">
        <v>1035</v>
      </c>
      <c r="AE90" t="n">
        <v>0</v>
      </c>
      <c r="AF90" t="inlineStr">
        <is>
          <t>Скидка добавлена к налоговой базе</t>
        </is>
      </c>
      <c r="AG90" t="n">
        <v>10350</v>
      </c>
      <c r="AH90" t="n">
        <v>9315</v>
      </c>
      <c r="AI90" t="inlineStr">
        <is>
          <t>Полное проживание в выбранном периоде</t>
        </is>
      </c>
    </row>
    <row r="91">
      <c r="A91" t="inlineStr">
        <is>
          <t>20260810-8186-439226204</t>
        </is>
      </c>
      <c r="B91" t="n">
        <v>1</v>
      </c>
      <c r="C91" s="2" t="inlineStr">
        <is>
          <t>ВИКТОР МАРТЫНОВ</t>
        </is>
      </c>
      <c r="D91" s="3" t="n">
        <v>21440</v>
      </c>
      <c r="E91" s="4" t="n">
        <v>20</v>
      </c>
      <c r="F91" t="inlineStr">
        <is>
          <t>ООО "ХБ-ПРО" [Чайковский]</t>
        </is>
      </c>
      <c r="G91" s="3">
        <f>ROUND(D91/(100-E91)*100,2)</f>
        <v/>
      </c>
      <c r="H91" s="3" t="n">
        <v>0</v>
      </c>
      <c r="I91" s="3">
        <f>ROUND(IF(ISNUMBER(AG91),AG91,G91)+H91,2)</f>
        <v/>
      </c>
      <c r="J91" s="2" t="inlineStr">
        <is>
          <t>Завтрак "Шведский стол"</t>
        </is>
      </c>
      <c r="K91" s="5" t="n">
        <v>46244.58333333334</v>
      </c>
      <c r="L91" t="n">
        <v>2</v>
      </c>
      <c r="M91" s="3">
        <f>I91/L91</f>
        <v/>
      </c>
      <c r="N91">
        <f>IF(M91&gt;=5100,"ставка","мин.ставка")</f>
        <v/>
      </c>
      <c r="O91" s="3">
        <f>ROUND(IF(N91="мин.ставка",L91*100,I91/102*2),2)</f>
        <v/>
      </c>
      <c r="P91" s="5" t="n">
        <v>46246.5</v>
      </c>
      <c r="Q91" t="inlineStr">
        <is>
          <t>TravelLine UTS</t>
        </is>
      </c>
      <c r="R91" s="2" t="inlineStr">
        <is>
          <t>УЛУЧШЕННЫЙ ДВУХМЕСТНЫЙ НОМЕР</t>
        </is>
      </c>
      <c r="S91" t="n">
        <v>56</v>
      </c>
      <c r="T91" t="n">
        <v>2</v>
      </c>
      <c r="U91" t="inlineStr"/>
      <c r="V91" t="inlineStr">
        <is>
          <t>Тариф с завтраком</t>
        </is>
      </c>
      <c r="W91" t="n">
        <v>21440</v>
      </c>
      <c r="X91" s="3" t="n">
        <v>0</v>
      </c>
      <c r="Y91" t="inlineStr"/>
      <c r="Z91" t="inlineStr"/>
      <c r="AA91" s="3" t="n">
        <v>21440</v>
      </c>
      <c r="AB91" t="inlineStr">
        <is>
          <t>Сошлось по ночным тарифам</t>
        </is>
      </c>
      <c r="AC91" s="2" t="inlineStr"/>
      <c r="AD91" t="n">
        <v>0</v>
      </c>
      <c r="AE91" t="n">
        <v>0</v>
      </c>
      <c r="AF91" t="inlineStr">
        <is>
          <t>Скидки нет</t>
        </is>
      </c>
      <c r="AG91" t="n">
        <v>21440</v>
      </c>
      <c r="AH91" t="n">
        <v>21440</v>
      </c>
      <c r="AI91" t="inlineStr">
        <is>
          <t>Полное проживание в выбранном периоде</t>
        </is>
      </c>
    </row>
    <row r="92">
      <c r="A92" t="inlineStr">
        <is>
          <t>20260721-8186-448633630</t>
        </is>
      </c>
      <c r="B92" t="n">
        <v>1</v>
      </c>
      <c r="C92" s="2" t="inlineStr">
        <is>
          <t>Виктор Распутин</t>
        </is>
      </c>
      <c r="D92" s="3" t="n">
        <v>27240</v>
      </c>
      <c r="E92" s="4" t="n">
        <v>18</v>
      </c>
      <c r="F92" t="inlineStr">
        <is>
          <t>Яндекс.Путешествия [Чайковский]</t>
        </is>
      </c>
      <c r="G92" s="3">
        <f>ROUND(D92/(100-E92)*100,2)</f>
        <v/>
      </c>
      <c r="H92" s="3" t="n">
        <v>960</v>
      </c>
      <c r="I92" s="3">
        <f>ROUND(IF(ISNUMBER(AG92),AG92,G92)+H92,2)</f>
        <v/>
      </c>
      <c r="J92" s="2" t="inlineStr">
        <is>
          <t>продление номера — 960,00 ₽; Завтрак "Шведский стол"</t>
        </is>
      </c>
      <c r="K92" s="5" t="n">
        <v>46224.58333333334</v>
      </c>
      <c r="L92" t="n">
        <v>3</v>
      </c>
      <c r="M92" s="3">
        <f>I92/L92</f>
        <v/>
      </c>
      <c r="N92">
        <f>IF(M92&gt;=5100,"ставка","мин.ставка")</f>
        <v/>
      </c>
      <c r="O92" s="3">
        <f>ROUND(IF(N92="мин.ставка",L92*100,I92/102*2),2)</f>
        <v/>
      </c>
      <c r="P92" s="5" t="n">
        <v>46227.5</v>
      </c>
      <c r="Q92" t="inlineStr">
        <is>
          <t>TravelLine YAX</t>
        </is>
      </c>
      <c r="R92" s="2" t="inlineStr">
        <is>
          <t>СТАНДАРТНЫЙ ДВУХМЕСТНЫЙ НОМЕР</t>
        </is>
      </c>
      <c r="S92" t="n">
        <v>52</v>
      </c>
      <c r="T92" t="n">
        <v>2</v>
      </c>
      <c r="U92" t="inlineStr"/>
      <c r="V92" t="inlineStr">
        <is>
          <t>Тариф с завтраком</t>
        </is>
      </c>
      <c r="W92" t="n">
        <v>28200</v>
      </c>
      <c r="X92" s="3" t="n">
        <v>6810</v>
      </c>
      <c r="Y92" t="inlineStr">
        <is>
          <t>20%</t>
        </is>
      </c>
      <c r="Z92" t="inlineStr">
        <is>
          <t>2026-07-21, 2026-07-22, 2026-07-23</t>
        </is>
      </c>
      <c r="AA92" s="3" t="n">
        <v>27240</v>
      </c>
      <c r="AB92" t="inlineStr">
        <is>
          <t>Сошлось с услугами</t>
        </is>
      </c>
      <c r="AC92" s="2" t="inlineStr"/>
      <c r="AD92" t="n">
        <v>6810</v>
      </c>
      <c r="AE92" t="n">
        <v>0</v>
      </c>
      <c r="AF92" t="inlineStr">
        <is>
          <t>Скидка добавлена к налоговой базе</t>
        </is>
      </c>
      <c r="AG92" t="n">
        <v>34050</v>
      </c>
      <c r="AH92" t="n">
        <v>27240</v>
      </c>
      <c r="AI92" t="inlineStr">
        <is>
          <t>Полное проживание в выбранном периоде</t>
        </is>
      </c>
    </row>
    <row r="93">
      <c r="A93" t="inlineStr">
        <is>
          <t>20260729-8186-451492736</t>
        </is>
      </c>
      <c r="B93" t="n">
        <v>1</v>
      </c>
      <c r="C93" s="2" t="inlineStr">
        <is>
          <t>Виктория Квинт</t>
        </is>
      </c>
      <c r="D93" s="3" t="n">
        <v>10215</v>
      </c>
      <c r="E93" s="4" t="n">
        <v>0</v>
      </c>
      <c r="F93" t="inlineStr">
        <is>
          <t>Прямые бронирования (стойка) [Чайковский]</t>
        </is>
      </c>
      <c r="G93" s="3">
        <f>ROUND(D93/(100-E93)*100,2)</f>
        <v/>
      </c>
      <c r="H93" s="3" t="n">
        <v>0</v>
      </c>
      <c r="I93" s="3">
        <f>ROUND(IF(ISNUMBER(AG93),AG93,G93)+H93,2)</f>
        <v/>
      </c>
      <c r="J93" s="2" t="inlineStr">
        <is>
          <t>Завтрак "Шведский стол"</t>
        </is>
      </c>
      <c r="K93" s="5" t="n">
        <v>46232.58333333334</v>
      </c>
      <c r="L93" t="n">
        <v>1</v>
      </c>
      <c r="M93" s="3">
        <f>I93/L93</f>
        <v/>
      </c>
      <c r="N93">
        <f>IF(M93&gt;=5100,"ставка","мин.ставка")</f>
        <v/>
      </c>
      <c r="O93" s="3">
        <f>ROUND(IF(N93="мин.ставка",L93*100,I93/102*2),2)</f>
        <v/>
      </c>
      <c r="P93" s="5" t="n">
        <v>46233.5</v>
      </c>
      <c r="Q93" t="inlineStr">
        <is>
          <t>TravelLine ресепшен</t>
        </is>
      </c>
      <c r="R93" s="2" t="inlineStr">
        <is>
          <t>СТАНДАРТНЫЙ ДВУХМЕСТНЫЙ НОМЕР</t>
        </is>
      </c>
      <c r="S93" t="n">
        <v>52</v>
      </c>
      <c r="T93" t="n">
        <v>2</v>
      </c>
      <c r="U93" t="inlineStr"/>
      <c r="V93" t="inlineStr">
        <is>
          <t>Тариф с завтраком</t>
        </is>
      </c>
      <c r="W93" t="n">
        <v>10215</v>
      </c>
      <c r="X93" s="3" t="n">
        <v>1135</v>
      </c>
      <c r="Y93" t="inlineStr">
        <is>
          <t>10%</t>
        </is>
      </c>
      <c r="Z93" t="inlineStr">
        <is>
          <t>2026-07-29</t>
        </is>
      </c>
      <c r="AA93" s="3" t="n">
        <v>10215</v>
      </c>
      <c r="AB93" t="inlineStr">
        <is>
          <t>Сошлось по ночным тарифам</t>
        </is>
      </c>
      <c r="AC93" s="2" t="inlineStr"/>
      <c r="AD93" t="n">
        <v>1135</v>
      </c>
      <c r="AE93" t="n">
        <v>0</v>
      </c>
      <c r="AF93" t="inlineStr">
        <is>
          <t>Скидка добавлена к налоговой базе</t>
        </is>
      </c>
      <c r="AG93" t="n">
        <v>11350</v>
      </c>
      <c r="AH93" t="n">
        <v>10215</v>
      </c>
      <c r="AI93" t="inlineStr">
        <is>
          <t>Полное проживание в выбранном периоде</t>
        </is>
      </c>
    </row>
    <row r="94">
      <c r="A94" t="inlineStr">
        <is>
          <t>20260925-8186-468376304</t>
        </is>
      </c>
      <c r="B94" t="n">
        <v>1</v>
      </c>
      <c r="C94" s="2" t="inlineStr">
        <is>
          <t>Виталия Митряева, ALEKSEJS VAZENINS</t>
        </is>
      </c>
      <c r="D94" s="3" t="n">
        <v>12015</v>
      </c>
      <c r="E94" s="4" t="n">
        <v>0</v>
      </c>
      <c r="F94" t="inlineStr">
        <is>
          <t>Прямые бронирования (стойка) [Чайковский]</t>
        </is>
      </c>
      <c r="G94" s="3">
        <f>ROUND(D94/(100-E94)*100,2)</f>
        <v/>
      </c>
      <c r="H94" s="3" t="n">
        <v>0</v>
      </c>
      <c r="I94" s="3">
        <f>ROUND(IF(ISNUMBER(AG94),AG94,G94)+H94,2)</f>
        <v/>
      </c>
      <c r="J94" s="2" t="inlineStr">
        <is>
          <t>Завтрак "Шведский стол"</t>
        </is>
      </c>
      <c r="K94" s="5" t="n">
        <v>46290.58333333334</v>
      </c>
      <c r="L94" t="n">
        <v>1</v>
      </c>
      <c r="M94" s="3">
        <f>I94/L94</f>
        <v/>
      </c>
      <c r="N94">
        <f>IF(M94&gt;=5100,"ставка","мин.ставка")</f>
        <v/>
      </c>
      <c r="O94" s="3">
        <f>ROUND(IF(N94="мин.ставка",L94*100,I94/102*2),2)</f>
        <v/>
      </c>
      <c r="P94" s="5" t="n">
        <v>46291.5</v>
      </c>
      <c r="Q94" t="inlineStr">
        <is>
          <t>TravelLine ресепшен</t>
        </is>
      </c>
      <c r="R94" s="2" t="inlineStr">
        <is>
          <t>СТАНДАРТНЫЙ ДВУХМЕСТНЫЙ НОМЕР</t>
        </is>
      </c>
      <c r="S94" t="n">
        <v>52</v>
      </c>
      <c r="T94" t="n">
        <v>2</v>
      </c>
      <c r="U94" t="inlineStr"/>
      <c r="V94" t="inlineStr">
        <is>
          <t>Тариф с завтраком</t>
        </is>
      </c>
      <c r="W94" t="n">
        <v>12015</v>
      </c>
      <c r="X94" s="3" t="n">
        <v>1335</v>
      </c>
      <c r="Y94" t="inlineStr">
        <is>
          <t>10%</t>
        </is>
      </c>
      <c r="Z94" t="inlineStr">
        <is>
          <t>2026-09-25</t>
        </is>
      </c>
      <c r="AA94" s="3" t="n">
        <v>12015</v>
      </c>
      <c r="AB94" t="inlineStr">
        <is>
          <t>Сошлось по ночным тарифам</t>
        </is>
      </c>
      <c r="AC94" s="2" t="inlineStr"/>
      <c r="AD94" t="n">
        <v>1335</v>
      </c>
      <c r="AE94" t="n">
        <v>0</v>
      </c>
      <c r="AF94" t="inlineStr">
        <is>
          <t>Скидка добавлена к налоговой базе</t>
        </is>
      </c>
      <c r="AG94" t="n">
        <v>13350</v>
      </c>
      <c r="AH94" t="n">
        <v>12015</v>
      </c>
      <c r="AI94" t="inlineStr">
        <is>
          <t>Полное проживание в выбранном периоде</t>
        </is>
      </c>
    </row>
    <row r="95">
      <c r="A95" t="inlineStr">
        <is>
          <t>20260802-8186-436566081</t>
        </is>
      </c>
      <c r="B95" t="n">
        <v>1</v>
      </c>
      <c r="C95" s="2" t="inlineStr">
        <is>
          <t>Владимир Лысак, ЛАРИСА ЛЫСАК</t>
        </is>
      </c>
      <c r="D95" s="3" t="n">
        <v>45722.6</v>
      </c>
      <c r="E95" s="4" t="n">
        <v>4</v>
      </c>
      <c r="F95" t="inlineStr">
        <is>
          <t>TravelLine Booking Engine [Чайковский]</t>
        </is>
      </c>
      <c r="G95" s="3">
        <f>ROUND(D95/(100-E95)*100,2)</f>
        <v/>
      </c>
      <c r="H95" s="3" t="n">
        <v>0</v>
      </c>
      <c r="I95" s="3">
        <f>ROUND(IF(ISNUMBER(AG95),AG95,G95)+H95,2)</f>
        <v/>
      </c>
      <c r="J95" s="2" t="inlineStr">
        <is>
          <t>Завтрак "Шведский стол"</t>
        </is>
      </c>
      <c r="K95" s="5" t="n">
        <v>46236.58333333334</v>
      </c>
      <c r="L95" t="n">
        <v>3</v>
      </c>
      <c r="M95" s="3">
        <f>I95/L95</f>
        <v/>
      </c>
      <c r="N95">
        <f>IF(M95&gt;=5100,"ставка","мин.ставка")</f>
        <v/>
      </c>
      <c r="O95" s="3">
        <f>ROUND(IF(N95="мин.ставка",L95*100,I95/102*2),2)</f>
        <v/>
      </c>
      <c r="P95" s="5" t="n">
        <v>46239.5</v>
      </c>
      <c r="Q95" t="inlineStr">
        <is>
          <t>TravelLine сайт</t>
        </is>
      </c>
      <c r="R95" s="2" t="inlineStr">
        <is>
          <t>УЛУЧШЕННЫЙ ДВУХМЕСТНЫЙ НОМЕР</t>
        </is>
      </c>
      <c r="S95" t="n">
        <v>56</v>
      </c>
      <c r="T95" t="n">
        <v>2</v>
      </c>
      <c r="U95" t="inlineStr"/>
      <c r="V95" t="inlineStr">
        <is>
          <t>Тариф с завтраком</t>
        </is>
      </c>
      <c r="W95" t="n">
        <v>45722.6</v>
      </c>
      <c r="X95" s="3" t="n">
        <v>477.4</v>
      </c>
      <c r="Y95" t="inlineStr">
        <is>
          <t>3.1%</t>
        </is>
      </c>
      <c r="Z95" t="inlineStr">
        <is>
          <t>2026-08-02</t>
        </is>
      </c>
      <c r="AA95" s="3" t="n">
        <v>45722.6</v>
      </c>
      <c r="AB95" t="inlineStr">
        <is>
          <t>Сошлось по ночным тарифам</t>
        </is>
      </c>
      <c r="AC95" s="2" t="inlineStr"/>
      <c r="AD95" t="n">
        <v>477.4</v>
      </c>
      <c r="AE95" t="n">
        <v>0</v>
      </c>
      <c r="AF95" t="inlineStr">
        <is>
          <t>Скидка добавлена к налоговой базе</t>
        </is>
      </c>
      <c r="AG95" t="n">
        <v>46200</v>
      </c>
      <c r="AH95" t="n">
        <v>45722.6</v>
      </c>
      <c r="AI95" t="inlineStr">
        <is>
          <t>Полное проживание в выбранном периоде</t>
        </is>
      </c>
    </row>
    <row r="96">
      <c r="A96" t="inlineStr">
        <is>
          <t>20260716-8186-449844870</t>
        </is>
      </c>
      <c r="B96" t="n">
        <v>1</v>
      </c>
      <c r="C96" s="2" t="inlineStr">
        <is>
          <t>Владимир Преображенский</t>
        </is>
      </c>
      <c r="D96" s="3" t="n">
        <v>8900</v>
      </c>
      <c r="E96" s="4" t="n">
        <v>0</v>
      </c>
      <c r="F96" t="inlineStr">
        <is>
          <t>Прямые бронирования (стойка) [Чайковский]</t>
        </is>
      </c>
      <c r="G96" s="3">
        <f>ROUND(D96/(100-E96)*100,2)</f>
        <v/>
      </c>
      <c r="H96" s="3" t="n">
        <v>0</v>
      </c>
      <c r="I96" s="3">
        <f>ROUND(IF(ISNUMBER(AG96),AG96,G96)+H96,2)</f>
        <v/>
      </c>
      <c r="J96" s="2" t="inlineStr">
        <is>
          <t>Завтрак "Шведский стол"</t>
        </is>
      </c>
      <c r="K96" s="5" t="n">
        <v>46219.58333333334</v>
      </c>
      <c r="L96" t="n">
        <v>1</v>
      </c>
      <c r="M96" s="3">
        <f>I96/L96</f>
        <v/>
      </c>
      <c r="N96">
        <f>IF(M96&gt;=5100,"ставка","мин.ставка")</f>
        <v/>
      </c>
      <c r="O96" s="3">
        <f>ROUND(IF(N96="мин.ставка",L96*100,I96/102*2),2)</f>
        <v/>
      </c>
      <c r="P96" s="5" t="n">
        <v>46220.5</v>
      </c>
      <c r="Q96" t="inlineStr">
        <is>
          <t>TravelLine ресепшен</t>
        </is>
      </c>
      <c r="R96" s="2" t="inlineStr">
        <is>
          <t>СЕМЕЙНЫЙ НОМЕР КАТЕГОРИИ "СТАНДАРТ" ВТОРОЙ КОРПУС</t>
        </is>
      </c>
      <c r="S96" t="n">
        <v>50</v>
      </c>
      <c r="T96" t="n">
        <v>2</v>
      </c>
      <c r="U96" t="inlineStr"/>
      <c r="V96" t="inlineStr">
        <is>
          <t>Тариф с завтраком</t>
        </is>
      </c>
      <c r="W96" t="n">
        <v>8900</v>
      </c>
      <c r="X96" s="3" t="n">
        <v>0</v>
      </c>
      <c r="Y96" t="inlineStr"/>
      <c r="Z96" t="inlineStr"/>
      <c r="AA96" s="3" t="n">
        <v>8900</v>
      </c>
      <c r="AB96" t="inlineStr">
        <is>
          <t>Сошлось по ночным тарифам</t>
        </is>
      </c>
      <c r="AC96" s="2" t="inlineStr"/>
      <c r="AD96" t="n">
        <v>0</v>
      </c>
      <c r="AE96" t="n">
        <v>0</v>
      </c>
      <c r="AF96" t="inlineStr">
        <is>
          <t>Скидки нет</t>
        </is>
      </c>
      <c r="AG96" t="n">
        <v>8900</v>
      </c>
      <c r="AH96" t="n">
        <v>8900</v>
      </c>
      <c r="AI96" t="inlineStr">
        <is>
          <t>Полное проживание в выбранном периоде</t>
        </is>
      </c>
    </row>
    <row r="97">
      <c r="A97" t="inlineStr">
        <is>
          <t>20260809-8186-455020540</t>
        </is>
      </c>
      <c r="B97" t="n">
        <v>1</v>
      </c>
      <c r="C97" s="2" t="inlineStr">
        <is>
          <t>Владимир Скрипкин, ОЛЕСЯ ГАЛАНОВА</t>
        </is>
      </c>
      <c r="D97" s="3" t="n">
        <v>35048.2</v>
      </c>
      <c r="E97" s="4" t="n">
        <v>4</v>
      </c>
      <c r="F97" t="inlineStr">
        <is>
          <t>TravelLine Booking Engine [Чайковский]</t>
        </is>
      </c>
      <c r="G97" s="3">
        <f>ROUND(D97/(100-E97)*100,2)</f>
        <v/>
      </c>
      <c r="H97" s="3" t="n">
        <v>0</v>
      </c>
      <c r="I97" s="3">
        <f>ROUND(IF(ISNUMBER(AG97),AG97,G97)+H97,2)</f>
        <v/>
      </c>
      <c r="J97" s="2" t="inlineStr">
        <is>
          <t>Завтрак "Шведский стол"</t>
        </is>
      </c>
      <c r="K97" s="5" t="n">
        <v>46243.58333333334</v>
      </c>
      <c r="L97" t="n">
        <v>2</v>
      </c>
      <c r="M97" s="3">
        <f>I97/L97</f>
        <v/>
      </c>
      <c r="N97">
        <f>IF(M97&gt;=5100,"ставка","мин.ставка")</f>
        <v/>
      </c>
      <c r="O97" s="3">
        <f>ROUND(IF(N97="мин.ставка",L97*100,I97/102*2),2)</f>
        <v/>
      </c>
      <c r="P97" s="5" t="n">
        <v>46245.5</v>
      </c>
      <c r="Q97" t="inlineStr">
        <is>
          <t>TravelLine сайт</t>
        </is>
      </c>
      <c r="R97" s="2" t="inlineStr">
        <is>
          <t>ЛЮКС ВТОРОЙ КОРПУС</t>
        </is>
      </c>
      <c r="S97" t="n">
        <v>57</v>
      </c>
      <c r="T97" t="n">
        <v>2</v>
      </c>
      <c r="U97" t="inlineStr"/>
      <c r="V97" t="inlineStr">
        <is>
          <t>Тариф с завтраком</t>
        </is>
      </c>
      <c r="W97" t="n">
        <v>35048.2</v>
      </c>
      <c r="X97" s="3" t="n">
        <v>551.8</v>
      </c>
      <c r="Y97" t="inlineStr">
        <is>
          <t>3.1%</t>
        </is>
      </c>
      <c r="Z97" t="inlineStr">
        <is>
          <t>2026-08-09</t>
        </is>
      </c>
      <c r="AA97" s="3" t="n">
        <v>35048.2</v>
      </c>
      <c r="AB97" t="inlineStr">
        <is>
          <t>Сошлось по ночным тарифам</t>
        </is>
      </c>
      <c r="AC97" s="2" t="inlineStr"/>
      <c r="AD97" t="n">
        <v>551.8</v>
      </c>
      <c r="AE97" t="n">
        <v>0</v>
      </c>
      <c r="AF97" t="inlineStr">
        <is>
          <t>Скидка добавлена к налоговой базе</t>
        </is>
      </c>
      <c r="AG97" t="n">
        <v>35600</v>
      </c>
      <c r="AH97" t="n">
        <v>35048.2</v>
      </c>
      <c r="AI97" t="inlineStr">
        <is>
          <t>Полное проживание в выбранном периоде</t>
        </is>
      </c>
    </row>
    <row r="98">
      <c r="A98" t="inlineStr">
        <is>
          <t>20260820-8186-457770556</t>
        </is>
      </c>
      <c r="B98" t="n">
        <v>1</v>
      </c>
      <c r="C98" s="2" t="inlineStr">
        <is>
          <t>ВЛАДИМИР ХРУСТАЛЕВ, АЛИНА ХРУСТАЛЕВА</t>
        </is>
      </c>
      <c r="D98" s="3" t="n">
        <v>49130</v>
      </c>
      <c r="E98" s="4" t="n">
        <v>15</v>
      </c>
      <c r="F98" t="inlineStr">
        <is>
          <t>ООО "АКАДЕМ-ОНЛАЙН" [Чайковский]</t>
        </is>
      </c>
      <c r="G98" s="3">
        <f>ROUND(D98/(100-E98)*100,2)</f>
        <v/>
      </c>
      <c r="H98" s="3" t="n">
        <v>0</v>
      </c>
      <c r="I98" s="3">
        <f>ROUND(IF(ISNUMBER(AG98),AG98,G98)+H98,2)</f>
        <v/>
      </c>
      <c r="J98" s="2" t="inlineStr">
        <is>
          <t>Завтрак "Шведский стол"</t>
        </is>
      </c>
      <c r="K98" s="5" t="n">
        <v>46254.58333333334</v>
      </c>
      <c r="L98" t="n">
        <v>4</v>
      </c>
      <c r="M98" s="3">
        <f>I98/L98</f>
        <v/>
      </c>
      <c r="N98">
        <f>IF(M98&gt;=5100,"ставка","мин.ставка")</f>
        <v/>
      </c>
      <c r="O98" s="3">
        <f>ROUND(IF(N98="мин.ставка",L98*100,I98/102*2),2)</f>
        <v/>
      </c>
      <c r="P98" s="5" t="n">
        <v>46258.5</v>
      </c>
      <c r="Q98" t="inlineStr">
        <is>
          <t>TravelLine ACS</t>
        </is>
      </c>
      <c r="R98" s="2" t="inlineStr">
        <is>
          <t>СЕМЕЙНЫЙ НОМЕР КАТЕГОРИИ "СТАНДАРТ" ВТОРОЙ КОРПУС</t>
        </is>
      </c>
      <c r="S98" t="n">
        <v>51</v>
      </c>
      <c r="T98" t="n">
        <v>2</v>
      </c>
      <c r="U98" t="inlineStr"/>
      <c r="V98" t="inlineStr">
        <is>
          <t>Тариф с завтраком</t>
        </is>
      </c>
      <c r="W98" t="n">
        <v>49130</v>
      </c>
      <c r="X98" s="3" t="n">
        <v>8670</v>
      </c>
      <c r="Y98" t="inlineStr">
        <is>
          <t>15%</t>
        </is>
      </c>
      <c r="Z98" t="inlineStr">
        <is>
          <t>2026-08-20, 2026-08-21, 2026-08-22, 2026-08-23</t>
        </is>
      </c>
      <c r="AA98" s="3" t="n">
        <v>49130</v>
      </c>
      <c r="AB98" t="inlineStr">
        <is>
          <t>Сошлось по ночным тарифам</t>
        </is>
      </c>
      <c r="AC98" s="2" t="inlineStr"/>
      <c r="AD98" t="n">
        <v>8670</v>
      </c>
      <c r="AE98" t="n">
        <v>0</v>
      </c>
      <c r="AF98" t="inlineStr">
        <is>
          <t>Скидка добавлена к налоговой базе</t>
        </is>
      </c>
      <c r="AG98" t="n">
        <v>57800</v>
      </c>
      <c r="AH98" t="n">
        <v>49130</v>
      </c>
      <c r="AI98" t="inlineStr">
        <is>
          <t>Полное проживание в выбранном периоде</t>
        </is>
      </c>
    </row>
    <row r="99">
      <c r="A99" t="inlineStr">
        <is>
          <t>20260819-8186-459426235</t>
        </is>
      </c>
      <c r="B99" t="n">
        <v>1</v>
      </c>
      <c r="C99" s="2" t="inlineStr">
        <is>
          <t>Владимир Чебан</t>
        </is>
      </c>
      <c r="D99" s="3" t="n">
        <v>10375</v>
      </c>
      <c r="E99" s="4" t="n">
        <v>18</v>
      </c>
      <c r="F99" t="inlineStr">
        <is>
          <t>Яндекс.Путешествия [Чайковский]</t>
        </is>
      </c>
      <c r="G99" s="3">
        <f>ROUND(D99/(100-E99)*100,2)</f>
        <v/>
      </c>
      <c r="H99" s="3" t="n">
        <v>0</v>
      </c>
      <c r="I99" s="3">
        <f>ROUND(IF(ISNUMBER(AG99),AG99,G99)+H99,2)</f>
        <v/>
      </c>
      <c r="J99" s="2" t="inlineStr"/>
      <c r="K99" s="5" t="n">
        <v>46253.58333333334</v>
      </c>
      <c r="L99" t="n">
        <v>1</v>
      </c>
      <c r="M99" s="3">
        <f>I99/L99</f>
        <v/>
      </c>
      <c r="N99">
        <f>IF(M99&gt;=5100,"ставка","мин.ставка")</f>
        <v/>
      </c>
      <c r="O99" s="3">
        <f>ROUND(IF(N99="мин.ставка",L99*100,I99/102*2),2)</f>
        <v/>
      </c>
      <c r="P99" s="5" t="n">
        <v>46254.5</v>
      </c>
      <c r="Q99" t="inlineStr">
        <is>
          <t>TravelLine YAX</t>
        </is>
      </c>
      <c r="R99" s="2" t="inlineStr">
        <is>
          <t>ЛЮКС ВТОРОЙ КОРПУС</t>
        </is>
      </c>
      <c r="S99" t="n">
        <v>53</v>
      </c>
      <c r="T99" t="n">
        <v>2</v>
      </c>
      <c r="U99" t="inlineStr"/>
      <c r="V99" t="inlineStr">
        <is>
          <t>Основной тариф без завтрака</t>
        </is>
      </c>
      <c r="W99" t="n">
        <v>10375</v>
      </c>
      <c r="X99" s="3" t="n">
        <v>2125</v>
      </c>
      <c r="Y99" t="inlineStr">
        <is>
          <t>17%</t>
        </is>
      </c>
      <c r="Z99" t="inlineStr">
        <is>
          <t>2026-08-19</t>
        </is>
      </c>
      <c r="AA99" s="3" t="n">
        <v>10375</v>
      </c>
      <c r="AB99" t="inlineStr">
        <is>
          <t>Сошлось по ночным тарифам</t>
        </is>
      </c>
      <c r="AC99" s="2" t="inlineStr"/>
      <c r="AD99" t="n">
        <v>2125</v>
      </c>
      <c r="AE99" t="n">
        <v>0</v>
      </c>
      <c r="AF99" t="inlineStr">
        <is>
          <t>Скидка добавлена к налоговой базе</t>
        </is>
      </c>
      <c r="AG99" t="n">
        <v>12500</v>
      </c>
      <c r="AH99" t="n">
        <v>10375</v>
      </c>
      <c r="AI99" t="inlineStr">
        <is>
          <t>Полное проживание в выбранном периоде</t>
        </is>
      </c>
    </row>
    <row r="100">
      <c r="A100" t="inlineStr">
        <is>
          <t>20260730-8186-453823911</t>
        </is>
      </c>
      <c r="B100" t="n">
        <v>1</v>
      </c>
      <c r="C100" s="2" t="inlineStr">
        <is>
          <t>Владимир Чудинов, Татьяна Чудинова</t>
        </is>
      </c>
      <c r="D100" s="3" t="n">
        <v>71200</v>
      </c>
      <c r="E100" s="4" t="n">
        <v>0</v>
      </c>
      <c r="F100" t="inlineStr">
        <is>
          <t>Прямые бронирования (стойка) [Чайковский]</t>
        </is>
      </c>
      <c r="G100" s="3">
        <f>ROUND(D100/(100-E100)*100,2)</f>
        <v/>
      </c>
      <c r="H100" s="3" t="n">
        <v>2960</v>
      </c>
      <c r="I100" s="3">
        <f>ROUND(IF(ISNUMBER(AG100),AG100,G100)+H100,2)</f>
        <v/>
      </c>
      <c r="J100" s="2" t="inlineStr">
        <is>
          <t>Завтрак "Шведский стол"; Поздний выезд — 2 960,00 ₽</t>
        </is>
      </c>
      <c r="K100" s="5" t="n">
        <v>46233.58333333334</v>
      </c>
      <c r="L100" t="n">
        <v>4</v>
      </c>
      <c r="M100" s="3">
        <f>I100/L100</f>
        <v/>
      </c>
      <c r="N100">
        <f>IF(M100&gt;=5100,"ставка","мин.ставка")</f>
        <v/>
      </c>
      <c r="O100" s="3">
        <f>ROUND(IF(N100="мин.ставка",L100*100,I100/102*2),2)</f>
        <v/>
      </c>
      <c r="P100" s="5" t="n">
        <v>46237.66666666666</v>
      </c>
      <c r="Q100" t="inlineStr">
        <is>
          <t>TravelLine ресепшен</t>
        </is>
      </c>
      <c r="R100" s="2" t="inlineStr">
        <is>
          <t>ЛЮКС ВТОРОЙ КОРПУС</t>
        </is>
      </c>
      <c r="S100" t="n">
        <v>57</v>
      </c>
      <c r="T100" t="n">
        <v>2</v>
      </c>
      <c r="U100" t="inlineStr"/>
      <c r="V100" t="inlineStr">
        <is>
          <t>Тариф с завтраком</t>
        </is>
      </c>
      <c r="W100" t="n">
        <v>74160</v>
      </c>
      <c r="X100" s="3" t="n">
        <v>0</v>
      </c>
      <c r="Y100" t="inlineStr"/>
      <c r="Z100" t="inlineStr"/>
      <c r="AA100" s="3" t="n">
        <v>71200</v>
      </c>
      <c r="AB100" t="inlineStr">
        <is>
          <t>Расхождение -2960.00 ₽</t>
        </is>
      </c>
      <c r="AC100" s="2" t="inlineStr"/>
      <c r="AD100" t="n">
        <v>0</v>
      </c>
      <c r="AE100" t="n">
        <v>0</v>
      </c>
      <c r="AF100" t="inlineStr">
        <is>
          <t>Скидки нет</t>
        </is>
      </c>
      <c r="AG100" t="n">
        <v>71200</v>
      </c>
      <c r="AH100" t="n">
        <v>71200</v>
      </c>
      <c r="AI100" t="inlineStr">
        <is>
          <t>Полное проживание в выбранном периоде</t>
        </is>
      </c>
    </row>
    <row r="101">
      <c r="A101" t="inlineStr">
        <is>
          <t>20260805-8186-456094227</t>
        </is>
      </c>
      <c r="B101" t="n">
        <v>1</v>
      </c>
      <c r="C101" s="2" t="inlineStr">
        <is>
          <t>Владислав Догадин, ИННА ВАРГИНА</t>
        </is>
      </c>
      <c r="D101" s="3" t="n">
        <v>14774</v>
      </c>
      <c r="E101" s="4" t="n">
        <v>18</v>
      </c>
      <c r="F101" t="inlineStr">
        <is>
          <t>Яндекс.Путешествия [Чайковский]</t>
        </is>
      </c>
      <c r="G101" s="3">
        <f>ROUND(D101/(100-E101)*100,2)</f>
        <v/>
      </c>
      <c r="H101" s="3" t="n">
        <v>0</v>
      </c>
      <c r="I101" s="3">
        <f>ROUND(IF(ISNUMBER(AG101),AG101,G101)+H101,2)</f>
        <v/>
      </c>
      <c r="J101" s="2" t="inlineStr">
        <is>
          <t>Завтрак "Шведский стол"</t>
        </is>
      </c>
      <c r="K101" s="5" t="n">
        <v>46239.58333333334</v>
      </c>
      <c r="L101" t="n">
        <v>1</v>
      </c>
      <c r="M101" s="3">
        <f>I101/L101</f>
        <v/>
      </c>
      <c r="N101">
        <f>IF(M101&gt;=5100,"ставка","мин.ставка")</f>
        <v/>
      </c>
      <c r="O101" s="3">
        <f>ROUND(IF(N101="мин.ставка",L101*100,I101/102*2),2)</f>
        <v/>
      </c>
      <c r="P101" s="5" t="n">
        <v>46240.5</v>
      </c>
      <c r="Q101" t="inlineStr">
        <is>
          <t>TravelLine YAX</t>
        </is>
      </c>
      <c r="R101" s="2" t="inlineStr">
        <is>
          <t>ЛЮКС ВТОРОЙ КОРПУС</t>
        </is>
      </c>
      <c r="S101" t="n">
        <v>57</v>
      </c>
      <c r="T101" t="n">
        <v>2</v>
      </c>
      <c r="U101" t="inlineStr"/>
      <c r="V101" t="inlineStr">
        <is>
          <t>Тариф с завтраком</t>
        </is>
      </c>
      <c r="W101" t="n">
        <v>14774</v>
      </c>
      <c r="X101" s="3" t="n">
        <v>3026</v>
      </c>
      <c r="Y101" t="inlineStr">
        <is>
          <t>17%</t>
        </is>
      </c>
      <c r="Z101" t="inlineStr">
        <is>
          <t>2026-08-05</t>
        </is>
      </c>
      <c r="AA101" s="3" t="n">
        <v>14774</v>
      </c>
      <c r="AB101" t="inlineStr">
        <is>
          <t>Сошлось по ночным тарифам</t>
        </is>
      </c>
      <c r="AC101" s="2" t="inlineStr"/>
      <c r="AD101" t="n">
        <v>3026</v>
      </c>
      <c r="AE101" t="n">
        <v>0</v>
      </c>
      <c r="AF101" t="inlineStr">
        <is>
          <t>Скидка добавлена к налоговой базе</t>
        </is>
      </c>
      <c r="AG101" t="n">
        <v>17800</v>
      </c>
      <c r="AH101" t="n">
        <v>14774</v>
      </c>
      <c r="AI101" t="inlineStr">
        <is>
          <t>Полное проживание в выбранном периоде</t>
        </is>
      </c>
    </row>
    <row r="102">
      <c r="A102" t="inlineStr">
        <is>
          <t>20260825-8186-444275504</t>
        </is>
      </c>
      <c r="B102" t="n">
        <v>1</v>
      </c>
      <c r="C102" s="2" t="inlineStr">
        <is>
          <t>Вячеслав Смирнов, МАРИЯ УСТЕНКО</t>
        </is>
      </c>
      <c r="D102" s="3" t="n">
        <v>51750</v>
      </c>
      <c r="E102" s="4" t="n">
        <v>4</v>
      </c>
      <c r="F102" t="inlineStr">
        <is>
          <t>TravelLine Booking Engine [Чайковский]</t>
        </is>
      </c>
      <c r="G102" s="3">
        <f>ROUND(D102/(100-E102)*100,2)</f>
        <v/>
      </c>
      <c r="H102" s="3" t="n">
        <v>8400</v>
      </c>
      <c r="I102" s="3">
        <f>ROUND(IF(ISNUMBER(AG102),AG102,G102)+H102,2)</f>
        <v/>
      </c>
      <c r="J102" s="2" t="inlineStr">
        <is>
          <t>дополнительное место для ребенка — 2 800,00 ₽; продление номера — 5 600,00 ₽; Завтрак "Шведский стол"</t>
        </is>
      </c>
      <c r="K102" s="5" t="n">
        <v>46259.58333333334</v>
      </c>
      <c r="L102" t="n">
        <v>3</v>
      </c>
      <c r="M102" s="3">
        <f>I102/L102</f>
        <v/>
      </c>
      <c r="N102">
        <f>IF(M102&gt;=5100,"ставка","мин.ставка")</f>
        <v/>
      </c>
      <c r="O102" s="3">
        <f>ROUND(IF(N102="мин.ставка",L102*100,I102/102*2),2)</f>
        <v/>
      </c>
      <c r="P102" s="5" t="n">
        <v>46262.5</v>
      </c>
      <c r="Q102" t="inlineStr">
        <is>
          <t>TravelLine сайт</t>
        </is>
      </c>
      <c r="R102" s="2" t="inlineStr">
        <is>
          <t>СЕМЕЙНЫЙ НОМЕР КАТЕГОРИИ "СТАНДАРТ" ВТОРОЙ КОРПУС</t>
        </is>
      </c>
      <c r="S102" t="n">
        <v>51</v>
      </c>
      <c r="T102" t="n">
        <v>2</v>
      </c>
      <c r="U102" t="inlineStr"/>
      <c r="V102" t="inlineStr">
        <is>
          <t>Тариф с завтраком</t>
        </is>
      </c>
      <c r="W102" t="n">
        <v>60150</v>
      </c>
      <c r="X102" s="3" t="n">
        <v>0</v>
      </c>
      <c r="Y102" t="inlineStr"/>
      <c r="Z102" t="inlineStr"/>
      <c r="AA102" s="3" t="n">
        <v>51750</v>
      </c>
      <c r="AB102" t="inlineStr">
        <is>
          <t>Сошлось с услугами</t>
        </is>
      </c>
      <c r="AC102" s="2" t="inlineStr"/>
      <c r="AD102" t="n">
        <v>0</v>
      </c>
      <c r="AE102" t="n">
        <v>0</v>
      </c>
      <c r="AF102" t="inlineStr">
        <is>
          <t>Скидки нет</t>
        </is>
      </c>
      <c r="AG102" t="n">
        <v>51750</v>
      </c>
      <c r="AH102" t="n">
        <v>51750</v>
      </c>
      <c r="AI102" t="inlineStr">
        <is>
          <t>Полное проживание в выбранном периоде</t>
        </is>
      </c>
    </row>
    <row r="103">
      <c r="A103" t="inlineStr">
        <is>
          <t>20260821-8186-458221934</t>
        </is>
      </c>
      <c r="B103" t="n">
        <v>1</v>
      </c>
      <c r="C103" s="2" t="inlineStr">
        <is>
          <t>ГАЛИНА ЛУКЬЯНОВА, ТИМОФЕЙ КОТАРЕВ</t>
        </is>
      </c>
      <c r="D103" s="3" t="n">
        <v>39270</v>
      </c>
      <c r="E103" s="4" t="n">
        <v>15</v>
      </c>
      <c r="F103" t="inlineStr">
        <is>
          <t>ООО "Библио-Глобус Туроператор" [Чайковский]</t>
        </is>
      </c>
      <c r="G103" s="3">
        <f>ROUND(D103/(100-E103)*100,2)</f>
        <v/>
      </c>
      <c r="H103" s="3" t="n">
        <v>0</v>
      </c>
      <c r="I103" s="3">
        <f>ROUND(IF(ISNUMBER(AG103),AG103,G103)+H103,2)</f>
        <v/>
      </c>
      <c r="J103" s="2" t="inlineStr">
        <is>
          <t>Завтрак "Шведский стол"</t>
        </is>
      </c>
      <c r="K103" s="5" t="n">
        <v>46255.58333333334</v>
      </c>
      <c r="L103" t="n">
        <v>3</v>
      </c>
      <c r="M103" s="3">
        <f>I103/L103</f>
        <v/>
      </c>
      <c r="N103">
        <f>IF(M103&gt;=5100,"ставка","мин.ставка")</f>
        <v/>
      </c>
      <c r="O103" s="3">
        <f>ROUND(IF(N103="мин.ставка",L103*100,I103/102*2),2)</f>
        <v/>
      </c>
      <c r="P103" s="5" t="n">
        <v>46258.5</v>
      </c>
      <c r="Q103" t="inlineStr">
        <is>
          <t>TravelLine BGL</t>
        </is>
      </c>
      <c r="R103" s="2" t="inlineStr">
        <is>
          <t>УЛУЧШЕННЫЙ ДВУХМЕСТНЫЙ НОМЕР</t>
        </is>
      </c>
      <c r="S103" t="n">
        <v>56</v>
      </c>
      <c r="T103" t="n">
        <v>2</v>
      </c>
      <c r="U103" t="inlineStr"/>
      <c r="V103" t="inlineStr">
        <is>
          <t>Тариф с завтраком</t>
        </is>
      </c>
      <c r="W103" t="n">
        <v>39270</v>
      </c>
      <c r="X103" s="3" t="n">
        <v>0</v>
      </c>
      <c r="Y103" t="inlineStr"/>
      <c r="Z103" t="inlineStr"/>
      <c r="AA103" s="3" t="n">
        <v>39270</v>
      </c>
      <c r="AB103" t="inlineStr">
        <is>
          <t>Сошлось по ночным тарифам</t>
        </is>
      </c>
      <c r="AC103" s="2" t="inlineStr"/>
      <c r="AD103" t="n">
        <v>0</v>
      </c>
      <c r="AE103" t="n">
        <v>0</v>
      </c>
      <c r="AF103" t="inlineStr">
        <is>
          <t>Скидки нет</t>
        </is>
      </c>
      <c r="AG103" t="n">
        <v>39270</v>
      </c>
      <c r="AH103" t="n">
        <v>39270</v>
      </c>
      <c r="AI103" t="inlineStr">
        <is>
          <t>Полное проживание в выбранном периоде</t>
        </is>
      </c>
    </row>
    <row r="104">
      <c r="A104" t="inlineStr">
        <is>
          <t>20260918-8186-466778125</t>
        </is>
      </c>
      <c r="B104" t="n">
        <v>1</v>
      </c>
      <c r="C104" s="2" t="inlineStr">
        <is>
          <t>Георги Гасиев, Айдар Иксанов</t>
        </is>
      </c>
      <c r="D104" s="3" t="n">
        <v>9375</v>
      </c>
      <c r="E104" s="4" t="n">
        <v>18</v>
      </c>
      <c r="F104" t="inlineStr">
        <is>
          <t>Яндекс.Путешествия [Чайковский]</t>
        </is>
      </c>
      <c r="G104" s="3">
        <f>ROUND(D104/(100-E104)*100,2)</f>
        <v/>
      </c>
      <c r="H104" s="3" t="n">
        <v>0</v>
      </c>
      <c r="I104" s="3">
        <f>ROUND(IF(ISNUMBER(AG104),AG104,G104)+H104,2)</f>
        <v/>
      </c>
      <c r="J104" s="2" t="inlineStr"/>
      <c r="K104" s="5" t="n">
        <v>46283.58333333334</v>
      </c>
      <c r="L104" t="n">
        <v>1</v>
      </c>
      <c r="M104" s="3">
        <f>I104/L104</f>
        <v/>
      </c>
      <c r="N104">
        <f>IF(M104&gt;=5100,"ставка","мин.ставка")</f>
        <v/>
      </c>
      <c r="O104" s="3">
        <f>ROUND(IF(N104="мин.ставка",L104*100,I104/102*2),2)</f>
        <v/>
      </c>
      <c r="P104" s="5" t="n">
        <v>46284.5</v>
      </c>
      <c r="Q104" t="inlineStr">
        <is>
          <t>TravelLine YAX</t>
        </is>
      </c>
      <c r="R104" s="2" t="inlineStr">
        <is>
          <t>СЕМЕЙНЫЙ НОМЕР КАТЕГОРИИ "СТАНДАРТ" ВТОРОЙ КОРПУС</t>
        </is>
      </c>
      <c r="S104" t="n">
        <v>51</v>
      </c>
      <c r="T104" t="n">
        <v>2</v>
      </c>
      <c r="U104" t="inlineStr"/>
      <c r="V104" t="inlineStr">
        <is>
          <t>Основной тариф без завтрака</t>
        </is>
      </c>
      <c r="W104" t="n">
        <v>9375</v>
      </c>
      <c r="X104" s="3" t="n">
        <v>3125</v>
      </c>
      <c r="Y104" t="inlineStr">
        <is>
          <t>25%</t>
        </is>
      </c>
      <c r="Z104" t="inlineStr">
        <is>
          <t>2026-09-18</t>
        </is>
      </c>
      <c r="AA104" s="3" t="n">
        <v>9375</v>
      </c>
      <c r="AB104" t="inlineStr">
        <is>
          <t>Сошлось по ночным тарифам</t>
        </is>
      </c>
      <c r="AC104" s="2" t="inlineStr"/>
      <c r="AD104" t="n">
        <v>3125</v>
      </c>
      <c r="AE104" t="n">
        <v>0</v>
      </c>
      <c r="AF104" t="inlineStr">
        <is>
          <t>Скидка добавлена к налоговой базе</t>
        </is>
      </c>
      <c r="AG104" t="n">
        <v>12500</v>
      </c>
      <c r="AH104" t="n">
        <v>9375</v>
      </c>
      <c r="AI104" t="inlineStr">
        <is>
          <t>Полное проживание в выбранном периоде</t>
        </is>
      </c>
    </row>
    <row r="105">
      <c r="A105" t="inlineStr">
        <is>
          <t>20260807-8186-414520274</t>
        </is>
      </c>
      <c r="B105" t="n">
        <v>1</v>
      </c>
      <c r="C105" s="2" t="inlineStr">
        <is>
          <t>Даниил Чернышов, Анастасия Басанец</t>
        </is>
      </c>
      <c r="D105" s="3" t="n">
        <v>29548</v>
      </c>
      <c r="E105" s="4" t="n">
        <v>17</v>
      </c>
      <c r="F105" t="inlineStr">
        <is>
          <t>ООО «Интернет Трэвел» (OZON) [Чайковский]</t>
        </is>
      </c>
      <c r="G105" s="3">
        <f>ROUND(D105/(100-E105)*100,2)</f>
        <v/>
      </c>
      <c r="H105" s="3" t="n">
        <v>0</v>
      </c>
      <c r="I105" s="3">
        <f>ROUND(IF(ISNUMBER(AG105),AG105,G105)+H105,2)</f>
        <v/>
      </c>
      <c r="J105" s="2" t="inlineStr">
        <is>
          <t>Завтрак "Шведский стол"</t>
        </is>
      </c>
      <c r="K105" s="5" t="n">
        <v>46241.58333333334</v>
      </c>
      <c r="L105" t="n">
        <v>2</v>
      </c>
      <c r="M105" s="3">
        <f>I105/L105</f>
        <v/>
      </c>
      <c r="N105">
        <f>IF(M105&gt;=5100,"ставка","мин.ставка")</f>
        <v/>
      </c>
      <c r="O105" s="3">
        <f>ROUND(IF(N105="мин.ставка",L105*100,I105/102*2),2)</f>
        <v/>
      </c>
      <c r="P105" s="5" t="n">
        <v>46243.5</v>
      </c>
      <c r="Q105" t="inlineStr">
        <is>
          <t>TravelLine OZ2</t>
        </is>
      </c>
      <c r="R105" s="2" t="inlineStr">
        <is>
          <t>ЛЮКС</t>
        </is>
      </c>
      <c r="S105" t="n">
        <v>57</v>
      </c>
      <c r="T105" t="n">
        <v>2</v>
      </c>
      <c r="U105" t="inlineStr"/>
      <c r="V105" t="inlineStr">
        <is>
          <t>Тариф с завтраком</t>
        </is>
      </c>
      <c r="W105" t="n">
        <v>29548</v>
      </c>
      <c r="X105" s="3" t="n">
        <v>6052</v>
      </c>
      <c r="Y105" t="inlineStr">
        <is>
          <t>17%</t>
        </is>
      </c>
      <c r="Z105" t="inlineStr">
        <is>
          <t>2026-08-07, 2026-08-08</t>
        </is>
      </c>
      <c r="AA105" s="3" t="n">
        <v>29548</v>
      </c>
      <c r="AB105" t="inlineStr">
        <is>
          <t>Сошлось по ночным тарифам</t>
        </is>
      </c>
      <c r="AC105" s="2" t="inlineStr"/>
      <c r="AD105" t="n">
        <v>6052</v>
      </c>
      <c r="AE105" t="n">
        <v>0</v>
      </c>
      <c r="AF105" t="inlineStr">
        <is>
          <t>Скидка добавлена к налоговой базе</t>
        </is>
      </c>
      <c r="AG105" t="n">
        <v>35600</v>
      </c>
      <c r="AH105" t="n">
        <v>29548</v>
      </c>
      <c r="AI105" t="inlineStr">
        <is>
          <t>Полное проживание в выбранном периоде</t>
        </is>
      </c>
    </row>
    <row r="106">
      <c r="A106" t="inlineStr">
        <is>
          <t>20260814-8186-430261857</t>
        </is>
      </c>
      <c r="B106" t="n">
        <v>1</v>
      </c>
      <c r="C106" s="2" t="inlineStr">
        <is>
          <t>Дарья Кучуб, Виктор Кучуб</t>
        </is>
      </c>
      <c r="D106" s="3" t="n">
        <v>22695</v>
      </c>
      <c r="E106" s="4" t="n">
        <v>15</v>
      </c>
      <c r="F106" t="inlineStr">
        <is>
          <t>ООО Тинькофф Путешествия [Чайковский]</t>
        </is>
      </c>
      <c r="G106" s="3">
        <f>ROUND(D106/(100-E106)*100,2)</f>
        <v/>
      </c>
      <c r="H106" s="3" t="n">
        <v>0</v>
      </c>
      <c r="I106" s="3">
        <f>ROUND(IF(ISNUMBER(AG106),AG106,G106)+H106,2)</f>
        <v/>
      </c>
      <c r="J106" s="2" t="inlineStr">
        <is>
          <t>Завтрак "Шведский стол"</t>
        </is>
      </c>
      <c r="K106" s="5" t="n">
        <v>46248.91666666666</v>
      </c>
      <c r="L106" t="n">
        <v>2</v>
      </c>
      <c r="M106" s="3">
        <f>I106/L106</f>
        <v/>
      </c>
      <c r="N106">
        <f>IF(M106&gt;=5100,"ставка","мин.ставка")</f>
        <v/>
      </c>
      <c r="O106" s="3">
        <f>ROUND(IF(N106="мин.ставка",L106*100,I106/102*2),2)</f>
        <v/>
      </c>
      <c r="P106" s="5" t="n">
        <v>46250.5</v>
      </c>
      <c r="Q106" t="inlineStr">
        <is>
          <t>TravelLine TNK</t>
        </is>
      </c>
      <c r="R106" s="2" t="inlineStr">
        <is>
          <t>СТАНДАРТНЫЙ ДВУХМЕСТНЫЙ НОМЕР</t>
        </is>
      </c>
      <c r="S106" t="n">
        <v>58</v>
      </c>
      <c r="T106" t="n">
        <v>2</v>
      </c>
      <c r="U106" t="inlineStr"/>
      <c r="V106" t="inlineStr">
        <is>
          <t>Тариф с завтраком</t>
        </is>
      </c>
      <c r="W106" t="n">
        <v>22695</v>
      </c>
      <c r="X106" s="3" t="n">
        <v>4005</v>
      </c>
      <c r="Y106" t="inlineStr">
        <is>
          <t>15%</t>
        </is>
      </c>
      <c r="Z106" t="inlineStr">
        <is>
          <t>2026-08-14, 2026-08-15</t>
        </is>
      </c>
      <c r="AA106" s="3" t="n">
        <v>22695</v>
      </c>
      <c r="AB106" t="inlineStr">
        <is>
          <t>Сошлось по ночным тарифам</t>
        </is>
      </c>
      <c r="AC106" s="2" t="inlineStr"/>
      <c r="AD106" t="n">
        <v>4005</v>
      </c>
      <c r="AE106" t="n">
        <v>0</v>
      </c>
      <c r="AF106" t="inlineStr">
        <is>
          <t>Скидка добавлена к налоговой базе</t>
        </is>
      </c>
      <c r="AG106" t="n">
        <v>26700</v>
      </c>
      <c r="AH106" t="n">
        <v>22695</v>
      </c>
      <c r="AI106" t="inlineStr">
        <is>
          <t>Полное проживание в выбранном периоде</t>
        </is>
      </c>
    </row>
    <row r="107">
      <c r="A107" t="inlineStr">
        <is>
          <t>20260723-8186-452699334</t>
        </is>
      </c>
      <c r="B107" t="n">
        <v>1</v>
      </c>
      <c r="C107" s="2" t="inlineStr">
        <is>
          <t>Денис Грузинов</t>
        </is>
      </c>
      <c r="D107" s="3" t="n">
        <v>10215</v>
      </c>
      <c r="E107" s="4" t="n">
        <v>0</v>
      </c>
      <c r="F107" t="inlineStr">
        <is>
          <t>Прямые бронирования (стойка) [Чайковский]</t>
        </is>
      </c>
      <c r="G107" s="3">
        <f>ROUND(D107/(100-E107)*100,2)</f>
        <v/>
      </c>
      <c r="H107" s="3" t="n">
        <v>0</v>
      </c>
      <c r="I107" s="3">
        <f>ROUND(IF(ISNUMBER(AG107),AG107,G107)+H107,2)</f>
        <v/>
      </c>
      <c r="J107" s="2" t="inlineStr">
        <is>
          <t>Завтрак "Шведский стол"</t>
        </is>
      </c>
      <c r="K107" s="5" t="n">
        <v>46226.58333333334</v>
      </c>
      <c r="L107" t="n">
        <v>1</v>
      </c>
      <c r="M107" s="3">
        <f>I107/L107</f>
        <v/>
      </c>
      <c r="N107">
        <f>IF(M107&gt;=5100,"ставка","мин.ставка")</f>
        <v/>
      </c>
      <c r="O107" s="3">
        <f>ROUND(IF(N107="мин.ставка",L107*100,I107/102*2),2)</f>
        <v/>
      </c>
      <c r="P107" s="5" t="n">
        <v>46227.5</v>
      </c>
      <c r="Q107" t="inlineStr">
        <is>
          <t>TravelLine ресепшен</t>
        </is>
      </c>
      <c r="R107" s="2" t="inlineStr">
        <is>
          <t>СТАНДАРТНЫЙ ДВУХМЕСТНЫЙ НОМЕР</t>
        </is>
      </c>
      <c r="S107" t="n">
        <v>55</v>
      </c>
      <c r="T107" t="n">
        <v>2</v>
      </c>
      <c r="U107" t="inlineStr"/>
      <c r="V107" t="inlineStr">
        <is>
          <t>Тариф с завтраком</t>
        </is>
      </c>
      <c r="W107" t="n">
        <v>10215</v>
      </c>
      <c r="X107" s="3" t="n">
        <v>1135</v>
      </c>
      <c r="Y107" t="inlineStr">
        <is>
          <t>10%</t>
        </is>
      </c>
      <c r="Z107" t="inlineStr">
        <is>
          <t>2026-07-23</t>
        </is>
      </c>
      <c r="AA107" s="3" t="n">
        <v>10215</v>
      </c>
      <c r="AB107" t="inlineStr">
        <is>
          <t>Сошлось по ночным тарифам</t>
        </is>
      </c>
      <c r="AC107" s="2" t="inlineStr"/>
      <c r="AD107" t="n">
        <v>1135</v>
      </c>
      <c r="AE107" t="n">
        <v>0</v>
      </c>
      <c r="AF107" t="inlineStr">
        <is>
          <t>Скидка добавлена к налоговой базе</t>
        </is>
      </c>
      <c r="AG107" t="n">
        <v>11350</v>
      </c>
      <c r="AH107" t="n">
        <v>10215</v>
      </c>
      <c r="AI107" t="inlineStr">
        <is>
          <t>Полное проживание в выбранном периоде</t>
        </is>
      </c>
    </row>
    <row r="108">
      <c r="A108" t="inlineStr">
        <is>
          <t>20260707-8186-448228838</t>
        </is>
      </c>
      <c r="B108" t="n">
        <v>1</v>
      </c>
      <c r="C108" s="2" t="inlineStr">
        <is>
          <t>Денис Евдокимов</t>
        </is>
      </c>
      <c r="D108" s="3" t="n">
        <v>26100</v>
      </c>
      <c r="E108" s="4" t="n">
        <v>0</v>
      </c>
      <c r="F108" t="inlineStr">
        <is>
          <t>Прямые бронирования (стойка) [Чайковский]</t>
        </is>
      </c>
      <c r="G108" s="3">
        <f>ROUND(D108/(100-E108)*100,2)</f>
        <v/>
      </c>
      <c r="H108" s="3" t="n">
        <v>0</v>
      </c>
      <c r="I108" s="3">
        <f>ROUND(IF(ISNUMBER(AG108),AG108,G108)+H108,2)</f>
        <v/>
      </c>
      <c r="J108" s="2" t="inlineStr">
        <is>
          <t>Завтрак "Шведский стол"</t>
        </is>
      </c>
      <c r="K108" s="5" t="n">
        <v>46210.58333333334</v>
      </c>
      <c r="L108" t="n">
        <v>2</v>
      </c>
      <c r="M108" s="3">
        <f>I108/L108</f>
        <v/>
      </c>
      <c r="N108">
        <f>IF(M108&gt;=5100,"ставка","мин.ставка")</f>
        <v/>
      </c>
      <c r="O108" s="3">
        <f>ROUND(IF(N108="мин.ставка",L108*100,I108/102*2),2)</f>
        <v/>
      </c>
      <c r="P108" s="5" t="n">
        <v>46212.5</v>
      </c>
      <c r="Q108" t="inlineStr">
        <is>
          <t>TravelLine ресепшен</t>
        </is>
      </c>
      <c r="R108" s="2" t="inlineStr">
        <is>
          <t>ЛЮКС ВТОРОЙ КОРПУС</t>
        </is>
      </c>
      <c r="S108" t="n">
        <v>57</v>
      </c>
      <c r="T108" t="n">
        <v>2</v>
      </c>
      <c r="U108" t="inlineStr"/>
      <c r="V108" t="inlineStr">
        <is>
          <t>Тариф с завтраком</t>
        </is>
      </c>
      <c r="W108" t="n">
        <v>26100</v>
      </c>
      <c r="X108" s="3" t="n">
        <v>2900</v>
      </c>
      <c r="Y108" t="inlineStr">
        <is>
          <t>10%</t>
        </is>
      </c>
      <c r="Z108" t="inlineStr">
        <is>
          <t>2026-07-07, 2026-07-08</t>
        </is>
      </c>
      <c r="AA108" s="3" t="n">
        <v>26100</v>
      </c>
      <c r="AB108" t="inlineStr">
        <is>
          <t>Сошлось по ночным тарифам</t>
        </is>
      </c>
      <c r="AC108" s="2" t="inlineStr"/>
      <c r="AD108" t="n">
        <v>2900</v>
      </c>
      <c r="AE108" t="n">
        <v>0</v>
      </c>
      <c r="AF108" t="inlineStr">
        <is>
          <t>Скидка добавлена к налоговой базе</t>
        </is>
      </c>
      <c r="AG108" t="n">
        <v>29000</v>
      </c>
      <c r="AH108" t="n">
        <v>26100</v>
      </c>
      <c r="AI108" t="inlineStr">
        <is>
          <t>Полное проживание в выбранном периоде</t>
        </is>
      </c>
    </row>
    <row r="109">
      <c r="A109" t="inlineStr">
        <is>
          <t>20260719-8186-450701107</t>
        </is>
      </c>
      <c r="B109" t="n">
        <v>1</v>
      </c>
      <c r="C109" s="2" t="inlineStr">
        <is>
          <t>Денис Евдокимов</t>
        </is>
      </c>
      <c r="D109" s="3" t="n">
        <v>56880</v>
      </c>
      <c r="E109" s="4" t="n">
        <v>0</v>
      </c>
      <c r="F109" t="inlineStr">
        <is>
          <t>Прямые бронирования (стойка) [Чайковский]</t>
        </is>
      </c>
      <c r="G109" s="3">
        <f>ROUND(D109/(100-E109)*100,2)</f>
        <v/>
      </c>
      <c r="H109" s="3" t="n">
        <v>0</v>
      </c>
      <c r="I109" s="3">
        <f>ROUND(IF(ISNUMBER(AG109),AG109,G109)+H109,2)</f>
        <v/>
      </c>
      <c r="J109" s="2" t="inlineStr">
        <is>
          <t>Завтрак "Шведский стол"</t>
        </is>
      </c>
      <c r="K109" s="5" t="n">
        <v>46222.58333333334</v>
      </c>
      <c r="L109" t="n">
        <v>4</v>
      </c>
      <c r="M109" s="3">
        <f>I109/L109</f>
        <v/>
      </c>
      <c r="N109">
        <f>IF(M109&gt;=5100,"ставка","мин.ставка")</f>
        <v/>
      </c>
      <c r="O109" s="3">
        <f>ROUND(IF(N109="мин.ставка",L109*100,I109/102*2),2)</f>
        <v/>
      </c>
      <c r="P109" s="5" t="n">
        <v>46226.5</v>
      </c>
      <c r="Q109" t="inlineStr">
        <is>
          <t>TravelLine ресепшен</t>
        </is>
      </c>
      <c r="R109" s="2" t="inlineStr">
        <is>
          <t>ЛЮКС ВТОРОЙ КОРПУС</t>
        </is>
      </c>
      <c r="S109" t="n">
        <v>53</v>
      </c>
      <c r="T109" t="n">
        <v>2</v>
      </c>
      <c r="U109" t="inlineStr"/>
      <c r="V109" t="inlineStr">
        <is>
          <t>Тариф с завтраком</t>
        </is>
      </c>
      <c r="W109" t="n">
        <v>56880</v>
      </c>
      <c r="X109" s="3" t="n">
        <v>6320</v>
      </c>
      <c r="Y109" t="inlineStr">
        <is>
          <t>10%</t>
        </is>
      </c>
      <c r="Z109" t="inlineStr">
        <is>
          <t>2026-07-19, 2026-07-20, 2026-07-21, 2026-07-22</t>
        </is>
      </c>
      <c r="AA109" s="3" t="n">
        <v>56880</v>
      </c>
      <c r="AB109" t="inlineStr">
        <is>
          <t>Сошлось по ночным тарифам</t>
        </is>
      </c>
      <c r="AC109" s="2" t="inlineStr"/>
      <c r="AD109" t="n">
        <v>6320</v>
      </c>
      <c r="AE109" t="n">
        <v>0</v>
      </c>
      <c r="AF109" t="inlineStr">
        <is>
          <t>Скидка добавлена к налоговой базе</t>
        </is>
      </c>
      <c r="AG109" t="n">
        <v>63200</v>
      </c>
      <c r="AH109" t="n">
        <v>56880</v>
      </c>
      <c r="AI109" t="inlineStr">
        <is>
          <t>Полное проживание в выбранном периоде</t>
        </is>
      </c>
    </row>
    <row r="110">
      <c r="A110" t="inlineStr">
        <is>
          <t>20260908-8186-464591169</t>
        </is>
      </c>
      <c r="B110" t="n">
        <v>1</v>
      </c>
      <c r="C110" s="2" t="inlineStr">
        <is>
          <t>Денис Евдокимов</t>
        </is>
      </c>
      <c r="D110" s="3" t="n">
        <v>14220</v>
      </c>
      <c r="E110" s="4" t="n">
        <v>0</v>
      </c>
      <c r="F110" t="inlineStr">
        <is>
          <t>Прямые бронирования (стойка) [Чайковский]</t>
        </is>
      </c>
      <c r="G110" s="3">
        <f>ROUND(D110/(100-E110)*100,2)</f>
        <v/>
      </c>
      <c r="H110" s="3" t="n">
        <v>7110</v>
      </c>
      <c r="I110" s="3">
        <f>ROUND(IF(ISNUMBER(AG110),AG110,G110)+H110,2)</f>
        <v/>
      </c>
      <c r="J110" s="2" t="inlineStr">
        <is>
          <t>продление номера — 7 110,00 ₽; Завтрак "Шведский стол"</t>
        </is>
      </c>
      <c r="K110" s="5" t="n">
        <v>46273.58333333334</v>
      </c>
      <c r="L110" t="n">
        <v>1</v>
      </c>
      <c r="M110" s="3">
        <f>I110/L110</f>
        <v/>
      </c>
      <c r="N110">
        <f>IF(M110&gt;=5100,"ставка","мин.ставка")</f>
        <v/>
      </c>
      <c r="O110" s="3">
        <f>ROUND(IF(N110="мин.ставка",L110*100,I110/102*2),2)</f>
        <v/>
      </c>
      <c r="P110" s="5" t="n">
        <v>46274.75</v>
      </c>
      <c r="Q110" t="inlineStr">
        <is>
          <t>TravelLine ресепшен</t>
        </is>
      </c>
      <c r="R110" s="2" t="inlineStr">
        <is>
          <t>ЛЮКС ВТОРОЙ КОРПУС</t>
        </is>
      </c>
      <c r="S110" t="n">
        <v>54</v>
      </c>
      <c r="T110" t="n">
        <v>2</v>
      </c>
      <c r="U110" t="inlineStr"/>
      <c r="V110" t="inlineStr">
        <is>
          <t>Тариф с завтраком</t>
        </is>
      </c>
      <c r="W110" t="n">
        <v>21330</v>
      </c>
      <c r="X110" s="3" t="n">
        <v>1580</v>
      </c>
      <c r="Y110" t="inlineStr">
        <is>
          <t>10%</t>
        </is>
      </c>
      <c r="Z110" t="inlineStr">
        <is>
          <t>2026-09-08</t>
        </is>
      </c>
      <c r="AA110" s="3" t="n">
        <v>14220</v>
      </c>
      <c r="AB110" t="inlineStr">
        <is>
          <t>Сошлось с услугами</t>
        </is>
      </c>
      <c r="AC110" s="2" t="inlineStr"/>
      <c r="AD110" t="n">
        <v>1580</v>
      </c>
      <c r="AE110" t="n">
        <v>0</v>
      </c>
      <c r="AF110" t="inlineStr">
        <is>
          <t>Скидка добавлена к налоговой базе</t>
        </is>
      </c>
      <c r="AG110" t="n">
        <v>15800</v>
      </c>
      <c r="AH110" t="n">
        <v>14220</v>
      </c>
      <c r="AI110" t="inlineStr">
        <is>
          <t>Полное проживание в выбранном периоде</t>
        </is>
      </c>
    </row>
    <row r="111">
      <c r="A111" t="inlineStr">
        <is>
          <t>20260914-8186-464859122</t>
        </is>
      </c>
      <c r="B111" t="n">
        <v>1</v>
      </c>
      <c r="C111" s="2" t="inlineStr">
        <is>
          <t>Денис Евдокимов</t>
        </is>
      </c>
      <c r="D111" s="3" t="n">
        <v>14220</v>
      </c>
      <c r="E111" s="4" t="n">
        <v>0</v>
      </c>
      <c r="F111" t="inlineStr">
        <is>
          <t>Прямые бронирования (стойка) [Чайковский]</t>
        </is>
      </c>
      <c r="G111" s="3">
        <f>ROUND(D111/(100-E111)*100,2)</f>
        <v/>
      </c>
      <c r="H111" s="3" t="n">
        <v>0</v>
      </c>
      <c r="I111" s="3">
        <f>ROUND(IF(ISNUMBER(AG111),AG111,G111)+H111,2)</f>
        <v/>
      </c>
      <c r="J111" s="2" t="inlineStr">
        <is>
          <t>Завтрак "Шведский стол"</t>
        </is>
      </c>
      <c r="K111" s="5" t="n">
        <v>46279.58333333334</v>
      </c>
      <c r="L111" t="n">
        <v>1</v>
      </c>
      <c r="M111" s="3">
        <f>I111/L111</f>
        <v/>
      </c>
      <c r="N111">
        <f>IF(M111&gt;=5100,"ставка","мин.ставка")</f>
        <v/>
      </c>
      <c r="O111" s="3">
        <f>ROUND(IF(N111="мин.ставка",L111*100,I111/102*2),2)</f>
        <v/>
      </c>
      <c r="P111" s="5" t="n">
        <v>46280.5</v>
      </c>
      <c r="Q111" t="inlineStr">
        <is>
          <t>TravelLine ресепшен</t>
        </is>
      </c>
      <c r="R111" s="2" t="inlineStr">
        <is>
          <t>ЛЮКС ВТОРОЙ КОРПУС</t>
        </is>
      </c>
      <c r="S111" t="n">
        <v>57</v>
      </c>
      <c r="T111" t="n">
        <v>2</v>
      </c>
      <c r="U111" t="inlineStr"/>
      <c r="V111" t="inlineStr">
        <is>
          <t>Тариф с завтраком</t>
        </is>
      </c>
      <c r="W111" t="n">
        <v>14220</v>
      </c>
      <c r="X111" s="3" t="n">
        <v>1580</v>
      </c>
      <c r="Y111" t="inlineStr">
        <is>
          <t>10%</t>
        </is>
      </c>
      <c r="Z111" t="inlineStr">
        <is>
          <t>2026-09-14</t>
        </is>
      </c>
      <c r="AA111" s="3" t="n">
        <v>14220</v>
      </c>
      <c r="AB111" t="inlineStr">
        <is>
          <t>Сошлось по ночным тарифам</t>
        </is>
      </c>
      <c r="AC111" s="2" t="inlineStr"/>
      <c r="AD111" t="n">
        <v>1580</v>
      </c>
      <c r="AE111" t="n">
        <v>0</v>
      </c>
      <c r="AF111" t="inlineStr">
        <is>
          <t>Скидка добавлена к налоговой базе</t>
        </is>
      </c>
      <c r="AG111" t="n">
        <v>15800</v>
      </c>
      <c r="AH111" t="n">
        <v>14220</v>
      </c>
      <c r="AI111" t="inlineStr">
        <is>
          <t>Полное проживание в выбранном периоде</t>
        </is>
      </c>
    </row>
    <row r="112">
      <c r="A112" t="inlineStr">
        <is>
          <t>20260711-8186-410900231</t>
        </is>
      </c>
      <c r="B112" t="n">
        <v>1</v>
      </c>
      <c r="C112" s="2" t="inlineStr">
        <is>
          <t>Денис НИКИТИН, Наталья Никитина, Георгий Никитин</t>
        </is>
      </c>
      <c r="D112" s="3" t="n">
        <v>17250</v>
      </c>
      <c r="E112" s="4" t="n">
        <v>0</v>
      </c>
      <c r="F112" t="inlineStr">
        <is>
          <t>Прямые бронирования (стойка) [Чайковский]</t>
        </is>
      </c>
      <c r="G112" s="3">
        <f>ROUND(D112/(100-E112)*100,2)</f>
        <v/>
      </c>
      <c r="H112" s="3" t="n">
        <v>0</v>
      </c>
      <c r="I112" s="3">
        <f>ROUND(IF(ISNUMBER(AG112),AG112,G112)+H112,2)</f>
        <v/>
      </c>
      <c r="J112" s="2" t="inlineStr">
        <is>
          <t>Завтрак "Шведский стол"</t>
        </is>
      </c>
      <c r="K112" s="5" t="n">
        <v>46214.58333333334</v>
      </c>
      <c r="L112" t="n">
        <v>1</v>
      </c>
      <c r="M112" s="3">
        <f>I112/L112</f>
        <v/>
      </c>
      <c r="N112">
        <f>IF(M112&gt;=5100,"ставка","мин.ставка")</f>
        <v/>
      </c>
      <c r="O112" s="3">
        <f>ROUND(IF(N112="мин.ставка",L112*100,I112/102*2),2)</f>
        <v/>
      </c>
      <c r="P112" s="5" t="n">
        <v>46215.5</v>
      </c>
      <c r="Q112" t="inlineStr">
        <is>
          <t>TravelLine ресепшен</t>
        </is>
      </c>
      <c r="R112" s="2" t="inlineStr">
        <is>
          <t>семейный номер категории "стандарт"</t>
        </is>
      </c>
      <c r="S112" t="n">
        <v>51</v>
      </c>
      <c r="T112" t="n">
        <v>2</v>
      </c>
      <c r="U112" t="inlineStr"/>
      <c r="V112" t="inlineStr">
        <is>
          <t>Тариф с завтраком</t>
        </is>
      </c>
      <c r="W112" t="n">
        <v>17250</v>
      </c>
      <c r="X112" s="3" t="n">
        <v>0</v>
      </c>
      <c r="Y112" t="inlineStr"/>
      <c r="Z112" t="inlineStr"/>
      <c r="AA112" s="3" t="n">
        <v>17250</v>
      </c>
      <c r="AB112" t="inlineStr">
        <is>
          <t>Сошлось по ночным тарифам</t>
        </is>
      </c>
      <c r="AC112" s="2" t="inlineStr"/>
      <c r="AD112" t="n">
        <v>0</v>
      </c>
      <c r="AE112" t="n">
        <v>0</v>
      </c>
      <c r="AF112" t="inlineStr">
        <is>
          <t>Скидки нет</t>
        </is>
      </c>
      <c r="AG112" t="n">
        <v>17250</v>
      </c>
      <c r="AH112" t="n">
        <v>17250</v>
      </c>
      <c r="AI112" t="inlineStr">
        <is>
          <t>Полное проживание в выбранном периоде</t>
        </is>
      </c>
    </row>
    <row r="113">
      <c r="A113" t="inlineStr">
        <is>
          <t>20260715-8186-450097245</t>
        </is>
      </c>
      <c r="B113" t="n">
        <v>1</v>
      </c>
      <c r="C113" s="2" t="inlineStr">
        <is>
          <t>ДМИТРИЙ АКСЕНОВ</t>
        </is>
      </c>
      <c r="D113" s="3" t="n">
        <v>28440</v>
      </c>
      <c r="E113" s="4" t="n">
        <v>0</v>
      </c>
      <c r="F113" t="inlineStr">
        <is>
          <t>Прямые бронирования (стойка) [Чайковский]</t>
        </is>
      </c>
      <c r="G113" s="3">
        <f>ROUND(D113/(100-E113)*100,2)</f>
        <v/>
      </c>
      <c r="H113" s="3" t="n">
        <v>0</v>
      </c>
      <c r="I113" s="3">
        <f>ROUND(IF(ISNUMBER(AG113),AG113,G113)+H113,2)</f>
        <v/>
      </c>
      <c r="J113" s="2" t="inlineStr">
        <is>
          <t>Завтрак "Шведский стол"</t>
        </is>
      </c>
      <c r="K113" s="5" t="n">
        <v>46218.58333333334</v>
      </c>
      <c r="L113" t="n">
        <v>2</v>
      </c>
      <c r="M113" s="3">
        <f>I113/L113</f>
        <v/>
      </c>
      <c r="N113">
        <f>IF(M113&gt;=5100,"ставка","мин.ставка")</f>
        <v/>
      </c>
      <c r="O113" s="3">
        <f>ROUND(IF(N113="мин.ставка",L113*100,I113/102*2),2)</f>
        <v/>
      </c>
      <c r="P113" s="5" t="n">
        <v>46220.5</v>
      </c>
      <c r="Q113" t="inlineStr">
        <is>
          <t>TravelLine ресепшен</t>
        </is>
      </c>
      <c r="R113" s="2" t="inlineStr">
        <is>
          <t>ЛЮКС ВТОРОЙ КОРПУС</t>
        </is>
      </c>
      <c r="S113" t="n">
        <v>53</v>
      </c>
      <c r="T113" t="n">
        <v>2</v>
      </c>
      <c r="U113" t="inlineStr"/>
      <c r="V113" t="inlineStr">
        <is>
          <t>Тариф с завтраком</t>
        </is>
      </c>
      <c r="W113" t="n">
        <v>28440</v>
      </c>
      <c r="X113" s="3" t="n">
        <v>3160</v>
      </c>
      <c r="Y113" t="inlineStr">
        <is>
          <t>10%</t>
        </is>
      </c>
      <c r="Z113" t="inlineStr">
        <is>
          <t>2026-07-15, 2026-07-16</t>
        </is>
      </c>
      <c r="AA113" s="3" t="n">
        <v>28440</v>
      </c>
      <c r="AB113" t="inlineStr">
        <is>
          <t>Сошлось по ночным тарифам</t>
        </is>
      </c>
      <c r="AC113" s="2" t="inlineStr"/>
      <c r="AD113" t="n">
        <v>3160</v>
      </c>
      <c r="AE113" t="n">
        <v>0</v>
      </c>
      <c r="AF113" t="inlineStr">
        <is>
          <t>Скидка добавлена к налоговой базе</t>
        </is>
      </c>
      <c r="AG113" t="n">
        <v>31600</v>
      </c>
      <c r="AH113" t="n">
        <v>28440</v>
      </c>
      <c r="AI113" t="inlineStr">
        <is>
          <t>Полное проживание в выбранном периоде</t>
        </is>
      </c>
    </row>
    <row r="114">
      <c r="A114" t="inlineStr">
        <is>
          <t>20260723-8186-449405536</t>
        </is>
      </c>
      <c r="B114" t="n">
        <v>1</v>
      </c>
      <c r="C114" s="2" t="inlineStr">
        <is>
          <t>Дмитрий Козлов</t>
        </is>
      </c>
      <c r="D114" s="3" t="n">
        <v>20430</v>
      </c>
      <c r="E114" s="4" t="n">
        <v>0</v>
      </c>
      <c r="F114" t="inlineStr">
        <is>
          <t>Прямые бронирования (стойка) [Чайковский]</t>
        </is>
      </c>
      <c r="G114" s="3">
        <f>ROUND(D114/(100-E114)*100,2)</f>
        <v/>
      </c>
      <c r="H114" s="3" t="n">
        <v>0</v>
      </c>
      <c r="I114" s="3">
        <f>ROUND(IF(ISNUMBER(AG114),AG114,G114)+H114,2)</f>
        <v/>
      </c>
      <c r="J114" s="2" t="inlineStr">
        <is>
          <t>Завтрак "Шведский стол"</t>
        </is>
      </c>
      <c r="K114" s="5" t="n">
        <v>46227.58333333334</v>
      </c>
      <c r="L114" t="n">
        <v>2</v>
      </c>
      <c r="M114" s="3">
        <f>I114/L114</f>
        <v/>
      </c>
      <c r="N114">
        <f>IF(M114&gt;=5100,"ставка","мин.ставка")</f>
        <v/>
      </c>
      <c r="O114" s="3">
        <f>ROUND(IF(N114="мин.ставка",L114*100,I114/102*2),2)</f>
        <v/>
      </c>
      <c r="P114" s="5" t="n">
        <v>46229.5</v>
      </c>
      <c r="Q114" t="inlineStr">
        <is>
          <t>TravelLine ресепшен</t>
        </is>
      </c>
      <c r="R114" s="2" t="inlineStr">
        <is>
          <t>СТАНДАРТНЫЙ ДВУХМЕСТНЫЙ НОМЕР</t>
        </is>
      </c>
      <c r="S114" t="n">
        <v>55</v>
      </c>
      <c r="T114" t="n">
        <v>2</v>
      </c>
      <c r="U114" t="inlineStr"/>
      <c r="V114" t="inlineStr">
        <is>
          <t>Тариф с завтраком</t>
        </is>
      </c>
      <c r="W114" t="n">
        <v>20430</v>
      </c>
      <c r="X114" s="3" t="n">
        <v>2270</v>
      </c>
      <c r="Y114" t="inlineStr">
        <is>
          <t>10%</t>
        </is>
      </c>
      <c r="Z114" t="inlineStr">
        <is>
          <t>2026-07-24, 2026-07-25</t>
        </is>
      </c>
      <c r="AA114" s="3" t="n">
        <v>20430</v>
      </c>
      <c r="AB114" t="inlineStr">
        <is>
          <t>Сошлось по ночным тарифам</t>
        </is>
      </c>
      <c r="AC114" s="2" t="inlineStr"/>
      <c r="AD114" t="n">
        <v>2270</v>
      </c>
      <c r="AE114" t="n">
        <v>0</v>
      </c>
      <c r="AF114" t="inlineStr">
        <is>
          <t>Скидка добавлена к налоговой базе</t>
        </is>
      </c>
      <c r="AG114" t="n">
        <v>22700</v>
      </c>
      <c r="AH114" t="n">
        <v>20430</v>
      </c>
      <c r="AI114" t="inlineStr">
        <is>
          <t>Полное проживание в выбранном периоде</t>
        </is>
      </c>
    </row>
    <row r="115">
      <c r="A115" t="inlineStr">
        <is>
          <t>20260701-8186-446547107</t>
        </is>
      </c>
      <c r="B115" t="n">
        <v>1</v>
      </c>
      <c r="C115" s="2" t="inlineStr">
        <is>
          <t>ДМИТРИЙ МАЛЫШЕВ, АЛЕКСАНДРА АШАПАТОВА</t>
        </is>
      </c>
      <c r="D115" s="3" t="n">
        <v>49300</v>
      </c>
      <c r="E115" s="4" t="n">
        <v>15</v>
      </c>
      <c r="F115" t="inlineStr">
        <is>
          <t>ООО "БРОНИРОВАНИЕ ГОСТИНИЦ" (OSTROVOK) [Чайковский]</t>
        </is>
      </c>
      <c r="G115" s="3">
        <f>ROUND(D115/(100-E115)*100,2)</f>
        <v/>
      </c>
      <c r="H115" s="3" t="n">
        <v>0</v>
      </c>
      <c r="I115" s="3">
        <f>ROUND(IF(ISNUMBER(AG115),AG115,G115)+H115,2)</f>
        <v/>
      </c>
      <c r="J115" s="2" t="inlineStr"/>
      <c r="K115" s="5" t="n">
        <v>46204.58333333334</v>
      </c>
      <c r="L115" t="n">
        <v>4</v>
      </c>
      <c r="M115" s="3">
        <f>I115/L115</f>
        <v/>
      </c>
      <c r="N115">
        <f>IF(M115&gt;=5100,"ставка","мин.ставка")</f>
        <v/>
      </c>
      <c r="O115" s="3">
        <f>ROUND(IF(N115="мин.ставка",L115*100,I115/102*2),2)</f>
        <v/>
      </c>
      <c r="P115" s="5" t="n">
        <v>46208.5</v>
      </c>
      <c r="Q115" t="inlineStr">
        <is>
          <t>TravelLine OTK</t>
        </is>
      </c>
      <c r="R115" s="2" t="inlineStr">
        <is>
          <t>ЛЮКС ВТОРОЙ КОРПУС</t>
        </is>
      </c>
      <c r="S115" t="n">
        <v>57</v>
      </c>
      <c r="T115" t="n">
        <v>2</v>
      </c>
      <c r="U115" t="inlineStr"/>
      <c r="V115" t="inlineStr">
        <is>
          <t>Основной тариф без завтрака</t>
        </is>
      </c>
      <c r="W115" t="n">
        <v>49300</v>
      </c>
      <c r="X115" s="3" t="n">
        <v>8700</v>
      </c>
      <c r="Y115" t="inlineStr">
        <is>
          <t>15%</t>
        </is>
      </c>
      <c r="Z115" t="inlineStr">
        <is>
          <t>2026-07-01, 2026-07-02, 2026-07-03, 2026-07-04</t>
        </is>
      </c>
      <c r="AA115" s="3" t="n">
        <v>49300</v>
      </c>
      <c r="AB115" t="inlineStr">
        <is>
          <t>Сошлось по ночным тарифам</t>
        </is>
      </c>
      <c r="AC115" s="2" t="inlineStr"/>
      <c r="AD115" t="n">
        <v>8700</v>
      </c>
      <c r="AE115" t="n">
        <v>0</v>
      </c>
      <c r="AF115" t="inlineStr">
        <is>
          <t>Скидка добавлена к налоговой базе</t>
        </is>
      </c>
      <c r="AG115" t="n">
        <v>58000</v>
      </c>
      <c r="AH115" t="n">
        <v>49300</v>
      </c>
      <c r="AI115" t="inlineStr">
        <is>
          <t>Полное проживание в выбранном периоде</t>
        </is>
      </c>
    </row>
    <row r="116">
      <c r="A116" t="inlineStr">
        <is>
          <t>20260723-8186-449919086</t>
        </is>
      </c>
      <c r="B116" t="n">
        <v>1</v>
      </c>
      <c r="C116" s="2" t="inlineStr">
        <is>
          <t>Дмитрий Мещеряков</t>
        </is>
      </c>
      <c r="D116" s="3" t="n">
        <v>6764</v>
      </c>
      <c r="E116" s="4" t="n">
        <v>18</v>
      </c>
      <c r="F116" t="inlineStr">
        <is>
          <t>Яндекс.Путешествия [Чайковский]</t>
        </is>
      </c>
      <c r="G116" s="3">
        <f>ROUND(D116/(100-E116)*100,2)</f>
        <v/>
      </c>
      <c r="H116" s="3" t="n">
        <v>0</v>
      </c>
      <c r="I116" s="3">
        <f>ROUND(IF(ISNUMBER(AG116),AG116,G116)+H116,2)</f>
        <v/>
      </c>
      <c r="J116" s="2" t="inlineStr">
        <is>
          <t>Завтрак "Шведский стол"</t>
        </is>
      </c>
      <c r="K116" s="5" t="n">
        <v>46226.58333333334</v>
      </c>
      <c r="L116" t="n">
        <v>1</v>
      </c>
      <c r="M116" s="3">
        <f>I116/L116</f>
        <v/>
      </c>
      <c r="N116">
        <f>IF(M116&gt;=5100,"ставка","мин.ставка")</f>
        <v/>
      </c>
      <c r="O116" s="3">
        <f>ROUND(IF(N116="мин.ставка",L116*100,I116/102*2),2)</f>
        <v/>
      </c>
      <c r="P116" s="5" t="n">
        <v>46227.5</v>
      </c>
      <c r="Q116" t="inlineStr">
        <is>
          <t>TravelLine YAX</t>
        </is>
      </c>
      <c r="R116" s="2" t="inlineStr">
        <is>
          <t>СЕМЕЙНЫЙ НОМЕР КАТЕГОРИИ "СТАНДАРТ" ВТОРОЙ КОРПУС</t>
        </is>
      </c>
      <c r="S116" t="n">
        <v>51</v>
      </c>
      <c r="T116" t="n">
        <v>2</v>
      </c>
      <c r="U116" t="inlineStr"/>
      <c r="V116" t="inlineStr">
        <is>
          <t>Тариф с завтраком</t>
        </is>
      </c>
      <c r="W116" t="n">
        <v>6764</v>
      </c>
      <c r="X116" s="3" t="n">
        <v>1691</v>
      </c>
      <c r="Y116" t="inlineStr">
        <is>
          <t>20%</t>
        </is>
      </c>
      <c r="Z116" t="inlineStr">
        <is>
          <t>2026-07-23</t>
        </is>
      </c>
      <c r="AA116" s="3" t="n">
        <v>6764</v>
      </c>
      <c r="AB116" t="inlineStr">
        <is>
          <t>Сошлось по ночным тарифам</t>
        </is>
      </c>
      <c r="AC116" s="2" t="inlineStr"/>
      <c r="AD116" t="n">
        <v>1691</v>
      </c>
      <c r="AE116" t="n">
        <v>0</v>
      </c>
      <c r="AF116" t="inlineStr">
        <is>
          <t>Скидка добавлена к налоговой базе</t>
        </is>
      </c>
      <c r="AG116" t="n">
        <v>8455</v>
      </c>
      <c r="AH116" t="n">
        <v>6764</v>
      </c>
      <c r="AI116" t="inlineStr">
        <is>
          <t>Полное проживание в выбранном периоде</t>
        </is>
      </c>
    </row>
    <row r="117">
      <c r="A117" t="inlineStr">
        <is>
          <t>20260729-8186-454076275</t>
        </is>
      </c>
      <c r="B117" t="n">
        <v>1</v>
      </c>
      <c r="C117" s="2" t="inlineStr">
        <is>
          <t>Дмитрий Мольский</t>
        </is>
      </c>
      <c r="D117" s="3" t="n">
        <v>14220</v>
      </c>
      <c r="E117" s="4" t="n">
        <v>0</v>
      </c>
      <c r="F117" t="inlineStr">
        <is>
          <t>Прямые бронирования (стойка) [Чайковский]</t>
        </is>
      </c>
      <c r="G117" s="3">
        <f>ROUND(D117/(100-E117)*100,2)</f>
        <v/>
      </c>
      <c r="H117" s="3" t="n">
        <v>0</v>
      </c>
      <c r="I117" s="3">
        <f>ROUND(IF(ISNUMBER(AG117),AG117,G117)+H117,2)</f>
        <v/>
      </c>
      <c r="J117" s="2" t="inlineStr">
        <is>
          <t>Завтрак "Шведский стол"</t>
        </is>
      </c>
      <c r="K117" s="5" t="n">
        <v>46232.58333333334</v>
      </c>
      <c r="L117" t="n">
        <v>1</v>
      </c>
      <c r="M117" s="3">
        <f>I117/L117</f>
        <v/>
      </c>
      <c r="N117">
        <f>IF(M117&gt;=5100,"ставка","мин.ставка")</f>
        <v/>
      </c>
      <c r="O117" s="3">
        <f>ROUND(IF(N117="мин.ставка",L117*100,I117/102*2),2)</f>
        <v/>
      </c>
      <c r="P117" s="5" t="n">
        <v>46233.5</v>
      </c>
      <c r="Q117" t="inlineStr">
        <is>
          <t>TravelLine ресепшен</t>
        </is>
      </c>
      <c r="R117" s="2" t="inlineStr">
        <is>
          <t>ЛЮКС ВТОРОЙ КОРПУС</t>
        </is>
      </c>
      <c r="S117" t="n">
        <v>54</v>
      </c>
      <c r="T117" t="n">
        <v>2</v>
      </c>
      <c r="U117" t="inlineStr"/>
      <c r="V117" t="inlineStr">
        <is>
          <t>Тариф с завтраком</t>
        </is>
      </c>
      <c r="W117" t="n">
        <v>14220</v>
      </c>
      <c r="X117" s="3" t="n">
        <v>1580</v>
      </c>
      <c r="Y117" t="inlineStr">
        <is>
          <t>10%</t>
        </is>
      </c>
      <c r="Z117" t="inlineStr">
        <is>
          <t>2026-07-29</t>
        </is>
      </c>
      <c r="AA117" s="3" t="n">
        <v>14220</v>
      </c>
      <c r="AB117" t="inlineStr">
        <is>
          <t>Сошлось по ночным тарифам</t>
        </is>
      </c>
      <c r="AC117" s="2" t="inlineStr"/>
      <c r="AD117" t="n">
        <v>1580</v>
      </c>
      <c r="AE117" t="n">
        <v>0</v>
      </c>
      <c r="AF117" t="inlineStr">
        <is>
          <t>Скидка добавлена к налоговой базе</t>
        </is>
      </c>
      <c r="AG117" t="n">
        <v>15800</v>
      </c>
      <c r="AH117" t="n">
        <v>14220</v>
      </c>
      <c r="AI117" t="inlineStr">
        <is>
          <t>Полное проживание в выбранном периоде</t>
        </is>
      </c>
    </row>
    <row r="118">
      <c r="A118" t="inlineStr">
        <is>
          <t>20260811-8186-457717969</t>
        </is>
      </c>
      <c r="B118" t="n">
        <v>1</v>
      </c>
      <c r="C118" s="2" t="inlineStr">
        <is>
          <t>Дмитрий Мольский</t>
        </is>
      </c>
      <c r="D118" s="3" t="n">
        <v>11205</v>
      </c>
      <c r="E118" s="4" t="n">
        <v>0</v>
      </c>
      <c r="F118" t="inlineStr">
        <is>
          <t>Прямые бронирования (стойка) [Чайковский]</t>
        </is>
      </c>
      <c r="G118" s="3">
        <f>ROUND(D118/(100-E118)*100,2)</f>
        <v/>
      </c>
      <c r="H118" s="3" t="n">
        <v>0</v>
      </c>
      <c r="I118" s="3">
        <f>ROUND(IF(ISNUMBER(AG118),AG118,G118)+H118,2)</f>
        <v/>
      </c>
      <c r="J118" s="2" t="inlineStr">
        <is>
          <t>Завтрак "Шведский стол"</t>
        </is>
      </c>
      <c r="K118" s="5" t="n">
        <v>46245.58333333334</v>
      </c>
      <c r="L118" t="n">
        <v>1</v>
      </c>
      <c r="M118" s="3">
        <f>I118/L118</f>
        <v/>
      </c>
      <c r="N118">
        <f>IF(M118&gt;=5100,"ставка","мин.ставка")</f>
        <v/>
      </c>
      <c r="O118" s="3">
        <f>ROUND(IF(N118="мин.ставка",L118*100,I118/102*2),2)</f>
        <v/>
      </c>
      <c r="P118" s="5" t="n">
        <v>46246.5</v>
      </c>
      <c r="Q118" t="inlineStr">
        <is>
          <t>TravelLine ресепшен</t>
        </is>
      </c>
      <c r="R118" s="2" t="inlineStr">
        <is>
          <t>СЕМЕЙНЫЙ НОМЕР КАТЕГОРИИ "СТАНДАРТ" ВТОРОЙ КОРПУС</t>
        </is>
      </c>
      <c r="S118" t="n">
        <v>50</v>
      </c>
      <c r="T118" t="n">
        <v>2</v>
      </c>
      <c r="U118" t="inlineStr"/>
      <c r="V118" t="inlineStr">
        <is>
          <t>Тариф с завтраком</t>
        </is>
      </c>
      <c r="W118" t="n">
        <v>11205</v>
      </c>
      <c r="X118" s="3" t="n">
        <v>1245</v>
      </c>
      <c r="Y118" t="inlineStr">
        <is>
          <t>10%</t>
        </is>
      </c>
      <c r="Z118" t="inlineStr">
        <is>
          <t>2026-08-11</t>
        </is>
      </c>
      <c r="AA118" s="3" t="n">
        <v>11205</v>
      </c>
      <c r="AB118" t="inlineStr">
        <is>
          <t>Сошлось по ночным тарифам</t>
        </is>
      </c>
      <c r="AC118" s="2" t="inlineStr"/>
      <c r="AD118" t="n">
        <v>1245</v>
      </c>
      <c r="AE118" t="n">
        <v>0</v>
      </c>
      <c r="AF118" t="inlineStr">
        <is>
          <t>Скидка добавлена к налоговой базе</t>
        </is>
      </c>
      <c r="AG118" t="n">
        <v>12450</v>
      </c>
      <c r="AH118" t="n">
        <v>11205</v>
      </c>
      <c r="AI118" t="inlineStr">
        <is>
          <t>Полное проживание в выбранном периоде</t>
        </is>
      </c>
    </row>
    <row r="119">
      <c r="A119" t="inlineStr">
        <is>
          <t>20260904-8186-463700480</t>
        </is>
      </c>
      <c r="B119" t="n">
        <v>1</v>
      </c>
      <c r="C119" s="2" t="inlineStr">
        <is>
          <t>Дмитрий Мольский</t>
        </is>
      </c>
      <c r="D119" s="3" t="n">
        <v>14240</v>
      </c>
      <c r="E119" s="4" t="n">
        <v>0</v>
      </c>
      <c r="F119" t="inlineStr">
        <is>
          <t>Прямые бронирования (стойка) [Чайковский]</t>
        </is>
      </c>
      <c r="G119" s="3">
        <f>ROUND(D119/(100-E119)*100,2)</f>
        <v/>
      </c>
      <c r="H119" s="3" t="n">
        <v>300</v>
      </c>
      <c r="I119" s="3">
        <f>ROUND(IF(ISNUMBER(AG119),AG119,G119)+H119,2)</f>
        <v/>
      </c>
      <c r="J119" s="2" t="inlineStr">
        <is>
          <t>продление номера — 300,00 ₽</t>
        </is>
      </c>
      <c r="K119" s="5" t="n">
        <v>46269.58333333334</v>
      </c>
      <c r="L119" t="n">
        <v>1</v>
      </c>
      <c r="M119" s="3">
        <f>I119/L119</f>
        <v/>
      </c>
      <c r="N119">
        <f>IF(M119&gt;=5100,"ставка","мин.ставка")</f>
        <v/>
      </c>
      <c r="O119" s="3">
        <f>ROUND(IF(N119="мин.ставка",L119*100,I119/102*2),2)</f>
        <v/>
      </c>
      <c r="P119" s="5" t="n">
        <v>46270.5</v>
      </c>
      <c r="Q119" t="inlineStr">
        <is>
          <t>TravelLine ресепшен</t>
        </is>
      </c>
      <c r="R119" s="2" t="inlineStr">
        <is>
          <t>ЛЮКС ВТОРОЙ КОРПУС</t>
        </is>
      </c>
      <c r="S119" t="n">
        <v>53</v>
      </c>
      <c r="T119" t="n">
        <v>2</v>
      </c>
      <c r="U119" t="inlineStr"/>
      <c r="V119" t="inlineStr">
        <is>
          <t>Основной тариф без завтрака</t>
        </is>
      </c>
      <c r="W119" t="n">
        <v>14540</v>
      </c>
      <c r="X119" s="3" t="n">
        <v>0</v>
      </c>
      <c r="Y119" t="inlineStr"/>
      <c r="Z119" t="inlineStr"/>
      <c r="AA119" s="3" t="n">
        <v>14240</v>
      </c>
      <c r="AB119" t="inlineStr">
        <is>
          <t>Сошлось с услугами</t>
        </is>
      </c>
      <c r="AC119" s="2" t="inlineStr"/>
      <c r="AD119" t="n">
        <v>0</v>
      </c>
      <c r="AE119" t="n">
        <v>0</v>
      </c>
      <c r="AF119" t="inlineStr">
        <is>
          <t>Скидки нет</t>
        </is>
      </c>
      <c r="AG119" t="n">
        <v>14240</v>
      </c>
      <c r="AH119" t="n">
        <v>14240</v>
      </c>
      <c r="AI119" t="inlineStr">
        <is>
          <t>Полное проживание в выбранном периоде</t>
        </is>
      </c>
    </row>
    <row r="120">
      <c r="A120" t="inlineStr">
        <is>
          <t>20260809-8186-453699779</t>
        </is>
      </c>
      <c r="B120" t="n">
        <v>1</v>
      </c>
      <c r="C120" s="2" t="inlineStr">
        <is>
          <t>ДМИТРИЙ Москвин</t>
        </is>
      </c>
      <c r="D120" s="3" t="n">
        <v>27240</v>
      </c>
      <c r="E120" s="4" t="n">
        <v>20</v>
      </c>
      <c r="F120" t="inlineStr">
        <is>
          <t>ООО "КОМПАНИЯ БРОНЕВИК" [Чайковский]</t>
        </is>
      </c>
      <c r="G120" s="3">
        <f>ROUND(D120/(100-E120)*100,2)</f>
        <v/>
      </c>
      <c r="H120" s="3" t="n">
        <v>0</v>
      </c>
      <c r="I120" s="3">
        <f>ROUND(IF(ISNUMBER(AG120),AG120,G120)+H120,2)</f>
        <v/>
      </c>
      <c r="J120" s="2" t="inlineStr">
        <is>
          <t>Завтрак "Шведский стол"</t>
        </is>
      </c>
      <c r="K120" s="5" t="n">
        <v>46243.58333333334</v>
      </c>
      <c r="L120" t="n">
        <v>3</v>
      </c>
      <c r="M120" s="3">
        <f>I120/L120</f>
        <v/>
      </c>
      <c r="N120">
        <f>IF(M120&gt;=5100,"ставка","мин.ставка")</f>
        <v/>
      </c>
      <c r="O120" s="3">
        <f>ROUND(IF(N120="мин.ставка",L120*100,I120/102*2),2)</f>
        <v/>
      </c>
      <c r="P120" s="5" t="n">
        <v>46246.5</v>
      </c>
      <c r="Q120" t="inlineStr">
        <is>
          <t>TravelLine BR2</t>
        </is>
      </c>
      <c r="R120" s="2" t="inlineStr">
        <is>
          <t>СТАНДАРТНЫЙ ДВУХМЕСТНЫЙ НОМЕР</t>
        </is>
      </c>
      <c r="S120" t="n">
        <v>58</v>
      </c>
      <c r="T120" t="n">
        <v>2</v>
      </c>
      <c r="U120" t="inlineStr"/>
      <c r="V120" t="inlineStr">
        <is>
          <t>Тариф с завтраком</t>
        </is>
      </c>
      <c r="W120" t="n">
        <v>27240</v>
      </c>
      <c r="X120" s="3" t="n">
        <v>0</v>
      </c>
      <c r="Y120" t="inlineStr"/>
      <c r="Z120" t="inlineStr"/>
      <c r="AA120" s="3" t="n">
        <v>27240</v>
      </c>
      <c r="AB120" t="inlineStr">
        <is>
          <t>Сошлось по ночным тарифам</t>
        </is>
      </c>
      <c r="AC120" s="2" t="inlineStr"/>
      <c r="AD120" t="n">
        <v>0</v>
      </c>
      <c r="AE120" t="n">
        <v>0</v>
      </c>
      <c r="AF120" t="inlineStr">
        <is>
          <t>Скидки нет</t>
        </is>
      </c>
      <c r="AG120" t="n">
        <v>27240</v>
      </c>
      <c r="AH120" t="n">
        <v>27240</v>
      </c>
      <c r="AI120" t="inlineStr">
        <is>
          <t>Полное проживание в выбранном периоде</t>
        </is>
      </c>
    </row>
    <row r="121">
      <c r="A121" t="inlineStr">
        <is>
          <t>20260917-8186-463970139</t>
        </is>
      </c>
      <c r="B121" t="n">
        <v>1</v>
      </c>
      <c r="C121" s="2" t="inlineStr">
        <is>
          <t>Дмитрий Неклюдов, Екатерина Бессонова</t>
        </is>
      </c>
      <c r="D121" s="3" t="n">
        <v>30260</v>
      </c>
      <c r="E121" s="4" t="n">
        <v>15</v>
      </c>
      <c r="F121" t="inlineStr">
        <is>
          <t>ООО Тинькофф Путешествия [Чайковский]</t>
        </is>
      </c>
      <c r="G121" s="3">
        <f>ROUND(D121/(100-E121)*100,2)</f>
        <v/>
      </c>
      <c r="H121" s="3" t="n">
        <v>0</v>
      </c>
      <c r="I121" s="3">
        <f>ROUND(IF(ISNUMBER(AG121),AG121,G121)+H121,2)</f>
        <v/>
      </c>
      <c r="J121" s="2" t="inlineStr">
        <is>
          <t>Завтрак "Шведский стол"</t>
        </is>
      </c>
      <c r="K121" s="5" t="n">
        <v>46282.58333333334</v>
      </c>
      <c r="L121" t="n">
        <v>2</v>
      </c>
      <c r="M121" s="3">
        <f>I121/L121</f>
        <v/>
      </c>
      <c r="N121">
        <f>IF(M121&gt;=5100,"ставка","мин.ставка")</f>
        <v/>
      </c>
      <c r="O121" s="3">
        <f>ROUND(IF(N121="мин.ставка",L121*100,I121/102*2),2)</f>
        <v/>
      </c>
      <c r="P121" s="5" t="n">
        <v>46284.5</v>
      </c>
      <c r="Q121" t="inlineStr">
        <is>
          <t>TravelLine TNK</t>
        </is>
      </c>
      <c r="R121" s="2" t="inlineStr">
        <is>
          <t>ЛЮКС ВТОРОЙ КОРПУС</t>
        </is>
      </c>
      <c r="S121" t="n">
        <v>54</v>
      </c>
      <c r="T121" t="n">
        <v>2</v>
      </c>
      <c r="U121" t="inlineStr"/>
      <c r="V121" t="inlineStr">
        <is>
          <t>Тариф с завтраком</t>
        </is>
      </c>
      <c r="W121" t="n">
        <v>30260</v>
      </c>
      <c r="X121" s="3" t="n">
        <v>5340</v>
      </c>
      <c r="Y121" t="inlineStr">
        <is>
          <t>15%</t>
        </is>
      </c>
      <c r="Z121" t="inlineStr">
        <is>
          <t>2026-09-17, 2026-09-18</t>
        </is>
      </c>
      <c r="AA121" s="3" t="n">
        <v>30260</v>
      </c>
      <c r="AB121" t="inlineStr">
        <is>
          <t>Сошлось по ночным тарифам</t>
        </is>
      </c>
      <c r="AC121" s="2" t="inlineStr"/>
      <c r="AD121" t="n">
        <v>5340</v>
      </c>
      <c r="AE121" t="n">
        <v>0</v>
      </c>
      <c r="AF121" t="inlineStr">
        <is>
          <t>Скидка добавлена к налоговой базе</t>
        </is>
      </c>
      <c r="AG121" t="n">
        <v>35600</v>
      </c>
      <c r="AH121" t="n">
        <v>30260</v>
      </c>
      <c r="AI121" t="inlineStr">
        <is>
          <t>Полное проживание в выбранном периоде</t>
        </is>
      </c>
    </row>
    <row r="122">
      <c r="A122" t="inlineStr">
        <is>
          <t>20260905-8186-463933189</t>
        </is>
      </c>
      <c r="B122" t="n">
        <v>1</v>
      </c>
      <c r="C122" s="2" t="inlineStr">
        <is>
          <t>Дмитрий Носков</t>
        </is>
      </c>
      <c r="D122" s="3" t="n">
        <v>40050</v>
      </c>
      <c r="E122" s="4" t="n">
        <v>18</v>
      </c>
      <c r="F122" t="inlineStr">
        <is>
          <t>Яндекс.Путешествия [Чайковский]</t>
        </is>
      </c>
      <c r="G122" s="3">
        <f>ROUND(D122/(100-E122)*100,2)</f>
        <v/>
      </c>
      <c r="H122" s="3" t="n">
        <v>0</v>
      </c>
      <c r="I122" s="3">
        <f>ROUND(IF(ISNUMBER(AG122),AG122,G122)+H122,2)</f>
        <v/>
      </c>
      <c r="J122" s="2" t="inlineStr">
        <is>
          <t>Завтрак "Шведский стол"</t>
        </is>
      </c>
      <c r="K122" s="5" t="n">
        <v>46270.58333333334</v>
      </c>
      <c r="L122" t="n">
        <v>3</v>
      </c>
      <c r="M122" s="3">
        <f>I122/L122</f>
        <v/>
      </c>
      <c r="N122">
        <f>IF(M122&gt;=5100,"ставка","мин.ставка")</f>
        <v/>
      </c>
      <c r="O122" s="3">
        <f>ROUND(IF(N122="мин.ставка",L122*100,I122/102*2),2)</f>
        <v/>
      </c>
      <c r="P122" s="5" t="n">
        <v>46273.5</v>
      </c>
      <c r="Q122" t="inlineStr">
        <is>
          <t>TravelLine YAX</t>
        </is>
      </c>
      <c r="R122" s="2" t="inlineStr">
        <is>
          <t>ЛЮКС ВТОРОЙ КОРПУС</t>
        </is>
      </c>
      <c r="S122" t="n">
        <v>54</v>
      </c>
      <c r="T122" t="n">
        <v>2</v>
      </c>
      <c r="U122" t="inlineStr"/>
      <c r="V122" t="inlineStr">
        <is>
          <t>Тариф с завтраком</t>
        </is>
      </c>
      <c r="W122" t="n">
        <v>40050</v>
      </c>
      <c r="X122" s="3" t="n">
        <v>13350</v>
      </c>
      <c r="Y122" t="inlineStr">
        <is>
          <t>25%</t>
        </is>
      </c>
      <c r="Z122" t="inlineStr">
        <is>
          <t>2026-09-05, 2026-09-06, 2026-09-07</t>
        </is>
      </c>
      <c r="AA122" s="3" t="n">
        <v>40050</v>
      </c>
      <c r="AB122" t="inlineStr">
        <is>
          <t>Сошлось по ночным тарифам</t>
        </is>
      </c>
      <c r="AC122" s="2" t="inlineStr"/>
      <c r="AD122" t="n">
        <v>13350</v>
      </c>
      <c r="AE122" t="n">
        <v>0</v>
      </c>
      <c r="AF122" t="inlineStr">
        <is>
          <t>Скидка добавлена к налоговой базе</t>
        </is>
      </c>
      <c r="AG122" t="n">
        <v>53400</v>
      </c>
      <c r="AH122" t="n">
        <v>40050</v>
      </c>
      <c r="AI122" t="inlineStr">
        <is>
          <t>Полное проживание в выбранном периоде</t>
        </is>
      </c>
    </row>
    <row r="123">
      <c r="A123" t="inlineStr">
        <is>
          <t>20260716-8186-440572559</t>
        </is>
      </c>
      <c r="B123" t="n">
        <v>1</v>
      </c>
      <c r="C123" s="2" t="inlineStr">
        <is>
          <t>Дмитрий Самусевич, Эвелина Комарова</t>
        </is>
      </c>
      <c r="D123" s="3" t="n">
        <v>25564</v>
      </c>
      <c r="E123" s="4" t="n">
        <v>17</v>
      </c>
      <c r="F123" t="inlineStr">
        <is>
          <t>ООО «Интернет Трэвел» (OZON) [Чайковский]</t>
        </is>
      </c>
      <c r="G123" s="3">
        <f>ROUND(D123/(100-E123)*100,2)</f>
        <v/>
      </c>
      <c r="H123" s="3" t="n">
        <v>0</v>
      </c>
      <c r="I123" s="3">
        <f>ROUND(IF(ISNUMBER(AG123),AG123,G123)+H123,2)</f>
        <v/>
      </c>
      <c r="J123" s="2" t="inlineStr">
        <is>
          <t>Завтрак "Шведский стол"</t>
        </is>
      </c>
      <c r="K123" s="5" t="n">
        <v>46219.58333333334</v>
      </c>
      <c r="L123" t="n">
        <v>2</v>
      </c>
      <c r="M123" s="3">
        <f>I123/L123</f>
        <v/>
      </c>
      <c r="N123">
        <f>IF(M123&gt;=5100,"ставка","мин.ставка")</f>
        <v/>
      </c>
      <c r="O123" s="3">
        <f>ROUND(IF(N123="мин.ставка",L123*100,I123/102*2),2)</f>
        <v/>
      </c>
      <c r="P123" s="5" t="n">
        <v>46221.5</v>
      </c>
      <c r="Q123" t="inlineStr">
        <is>
          <t>TravelLine OZ2</t>
        </is>
      </c>
      <c r="R123" s="2" t="inlineStr">
        <is>
          <t>УЛУЧШЕННЫЙ ДВУХМЕСТНЫЙ НОМЕР</t>
        </is>
      </c>
      <c r="S123" t="n">
        <v>56</v>
      </c>
      <c r="T123" t="n">
        <v>2</v>
      </c>
      <c r="U123" t="inlineStr"/>
      <c r="V123" t="inlineStr">
        <is>
          <t>Тариф с завтраком</t>
        </is>
      </c>
      <c r="W123" t="n">
        <v>25564</v>
      </c>
      <c r="X123" s="3" t="n">
        <v>5236</v>
      </c>
      <c r="Y123" t="inlineStr">
        <is>
          <t>17%</t>
        </is>
      </c>
      <c r="Z123" t="inlineStr">
        <is>
          <t>2026-07-16, 2026-07-17</t>
        </is>
      </c>
      <c r="AA123" s="3" t="n">
        <v>25564</v>
      </c>
      <c r="AB123" t="inlineStr">
        <is>
          <t>Сошлось по ночным тарифам</t>
        </is>
      </c>
      <c r="AC123" s="2" t="inlineStr"/>
      <c r="AD123" t="n">
        <v>5236</v>
      </c>
      <c r="AE123" t="n">
        <v>0</v>
      </c>
      <c r="AF123" t="inlineStr">
        <is>
          <t>Скидка добавлена к налоговой базе</t>
        </is>
      </c>
      <c r="AG123" t="n">
        <v>30800</v>
      </c>
      <c r="AH123" t="n">
        <v>25564</v>
      </c>
      <c r="AI123" t="inlineStr">
        <is>
          <t>Полное проживание в выбранном периоде</t>
        </is>
      </c>
    </row>
    <row r="124">
      <c r="A124" t="inlineStr">
        <is>
          <t>20260706-8186-448146879</t>
        </is>
      </c>
      <c r="B124" t="n">
        <v>1</v>
      </c>
      <c r="C124" s="2" t="inlineStr">
        <is>
          <t>ДМИТРИЙ СЕРОВ</t>
        </is>
      </c>
      <c r="D124" s="3" t="n">
        <v>19805</v>
      </c>
      <c r="E124" s="4" t="n">
        <v>15</v>
      </c>
      <c r="F124" t="inlineStr">
        <is>
          <t>ООО "БРОНИРОВАНИЕ ГОСТИНИЦ" (OSTROVOK) [Чайковский]</t>
        </is>
      </c>
      <c r="G124" s="3">
        <f>ROUND(D124/(100-E124)*100,2)</f>
        <v/>
      </c>
      <c r="H124" s="3" t="n">
        <v>0</v>
      </c>
      <c r="I124" s="3">
        <f>ROUND(IF(ISNUMBER(AG124),AG124,G124)+H124,2)</f>
        <v/>
      </c>
      <c r="J124" s="2" t="inlineStr">
        <is>
          <t>Завтрак "Шведский стол"</t>
        </is>
      </c>
      <c r="K124" s="5" t="n">
        <v>46209.58333333334</v>
      </c>
      <c r="L124" t="n">
        <v>2</v>
      </c>
      <c r="M124" s="3">
        <f>I124/L124</f>
        <v/>
      </c>
      <c r="N124">
        <f>IF(M124&gt;=5100,"ставка","мин.ставка")</f>
        <v/>
      </c>
      <c r="O124" s="3">
        <f>ROUND(IF(N124="мин.ставка",L124*100,I124/102*2),2)</f>
        <v/>
      </c>
      <c r="P124" s="5" t="n">
        <v>46211.5</v>
      </c>
      <c r="Q124" t="inlineStr">
        <is>
          <t>TravelLine OTK</t>
        </is>
      </c>
      <c r="R124" s="2" t="inlineStr">
        <is>
          <t>УЛУЧШЕННЫЙ ДВУХМЕСТНЫЙ НОМЕР</t>
        </is>
      </c>
      <c r="S124" t="n">
        <v>59</v>
      </c>
      <c r="T124" t="n">
        <v>2</v>
      </c>
      <c r="U124" t="inlineStr"/>
      <c r="V124" t="inlineStr">
        <is>
          <t>Тариф с завтраком</t>
        </is>
      </c>
      <c r="W124" t="n">
        <v>19805</v>
      </c>
      <c r="X124" s="3" t="n">
        <v>3495</v>
      </c>
      <c r="Y124" t="inlineStr">
        <is>
          <t>15%</t>
        </is>
      </c>
      <c r="Z124" t="inlineStr">
        <is>
          <t>2026-07-06, 2026-07-07</t>
        </is>
      </c>
      <c r="AA124" s="3" t="n">
        <v>19805</v>
      </c>
      <c r="AB124" t="inlineStr">
        <is>
          <t>Сошлось по ночным тарифам</t>
        </is>
      </c>
      <c r="AC124" s="2" t="inlineStr"/>
      <c r="AD124" t="n">
        <v>3495</v>
      </c>
      <c r="AE124" t="n">
        <v>0</v>
      </c>
      <c r="AF124" t="inlineStr">
        <is>
          <t>Скидка добавлена к налоговой базе</t>
        </is>
      </c>
      <c r="AG124" t="n">
        <v>23300</v>
      </c>
      <c r="AH124" t="n">
        <v>19805</v>
      </c>
      <c r="AI124" t="inlineStr">
        <is>
          <t>Полное проживание в выбранном периоде</t>
        </is>
      </c>
    </row>
    <row r="125">
      <c r="A125" t="inlineStr">
        <is>
          <t>20260708-8186-448548633</t>
        </is>
      </c>
      <c r="B125" t="n">
        <v>1</v>
      </c>
      <c r="C125" s="2" t="inlineStr">
        <is>
          <t>ДМИТРИЙ СЕРОВ</t>
        </is>
      </c>
      <c r="D125" s="3" t="n">
        <v>7900</v>
      </c>
      <c r="E125" s="4" t="n">
        <v>0</v>
      </c>
      <c r="F125" t="inlineStr">
        <is>
          <t>Прямые бронирования (стойка) [Чайковский]</t>
        </is>
      </c>
      <c r="G125" s="3">
        <f>ROUND(D125/(100-E125)*100,2)</f>
        <v/>
      </c>
      <c r="H125" s="3" t="n">
        <v>0</v>
      </c>
      <c r="I125" s="3">
        <f>ROUND(IF(ISNUMBER(AG125),AG125,G125)+H125,2)</f>
        <v/>
      </c>
      <c r="J125" s="2" t="inlineStr">
        <is>
          <t>Завтрак "Шведский стол"</t>
        </is>
      </c>
      <c r="K125" s="5" t="n">
        <v>46211.58333333334</v>
      </c>
      <c r="L125" t="n">
        <v>1</v>
      </c>
      <c r="M125" s="3">
        <f>I125/L125</f>
        <v/>
      </c>
      <c r="N125">
        <f>IF(M125&gt;=5100,"ставка","мин.ставка")</f>
        <v/>
      </c>
      <c r="O125" s="3">
        <f>ROUND(IF(N125="мин.ставка",L125*100,I125/102*2),2)</f>
        <v/>
      </c>
      <c r="P125" s="5" t="n">
        <v>46212.5</v>
      </c>
      <c r="Q125" t="inlineStr">
        <is>
          <t>TravelLine ресепшен</t>
        </is>
      </c>
      <c r="R125" s="2" t="inlineStr">
        <is>
          <t>УЛУЧШЕННЫЙ ДВУХМЕСТНЫЙ НОМЕР</t>
        </is>
      </c>
      <c r="S125" t="n">
        <v>59</v>
      </c>
      <c r="T125" t="n">
        <v>2</v>
      </c>
      <c r="U125" t="inlineStr"/>
      <c r="V125" t="inlineStr">
        <is>
          <t>Тариф с завтраком</t>
        </is>
      </c>
      <c r="W125" t="n">
        <v>7900</v>
      </c>
      <c r="X125" s="3" t="n">
        <v>0</v>
      </c>
      <c r="Y125" t="inlineStr"/>
      <c r="Z125" t="inlineStr"/>
      <c r="AA125" s="3" t="n">
        <v>7900</v>
      </c>
      <c r="AB125" t="inlineStr">
        <is>
          <t>Сошлось по ночным тарифам</t>
        </is>
      </c>
      <c r="AC125" s="2" t="inlineStr"/>
      <c r="AD125" t="n">
        <v>0</v>
      </c>
      <c r="AE125" t="n">
        <v>0</v>
      </c>
      <c r="AF125" t="inlineStr">
        <is>
          <t>Скидки нет</t>
        </is>
      </c>
      <c r="AG125" t="n">
        <v>7900</v>
      </c>
      <c r="AH125" t="n">
        <v>7900</v>
      </c>
      <c r="AI125" t="inlineStr">
        <is>
          <t>Полное проживание в выбранном периоде</t>
        </is>
      </c>
    </row>
    <row r="126">
      <c r="A126" t="inlineStr">
        <is>
          <t>20260709-8186-448813635</t>
        </is>
      </c>
      <c r="B126" t="n">
        <v>1</v>
      </c>
      <c r="C126" s="2" t="inlineStr">
        <is>
          <t>ДМИТРИЙ СЕРОВ</t>
        </is>
      </c>
      <c r="D126" s="3" t="n">
        <v>7900</v>
      </c>
      <c r="E126" s="4" t="n">
        <v>0</v>
      </c>
      <c r="F126" t="inlineStr">
        <is>
          <t>Прямые бронирования (стойка) [Чайковский]</t>
        </is>
      </c>
      <c r="G126" s="3">
        <f>ROUND(D126/(100-E126)*100,2)</f>
        <v/>
      </c>
      <c r="H126" s="3" t="n">
        <v>0</v>
      </c>
      <c r="I126" s="3">
        <f>ROUND(IF(ISNUMBER(AG126),AG126,G126)+H126,2)</f>
        <v/>
      </c>
      <c r="J126" s="2" t="inlineStr">
        <is>
          <t>Завтрак "Шведский стол"</t>
        </is>
      </c>
      <c r="K126" s="5" t="n">
        <v>46212.58333333334</v>
      </c>
      <c r="L126" t="n">
        <v>1</v>
      </c>
      <c r="M126" s="3">
        <f>I126/L126</f>
        <v/>
      </c>
      <c r="N126">
        <f>IF(M126&gt;=5100,"ставка","мин.ставка")</f>
        <v/>
      </c>
      <c r="O126" s="3">
        <f>ROUND(IF(N126="мин.ставка",L126*100,I126/102*2),2)</f>
        <v/>
      </c>
      <c r="P126" s="5" t="n">
        <v>46213.5</v>
      </c>
      <c r="Q126" t="inlineStr">
        <is>
          <t>TravelLine ресепшен</t>
        </is>
      </c>
      <c r="R126" s="2" t="inlineStr">
        <is>
          <t>УЛУЧШЕННЫЙ ДВУХМЕСТНЫЙ НОМЕР</t>
        </is>
      </c>
      <c r="S126" t="n">
        <v>59</v>
      </c>
      <c r="T126" t="n">
        <v>2</v>
      </c>
      <c r="U126" t="inlineStr"/>
      <c r="V126" t="inlineStr">
        <is>
          <t>Тариф с завтраком</t>
        </is>
      </c>
      <c r="W126" t="n">
        <v>7900</v>
      </c>
      <c r="X126" s="3" t="n">
        <v>0</v>
      </c>
      <c r="Y126" t="inlineStr"/>
      <c r="Z126" t="inlineStr"/>
      <c r="AA126" s="3" t="n">
        <v>7900</v>
      </c>
      <c r="AB126" t="inlineStr">
        <is>
          <t>Сошлось по ночным тарифам</t>
        </is>
      </c>
      <c r="AC126" s="2" t="inlineStr"/>
      <c r="AD126" t="n">
        <v>0</v>
      </c>
      <c r="AE126" t="n">
        <v>0</v>
      </c>
      <c r="AF126" t="inlineStr">
        <is>
          <t>Скидки нет</t>
        </is>
      </c>
      <c r="AG126" t="n">
        <v>7900</v>
      </c>
      <c r="AH126" t="n">
        <v>7900</v>
      </c>
      <c r="AI126" t="inlineStr">
        <is>
          <t>Полное проживание в выбранном периоде</t>
        </is>
      </c>
    </row>
    <row r="127">
      <c r="A127" t="inlineStr">
        <is>
          <t>20260907-8186-464086254</t>
        </is>
      </c>
      <c r="B127" t="n">
        <v>1</v>
      </c>
      <c r="C127" s="2" t="inlineStr">
        <is>
          <t>ДМИТРИЙ СЕРОВ</t>
        </is>
      </c>
      <c r="D127" s="3" t="n">
        <v>9534</v>
      </c>
      <c r="E127" s="4" t="n">
        <v>16</v>
      </c>
      <c r="F127" t="inlineStr">
        <is>
          <t>ООО "БРОНИРОВАНИЕ ГОСТИНИЦ" (OSTROVOK) [Чайковский]</t>
        </is>
      </c>
      <c r="G127" s="3">
        <f>ROUND(D127/(100-E127)*100,2)</f>
        <v/>
      </c>
      <c r="H127" s="3" t="n">
        <v>0</v>
      </c>
      <c r="I127" s="3">
        <f>ROUND(IF(ISNUMBER(AG127),AG127,G127)+H127,2)</f>
        <v/>
      </c>
      <c r="J127" s="2" t="inlineStr">
        <is>
          <t>Завтрак "Шведский стол"</t>
        </is>
      </c>
      <c r="K127" s="5" t="n">
        <v>46272.58333333334</v>
      </c>
      <c r="L127" t="n">
        <v>1</v>
      </c>
      <c r="M127" s="3">
        <f>I127/L127</f>
        <v/>
      </c>
      <c r="N127">
        <f>IF(M127&gt;=5100,"ставка","мин.ставка")</f>
        <v/>
      </c>
      <c r="O127" s="3">
        <f>ROUND(IF(N127="мин.ставка",L127*100,I127/102*2),2)</f>
        <v/>
      </c>
      <c r="P127" s="5" t="n">
        <v>46273.58333333334</v>
      </c>
      <c r="Q127" t="inlineStr">
        <is>
          <t>TravelLine OTK</t>
        </is>
      </c>
      <c r="R127" s="2" t="inlineStr">
        <is>
          <t>СТАНДАРТНЫЙ ДВУХМЕСТНЫЙ НОМЕР</t>
        </is>
      </c>
      <c r="S127" t="n">
        <v>52</v>
      </c>
      <c r="T127" t="n">
        <v>2</v>
      </c>
      <c r="U127" t="inlineStr"/>
      <c r="V127" t="inlineStr">
        <is>
          <t>Тариф с завтраком</t>
        </is>
      </c>
      <c r="W127" t="n">
        <v>47670</v>
      </c>
      <c r="X127" s="3" t="n">
        <v>1816</v>
      </c>
      <c r="Y127" t="inlineStr">
        <is>
          <t>16%</t>
        </is>
      </c>
      <c r="Z127" t="inlineStr">
        <is>
          <t>2026-09-07</t>
        </is>
      </c>
      <c r="AA127" s="3" t="n">
        <v>9534</v>
      </c>
      <c r="AB127" t="inlineStr">
        <is>
          <t>Сошлось по ночным тарифам</t>
        </is>
      </c>
      <c r="AC127" s="2" t="inlineStr"/>
      <c r="AD127" t="n">
        <v>1816</v>
      </c>
      <c r="AE127" t="n">
        <v>0</v>
      </c>
      <c r="AF127" t="inlineStr">
        <is>
          <t>Скидка добавлена к налоговой базе</t>
        </is>
      </c>
      <c r="AG127" t="n">
        <v>11350</v>
      </c>
      <c r="AH127" t="n">
        <v>9534</v>
      </c>
      <c r="AI127" t="inlineStr">
        <is>
          <t>Полное проживание в выбранном периоде</t>
        </is>
      </c>
    </row>
    <row r="128">
      <c r="A128" t="inlineStr">
        <is>
          <t>20260902-8186-462738129</t>
        </is>
      </c>
      <c r="B128" t="n">
        <v>1</v>
      </c>
      <c r="C128" s="2" t="inlineStr">
        <is>
          <t>Дмитрий Скрипальщиков, МАРИНА СКРИПАЛЬЩИКОВА</t>
        </is>
      </c>
      <c r="D128" s="3" t="n">
        <v>15890</v>
      </c>
      <c r="E128" s="4" t="n">
        <v>20</v>
      </c>
      <c r="F128" t="inlineStr">
        <is>
          <t>ООО "УК ГЦБ и Т" [Чайковский]</t>
        </is>
      </c>
      <c r="G128" s="3">
        <f>ROUND(D128/(100-E128)*100,2)</f>
        <v/>
      </c>
      <c r="H128" s="3" t="n">
        <v>17350</v>
      </c>
      <c r="I128" s="3">
        <f>ROUND(IF(ISNUMBER(AG128),AG128,G128)+H128,2)</f>
        <v/>
      </c>
      <c r="J128" s="2" t="inlineStr">
        <is>
          <t>Завтрак; продление номера — 6 000,00 ₽; Завтрак "Шведский стол"; Ранний заезд — 11 350,00 ₽</t>
        </is>
      </c>
      <c r="K128" s="5" t="n">
        <v>46267.375</v>
      </c>
      <c r="L128" t="n">
        <v>2</v>
      </c>
      <c r="M128" s="3">
        <f>I128/L128</f>
        <v/>
      </c>
      <c r="N128">
        <f>IF(M128&gt;=5100,"ставка","мин.ставка")</f>
        <v/>
      </c>
      <c r="O128" s="3">
        <f>ROUND(IF(N128="мин.ставка",L128*100,I128/102*2),2)</f>
        <v/>
      </c>
      <c r="P128" s="5" t="n">
        <v>46269.5</v>
      </c>
      <c r="Q128" t="inlineStr">
        <is>
          <t>TravelLine CBC</t>
        </is>
      </c>
      <c r="R128" s="2" t="inlineStr">
        <is>
          <t>СТАНДАРТНЫЙ ДВУХМЕСТНЫЙ НОМЕР</t>
        </is>
      </c>
      <c r="S128" t="n">
        <v>58</v>
      </c>
      <c r="T128" t="n">
        <v>2</v>
      </c>
      <c r="U128" t="inlineStr"/>
      <c r="V128" t="inlineStr">
        <is>
          <t>Тариф с завтраком</t>
        </is>
      </c>
      <c r="W128" t="n">
        <v>33240</v>
      </c>
      <c r="X128" s="3" t="n">
        <v>6810</v>
      </c>
      <c r="Y128" t="inlineStr">
        <is>
          <t>6810%</t>
        </is>
      </c>
      <c r="Z128" t="inlineStr">
        <is>
          <t>Не распределена по датам</t>
        </is>
      </c>
      <c r="AA128" s="3" t="n">
        <v>15890</v>
      </c>
      <c r="AB128" t="inlineStr">
        <is>
          <t>Расхождение -11350.00 ₽</t>
        </is>
      </c>
      <c r="AC128" s="2" t="inlineStr"/>
      <c r="AD128" t="n">
        <v>6810</v>
      </c>
      <c r="AE128" t="n">
        <v>0</v>
      </c>
      <c r="AF128" t="inlineStr">
        <is>
          <t>Скидка добавлена к налоговой базе</t>
        </is>
      </c>
      <c r="AG128" t="n">
        <v>22700</v>
      </c>
      <c r="AH128" t="n">
        <v>15890</v>
      </c>
      <c r="AI128" t="inlineStr">
        <is>
          <t>Полное проживание в выбранном периоде</t>
        </is>
      </c>
    </row>
    <row r="129">
      <c r="A129" t="inlineStr">
        <is>
          <t>20260916-8186-466040322</t>
        </is>
      </c>
      <c r="B129" t="n">
        <v>1</v>
      </c>
      <c r="C129" s="2" t="inlineStr">
        <is>
          <t>Дмитрий Тихомиров</t>
        </is>
      </c>
      <c r="D129" s="3" t="n">
        <v>19920</v>
      </c>
      <c r="E129" s="4" t="n">
        <v>20</v>
      </c>
      <c r="F129" t="inlineStr">
        <is>
          <t>ООО "КОМПАНИЯ БРОНЕВИК" [Чайковский]</t>
        </is>
      </c>
      <c r="G129" s="3">
        <f>ROUND(D129/(100-E129)*100,2)</f>
        <v/>
      </c>
      <c r="H129" s="3" t="n">
        <v>0</v>
      </c>
      <c r="I129" s="3">
        <f>ROUND(IF(ISNUMBER(AG129),AG129,G129)+H129,2)</f>
        <v/>
      </c>
      <c r="J129" s="2" t="inlineStr">
        <is>
          <t>Завтрак "Шведский стол"</t>
        </is>
      </c>
      <c r="K129" s="5" t="n">
        <v>46281.58333333334</v>
      </c>
      <c r="L129" t="n">
        <v>2</v>
      </c>
      <c r="M129" s="3">
        <f>I129/L129</f>
        <v/>
      </c>
      <c r="N129">
        <f>IF(M129&gt;=5100,"ставка","мин.ставка")</f>
        <v/>
      </c>
      <c r="O129" s="3">
        <f>ROUND(IF(N129="мин.ставка",L129*100,I129/102*2),2)</f>
        <v/>
      </c>
      <c r="P129" s="5" t="n">
        <v>46283.5</v>
      </c>
      <c r="Q129" t="inlineStr">
        <is>
          <t>TravelLine BR2</t>
        </is>
      </c>
      <c r="R129" s="2" t="inlineStr">
        <is>
          <t>СЕМЕЙНЫЙ НОМЕР КАТЕГОРИИ "СТАНДАРТ" ВТОРОЙ КОРПУС</t>
        </is>
      </c>
      <c r="S129" t="n">
        <v>50</v>
      </c>
      <c r="T129" t="n">
        <v>2</v>
      </c>
      <c r="U129" t="inlineStr"/>
      <c r="V129" t="inlineStr">
        <is>
          <t>Тариф с завтраком</t>
        </is>
      </c>
      <c r="W129" t="n">
        <v>19920</v>
      </c>
      <c r="X129" s="3" t="n">
        <v>0</v>
      </c>
      <c r="Y129" t="inlineStr"/>
      <c r="Z129" t="inlineStr"/>
      <c r="AA129" s="3" t="n">
        <v>19920</v>
      </c>
      <c r="AB129" t="inlineStr">
        <is>
          <t>Сошлось по ночным тарифам</t>
        </is>
      </c>
      <c r="AC129" s="2" t="inlineStr"/>
      <c r="AD129" t="n">
        <v>0</v>
      </c>
      <c r="AE129" t="n">
        <v>0</v>
      </c>
      <c r="AF129" t="inlineStr">
        <is>
          <t>Скидки нет</t>
        </is>
      </c>
      <c r="AG129" t="n">
        <v>19920</v>
      </c>
      <c r="AH129" t="n">
        <v>19920</v>
      </c>
      <c r="AI129" t="inlineStr">
        <is>
          <t>Полное проживание в выбранном периоде</t>
        </is>
      </c>
    </row>
    <row r="130">
      <c r="A130" t="inlineStr">
        <is>
          <t>20260728-8186-433948569</t>
        </is>
      </c>
      <c r="B130" t="n">
        <v>1</v>
      </c>
      <c r="C130" s="2" t="inlineStr">
        <is>
          <t>Евгений Гололобов, ЮЛИЯ АНДРЕЕВА, ПЕЛАГЕЯ ГОЛОЛОБОВА</t>
        </is>
      </c>
      <c r="D130" s="3" t="n">
        <v>16991.25</v>
      </c>
      <c r="E130" s="4" t="n">
        <v>4</v>
      </c>
      <c r="F130" t="inlineStr">
        <is>
          <t>TravelLine Booking Engine [Чайковский]</t>
        </is>
      </c>
      <c r="G130" s="3">
        <f>ROUND(D130/(100-E130)*100,2)</f>
        <v/>
      </c>
      <c r="H130" s="3" t="n">
        <v>0</v>
      </c>
      <c r="I130" s="3">
        <f>ROUND(IF(ISNUMBER(AG130),AG130,G130)+H130,2)</f>
        <v/>
      </c>
      <c r="J130" s="2" t="inlineStr">
        <is>
          <t>Завтрак "Шведский стол"</t>
        </is>
      </c>
      <c r="K130" s="5" t="n">
        <v>46231.58333333334</v>
      </c>
      <c r="L130" t="n">
        <v>1</v>
      </c>
      <c r="M130" s="3">
        <f>I130/L130</f>
        <v/>
      </c>
      <c r="N130">
        <f>IF(M130&gt;=5100,"ставка","мин.ставка")</f>
        <v/>
      </c>
      <c r="O130" s="3">
        <f>ROUND(IF(N130="мин.ставка",L130*100,I130/102*2),2)</f>
        <v/>
      </c>
      <c r="P130" s="5" t="n">
        <v>46232.5</v>
      </c>
      <c r="Q130" t="inlineStr">
        <is>
          <t>TravelLine сайт</t>
        </is>
      </c>
      <c r="R130" s="2" t="inlineStr">
        <is>
          <t>семейный номер категории "стандарт"</t>
        </is>
      </c>
      <c r="S130" t="n">
        <v>51</v>
      </c>
      <c r="T130" t="n">
        <v>2</v>
      </c>
      <c r="U130" t="inlineStr"/>
      <c r="V130" t="inlineStr">
        <is>
          <t>Тариф с завтраком</t>
        </is>
      </c>
      <c r="W130" t="n">
        <v>16991.25</v>
      </c>
      <c r="X130" s="3" t="n">
        <v>258.75</v>
      </c>
      <c r="Y130" t="inlineStr">
        <is>
          <t>1.5%</t>
        </is>
      </c>
      <c r="Z130" t="inlineStr">
        <is>
          <t>2026-07-28</t>
        </is>
      </c>
      <c r="AA130" s="3" t="n">
        <v>16991.25</v>
      </c>
      <c r="AB130" t="inlineStr">
        <is>
          <t>Сошлось по ночным тарифам</t>
        </is>
      </c>
      <c r="AC130" s="2" t="inlineStr"/>
      <c r="AD130" t="n">
        <v>258.75</v>
      </c>
      <c r="AE130" t="n">
        <v>0</v>
      </c>
      <c r="AF130" t="inlineStr">
        <is>
          <t>Скидка добавлена к налоговой базе</t>
        </is>
      </c>
      <c r="AG130" t="n">
        <v>17250</v>
      </c>
      <c r="AH130" t="n">
        <v>16991.25</v>
      </c>
      <c r="AI130" t="inlineStr">
        <is>
          <t>Полное проживание в выбранном периоде</t>
        </is>
      </c>
    </row>
    <row r="131">
      <c r="A131" t="inlineStr">
        <is>
          <t>20260722-8186-451992437</t>
        </is>
      </c>
      <c r="B131" t="n">
        <v>1</v>
      </c>
      <c r="C131" s="2" t="inlineStr">
        <is>
          <t>Евгений Грошев</t>
        </is>
      </c>
      <c r="D131" s="3" t="n">
        <v>7298</v>
      </c>
      <c r="E131" s="4" t="n">
        <v>18</v>
      </c>
      <c r="F131" t="inlineStr">
        <is>
          <t>ООО "Эй энд Эй" [Чайковский]</t>
        </is>
      </c>
      <c r="G131" s="3">
        <f>ROUND(D131/(100-E131)*100,2)</f>
        <v/>
      </c>
      <c r="H131" s="3" t="n">
        <v>0</v>
      </c>
      <c r="I131" s="3">
        <f>ROUND(IF(ISNUMBER(AG131),AG131,G131)+H131,2)</f>
        <v/>
      </c>
      <c r="J131" s="2" t="inlineStr">
        <is>
          <t>Завтрак "Шведский стол"</t>
        </is>
      </c>
      <c r="K131" s="5" t="n">
        <v>46225.58333333334</v>
      </c>
      <c r="L131" t="n">
        <v>1</v>
      </c>
      <c r="M131" s="3">
        <f>I131/L131</f>
        <v/>
      </c>
      <c r="N131">
        <f>IF(M131&gt;=5100,"ставка","мин.ставка")</f>
        <v/>
      </c>
      <c r="O131" s="3">
        <f>ROUND(IF(N131="мин.ставка",L131*100,I131/102*2),2)</f>
        <v/>
      </c>
      <c r="P131" s="5" t="n">
        <v>46226.5</v>
      </c>
      <c r="Q131" t="inlineStr">
        <is>
          <t>TravelLine ANA</t>
        </is>
      </c>
      <c r="R131" s="2" t="inlineStr">
        <is>
          <t>СЕМЕЙНЫЙ НОМЕР КАТЕГОРИИ "СТАНДАРТ" ВТОРОЙ КОРПУС</t>
        </is>
      </c>
      <c r="S131" t="n">
        <v>51</v>
      </c>
      <c r="T131" t="n">
        <v>2</v>
      </c>
      <c r="U131" t="inlineStr"/>
      <c r="V131" t="inlineStr">
        <is>
          <t>Тариф с завтраком</t>
        </is>
      </c>
      <c r="W131" t="n">
        <v>7298</v>
      </c>
      <c r="X131" s="3" t="n">
        <v>1602</v>
      </c>
      <c r="Y131" t="inlineStr">
        <is>
          <t>18%</t>
        </is>
      </c>
      <c r="Z131" t="inlineStr">
        <is>
          <t>2026-07-22</t>
        </is>
      </c>
      <c r="AA131" s="3" t="n">
        <v>7298</v>
      </c>
      <c r="AB131" t="inlineStr">
        <is>
          <t>Сошлось по ночным тарифам</t>
        </is>
      </c>
      <c r="AC131" s="2" t="inlineStr"/>
      <c r="AD131" t="n">
        <v>1602</v>
      </c>
      <c r="AE131" t="n">
        <v>0</v>
      </c>
      <c r="AF131" t="inlineStr">
        <is>
          <t>Скидка добавлена к налоговой базе</t>
        </is>
      </c>
      <c r="AG131" t="n">
        <v>8900</v>
      </c>
      <c r="AH131" t="n">
        <v>7298</v>
      </c>
      <c r="AI131" t="inlineStr">
        <is>
          <t>Полное проживание в выбранном периоде</t>
        </is>
      </c>
    </row>
    <row r="132">
      <c r="A132" t="inlineStr">
        <is>
          <t>20260827-8186-461586024</t>
        </is>
      </c>
      <c r="B132" t="n">
        <v>1</v>
      </c>
      <c r="C132" s="2" t="inlineStr">
        <is>
          <t>Евгений Езеев</t>
        </is>
      </c>
      <c r="D132" s="3" t="n">
        <v>56750</v>
      </c>
      <c r="E132" s="4" t="n">
        <v>0</v>
      </c>
      <c r="F132" t="inlineStr">
        <is>
          <t>Прямые бронирования (стойка) [Чайковский]</t>
        </is>
      </c>
      <c r="G132" s="3">
        <f>ROUND(D132/(100-E132)*100,2)</f>
        <v/>
      </c>
      <c r="H132" s="3" t="n">
        <v>0</v>
      </c>
      <c r="I132" s="3">
        <f>ROUND(IF(ISNUMBER(AG132),AG132,G132)+H132,2)</f>
        <v/>
      </c>
      <c r="J132" s="2" t="inlineStr">
        <is>
          <t>Завтрак "Шведский стол"</t>
        </is>
      </c>
      <c r="K132" s="5" t="n">
        <v>46261.58333333334</v>
      </c>
      <c r="L132" t="n">
        <v>5</v>
      </c>
      <c r="M132" s="3">
        <f>I132/L132</f>
        <v/>
      </c>
      <c r="N132">
        <f>IF(M132&gt;=5100,"ставка","мин.ставка")</f>
        <v/>
      </c>
      <c r="O132" s="3">
        <f>ROUND(IF(N132="мин.ставка",L132*100,I132/102*2),2)</f>
        <v/>
      </c>
      <c r="P132" s="5" t="n">
        <v>46266.5</v>
      </c>
      <c r="Q132" t="inlineStr">
        <is>
          <t>TravelLine ресепшен</t>
        </is>
      </c>
      <c r="R132" s="2" t="inlineStr">
        <is>
          <t>СТАНДАРТНЫЙ ДВУХМЕСТНЫЙ НОМЕР</t>
        </is>
      </c>
      <c r="S132" t="n">
        <v>52</v>
      </c>
      <c r="T132" t="n">
        <v>2</v>
      </c>
      <c r="U132" t="inlineStr"/>
      <c r="V132" t="inlineStr">
        <is>
          <t>Тариф с завтраком</t>
        </is>
      </c>
      <c r="W132" t="n">
        <v>56750</v>
      </c>
      <c r="X132" s="3" t="n">
        <v>0</v>
      </c>
      <c r="Y132" t="inlineStr"/>
      <c r="Z132" t="inlineStr"/>
      <c r="AA132" s="3" t="n">
        <v>56750</v>
      </c>
      <c r="AB132" t="inlineStr">
        <is>
          <t>Сошлось по ночным тарифам</t>
        </is>
      </c>
      <c r="AC132" s="2" t="inlineStr"/>
      <c r="AD132" t="n">
        <v>0</v>
      </c>
      <c r="AE132" t="n">
        <v>0</v>
      </c>
      <c r="AF132" t="inlineStr">
        <is>
          <t>Скидки нет</t>
        </is>
      </c>
      <c r="AG132" t="n">
        <v>56750</v>
      </c>
      <c r="AH132" t="n">
        <v>56750</v>
      </c>
      <c r="AI132" t="inlineStr">
        <is>
          <t>Полное проживание в выбранном периоде</t>
        </is>
      </c>
    </row>
    <row r="133">
      <c r="A133" t="inlineStr">
        <is>
          <t>20260925-8186-467701142</t>
        </is>
      </c>
      <c r="B133" t="n">
        <v>1</v>
      </c>
      <c r="C133" s="2" t="inlineStr">
        <is>
          <t>Евгений Родионов, Кристина Сокол</t>
        </is>
      </c>
      <c r="D133" s="3" t="n">
        <v>20000</v>
      </c>
      <c r="E133" s="4" t="n">
        <v>20</v>
      </c>
      <c r="F133" t="inlineStr">
        <is>
          <t>ООО «Дубль Гис» (OTELLO) [Чайковский]</t>
        </is>
      </c>
      <c r="G133" s="3">
        <f>ROUND(D133/(100-E133)*100,2)</f>
        <v/>
      </c>
      <c r="H133" s="3" t="n">
        <v>0</v>
      </c>
      <c r="I133" s="3">
        <f>ROUND(IF(ISNUMBER(AG133),AG133,G133)+H133,2)</f>
        <v/>
      </c>
      <c r="J133" s="2" t="inlineStr"/>
      <c r="K133" s="5" t="n">
        <v>46290.58333333334</v>
      </c>
      <c r="L133" t="n">
        <v>2</v>
      </c>
      <c r="M133" s="3">
        <f>I133/L133</f>
        <v/>
      </c>
      <c r="N133">
        <f>IF(M133&gt;=5100,"ставка","мин.ставка")</f>
        <v/>
      </c>
      <c r="O133" s="3">
        <f>ROUND(IF(N133="мин.ставка",L133*100,I133/102*2),2)</f>
        <v/>
      </c>
      <c r="P133" s="5" t="n">
        <v>46292.5</v>
      </c>
      <c r="Q133" t="inlineStr">
        <is>
          <t>TravelLine OL2</t>
        </is>
      </c>
      <c r="R133" s="2" t="inlineStr">
        <is>
          <t>СЕМЕЙНЫЙ НОМЕР КАТЕГОРИИ "СТАНДАРТ" ВТОРОЙ КОРПУС</t>
        </is>
      </c>
      <c r="S133" t="n">
        <v>50</v>
      </c>
      <c r="T133" t="n">
        <v>2</v>
      </c>
      <c r="U133" t="inlineStr"/>
      <c r="V133" t="inlineStr">
        <is>
          <t>Основной тариф без завтрака</t>
        </is>
      </c>
      <c r="W133" t="n">
        <v>20000</v>
      </c>
      <c r="X133" s="3" t="n">
        <v>5000</v>
      </c>
      <c r="Y133" t="inlineStr">
        <is>
          <t>20%</t>
        </is>
      </c>
      <c r="Z133" t="inlineStr">
        <is>
          <t>2026-09-25, 2026-09-26</t>
        </is>
      </c>
      <c r="AA133" s="3" t="n">
        <v>20000</v>
      </c>
      <c r="AB133" t="inlineStr">
        <is>
          <t>Сошлось по ночным тарифам</t>
        </is>
      </c>
      <c r="AC133" s="2" t="inlineStr"/>
      <c r="AD133" t="n">
        <v>5000</v>
      </c>
      <c r="AE133" t="n">
        <v>0</v>
      </c>
      <c r="AF133" t="inlineStr">
        <is>
          <t>Скидка добавлена к налоговой базе</t>
        </is>
      </c>
      <c r="AG133" t="n">
        <v>25000</v>
      </c>
      <c r="AH133" t="n">
        <v>20000</v>
      </c>
      <c r="AI133" t="inlineStr">
        <is>
          <t>Полное проживание в выбранном периоде</t>
        </is>
      </c>
    </row>
    <row r="134">
      <c r="A134" t="inlineStr">
        <is>
          <t>20260710-8186-411189660</t>
        </is>
      </c>
      <c r="B134" t="n">
        <v>1</v>
      </c>
      <c r="C134" s="2" t="inlineStr">
        <is>
          <t>Евгений Станчук, Татьяна Станчук</t>
        </is>
      </c>
      <c r="D134" s="3" t="n">
        <v>17533</v>
      </c>
      <c r="E134" s="4" t="n">
        <v>4</v>
      </c>
      <c r="F134" t="inlineStr">
        <is>
          <t>TravelLine Booking Engine [Чайковский]</t>
        </is>
      </c>
      <c r="G134" s="3">
        <f>ROUND(D134/(100-E134)*100,2)</f>
        <v/>
      </c>
      <c r="H134" s="3" t="n">
        <v>0</v>
      </c>
      <c r="I134" s="3">
        <f>ROUND(IF(ISNUMBER(AG134),AG134,G134)+H134,2)</f>
        <v/>
      </c>
      <c r="J134" s="2" t="inlineStr">
        <is>
          <t>Завтрак "Шведский стол"</t>
        </is>
      </c>
      <c r="K134" s="5" t="n">
        <v>46213.58333333334</v>
      </c>
      <c r="L134" t="n">
        <v>1</v>
      </c>
      <c r="M134" s="3">
        <f>I134/L134</f>
        <v/>
      </c>
      <c r="N134">
        <f>IF(M134&gt;=5100,"ставка","мин.ставка")</f>
        <v/>
      </c>
      <c r="O134" s="3">
        <f>ROUND(IF(N134="мин.ставка",L134*100,I134/102*2),2)</f>
        <v/>
      </c>
      <c r="P134" s="5" t="n">
        <v>46214.5</v>
      </c>
      <c r="Q134" t="inlineStr">
        <is>
          <t>TravelLine сайт</t>
        </is>
      </c>
      <c r="R134" s="2" t="inlineStr">
        <is>
          <t>ЛЮКС</t>
        </is>
      </c>
      <c r="S134" t="n">
        <v>57</v>
      </c>
      <c r="T134" t="n">
        <v>2</v>
      </c>
      <c r="U134" t="inlineStr"/>
      <c r="V134" t="inlineStr">
        <is>
          <t>Тариф с завтраком</t>
        </is>
      </c>
      <c r="W134" t="n">
        <v>17533</v>
      </c>
      <c r="X134" s="3" t="n">
        <v>267</v>
      </c>
      <c r="Y134" t="inlineStr">
        <is>
          <t>1.5%</t>
        </is>
      </c>
      <c r="Z134" t="inlineStr">
        <is>
          <t>2026-07-10</t>
        </is>
      </c>
      <c r="AA134" s="3" t="n">
        <v>17533</v>
      </c>
      <c r="AB134" t="inlineStr">
        <is>
          <t>Сошлось по ночным тарифам</t>
        </is>
      </c>
      <c r="AC134" s="2" t="inlineStr"/>
      <c r="AD134" t="n">
        <v>267</v>
      </c>
      <c r="AE134" t="n">
        <v>0</v>
      </c>
      <c r="AF134" t="inlineStr">
        <is>
          <t>Скидка добавлена к налоговой базе</t>
        </is>
      </c>
      <c r="AG134" t="n">
        <v>17800</v>
      </c>
      <c r="AH134" t="n">
        <v>17533</v>
      </c>
      <c r="AI134" t="inlineStr">
        <is>
          <t>Полное проживание в выбранном периоде</t>
        </is>
      </c>
    </row>
    <row r="135">
      <c r="A135" t="inlineStr">
        <is>
          <t>20260723-8186-449878225</t>
        </is>
      </c>
      <c r="B135" t="n">
        <v>1</v>
      </c>
      <c r="C135" s="2" t="inlineStr">
        <is>
          <t>Егор Пожидаев, Олеся Лидле</t>
        </is>
      </c>
      <c r="D135" s="3" t="n">
        <v>35333</v>
      </c>
      <c r="E135" s="4" t="n">
        <v>4</v>
      </c>
      <c r="F135" t="inlineStr">
        <is>
          <t>TravelLine Booking Engine [Чайковский]</t>
        </is>
      </c>
      <c r="G135" s="3">
        <f>ROUND(D135/(100-E135)*100,2)</f>
        <v/>
      </c>
      <c r="H135" s="3" t="n">
        <v>0</v>
      </c>
      <c r="I135" s="3">
        <f>ROUND(IF(ISNUMBER(AG135),AG135,G135)+H135,2)</f>
        <v/>
      </c>
      <c r="J135" s="2" t="inlineStr">
        <is>
          <t>Завтрак "Шведский стол"</t>
        </is>
      </c>
      <c r="K135" s="5" t="n">
        <v>46226.58333333334</v>
      </c>
      <c r="L135" t="n">
        <v>2</v>
      </c>
      <c r="M135" s="3">
        <f>I135/L135</f>
        <v/>
      </c>
      <c r="N135">
        <f>IF(M135&gt;=5100,"ставка","мин.ставка")</f>
        <v/>
      </c>
      <c r="O135" s="3">
        <f>ROUND(IF(N135="мин.ставка",L135*100,I135/102*2),2)</f>
        <v/>
      </c>
      <c r="P135" s="5" t="n">
        <v>46228.5</v>
      </c>
      <c r="Q135" t="inlineStr">
        <is>
          <t>TravelLine сайт</t>
        </is>
      </c>
      <c r="R135" s="2" t="inlineStr">
        <is>
          <t>ЛЮКС ВТОРОЙ КОРПУС</t>
        </is>
      </c>
      <c r="S135" t="n">
        <v>53</v>
      </c>
      <c r="T135" t="n">
        <v>2</v>
      </c>
      <c r="U135" t="inlineStr"/>
      <c r="V135" t="inlineStr">
        <is>
          <t>Тариф с завтраком</t>
        </is>
      </c>
      <c r="W135" t="n">
        <v>35333</v>
      </c>
      <c r="X135" s="3" t="n">
        <v>267</v>
      </c>
      <c r="Y135" t="inlineStr">
        <is>
          <t>1.5%</t>
        </is>
      </c>
      <c r="Z135" t="inlineStr">
        <is>
          <t>2026-07-23</t>
        </is>
      </c>
      <c r="AA135" s="3" t="n">
        <v>35333</v>
      </c>
      <c r="AB135" t="inlineStr">
        <is>
          <t>Сошлось по ночным тарифам</t>
        </is>
      </c>
      <c r="AC135" s="2" t="inlineStr"/>
      <c r="AD135" t="n">
        <v>267</v>
      </c>
      <c r="AE135" t="n">
        <v>0</v>
      </c>
      <c r="AF135" t="inlineStr">
        <is>
          <t>Скидка добавлена к налоговой базе</t>
        </is>
      </c>
      <c r="AG135" t="n">
        <v>35600</v>
      </c>
      <c r="AH135" t="n">
        <v>35333</v>
      </c>
      <c r="AI135" t="inlineStr">
        <is>
          <t>Полное проживание в выбранном периоде</t>
        </is>
      </c>
    </row>
    <row r="136">
      <c r="A136" t="inlineStr">
        <is>
          <t>20260823-8186-457343418</t>
        </is>
      </c>
      <c r="B136" t="n">
        <v>1</v>
      </c>
      <c r="C136" s="2" t="inlineStr">
        <is>
          <t>Екатерина Зайцева, Александр Демидов</t>
        </is>
      </c>
      <c r="D136" s="3" t="n">
        <v>89474</v>
      </c>
      <c r="E136" s="4" t="n">
        <v>17</v>
      </c>
      <c r="F136" t="inlineStr">
        <is>
          <t>ООО «Интернет Трэвел» (OZON) [Чайковский]</t>
        </is>
      </c>
      <c r="G136" s="3">
        <f>ROUND(D136/(100-E136)*100,2)</f>
        <v/>
      </c>
      <c r="H136" s="3" t="n">
        <v>0</v>
      </c>
      <c r="I136" s="3">
        <f>ROUND(IF(ISNUMBER(AG136),AG136,G136)+H136,2)</f>
        <v/>
      </c>
      <c r="J136" s="2" t="inlineStr">
        <is>
          <t>Завтрак "Шведский стол"</t>
        </is>
      </c>
      <c r="K136" s="5" t="n">
        <v>46257.58333333334</v>
      </c>
      <c r="L136" t="n">
        <v>7</v>
      </c>
      <c r="M136" s="3">
        <f>I136/L136</f>
        <v/>
      </c>
      <c r="N136">
        <f>IF(M136&gt;=5100,"ставка","мин.ставка")</f>
        <v/>
      </c>
      <c r="O136" s="3">
        <f>ROUND(IF(N136="мин.ставка",L136*100,I136/102*2),2)</f>
        <v/>
      </c>
      <c r="P136" s="5" t="n">
        <v>46264.5</v>
      </c>
      <c r="Q136" t="inlineStr">
        <is>
          <t>TravelLine OZ2</t>
        </is>
      </c>
      <c r="R136" s="2" t="inlineStr">
        <is>
          <t>УЛУЧШЕННЫЙ ДВУХМЕСТНЫЙ НОМЕР</t>
        </is>
      </c>
      <c r="S136" t="n">
        <v>59</v>
      </c>
      <c r="T136" t="n">
        <v>2</v>
      </c>
      <c r="U136" t="inlineStr"/>
      <c r="V136" t="inlineStr">
        <is>
          <t>Тариф с завтраком</t>
        </is>
      </c>
      <c r="W136" t="n">
        <v>89474</v>
      </c>
      <c r="X136" s="3" t="n">
        <v>18326</v>
      </c>
      <c r="Y136" t="inlineStr">
        <is>
          <t>17%</t>
        </is>
      </c>
      <c r="Z136" t="inlineStr">
        <is>
          <t>2026-08-23, 2026-08-24, 2026-08-25, 2026-08-26, 2026-08-27, 2026-08-28, 2026-08-29</t>
        </is>
      </c>
      <c r="AA136" s="3" t="n">
        <v>89474</v>
      </c>
      <c r="AB136" t="inlineStr">
        <is>
          <t>Сошлось по ночным тарифам</t>
        </is>
      </c>
      <c r="AC136" s="2" t="inlineStr"/>
      <c r="AD136" t="n">
        <v>18326</v>
      </c>
      <c r="AE136" t="n">
        <v>0</v>
      </c>
      <c r="AF136" t="inlineStr">
        <is>
          <t>Скидка добавлена к налоговой базе</t>
        </is>
      </c>
      <c r="AG136" t="n">
        <v>107800</v>
      </c>
      <c r="AH136" t="n">
        <v>89474</v>
      </c>
      <c r="AI136" t="inlineStr">
        <is>
          <t>Полное проживание в выбранном периоде</t>
        </is>
      </c>
    </row>
    <row r="137">
      <c r="A137" t="inlineStr">
        <is>
          <t>20260902-8186-461101023</t>
        </is>
      </c>
      <c r="B137" t="n">
        <v>1</v>
      </c>
      <c r="C137" s="2" t="inlineStr">
        <is>
          <t>Екатерина Михалева</t>
        </is>
      </c>
      <c r="D137" s="3" t="n">
        <v>27921</v>
      </c>
      <c r="E137" s="4" t="n">
        <v>18</v>
      </c>
      <c r="F137" t="inlineStr">
        <is>
          <t>ООО "Эй энд Эй" [Чайковский]</t>
        </is>
      </c>
      <c r="G137" s="3">
        <f>ROUND(D137/(100-E137)*100,2)</f>
        <v/>
      </c>
      <c r="H137" s="3" t="n">
        <v>0</v>
      </c>
      <c r="I137" s="3">
        <f>ROUND(IF(ISNUMBER(AG137),AG137,G137)+H137,2)</f>
        <v/>
      </c>
      <c r="J137" s="2" t="inlineStr">
        <is>
          <t>Завтрак "Шведский стол"</t>
        </is>
      </c>
      <c r="K137" s="5" t="n">
        <v>46267.58333333334</v>
      </c>
      <c r="L137" t="n">
        <v>3</v>
      </c>
      <c r="M137" s="3">
        <f>I137/L137</f>
        <v/>
      </c>
      <c r="N137">
        <f>IF(M137&gt;=5100,"ставка","мин.ставка")</f>
        <v/>
      </c>
      <c r="O137" s="3">
        <f>ROUND(IF(N137="мин.ставка",L137*100,I137/102*2),2)</f>
        <v/>
      </c>
      <c r="P137" s="5" t="n">
        <v>46270.5</v>
      </c>
      <c r="Q137" t="inlineStr">
        <is>
          <t>TravelLine ANA</t>
        </is>
      </c>
      <c r="R137" s="2" t="inlineStr">
        <is>
          <t>СТАНДАРТНЫЙ ДВУХМЕСТНЫЙ НОМЕР</t>
        </is>
      </c>
      <c r="S137" t="n">
        <v>55</v>
      </c>
      <c r="T137" t="n">
        <v>2</v>
      </c>
      <c r="U137" t="inlineStr"/>
      <c r="V137" t="inlineStr">
        <is>
          <t>Тариф с завтраком</t>
        </is>
      </c>
      <c r="W137" t="n">
        <v>27921</v>
      </c>
      <c r="X137" s="3" t="n">
        <v>6129</v>
      </c>
      <c r="Y137" t="inlineStr">
        <is>
          <t>18%</t>
        </is>
      </c>
      <c r="Z137" t="inlineStr">
        <is>
          <t>2026-09-02, 2026-09-03, 2026-09-04</t>
        </is>
      </c>
      <c r="AA137" s="3" t="n">
        <v>27921</v>
      </c>
      <c r="AB137" t="inlineStr">
        <is>
          <t>Сошлось по ночным тарифам</t>
        </is>
      </c>
      <c r="AC137" s="2" t="inlineStr"/>
      <c r="AD137" t="n">
        <v>6129</v>
      </c>
      <c r="AE137" t="n">
        <v>0</v>
      </c>
      <c r="AF137" t="inlineStr">
        <is>
          <t>Скидка добавлена к налоговой базе</t>
        </is>
      </c>
      <c r="AG137" t="n">
        <v>34050</v>
      </c>
      <c r="AH137" t="n">
        <v>27921</v>
      </c>
      <c r="AI137" t="inlineStr">
        <is>
          <t>Полное проживание в выбранном периоде</t>
        </is>
      </c>
    </row>
    <row r="138">
      <c r="A138" t="inlineStr">
        <is>
          <t>20260902-8186-463011978</t>
        </is>
      </c>
      <c r="B138" t="n">
        <v>1</v>
      </c>
      <c r="C138" s="2" t="inlineStr">
        <is>
          <t>Екатерина Сабайда</t>
        </is>
      </c>
      <c r="D138" s="3" t="n">
        <v>9960</v>
      </c>
      <c r="E138" s="4" t="n">
        <v>18</v>
      </c>
      <c r="F138" t="inlineStr">
        <is>
          <t>Яндекс.Путешествия [Чайковский]</t>
        </is>
      </c>
      <c r="G138" s="3">
        <f>ROUND(D138/(100-E138)*100,2)</f>
        <v/>
      </c>
      <c r="H138" s="3" t="n">
        <v>0</v>
      </c>
      <c r="I138" s="3">
        <f>ROUND(IF(ISNUMBER(AG138),AG138,G138)+H138,2)</f>
        <v/>
      </c>
      <c r="J138" s="2" t="inlineStr">
        <is>
          <t>Завтрак "Шведский стол"</t>
        </is>
      </c>
      <c r="K138" s="5" t="n">
        <v>46267.58333333334</v>
      </c>
      <c r="L138" t="n">
        <v>1</v>
      </c>
      <c r="M138" s="3">
        <f>I138/L138</f>
        <v/>
      </c>
      <c r="N138">
        <f>IF(M138&gt;=5100,"ставка","мин.ставка")</f>
        <v/>
      </c>
      <c r="O138" s="3">
        <f>ROUND(IF(N138="мин.ставка",L138*100,I138/102*2),2)</f>
        <v/>
      </c>
      <c r="P138" s="5" t="n">
        <v>46268.5</v>
      </c>
      <c r="Q138" t="inlineStr">
        <is>
          <t>TravelLine YAX</t>
        </is>
      </c>
      <c r="R138" s="2" t="inlineStr">
        <is>
          <t>СЕМЕЙНЫЙ НОМЕР КАТЕГОРИИ "СТАНДАРТ" ВТОРОЙ КОРПУС</t>
        </is>
      </c>
      <c r="S138" t="n">
        <v>50</v>
      </c>
      <c r="T138" t="n">
        <v>2</v>
      </c>
      <c r="U138" t="inlineStr"/>
      <c r="V138" t="inlineStr">
        <is>
          <t>Тариф с завтраком</t>
        </is>
      </c>
      <c r="W138" t="n">
        <v>9960</v>
      </c>
      <c r="X138" s="3" t="n">
        <v>2490</v>
      </c>
      <c r="Y138" t="inlineStr">
        <is>
          <t>20%</t>
        </is>
      </c>
      <c r="Z138" t="inlineStr">
        <is>
          <t>2026-09-02</t>
        </is>
      </c>
      <c r="AA138" s="3" t="n">
        <v>9960</v>
      </c>
      <c r="AB138" t="inlineStr">
        <is>
          <t>Сошлось по ночным тарифам</t>
        </is>
      </c>
      <c r="AC138" s="2" t="inlineStr"/>
      <c r="AD138" t="n">
        <v>2490</v>
      </c>
      <c r="AE138" t="n">
        <v>0</v>
      </c>
      <c r="AF138" t="inlineStr">
        <is>
          <t>Скидка добавлена к налоговой базе</t>
        </is>
      </c>
      <c r="AG138" t="n">
        <v>12450</v>
      </c>
      <c r="AH138" t="n">
        <v>9960</v>
      </c>
      <c r="AI138" t="inlineStr">
        <is>
          <t>Полное проживание в выбранном периоде</t>
        </is>
      </c>
    </row>
    <row r="139">
      <c r="A139" t="inlineStr">
        <is>
          <t>20260922-8186-466965314</t>
        </is>
      </c>
      <c r="B139" t="n">
        <v>1</v>
      </c>
      <c r="C139" s="2" t="inlineStr">
        <is>
          <t>Екатерина Склярова</t>
        </is>
      </c>
      <c r="D139" s="3" t="n">
        <v>53550</v>
      </c>
      <c r="E139" s="4" t="n">
        <v>18</v>
      </c>
      <c r="F139" t="inlineStr">
        <is>
          <t>Яндекс.Путешествия [Чайковский]</t>
        </is>
      </c>
      <c r="G139" s="3">
        <f>ROUND(D139/(100-E139)*100,2)</f>
        <v/>
      </c>
      <c r="H139" s="3" t="n">
        <v>0</v>
      </c>
      <c r="I139" s="3">
        <f>ROUND(IF(ISNUMBER(AG139),AG139,G139)+H139,2)</f>
        <v/>
      </c>
      <c r="J139" s="2" t="inlineStr"/>
      <c r="K139" s="5" t="n">
        <v>46287.58333333334</v>
      </c>
      <c r="L139" t="n">
        <v>6</v>
      </c>
      <c r="M139" s="3">
        <f>I139/L139</f>
        <v/>
      </c>
      <c r="N139">
        <f>IF(M139&gt;=5100,"ставка","мин.ставка")</f>
        <v/>
      </c>
      <c r="O139" s="3">
        <f>ROUND(IF(N139="мин.ставка",L139*100,I139/102*2),2)</f>
        <v/>
      </c>
      <c r="P139" s="5" t="n">
        <v>46293.5</v>
      </c>
      <c r="Q139" t="inlineStr">
        <is>
          <t>TravelLine YAX</t>
        </is>
      </c>
      <c r="R139" s="2" t="inlineStr">
        <is>
          <t>УЛУЧШЕННЫЙ ДВУХМЕСТНЫЙ НОМЕР</t>
        </is>
      </c>
      <c r="S139" t="n">
        <v>59</v>
      </c>
      <c r="T139" t="n">
        <v>2</v>
      </c>
      <c r="U139" t="inlineStr"/>
      <c r="V139" t="inlineStr">
        <is>
          <t>Основной тариф без завтрака</t>
        </is>
      </c>
      <c r="W139" t="n">
        <v>53550</v>
      </c>
      <c r="X139" s="3" t="n">
        <v>17850</v>
      </c>
      <c r="Y139" t="inlineStr">
        <is>
          <t>25%</t>
        </is>
      </c>
      <c r="Z139" t="inlineStr">
        <is>
          <t>2026-09-22, 2026-09-23, 2026-09-24, 2026-09-25, 2026-09-26, 2026-09-27</t>
        </is>
      </c>
      <c r="AA139" s="3" t="n">
        <v>53550</v>
      </c>
      <c r="AB139" t="inlineStr">
        <is>
          <t>Сошлось по ночным тарифам</t>
        </is>
      </c>
      <c r="AC139" s="2" t="inlineStr"/>
      <c r="AD139" t="n">
        <v>17850</v>
      </c>
      <c r="AE139" t="n">
        <v>0</v>
      </c>
      <c r="AF139" t="inlineStr">
        <is>
          <t>Скидка добавлена к налоговой базе</t>
        </is>
      </c>
      <c r="AG139" t="n">
        <v>71400</v>
      </c>
      <c r="AH139" t="n">
        <v>53550</v>
      </c>
      <c r="AI139" t="inlineStr">
        <is>
          <t>Полное проживание в выбранном периоде</t>
        </is>
      </c>
    </row>
    <row r="140">
      <c r="A140" t="inlineStr">
        <is>
          <t>20260729-8186-449842450</t>
        </is>
      </c>
      <c r="B140" t="n">
        <v>1</v>
      </c>
      <c r="C140" s="2" t="inlineStr">
        <is>
          <t>ЕКАТЕРИНА ТИМОФЕЕВА, ДАРЬЯ ТИМОФЕЕВА</t>
        </is>
      </c>
      <c r="D140" s="3" t="n">
        <v>53400</v>
      </c>
      <c r="E140" s="4" t="n">
        <v>0</v>
      </c>
      <c r="F140" t="inlineStr">
        <is>
          <t>Прямые бронирования (стойка) [Чайковский]</t>
        </is>
      </c>
      <c r="G140" s="3">
        <f>ROUND(D140/(100-E140)*100,2)</f>
        <v/>
      </c>
      <c r="H140" s="3" t="n">
        <v>0</v>
      </c>
      <c r="I140" s="3">
        <f>ROUND(IF(ISNUMBER(AG140),AG140,G140)+H140,2)</f>
        <v/>
      </c>
      <c r="J140" s="2" t="inlineStr">
        <is>
          <t>Завтрак "Шведский стол"</t>
        </is>
      </c>
      <c r="K140" s="5" t="n">
        <v>46232.58333333334</v>
      </c>
      <c r="L140" t="n">
        <v>5</v>
      </c>
      <c r="M140" s="3">
        <f>I140/L140</f>
        <v/>
      </c>
      <c r="N140">
        <f>IF(M140&gt;=5100,"ставка","мин.ставка")</f>
        <v/>
      </c>
      <c r="O140" s="3">
        <f>ROUND(IF(N140="мин.ставка",L140*100,I140/102*2),2)</f>
        <v/>
      </c>
      <c r="P140" s="5" t="n">
        <v>46237.5</v>
      </c>
      <c r="Q140" t="inlineStr">
        <is>
          <t>TravelLine ресепшен</t>
        </is>
      </c>
      <c r="R140" s="2" t="inlineStr">
        <is>
          <t>СТАНДАРТНЫЙ ДВУХМЕСТНЫЙ НОМЕР</t>
        </is>
      </c>
      <c r="S140" t="n">
        <v>55</v>
      </c>
      <c r="T140" t="n">
        <v>2</v>
      </c>
      <c r="U140" t="inlineStr"/>
      <c r="V140" t="inlineStr">
        <is>
          <t>Тариф с завтраком</t>
        </is>
      </c>
      <c r="W140" t="n">
        <v>53400</v>
      </c>
      <c r="X140" s="3" t="n">
        <v>13350</v>
      </c>
      <c r="Y140" t="inlineStr">
        <is>
          <t>20%</t>
        </is>
      </c>
      <c r="Z140" t="inlineStr">
        <is>
          <t>2026-07-29, 2026-07-30, 2026-07-31, 2026-08-01, 2026-08-02</t>
        </is>
      </c>
      <c r="AA140" s="3" t="n">
        <v>53400</v>
      </c>
      <c r="AB140" t="inlineStr">
        <is>
          <t>Сошлось по ночным тарифам</t>
        </is>
      </c>
      <c r="AC140" s="2" t="inlineStr"/>
      <c r="AD140" t="n">
        <v>13350</v>
      </c>
      <c r="AE140" t="n">
        <v>0</v>
      </c>
      <c r="AF140" t="inlineStr">
        <is>
          <t>Скидка добавлена к налоговой базе</t>
        </is>
      </c>
      <c r="AG140" t="n">
        <v>66750</v>
      </c>
      <c r="AH140" t="n">
        <v>53400</v>
      </c>
      <c r="AI140" t="inlineStr">
        <is>
          <t>Полное проживание в выбранном периоде</t>
        </is>
      </c>
    </row>
    <row r="141">
      <c r="A141" t="inlineStr">
        <is>
          <t>20260912-8186-460335116</t>
        </is>
      </c>
      <c r="B141" t="n">
        <v>1</v>
      </c>
      <c r="C141" s="2" t="inlineStr">
        <is>
          <t>Елена Денисова, Марина Сергиенко</t>
        </is>
      </c>
      <c r="D141" s="3" t="n">
        <v>10680</v>
      </c>
      <c r="E141" s="4" t="n">
        <v>18</v>
      </c>
      <c r="F141" t="inlineStr">
        <is>
          <t>Яндекс.Путешествия [Чайковский]</t>
        </is>
      </c>
      <c r="G141" s="3">
        <f>ROUND(D141/(100-E141)*100,2)</f>
        <v/>
      </c>
      <c r="H141" s="3" t="n">
        <v>2050</v>
      </c>
      <c r="I141" s="3">
        <f>ROUND(IF(ISNUMBER(AG141),AG141,G141)+H141,2)</f>
        <v/>
      </c>
      <c r="J141" s="2" t="inlineStr">
        <is>
          <t>продление номера — 2 050,00 ₽; Завтрак "Шведский стол"</t>
        </is>
      </c>
      <c r="K141" s="5" t="n">
        <v>46277.58333333334</v>
      </c>
      <c r="L141" t="n">
        <v>1</v>
      </c>
      <c r="M141" s="3">
        <f>I141/L141</f>
        <v/>
      </c>
      <c r="N141">
        <f>IF(M141&gt;=5100,"ставка","мин.ставка")</f>
        <v/>
      </c>
      <c r="O141" s="3">
        <f>ROUND(IF(N141="мин.ставка",L141*100,I141/102*2),2)</f>
        <v/>
      </c>
      <c r="P141" s="5" t="n">
        <v>46278.5</v>
      </c>
      <c r="Q141" t="inlineStr">
        <is>
          <t>TravelLine YAX</t>
        </is>
      </c>
      <c r="R141" s="2" t="inlineStr">
        <is>
          <t>УЛУЧШЕННЫЙ ДВУХМЕСТНЫЙ НОМЕР</t>
        </is>
      </c>
      <c r="S141" t="n">
        <v>56</v>
      </c>
      <c r="T141" t="n">
        <v>2</v>
      </c>
      <c r="U141" t="inlineStr"/>
      <c r="V141" t="inlineStr">
        <is>
          <t>Тариф с завтраком</t>
        </is>
      </c>
      <c r="W141" t="n">
        <v>12730</v>
      </c>
      <c r="X141" s="3" t="n">
        <v>2670</v>
      </c>
      <c r="Y141" t="inlineStr">
        <is>
          <t>20%</t>
        </is>
      </c>
      <c r="Z141" t="inlineStr">
        <is>
          <t>2026-09-12</t>
        </is>
      </c>
      <c r="AA141" s="3" t="n">
        <v>10680</v>
      </c>
      <c r="AB141" t="inlineStr">
        <is>
          <t>Сошлось с услугами</t>
        </is>
      </c>
      <c r="AC141" s="2" t="inlineStr"/>
      <c r="AD141" t="n">
        <v>2670</v>
      </c>
      <c r="AE141" t="n">
        <v>0</v>
      </c>
      <c r="AF141" t="inlineStr">
        <is>
          <t>Скидка добавлена к налоговой базе</t>
        </is>
      </c>
      <c r="AG141" t="n">
        <v>13350</v>
      </c>
      <c r="AH141" t="n">
        <v>10680</v>
      </c>
      <c r="AI141" t="inlineStr">
        <is>
          <t>Полное проживание в выбранном периоде</t>
        </is>
      </c>
    </row>
    <row r="142">
      <c r="A142" t="inlineStr">
        <is>
          <t>20260830-8186-461554904</t>
        </is>
      </c>
      <c r="B142" t="n">
        <v>1</v>
      </c>
      <c r="C142" s="2" t="inlineStr">
        <is>
          <t>Елена Додонова</t>
        </is>
      </c>
      <c r="D142" s="3" t="n">
        <v>12640</v>
      </c>
      <c r="E142" s="4" t="n">
        <v>20</v>
      </c>
      <c r="F142" t="inlineStr">
        <is>
          <t>ООО "КОМПАНИЯ БРОНЕВИК" [Чайковский]</t>
        </is>
      </c>
      <c r="G142" s="3">
        <f>ROUND(D142/(100-E142)*100,2)</f>
        <v/>
      </c>
      <c r="H142" s="3" t="n">
        <v>0</v>
      </c>
      <c r="I142" s="3">
        <f>ROUND(IF(ISNUMBER(AG142),AG142,G142)+H142,2)</f>
        <v/>
      </c>
      <c r="J142" s="2" t="inlineStr">
        <is>
          <t>Завтрак "Шведский стол"</t>
        </is>
      </c>
      <c r="K142" s="5" t="n">
        <v>46264.58333333334</v>
      </c>
      <c r="L142" t="n">
        <v>2</v>
      </c>
      <c r="M142" s="3">
        <f>I142/L142</f>
        <v/>
      </c>
      <c r="N142">
        <f>IF(M142&gt;=5100,"ставка","мин.ставка")</f>
        <v/>
      </c>
      <c r="O142" s="3">
        <f>ROUND(IF(N142="мин.ставка",L142*100,I142/102*2),2)</f>
        <v/>
      </c>
      <c r="P142" s="5" t="n">
        <v>46266.5</v>
      </c>
      <c r="Q142" t="inlineStr">
        <is>
          <t>TravelLine BR2</t>
        </is>
      </c>
      <c r="R142" s="2" t="inlineStr">
        <is>
          <t>СТАНДАРТНЫЙ ДВУХМЕСТНЫЙ НОМЕР</t>
        </is>
      </c>
      <c r="S142" t="n">
        <v>58</v>
      </c>
      <c r="T142" t="n">
        <v>2</v>
      </c>
      <c r="U142" t="inlineStr"/>
      <c r="V142" t="inlineStr">
        <is>
          <t>Тариф с завтраком</t>
        </is>
      </c>
      <c r="W142" t="n">
        <v>12640</v>
      </c>
      <c r="X142" s="3" t="n">
        <v>0</v>
      </c>
      <c r="Y142" t="inlineStr"/>
      <c r="Z142" t="inlineStr"/>
      <c r="AA142" s="3" t="n">
        <v>12640</v>
      </c>
      <c r="AB142" t="inlineStr">
        <is>
          <t>Сошлось по ночным тарифам</t>
        </is>
      </c>
      <c r="AC142" s="2" t="inlineStr"/>
      <c r="AD142" t="n">
        <v>0</v>
      </c>
      <c r="AE142" t="n">
        <v>0</v>
      </c>
      <c r="AF142" t="inlineStr">
        <is>
          <t>Скидки нет</t>
        </is>
      </c>
      <c r="AG142" t="n">
        <v>12640</v>
      </c>
      <c r="AH142" t="n">
        <v>12640</v>
      </c>
      <c r="AI142" t="inlineStr">
        <is>
          <t>Полное проживание в выбранном периоде</t>
        </is>
      </c>
    </row>
    <row r="143">
      <c r="A143" t="inlineStr">
        <is>
          <t>20260908-8186-461882753</t>
        </is>
      </c>
      <c r="B143" t="n">
        <v>1</v>
      </c>
      <c r="C143" s="2" t="inlineStr">
        <is>
          <t>Елена Иготти, АНТОН БОРИСЕНКО</t>
        </is>
      </c>
      <c r="D143" s="3" t="n">
        <v>57782.5</v>
      </c>
      <c r="E143" s="4" t="n">
        <v>4</v>
      </c>
      <c r="F143" t="inlineStr">
        <is>
          <t>TravelLine Booking Engine [Чайковский]</t>
        </is>
      </c>
      <c r="G143" s="3">
        <f>ROUND(D143/(100-E143)*100,2)</f>
        <v/>
      </c>
      <c r="H143" s="3" t="n">
        <v>0</v>
      </c>
      <c r="I143" s="3">
        <f>ROUND(IF(ISNUMBER(AG143),AG143,G143)+H143,2)</f>
        <v/>
      </c>
      <c r="J143" s="2" t="inlineStr"/>
      <c r="K143" s="5" t="n">
        <v>46273.83333333334</v>
      </c>
      <c r="L143" t="n">
        <v>4</v>
      </c>
      <c r="M143" s="3">
        <f>I143/L143</f>
        <v/>
      </c>
      <c r="N143">
        <f>IF(M143&gt;=5100,"ставка","мин.ставка")</f>
        <v/>
      </c>
      <c r="O143" s="3">
        <f>ROUND(IF(N143="мин.ставка",L143*100,I143/102*2),2)</f>
        <v/>
      </c>
      <c r="P143" s="5" t="n">
        <v>46277.5</v>
      </c>
      <c r="Q143" t="inlineStr">
        <is>
          <t>TravelLine сайт</t>
        </is>
      </c>
      <c r="R143" s="2" t="inlineStr">
        <is>
          <t>ЛЮКС ВТОРОЙ КОРПУС</t>
        </is>
      </c>
      <c r="S143" t="n">
        <v>53</v>
      </c>
      <c r="T143" t="n">
        <v>2</v>
      </c>
      <c r="U143" t="inlineStr"/>
      <c r="V143" t="inlineStr">
        <is>
          <t>Основной тариф без завтрака</t>
        </is>
      </c>
      <c r="W143" t="n">
        <v>57782.5</v>
      </c>
      <c r="X143" s="3" t="n">
        <v>217.5</v>
      </c>
      <c r="Y143" t="inlineStr">
        <is>
          <t>1.5%</t>
        </is>
      </c>
      <c r="Z143" t="inlineStr">
        <is>
          <t>2026-09-08</t>
        </is>
      </c>
      <c r="AA143" s="3" t="n">
        <v>57782.5</v>
      </c>
      <c r="AB143" t="inlineStr">
        <is>
          <t>Сошлось по ночным тарифам</t>
        </is>
      </c>
      <c r="AC143" s="2" t="inlineStr"/>
      <c r="AD143" t="n">
        <v>217.5</v>
      </c>
      <c r="AE143" t="n">
        <v>0</v>
      </c>
      <c r="AF143" t="inlineStr">
        <is>
          <t>Скидка добавлена к налоговой базе</t>
        </is>
      </c>
      <c r="AG143" t="n">
        <v>58000</v>
      </c>
      <c r="AH143" t="n">
        <v>57782.5</v>
      </c>
      <c r="AI143" t="inlineStr">
        <is>
          <t>Полное проживание в выбранном периоде</t>
        </is>
      </c>
    </row>
    <row r="144">
      <c r="A144" t="inlineStr">
        <is>
          <t>20260717-8186-428675584</t>
        </is>
      </c>
      <c r="B144" t="n">
        <v>1</v>
      </c>
      <c r="C144" s="2" t="inlineStr">
        <is>
          <t>Елена Казаченко, Вера Казаченко</t>
        </is>
      </c>
      <c r="D144" s="3" t="n">
        <v>36960</v>
      </c>
      <c r="E144" s="4" t="n">
        <v>18</v>
      </c>
      <c r="F144" t="inlineStr">
        <is>
          <t>Яндекс.Путешествия [Чайковский]</t>
        </is>
      </c>
      <c r="G144" s="3">
        <f>ROUND(D144/(100-E144)*100,2)</f>
        <v/>
      </c>
      <c r="H144" s="3" t="n">
        <v>0</v>
      </c>
      <c r="I144" s="3">
        <f>ROUND(IF(ISNUMBER(AG144),AG144,G144)+H144,2)</f>
        <v/>
      </c>
      <c r="J144" s="2" t="inlineStr">
        <is>
          <t>Завтрак "Шведский стол"</t>
        </is>
      </c>
      <c r="K144" s="5" t="n">
        <v>46220.58333333334</v>
      </c>
      <c r="L144" t="n">
        <v>3</v>
      </c>
      <c r="M144" s="3">
        <f>I144/L144</f>
        <v/>
      </c>
      <c r="N144">
        <f>IF(M144&gt;=5100,"ставка","мин.ставка")</f>
        <v/>
      </c>
      <c r="O144" s="3">
        <f>ROUND(IF(N144="мин.ставка",L144*100,I144/102*2),2)</f>
        <v/>
      </c>
      <c r="P144" s="5" t="n">
        <v>46223.5</v>
      </c>
      <c r="Q144" t="inlineStr">
        <is>
          <t>TravelLine YAX</t>
        </is>
      </c>
      <c r="R144" s="2" t="inlineStr">
        <is>
          <t>УЛУЧШЕННЫЙ ДВУХМЕСТНЫЙ НОМЕР</t>
        </is>
      </c>
      <c r="S144" t="n">
        <v>59</v>
      </c>
      <c r="T144" t="n">
        <v>2</v>
      </c>
      <c r="U144" t="inlineStr"/>
      <c r="V144" t="inlineStr">
        <is>
          <t>Тариф с завтраком</t>
        </is>
      </c>
      <c r="W144" t="n">
        <v>36960</v>
      </c>
      <c r="X144" s="3" t="n">
        <v>9240</v>
      </c>
      <c r="Y144" t="inlineStr">
        <is>
          <t>20%</t>
        </is>
      </c>
      <c r="Z144" t="inlineStr">
        <is>
          <t>2026-07-17, 2026-07-18, 2026-07-19</t>
        </is>
      </c>
      <c r="AA144" s="3" t="n">
        <v>36960</v>
      </c>
      <c r="AB144" t="inlineStr">
        <is>
          <t>Сошлось по ночным тарифам</t>
        </is>
      </c>
      <c r="AC144" s="2" t="inlineStr"/>
      <c r="AD144" t="n">
        <v>9240</v>
      </c>
      <c r="AE144" t="n">
        <v>0</v>
      </c>
      <c r="AF144" t="inlineStr">
        <is>
          <t>Скидка добавлена к налоговой базе</t>
        </is>
      </c>
      <c r="AG144" t="n">
        <v>46200</v>
      </c>
      <c r="AH144" t="n">
        <v>36960</v>
      </c>
      <c r="AI144" t="inlineStr">
        <is>
          <t>Полное проживание в выбранном периоде</t>
        </is>
      </c>
    </row>
    <row r="145">
      <c r="A145" t="inlineStr">
        <is>
          <t>20260804-8186-455712496</t>
        </is>
      </c>
      <c r="B145" t="n">
        <v>1</v>
      </c>
      <c r="C145" s="2" t="inlineStr">
        <is>
          <t>Елена Милеева</t>
        </is>
      </c>
      <c r="D145" s="3" t="n">
        <v>32964</v>
      </c>
      <c r="E145" s="4" t="n">
        <v>18</v>
      </c>
      <c r="F145" t="inlineStr">
        <is>
          <t>ООО "Эй энд Эй" [Чайковский]</t>
        </is>
      </c>
      <c r="G145" s="3">
        <f>ROUND(D145/(100-E145)*100,2)</f>
        <v/>
      </c>
      <c r="H145" s="3" t="n">
        <v>0</v>
      </c>
      <c r="I145" s="3">
        <f>ROUND(IF(ISNUMBER(AG145),AG145,G145)+H145,2)</f>
        <v/>
      </c>
      <c r="J145" s="2" t="inlineStr">
        <is>
          <t>Завтрак "Шведский стол"</t>
        </is>
      </c>
      <c r="K145" s="5" t="n">
        <v>46238.58333333334</v>
      </c>
      <c r="L145" t="n">
        <v>3</v>
      </c>
      <c r="M145" s="3">
        <f>I145/L145</f>
        <v/>
      </c>
      <c r="N145">
        <f>IF(M145&gt;=5100,"ставка","мин.ставка")</f>
        <v/>
      </c>
      <c r="O145" s="3">
        <f>ROUND(IF(N145="мин.ставка",L145*100,I145/102*2),2)</f>
        <v/>
      </c>
      <c r="P145" s="5" t="n">
        <v>46241.5</v>
      </c>
      <c r="Q145" t="inlineStr">
        <is>
          <t>TravelLine ANA</t>
        </is>
      </c>
      <c r="R145" s="2" t="inlineStr">
        <is>
          <t>УЛУЧШЕННЫЙ ДВУХМЕСТНЫЙ НОМЕР</t>
        </is>
      </c>
      <c r="S145" t="n">
        <v>59</v>
      </c>
      <c r="T145" t="n">
        <v>2</v>
      </c>
      <c r="U145" t="inlineStr"/>
      <c r="V145" t="inlineStr">
        <is>
          <t>Тариф с завтраком</t>
        </is>
      </c>
      <c r="W145" t="n">
        <v>32964</v>
      </c>
      <c r="X145" s="3" t="n">
        <v>7236</v>
      </c>
      <c r="Y145" t="inlineStr">
        <is>
          <t>18%</t>
        </is>
      </c>
      <c r="Z145" t="inlineStr">
        <is>
          <t>2026-08-04, 2026-08-05, 2026-08-06</t>
        </is>
      </c>
      <c r="AA145" s="3" t="n">
        <v>32964</v>
      </c>
      <c r="AB145" t="inlineStr">
        <is>
          <t>Сошлось по ночным тарифам</t>
        </is>
      </c>
      <c r="AC145" s="2" t="inlineStr"/>
      <c r="AD145" t="n">
        <v>7236</v>
      </c>
      <c r="AE145" t="n">
        <v>0</v>
      </c>
      <c r="AF145" t="inlineStr">
        <is>
          <t>Скидка добавлена к налоговой базе</t>
        </is>
      </c>
      <c r="AG145" t="n">
        <v>40200</v>
      </c>
      <c r="AH145" t="n">
        <v>32964</v>
      </c>
      <c r="AI145" t="inlineStr">
        <is>
          <t>Полное проживание в выбранном периоде</t>
        </is>
      </c>
    </row>
    <row r="146">
      <c r="A146" t="inlineStr">
        <is>
          <t>20260817-8186-455605495</t>
        </is>
      </c>
      <c r="B146" t="n">
        <v>1</v>
      </c>
      <c r="C146" s="2" t="inlineStr">
        <is>
          <t>ЕЛЕНА РОДИОНОВА, ПОЛИНА ПОТАПОВА</t>
        </is>
      </c>
      <c r="D146" s="3" t="n">
        <v>30260</v>
      </c>
      <c r="E146" s="4" t="n">
        <v>15</v>
      </c>
      <c r="F146" t="inlineStr">
        <is>
          <t>ООО "Библио-Глобус Туроператор" [Чайковский]</t>
        </is>
      </c>
      <c r="G146" s="3">
        <f>ROUND(D146/(100-E146)*100,2)</f>
        <v/>
      </c>
      <c r="H146" s="3" t="n">
        <v>0</v>
      </c>
      <c r="I146" s="3">
        <f>ROUND(IF(ISNUMBER(AG146),AG146,G146)+H146,2)</f>
        <v/>
      </c>
      <c r="J146" s="2" t="inlineStr">
        <is>
          <t>Завтрак "Шведский стол"</t>
        </is>
      </c>
      <c r="K146" s="5" t="n">
        <v>46251.58333333334</v>
      </c>
      <c r="L146" t="n">
        <v>2</v>
      </c>
      <c r="M146" s="3">
        <f>I146/L146</f>
        <v/>
      </c>
      <c r="N146">
        <f>IF(M146&gt;=5100,"ставка","мин.ставка")</f>
        <v/>
      </c>
      <c r="O146" s="3">
        <f>ROUND(IF(N146="мин.ставка",L146*100,I146/102*2),2)</f>
        <v/>
      </c>
      <c r="P146" s="5" t="n">
        <v>46253.5</v>
      </c>
      <c r="Q146" t="inlineStr">
        <is>
          <t>TravelLine BGL</t>
        </is>
      </c>
      <c r="R146" s="2" t="inlineStr">
        <is>
          <t>ЛЮКС ВТОРОЙ КОРПУС</t>
        </is>
      </c>
      <c r="S146" t="n">
        <v>53</v>
      </c>
      <c r="T146" t="n">
        <v>2</v>
      </c>
      <c r="U146" t="inlineStr"/>
      <c r="V146" t="inlineStr">
        <is>
          <t>Тариф с завтраком</t>
        </is>
      </c>
      <c r="W146" t="n">
        <v>30260</v>
      </c>
      <c r="X146" s="3" t="n">
        <v>0</v>
      </c>
      <c r="Y146" t="inlineStr"/>
      <c r="Z146" t="inlineStr"/>
      <c r="AA146" s="3" t="n">
        <v>30260</v>
      </c>
      <c r="AB146" t="inlineStr">
        <is>
          <t>Сошлось по ночным тарифам</t>
        </is>
      </c>
      <c r="AC146" s="2" t="inlineStr"/>
      <c r="AD146" t="n">
        <v>0</v>
      </c>
      <c r="AE146" t="n">
        <v>0</v>
      </c>
      <c r="AF146" t="inlineStr">
        <is>
          <t>Скидки нет</t>
        </is>
      </c>
      <c r="AG146" t="n">
        <v>30260</v>
      </c>
      <c r="AH146" t="n">
        <v>30260</v>
      </c>
      <c r="AI146" t="inlineStr">
        <is>
          <t>Полное проживание в выбранном периоде</t>
        </is>
      </c>
    </row>
    <row r="147">
      <c r="A147" t="inlineStr">
        <is>
          <t>20260824-8186-427406859</t>
        </is>
      </c>
      <c r="B147" t="n">
        <v>1</v>
      </c>
      <c r="C147" s="2" t="inlineStr">
        <is>
          <t>Елена Селина, Жанна Киташина</t>
        </is>
      </c>
      <c r="D147" s="3" t="n">
        <v>6261.15</v>
      </c>
      <c r="E147" s="4" t="n">
        <v>4</v>
      </c>
      <c r="F147" t="inlineStr">
        <is>
          <t>TravelLine Booking Engine [Чайковский]</t>
        </is>
      </c>
      <c r="G147" s="3">
        <f>ROUND(D147/(100-E147)*100,2)</f>
        <v/>
      </c>
      <c r="H147" s="3" t="n">
        <v>6675</v>
      </c>
      <c r="I147" s="3">
        <f>ROUND(IF(ISNUMBER(AG147),AG147,G147)+H147,2)</f>
        <v/>
      </c>
      <c r="J147" s="2" t="inlineStr">
        <is>
          <t>Завтрак "Шведский стол"; Поздний выезд — 6 675,00 ₽</t>
        </is>
      </c>
      <c r="K147" s="5" t="n">
        <v>46258.58333333334</v>
      </c>
      <c r="L147" t="n">
        <v>1</v>
      </c>
      <c r="M147" s="3">
        <f>I147/L147</f>
        <v/>
      </c>
      <c r="N147">
        <f>IF(M147&gt;=5100,"ставка","мин.ставка")</f>
        <v/>
      </c>
      <c r="O147" s="3">
        <f>ROUND(IF(N147="мин.ставка",L147*100,I147/102*2),2)</f>
        <v/>
      </c>
      <c r="P147" s="5" t="n">
        <v>46259.5</v>
      </c>
      <c r="Q147" t="inlineStr">
        <is>
          <t>TravelLine сайт</t>
        </is>
      </c>
      <c r="R147" s="2" t="inlineStr">
        <is>
          <t>СТАНДАРТНЫЙ ДВУХМЕСТНЫЙ НОМЕР</t>
        </is>
      </c>
      <c r="S147" t="n">
        <v>58</v>
      </c>
      <c r="T147" t="n">
        <v>2</v>
      </c>
      <c r="U147" t="inlineStr"/>
      <c r="V147" t="inlineStr">
        <is>
          <t>Тариф с завтраком</t>
        </is>
      </c>
      <c r="W147" t="n">
        <v>72597.3</v>
      </c>
      <c r="X147" s="3" t="n">
        <v>413.85</v>
      </c>
      <c r="Y147" t="inlineStr">
        <is>
          <t>3.1%</t>
        </is>
      </c>
      <c r="Z147" t="inlineStr">
        <is>
          <t>2026-08-24</t>
        </is>
      </c>
      <c r="AA147" s="3" t="n">
        <v>12936.15</v>
      </c>
      <c r="AB147" t="inlineStr">
        <is>
          <t>Сошлось по ночным тарифам</t>
        </is>
      </c>
      <c r="AC147" s="2" t="inlineStr"/>
      <c r="AD147" t="n">
        <v>413.85</v>
      </c>
      <c r="AE147" t="n">
        <v>0</v>
      </c>
      <c r="AF147" t="inlineStr">
        <is>
          <t>Скидка добавлена к налоговой базе</t>
        </is>
      </c>
      <c r="AG147" t="n">
        <v>6675</v>
      </c>
      <c r="AH147" t="n">
        <v>6261.15</v>
      </c>
      <c r="AI147" t="inlineStr">
        <is>
          <t>Полное проживание в выбранном периоде</t>
        </is>
      </c>
    </row>
    <row r="148">
      <c r="A148" t="inlineStr">
        <is>
          <t>20260824-8186-451489646</t>
        </is>
      </c>
      <c r="B148" t="n">
        <v>1</v>
      </c>
      <c r="C148" s="2" t="inlineStr">
        <is>
          <t>Игорь Белоусов, Елена Белоусова</t>
        </is>
      </c>
      <c r="D148" s="3" t="n">
        <v>17248.2</v>
      </c>
      <c r="E148" s="4" t="n">
        <v>4</v>
      </c>
      <c r="F148" t="inlineStr">
        <is>
          <t>TravelLine Booking Engine [Чайковский]</t>
        </is>
      </c>
      <c r="G148" s="3">
        <f>ROUND(D148/(100-E148)*100,2)</f>
        <v/>
      </c>
      <c r="H148" s="3" t="n">
        <v>0</v>
      </c>
      <c r="I148" s="3">
        <f>ROUND(IF(ISNUMBER(AG148),AG148,G148)+H148,2)</f>
        <v/>
      </c>
      <c r="J148" s="2" t="inlineStr">
        <is>
          <t>Завтрак "Шведский стол"</t>
        </is>
      </c>
      <c r="K148" s="5" t="n">
        <v>46258.58333333334</v>
      </c>
      <c r="L148" t="n">
        <v>1</v>
      </c>
      <c r="M148" s="3">
        <f>I148/L148</f>
        <v/>
      </c>
      <c r="N148">
        <f>IF(M148&gt;=5100,"ставка","мин.ставка")</f>
        <v/>
      </c>
      <c r="O148" s="3">
        <f>ROUND(IF(N148="мин.ставка",L148*100,I148/102*2),2)</f>
        <v/>
      </c>
      <c r="P148" s="5" t="n">
        <v>46259.5</v>
      </c>
      <c r="Q148" t="inlineStr">
        <is>
          <t>TravelLine сайт</t>
        </is>
      </c>
      <c r="R148" s="2" t="inlineStr">
        <is>
          <t>ЛЮКС ВТОРОЙ КОРПУС</t>
        </is>
      </c>
      <c r="S148" t="n">
        <v>57</v>
      </c>
      <c r="T148" t="n">
        <v>2</v>
      </c>
      <c r="U148" t="inlineStr"/>
      <c r="V148" t="inlineStr">
        <is>
          <t>Тариф с завтраком</t>
        </is>
      </c>
      <c r="W148" t="n">
        <v>24903.3</v>
      </c>
      <c r="X148" s="3" t="n">
        <v>551.8</v>
      </c>
      <c r="Y148" t="inlineStr">
        <is>
          <t>3.1%</t>
        </is>
      </c>
      <c r="Z148" t="inlineStr">
        <is>
          <t>2026-08-24</t>
        </is>
      </c>
      <c r="AA148" s="3" t="n">
        <v>17248.2</v>
      </c>
      <c r="AB148" t="inlineStr">
        <is>
          <t>Сошлось по ночным тарифам</t>
        </is>
      </c>
      <c r="AC148" s="2" t="inlineStr"/>
      <c r="AD148" t="n">
        <v>551.8</v>
      </c>
      <c r="AE148" t="n">
        <v>0</v>
      </c>
      <c r="AF148" t="inlineStr">
        <is>
          <t>Скидка добавлена к налоговой базе</t>
        </is>
      </c>
      <c r="AG148" t="n">
        <v>17800</v>
      </c>
      <c r="AH148" t="n">
        <v>17248.2</v>
      </c>
      <c r="AI148" t="inlineStr">
        <is>
          <t>Полное проживание в выбранном периоде</t>
        </is>
      </c>
    </row>
    <row r="149">
      <c r="A149" t="inlineStr">
        <is>
          <t>20260720-8186-440105980</t>
        </is>
      </c>
      <c r="B149" t="n">
        <v>1</v>
      </c>
      <c r="C149" s="2" t="inlineStr">
        <is>
          <t>ИГОРЬ БОЙЦОВ, ИРИНА БОЙЦОВА</t>
        </is>
      </c>
      <c r="D149" s="3" t="n">
        <v>52360</v>
      </c>
      <c r="E149" s="4" t="n">
        <v>15</v>
      </c>
      <c r="F149" t="inlineStr">
        <is>
          <t>ООО "БРОНИРОВАНИЕ ГОСТИНИЦ" (OSTROVOK) [Чайковский]</t>
        </is>
      </c>
      <c r="G149" s="3">
        <f>ROUND(D149/(100-E149)*100,2)</f>
        <v/>
      </c>
      <c r="H149" s="3" t="n">
        <v>0</v>
      </c>
      <c r="I149" s="3">
        <f>ROUND(IF(ISNUMBER(AG149),AG149,G149)+H149,2)</f>
        <v/>
      </c>
      <c r="J149" s="2" t="inlineStr">
        <is>
          <t>Завтрак "Шведский стол"</t>
        </is>
      </c>
      <c r="K149" s="5" t="n">
        <v>46223.58333333334</v>
      </c>
      <c r="L149" t="n">
        <v>4</v>
      </c>
      <c r="M149" s="3">
        <f>I149/L149</f>
        <v/>
      </c>
      <c r="N149">
        <f>IF(M149&gt;=5100,"ставка","мин.ставка")</f>
        <v/>
      </c>
      <c r="O149" s="3">
        <f>ROUND(IF(N149="мин.ставка",L149*100,I149/102*2),2)</f>
        <v/>
      </c>
      <c r="P149" s="5" t="n">
        <v>46227.5</v>
      </c>
      <c r="Q149" t="inlineStr">
        <is>
          <t>TravelLine OTK</t>
        </is>
      </c>
      <c r="R149" s="2" t="inlineStr">
        <is>
          <t>УЛУЧШЕННЫЙ ДВУХМЕСТНЫЙ НОМЕР</t>
        </is>
      </c>
      <c r="S149" t="n">
        <v>56</v>
      </c>
      <c r="T149" t="n">
        <v>2</v>
      </c>
      <c r="U149" t="inlineStr"/>
      <c r="V149" t="inlineStr">
        <is>
          <t>Тариф с завтраком</t>
        </is>
      </c>
      <c r="W149" t="n">
        <v>52360</v>
      </c>
      <c r="X149" s="3" t="n">
        <v>9240</v>
      </c>
      <c r="Y149" t="inlineStr">
        <is>
          <t>15%</t>
        </is>
      </c>
      <c r="Z149" t="inlineStr">
        <is>
          <t>2026-07-20, 2026-07-21, 2026-07-22, 2026-07-23</t>
        </is>
      </c>
      <c r="AA149" s="3" t="n">
        <v>52360</v>
      </c>
      <c r="AB149" t="inlineStr">
        <is>
          <t>Сошлось по ночным тарифам</t>
        </is>
      </c>
      <c r="AC149" s="2" t="inlineStr"/>
      <c r="AD149" t="n">
        <v>9240</v>
      </c>
      <c r="AE149" t="n">
        <v>0</v>
      </c>
      <c r="AF149" t="inlineStr">
        <is>
          <t>Скидка добавлена к налоговой базе</t>
        </is>
      </c>
      <c r="AG149" t="n">
        <v>61600</v>
      </c>
      <c r="AH149" t="n">
        <v>52360</v>
      </c>
      <c r="AI149" t="inlineStr">
        <is>
          <t>Полное проживание в выбранном периоде</t>
        </is>
      </c>
    </row>
    <row r="150">
      <c r="A150" t="inlineStr">
        <is>
          <t>20260901-8186-462846499</t>
        </is>
      </c>
      <c r="B150" t="n">
        <v>1</v>
      </c>
      <c r="C150" s="2" t="inlineStr">
        <is>
          <t>игорь захаров</t>
        </is>
      </c>
      <c r="D150" s="3" t="n">
        <v>13350</v>
      </c>
      <c r="E150" s="4" t="n">
        <v>0</v>
      </c>
      <c r="F150" t="inlineStr">
        <is>
          <t>Прямые бронирования (стойка) [Чайковский]</t>
        </is>
      </c>
      <c r="G150" s="3">
        <f>ROUND(D150/(100-E150)*100,2)</f>
        <v/>
      </c>
      <c r="H150" s="3" t="n">
        <v>0</v>
      </c>
      <c r="I150" s="3">
        <f>ROUND(IF(ISNUMBER(AG150),AG150,G150)+H150,2)</f>
        <v/>
      </c>
      <c r="J150" s="2" t="inlineStr">
        <is>
          <t>Завтрак "Шведский стол"</t>
        </is>
      </c>
      <c r="K150" s="5" t="n">
        <v>46266.58333333334</v>
      </c>
      <c r="L150" t="n">
        <v>1</v>
      </c>
      <c r="M150" s="3">
        <f>I150/L150</f>
        <v/>
      </c>
      <c r="N150">
        <f>IF(M150&gt;=5100,"ставка","мин.ставка")</f>
        <v/>
      </c>
      <c r="O150" s="3">
        <f>ROUND(IF(N150="мин.ставка",L150*100,I150/102*2),2)</f>
        <v/>
      </c>
      <c r="P150" s="5" t="n">
        <v>46267.5</v>
      </c>
      <c r="Q150" t="inlineStr">
        <is>
          <t>TravelLine ресепшен</t>
        </is>
      </c>
      <c r="R150" s="2" t="inlineStr">
        <is>
          <t>СТАНДАРТНЫЙ ДВУХМЕСТНЫЙ НОМЕР</t>
        </is>
      </c>
      <c r="S150" t="n">
        <v>55</v>
      </c>
      <c r="T150" t="n">
        <v>2</v>
      </c>
      <c r="U150" t="inlineStr"/>
      <c r="V150" t="inlineStr">
        <is>
          <t>Тариф с завтраком</t>
        </is>
      </c>
      <c r="W150" t="n">
        <v>13350</v>
      </c>
      <c r="X150" s="3" t="n">
        <v>0</v>
      </c>
      <c r="Y150" t="inlineStr"/>
      <c r="Z150" t="inlineStr"/>
      <c r="AA150" s="3" t="n">
        <v>13350</v>
      </c>
      <c r="AB150" t="inlineStr">
        <is>
          <t>Сошлось по ночным тарифам</t>
        </is>
      </c>
      <c r="AC150" s="2" t="inlineStr"/>
      <c r="AD150" t="n">
        <v>0</v>
      </c>
      <c r="AE150" t="n">
        <v>0</v>
      </c>
      <c r="AF150" t="inlineStr">
        <is>
          <t>Скидки нет</t>
        </is>
      </c>
      <c r="AG150" t="n">
        <v>13350</v>
      </c>
      <c r="AH150" t="n">
        <v>13350</v>
      </c>
      <c r="AI150" t="inlineStr">
        <is>
          <t>Полное проживание в выбранном периоде</t>
        </is>
      </c>
    </row>
    <row r="151">
      <c r="A151" t="inlineStr">
        <is>
          <t>20260830-8186-462432150</t>
        </is>
      </c>
      <c r="B151" t="n">
        <v>1</v>
      </c>
      <c r="C151" s="2" t="inlineStr">
        <is>
          <t>Игорь Захаров, Анна Захарова</t>
        </is>
      </c>
      <c r="D151" s="3" t="n">
        <v>15840</v>
      </c>
      <c r="E151" s="4" t="n">
        <v>20</v>
      </c>
      <c r="F151" t="inlineStr">
        <is>
          <t>ООО "КОМПАНИЯ БРОНЕВИК" [Чайковский]</t>
        </is>
      </c>
      <c r="G151" s="3">
        <f>ROUND(D151/(100-E151)*100,2)</f>
        <v/>
      </c>
      <c r="H151" s="3" t="n">
        <v>1260</v>
      </c>
      <c r="I151" s="3">
        <f>ROUND(IF(ISNUMBER(AG151),AG151,G151)+H151,2)</f>
        <v/>
      </c>
      <c r="J151" s="2" t="inlineStr">
        <is>
          <t>продление номера — 1 260,00 ₽; Завтрак "Шведский стол"</t>
        </is>
      </c>
      <c r="K151" s="5" t="n">
        <v>46264.58333333334</v>
      </c>
      <c r="L151" t="n">
        <v>2</v>
      </c>
      <c r="M151" s="3">
        <f>I151/L151</f>
        <v/>
      </c>
      <c r="N151">
        <f>IF(M151&gt;=5100,"ставка","мин.ставка")</f>
        <v/>
      </c>
      <c r="O151" s="3">
        <f>ROUND(IF(N151="мин.ставка",L151*100,I151/102*2),2)</f>
        <v/>
      </c>
      <c r="P151" s="5" t="n">
        <v>46266.5</v>
      </c>
      <c r="Q151" t="inlineStr">
        <is>
          <t>TravelLine BR2</t>
        </is>
      </c>
      <c r="R151" s="2" t="inlineStr">
        <is>
          <t>СТАНДАРТНЫЙ ДВУХМЕСТНЫЙ НОМЕР</t>
        </is>
      </c>
      <c r="S151" t="n">
        <v>55</v>
      </c>
      <c r="T151" t="n">
        <v>2</v>
      </c>
      <c r="U151" t="inlineStr"/>
      <c r="V151" t="inlineStr">
        <is>
          <t>Тариф с завтраком</t>
        </is>
      </c>
      <c r="W151" t="n">
        <v>17100</v>
      </c>
      <c r="X151" s="3" t="n">
        <v>0</v>
      </c>
      <c r="Y151" t="inlineStr"/>
      <c r="Z151" t="inlineStr"/>
      <c r="AA151" s="3" t="n">
        <v>15840</v>
      </c>
      <c r="AB151" t="inlineStr">
        <is>
          <t>Сошлось с услугами</t>
        </is>
      </c>
      <c r="AC151" s="2" t="inlineStr"/>
      <c r="AD151" t="n">
        <v>0</v>
      </c>
      <c r="AE151" t="n">
        <v>0</v>
      </c>
      <c r="AF151" t="inlineStr">
        <is>
          <t>Скидки нет</t>
        </is>
      </c>
      <c r="AG151" t="n">
        <v>15840</v>
      </c>
      <c r="AH151" t="n">
        <v>15840</v>
      </c>
      <c r="AI151" t="inlineStr">
        <is>
          <t>Полное проживание в выбранном периоде</t>
        </is>
      </c>
    </row>
    <row r="152">
      <c r="A152" t="inlineStr">
        <is>
          <t>20260807-8186-456394511</t>
        </is>
      </c>
      <c r="B152" t="n">
        <v>1</v>
      </c>
      <c r="C152" s="2" t="inlineStr">
        <is>
          <t>Игорь Козлов</t>
        </is>
      </c>
      <c r="D152" s="3" t="n">
        <v>16020</v>
      </c>
      <c r="E152" s="4" t="n">
        <v>0</v>
      </c>
      <c r="F152" t="inlineStr">
        <is>
          <t>Прямые бронирования (стойка) [Чайковский]</t>
        </is>
      </c>
      <c r="G152" s="3">
        <f>ROUND(D152/(100-E152)*100,2)</f>
        <v/>
      </c>
      <c r="H152" s="3" t="n">
        <v>0</v>
      </c>
      <c r="I152" s="3">
        <f>ROUND(IF(ISNUMBER(AG152),AG152,G152)+H152,2)</f>
        <v/>
      </c>
      <c r="J152" s="2" t="inlineStr">
        <is>
          <t>Завтрак "Шведский стол"</t>
        </is>
      </c>
      <c r="K152" s="5" t="n">
        <v>46241.58333333334</v>
      </c>
      <c r="L152" t="n">
        <v>1</v>
      </c>
      <c r="M152" s="3">
        <f>I152/L152</f>
        <v/>
      </c>
      <c r="N152">
        <f>IF(M152&gt;=5100,"ставка","мин.ставка")</f>
        <v/>
      </c>
      <c r="O152" s="3">
        <f>ROUND(IF(N152="мин.ставка",L152*100,I152/102*2),2)</f>
        <v/>
      </c>
      <c r="P152" s="5" t="n">
        <v>46242.5</v>
      </c>
      <c r="Q152" t="inlineStr">
        <is>
          <t>TravelLine ресепшен</t>
        </is>
      </c>
      <c r="R152" s="2" t="inlineStr">
        <is>
          <t>ЛЮКС ВТОРОЙ КОРПУС</t>
        </is>
      </c>
      <c r="S152" t="n">
        <v>54</v>
      </c>
      <c r="T152" t="n">
        <v>2</v>
      </c>
      <c r="U152" t="inlineStr"/>
      <c r="V152" t="inlineStr">
        <is>
          <t>Тариф с завтраком</t>
        </is>
      </c>
      <c r="W152" t="n">
        <v>16020</v>
      </c>
      <c r="X152" s="3" t="n">
        <v>1780</v>
      </c>
      <c r="Y152" t="inlineStr">
        <is>
          <t>10%</t>
        </is>
      </c>
      <c r="Z152" t="inlineStr">
        <is>
          <t>2026-08-07</t>
        </is>
      </c>
      <c r="AA152" s="3" t="n">
        <v>16020</v>
      </c>
      <c r="AB152" t="inlineStr">
        <is>
          <t>Сошлось по ночным тарифам</t>
        </is>
      </c>
      <c r="AC152" s="2" t="inlineStr"/>
      <c r="AD152" t="n">
        <v>1780</v>
      </c>
      <c r="AE152" t="n">
        <v>0</v>
      </c>
      <c r="AF152" t="inlineStr">
        <is>
          <t>Скидка добавлена к налоговой базе</t>
        </is>
      </c>
      <c r="AG152" t="n">
        <v>17800</v>
      </c>
      <c r="AH152" t="n">
        <v>16020</v>
      </c>
      <c r="AI152" t="inlineStr">
        <is>
          <t>Полное проживание в выбранном периоде</t>
        </is>
      </c>
    </row>
    <row r="153">
      <c r="A153" t="inlineStr">
        <is>
          <t>20260910-8186-455920278</t>
        </is>
      </c>
      <c r="B153" t="n">
        <v>1</v>
      </c>
      <c r="C153" s="2" t="inlineStr">
        <is>
          <t>ИГОРЬ МИРОШНИЧЕНКО, Татьяна Мирошниченко</t>
        </is>
      </c>
      <c r="D153" s="3" t="n">
        <v>11600</v>
      </c>
      <c r="E153" s="4" t="n">
        <v>20</v>
      </c>
      <c r="F153" t="inlineStr">
        <is>
          <t>ООО «Дубль Гис» (OTELLO) [Чайковский]</t>
        </is>
      </c>
      <c r="G153" s="3">
        <f>ROUND(D153/(100-E153)*100,2)</f>
        <v/>
      </c>
      <c r="H153" s="3" t="n">
        <v>0</v>
      </c>
      <c r="I153" s="3">
        <f>ROUND(IF(ISNUMBER(AG153),AG153,G153)+H153,2)</f>
        <v/>
      </c>
      <c r="J153" s="2" t="inlineStr"/>
      <c r="K153" s="5" t="n">
        <v>46275.58333333334</v>
      </c>
      <c r="L153" t="n">
        <v>1</v>
      </c>
      <c r="M153" s="3">
        <f>I153/L153</f>
        <v/>
      </c>
      <c r="N153">
        <f>IF(M153&gt;=5100,"ставка","мин.ставка")</f>
        <v/>
      </c>
      <c r="O153" s="3">
        <f>ROUND(IF(N153="мин.ставка",L153*100,I153/102*2),2)</f>
        <v/>
      </c>
      <c r="P153" s="5" t="n">
        <v>46276.5</v>
      </c>
      <c r="Q153" t="inlineStr">
        <is>
          <t>TravelLine OL2</t>
        </is>
      </c>
      <c r="R153" s="2" t="inlineStr">
        <is>
          <t>ЛЮКС ВТОРОЙ КОРПУС</t>
        </is>
      </c>
      <c r="S153" t="n">
        <v>57</v>
      </c>
      <c r="T153" t="n">
        <v>2</v>
      </c>
      <c r="U153" t="inlineStr"/>
      <c r="V153" t="inlineStr">
        <is>
          <t>Основной тариф без завтрака</t>
        </is>
      </c>
      <c r="W153" t="n">
        <v>11600</v>
      </c>
      <c r="X153" s="3" t="n">
        <v>2900</v>
      </c>
      <c r="Y153" t="inlineStr">
        <is>
          <t>20%</t>
        </is>
      </c>
      <c r="Z153" t="inlineStr">
        <is>
          <t>2026-09-10</t>
        </is>
      </c>
      <c r="AA153" s="3" t="n">
        <v>11600</v>
      </c>
      <c r="AB153" t="inlineStr">
        <is>
          <t>Сошлось по ночным тарифам</t>
        </is>
      </c>
      <c r="AC153" s="2" t="inlineStr"/>
      <c r="AD153" t="n">
        <v>2900</v>
      </c>
      <c r="AE153" t="n">
        <v>0</v>
      </c>
      <c r="AF153" t="inlineStr">
        <is>
          <t>Скидка добавлена к налоговой базе</t>
        </is>
      </c>
      <c r="AG153" t="n">
        <v>14500</v>
      </c>
      <c r="AH153" t="n">
        <v>11600</v>
      </c>
      <c r="AI153" t="inlineStr">
        <is>
          <t>Полное проживание в выбранном периоде</t>
        </is>
      </c>
    </row>
    <row r="154">
      <c r="A154" t="inlineStr">
        <is>
          <t>20260914-8186-465529596</t>
        </is>
      </c>
      <c r="B154" t="n">
        <v>1</v>
      </c>
      <c r="C154" s="2" t="inlineStr">
        <is>
          <t>Игорь Новиков</t>
        </is>
      </c>
      <c r="D154" s="3" t="n">
        <v>26010</v>
      </c>
      <c r="E154" s="4" t="n">
        <v>0</v>
      </c>
      <c r="F154" t="inlineStr">
        <is>
          <t>Прямые бронирования (стойка) [Чайковский]</t>
        </is>
      </c>
      <c r="G154" s="3">
        <f>ROUND(D154/(100-E154)*100,2)</f>
        <v/>
      </c>
      <c r="H154" s="3" t="n">
        <v>0</v>
      </c>
      <c r="I154" s="3">
        <f>ROUND(IF(ISNUMBER(AG154),AG154,G154)+H154,2)</f>
        <v/>
      </c>
      <c r="J154" s="2" t="inlineStr">
        <is>
          <t>Завтрак "Шведский стол"</t>
        </is>
      </c>
      <c r="K154" s="5" t="n">
        <v>46279.58333333334</v>
      </c>
      <c r="L154" t="n">
        <v>2</v>
      </c>
      <c r="M154" s="3">
        <f>I154/L154</f>
        <v/>
      </c>
      <c r="N154">
        <f>IF(M154&gt;=5100,"ставка","мин.ставка")</f>
        <v/>
      </c>
      <c r="O154" s="3">
        <f>ROUND(IF(N154="мин.ставка",L154*100,I154/102*2),2)</f>
        <v/>
      </c>
      <c r="P154" s="5" t="n">
        <v>46281.5</v>
      </c>
      <c r="Q154" t="inlineStr">
        <is>
          <t>TravelLine ресепшен</t>
        </is>
      </c>
      <c r="R154" s="2" t="inlineStr">
        <is>
          <t>СЕМЕЙНЫЙ НОМЕР КАТЕГОРИИ "СТАНДАРТ" ВТОРОЙ КОРПУС</t>
        </is>
      </c>
      <c r="S154" t="n">
        <v>50</v>
      </c>
      <c r="T154" t="n">
        <v>2</v>
      </c>
      <c r="U154" t="inlineStr"/>
      <c r="V154" t="inlineStr">
        <is>
          <t>Тариф с завтраком</t>
        </is>
      </c>
      <c r="W154" t="n">
        <v>26010</v>
      </c>
      <c r="X154" s="3" t="n">
        <v>2890</v>
      </c>
      <c r="Y154" t="inlineStr">
        <is>
          <t>10%</t>
        </is>
      </c>
      <c r="Z154" t="inlineStr">
        <is>
          <t>2026-09-14, 2026-09-15</t>
        </is>
      </c>
      <c r="AA154" s="3" t="n">
        <v>26010</v>
      </c>
      <c r="AB154" t="inlineStr">
        <is>
          <t>Сошлось по ночным тарифам</t>
        </is>
      </c>
      <c r="AC154" s="2" t="inlineStr"/>
      <c r="AD154" t="n">
        <v>2890</v>
      </c>
      <c r="AE154" t="n">
        <v>0</v>
      </c>
      <c r="AF154" t="inlineStr">
        <is>
          <t>Скидка добавлена к налоговой базе</t>
        </is>
      </c>
      <c r="AG154" t="n">
        <v>28900</v>
      </c>
      <c r="AH154" t="n">
        <v>26010</v>
      </c>
      <c r="AI154" t="inlineStr">
        <is>
          <t>Полное проживание в выбранном периоде</t>
        </is>
      </c>
    </row>
    <row r="155">
      <c r="A155" t="inlineStr">
        <is>
          <t>20260923-8186-467719195</t>
        </is>
      </c>
      <c r="B155" t="n">
        <v>1</v>
      </c>
      <c r="C155" s="2" t="inlineStr">
        <is>
          <t>Игорь Самохвалов</t>
        </is>
      </c>
      <c r="D155" s="3" t="n">
        <v>10458</v>
      </c>
      <c r="E155" s="4" t="n">
        <v>16</v>
      </c>
      <c r="F155" t="inlineStr">
        <is>
          <t>ООО "БРОНИРОВАНИЕ ГОСТИНИЦ" (OSTROVOK) [Чайковский]</t>
        </is>
      </c>
      <c r="G155" s="3">
        <f>ROUND(D155/(100-E155)*100,2)</f>
        <v/>
      </c>
      <c r="H155" s="3" t="n">
        <v>0</v>
      </c>
      <c r="I155" s="3">
        <f>ROUND(IF(ISNUMBER(AG155),AG155,G155)+H155,2)</f>
        <v/>
      </c>
      <c r="J155" s="2" t="inlineStr">
        <is>
          <t>Завтрак "Шведский стол"</t>
        </is>
      </c>
      <c r="K155" s="5" t="n">
        <v>46288.58333333334</v>
      </c>
      <c r="L155" t="n">
        <v>1</v>
      </c>
      <c r="M155" s="3">
        <f>I155/L155</f>
        <v/>
      </c>
      <c r="N155">
        <f>IF(M155&gt;=5100,"ставка","мин.ставка")</f>
        <v/>
      </c>
      <c r="O155" s="3">
        <f>ROUND(IF(N155="мин.ставка",L155*100,I155/102*2),2)</f>
        <v/>
      </c>
      <c r="P155" s="5" t="n">
        <v>46289.5</v>
      </c>
      <c r="Q155" t="inlineStr">
        <is>
          <t>TravelLine OTK</t>
        </is>
      </c>
      <c r="R155" s="2" t="inlineStr">
        <is>
          <t>СЕМЕЙНЫЙ НОМЕР КАТЕГОРИИ "СТАНДАРТ" ВТОРОЙ КОРПУС</t>
        </is>
      </c>
      <c r="S155" t="n">
        <v>51</v>
      </c>
      <c r="T155" t="n">
        <v>2</v>
      </c>
      <c r="U155" t="inlineStr"/>
      <c r="V155" t="inlineStr">
        <is>
          <t>Тариф с завтраком</t>
        </is>
      </c>
      <c r="W155" t="n">
        <v>10458</v>
      </c>
      <c r="X155" s="3" t="n">
        <v>1992</v>
      </c>
      <c r="Y155" t="inlineStr">
        <is>
          <t>16%</t>
        </is>
      </c>
      <c r="Z155" t="inlineStr">
        <is>
          <t>2026-09-23</t>
        </is>
      </c>
      <c r="AA155" s="3" t="n">
        <v>10458</v>
      </c>
      <c r="AB155" t="inlineStr">
        <is>
          <t>Сошлось по ночным тарифам</t>
        </is>
      </c>
      <c r="AC155" s="2" t="inlineStr"/>
      <c r="AD155" t="n">
        <v>1992</v>
      </c>
      <c r="AE155" t="n">
        <v>0</v>
      </c>
      <c r="AF155" t="inlineStr">
        <is>
          <t>Скидка добавлена к налоговой базе</t>
        </is>
      </c>
      <c r="AG155" t="n">
        <v>12450</v>
      </c>
      <c r="AH155" t="n">
        <v>10458</v>
      </c>
      <c r="AI155" t="inlineStr">
        <is>
          <t>Полное проживание в выбранном периоде</t>
        </is>
      </c>
    </row>
    <row r="156">
      <c r="A156" t="inlineStr">
        <is>
          <t>20260729-8186-446839045</t>
        </is>
      </c>
      <c r="B156" t="n">
        <v>1</v>
      </c>
      <c r="C156" s="2" t="inlineStr">
        <is>
          <t>ИЛЬНУР ВАЛИУЛЛИН, АЛИНА ФЕСЮН</t>
        </is>
      </c>
      <c r="D156" s="3" t="n">
        <v>79432.5</v>
      </c>
      <c r="E156" s="4" t="n">
        <v>0</v>
      </c>
      <c r="F156" t="inlineStr">
        <is>
          <t>ООО «ХОМЛИН ЛЭНД» (ПЕГАС) [Чайковский]</t>
        </is>
      </c>
      <c r="G156" s="3">
        <f>ROUND(D156/(100-E156)*100,2)</f>
        <v/>
      </c>
      <c r="H156" s="3" t="n">
        <v>0</v>
      </c>
      <c r="I156" s="3">
        <f>ROUND(IF(ISNUMBER(AG156),AG156,G156)+H156,2)</f>
        <v/>
      </c>
      <c r="J156" s="2" t="inlineStr">
        <is>
          <t>Завтрак "Шведский стол"</t>
        </is>
      </c>
      <c r="K156" s="5" t="n">
        <v>46232.58333333334</v>
      </c>
      <c r="L156" t="n">
        <v>7</v>
      </c>
      <c r="M156" s="3">
        <f>I156/L156</f>
        <v/>
      </c>
      <c r="N156">
        <f>IF(M156&gt;=5100,"ставка","мин.ставка")</f>
        <v/>
      </c>
      <c r="O156" s="3">
        <f>ROUND(IF(N156="мин.ставка",L156*100,I156/102*2),2)</f>
        <v/>
      </c>
      <c r="P156" s="5" t="n">
        <v>46239.5</v>
      </c>
      <c r="Q156" t="inlineStr">
        <is>
          <t>TravelLine PGS</t>
        </is>
      </c>
      <c r="R156" s="2" t="inlineStr">
        <is>
          <t>СТАНДАРТНЫЙ ДВУХМЕСТНЫЙ НОМЕР</t>
        </is>
      </c>
      <c r="S156" t="n">
        <v>58</v>
      </c>
      <c r="T156" t="n">
        <v>2</v>
      </c>
      <c r="U156" t="inlineStr"/>
      <c r="V156" t="inlineStr">
        <is>
          <t>Тариф с завтраком</t>
        </is>
      </c>
      <c r="W156" t="n">
        <v>79432.5</v>
      </c>
      <c r="X156" s="3" t="n">
        <v>14017.5</v>
      </c>
      <c r="Y156" t="inlineStr">
        <is>
          <t>15%</t>
        </is>
      </c>
      <c r="Z156" t="inlineStr">
        <is>
          <t>2026-07-29, 2026-07-30, 2026-07-31, 2026-08-01, 2026-08-02, 2026-08-03, 2026-08-04</t>
        </is>
      </c>
      <c r="AA156" s="3" t="n">
        <v>79432.5</v>
      </c>
      <c r="AB156" t="inlineStr">
        <is>
          <t>Сошлось по ночным тарифам</t>
        </is>
      </c>
      <c r="AC156" s="2" t="inlineStr"/>
      <c r="AD156" t="n">
        <v>14017.5</v>
      </c>
      <c r="AE156" t="n">
        <v>0</v>
      </c>
      <c r="AF156" t="inlineStr">
        <is>
          <t>Скидка добавлена к налоговой базе</t>
        </is>
      </c>
      <c r="AG156" t="n">
        <v>93450</v>
      </c>
      <c r="AH156" t="n">
        <v>79432.5</v>
      </c>
      <c r="AI156" t="inlineStr">
        <is>
          <t>Полное проживание в выбранном периоде</t>
        </is>
      </c>
    </row>
    <row r="157">
      <c r="A157" t="inlineStr">
        <is>
          <t>20260907-8186-459655458</t>
        </is>
      </c>
      <c r="B157" t="n">
        <v>1</v>
      </c>
      <c r="C157" s="2" t="inlineStr">
        <is>
          <t>Илья Воронич</t>
        </is>
      </c>
      <c r="D157" s="3" t="n">
        <v>30627</v>
      </c>
      <c r="E157" s="4" t="n">
        <v>18</v>
      </c>
      <c r="F157" t="inlineStr">
        <is>
          <t>ООО "Эй энд Эй" [Чайковский]</t>
        </is>
      </c>
      <c r="G157" s="3">
        <f>ROUND(D157/(100-E157)*100,2)</f>
        <v/>
      </c>
      <c r="H157" s="3" t="n">
        <v>0</v>
      </c>
      <c r="I157" s="3">
        <f>ROUND(IF(ISNUMBER(AG157),AG157,G157)+H157,2)</f>
        <v/>
      </c>
      <c r="J157" s="2" t="inlineStr">
        <is>
          <t>Завтрак "Шведский стол"</t>
        </is>
      </c>
      <c r="K157" s="5" t="n">
        <v>46272.58333333334</v>
      </c>
      <c r="L157" t="n">
        <v>3</v>
      </c>
      <c r="M157" s="3">
        <f>I157/L157</f>
        <v/>
      </c>
      <c r="N157">
        <f>IF(M157&gt;=5100,"ставка","мин.ставка")</f>
        <v/>
      </c>
      <c r="O157" s="3">
        <f>ROUND(IF(N157="мин.ставка",L157*100,I157/102*2),2)</f>
        <v/>
      </c>
      <c r="P157" s="5" t="n">
        <v>46275.5</v>
      </c>
      <c r="Q157" t="inlineStr">
        <is>
          <t>TravelLine ANA</t>
        </is>
      </c>
      <c r="R157" s="2" t="inlineStr">
        <is>
          <t>СЕМЕЙНЫЙ НОМЕР КАТЕГОРИИ "СТАНДАРТ" ВТОРОЙ КОРПУС</t>
        </is>
      </c>
      <c r="S157" t="n">
        <v>51</v>
      </c>
      <c r="T157" t="n">
        <v>2</v>
      </c>
      <c r="U157" t="inlineStr"/>
      <c r="V157" t="inlineStr">
        <is>
          <t>Тариф с завтраком</t>
        </is>
      </c>
      <c r="W157" t="n">
        <v>30627</v>
      </c>
      <c r="X157" s="3" t="n">
        <v>6723</v>
      </c>
      <c r="Y157" t="inlineStr">
        <is>
          <t>18%</t>
        </is>
      </c>
      <c r="Z157" t="inlineStr">
        <is>
          <t>2026-09-07, 2026-09-08, 2026-09-09</t>
        </is>
      </c>
      <c r="AA157" s="3" t="n">
        <v>30627</v>
      </c>
      <c r="AB157" t="inlineStr">
        <is>
          <t>Сошлось по ночным тарифам</t>
        </is>
      </c>
      <c r="AC157" s="2" t="inlineStr"/>
      <c r="AD157" t="n">
        <v>6723</v>
      </c>
      <c r="AE157" t="n">
        <v>0</v>
      </c>
      <c r="AF157" t="inlineStr">
        <is>
          <t>Скидка добавлена к налоговой базе</t>
        </is>
      </c>
      <c r="AG157" t="n">
        <v>37350</v>
      </c>
      <c r="AH157" t="n">
        <v>30627</v>
      </c>
      <c r="AI157" t="inlineStr">
        <is>
          <t>Полное проживание в выбранном периоде</t>
        </is>
      </c>
    </row>
    <row r="158">
      <c r="A158" t="inlineStr">
        <is>
          <t>20260819-8186-455524980</t>
        </is>
      </c>
      <c r="B158" t="n">
        <v>1</v>
      </c>
      <c r="C158" s="2" t="inlineStr">
        <is>
          <t>ИННА АСТАШЕВА</t>
        </is>
      </c>
      <c r="D158" s="3" t="n">
        <v>19920</v>
      </c>
      <c r="E158" s="4" t="n">
        <v>20</v>
      </c>
      <c r="F158" t="inlineStr">
        <is>
          <t>ООО "ХБ-ПРО" [Чайковский]</t>
        </is>
      </c>
      <c r="G158" s="3">
        <f>ROUND(D158/(100-E158)*100,2)</f>
        <v/>
      </c>
      <c r="H158" s="3" t="n">
        <v>0</v>
      </c>
      <c r="I158" s="3">
        <f>ROUND(IF(ISNUMBER(AG158),AG158,G158)+H158,2)</f>
        <v/>
      </c>
      <c r="J158" s="2" t="inlineStr">
        <is>
          <t>Завтрак "Шведский стол"</t>
        </is>
      </c>
      <c r="K158" s="5" t="n">
        <v>46253.58333333334</v>
      </c>
      <c r="L158" t="n">
        <v>2</v>
      </c>
      <c r="M158" s="3">
        <f>I158/L158</f>
        <v/>
      </c>
      <c r="N158">
        <f>IF(M158&gt;=5100,"ставка","мин.ставка")</f>
        <v/>
      </c>
      <c r="O158" s="3">
        <f>ROUND(IF(N158="мин.ставка",L158*100,I158/102*2),2)</f>
        <v/>
      </c>
      <c r="P158" s="5" t="n">
        <v>46255.5</v>
      </c>
      <c r="Q158" t="inlineStr">
        <is>
          <t>TravelLine UTS</t>
        </is>
      </c>
      <c r="R158" s="2" t="inlineStr">
        <is>
          <t>СЕМЕЙНЫЙ НОМЕР КАТЕГОРИИ "СТАНДАРТ" ВТОРОЙ КОРПУС</t>
        </is>
      </c>
      <c r="S158" t="n">
        <v>50</v>
      </c>
      <c r="T158" t="n">
        <v>2</v>
      </c>
      <c r="U158" t="inlineStr"/>
      <c r="V158" t="inlineStr">
        <is>
          <t>Тариф с завтраком</t>
        </is>
      </c>
      <c r="W158" t="n">
        <v>19920</v>
      </c>
      <c r="X158" s="3" t="n">
        <v>0</v>
      </c>
      <c r="Y158" t="inlineStr"/>
      <c r="Z158" t="inlineStr"/>
      <c r="AA158" s="3" t="n">
        <v>19920</v>
      </c>
      <c r="AB158" t="inlineStr">
        <is>
          <t>Сошлось по ночным тарифам</t>
        </is>
      </c>
      <c r="AC158" s="2" t="inlineStr"/>
      <c r="AD158" t="n">
        <v>0</v>
      </c>
      <c r="AE158" t="n">
        <v>0</v>
      </c>
      <c r="AF158" t="inlineStr">
        <is>
          <t>Скидки нет</t>
        </is>
      </c>
      <c r="AG158" t="n">
        <v>19920</v>
      </c>
      <c r="AH158" t="n">
        <v>19920</v>
      </c>
      <c r="AI158" t="inlineStr">
        <is>
          <t>Полное проживание в выбранном периоде</t>
        </is>
      </c>
    </row>
    <row r="159">
      <c r="A159" t="inlineStr">
        <is>
          <t>20260807-8186-454198481</t>
        </is>
      </c>
      <c r="B159" t="n">
        <v>1</v>
      </c>
      <c r="C159" s="2" t="inlineStr">
        <is>
          <t>Инна Еремина, Матвей Еремин</t>
        </is>
      </c>
      <c r="D159" s="3" t="n">
        <v>26180</v>
      </c>
      <c r="E159" s="4" t="n">
        <v>0</v>
      </c>
      <c r="F159" t="inlineStr">
        <is>
          <t>ООО "АЛЕАН ОТДЫХ" [Чайковский]</t>
        </is>
      </c>
      <c r="G159" s="3">
        <f>ROUND(D159/(100-E159)*100,2)</f>
        <v/>
      </c>
      <c r="H159" s="3" t="n">
        <v>0</v>
      </c>
      <c r="I159" s="3">
        <f>ROUND(IF(ISNUMBER(AG159),AG159,G159)+H159,2)</f>
        <v/>
      </c>
      <c r="J159" s="2" t="inlineStr">
        <is>
          <t>meal_bf_buffet_1; meal_bf_buffet_1; Завтрак "Шведский стол"</t>
        </is>
      </c>
      <c r="K159" s="5" t="n">
        <v>46241.58333333334</v>
      </c>
      <c r="L159" t="n">
        <v>2</v>
      </c>
      <c r="M159" s="3">
        <f>I159/L159</f>
        <v/>
      </c>
      <c r="N159">
        <f>IF(M159&gt;=5100,"ставка","мин.ставка")</f>
        <v/>
      </c>
      <c r="O159" s="3">
        <f>ROUND(IF(N159="мин.ставка",L159*100,I159/102*2),2)</f>
        <v/>
      </c>
      <c r="P159" s="5" t="n">
        <v>46243.5</v>
      </c>
      <c r="Q159" t="inlineStr">
        <is>
          <t>TravelLine ALN</t>
        </is>
      </c>
      <c r="R159" s="2" t="inlineStr">
        <is>
          <t>УЛУЧШЕННЫЙ ДВУХМЕСТНЫЙ НОМЕР</t>
        </is>
      </c>
      <c r="S159" t="n">
        <v>59</v>
      </c>
      <c r="T159" t="n">
        <v>2</v>
      </c>
      <c r="U159" t="inlineStr"/>
      <c r="V159" t="inlineStr">
        <is>
          <t>Тариф с завтраком</t>
        </is>
      </c>
      <c r="W159" t="n">
        <v>26180</v>
      </c>
      <c r="X159" s="3" t="n">
        <v>4620</v>
      </c>
      <c r="Y159" t="inlineStr">
        <is>
          <t>15%</t>
        </is>
      </c>
      <c r="Z159" t="inlineStr">
        <is>
          <t>2026-08-07, 2026-08-08</t>
        </is>
      </c>
      <c r="AA159" s="3" t="n">
        <v>26180</v>
      </c>
      <c r="AB159" t="inlineStr">
        <is>
          <t>Сошлось по ночным тарифам</t>
        </is>
      </c>
      <c r="AC159" s="2" t="inlineStr"/>
      <c r="AD159" t="n">
        <v>4620</v>
      </c>
      <c r="AE159" t="n">
        <v>0</v>
      </c>
      <c r="AF159" t="inlineStr">
        <is>
          <t>Скидка добавлена к налоговой базе</t>
        </is>
      </c>
      <c r="AG159" t="n">
        <v>30800</v>
      </c>
      <c r="AH159" t="n">
        <v>26180</v>
      </c>
      <c r="AI159" t="inlineStr">
        <is>
          <t>Полное проживание в выбранном периоде</t>
        </is>
      </c>
    </row>
    <row r="160">
      <c r="A160" t="inlineStr">
        <is>
          <t>20260821-8186-460553289</t>
        </is>
      </c>
      <c r="B160" t="n">
        <v>1</v>
      </c>
      <c r="C160" s="2" t="inlineStr">
        <is>
          <t>ИННА КУЗНЕЦОВА</t>
        </is>
      </c>
      <c r="D160" s="3" t="n">
        <v>15800</v>
      </c>
      <c r="E160" s="4" t="n">
        <v>0</v>
      </c>
      <c r="F160" t="inlineStr">
        <is>
          <t>Прямые бронирования (стойка) [Чайковский]</t>
        </is>
      </c>
      <c r="G160" s="3">
        <f>ROUND(D160/(100-E160)*100,2)</f>
        <v/>
      </c>
      <c r="H160" s="3" t="n">
        <v>0</v>
      </c>
      <c r="I160" s="3">
        <f>ROUND(IF(ISNUMBER(AG160),AG160,G160)+H160,2)</f>
        <v/>
      </c>
      <c r="J160" s="2" t="inlineStr">
        <is>
          <t>Завтрак "Шведский стол"</t>
        </is>
      </c>
      <c r="K160" s="5" t="n">
        <v>46255.58333333334</v>
      </c>
      <c r="L160" t="n">
        <v>1</v>
      </c>
      <c r="M160" s="3">
        <f>I160/L160</f>
        <v/>
      </c>
      <c r="N160">
        <f>IF(M160&gt;=5100,"ставка","мин.ставка")</f>
        <v/>
      </c>
      <c r="O160" s="3">
        <f>ROUND(IF(N160="мин.ставка",L160*100,I160/102*2),2)</f>
        <v/>
      </c>
      <c r="P160" s="5" t="n">
        <v>46256.5</v>
      </c>
      <c r="Q160" t="inlineStr">
        <is>
          <t>TravelLine ресепшен</t>
        </is>
      </c>
      <c r="R160" s="2" t="inlineStr">
        <is>
          <t>ЛЮКС ВТОРОЙ КОРПУС</t>
        </is>
      </c>
      <c r="S160" t="n">
        <v>54</v>
      </c>
      <c r="T160" t="n">
        <v>2</v>
      </c>
      <c r="U160" t="inlineStr"/>
      <c r="V160" t="inlineStr">
        <is>
          <t>Тариф с завтраком</t>
        </is>
      </c>
      <c r="W160" t="n">
        <v>15800</v>
      </c>
      <c r="X160" s="3" t="n">
        <v>0</v>
      </c>
      <c r="Y160" t="inlineStr"/>
      <c r="Z160" t="inlineStr"/>
      <c r="AA160" s="3" t="n">
        <v>15800</v>
      </c>
      <c r="AB160" t="inlineStr">
        <is>
          <t>Сошлось по ночным тарифам</t>
        </is>
      </c>
      <c r="AC160" s="2" t="inlineStr"/>
      <c r="AD160" t="n">
        <v>0</v>
      </c>
      <c r="AE160" t="n">
        <v>0</v>
      </c>
      <c r="AF160" t="inlineStr">
        <is>
          <t>Скидки нет</t>
        </is>
      </c>
      <c r="AG160" t="n">
        <v>15800</v>
      </c>
      <c r="AH160" t="n">
        <v>15800</v>
      </c>
      <c r="AI160" t="inlineStr">
        <is>
          <t>Полное проживание в выбранном периоде</t>
        </is>
      </c>
    </row>
    <row r="161">
      <c r="A161" t="inlineStr">
        <is>
          <t>20260810-8186-454830610</t>
        </is>
      </c>
      <c r="B161" t="n">
        <v>1</v>
      </c>
      <c r="C161" s="2" t="inlineStr">
        <is>
          <t>Ирина Катаргина, ТИМОФЕЙ КАТАРГИН</t>
        </is>
      </c>
      <c r="D161" s="3" t="n">
        <v>11347.5</v>
      </c>
      <c r="E161" s="4" t="n">
        <v>16</v>
      </c>
      <c r="F161" t="inlineStr">
        <is>
          <t>ООО "БРОНИРОВАНИЕ ГОСТИНИЦ" (OSTROVOK) [Чайковский]</t>
        </is>
      </c>
      <c r="G161" s="3">
        <f>ROUND(D161/(100-E161)*100,2)</f>
        <v/>
      </c>
      <c r="H161" s="3" t="n">
        <v>0</v>
      </c>
      <c r="I161" s="3">
        <f>ROUND(IF(ISNUMBER(AG161),AG161,G161)+H161,2)</f>
        <v/>
      </c>
      <c r="J161" s="2" t="inlineStr">
        <is>
          <t>Завтрак "Шведский стол"</t>
        </is>
      </c>
      <c r="K161" s="5" t="n">
        <v>46244.58333333334</v>
      </c>
      <c r="L161" t="n">
        <v>1</v>
      </c>
      <c r="M161" s="3">
        <f>I161/L161</f>
        <v/>
      </c>
      <c r="N161">
        <f>IF(M161&gt;=5100,"ставка","мин.ставка")</f>
        <v/>
      </c>
      <c r="O161" s="3">
        <f>ROUND(IF(N161="мин.ставка",L161*100,I161/102*2),2)</f>
        <v/>
      </c>
      <c r="P161" s="5" t="n">
        <v>46245.5</v>
      </c>
      <c r="Q161" t="inlineStr">
        <is>
          <t>TravelLine OTK</t>
        </is>
      </c>
      <c r="R161" s="2" t="inlineStr">
        <is>
          <t>СТАНДАРТНЫЙ ДВУХМЕСТНЫЙ НОМЕР</t>
        </is>
      </c>
      <c r="S161" t="n">
        <v>52</v>
      </c>
      <c r="T161" t="n">
        <v>2</v>
      </c>
      <c r="U161" t="inlineStr"/>
      <c r="V161" t="inlineStr">
        <is>
          <t>Тариф с завтраком</t>
        </is>
      </c>
      <c r="W161" t="n">
        <v>11347.5</v>
      </c>
      <c r="X161" s="3" t="n">
        <v>2002.5</v>
      </c>
      <c r="Y161" t="inlineStr">
        <is>
          <t>15%</t>
        </is>
      </c>
      <c r="Z161" t="inlineStr">
        <is>
          <t>2026-08-10</t>
        </is>
      </c>
      <c r="AA161" s="3" t="n">
        <v>11347.5</v>
      </c>
      <c r="AB161" t="inlineStr">
        <is>
          <t>Сошлось по ночным тарифам</t>
        </is>
      </c>
      <c r="AC161" s="2" t="inlineStr"/>
      <c r="AD161" t="n">
        <v>2002.5</v>
      </c>
      <c r="AE161" t="n">
        <v>0</v>
      </c>
      <c r="AF161" t="inlineStr">
        <is>
          <t>Скидка добавлена к налоговой базе</t>
        </is>
      </c>
      <c r="AG161" t="n">
        <v>13350</v>
      </c>
      <c r="AH161" t="n">
        <v>11347.5</v>
      </c>
      <c r="AI161" t="inlineStr">
        <is>
          <t>Полное проживание в выбранном периоде</t>
        </is>
      </c>
    </row>
    <row r="162">
      <c r="A162" t="inlineStr">
        <is>
          <t>20260817-8186-447959681</t>
        </is>
      </c>
      <c r="B162" t="n">
        <v>1</v>
      </c>
      <c r="C162" s="2" t="inlineStr">
        <is>
          <t>ИРИНА МИЛОВА</t>
        </is>
      </c>
      <c r="D162" s="3" t="n">
        <v>8626</v>
      </c>
      <c r="E162" s="4" t="n">
        <v>18</v>
      </c>
      <c r="F162" t="inlineStr">
        <is>
          <t>Яндекс.Путешествия [Чайковский]</t>
        </is>
      </c>
      <c r="G162" s="3">
        <f>ROUND(D162/(100-E162)*100,2)</f>
        <v/>
      </c>
      <c r="H162" s="3" t="n">
        <v>0</v>
      </c>
      <c r="I162" s="3">
        <f>ROUND(IF(ISNUMBER(AG162),AG162,G162)+H162,2)</f>
        <v/>
      </c>
      <c r="J162" s="2" t="inlineStr">
        <is>
          <t>Завтрак "Шведский стол"</t>
        </is>
      </c>
      <c r="K162" s="5" t="n">
        <v>46251.58333333334</v>
      </c>
      <c r="L162" t="n">
        <v>1</v>
      </c>
      <c r="M162" s="3">
        <f>I162/L162</f>
        <v/>
      </c>
      <c r="N162">
        <f>IF(M162&gt;=5100,"ставка","мин.ставка")</f>
        <v/>
      </c>
      <c r="O162" s="3">
        <f>ROUND(IF(N162="мин.ставка",L162*100,I162/102*2),2)</f>
        <v/>
      </c>
      <c r="P162" s="5" t="n">
        <v>46252.5</v>
      </c>
      <c r="Q162" t="inlineStr">
        <is>
          <t>TravelLine YAX</t>
        </is>
      </c>
      <c r="R162" s="2" t="inlineStr">
        <is>
          <t>СТАНДАРТНЫЙ ДВУХМЕСТНЫЙ НОМЕР</t>
        </is>
      </c>
      <c r="S162" t="n">
        <v>58</v>
      </c>
      <c r="T162" t="n">
        <v>2</v>
      </c>
      <c r="U162" t="inlineStr"/>
      <c r="V162" t="inlineStr">
        <is>
          <t>Тариф с завтраком</t>
        </is>
      </c>
      <c r="W162" t="n">
        <v>8626</v>
      </c>
      <c r="X162" s="3" t="n">
        <v>2156.5</v>
      </c>
      <c r="Y162" t="inlineStr">
        <is>
          <t>20%</t>
        </is>
      </c>
      <c r="Z162" t="inlineStr">
        <is>
          <t>2026-08-17</t>
        </is>
      </c>
      <c r="AA162" s="3" t="n">
        <v>8626</v>
      </c>
      <c r="AB162" t="inlineStr">
        <is>
          <t>Сошлось по ночным тарифам</t>
        </is>
      </c>
      <c r="AC162" s="2" t="inlineStr"/>
      <c r="AD162" t="n">
        <v>2156.5</v>
      </c>
      <c r="AE162" t="n">
        <v>0</v>
      </c>
      <c r="AF162" t="inlineStr">
        <is>
          <t>Скидка добавлена к налоговой базе</t>
        </is>
      </c>
      <c r="AG162" t="n">
        <v>10782.5</v>
      </c>
      <c r="AH162" t="n">
        <v>8626</v>
      </c>
      <c r="AI162" t="inlineStr">
        <is>
          <t>Полное проживание в выбранном периоде</t>
        </is>
      </c>
    </row>
    <row r="163">
      <c r="A163" t="inlineStr">
        <is>
          <t>20260817-8186-455605492</t>
        </is>
      </c>
      <c r="B163" t="n">
        <v>1</v>
      </c>
      <c r="C163" s="2" t="inlineStr">
        <is>
          <t>ИРИНА ПОТАПОВА, ВИКТОРИЯ ПОТАПОВА</t>
        </is>
      </c>
      <c r="D163" s="3" t="n">
        <v>30260</v>
      </c>
      <c r="E163" s="4" t="n">
        <v>15</v>
      </c>
      <c r="F163" t="inlineStr">
        <is>
          <t>ООО "Библио-Глобус Туроператор" [Чайковский]</t>
        </is>
      </c>
      <c r="G163" s="3">
        <f>ROUND(D163/(100-E163)*100,2)</f>
        <v/>
      </c>
      <c r="H163" s="3" t="n">
        <v>0</v>
      </c>
      <c r="I163" s="3">
        <f>ROUND(IF(ISNUMBER(AG163),AG163,G163)+H163,2)</f>
        <v/>
      </c>
      <c r="J163" s="2" t="inlineStr">
        <is>
          <t>Завтрак "Шведский стол"</t>
        </is>
      </c>
      <c r="K163" s="5" t="n">
        <v>46251.58333333334</v>
      </c>
      <c r="L163" t="n">
        <v>2</v>
      </c>
      <c r="M163" s="3">
        <f>I163/L163</f>
        <v/>
      </c>
      <c r="N163">
        <f>IF(M163&gt;=5100,"ставка","мин.ставка")</f>
        <v/>
      </c>
      <c r="O163" s="3">
        <f>ROUND(IF(N163="мин.ставка",L163*100,I163/102*2),2)</f>
        <v/>
      </c>
      <c r="P163" s="5" t="n">
        <v>46253.5</v>
      </c>
      <c r="Q163" t="inlineStr">
        <is>
          <t>TravelLine BGL</t>
        </is>
      </c>
      <c r="R163" s="2" t="inlineStr">
        <is>
          <t>ЛЮКС ВТОРОЙ КОРПУС</t>
        </is>
      </c>
      <c r="S163" t="n">
        <v>54</v>
      </c>
      <c r="T163" t="n">
        <v>2</v>
      </c>
      <c r="U163" t="inlineStr"/>
      <c r="V163" t="inlineStr">
        <is>
          <t>Тариф с завтраком</t>
        </is>
      </c>
      <c r="W163" t="n">
        <v>30260</v>
      </c>
      <c r="X163" s="3" t="n">
        <v>0</v>
      </c>
      <c r="Y163" t="inlineStr"/>
      <c r="Z163" t="inlineStr"/>
      <c r="AA163" s="3" t="n">
        <v>30260</v>
      </c>
      <c r="AB163" t="inlineStr">
        <is>
          <t>Сошлось по ночным тарифам</t>
        </is>
      </c>
      <c r="AC163" s="2" t="inlineStr"/>
      <c r="AD163" t="n">
        <v>0</v>
      </c>
      <c r="AE163" t="n">
        <v>0</v>
      </c>
      <c r="AF163" t="inlineStr">
        <is>
          <t>Скидки нет</t>
        </is>
      </c>
      <c r="AG163" t="n">
        <v>30260</v>
      </c>
      <c r="AH163" t="n">
        <v>30260</v>
      </c>
      <c r="AI163" t="inlineStr">
        <is>
          <t>Полное проживание в выбранном периоде</t>
        </is>
      </c>
    </row>
    <row r="164">
      <c r="A164" t="inlineStr">
        <is>
          <t>20260804-8186-450062345</t>
        </is>
      </c>
      <c r="B164" t="n">
        <v>1</v>
      </c>
      <c r="C164" s="2" t="inlineStr">
        <is>
          <t>Ирина Скороходова</t>
        </is>
      </c>
      <c r="D164" s="3" t="n">
        <v>27240</v>
      </c>
      <c r="E164" s="4" t="n">
        <v>20</v>
      </c>
      <c r="F164" t="inlineStr">
        <is>
          <t>ООО "КОМПАНИЯ БРОНЕВИК" [Чайковский]</t>
        </is>
      </c>
      <c r="G164" s="3">
        <f>ROUND(D164/(100-E164)*100,2)</f>
        <v/>
      </c>
      <c r="H164" s="3" t="n">
        <v>860</v>
      </c>
      <c r="I164" s="3">
        <f>ROUND(IF(ISNUMBER(AG164),AG164,G164)+H164,2)</f>
        <v/>
      </c>
      <c r="J164" s="2" t="inlineStr">
        <is>
          <t>продление номера — 100,00 ₽; продление номера — 310,00 ₽; продление номера — 300,00 ₽; продление номера — 150,00 ₽; Завтрак "Шведский стол"</t>
        </is>
      </c>
      <c r="K164" s="5" t="n">
        <v>46238.58333333334</v>
      </c>
      <c r="L164" t="n">
        <v>3</v>
      </c>
      <c r="M164" s="3">
        <f>I164/L164</f>
        <v/>
      </c>
      <c r="N164">
        <f>IF(M164&gt;=5100,"ставка","мин.ставка")</f>
        <v/>
      </c>
      <c r="O164" s="3">
        <f>ROUND(IF(N164="мин.ставка",L164*100,I164/102*2),2)</f>
        <v/>
      </c>
      <c r="P164" s="5" t="n">
        <v>46241.5</v>
      </c>
      <c r="Q164" t="inlineStr">
        <is>
          <t>TravelLine BR2</t>
        </is>
      </c>
      <c r="R164" s="2" t="inlineStr">
        <is>
          <t>СЕМЕЙНЫЙ НОМЕР КАТЕГОРИИ "СТАНДАРТ" ВТОРОЙ КОРПУС</t>
        </is>
      </c>
      <c r="S164" t="n">
        <v>50</v>
      </c>
      <c r="T164" t="n">
        <v>2</v>
      </c>
      <c r="U164" t="inlineStr"/>
      <c r="V164" t="inlineStr">
        <is>
          <t>Тариф с завтраком</t>
        </is>
      </c>
      <c r="W164" t="n">
        <v>28100</v>
      </c>
      <c r="X164" s="3" t="n">
        <v>0</v>
      </c>
      <c r="Y164" t="inlineStr"/>
      <c r="Z164" t="inlineStr"/>
      <c r="AA164" s="3" t="n">
        <v>27240</v>
      </c>
      <c r="AB164" t="inlineStr">
        <is>
          <t>Сошлось с услугами</t>
        </is>
      </c>
      <c r="AC164" s="2" t="inlineStr"/>
      <c r="AD164" t="n">
        <v>0</v>
      </c>
      <c r="AE164" t="n">
        <v>0</v>
      </c>
      <c r="AF164" t="inlineStr">
        <is>
          <t>Скидки нет</t>
        </is>
      </c>
      <c r="AG164" t="n">
        <v>27240</v>
      </c>
      <c r="AH164" t="n">
        <v>27240</v>
      </c>
      <c r="AI164" t="inlineStr">
        <is>
          <t>Полное проживание в выбранном периоде</t>
        </is>
      </c>
    </row>
    <row r="165">
      <c r="A165" t="inlineStr">
        <is>
          <t>20260923-8186-468096029</t>
        </is>
      </c>
      <c r="B165" t="n">
        <v>1</v>
      </c>
      <c r="C165" s="2" t="inlineStr">
        <is>
          <t>КИРИЛЛ ЛАРИН</t>
        </is>
      </c>
      <c r="D165" s="3" t="n">
        <v>15800</v>
      </c>
      <c r="E165" s="4" t="n">
        <v>0</v>
      </c>
      <c r="F165" t="inlineStr">
        <is>
          <t>Прямые бронирования (стойка) [Чайковский]</t>
        </is>
      </c>
      <c r="G165" s="3">
        <f>ROUND(D165/(100-E165)*100,2)</f>
        <v/>
      </c>
      <c r="H165" s="3" t="n">
        <v>0</v>
      </c>
      <c r="I165" s="3">
        <f>ROUND(IF(ISNUMBER(AG165),AG165,G165)+H165,2)</f>
        <v/>
      </c>
      <c r="J165" s="2" t="inlineStr">
        <is>
          <t>Завтрак "Шведский стол"</t>
        </is>
      </c>
      <c r="K165" s="5" t="n">
        <v>46288.58333333334</v>
      </c>
      <c r="L165" t="n">
        <v>1</v>
      </c>
      <c r="M165" s="3">
        <f>I165/L165</f>
        <v/>
      </c>
      <c r="N165">
        <f>IF(M165&gt;=5100,"ставка","мин.ставка")</f>
        <v/>
      </c>
      <c r="O165" s="3">
        <f>ROUND(IF(N165="мин.ставка",L165*100,I165/102*2),2)</f>
        <v/>
      </c>
      <c r="P165" s="5" t="n">
        <v>46289.5</v>
      </c>
      <c r="Q165" t="inlineStr">
        <is>
          <t>TravelLine ресепшен</t>
        </is>
      </c>
      <c r="R165" s="2" t="inlineStr">
        <is>
          <t>ЛЮКС ВТОРОЙ КОРПУС</t>
        </is>
      </c>
      <c r="S165" t="n">
        <v>53</v>
      </c>
      <c r="T165" t="n">
        <v>2</v>
      </c>
      <c r="U165" t="inlineStr"/>
      <c r="V165" t="inlineStr">
        <is>
          <t>Тариф с завтраком</t>
        </is>
      </c>
      <c r="W165" t="n">
        <v>15800</v>
      </c>
      <c r="X165" s="3" t="n">
        <v>0</v>
      </c>
      <c r="Y165" t="inlineStr"/>
      <c r="Z165" t="inlineStr"/>
      <c r="AA165" s="3" t="n">
        <v>15800</v>
      </c>
      <c r="AB165" t="inlineStr">
        <is>
          <t>Сошлось по ночным тарифам</t>
        </is>
      </c>
      <c r="AC165" s="2" t="inlineStr"/>
      <c r="AD165" t="n">
        <v>0</v>
      </c>
      <c r="AE165" t="n">
        <v>0</v>
      </c>
      <c r="AF165" t="inlineStr">
        <is>
          <t>Скидки нет</t>
        </is>
      </c>
      <c r="AG165" t="n">
        <v>15800</v>
      </c>
      <c r="AH165" t="n">
        <v>15800</v>
      </c>
      <c r="AI165" t="inlineStr">
        <is>
          <t>Полное проживание в выбранном периоде</t>
        </is>
      </c>
    </row>
    <row r="166">
      <c r="A166" t="inlineStr">
        <is>
          <t>20260924-8186-468128264</t>
        </is>
      </c>
      <c r="B166" t="n">
        <v>1</v>
      </c>
      <c r="C166" s="2" t="inlineStr">
        <is>
          <t>КИРИЛЛ ЛАРИН</t>
        </is>
      </c>
      <c r="D166" s="3" t="n">
        <v>15800</v>
      </c>
      <c r="E166" s="4" t="n">
        <v>0</v>
      </c>
      <c r="F166" t="inlineStr">
        <is>
          <t>Прямые бронирования (стойка) [Чайковский]</t>
        </is>
      </c>
      <c r="G166" s="3">
        <f>ROUND(D166/(100-E166)*100,2)</f>
        <v/>
      </c>
      <c r="H166" s="3" t="n">
        <v>0</v>
      </c>
      <c r="I166" s="3">
        <f>ROUND(IF(ISNUMBER(AG166),AG166,G166)+H166,2)</f>
        <v/>
      </c>
      <c r="J166" s="2" t="inlineStr">
        <is>
          <t>Завтрак "Шведский стол"</t>
        </is>
      </c>
      <c r="K166" s="5" t="n">
        <v>46289.58333333334</v>
      </c>
      <c r="L166" t="n">
        <v>1</v>
      </c>
      <c r="M166" s="3">
        <f>I166/L166</f>
        <v/>
      </c>
      <c r="N166">
        <f>IF(M166&gt;=5100,"ставка","мин.ставка")</f>
        <v/>
      </c>
      <c r="O166" s="3">
        <f>ROUND(IF(N166="мин.ставка",L166*100,I166/102*2),2)</f>
        <v/>
      </c>
      <c r="P166" s="5" t="n">
        <v>46290.5</v>
      </c>
      <c r="Q166" t="inlineStr">
        <is>
          <t>TravelLine ресепшен</t>
        </is>
      </c>
      <c r="R166" s="2" t="inlineStr">
        <is>
          <t>ЛЮКС ВТОРОЙ КОРПУС</t>
        </is>
      </c>
      <c r="S166" t="n">
        <v>53</v>
      </c>
      <c r="T166" t="n">
        <v>2</v>
      </c>
      <c r="U166" t="inlineStr"/>
      <c r="V166" t="inlineStr">
        <is>
          <t>Тариф с завтраком</t>
        </is>
      </c>
      <c r="W166" t="n">
        <v>15800</v>
      </c>
      <c r="X166" s="3" t="n">
        <v>0</v>
      </c>
      <c r="Y166" t="inlineStr"/>
      <c r="Z166" t="inlineStr"/>
      <c r="AA166" s="3" t="n">
        <v>15800</v>
      </c>
      <c r="AB166" t="inlineStr">
        <is>
          <t>Сошлось по ночным тарифам</t>
        </is>
      </c>
      <c r="AC166" s="2" t="inlineStr"/>
      <c r="AD166" t="n">
        <v>0</v>
      </c>
      <c r="AE166" t="n">
        <v>0</v>
      </c>
      <c r="AF166" t="inlineStr">
        <is>
          <t>Скидки нет</t>
        </is>
      </c>
      <c r="AG166" t="n">
        <v>15800</v>
      </c>
      <c r="AH166" t="n">
        <v>15800</v>
      </c>
      <c r="AI166" t="inlineStr">
        <is>
          <t>Полное проживание в выбранном периоде</t>
        </is>
      </c>
    </row>
    <row r="167">
      <c r="A167" t="inlineStr">
        <is>
          <t>20260918-8186-460074365</t>
        </is>
      </c>
      <c r="B167" t="n">
        <v>1</v>
      </c>
      <c r="C167" s="2" t="inlineStr">
        <is>
          <t>КОНСТАНТИН ПРОХОРОВ, СВЕТЛАНА ПРОХОРОВА</t>
        </is>
      </c>
      <c r="D167" s="3" t="n">
        <v>21165</v>
      </c>
      <c r="E167" s="4" t="n">
        <v>15</v>
      </c>
      <c r="F167" t="inlineStr">
        <is>
          <t>ООО "АКАДЕМ-ОНЛАЙН" [Чайковский]</t>
        </is>
      </c>
      <c r="G167" s="3">
        <f>ROUND(D167/(100-E167)*100,2)</f>
        <v/>
      </c>
      <c r="H167" s="3" t="n">
        <v>4000</v>
      </c>
      <c r="I167" s="3">
        <f>ROUND(IF(ISNUMBER(AG167),AG167,G167)+H167,2)</f>
        <v/>
      </c>
      <c r="J167" s="2" t="inlineStr">
        <is>
          <t>продление номера — 4 000,00 ₽; Завтрак "Шведский стол"</t>
        </is>
      </c>
      <c r="K167" s="5" t="n">
        <v>46283.58333333334</v>
      </c>
      <c r="L167" t="n">
        <v>2</v>
      </c>
      <c r="M167" s="3">
        <f>I167/L167</f>
        <v/>
      </c>
      <c r="N167">
        <f>IF(M167&gt;=5100,"ставка","мин.ставка")</f>
        <v/>
      </c>
      <c r="O167" s="3">
        <f>ROUND(IF(N167="мин.ставка",L167*100,I167/102*2),2)</f>
        <v/>
      </c>
      <c r="P167" s="5" t="n">
        <v>46285.5</v>
      </c>
      <c r="Q167" t="inlineStr">
        <is>
          <t>TravelLine ACS</t>
        </is>
      </c>
      <c r="R167" s="2" t="inlineStr">
        <is>
          <t>СЕМЕЙНЫЙ НОМЕР КАТЕГОРИИ "СТАНДАРТ" ВТОРОЙ КОРПУС</t>
        </is>
      </c>
      <c r="S167" t="n">
        <v>50</v>
      </c>
      <c r="T167" t="n">
        <v>2</v>
      </c>
      <c r="U167" t="inlineStr"/>
      <c r="V167" t="inlineStr">
        <is>
          <t>Тариф с завтраком</t>
        </is>
      </c>
      <c r="W167" t="n">
        <v>25165</v>
      </c>
      <c r="X167" s="3" t="n">
        <v>3735</v>
      </c>
      <c r="Y167" t="inlineStr">
        <is>
          <t>15%</t>
        </is>
      </c>
      <c r="Z167" t="inlineStr">
        <is>
          <t>2026-09-18, 2026-09-19</t>
        </is>
      </c>
      <c r="AA167" s="3" t="n">
        <v>21165</v>
      </c>
      <c r="AB167" t="inlineStr">
        <is>
          <t>Сошлось с услугами</t>
        </is>
      </c>
      <c r="AC167" s="2" t="inlineStr"/>
      <c r="AD167" t="n">
        <v>3735</v>
      </c>
      <c r="AE167" t="n">
        <v>0</v>
      </c>
      <c r="AF167" t="inlineStr">
        <is>
          <t>Скидка добавлена к налоговой базе</t>
        </is>
      </c>
      <c r="AG167" t="n">
        <v>24900</v>
      </c>
      <c r="AH167" t="n">
        <v>21165</v>
      </c>
      <c r="AI167" t="inlineStr">
        <is>
          <t>Полное проживание в выбранном периоде</t>
        </is>
      </c>
    </row>
    <row r="168">
      <c r="A168" t="inlineStr">
        <is>
          <t>20260916-8186-466008879</t>
        </is>
      </c>
      <c r="B168" t="n">
        <v>1</v>
      </c>
      <c r="C168" s="2" t="inlineStr">
        <is>
          <t>Константин Якушев</t>
        </is>
      </c>
      <c r="D168" s="3" t="n">
        <v>10500</v>
      </c>
      <c r="E168" s="4" t="n">
        <v>16</v>
      </c>
      <c r="F168" t="inlineStr">
        <is>
          <t>ООО "БРОНИРОВАНИЕ ГОСТИНИЦ" (OSTROVOK) [Чайковский]</t>
        </is>
      </c>
      <c r="G168" s="3">
        <f>ROUND(D168/(100-E168)*100,2)</f>
        <v/>
      </c>
      <c r="H168" s="3" t="n">
        <v>0</v>
      </c>
      <c r="I168" s="3">
        <f>ROUND(IF(ISNUMBER(AG168),AG168,G168)+H168,2)</f>
        <v/>
      </c>
      <c r="J168" s="2" t="inlineStr"/>
      <c r="K168" s="5" t="n">
        <v>46281.58333333334</v>
      </c>
      <c r="L168" t="n">
        <v>1</v>
      </c>
      <c r="M168" s="3">
        <f>I168/L168</f>
        <v/>
      </c>
      <c r="N168">
        <f>IF(M168&gt;=5100,"ставка","мин.ставка")</f>
        <v/>
      </c>
      <c r="O168" s="3">
        <f>ROUND(IF(N168="мин.ставка",L168*100,I168/102*2),2)</f>
        <v/>
      </c>
      <c r="P168" s="5" t="n">
        <v>46282.5</v>
      </c>
      <c r="Q168" t="inlineStr">
        <is>
          <t>TravelLine OTK</t>
        </is>
      </c>
      <c r="R168" s="2" t="inlineStr">
        <is>
          <t>ЛЮКС ВТОРОЙ КОРПУС</t>
        </is>
      </c>
      <c r="S168" t="n">
        <v>53</v>
      </c>
      <c r="T168" t="n">
        <v>2</v>
      </c>
      <c r="U168" t="inlineStr"/>
      <c r="V168" t="inlineStr">
        <is>
          <t>Основной тариф без завтрака</t>
        </is>
      </c>
      <c r="W168" t="n">
        <v>10500</v>
      </c>
      <c r="X168" s="3" t="n">
        <v>2000</v>
      </c>
      <c r="Y168" t="inlineStr">
        <is>
          <t>16%</t>
        </is>
      </c>
      <c r="Z168" t="inlineStr">
        <is>
          <t>2026-09-16</t>
        </is>
      </c>
      <c r="AA168" s="3" t="n">
        <v>10500</v>
      </c>
      <c r="AB168" t="inlineStr">
        <is>
          <t>Сошлось по ночным тарифам</t>
        </is>
      </c>
      <c r="AC168" s="2" t="inlineStr"/>
      <c r="AD168" t="n">
        <v>2000</v>
      </c>
      <c r="AE168" t="n">
        <v>0</v>
      </c>
      <c r="AF168" t="inlineStr">
        <is>
          <t>Скидка добавлена к налоговой базе</t>
        </is>
      </c>
      <c r="AG168" t="n">
        <v>12500</v>
      </c>
      <c r="AH168" t="n">
        <v>10500</v>
      </c>
      <c r="AI168" t="inlineStr">
        <is>
          <t>Полное проживание в выбранном периоде</t>
        </is>
      </c>
    </row>
    <row r="169">
      <c r="A169" t="inlineStr">
        <is>
          <t>20260813-8186-457357141</t>
        </is>
      </c>
      <c r="B169" t="n">
        <v>1</v>
      </c>
      <c r="C169" s="2" t="inlineStr">
        <is>
          <t>КСЕНИЯ БЯЛАЯ</t>
        </is>
      </c>
      <c r="D169" s="3" t="n">
        <v>13400</v>
      </c>
      <c r="E169" s="4" t="n">
        <v>0</v>
      </c>
      <c r="F169" t="inlineStr">
        <is>
          <t>Прямые бронирования (стойка) [Чайковский]</t>
        </is>
      </c>
      <c r="G169" s="3">
        <f>ROUND(D169/(100-E169)*100,2)</f>
        <v/>
      </c>
      <c r="H169" s="3" t="n">
        <v>0</v>
      </c>
      <c r="I169" s="3">
        <f>ROUND(IF(ISNUMBER(AG169),AG169,G169)+H169,2)</f>
        <v/>
      </c>
      <c r="J169" s="2" t="inlineStr">
        <is>
          <t>Завтрак "Шведский стол"</t>
        </is>
      </c>
      <c r="K169" s="5" t="n">
        <v>46251.58333333334</v>
      </c>
      <c r="L169" t="n">
        <v>1</v>
      </c>
      <c r="M169" s="3">
        <f>I169/L169</f>
        <v/>
      </c>
      <c r="N169">
        <f>IF(M169&gt;=5100,"ставка","мин.ставка")</f>
        <v/>
      </c>
      <c r="O169" s="3">
        <f>ROUND(IF(N169="мин.ставка",L169*100,I169/102*2),2)</f>
        <v/>
      </c>
      <c r="P169" s="5" t="n">
        <v>46252.5</v>
      </c>
      <c r="Q169" t="inlineStr">
        <is>
          <t>TravelLine ресепшен</t>
        </is>
      </c>
      <c r="R169" s="2" t="inlineStr">
        <is>
          <t>УЛУЧШЕННЫЙ ДВУХМЕСТНЫЙ НОМЕР</t>
        </is>
      </c>
      <c r="S169" t="n">
        <v>59</v>
      </c>
      <c r="T169" t="n">
        <v>2</v>
      </c>
      <c r="U169" t="inlineStr"/>
      <c r="V169" t="inlineStr">
        <is>
          <t>Тариф с завтраком</t>
        </is>
      </c>
      <c r="W169" t="n">
        <v>13400</v>
      </c>
      <c r="X169" s="3" t="n">
        <v>0</v>
      </c>
      <c r="Y169" t="inlineStr"/>
      <c r="Z169" t="inlineStr"/>
      <c r="AA169" s="3" t="n">
        <v>13400</v>
      </c>
      <c r="AB169" t="inlineStr">
        <is>
          <t>Сошлось по ночным тарифам</t>
        </is>
      </c>
      <c r="AC169" s="2" t="inlineStr"/>
      <c r="AD169" t="n">
        <v>0</v>
      </c>
      <c r="AE169" t="n">
        <v>0</v>
      </c>
      <c r="AF169" t="inlineStr">
        <is>
          <t>Скидки нет</t>
        </is>
      </c>
      <c r="AG169" t="n">
        <v>13400</v>
      </c>
      <c r="AH169" t="n">
        <v>13400</v>
      </c>
      <c r="AI169" t="inlineStr">
        <is>
          <t>Полное проживание в выбранном периоде</t>
        </is>
      </c>
    </row>
    <row r="170">
      <c r="A170" t="inlineStr">
        <is>
          <t>20260727-8186-453467059</t>
        </is>
      </c>
      <c r="B170" t="n">
        <v>1</v>
      </c>
      <c r="C170" s="2" t="inlineStr">
        <is>
          <t>Лариса Дубинчук, Виктория Казюра</t>
        </is>
      </c>
      <c r="D170" s="3" t="n">
        <v>8284</v>
      </c>
      <c r="E170" s="4" t="n">
        <v>18</v>
      </c>
      <c r="F170" t="inlineStr">
        <is>
          <t>Яндекс.Путешествия [Чайковский]</t>
        </is>
      </c>
      <c r="G170" s="3">
        <f>ROUND(D170/(100-E170)*100,2)</f>
        <v/>
      </c>
      <c r="H170" s="3" t="n">
        <v>0</v>
      </c>
      <c r="I170" s="3">
        <f>ROUND(IF(ISNUMBER(AG170),AG170,G170)+H170,2)</f>
        <v/>
      </c>
      <c r="J170" s="2" t="inlineStr">
        <is>
          <t>Завтрак "Шведский стол"</t>
        </is>
      </c>
      <c r="K170" s="5" t="n">
        <v>46230.58333333334</v>
      </c>
      <c r="L170" t="n">
        <v>1</v>
      </c>
      <c r="M170" s="3">
        <f>I170/L170</f>
        <v/>
      </c>
      <c r="N170">
        <f>IF(M170&gt;=5100,"ставка","мин.ставка")</f>
        <v/>
      </c>
      <c r="O170" s="3">
        <f>ROUND(IF(N170="мин.ставка",L170*100,I170/102*2),2)</f>
        <v/>
      </c>
      <c r="P170" s="5" t="n">
        <v>46231.5</v>
      </c>
      <c r="Q170" t="inlineStr">
        <is>
          <t>TravelLine YAX</t>
        </is>
      </c>
      <c r="R170" s="2" t="inlineStr">
        <is>
          <t>СТАНДАРТНЫЙ ДВУХМЕСТНЫЙ НОМЕР</t>
        </is>
      </c>
      <c r="S170" t="n">
        <v>55</v>
      </c>
      <c r="T170" t="n">
        <v>2</v>
      </c>
      <c r="U170" t="inlineStr"/>
      <c r="V170" t="inlineStr">
        <is>
          <t>Тариф с завтраком</t>
        </is>
      </c>
      <c r="W170" t="n">
        <v>8284</v>
      </c>
      <c r="X170" s="3" t="n">
        <v>2071</v>
      </c>
      <c r="Y170" t="inlineStr">
        <is>
          <t>20%</t>
        </is>
      </c>
      <c r="Z170" t="inlineStr">
        <is>
          <t>2026-07-27</t>
        </is>
      </c>
      <c r="AA170" s="3" t="n">
        <v>8284</v>
      </c>
      <c r="AB170" t="inlineStr">
        <is>
          <t>Сошлось по ночным тарифам</t>
        </is>
      </c>
      <c r="AC170" s="2" t="inlineStr"/>
      <c r="AD170" t="n">
        <v>2071</v>
      </c>
      <c r="AE170" t="n">
        <v>0</v>
      </c>
      <c r="AF170" t="inlineStr">
        <is>
          <t>Скидка добавлена к налоговой базе</t>
        </is>
      </c>
      <c r="AG170" t="n">
        <v>10355</v>
      </c>
      <c r="AH170" t="n">
        <v>8284</v>
      </c>
      <c r="AI170" t="inlineStr">
        <is>
          <t>Полное проживание в выбранном периоде</t>
        </is>
      </c>
    </row>
    <row r="171">
      <c r="A171" t="inlineStr">
        <is>
          <t>20260807-8186-438685773</t>
        </is>
      </c>
      <c r="B171" t="n">
        <v>1</v>
      </c>
      <c r="C171" s="2" t="inlineStr">
        <is>
          <t>Леонид Александров, Мария Александрова</t>
        </is>
      </c>
      <c r="D171" s="3" t="n">
        <v>21360</v>
      </c>
      <c r="E171" s="4" t="n">
        <v>18</v>
      </c>
      <c r="F171" t="inlineStr">
        <is>
          <t>Яндекс.Путешествия [Чайковский]</t>
        </is>
      </c>
      <c r="G171" s="3">
        <f>ROUND(D171/(100-E171)*100,2)</f>
        <v/>
      </c>
      <c r="H171" s="3" t="n">
        <v>0</v>
      </c>
      <c r="I171" s="3">
        <f>ROUND(IF(ISNUMBER(AG171),AG171,G171)+H171,2)</f>
        <v/>
      </c>
      <c r="J171" s="2" t="inlineStr">
        <is>
          <t>Завтрак "Шведский стол"</t>
        </is>
      </c>
      <c r="K171" s="5" t="n">
        <v>46241.58333333334</v>
      </c>
      <c r="L171" t="n">
        <v>2</v>
      </c>
      <c r="M171" s="3">
        <f>I171/L171</f>
        <v/>
      </c>
      <c r="N171">
        <f>IF(M171&gt;=5100,"ставка","мин.ставка")</f>
        <v/>
      </c>
      <c r="O171" s="3">
        <f>ROUND(IF(N171="мин.ставка",L171*100,I171/102*2),2)</f>
        <v/>
      </c>
      <c r="P171" s="5" t="n">
        <v>46243.5</v>
      </c>
      <c r="Q171" t="inlineStr">
        <is>
          <t>TravelLine YAX</t>
        </is>
      </c>
      <c r="R171" s="2" t="inlineStr">
        <is>
          <t>СТАНДАРТНЫЙ ДВУХМЕСТНЫЙ НОМЕР</t>
        </is>
      </c>
      <c r="S171" t="n">
        <v>58</v>
      </c>
      <c r="T171" t="n">
        <v>2</v>
      </c>
      <c r="U171" t="inlineStr"/>
      <c r="V171" t="inlineStr">
        <is>
          <t>Тариф с завтраком</t>
        </is>
      </c>
      <c r="W171" t="n">
        <v>21360</v>
      </c>
      <c r="X171" s="3" t="n">
        <v>5340</v>
      </c>
      <c r="Y171" t="inlineStr">
        <is>
          <t>20%</t>
        </is>
      </c>
      <c r="Z171" t="inlineStr">
        <is>
          <t>2026-08-07, 2026-08-08</t>
        </is>
      </c>
      <c r="AA171" s="3" t="n">
        <v>21360</v>
      </c>
      <c r="AB171" t="inlineStr">
        <is>
          <t>Сошлось по ночным тарифам</t>
        </is>
      </c>
      <c r="AC171" s="2" t="inlineStr"/>
      <c r="AD171" t="n">
        <v>5340</v>
      </c>
      <c r="AE171" t="n">
        <v>0</v>
      </c>
      <c r="AF171" t="inlineStr">
        <is>
          <t>Скидка добавлена к налоговой базе</t>
        </is>
      </c>
      <c r="AG171" t="n">
        <v>26700</v>
      </c>
      <c r="AH171" t="n">
        <v>21360</v>
      </c>
      <c r="AI171" t="inlineStr">
        <is>
          <t>Полное проживание в выбранном периоде</t>
        </is>
      </c>
    </row>
    <row r="172">
      <c r="A172" t="inlineStr">
        <is>
          <t>20260802-8186-451253781</t>
        </is>
      </c>
      <c r="B172" t="n">
        <v>1</v>
      </c>
      <c r="C172" s="2" t="inlineStr">
        <is>
          <t>ЛЕОНИД ДУБОВ</t>
        </is>
      </c>
      <c r="D172" s="3" t="n">
        <v>18160</v>
      </c>
      <c r="E172" s="4" t="n">
        <v>20</v>
      </c>
      <c r="F172" t="inlineStr">
        <is>
          <t>ООО "КОМПАНИЯ БРОНЕВИК" [Чайковский]</t>
        </is>
      </c>
      <c r="G172" s="3">
        <f>ROUND(D172/(100-E172)*100,2)</f>
        <v/>
      </c>
      <c r="H172" s="3" t="n">
        <v>0</v>
      </c>
      <c r="I172" s="3">
        <f>ROUND(IF(ISNUMBER(AG172),AG172,G172)+H172,2)</f>
        <v/>
      </c>
      <c r="J172" s="2" t="inlineStr">
        <is>
          <t>Завтрак "Шведский стол"</t>
        </is>
      </c>
      <c r="K172" s="5" t="n">
        <v>46236.58333333334</v>
      </c>
      <c r="L172" t="n">
        <v>2</v>
      </c>
      <c r="M172" s="3">
        <f>I172/L172</f>
        <v/>
      </c>
      <c r="N172">
        <f>IF(M172&gt;=5100,"ставка","мин.ставка")</f>
        <v/>
      </c>
      <c r="O172" s="3">
        <f>ROUND(IF(N172="мин.ставка",L172*100,I172/102*2),2)</f>
        <v/>
      </c>
      <c r="P172" s="5" t="n">
        <v>46238.5</v>
      </c>
      <c r="Q172" t="inlineStr">
        <is>
          <t>TravelLine BR2</t>
        </is>
      </c>
      <c r="R172" s="2" t="inlineStr">
        <is>
          <t>СТАНДАРТНЫЙ ДВУХМЕСТНЫЙ НОМЕР</t>
        </is>
      </c>
      <c r="S172" t="n">
        <v>52</v>
      </c>
      <c r="T172" t="n">
        <v>2</v>
      </c>
      <c r="U172" t="inlineStr"/>
      <c r="V172" t="inlineStr">
        <is>
          <t>Тариф с завтраком</t>
        </is>
      </c>
      <c r="W172" t="n">
        <v>18160</v>
      </c>
      <c r="X172" s="3" t="n">
        <v>0</v>
      </c>
      <c r="Y172" t="inlineStr"/>
      <c r="Z172" t="inlineStr"/>
      <c r="AA172" s="3" t="n">
        <v>18160</v>
      </c>
      <c r="AB172" t="inlineStr">
        <is>
          <t>Сошлось по ночным тарифам</t>
        </is>
      </c>
      <c r="AC172" s="2" t="inlineStr"/>
      <c r="AD172" t="n">
        <v>0</v>
      </c>
      <c r="AE172" t="n">
        <v>0</v>
      </c>
      <c r="AF172" t="inlineStr">
        <is>
          <t>Скидки нет</t>
        </is>
      </c>
      <c r="AG172" t="n">
        <v>18160</v>
      </c>
      <c r="AH172" t="n">
        <v>18160</v>
      </c>
      <c r="AI172" t="inlineStr">
        <is>
          <t>Полное проживание в выбранном периоде</t>
        </is>
      </c>
    </row>
    <row r="173">
      <c r="A173" t="inlineStr">
        <is>
          <t>20260914-8186-463712958</t>
        </is>
      </c>
      <c r="B173" t="n">
        <v>1</v>
      </c>
      <c r="C173" s="2" t="inlineStr">
        <is>
          <t>ЛЕОНИД ДУБОВ</t>
        </is>
      </c>
      <c r="D173" s="3" t="n">
        <v>27240</v>
      </c>
      <c r="E173" s="4" t="n">
        <v>20</v>
      </c>
      <c r="F173" t="inlineStr">
        <is>
          <t>ООО "ХБ-ПРО" [Чайковский]</t>
        </is>
      </c>
      <c r="G173" s="3">
        <f>ROUND(D173/(100-E173)*100,2)</f>
        <v/>
      </c>
      <c r="H173" s="3" t="n">
        <v>0</v>
      </c>
      <c r="I173" s="3">
        <f>ROUND(IF(ISNUMBER(AG173),AG173,G173)+H173,2)</f>
        <v/>
      </c>
      <c r="J173" s="2" t="inlineStr">
        <is>
          <t>Завтрак "Шведский стол"</t>
        </is>
      </c>
      <c r="K173" s="5" t="n">
        <v>46279.58333333334</v>
      </c>
      <c r="L173" t="n">
        <v>3</v>
      </c>
      <c r="M173" s="3">
        <f>I173/L173</f>
        <v/>
      </c>
      <c r="N173">
        <f>IF(M173&gt;=5100,"ставка","мин.ставка")</f>
        <v/>
      </c>
      <c r="O173" s="3">
        <f>ROUND(IF(N173="мин.ставка",L173*100,I173/102*2),2)</f>
        <v/>
      </c>
      <c r="P173" s="5" t="n">
        <v>46282.5</v>
      </c>
      <c r="Q173" t="inlineStr">
        <is>
          <t>TravelLine UTS</t>
        </is>
      </c>
      <c r="R173" s="2" t="inlineStr">
        <is>
          <t>СТАНДАРТНЫЙ ДВУХМЕСТНЫЙ НОМЕР</t>
        </is>
      </c>
      <c r="S173" t="n">
        <v>55</v>
      </c>
      <c r="T173" t="n">
        <v>2</v>
      </c>
      <c r="U173" t="inlineStr"/>
      <c r="V173" t="inlineStr">
        <is>
          <t>Тариф с завтраком</t>
        </is>
      </c>
      <c r="W173" t="n">
        <v>27240</v>
      </c>
      <c r="X173" s="3" t="n">
        <v>0</v>
      </c>
      <c r="Y173" t="inlineStr"/>
      <c r="Z173" t="inlineStr"/>
      <c r="AA173" s="3" t="n">
        <v>27240</v>
      </c>
      <c r="AB173" t="inlineStr">
        <is>
          <t>Сошлось по ночным тарифам</t>
        </is>
      </c>
      <c r="AC173" s="2" t="inlineStr"/>
      <c r="AD173" t="n">
        <v>0</v>
      </c>
      <c r="AE173" t="n">
        <v>0</v>
      </c>
      <c r="AF173" t="inlineStr">
        <is>
          <t>Скидки нет</t>
        </is>
      </c>
      <c r="AG173" t="n">
        <v>27240</v>
      </c>
      <c r="AH173" t="n">
        <v>27240</v>
      </c>
      <c r="AI173" t="inlineStr">
        <is>
          <t>Полное проживание в выбранном периоде</t>
        </is>
      </c>
    </row>
    <row r="174">
      <c r="A174" t="inlineStr">
        <is>
          <t>20260814-8186-456330345</t>
        </is>
      </c>
      <c r="B174" t="n">
        <v>1</v>
      </c>
      <c r="C174" s="2" t="inlineStr">
        <is>
          <t>ЛЕОНИД СТЕПАНОВ, Кристэль Степанова</t>
        </is>
      </c>
      <c r="D174" s="3" t="n">
        <v>26286.15</v>
      </c>
      <c r="E174" s="4" t="n">
        <v>4</v>
      </c>
      <c r="F174" t="inlineStr">
        <is>
          <t>TravelLine Booking Engine [Чайковский]</t>
        </is>
      </c>
      <c r="G174" s="3">
        <f>ROUND(D174/(100-E174)*100,2)</f>
        <v/>
      </c>
      <c r="H174" s="3" t="n">
        <v>0</v>
      </c>
      <c r="I174" s="3">
        <f>ROUND(IF(ISNUMBER(AG174),AG174,G174)+H174,2)</f>
        <v/>
      </c>
      <c r="J174" s="2" t="inlineStr">
        <is>
          <t>Завтрак "Шведский стол"</t>
        </is>
      </c>
      <c r="K174" s="5" t="n">
        <v>46248.58333333334</v>
      </c>
      <c r="L174" t="n">
        <v>2</v>
      </c>
      <c r="M174" s="3">
        <f>I174/L174</f>
        <v/>
      </c>
      <c r="N174">
        <f>IF(M174&gt;=5100,"ставка","мин.ставка")</f>
        <v/>
      </c>
      <c r="O174" s="3">
        <f>ROUND(IF(N174="мин.ставка",L174*100,I174/102*2),2)</f>
        <v/>
      </c>
      <c r="P174" s="5" t="n">
        <v>46250.5</v>
      </c>
      <c r="Q174" t="inlineStr">
        <is>
          <t>TravelLine сайт</t>
        </is>
      </c>
      <c r="R174" s="2" t="inlineStr">
        <is>
          <t>СТАНДАРТНЫЙ ДВУХМЕСТНЫЙ НОМЕР</t>
        </is>
      </c>
      <c r="S174" t="n">
        <v>55</v>
      </c>
      <c r="T174" t="n">
        <v>2</v>
      </c>
      <c r="U174" t="inlineStr"/>
      <c r="V174" t="inlineStr">
        <is>
          <t>Тариф с завтраком</t>
        </is>
      </c>
      <c r="W174" t="n">
        <v>26286.15</v>
      </c>
      <c r="X174" s="3" t="n">
        <v>413.85</v>
      </c>
      <c r="Y174" t="inlineStr">
        <is>
          <t>3.1%</t>
        </is>
      </c>
      <c r="Z174" t="inlineStr">
        <is>
          <t>2026-08-14</t>
        </is>
      </c>
      <c r="AA174" s="3" t="n">
        <v>26286.15</v>
      </c>
      <c r="AB174" t="inlineStr">
        <is>
          <t>Сошлось по ночным тарифам</t>
        </is>
      </c>
      <c r="AC174" s="2" t="inlineStr"/>
      <c r="AD174" t="n">
        <v>413.85</v>
      </c>
      <c r="AE174" t="n">
        <v>0</v>
      </c>
      <c r="AF174" t="inlineStr">
        <is>
          <t>Скидка добавлена к налоговой базе</t>
        </is>
      </c>
      <c r="AG174" t="n">
        <v>26700</v>
      </c>
      <c r="AH174" t="n">
        <v>26286.15</v>
      </c>
      <c r="AI174" t="inlineStr">
        <is>
          <t>Полное проживание в выбранном периоде</t>
        </is>
      </c>
    </row>
    <row r="175">
      <c r="A175" t="inlineStr">
        <is>
          <t>20260713-8186-435959048</t>
        </is>
      </c>
      <c r="B175" t="n">
        <v>1</v>
      </c>
      <c r="C175" s="2" t="inlineStr">
        <is>
          <t>ЛИЛИЯ САМОХВАЛОВА, ВАЛЕРИЙ САМОХВАЛОВ</t>
        </is>
      </c>
      <c r="D175" s="3" t="n">
        <v>36960</v>
      </c>
      <c r="E175" s="4" t="n">
        <v>20</v>
      </c>
      <c r="F175" t="inlineStr">
        <is>
          <t>ООО "ХБ-ПРО" [Чайковский]</t>
        </is>
      </c>
      <c r="G175" s="3">
        <f>ROUND(D175/(100-E175)*100,2)</f>
        <v/>
      </c>
      <c r="H175" s="3" t="n">
        <v>800</v>
      </c>
      <c r="I175" s="3">
        <f>ROUND(IF(ISNUMBER(AG175),AG175,G175)+H175,2)</f>
        <v/>
      </c>
      <c r="J175" s="2" t="inlineStr">
        <is>
          <t>продление номера — 800,00 ₽; Завтрак "Шведский стол"</t>
        </is>
      </c>
      <c r="K175" s="5" t="n">
        <v>46216.58333333334</v>
      </c>
      <c r="L175" t="n">
        <v>3</v>
      </c>
      <c r="M175" s="3">
        <f>I175/L175</f>
        <v/>
      </c>
      <c r="N175">
        <f>IF(M175&gt;=5100,"ставка","мин.ставка")</f>
        <v/>
      </c>
      <c r="O175" s="3">
        <f>ROUND(IF(N175="мин.ставка",L175*100,I175/102*2),2)</f>
        <v/>
      </c>
      <c r="P175" s="5" t="n">
        <v>46219.5</v>
      </c>
      <c r="Q175" t="inlineStr">
        <is>
          <t>TravelLine UTS</t>
        </is>
      </c>
      <c r="R175" s="2" t="inlineStr">
        <is>
          <t>УЛУЧШЕННЫЙ ДВУХМЕСТНЫЙ НОМЕР</t>
        </is>
      </c>
      <c r="S175" t="n">
        <v>56</v>
      </c>
      <c r="T175" t="n">
        <v>2</v>
      </c>
      <c r="U175" t="inlineStr"/>
      <c r="V175" t="inlineStr">
        <is>
          <t>Тариф с завтраком</t>
        </is>
      </c>
      <c r="W175" t="n">
        <v>37760</v>
      </c>
      <c r="X175" s="3" t="n">
        <v>0</v>
      </c>
      <c r="Y175" t="inlineStr"/>
      <c r="Z175" t="inlineStr"/>
      <c r="AA175" s="3" t="n">
        <v>36960</v>
      </c>
      <c r="AB175" t="inlineStr">
        <is>
          <t>Сошлось с услугами</t>
        </is>
      </c>
      <c r="AC175" s="2" t="inlineStr"/>
      <c r="AD175" t="n">
        <v>0</v>
      </c>
      <c r="AE175" t="n">
        <v>0</v>
      </c>
      <c r="AF175" t="inlineStr">
        <is>
          <t>Скидки нет</t>
        </is>
      </c>
      <c r="AG175" t="n">
        <v>36960</v>
      </c>
      <c r="AH175" t="n">
        <v>36960</v>
      </c>
      <c r="AI175" t="inlineStr">
        <is>
          <t>Полное проживание в выбранном периоде</t>
        </is>
      </c>
    </row>
    <row r="176">
      <c r="A176" t="inlineStr">
        <is>
          <t>20260824-8186-461183075</t>
        </is>
      </c>
      <c r="B176" t="n">
        <v>1</v>
      </c>
      <c r="C176" s="2" t="inlineStr">
        <is>
          <t>Лора Покровина</t>
        </is>
      </c>
      <c r="D176" s="3" t="n">
        <v>9647.5</v>
      </c>
      <c r="E176" s="4" t="n">
        <v>15</v>
      </c>
      <c r="F176" t="inlineStr">
        <is>
          <t>Trip.com Group [Чайковский]</t>
        </is>
      </c>
      <c r="G176" s="3">
        <f>ROUND(D176/(100-E176)*100,2)</f>
        <v/>
      </c>
      <c r="H176" s="3" t="n">
        <v>0</v>
      </c>
      <c r="I176" s="3">
        <f>ROUND(IF(ISNUMBER(AG176),AG176,G176)+H176,2)</f>
        <v/>
      </c>
      <c r="J176" s="2" t="inlineStr">
        <is>
          <t>Завтрак "Шведский стол"</t>
        </is>
      </c>
      <c r="K176" s="5" t="n">
        <v>46258.58333333334</v>
      </c>
      <c r="L176" t="n">
        <v>1</v>
      </c>
      <c r="M176" s="3">
        <f>I176/L176</f>
        <v/>
      </c>
      <c r="N176">
        <f>IF(M176&gt;=5100,"ставка","мин.ставка")</f>
        <v/>
      </c>
      <c r="O176" s="3">
        <f>ROUND(IF(N176="мин.ставка",L176*100,I176/102*2),2)</f>
        <v/>
      </c>
      <c r="P176" s="5" t="n">
        <v>46259.5</v>
      </c>
      <c r="Q176" t="inlineStr">
        <is>
          <t>TravelLine CTP</t>
        </is>
      </c>
      <c r="R176" s="2" t="inlineStr">
        <is>
          <t>СТАНДАРТНЫЙ ДВУХМЕСТНЫЙ НОМЕР</t>
        </is>
      </c>
      <c r="S176" t="n">
        <v>55</v>
      </c>
      <c r="T176" t="n">
        <v>2</v>
      </c>
      <c r="U176" t="inlineStr"/>
      <c r="V176" t="inlineStr">
        <is>
          <t>Тариф с завтраком</t>
        </is>
      </c>
      <c r="W176" t="n">
        <v>9647.5</v>
      </c>
      <c r="X176" s="3" t="n">
        <v>0</v>
      </c>
      <c r="Y176" t="inlineStr"/>
      <c r="Z176" t="inlineStr"/>
      <c r="AA176" s="3" t="n">
        <v>9647.5</v>
      </c>
      <c r="AB176" t="inlineStr">
        <is>
          <t>Сошлось по ночным тарифам</t>
        </is>
      </c>
      <c r="AC176" s="2" t="inlineStr"/>
      <c r="AD176" t="n">
        <v>0</v>
      </c>
      <c r="AE176" t="n">
        <v>0</v>
      </c>
      <c r="AF176" t="inlineStr">
        <is>
          <t>Скидки нет</t>
        </is>
      </c>
      <c r="AG176" t="n">
        <v>9647.5</v>
      </c>
      <c r="AH176" t="n">
        <v>9647.5</v>
      </c>
      <c r="AI176" t="inlineStr">
        <is>
          <t>Полное проживание в выбранном периоде</t>
        </is>
      </c>
    </row>
    <row r="177">
      <c r="A177" t="inlineStr">
        <is>
          <t>20260701-8186-446910186</t>
        </is>
      </c>
      <c r="B177" t="n">
        <v>1</v>
      </c>
      <c r="C177" s="2" t="inlineStr">
        <is>
          <t>ЛУАНА АЛИЕВА</t>
        </is>
      </c>
      <c r="D177" s="3" t="n">
        <v>14500</v>
      </c>
      <c r="E177" s="4" t="n">
        <v>0</v>
      </c>
      <c r="F177" t="inlineStr">
        <is>
          <t>Прямые бронирования (стойка) [Чайковский]</t>
        </is>
      </c>
      <c r="G177" s="3">
        <f>ROUND(D177/(100-E177)*100,2)</f>
        <v/>
      </c>
      <c r="H177" s="3" t="n">
        <v>0</v>
      </c>
      <c r="I177" s="3">
        <f>ROUND(IF(ISNUMBER(AG177),AG177,G177)+H177,2)</f>
        <v/>
      </c>
      <c r="J177" s="2" t="inlineStr"/>
      <c r="K177" s="5" t="n">
        <v>46204.58333333334</v>
      </c>
      <c r="L177" t="n">
        <v>1</v>
      </c>
      <c r="M177" s="3">
        <f>I177/L177</f>
        <v/>
      </c>
      <c r="N177">
        <f>IF(M177&gt;=5100,"ставка","мин.ставка")</f>
        <v/>
      </c>
      <c r="O177" s="3">
        <f>ROUND(IF(N177="мин.ставка",L177*100,I177/102*2),2)</f>
        <v/>
      </c>
      <c r="P177" s="5" t="n">
        <v>46205.5</v>
      </c>
      <c r="Q177" t="inlineStr">
        <is>
          <t>TravelLine ресепшен</t>
        </is>
      </c>
      <c r="R177" s="2" t="inlineStr">
        <is>
          <t>ЛЮКС ВТОРОЙ КОРПУС</t>
        </is>
      </c>
      <c r="S177" t="n">
        <v>54</v>
      </c>
      <c r="T177" t="n">
        <v>2</v>
      </c>
      <c r="U177" t="inlineStr"/>
      <c r="V177" t="inlineStr">
        <is>
          <t>Основной тариф без завтрака</t>
        </is>
      </c>
      <c r="W177" t="n">
        <v>14500</v>
      </c>
      <c r="X177" s="3" t="n">
        <v>0</v>
      </c>
      <c r="Y177" t="inlineStr"/>
      <c r="Z177" t="inlineStr"/>
      <c r="AA177" s="3" t="n">
        <v>14500</v>
      </c>
      <c r="AB177" t="inlineStr">
        <is>
          <t>Сошлось по ночным тарифам</t>
        </is>
      </c>
      <c r="AC177" s="2" t="inlineStr"/>
      <c r="AD177" t="n">
        <v>0</v>
      </c>
      <c r="AE177" t="n">
        <v>0</v>
      </c>
      <c r="AF177" t="inlineStr">
        <is>
          <t>Скидки нет</t>
        </is>
      </c>
      <c r="AG177" t="n">
        <v>14500</v>
      </c>
      <c r="AH177" t="n">
        <v>14500</v>
      </c>
      <c r="AI177" t="inlineStr">
        <is>
          <t>Полное проживание в выбранном периоде</t>
        </is>
      </c>
    </row>
    <row r="178">
      <c r="A178" t="inlineStr">
        <is>
          <t>20260919-8186-466759616</t>
        </is>
      </c>
      <c r="B178" t="n">
        <v>1</v>
      </c>
      <c r="C178" s="2" t="inlineStr">
        <is>
          <t>ЛЮБОВЬ БОГДАНОВА, АНДРЕЙ БОГДАНОВ</t>
        </is>
      </c>
      <c r="D178" s="3" t="n">
        <v>11214</v>
      </c>
      <c r="E178" s="4" t="n">
        <v>16</v>
      </c>
      <c r="F178" t="inlineStr">
        <is>
          <t>ООО "БРОНИРОВАНИЕ ГОСТИНИЦ" (OSTROVOK) [Чайковский]</t>
        </is>
      </c>
      <c r="G178" s="3">
        <f>ROUND(D178/(100-E178)*100,2)</f>
        <v/>
      </c>
      <c r="H178" s="3" t="n">
        <v>0</v>
      </c>
      <c r="I178" s="3">
        <f>ROUND(IF(ISNUMBER(AG178),AG178,G178)+H178,2)</f>
        <v/>
      </c>
      <c r="J178" s="2" t="inlineStr">
        <is>
          <t>Завтрак "Шведский стол"</t>
        </is>
      </c>
      <c r="K178" s="5" t="n">
        <v>46284.58333333334</v>
      </c>
      <c r="L178" t="n">
        <v>1</v>
      </c>
      <c r="M178" s="3">
        <f>I178/L178</f>
        <v/>
      </c>
      <c r="N178">
        <f>IF(M178&gt;=5100,"ставка","мин.ставка")</f>
        <v/>
      </c>
      <c r="O178" s="3">
        <f>ROUND(IF(N178="мин.ставка",L178*100,I178/102*2),2)</f>
        <v/>
      </c>
      <c r="P178" s="5" t="n">
        <v>46285.5</v>
      </c>
      <c r="Q178" t="inlineStr">
        <is>
          <t>TravelLine OTK</t>
        </is>
      </c>
      <c r="R178" s="2" t="inlineStr">
        <is>
          <t>СТАНДАРТНЫЙ ДВУХМЕСТНЫЙ НОМЕР</t>
        </is>
      </c>
      <c r="S178" t="n">
        <v>55</v>
      </c>
      <c r="T178" t="n">
        <v>2</v>
      </c>
      <c r="U178" t="inlineStr"/>
      <c r="V178" t="inlineStr">
        <is>
          <t>Тариф с завтраком</t>
        </is>
      </c>
      <c r="W178" t="n">
        <v>31962</v>
      </c>
      <c r="X178" s="3" t="n">
        <v>2136</v>
      </c>
      <c r="Y178" t="inlineStr">
        <is>
          <t>16%</t>
        </is>
      </c>
      <c r="Z178" t="inlineStr">
        <is>
          <t>2026-09-19</t>
        </is>
      </c>
      <c r="AA178" s="3" t="n">
        <v>11214</v>
      </c>
      <c r="AB178" t="inlineStr">
        <is>
          <t>Сошлось по ночным тарифам</t>
        </is>
      </c>
      <c r="AC178" s="2" t="inlineStr"/>
      <c r="AD178" t="n">
        <v>2136</v>
      </c>
      <c r="AE178" t="n">
        <v>0</v>
      </c>
      <c r="AF178" t="inlineStr">
        <is>
          <t>Скидка добавлена к налоговой базе</t>
        </is>
      </c>
      <c r="AG178" t="n">
        <v>13350</v>
      </c>
      <c r="AH178" t="n">
        <v>11214</v>
      </c>
      <c r="AI178" t="inlineStr">
        <is>
          <t>Полное проживание в выбранном периоде</t>
        </is>
      </c>
    </row>
    <row r="179">
      <c r="A179" t="inlineStr">
        <is>
          <t>20260928-8186-469185491</t>
        </is>
      </c>
      <c r="B179" t="n">
        <v>1</v>
      </c>
      <c r="C179" s="2" t="inlineStr">
        <is>
          <t>ЛЮБОВЬ РЯБОВА, АРТЕМ ЗАВЬЯЛОВ</t>
        </is>
      </c>
      <c r="D179" s="3" t="n">
        <v>17800</v>
      </c>
      <c r="E179" s="4" t="n">
        <v>0</v>
      </c>
      <c r="F179" t="inlineStr">
        <is>
          <t>Прямые бронирования (стойка) [Чайковский]</t>
        </is>
      </c>
      <c r="G179" s="3">
        <f>ROUND(D179/(100-E179)*100,2)</f>
        <v/>
      </c>
      <c r="H179" s="3" t="n">
        <v>0</v>
      </c>
      <c r="I179" s="3">
        <f>ROUND(IF(ISNUMBER(AG179),AG179,G179)+H179,2)</f>
        <v/>
      </c>
      <c r="J179" s="2" t="inlineStr">
        <is>
          <t>Завтрак "Шведский стол"</t>
        </is>
      </c>
      <c r="K179" s="5" t="n">
        <v>46293.58333333334</v>
      </c>
      <c r="L179" t="n">
        <v>1</v>
      </c>
      <c r="M179" s="3">
        <f>I179/L179</f>
        <v/>
      </c>
      <c r="N179">
        <f>IF(M179&gt;=5100,"ставка","мин.ставка")</f>
        <v/>
      </c>
      <c r="O179" s="3">
        <f>ROUND(IF(N179="мин.ставка",L179*100,I179/102*2),2)</f>
        <v/>
      </c>
      <c r="P179" s="5" t="n">
        <v>46294.5</v>
      </c>
      <c r="Q179" t="inlineStr">
        <is>
          <t>TravelLine ресепшен</t>
        </is>
      </c>
      <c r="R179" s="2" t="inlineStr">
        <is>
          <t>ЛЮКС ВТОРОЙ КОРПУС</t>
        </is>
      </c>
      <c r="S179" t="n">
        <v>54</v>
      </c>
      <c r="T179" t="n">
        <v>2</v>
      </c>
      <c r="U179" t="inlineStr"/>
      <c r="V179" t="inlineStr">
        <is>
          <t>Тариф с завтраком</t>
        </is>
      </c>
      <c r="W179" t="n">
        <v>17800</v>
      </c>
      <c r="X179" s="3" t="n">
        <v>0</v>
      </c>
      <c r="Y179" t="inlineStr"/>
      <c r="Z179" t="inlineStr"/>
      <c r="AA179" s="3" t="n">
        <v>17800</v>
      </c>
      <c r="AB179" t="inlineStr">
        <is>
          <t>Сошлось по ночным тарифам</t>
        </is>
      </c>
      <c r="AC179" s="2" t="inlineStr"/>
      <c r="AD179" t="n">
        <v>0</v>
      </c>
      <c r="AE179" t="n">
        <v>0</v>
      </c>
      <c r="AF179" t="inlineStr">
        <is>
          <t>Скидки нет</t>
        </is>
      </c>
      <c r="AG179" t="n">
        <v>17800</v>
      </c>
      <c r="AH179" t="n">
        <v>17800</v>
      </c>
      <c r="AI179" t="inlineStr">
        <is>
          <t>Полное проживание в выбранном периоде</t>
        </is>
      </c>
    </row>
    <row r="180">
      <c r="A180" t="inlineStr">
        <is>
          <t>20260717-8186-441668446</t>
        </is>
      </c>
      <c r="B180" t="n">
        <v>1</v>
      </c>
      <c r="C180" s="2" t="inlineStr">
        <is>
          <t>Любовь Шубина, ГЛЕБ ТИМОЩЕНКО</t>
        </is>
      </c>
      <c r="D180" s="3" t="n">
        <v>33241.5</v>
      </c>
      <c r="E180" s="4" t="n">
        <v>17</v>
      </c>
      <c r="F180" t="inlineStr">
        <is>
          <t>ООО «Интернет Трэвел» (OZON) [Чайковский]</t>
        </is>
      </c>
      <c r="G180" s="3">
        <f>ROUND(D180/(100-E180)*100,2)</f>
        <v/>
      </c>
      <c r="H180" s="3" t="n">
        <v>0</v>
      </c>
      <c r="I180" s="3">
        <f>ROUND(IF(ISNUMBER(AG180),AG180,G180)+H180,2)</f>
        <v/>
      </c>
      <c r="J180" s="2" t="inlineStr">
        <is>
          <t>Завтрак "Шведский стол"</t>
        </is>
      </c>
      <c r="K180" s="5" t="n">
        <v>46220.58333333334</v>
      </c>
      <c r="L180" t="n">
        <v>3</v>
      </c>
      <c r="M180" s="3">
        <f>I180/L180</f>
        <v/>
      </c>
      <c r="N180">
        <f>IF(M180&gt;=5100,"ставка","мин.ставка")</f>
        <v/>
      </c>
      <c r="O180" s="3">
        <f>ROUND(IF(N180="мин.ставка",L180*100,I180/102*2),2)</f>
        <v/>
      </c>
      <c r="P180" s="5" t="n">
        <v>46223.5</v>
      </c>
      <c r="Q180" t="inlineStr">
        <is>
          <t>TravelLine OZ2</t>
        </is>
      </c>
      <c r="R180" s="2" t="inlineStr">
        <is>
          <t>СТАНДАРТНЫЙ ДВУХМЕСТНЫЙ НОМЕР</t>
        </is>
      </c>
      <c r="S180" t="n">
        <v>55</v>
      </c>
      <c r="T180" t="n">
        <v>2</v>
      </c>
      <c r="U180" t="inlineStr"/>
      <c r="V180" t="inlineStr">
        <is>
          <t>Тариф с завтраком</t>
        </is>
      </c>
      <c r="W180" t="n">
        <v>33241.5</v>
      </c>
      <c r="X180" s="3" t="n">
        <v>6808.5</v>
      </c>
      <c r="Y180" t="inlineStr">
        <is>
          <t>17%</t>
        </is>
      </c>
      <c r="Z180" t="inlineStr">
        <is>
          <t>2026-07-17, 2026-07-18, 2026-07-19</t>
        </is>
      </c>
      <c r="AA180" s="3" t="n">
        <v>33241.5</v>
      </c>
      <c r="AB180" t="inlineStr">
        <is>
          <t>Сошлось по ночным тарифам</t>
        </is>
      </c>
      <c r="AC180" s="2" t="inlineStr"/>
      <c r="AD180" t="n">
        <v>6808.5</v>
      </c>
      <c r="AE180" t="n">
        <v>0</v>
      </c>
      <c r="AF180" t="inlineStr">
        <is>
          <t>Скидка добавлена к налоговой базе</t>
        </is>
      </c>
      <c r="AG180" t="n">
        <v>40050</v>
      </c>
      <c r="AH180" t="n">
        <v>33241.5</v>
      </c>
      <c r="AI180" t="inlineStr">
        <is>
          <t>Полное проживание в выбранном периоде</t>
        </is>
      </c>
    </row>
    <row r="181">
      <c r="A181" t="inlineStr">
        <is>
          <t>20260814-8186-452849702</t>
        </is>
      </c>
      <c r="B181" t="n">
        <v>1</v>
      </c>
      <c r="C181" s="2" t="inlineStr">
        <is>
          <t>ЛЮДМИЛА БЕРЕСНЕВА, Екатерина Береснева</t>
        </is>
      </c>
      <c r="D181" s="3" t="n">
        <v>41269.1</v>
      </c>
      <c r="E181" s="4" t="n">
        <v>4</v>
      </c>
      <c r="F181" t="inlineStr">
        <is>
          <t>TravelLine Booking Engine [Чайковский]</t>
        </is>
      </c>
      <c r="G181" s="3">
        <f>ROUND(D181/(100-E181)*100,2)</f>
        <v/>
      </c>
      <c r="H181" s="3" t="n">
        <v>0</v>
      </c>
      <c r="I181" s="3">
        <f>ROUND(IF(ISNUMBER(AG181),AG181,G181)+H181,2)</f>
        <v/>
      </c>
      <c r="J181" s="2" t="inlineStr"/>
      <c r="K181" s="5" t="n">
        <v>46248.58333333334</v>
      </c>
      <c r="L181" t="n">
        <v>3</v>
      </c>
      <c r="M181" s="3">
        <f>I181/L181</f>
        <v/>
      </c>
      <c r="N181">
        <f>IF(M181&gt;=5100,"ставка","мин.ставка")</f>
        <v/>
      </c>
      <c r="O181" s="3">
        <f>ROUND(IF(N181="мин.ставка",L181*100,I181/102*2),2)</f>
        <v/>
      </c>
      <c r="P181" s="5" t="n">
        <v>46251.5</v>
      </c>
      <c r="Q181" t="inlineStr">
        <is>
          <t>TravelLine сайт</t>
        </is>
      </c>
      <c r="R181" s="2" t="inlineStr">
        <is>
          <t>УЛУЧШЕННЫЙ ДВУХМЕСТНЫЙ НОМЕР</t>
        </is>
      </c>
      <c r="S181" t="n">
        <v>59</v>
      </c>
      <c r="T181" t="n">
        <v>2</v>
      </c>
      <c r="U181" t="inlineStr"/>
      <c r="V181" t="inlineStr">
        <is>
          <t>Основной тариф без завтрака</t>
        </is>
      </c>
      <c r="W181" t="n">
        <v>41269.1</v>
      </c>
      <c r="X181" s="3" t="n">
        <v>430.9</v>
      </c>
      <c r="Y181" t="inlineStr">
        <is>
          <t>3.1%</t>
        </is>
      </c>
      <c r="Z181" t="inlineStr">
        <is>
          <t>2026-08-14</t>
        </is>
      </c>
      <c r="AA181" s="3" t="n">
        <v>41269.1</v>
      </c>
      <c r="AB181" t="inlineStr">
        <is>
          <t>Сошлось по ночным тарифам</t>
        </is>
      </c>
      <c r="AC181" s="2" t="inlineStr"/>
      <c r="AD181" t="n">
        <v>430.9</v>
      </c>
      <c r="AE181" t="n">
        <v>0</v>
      </c>
      <c r="AF181" t="inlineStr">
        <is>
          <t>Скидка добавлена к налоговой базе</t>
        </is>
      </c>
      <c r="AG181" t="n">
        <v>41700</v>
      </c>
      <c r="AH181" t="n">
        <v>41269.1</v>
      </c>
      <c r="AI181" t="inlineStr">
        <is>
          <t>Полное проживание в выбранном периоде</t>
        </is>
      </c>
    </row>
    <row r="182">
      <c r="A182" t="inlineStr">
        <is>
          <t>20260711-8186-410900450</t>
        </is>
      </c>
      <c r="B182" t="n">
        <v>1</v>
      </c>
      <c r="C182" s="2" t="inlineStr">
        <is>
          <t>Людмила Никитина, Фёдор Никитин</t>
        </is>
      </c>
      <c r="D182" s="3" t="n">
        <v>13350</v>
      </c>
      <c r="E182" s="4" t="n">
        <v>0</v>
      </c>
      <c r="F182" t="inlineStr">
        <is>
          <t>Прямые бронирования (стойка) [Чайковский]</t>
        </is>
      </c>
      <c r="G182" s="3">
        <f>ROUND(D182/(100-E182)*100,2)</f>
        <v/>
      </c>
      <c r="H182" s="3" t="n">
        <v>0</v>
      </c>
      <c r="I182" s="3">
        <f>ROUND(IF(ISNUMBER(AG182),AG182,G182)+H182,2)</f>
        <v/>
      </c>
      <c r="J182" s="2" t="inlineStr">
        <is>
          <t>Завтрак "Шведский стол"</t>
        </is>
      </c>
      <c r="K182" s="5" t="n">
        <v>46214.58333333334</v>
      </c>
      <c r="L182" t="n">
        <v>1</v>
      </c>
      <c r="M182" s="3">
        <f>I182/L182</f>
        <v/>
      </c>
      <c r="N182">
        <f>IF(M182&gt;=5100,"ставка","мин.ставка")</f>
        <v/>
      </c>
      <c r="O182" s="3">
        <f>ROUND(IF(N182="мин.ставка",L182*100,I182/102*2),2)</f>
        <v/>
      </c>
      <c r="P182" s="5" t="n">
        <v>46215.5</v>
      </c>
      <c r="Q182" t="inlineStr">
        <is>
          <t>TravelLine ресепшен</t>
        </is>
      </c>
      <c r="R182" s="2" t="inlineStr">
        <is>
          <t>СТАНДАРТНЫЙ ДВУХМЕСТНЫЙ НОМЕР</t>
        </is>
      </c>
      <c r="S182" t="n">
        <v>52</v>
      </c>
      <c r="T182" t="n">
        <v>2</v>
      </c>
      <c r="U182" t="inlineStr"/>
      <c r="V182" t="inlineStr">
        <is>
          <t>Тариф с завтраком</t>
        </is>
      </c>
      <c r="W182" t="n">
        <v>13350</v>
      </c>
      <c r="X182" s="3" t="n">
        <v>0</v>
      </c>
      <c r="Y182" t="inlineStr"/>
      <c r="Z182" t="inlineStr"/>
      <c r="AA182" s="3" t="n">
        <v>13350</v>
      </c>
      <c r="AB182" t="inlineStr">
        <is>
          <t>Сошлось по ночным тарифам</t>
        </is>
      </c>
      <c r="AC182" s="2" t="inlineStr"/>
      <c r="AD182" t="n">
        <v>0</v>
      </c>
      <c r="AE182" t="n">
        <v>0</v>
      </c>
      <c r="AF182" t="inlineStr">
        <is>
          <t>Скидки нет</t>
        </is>
      </c>
      <c r="AG182" t="n">
        <v>13350</v>
      </c>
      <c r="AH182" t="n">
        <v>13350</v>
      </c>
      <c r="AI182" t="inlineStr">
        <is>
          <t>Полное проживание в выбранном периоде</t>
        </is>
      </c>
    </row>
    <row r="183">
      <c r="A183" t="inlineStr">
        <is>
          <t>20260828-8186-462043143</t>
        </is>
      </c>
      <c r="B183" t="n">
        <v>1</v>
      </c>
      <c r="C183" s="2" t="inlineStr">
        <is>
          <t>Максим Бумагин, Екатерина Небогатова</t>
        </is>
      </c>
      <c r="D183" s="3" t="n">
        <v>24640</v>
      </c>
      <c r="E183" s="4" t="n">
        <v>20</v>
      </c>
      <c r="F183" t="inlineStr">
        <is>
          <t>ООО «Дубль Гис» (OTELLO) [Чайковский]</t>
        </is>
      </c>
      <c r="G183" s="3">
        <f>ROUND(D183/(100-E183)*100,2)</f>
        <v/>
      </c>
      <c r="H183" s="3" t="n">
        <v>0</v>
      </c>
      <c r="I183" s="3">
        <f>ROUND(IF(ISNUMBER(AG183),AG183,G183)+H183,2)</f>
        <v/>
      </c>
      <c r="J183" s="2" t="inlineStr">
        <is>
          <t>Завтрак "Шведский стол"</t>
        </is>
      </c>
      <c r="K183" s="5" t="n">
        <v>46262.58333333334</v>
      </c>
      <c r="L183" t="n">
        <v>2</v>
      </c>
      <c r="M183" s="3">
        <f>I183/L183</f>
        <v/>
      </c>
      <c r="N183">
        <f>IF(M183&gt;=5100,"ставка","мин.ставка")</f>
        <v/>
      </c>
      <c r="O183" s="3">
        <f>ROUND(IF(N183="мин.ставка",L183*100,I183/102*2),2)</f>
        <v/>
      </c>
      <c r="P183" s="5" t="n">
        <v>46264.5</v>
      </c>
      <c r="Q183" t="inlineStr">
        <is>
          <t>TravelLine OL2</t>
        </is>
      </c>
      <c r="R183" s="2" t="inlineStr">
        <is>
          <t>ЛЮКС ВТОРОЙ КОРПУС</t>
        </is>
      </c>
      <c r="S183" t="n">
        <v>54</v>
      </c>
      <c r="T183" t="n">
        <v>2</v>
      </c>
      <c r="U183" t="inlineStr"/>
      <c r="V183" t="inlineStr">
        <is>
          <t>Тариф с завтраком</t>
        </is>
      </c>
      <c r="W183" t="n">
        <v>24640</v>
      </c>
      <c r="X183" s="3" t="n">
        <v>6160</v>
      </c>
      <c r="Y183" t="inlineStr">
        <is>
          <t>20%</t>
        </is>
      </c>
      <c r="Z183" t="inlineStr">
        <is>
          <t>2026-08-28, 2026-08-29</t>
        </is>
      </c>
      <c r="AA183" s="3" t="n">
        <v>24640</v>
      </c>
      <c r="AB183" t="inlineStr">
        <is>
          <t>Сошлось по ночным тарифам</t>
        </is>
      </c>
      <c r="AC183" s="2" t="inlineStr"/>
      <c r="AD183" t="n">
        <v>6160</v>
      </c>
      <c r="AE183" t="n">
        <v>0</v>
      </c>
      <c r="AF183" t="inlineStr">
        <is>
          <t>Скидка добавлена к налоговой базе</t>
        </is>
      </c>
      <c r="AG183" t="n">
        <v>30800</v>
      </c>
      <c r="AH183" t="n">
        <v>24640</v>
      </c>
      <c r="AI183" t="inlineStr">
        <is>
          <t>Полное проживание в выбранном периоде</t>
        </is>
      </c>
    </row>
    <row r="184">
      <c r="A184" t="inlineStr">
        <is>
          <t>20260727-8186-453507191</t>
        </is>
      </c>
      <c r="B184" t="n">
        <v>1</v>
      </c>
      <c r="C184" s="2" t="inlineStr">
        <is>
          <t>Максим Залывский</t>
        </is>
      </c>
      <c r="D184" s="3" t="n">
        <v>15130</v>
      </c>
      <c r="E184" s="4" t="n">
        <v>15</v>
      </c>
      <c r="F184" t="inlineStr">
        <is>
          <t>ООО "БРОНИРОВАНИЕ ГОСТИНИЦ" (OSTROVOK) [Чайковский]</t>
        </is>
      </c>
      <c r="G184" s="3">
        <f>ROUND(D184/(100-E184)*100,2)</f>
        <v/>
      </c>
      <c r="H184" s="3" t="n">
        <v>0</v>
      </c>
      <c r="I184" s="3">
        <f>ROUND(IF(ISNUMBER(AG184),AG184,G184)+H184,2)</f>
        <v/>
      </c>
      <c r="J184" s="2" t="inlineStr">
        <is>
          <t>Завтрак "Шведский стол"</t>
        </is>
      </c>
      <c r="K184" s="5" t="n">
        <v>46230.58333333334</v>
      </c>
      <c r="L184" t="n">
        <v>2</v>
      </c>
      <c r="M184" s="3">
        <f>I184/L184</f>
        <v/>
      </c>
      <c r="N184">
        <f>IF(M184&gt;=5100,"ставка","мин.ставка")</f>
        <v/>
      </c>
      <c r="O184" s="3">
        <f>ROUND(IF(N184="мин.ставка",L184*100,I184/102*2),2)</f>
        <v/>
      </c>
      <c r="P184" s="5" t="n">
        <v>46232.5</v>
      </c>
      <c r="Q184" t="inlineStr">
        <is>
          <t>TravelLine OTK</t>
        </is>
      </c>
      <c r="R184" s="2" t="inlineStr">
        <is>
          <t>СТАНДАРТНЫЙ ДВУХМЕСТНЫЙ НОМЕР</t>
        </is>
      </c>
      <c r="S184" t="n">
        <v>58</v>
      </c>
      <c r="T184" t="n">
        <v>2</v>
      </c>
      <c r="U184" t="inlineStr"/>
      <c r="V184" t="inlineStr">
        <is>
          <t>Тариф с завтраком</t>
        </is>
      </c>
      <c r="W184" t="n">
        <v>15130</v>
      </c>
      <c r="X184" s="3" t="n">
        <v>2670</v>
      </c>
      <c r="Y184" t="inlineStr">
        <is>
          <t>15%</t>
        </is>
      </c>
      <c r="Z184" t="inlineStr">
        <is>
          <t>2026-07-27, 2026-07-28</t>
        </is>
      </c>
      <c r="AA184" s="3" t="n">
        <v>15130</v>
      </c>
      <c r="AB184" t="inlineStr">
        <is>
          <t>Сошлось по ночным тарифам</t>
        </is>
      </c>
      <c r="AC184" s="2" t="inlineStr"/>
      <c r="AD184" t="n">
        <v>2670</v>
      </c>
      <c r="AE184" t="n">
        <v>0</v>
      </c>
      <c r="AF184" t="inlineStr">
        <is>
          <t>Скидка добавлена к налоговой базе</t>
        </is>
      </c>
      <c r="AG184" t="n">
        <v>17800</v>
      </c>
      <c r="AH184" t="n">
        <v>15130</v>
      </c>
      <c r="AI184" t="inlineStr">
        <is>
          <t>Полное проживание в выбранном периоде</t>
        </is>
      </c>
    </row>
    <row r="185">
      <c r="A185" t="inlineStr">
        <is>
          <t>20260907-8186-463782784</t>
        </is>
      </c>
      <c r="B185" t="n">
        <v>1</v>
      </c>
      <c r="C185" s="2" t="inlineStr">
        <is>
          <t>Максим Королев, Кристина Теркачева</t>
        </is>
      </c>
      <c r="D185" s="3" t="n">
        <v>22161</v>
      </c>
      <c r="E185" s="4" t="n">
        <v>17</v>
      </c>
      <c r="F185" t="inlineStr">
        <is>
          <t>ООО «Интернет Трэвел» (OZON) [Чайковский]</t>
        </is>
      </c>
      <c r="G185" s="3">
        <f>ROUND(D185/(100-E185)*100,2)</f>
        <v/>
      </c>
      <c r="H185" s="3" t="n">
        <v>0</v>
      </c>
      <c r="I185" s="3">
        <f>ROUND(IF(ISNUMBER(AG185),AG185,G185)+H185,2)</f>
        <v/>
      </c>
      <c r="J185" s="2" t="inlineStr">
        <is>
          <t>Завтрак "Шведский стол"</t>
        </is>
      </c>
      <c r="K185" s="5" t="n">
        <v>46272.58333333334</v>
      </c>
      <c r="L185" t="n">
        <v>2</v>
      </c>
      <c r="M185" s="3">
        <f>I185/L185</f>
        <v/>
      </c>
      <c r="N185">
        <f>IF(M185&gt;=5100,"ставка","мин.ставка")</f>
        <v/>
      </c>
      <c r="O185" s="3">
        <f>ROUND(IF(N185="мин.ставка",L185*100,I185/102*2),2)</f>
        <v/>
      </c>
      <c r="P185" s="5" t="n">
        <v>46274.5</v>
      </c>
      <c r="Q185" t="inlineStr">
        <is>
          <t>TravelLine OZ2</t>
        </is>
      </c>
      <c r="R185" s="2" t="inlineStr">
        <is>
          <t>ЛЮКС ВТОРОЙ КОРПУС</t>
        </is>
      </c>
      <c r="S185" t="n">
        <v>57</v>
      </c>
      <c r="T185" t="n">
        <v>2</v>
      </c>
      <c r="U185" t="inlineStr"/>
      <c r="V185" t="inlineStr">
        <is>
          <t>Тариф с завтраком</t>
        </is>
      </c>
      <c r="W185" t="n">
        <v>22161</v>
      </c>
      <c r="X185" s="3" t="n">
        <v>4539</v>
      </c>
      <c r="Y185" t="inlineStr">
        <is>
          <t>17%</t>
        </is>
      </c>
      <c r="Z185" t="inlineStr">
        <is>
          <t>2026-09-07, 2026-09-08</t>
        </is>
      </c>
      <c r="AA185" s="3" t="n">
        <v>22161</v>
      </c>
      <c r="AB185" t="inlineStr">
        <is>
          <t>Сошлось по ночным тарифам</t>
        </is>
      </c>
      <c r="AC185" s="2" t="inlineStr"/>
      <c r="AD185" t="n">
        <v>4539</v>
      </c>
      <c r="AE185" t="n">
        <v>0</v>
      </c>
      <c r="AF185" t="inlineStr">
        <is>
          <t>Скидка добавлена к налоговой базе</t>
        </is>
      </c>
      <c r="AG185" t="n">
        <v>26700</v>
      </c>
      <c r="AH185" t="n">
        <v>22161</v>
      </c>
      <c r="AI185" t="inlineStr">
        <is>
          <t>Полное проживание в выбранном периоде</t>
        </is>
      </c>
    </row>
    <row r="186">
      <c r="A186" t="inlineStr">
        <is>
          <t>20260808-8186-455879576</t>
        </is>
      </c>
      <c r="B186" t="n">
        <v>1</v>
      </c>
      <c r="C186" s="2" t="inlineStr">
        <is>
          <t>Максим Чиркин</t>
        </is>
      </c>
      <c r="D186" s="3" t="n">
        <v>17533</v>
      </c>
      <c r="E186" s="4" t="n">
        <v>4</v>
      </c>
      <c r="F186" t="inlineStr">
        <is>
          <t>TravelLine Booking Engine [Чайковский]</t>
        </is>
      </c>
      <c r="G186" s="3">
        <f>ROUND(D186/(100-E186)*100,2)</f>
        <v/>
      </c>
      <c r="H186" s="3" t="n">
        <v>0</v>
      </c>
      <c r="I186" s="3">
        <f>ROUND(IF(ISNUMBER(AG186),AG186,G186)+H186,2)</f>
        <v/>
      </c>
      <c r="J186" s="2" t="inlineStr">
        <is>
          <t>Завтрак "Шведский стол"</t>
        </is>
      </c>
      <c r="K186" s="5" t="n">
        <v>46242.8125</v>
      </c>
      <c r="L186" t="n">
        <v>1</v>
      </c>
      <c r="M186" s="3">
        <f>I186/L186</f>
        <v/>
      </c>
      <c r="N186">
        <f>IF(M186&gt;=5100,"ставка","мин.ставка")</f>
        <v/>
      </c>
      <c r="O186" s="3">
        <f>ROUND(IF(N186="мин.ставка",L186*100,I186/102*2),2)</f>
        <v/>
      </c>
      <c r="P186" s="5" t="n">
        <v>46243.5</v>
      </c>
      <c r="Q186" t="inlineStr">
        <is>
          <t>TravelLine сайт</t>
        </is>
      </c>
      <c r="R186" s="2" t="inlineStr">
        <is>
          <t>ЛЮКС ВТОРОЙ КОРПУС</t>
        </is>
      </c>
      <c r="S186" t="n">
        <v>53</v>
      </c>
      <c r="T186" t="n">
        <v>2</v>
      </c>
      <c r="U186" t="inlineStr"/>
      <c r="V186" t="inlineStr">
        <is>
          <t>Тариф с завтраком</t>
        </is>
      </c>
      <c r="W186" t="n">
        <v>17533</v>
      </c>
      <c r="X186" s="3" t="n">
        <v>267</v>
      </c>
      <c r="Y186" t="inlineStr">
        <is>
          <t>1.5%</t>
        </is>
      </c>
      <c r="Z186" t="inlineStr">
        <is>
          <t>2026-08-08</t>
        </is>
      </c>
      <c r="AA186" s="3" t="n">
        <v>17533</v>
      </c>
      <c r="AB186" t="inlineStr">
        <is>
          <t>Сошлось по ночным тарифам</t>
        </is>
      </c>
      <c r="AC186" s="2" t="inlineStr"/>
      <c r="AD186" t="n">
        <v>267</v>
      </c>
      <c r="AE186" t="n">
        <v>0</v>
      </c>
      <c r="AF186" t="inlineStr">
        <is>
          <t>Скидка добавлена к налоговой базе</t>
        </is>
      </c>
      <c r="AG186" t="n">
        <v>17800</v>
      </c>
      <c r="AH186" t="n">
        <v>17533</v>
      </c>
      <c r="AI186" t="inlineStr">
        <is>
          <t>Полное проживание в выбранном периоде</t>
        </is>
      </c>
    </row>
    <row r="187">
      <c r="A187" t="inlineStr">
        <is>
          <t>20260915-8186-465509331</t>
        </is>
      </c>
      <c r="B187" t="n">
        <v>1</v>
      </c>
      <c r="C187" s="2" t="inlineStr">
        <is>
          <t>Марина Волкова, Александр Волков</t>
        </is>
      </c>
      <c r="D187" s="3" t="n">
        <v>118192</v>
      </c>
      <c r="E187" s="4" t="n">
        <v>17</v>
      </c>
      <c r="F187" t="inlineStr">
        <is>
          <t>ООО «Интернет Трэвел» (OZON) [Чайковский]</t>
        </is>
      </c>
      <c r="G187" s="3">
        <f>ROUND(D187/(100-E187)*100,2)</f>
        <v/>
      </c>
      <c r="H187" s="3" t="n">
        <v>0</v>
      </c>
      <c r="I187" s="3">
        <f>ROUND(IF(ISNUMBER(AG187),AG187,G187)+H187,2)</f>
        <v/>
      </c>
      <c r="J187" s="2" t="inlineStr">
        <is>
          <t>Завтрак "Шведский стол"</t>
        </is>
      </c>
      <c r="K187" s="5" t="n">
        <v>46280.58333333334</v>
      </c>
      <c r="L187" t="n">
        <v>8</v>
      </c>
      <c r="M187" s="3">
        <f>I187/L187</f>
        <v/>
      </c>
      <c r="N187">
        <f>IF(M187&gt;=5100,"ставка","мин.ставка")</f>
        <v/>
      </c>
      <c r="O187" s="3">
        <f>ROUND(IF(N187="мин.ставка",L187*100,I187/102*2),2)</f>
        <v/>
      </c>
      <c r="P187" s="5" t="n">
        <v>46288.5</v>
      </c>
      <c r="Q187" t="inlineStr">
        <is>
          <t>TravelLine OZ2</t>
        </is>
      </c>
      <c r="R187" s="2" t="inlineStr">
        <is>
          <t>ЛЮКС ВТОРОЙ КОРПУС</t>
        </is>
      </c>
      <c r="S187" t="n">
        <v>57</v>
      </c>
      <c r="T187" t="n">
        <v>2</v>
      </c>
      <c r="U187" t="inlineStr"/>
      <c r="V187" t="inlineStr">
        <is>
          <t>Тариф с завтраком</t>
        </is>
      </c>
      <c r="W187" t="n">
        <v>118192</v>
      </c>
      <c r="X187" s="3" t="n">
        <v>24208</v>
      </c>
      <c r="Y187" t="inlineStr">
        <is>
          <t>17%</t>
        </is>
      </c>
      <c r="Z187" t="inlineStr">
        <is>
          <t>2026-09-15, 2026-09-16, 2026-09-17, 2026-09-18, 2026-09-19, 2026-09-20, 2026-09-21, 2026-09-22</t>
        </is>
      </c>
      <c r="AA187" s="3" t="n">
        <v>118192</v>
      </c>
      <c r="AB187" t="inlineStr">
        <is>
          <t>Сошлось по ночным тарифам</t>
        </is>
      </c>
      <c r="AC187" s="2" t="inlineStr"/>
      <c r="AD187" t="n">
        <v>24208</v>
      </c>
      <c r="AE187" t="n">
        <v>0</v>
      </c>
      <c r="AF187" t="inlineStr">
        <is>
          <t>Скидка добавлена к налоговой базе</t>
        </is>
      </c>
      <c r="AG187" t="n">
        <v>142400</v>
      </c>
      <c r="AH187" t="n">
        <v>118192</v>
      </c>
      <c r="AI187" t="inlineStr">
        <is>
          <t>Полное проживание в выбранном периоде</t>
        </is>
      </c>
    </row>
    <row r="188">
      <c r="A188" t="inlineStr">
        <is>
          <t>20260730-8186-438491467</t>
        </is>
      </c>
      <c r="B188" t="n">
        <v>1</v>
      </c>
      <c r="C188" s="2" t="inlineStr">
        <is>
          <t>Марина Немова, Лариса Немова</t>
        </is>
      </c>
      <c r="D188" s="3" t="n">
        <v>17533</v>
      </c>
      <c r="E188" s="4" t="n">
        <v>4</v>
      </c>
      <c r="F188" t="inlineStr">
        <is>
          <t>TravelLine Booking Engine [Чайковский]</t>
        </is>
      </c>
      <c r="G188" s="3">
        <f>ROUND(D188/(100-E188)*100,2)</f>
        <v/>
      </c>
      <c r="H188" s="3" t="n">
        <v>0</v>
      </c>
      <c r="I188" s="3">
        <f>ROUND(IF(ISNUMBER(AG188),AG188,G188)+H188,2)</f>
        <v/>
      </c>
      <c r="J188" s="2" t="inlineStr">
        <is>
          <t>Завтрак "Шведский стол"</t>
        </is>
      </c>
      <c r="K188" s="5" t="n">
        <v>46233.58333333334</v>
      </c>
      <c r="L188" t="n">
        <v>1</v>
      </c>
      <c r="M188" s="3">
        <f>I188/L188</f>
        <v/>
      </c>
      <c r="N188">
        <f>IF(M188&gt;=5100,"ставка","мин.ставка")</f>
        <v/>
      </c>
      <c r="O188" s="3">
        <f>ROUND(IF(N188="мин.ставка",L188*100,I188/102*2),2)</f>
        <v/>
      </c>
      <c r="P188" s="5" t="n">
        <v>46234.5</v>
      </c>
      <c r="Q188" t="inlineStr">
        <is>
          <t>TravelLine сайт</t>
        </is>
      </c>
      <c r="R188" s="2" t="inlineStr">
        <is>
          <t>ЛЮКС ВТОРОЙ КОРПУС</t>
        </is>
      </c>
      <c r="S188" t="n">
        <v>54</v>
      </c>
      <c r="T188" t="n">
        <v>2</v>
      </c>
      <c r="U188" t="inlineStr"/>
      <c r="V188" t="inlineStr">
        <is>
          <t>Тариф с завтраком</t>
        </is>
      </c>
      <c r="W188" t="n">
        <v>17533</v>
      </c>
      <c r="X188" s="3" t="n">
        <v>267</v>
      </c>
      <c r="Y188" t="inlineStr">
        <is>
          <t>1.5%</t>
        </is>
      </c>
      <c r="Z188" t="inlineStr">
        <is>
          <t>2026-07-30</t>
        </is>
      </c>
      <c r="AA188" s="3" t="n">
        <v>17533</v>
      </c>
      <c r="AB188" t="inlineStr">
        <is>
          <t>Сошлось по ночным тарифам</t>
        </is>
      </c>
      <c r="AC188" s="2" t="inlineStr"/>
      <c r="AD188" t="n">
        <v>267</v>
      </c>
      <c r="AE188" t="n">
        <v>0</v>
      </c>
      <c r="AF188" t="inlineStr">
        <is>
          <t>Скидка добавлена к налоговой базе</t>
        </is>
      </c>
      <c r="AG188" t="n">
        <v>17800</v>
      </c>
      <c r="AH188" t="n">
        <v>17533</v>
      </c>
      <c r="AI188" t="inlineStr">
        <is>
          <t>Полное проживание в выбранном периоде</t>
        </is>
      </c>
    </row>
    <row r="189">
      <c r="A189" t="inlineStr">
        <is>
          <t>20260908-8186-464538528</t>
        </is>
      </c>
      <c r="B189" t="n">
        <v>1</v>
      </c>
      <c r="C189" s="2" t="inlineStr">
        <is>
          <t>Марина Павшенко, Елена Павшенко</t>
        </is>
      </c>
      <c r="D189" s="3" t="n">
        <v>11347.5</v>
      </c>
      <c r="E189" s="4" t="n">
        <v>15</v>
      </c>
      <c r="F189" t="inlineStr">
        <is>
          <t>Trip.com Group [Чайковский]</t>
        </is>
      </c>
      <c r="G189" s="3">
        <f>ROUND(D189/(100-E189)*100,2)</f>
        <v/>
      </c>
      <c r="H189" s="3" t="n">
        <v>0</v>
      </c>
      <c r="I189" s="3">
        <f>ROUND(IF(ISNUMBER(AG189),AG189,G189)+H189,2)</f>
        <v/>
      </c>
      <c r="J189" s="2" t="inlineStr">
        <is>
          <t>Завтрак "Шведский стол"</t>
        </is>
      </c>
      <c r="K189" s="5" t="n">
        <v>46273.58333333334</v>
      </c>
      <c r="L189" t="n">
        <v>1</v>
      </c>
      <c r="M189" s="3">
        <f>I189/L189</f>
        <v/>
      </c>
      <c r="N189">
        <f>IF(M189&gt;=5100,"ставка","мин.ставка")</f>
        <v/>
      </c>
      <c r="O189" s="3">
        <f>ROUND(IF(N189="мин.ставка",L189*100,I189/102*2),2)</f>
        <v/>
      </c>
      <c r="P189" s="5" t="n">
        <v>46274.5</v>
      </c>
      <c r="Q189" t="inlineStr">
        <is>
          <t>TravelLine CTP</t>
        </is>
      </c>
      <c r="R189" s="2" t="inlineStr">
        <is>
          <t>СТАНДАРТНЫЙ ДВУХМЕСТНЫЙ НОМЕР</t>
        </is>
      </c>
      <c r="S189" t="n">
        <v>52</v>
      </c>
      <c r="T189" t="n">
        <v>2</v>
      </c>
      <c r="U189" t="inlineStr"/>
      <c r="V189" t="inlineStr">
        <is>
          <t>Тариф с завтраком</t>
        </is>
      </c>
      <c r="W189" t="n">
        <v>11347.5</v>
      </c>
      <c r="X189" s="3" t="n">
        <v>2002.5</v>
      </c>
      <c r="Y189" t="inlineStr">
        <is>
          <t>15%</t>
        </is>
      </c>
      <c r="Z189" t="inlineStr">
        <is>
          <t>2026-09-08</t>
        </is>
      </c>
      <c r="AA189" s="3" t="n">
        <v>11347.5</v>
      </c>
      <c r="AB189" t="inlineStr">
        <is>
          <t>Сошлось по ночным тарифам</t>
        </is>
      </c>
      <c r="AC189" s="2" t="inlineStr"/>
      <c r="AD189" t="n">
        <v>2002.5</v>
      </c>
      <c r="AE189" t="n">
        <v>0</v>
      </c>
      <c r="AF189" t="inlineStr">
        <is>
          <t>Скидка добавлена к налоговой базе</t>
        </is>
      </c>
      <c r="AG189" t="n">
        <v>13350</v>
      </c>
      <c r="AH189" t="n">
        <v>11347.5</v>
      </c>
      <c r="AI189" t="inlineStr">
        <is>
          <t>Полное проживание в выбранном периоде</t>
        </is>
      </c>
    </row>
    <row r="190">
      <c r="A190" t="inlineStr">
        <is>
          <t>20260908-8186-450576410</t>
        </is>
      </c>
      <c r="B190" t="n">
        <v>1</v>
      </c>
      <c r="C190" s="2" t="inlineStr">
        <is>
          <t>Марина Пономаренко</t>
        </is>
      </c>
      <c r="D190" s="3" t="n">
        <v>33698.15</v>
      </c>
      <c r="E190" s="4" t="n">
        <v>4</v>
      </c>
      <c r="F190" t="inlineStr">
        <is>
          <t>TravelLine Booking Engine [Чайковский]</t>
        </is>
      </c>
      <c r="G190" s="3">
        <f>ROUND(D190/(100-E190)*100,2)</f>
        <v/>
      </c>
      <c r="H190" s="3" t="n">
        <v>0</v>
      </c>
      <c r="I190" s="3">
        <f>ROUND(IF(ISNUMBER(AG190),AG190,G190)+H190,2)</f>
        <v/>
      </c>
      <c r="J190" s="2" t="inlineStr">
        <is>
          <t>Завтрак "Шведский стол"</t>
        </is>
      </c>
      <c r="K190" s="5" t="n">
        <v>46273.58333333334</v>
      </c>
      <c r="L190" t="n">
        <v>3</v>
      </c>
      <c r="M190" s="3">
        <f>I190/L190</f>
        <v/>
      </c>
      <c r="N190">
        <f>IF(M190&gt;=5100,"ставка","мин.ставка")</f>
        <v/>
      </c>
      <c r="O190" s="3">
        <f>ROUND(IF(N190="мин.ставка",L190*100,I190/102*2),2)</f>
        <v/>
      </c>
      <c r="P190" s="5" t="n">
        <v>46276.5</v>
      </c>
      <c r="Q190" t="inlineStr">
        <is>
          <t>TravelLine сайт</t>
        </is>
      </c>
      <c r="R190" s="2" t="inlineStr">
        <is>
          <t>СТАНДАРТНЫЙ ДВУХМЕСТНЫЙ НОМЕР</t>
        </is>
      </c>
      <c r="S190" t="n">
        <v>58</v>
      </c>
      <c r="T190" t="n">
        <v>2</v>
      </c>
      <c r="U190" t="inlineStr"/>
      <c r="V190" t="inlineStr">
        <is>
          <t>Тариф с завтраком</t>
        </is>
      </c>
      <c r="W190" t="n">
        <v>33698.15</v>
      </c>
      <c r="X190" s="3" t="n">
        <v>351.85</v>
      </c>
      <c r="Y190" t="inlineStr">
        <is>
          <t>3.1%</t>
        </is>
      </c>
      <c r="Z190" t="inlineStr">
        <is>
          <t>2026-09-08</t>
        </is>
      </c>
      <c r="AA190" s="3" t="n">
        <v>33698.15</v>
      </c>
      <c r="AB190" t="inlineStr">
        <is>
          <t>Сошлось по ночным тарифам</t>
        </is>
      </c>
      <c r="AC190" s="2" t="inlineStr"/>
      <c r="AD190" t="n">
        <v>351.85</v>
      </c>
      <c r="AE190" t="n">
        <v>0</v>
      </c>
      <c r="AF190" t="inlineStr">
        <is>
          <t>Скидка добавлена к налоговой базе</t>
        </is>
      </c>
      <c r="AG190" t="n">
        <v>34050</v>
      </c>
      <c r="AH190" t="n">
        <v>33698.15</v>
      </c>
      <c r="AI190" t="inlineStr">
        <is>
          <t>Полное проживание в выбранном периоде</t>
        </is>
      </c>
    </row>
    <row r="191">
      <c r="A191" t="inlineStr">
        <is>
          <t>20260729-8186-400177699</t>
        </is>
      </c>
      <c r="B191" t="n">
        <v>1</v>
      </c>
      <c r="C191" s="2" t="inlineStr">
        <is>
          <t>МАРИЯ БЕЛЕЕВСКАЯ, ЕВГЕНИЙ БЕЛЕЕВСКИЙ</t>
        </is>
      </c>
      <c r="D191" s="3" t="n">
        <v>52020</v>
      </c>
      <c r="E191" s="4" t="n">
        <v>0</v>
      </c>
      <c r="F191" t="inlineStr">
        <is>
          <t>Прямые бронирования (стойка) [Чайковский]</t>
        </is>
      </c>
      <c r="G191" s="3">
        <f>ROUND(D191/(100-E191)*100,2)</f>
        <v/>
      </c>
      <c r="H191" s="3" t="n">
        <v>28625</v>
      </c>
      <c r="I191" s="3">
        <f>ROUND(IF(ISNUMBER(AG191),AG191,G191)+H191,2)</f>
        <v/>
      </c>
      <c r="J191" s="2" t="inlineStr">
        <is>
          <t>продление номера — 5 600,00 ₽; продление номера — 16 800,00 ₽; продление номера — 6 225,00 ₽; Завтрак "Шведский стол"</t>
        </is>
      </c>
      <c r="K191" s="5" t="n">
        <v>46232.58333333334</v>
      </c>
      <c r="L191" t="n">
        <v>4</v>
      </c>
      <c r="M191" s="3">
        <f>I191/L191</f>
        <v/>
      </c>
      <c r="N191">
        <f>IF(M191&gt;=5100,"ставка","мин.ставка")</f>
        <v/>
      </c>
      <c r="O191" s="3">
        <f>ROUND(IF(N191="мин.ставка",L191*100,I191/102*2),2)</f>
        <v/>
      </c>
      <c r="P191" s="5" t="n">
        <v>46236.8125</v>
      </c>
      <c r="Q191" t="inlineStr">
        <is>
          <t>TravelLine ресепшен</t>
        </is>
      </c>
      <c r="R191" s="2" t="inlineStr">
        <is>
          <t>семейный номер категории "стандарт"</t>
        </is>
      </c>
      <c r="S191" t="n">
        <v>51</v>
      </c>
      <c r="T191" t="n">
        <v>2</v>
      </c>
      <c r="U191" t="inlineStr"/>
      <c r="V191" t="inlineStr">
        <is>
          <t>Тариф с завтраком</t>
        </is>
      </c>
      <c r="W191" t="n">
        <v>80645</v>
      </c>
      <c r="X191" s="3" t="n">
        <v>5780</v>
      </c>
      <c r="Y191" t="inlineStr">
        <is>
          <t>10%</t>
        </is>
      </c>
      <c r="Z191" t="inlineStr">
        <is>
          <t>2026-07-29, 2026-07-30, 2026-07-31, 2026-08-01</t>
        </is>
      </c>
      <c r="AA191" s="3" t="n">
        <v>52020</v>
      </c>
      <c r="AB191" t="inlineStr">
        <is>
          <t>Сошлось с услугами</t>
        </is>
      </c>
      <c r="AC191" s="2" t="inlineStr"/>
      <c r="AD191" t="n">
        <v>5780</v>
      </c>
      <c r="AE191" t="n">
        <v>0</v>
      </c>
      <c r="AF191" t="inlineStr">
        <is>
          <t>Скидка добавлена к налоговой базе</t>
        </is>
      </c>
      <c r="AG191" t="n">
        <v>57800</v>
      </c>
      <c r="AH191" t="n">
        <v>52020</v>
      </c>
      <c r="AI191" t="inlineStr">
        <is>
          <t>Полное проживание в выбранном периоде</t>
        </is>
      </c>
    </row>
    <row r="192">
      <c r="A192" t="inlineStr">
        <is>
          <t>20260711-8186-440445654</t>
        </is>
      </c>
      <c r="B192" t="n">
        <v>1</v>
      </c>
      <c r="C192" s="2" t="inlineStr">
        <is>
          <t>Мария Евгенова</t>
        </is>
      </c>
      <c r="D192" s="3" t="n">
        <v>18841</v>
      </c>
      <c r="E192" s="4" t="n">
        <v>0</v>
      </c>
      <c r="F192" t="inlineStr">
        <is>
          <t>Прямые бронирования (стойка) [Чайковский]</t>
        </is>
      </c>
      <c r="G192" s="3">
        <f>ROUND(D192/(100-E192)*100,2)</f>
        <v/>
      </c>
      <c r="H192" s="3" t="n">
        <v>0</v>
      </c>
      <c r="I192" s="3">
        <f>ROUND(IF(ISNUMBER(AG192),AG192,G192)+H192,2)</f>
        <v/>
      </c>
      <c r="J192" s="2" t="inlineStr">
        <is>
          <t>Завтрак "Шведский стол"</t>
        </is>
      </c>
      <c r="K192" s="5" t="n">
        <v>46214.58333333334</v>
      </c>
      <c r="L192" t="n">
        <v>2</v>
      </c>
      <c r="M192" s="3">
        <f>I192/L192</f>
        <v/>
      </c>
      <c r="N192">
        <f>IF(M192&gt;=5100,"ставка","мин.ставка")</f>
        <v/>
      </c>
      <c r="O192" s="3">
        <f>ROUND(IF(N192="мин.ставка",L192*100,I192/102*2),2)</f>
        <v/>
      </c>
      <c r="P192" s="5" t="n">
        <v>46216.5</v>
      </c>
      <c r="Q192" t="inlineStr">
        <is>
          <t>TravelLine CMB</t>
        </is>
      </c>
      <c r="R192" s="2" t="inlineStr">
        <is>
          <t>СТАНДАРТНЫЙ ДВУХМЕСТНЫЙ НОМЕР</t>
        </is>
      </c>
      <c r="S192" t="n">
        <v>58</v>
      </c>
      <c r="T192" t="n">
        <v>2</v>
      </c>
      <c r="U192" t="inlineStr"/>
      <c r="V192" t="inlineStr">
        <is>
          <t>Тариф с завтраком</t>
        </is>
      </c>
      <c r="W192" t="n">
        <v>18841</v>
      </c>
      <c r="X192" s="3" t="n">
        <v>3859</v>
      </c>
      <c r="Y192" t="inlineStr">
        <is>
          <t>17%</t>
        </is>
      </c>
      <c r="Z192" t="inlineStr">
        <is>
          <t>2026-07-11, 2026-07-12</t>
        </is>
      </c>
      <c r="AA192" s="3" t="n">
        <v>18841</v>
      </c>
      <c r="AB192" t="inlineStr">
        <is>
          <t>Сошлось по ночным тарифам</t>
        </is>
      </c>
      <c r="AC192" s="2" t="inlineStr"/>
      <c r="AD192" t="n">
        <v>3859</v>
      </c>
      <c r="AE192" t="n">
        <v>0</v>
      </c>
      <c r="AF192" t="inlineStr">
        <is>
          <t>Скидка добавлена к налоговой базе</t>
        </is>
      </c>
      <c r="AG192" t="n">
        <v>22700</v>
      </c>
      <c r="AH192" t="n">
        <v>18841</v>
      </c>
      <c r="AI192" t="inlineStr">
        <is>
          <t>Полное проживание в выбранном периоде</t>
        </is>
      </c>
    </row>
    <row r="193">
      <c r="A193" t="inlineStr">
        <is>
          <t>20260702-8186-443240661</t>
        </is>
      </c>
      <c r="B193" t="n">
        <v>1</v>
      </c>
      <c r="C193" s="2" t="inlineStr">
        <is>
          <t>Мария Еремеева, Альбина Зуева</t>
        </is>
      </c>
      <c r="D193" s="3" t="n">
        <v>33241.5</v>
      </c>
      <c r="E193" s="4" t="n">
        <v>17</v>
      </c>
      <c r="F193" t="inlineStr">
        <is>
          <t>ООО «Интернет Трэвел» (OZON) [Чайковский]</t>
        </is>
      </c>
      <c r="G193" s="3">
        <f>ROUND(D193/(100-E193)*100,2)</f>
        <v/>
      </c>
      <c r="H193" s="3" t="n">
        <v>0</v>
      </c>
      <c r="I193" s="3">
        <f>ROUND(IF(ISNUMBER(AG193),AG193,G193)+H193,2)</f>
        <v/>
      </c>
      <c r="J193" s="2" t="inlineStr">
        <is>
          <t>Завтрак "Шведский стол"</t>
        </is>
      </c>
      <c r="K193" s="5" t="n">
        <v>46205.58333333334</v>
      </c>
      <c r="L193" t="n">
        <v>3</v>
      </c>
      <c r="M193" s="3">
        <f>I193/L193</f>
        <v/>
      </c>
      <c r="N193">
        <f>IF(M193&gt;=5100,"ставка","мин.ставка")</f>
        <v/>
      </c>
      <c r="O193" s="3">
        <f>ROUND(IF(N193="мин.ставка",L193*100,I193/102*2),2)</f>
        <v/>
      </c>
      <c r="P193" s="5" t="n">
        <v>46208.5</v>
      </c>
      <c r="Q193" t="inlineStr">
        <is>
          <t>TravelLine OZ2</t>
        </is>
      </c>
      <c r="R193" s="2" t="inlineStr">
        <is>
          <t>СТАНДАРТНЫЙ ДВУХМЕСТНЫЙ НОМЕР</t>
        </is>
      </c>
      <c r="S193" t="n">
        <v>55</v>
      </c>
      <c r="T193" t="n">
        <v>2</v>
      </c>
      <c r="U193" t="inlineStr"/>
      <c r="V193" t="inlineStr">
        <is>
          <t>Тариф с завтраком</t>
        </is>
      </c>
      <c r="W193" t="n">
        <v>33241.5</v>
      </c>
      <c r="X193" s="3" t="n">
        <v>6808.5</v>
      </c>
      <c r="Y193" t="inlineStr">
        <is>
          <t>17%</t>
        </is>
      </c>
      <c r="Z193" t="inlineStr">
        <is>
          <t>2026-07-02, 2026-07-03, 2026-07-04</t>
        </is>
      </c>
      <c r="AA193" s="3" t="n">
        <v>33241.5</v>
      </c>
      <c r="AB193" t="inlineStr">
        <is>
          <t>Сошлось по ночным тарифам</t>
        </is>
      </c>
      <c r="AC193" s="2" t="inlineStr"/>
      <c r="AD193" t="n">
        <v>6808.5</v>
      </c>
      <c r="AE193" t="n">
        <v>0</v>
      </c>
      <c r="AF193" t="inlineStr">
        <is>
          <t>Скидка добавлена к налоговой базе</t>
        </is>
      </c>
      <c r="AG193" t="n">
        <v>40050</v>
      </c>
      <c r="AH193" t="n">
        <v>33241.5</v>
      </c>
      <c r="AI193" t="inlineStr">
        <is>
          <t>Полное проживание в выбранном периоде</t>
        </is>
      </c>
    </row>
    <row r="194">
      <c r="A194" t="inlineStr">
        <is>
          <t>20260806-8186-452608643</t>
        </is>
      </c>
      <c r="B194" t="n">
        <v>1</v>
      </c>
      <c r="C194" s="2" t="inlineStr">
        <is>
          <t>Мария КОТОВА</t>
        </is>
      </c>
      <c r="D194" s="3" t="n">
        <v>31000.5</v>
      </c>
      <c r="E194" s="4" t="n">
        <v>20</v>
      </c>
      <c r="F194" t="inlineStr">
        <is>
          <t>ООО «Дубль Гис» (OTELLO) [Чайковский]</t>
        </is>
      </c>
      <c r="G194" s="3">
        <f>ROUND(D194/(100-E194)*100,2)</f>
        <v/>
      </c>
      <c r="H194" s="3" t="n">
        <v>0</v>
      </c>
      <c r="I194" s="3">
        <f>ROUND(IF(ISNUMBER(AG194),AG194,G194)+H194,2)</f>
        <v/>
      </c>
      <c r="J194" s="2" t="inlineStr">
        <is>
          <t>Завтрак "Шведский стол"</t>
        </is>
      </c>
      <c r="K194" s="5" t="n">
        <v>46240.58333333334</v>
      </c>
      <c r="L194" t="n">
        <v>3</v>
      </c>
      <c r="M194" s="3">
        <f>I194/L194</f>
        <v/>
      </c>
      <c r="N194">
        <f>IF(M194&gt;=5100,"ставка","мин.ставка")</f>
        <v/>
      </c>
      <c r="O194" s="3">
        <f>ROUND(IF(N194="мин.ставка",L194*100,I194/102*2),2)</f>
        <v/>
      </c>
      <c r="P194" s="5" t="n">
        <v>46243.5</v>
      </c>
      <c r="Q194" t="inlineStr">
        <is>
          <t>TravelLine OL2</t>
        </is>
      </c>
      <c r="R194" s="2" t="inlineStr">
        <is>
          <t>СЕМЕЙНЫЙ НОМЕР КАТЕГОРИИ "СТАНДАРТ" ВТОРОЙ КОРПУС</t>
        </is>
      </c>
      <c r="S194" t="n">
        <v>51</v>
      </c>
      <c r="T194" t="n">
        <v>2</v>
      </c>
      <c r="U194" t="inlineStr"/>
      <c r="V194" t="inlineStr">
        <is>
          <t>Тариф с завтраком</t>
        </is>
      </c>
      <c r="W194" t="n">
        <v>31000.5</v>
      </c>
      <c r="X194" s="3" t="n">
        <v>6349.5</v>
      </c>
      <c r="Y194" t="inlineStr">
        <is>
          <t>17%</t>
        </is>
      </c>
      <c r="Z194" t="inlineStr">
        <is>
          <t>2026-08-06, 2026-08-07, 2026-08-08</t>
        </is>
      </c>
      <c r="AA194" s="3" t="n">
        <v>31000.5</v>
      </c>
      <c r="AB194" t="inlineStr">
        <is>
          <t>Сошлось по ночным тарифам</t>
        </is>
      </c>
      <c r="AC194" s="2" t="inlineStr"/>
      <c r="AD194" t="n">
        <v>6349.5</v>
      </c>
      <c r="AE194" t="n">
        <v>0</v>
      </c>
      <c r="AF194" t="inlineStr">
        <is>
          <t>Скидка добавлена к налоговой базе</t>
        </is>
      </c>
      <c r="AG194" t="n">
        <v>37350</v>
      </c>
      <c r="AH194" t="n">
        <v>31000.5</v>
      </c>
      <c r="AI194" t="inlineStr">
        <is>
          <t>Полное проживание в выбранном периоде</t>
        </is>
      </c>
    </row>
    <row r="195">
      <c r="A195" t="inlineStr">
        <is>
          <t>20260914-8186-463736656</t>
        </is>
      </c>
      <c r="B195" t="n">
        <v>1</v>
      </c>
      <c r="C195" s="2" t="inlineStr">
        <is>
          <t>МАРИЯ КУТЕПОВА</t>
        </is>
      </c>
      <c r="D195" s="3" t="n">
        <v>26544</v>
      </c>
      <c r="E195" s="4" t="n">
        <v>16</v>
      </c>
      <c r="F195" t="inlineStr">
        <is>
          <t>ООО "БРОНИРОВАНИЕ ГОСТИНИЦ" (OSTROVOK) [Чайковский]</t>
        </is>
      </c>
      <c r="G195" s="3">
        <f>ROUND(D195/(100-E195)*100,2)</f>
        <v/>
      </c>
      <c r="H195" s="3" t="n">
        <v>0</v>
      </c>
      <c r="I195" s="3">
        <f>ROUND(IF(ISNUMBER(AG195),AG195,G195)+H195,2)</f>
        <v/>
      </c>
      <c r="J195" s="2" t="inlineStr">
        <is>
          <t>Завтрак "Шведский стол"</t>
        </is>
      </c>
      <c r="K195" s="5" t="n">
        <v>46279.58333333334</v>
      </c>
      <c r="L195" t="n">
        <v>2</v>
      </c>
      <c r="M195" s="3">
        <f>I195/L195</f>
        <v/>
      </c>
      <c r="N195">
        <f>IF(M195&gt;=5100,"ставка","мин.ставка")</f>
        <v/>
      </c>
      <c r="O195" s="3">
        <f>ROUND(IF(N195="мин.ставка",L195*100,I195/102*2),2)</f>
        <v/>
      </c>
      <c r="P195" s="5" t="n">
        <v>46281.5</v>
      </c>
      <c r="Q195" t="inlineStr">
        <is>
          <t>TravelLine OTK</t>
        </is>
      </c>
      <c r="R195" s="2" t="inlineStr">
        <is>
          <t>ЛЮКС ВТОРОЙ КОРПУС</t>
        </is>
      </c>
      <c r="S195" t="n">
        <v>54</v>
      </c>
      <c r="T195" t="n">
        <v>2</v>
      </c>
      <c r="U195" t="inlineStr"/>
      <c r="V195" t="inlineStr">
        <is>
          <t>Тариф с завтраком</t>
        </is>
      </c>
      <c r="W195" t="n">
        <v>26544</v>
      </c>
      <c r="X195" s="3" t="n">
        <v>5056</v>
      </c>
      <c r="Y195" t="inlineStr">
        <is>
          <t>16%</t>
        </is>
      </c>
      <c r="Z195" t="inlineStr">
        <is>
          <t>2026-09-14, 2026-09-15</t>
        </is>
      </c>
      <c r="AA195" s="3" t="n">
        <v>26544</v>
      </c>
      <c r="AB195" t="inlineStr">
        <is>
          <t>Сошлось по ночным тарифам</t>
        </is>
      </c>
      <c r="AC195" s="2" t="inlineStr"/>
      <c r="AD195" t="n">
        <v>5056</v>
      </c>
      <c r="AE195" t="n">
        <v>0</v>
      </c>
      <c r="AF195" t="inlineStr">
        <is>
          <t>Скидка добавлена к налоговой базе</t>
        </is>
      </c>
      <c r="AG195" t="n">
        <v>31600</v>
      </c>
      <c r="AH195" t="n">
        <v>26544</v>
      </c>
      <c r="AI195" t="inlineStr">
        <is>
          <t>Полное проживание в выбранном периоде</t>
        </is>
      </c>
    </row>
    <row r="196">
      <c r="A196" t="inlineStr">
        <is>
          <t>20260920-8186-465332627</t>
        </is>
      </c>
      <c r="B196" t="n">
        <v>1</v>
      </c>
      <c r="C196" s="2" t="inlineStr">
        <is>
          <t>Мария Москаленко</t>
        </is>
      </c>
      <c r="D196" s="3" t="n">
        <v>79279.75</v>
      </c>
      <c r="E196" s="4" t="n">
        <v>4</v>
      </c>
      <c r="F196" t="inlineStr">
        <is>
          <t>TravelLine Booking Engine [Чайковский]</t>
        </is>
      </c>
      <c r="G196" s="3">
        <f>ROUND(D196/(100-E196)*100,2)</f>
        <v/>
      </c>
      <c r="H196" s="3" t="n">
        <v>0</v>
      </c>
      <c r="I196" s="3">
        <f>ROUND(IF(ISNUMBER(AG196),AG196,G196)+H196,2)</f>
        <v/>
      </c>
      <c r="J196" s="2" t="inlineStr">
        <is>
          <t>Завтрак "Шведский стол"</t>
        </is>
      </c>
      <c r="K196" s="5" t="n">
        <v>46285.97916666666</v>
      </c>
      <c r="L196" t="n">
        <v>7</v>
      </c>
      <c r="M196" s="3">
        <f>I196/L196</f>
        <v/>
      </c>
      <c r="N196">
        <f>IF(M196&gt;=5100,"ставка","мин.ставка")</f>
        <v/>
      </c>
      <c r="O196" s="3">
        <f>ROUND(IF(N196="мин.ставка",L196*100,I196/102*2),2)</f>
        <v/>
      </c>
      <c r="P196" s="5" t="n">
        <v>46292.5</v>
      </c>
      <c r="Q196" t="inlineStr">
        <is>
          <t>TravelLine сайт</t>
        </is>
      </c>
      <c r="R196" s="2" t="inlineStr">
        <is>
          <t>СТАНДАРТНЫЙ ДВУХМЕСТНЫЙ НОМЕР</t>
        </is>
      </c>
      <c r="S196" t="n">
        <v>55</v>
      </c>
      <c r="T196" t="n">
        <v>2</v>
      </c>
      <c r="U196" t="inlineStr"/>
      <c r="V196" t="inlineStr">
        <is>
          <t>Тариф с завтраком</t>
        </is>
      </c>
      <c r="W196" t="n">
        <v>79279.75</v>
      </c>
      <c r="X196" s="3" t="n">
        <v>170.25</v>
      </c>
      <c r="Y196" t="inlineStr">
        <is>
          <t>1.5%</t>
        </is>
      </c>
      <c r="Z196" t="inlineStr">
        <is>
          <t>2026-09-20</t>
        </is>
      </c>
      <c r="AA196" s="3" t="n">
        <v>79279.75</v>
      </c>
      <c r="AB196" t="inlineStr">
        <is>
          <t>Сошлось по ночным тарифам</t>
        </is>
      </c>
      <c r="AC196" s="2" t="inlineStr"/>
      <c r="AD196" t="n">
        <v>170.25</v>
      </c>
      <c r="AE196" t="n">
        <v>0</v>
      </c>
      <c r="AF196" t="inlineStr">
        <is>
          <t>Скидка добавлена к налоговой базе</t>
        </is>
      </c>
      <c r="AG196" t="n">
        <v>79450</v>
      </c>
      <c r="AH196" t="n">
        <v>79279.75</v>
      </c>
      <c r="AI196" t="inlineStr">
        <is>
          <t>Полное проживание в выбранном периоде</t>
        </is>
      </c>
    </row>
    <row r="197">
      <c r="A197" t="inlineStr">
        <is>
          <t>20260930-8186-465412038</t>
        </is>
      </c>
      <c r="B197" t="n">
        <v>1</v>
      </c>
      <c r="C197" s="2" t="inlineStr">
        <is>
          <t>Мария Новосельцева</t>
        </is>
      </c>
      <c r="D197" s="3" t="n">
        <v>29920</v>
      </c>
      <c r="E197" s="4" t="n">
        <v>15</v>
      </c>
      <c r="F197" t="inlineStr">
        <is>
          <t>«ЖилиБыли» [Чайковский]</t>
        </is>
      </c>
      <c r="G197" s="3">
        <f>ROUND(D197/(100-E197)*100,2)</f>
        <v/>
      </c>
      <c r="H197" s="3" t="n">
        <v>0</v>
      </c>
      <c r="I197" s="3">
        <f>ROUND(IF(ISNUMBER(AG197),AG197,G197)+H197,2)</f>
        <v/>
      </c>
      <c r="J197" s="2" t="inlineStr"/>
      <c r="K197" s="5" t="n">
        <v>46295.58333333334</v>
      </c>
      <c r="L197" t="n">
        <v>1</v>
      </c>
      <c r="M197" s="3">
        <f>I197/L197</f>
        <v/>
      </c>
      <c r="N197">
        <f>IF(M197&gt;=5100,"ставка","мин.ставка")</f>
        <v/>
      </c>
      <c r="O197" s="3">
        <f>ROUND(IF(N197="мин.ставка",L197*100,I197/102*2),2)</f>
        <v/>
      </c>
      <c r="P197" s="5" t="n">
        <v>46298.5</v>
      </c>
      <c r="Q197" t="inlineStr">
        <is>
          <t>TravelLine JLB</t>
        </is>
      </c>
      <c r="R197" s="2" t="inlineStr">
        <is>
          <t>УЛУЧШЕННЫЙ ДВУХМЕСТНЫЙ НОМЕР</t>
        </is>
      </c>
      <c r="S197" t="n">
        <v>56</v>
      </c>
      <c r="T197" t="n">
        <v>2</v>
      </c>
      <c r="U197" t="inlineStr"/>
      <c r="V197" t="inlineStr">
        <is>
          <t>Тариф с завтраком</t>
        </is>
      </c>
      <c r="W197" t="n">
        <v>29920</v>
      </c>
      <c r="X197" s="3" t="n">
        <v>5280</v>
      </c>
      <c r="Y197" t="inlineStr">
        <is>
          <t>15%</t>
        </is>
      </c>
      <c r="Z197" t="inlineStr">
        <is>
          <t>Не распределена по датам</t>
        </is>
      </c>
      <c r="AA197" s="3" t="n">
        <v>29920</v>
      </c>
      <c r="AB197" t="inlineStr">
        <is>
          <t>Сошлось по ночным тарифам</t>
        </is>
      </c>
      <c r="AC197" s="2" t="inlineStr"/>
      <c r="AD197" t="n">
        <v>0</v>
      </c>
      <c r="AE197" t="n">
        <v>0</v>
      </c>
      <c r="AF197" t="inlineStr">
        <is>
          <t>Частичный период: дата агрегированной скидки не определена; скидка не добавлена к базе</t>
        </is>
      </c>
      <c r="AG197" t="n">
        <v>11390</v>
      </c>
      <c r="AH197" t="n">
        <v>11390</v>
      </c>
      <c r="AI197" t="inlineStr">
        <is>
          <t>Частичное проживание распределено по dailyRates; скидка без даты не восстановлена</t>
        </is>
      </c>
    </row>
    <row r="198">
      <c r="A198" t="inlineStr">
        <is>
          <t>20260723-8186-448963382</t>
        </is>
      </c>
      <c r="B198" t="n">
        <v>1</v>
      </c>
      <c r="C198" s="2" t="inlineStr">
        <is>
          <t>МАРИЯ СЕЛИВЕРСТОВА</t>
        </is>
      </c>
      <c r="D198" s="3" t="n">
        <v>40200</v>
      </c>
      <c r="E198" s="4" t="n">
        <v>0</v>
      </c>
      <c r="F198" t="inlineStr">
        <is>
          <t>Прямые бронирования (стойка) [Чайковский]</t>
        </is>
      </c>
      <c r="G198" s="3">
        <f>ROUND(D198/(100-E198)*100,2)</f>
        <v/>
      </c>
      <c r="H198" s="3" t="n">
        <v>0</v>
      </c>
      <c r="I198" s="3">
        <f>ROUND(IF(ISNUMBER(AG198),AG198,G198)+H198,2)</f>
        <v/>
      </c>
      <c r="J198" s="2" t="inlineStr">
        <is>
          <t>Завтрак "Шведский стол"</t>
        </is>
      </c>
      <c r="K198" s="5" t="n">
        <v>46226.58333333334</v>
      </c>
      <c r="L198" t="n">
        <v>3</v>
      </c>
      <c r="M198" s="3">
        <f>I198/L198</f>
        <v/>
      </c>
      <c r="N198">
        <f>IF(M198&gt;=5100,"ставка","мин.ставка")</f>
        <v/>
      </c>
      <c r="O198" s="3">
        <f>ROUND(IF(N198="мин.ставка",L198*100,I198/102*2),2)</f>
        <v/>
      </c>
      <c r="P198" s="5" t="n">
        <v>46229.5</v>
      </c>
      <c r="Q198" t="inlineStr">
        <is>
          <t>TravelLine ресепшен</t>
        </is>
      </c>
      <c r="R198" s="2" t="inlineStr">
        <is>
          <t>УЛУЧШЕННЫЙ ДВУХМЕСТНЫЙ НОМЕР</t>
        </is>
      </c>
      <c r="S198" t="n">
        <v>59</v>
      </c>
      <c r="T198" t="n">
        <v>2</v>
      </c>
      <c r="U198" t="inlineStr"/>
      <c r="V198" t="inlineStr">
        <is>
          <t>Тариф с завтраком</t>
        </is>
      </c>
      <c r="W198" t="n">
        <v>40200</v>
      </c>
      <c r="X198" s="3" t="n">
        <v>0</v>
      </c>
      <c r="Y198" t="inlineStr"/>
      <c r="Z198" t="inlineStr"/>
      <c r="AA198" s="3" t="n">
        <v>40200</v>
      </c>
      <c r="AB198" t="inlineStr">
        <is>
          <t>Сошлось по ночным тарифам</t>
        </is>
      </c>
      <c r="AC198" s="2" t="inlineStr"/>
      <c r="AD198" t="n">
        <v>0</v>
      </c>
      <c r="AE198" t="n">
        <v>0</v>
      </c>
      <c r="AF198" t="inlineStr">
        <is>
          <t>Скидки нет</t>
        </is>
      </c>
      <c r="AG198" t="n">
        <v>40200</v>
      </c>
      <c r="AH198" t="n">
        <v>40200</v>
      </c>
      <c r="AI198" t="inlineStr">
        <is>
          <t>Полное проживание в выбранном периоде</t>
        </is>
      </c>
    </row>
    <row r="199">
      <c r="A199" t="inlineStr">
        <is>
          <t>20260810-8186-457515494</t>
        </is>
      </c>
      <c r="B199" t="n">
        <v>1</v>
      </c>
      <c r="C199" s="2" t="inlineStr">
        <is>
          <t>Михаил Дворкин, Мария Леевик, Герман Дворкин</t>
        </is>
      </c>
      <c r="D199" s="3" t="n">
        <v>14317.5</v>
      </c>
      <c r="E199" s="4" t="n">
        <v>17</v>
      </c>
      <c r="F199" t="inlineStr">
        <is>
          <t>ООО «Интернет Трэвел» (OZON) [Чайковский]</t>
        </is>
      </c>
      <c r="G199" s="3">
        <f>ROUND(D199/(100-E199)*100,2)</f>
        <v/>
      </c>
      <c r="H199" s="3" t="n">
        <v>0</v>
      </c>
      <c r="I199" s="3">
        <f>ROUND(IF(ISNUMBER(AG199),AG199,G199)+H199,2)</f>
        <v/>
      </c>
      <c r="J199" s="2" t="inlineStr">
        <is>
          <t>Завтрак "Шведский стол"</t>
        </is>
      </c>
      <c r="K199" s="5" t="n">
        <v>46244.58333333334</v>
      </c>
      <c r="L199" t="n">
        <v>1</v>
      </c>
      <c r="M199" s="3">
        <f>I199/L199</f>
        <v/>
      </c>
      <c r="N199">
        <f>IF(M199&gt;=5100,"ставка","мин.ставка")</f>
        <v/>
      </c>
      <c r="O199" s="3">
        <f>ROUND(IF(N199="мин.ставка",L199*100,I199/102*2),2)</f>
        <v/>
      </c>
      <c r="P199" s="5" t="n">
        <v>46245.5</v>
      </c>
      <c r="Q199" t="inlineStr">
        <is>
          <t>TravelLine OZ2</t>
        </is>
      </c>
      <c r="R199" s="2" t="inlineStr">
        <is>
          <t>СЕМЕЙНЫЙ НОМЕР КАТЕГОРИИ "СТАНДАРТ" ВТОРОЙ КОРПУС</t>
        </is>
      </c>
      <c r="S199" t="n">
        <v>50</v>
      </c>
      <c r="T199" t="n">
        <v>2</v>
      </c>
      <c r="U199" t="inlineStr"/>
      <c r="V199" t="inlineStr">
        <is>
          <t>Тариф с завтраком</t>
        </is>
      </c>
      <c r="W199" t="n">
        <v>14317.5</v>
      </c>
      <c r="X199" s="3" t="n">
        <v>2932.5</v>
      </c>
      <c r="Y199" t="inlineStr">
        <is>
          <t>17%</t>
        </is>
      </c>
      <c r="Z199" t="inlineStr">
        <is>
          <t>2026-08-10</t>
        </is>
      </c>
      <c r="AA199" s="3" t="n">
        <v>14317.5</v>
      </c>
      <c r="AB199" t="inlineStr">
        <is>
          <t>Сошлось по ночным тарифам</t>
        </is>
      </c>
      <c r="AC199" s="2" t="inlineStr"/>
      <c r="AD199" t="n">
        <v>2932.5</v>
      </c>
      <c r="AE199" t="n">
        <v>0</v>
      </c>
      <c r="AF199" t="inlineStr">
        <is>
          <t>Скидка добавлена к налоговой базе</t>
        </is>
      </c>
      <c r="AG199" t="n">
        <v>17250</v>
      </c>
      <c r="AH199" t="n">
        <v>14317.5</v>
      </c>
      <c r="AI199" t="inlineStr">
        <is>
          <t>Полное проживание в выбранном периоде</t>
        </is>
      </c>
    </row>
    <row r="200">
      <c r="A200" t="inlineStr">
        <is>
          <t>20260817-8186-435147824</t>
        </is>
      </c>
      <c r="B200" t="n">
        <v>1</v>
      </c>
      <c r="C200" s="2" t="inlineStr">
        <is>
          <t>Михаил Полежаев, МАРИЯ ПОЛЕЖАЕВА</t>
        </is>
      </c>
      <c r="D200" s="3" t="n">
        <v>40460</v>
      </c>
      <c r="E200" s="4" t="n">
        <v>0</v>
      </c>
      <c r="F200" t="inlineStr">
        <is>
          <t>Прямые бронирования (стойка) [Чайковский]</t>
        </is>
      </c>
      <c r="G200" s="3">
        <f>ROUND(D200/(100-E200)*100,2)</f>
        <v/>
      </c>
      <c r="H200" s="3" t="n">
        <v>19800</v>
      </c>
      <c r="I200" s="3">
        <f>ROUND(IF(ISNUMBER(AG200),AG200,G200)+H200,2)</f>
        <v/>
      </c>
      <c r="J200" s="2" t="inlineStr">
        <is>
          <t>продление номера — 3 000,00 ₽; продление номера — 16 800,00 ₽; Завтрак "Шведский стол"</t>
        </is>
      </c>
      <c r="K200" s="5" t="n">
        <v>46251.58333333334</v>
      </c>
      <c r="L200" t="n">
        <v>3</v>
      </c>
      <c r="M200" s="3">
        <f>I200/L200</f>
        <v/>
      </c>
      <c r="N200">
        <f>IF(M200&gt;=5100,"ставка","мин.ставка")</f>
        <v/>
      </c>
      <c r="O200" s="3">
        <f>ROUND(IF(N200="мин.ставка",L200*100,I200/102*2),2)</f>
        <v/>
      </c>
      <c r="P200" s="5" t="n">
        <v>46254.5</v>
      </c>
      <c r="Q200" t="inlineStr">
        <is>
          <t>TravelLine ресепшен</t>
        </is>
      </c>
      <c r="R200" s="2" t="inlineStr">
        <is>
          <t>СЕМЕЙНЫЙ НОМЕР КАТЕГОРИИ "СТАНДАРТ" ВТОРОЙ КОРПУС</t>
        </is>
      </c>
      <c r="S200" t="n">
        <v>51</v>
      </c>
      <c r="T200" t="n">
        <v>2</v>
      </c>
      <c r="U200" t="inlineStr"/>
      <c r="V200" t="inlineStr">
        <is>
          <t>Тариф с завтраком</t>
        </is>
      </c>
      <c r="W200" t="n">
        <v>60260</v>
      </c>
      <c r="X200" s="3" t="n">
        <v>2890</v>
      </c>
      <c r="Y200" t="inlineStr">
        <is>
          <t>10%</t>
        </is>
      </c>
      <c r="Z200" t="inlineStr">
        <is>
          <t>2026-08-18, 2026-08-19</t>
        </is>
      </c>
      <c r="AA200" s="3" t="n">
        <v>40460</v>
      </c>
      <c r="AB200" t="inlineStr">
        <is>
          <t>Сошлось с услугами</t>
        </is>
      </c>
      <c r="AC200" s="2" t="inlineStr"/>
      <c r="AD200" t="n">
        <v>2890</v>
      </c>
      <c r="AE200" t="n">
        <v>0</v>
      </c>
      <c r="AF200" t="inlineStr">
        <is>
          <t>Скидка добавлена к налоговой базе</t>
        </is>
      </c>
      <c r="AG200" t="n">
        <v>43350</v>
      </c>
      <c r="AH200" t="n">
        <v>40460</v>
      </c>
      <c r="AI200" t="inlineStr">
        <is>
          <t>Полное проживание в выбранном периоде</t>
        </is>
      </c>
    </row>
    <row r="201">
      <c r="A201" t="inlineStr">
        <is>
          <t>20260905-8186-460961015</t>
        </is>
      </c>
      <c r="B201" t="n">
        <v>1</v>
      </c>
      <c r="C201" s="2" t="inlineStr">
        <is>
          <t>Михаил Фролов, Оксана Фролова</t>
        </is>
      </c>
      <c r="D201" s="3" t="n">
        <v>88644</v>
      </c>
      <c r="E201" s="4" t="n">
        <v>17</v>
      </c>
      <c r="F201" t="inlineStr">
        <is>
          <t>ООО «Интернет Трэвел» (OZON) [Чайковский]</t>
        </is>
      </c>
      <c r="G201" s="3">
        <f>ROUND(D201/(100-E201)*100,2)</f>
        <v/>
      </c>
      <c r="H201" s="3" t="n">
        <v>0</v>
      </c>
      <c r="I201" s="3">
        <f>ROUND(IF(ISNUMBER(AG201),AG201,G201)+H201,2)</f>
        <v/>
      </c>
      <c r="J201" s="2" t="inlineStr">
        <is>
          <t>Завтрак "Шведский стол"</t>
        </is>
      </c>
      <c r="K201" s="5" t="n">
        <v>46270.58333333334</v>
      </c>
      <c r="L201" t="n">
        <v>8</v>
      </c>
      <c r="M201" s="3">
        <f>I201/L201</f>
        <v/>
      </c>
      <c r="N201">
        <f>IF(M201&gt;=5100,"ставка","мин.ставка")</f>
        <v/>
      </c>
      <c r="O201" s="3">
        <f>ROUND(IF(N201="мин.ставка",L201*100,I201/102*2),2)</f>
        <v/>
      </c>
      <c r="P201" s="5" t="n">
        <v>46278.5</v>
      </c>
      <c r="Q201" t="inlineStr">
        <is>
          <t>TravelLine OZ2</t>
        </is>
      </c>
      <c r="R201" s="2" t="inlineStr">
        <is>
          <t>СТАНДАРТНЫЙ ДВУХМЕСТНЫЙ НОМЕР</t>
        </is>
      </c>
      <c r="S201" t="n">
        <v>55</v>
      </c>
      <c r="T201" t="n">
        <v>2</v>
      </c>
      <c r="U201" t="inlineStr"/>
      <c r="V201" t="inlineStr">
        <is>
          <t>Тариф с завтраком</t>
        </is>
      </c>
      <c r="W201" t="n">
        <v>88644</v>
      </c>
      <c r="X201" s="3" t="n">
        <v>18156</v>
      </c>
      <c r="Y201" t="inlineStr">
        <is>
          <t>17%</t>
        </is>
      </c>
      <c r="Z201" t="inlineStr">
        <is>
          <t>2026-09-05, 2026-09-06, 2026-09-07, 2026-09-08, 2026-09-09, 2026-09-10, 2026-09-11, 2026-09-12</t>
        </is>
      </c>
      <c r="AA201" s="3" t="n">
        <v>88644</v>
      </c>
      <c r="AB201" t="inlineStr">
        <is>
          <t>Сошлось по ночным тарифам</t>
        </is>
      </c>
      <c r="AC201" s="2" t="inlineStr"/>
      <c r="AD201" t="n">
        <v>18156</v>
      </c>
      <c r="AE201" t="n">
        <v>0</v>
      </c>
      <c r="AF201" t="inlineStr">
        <is>
          <t>Скидка добавлена к налоговой базе</t>
        </is>
      </c>
      <c r="AG201" t="n">
        <v>106800</v>
      </c>
      <c r="AH201" t="n">
        <v>88644</v>
      </c>
      <c r="AI201" t="inlineStr">
        <is>
          <t>Полное проживание в выбранном периоде</t>
        </is>
      </c>
    </row>
    <row r="202">
      <c r="A202" t="inlineStr">
        <is>
          <t>20260702-8186-446408397</t>
        </is>
      </c>
      <c r="B202" t="n">
        <v>1</v>
      </c>
      <c r="C202" s="2" t="inlineStr">
        <is>
          <t>мохнов мохнов</t>
        </is>
      </c>
      <c r="D202" s="3" t="n">
        <v>14240</v>
      </c>
      <c r="E202" s="4" t="n">
        <v>0</v>
      </c>
      <c r="F202" t="inlineStr">
        <is>
          <t>Прямые бронирования (стойка) [Чайковский]</t>
        </is>
      </c>
      <c r="G202" s="3">
        <f>ROUND(D202/(100-E202)*100,2)</f>
        <v/>
      </c>
      <c r="H202" s="3" t="n">
        <v>0</v>
      </c>
      <c r="I202" s="3">
        <f>ROUND(IF(ISNUMBER(AG202),AG202,G202)+H202,2)</f>
        <v/>
      </c>
      <c r="J202" s="2" t="inlineStr">
        <is>
          <t>Завтрак "Шведский стол"</t>
        </is>
      </c>
      <c r="K202" s="5" t="n">
        <v>46205.58333333334</v>
      </c>
      <c r="L202" t="n">
        <v>1</v>
      </c>
      <c r="M202" s="3">
        <f>I202/L202</f>
        <v/>
      </c>
      <c r="N202">
        <f>IF(M202&gt;=5100,"ставка","мин.ставка")</f>
        <v/>
      </c>
      <c r="O202" s="3">
        <f>ROUND(IF(N202="мин.ставка",L202*100,I202/102*2),2)</f>
        <v/>
      </c>
      <c r="P202" s="5" t="n">
        <v>46206.5</v>
      </c>
      <c r="Q202" t="inlineStr">
        <is>
          <t>TravelLine ресепшен</t>
        </is>
      </c>
      <c r="R202" s="2" t="inlineStr">
        <is>
          <t>ЛЮКС ВТОРОЙ КОРПУС</t>
        </is>
      </c>
      <c r="S202" t="n">
        <v>53</v>
      </c>
      <c r="T202" t="n">
        <v>2</v>
      </c>
      <c r="U202" t="inlineStr"/>
      <c r="V202" t="inlineStr">
        <is>
          <t>Тариф с завтраком</t>
        </is>
      </c>
      <c r="W202" t="n">
        <v>14240</v>
      </c>
      <c r="X202" s="3" t="n">
        <v>3560</v>
      </c>
      <c r="Y202" t="inlineStr">
        <is>
          <t>20%</t>
        </is>
      </c>
      <c r="Z202" t="inlineStr">
        <is>
          <t>2026-07-02</t>
        </is>
      </c>
      <c r="AA202" s="3" t="n">
        <v>14240</v>
      </c>
      <c r="AB202" t="inlineStr">
        <is>
          <t>Сошлось по ночным тарифам</t>
        </is>
      </c>
      <c r="AC202" s="2" t="inlineStr"/>
      <c r="AD202" t="n">
        <v>3560</v>
      </c>
      <c r="AE202" t="n">
        <v>0</v>
      </c>
      <c r="AF202" t="inlineStr">
        <is>
          <t>Скидка добавлена к налоговой базе</t>
        </is>
      </c>
      <c r="AG202" t="n">
        <v>17800</v>
      </c>
      <c r="AH202" t="n">
        <v>14240</v>
      </c>
      <c r="AI202" t="inlineStr">
        <is>
          <t>Полное проживание в выбранном периоде</t>
        </is>
      </c>
    </row>
    <row r="203">
      <c r="A203" t="inlineStr">
        <is>
          <t>20260822-8186-427442163</t>
        </is>
      </c>
      <c r="B203" t="n">
        <v>1</v>
      </c>
      <c r="C203" s="2" t="inlineStr">
        <is>
          <t>МУРАТ ГАНЕЕВ, ИРИНА АБРАМОВА</t>
        </is>
      </c>
      <c r="D203" s="3" t="n">
        <v>68174</v>
      </c>
      <c r="E203" s="4" t="n">
        <v>17</v>
      </c>
      <c r="F203" t="inlineStr">
        <is>
          <t>ООО "ОНЛАЙН ИННОВАЦИИ" (101 Отель) [Чайковский]</t>
        </is>
      </c>
      <c r="G203" s="3">
        <f>ROUND(D203/(100-E203)*100,2)</f>
        <v/>
      </c>
      <c r="H203" s="3" t="n">
        <v>0</v>
      </c>
      <c r="I203" s="3">
        <f>ROUND(IF(ISNUMBER(AG203),AG203,G203)+H203,2)</f>
        <v/>
      </c>
      <c r="J203" s="2" t="inlineStr">
        <is>
          <t>Завтрак "Шведский стол"</t>
        </is>
      </c>
      <c r="K203" s="5" t="n">
        <v>46256.58333333334</v>
      </c>
      <c r="L203" t="n">
        <v>4</v>
      </c>
      <c r="M203" s="3">
        <f>I203/L203</f>
        <v/>
      </c>
      <c r="N203">
        <f>IF(M203&gt;=5100,"ставка","мин.ставка")</f>
        <v/>
      </c>
      <c r="O203" s="3">
        <f>ROUND(IF(N203="мин.ставка",L203*100,I203/102*2),2)</f>
        <v/>
      </c>
      <c r="P203" s="5" t="n">
        <v>46260.5</v>
      </c>
      <c r="Q203" t="inlineStr">
        <is>
          <t>TravelLine H1C</t>
        </is>
      </c>
      <c r="R203" s="2" t="inlineStr">
        <is>
          <t>ЛЮКС</t>
        </is>
      </c>
      <c r="S203" t="n">
        <v>53</v>
      </c>
      <c r="T203" t="n">
        <v>2</v>
      </c>
      <c r="U203" t="inlineStr"/>
      <c r="V203" t="inlineStr">
        <is>
          <t>Тариф с завтраком</t>
        </is>
      </c>
      <c r="W203" t="n">
        <v>68174</v>
      </c>
      <c r="X203" s="3" t="n">
        <v>3026</v>
      </c>
      <c r="Y203" t="inlineStr">
        <is>
          <t>17%</t>
        </is>
      </c>
      <c r="Z203" t="inlineStr">
        <is>
          <t>2026-08-22</t>
        </is>
      </c>
      <c r="AA203" s="3" t="n">
        <v>68174</v>
      </c>
      <c r="AB203" t="inlineStr">
        <is>
          <t>Сошлось по ночным тарифам</t>
        </is>
      </c>
      <c r="AC203" s="2" t="inlineStr"/>
      <c r="AD203" t="n">
        <v>3026</v>
      </c>
      <c r="AE203" t="n">
        <v>0</v>
      </c>
      <c r="AF203" t="inlineStr">
        <is>
          <t>Скидка добавлена к налоговой базе</t>
        </is>
      </c>
      <c r="AG203" t="n">
        <v>71200</v>
      </c>
      <c r="AH203" t="n">
        <v>68174</v>
      </c>
      <c r="AI203" t="inlineStr">
        <is>
          <t>Полное проживание в выбранном периоде</t>
        </is>
      </c>
    </row>
    <row r="204">
      <c r="A204" t="inlineStr">
        <is>
          <t>20260630-8186-444909188</t>
        </is>
      </c>
      <c r="B204" t="n">
        <v>1</v>
      </c>
      <c r="C204" s="2" t="inlineStr">
        <is>
          <t>Надежда Еремеева</t>
        </is>
      </c>
      <c r="D204" s="3" t="n">
        <v>21440</v>
      </c>
      <c r="E204" s="4" t="n">
        <v>20</v>
      </c>
      <c r="F204" t="inlineStr">
        <is>
          <t>ООО "УК ГЦБ и Т" [Чайковский]</t>
        </is>
      </c>
      <c r="G204" s="3">
        <f>ROUND(D204/(100-E204)*100,2)</f>
        <v/>
      </c>
      <c r="H204" s="3" t="n">
        <v>0</v>
      </c>
      <c r="I204" s="3">
        <f>ROUND(IF(ISNUMBER(AG204),AG204,G204)+H204,2)</f>
        <v/>
      </c>
      <c r="J204" s="2" t="inlineStr"/>
      <c r="K204" s="5" t="n">
        <v>46203.58333333334</v>
      </c>
      <c r="L204" t="n">
        <v>1</v>
      </c>
      <c r="M204" s="3">
        <f>I204/L204</f>
        <v/>
      </c>
      <c r="N204">
        <f>IF(M204&gt;=5100,"ставка","мин.ставка")</f>
        <v/>
      </c>
      <c r="O204" s="3">
        <f>ROUND(IF(N204="мин.ставка",L204*100,I204/102*2),2)</f>
        <v/>
      </c>
      <c r="P204" s="5" t="n">
        <v>46205.5</v>
      </c>
      <c r="Q204" t="inlineStr">
        <is>
          <t>TravelLine CBC</t>
        </is>
      </c>
      <c r="R204" s="2" t="inlineStr">
        <is>
          <t>УЛУЧШЕННЫЙ ДВУХМЕСТНЫЙ НОМЕР</t>
        </is>
      </c>
      <c r="S204" t="n">
        <v>56</v>
      </c>
      <c r="T204" t="n">
        <v>2</v>
      </c>
      <c r="U204" t="inlineStr"/>
      <c r="V204" t="inlineStr">
        <is>
          <t>Тариф с завтраком</t>
        </is>
      </c>
      <c r="W204" t="n">
        <v>21440</v>
      </c>
      <c r="X204" s="3" t="n">
        <v>5360</v>
      </c>
      <c r="Y204" t="inlineStr">
        <is>
          <t>20%</t>
        </is>
      </c>
      <c r="Z204" t="inlineStr">
        <is>
          <t>2026-06-30, 2026-07-01</t>
        </is>
      </c>
      <c r="AA204" s="3" t="n">
        <v>21440</v>
      </c>
      <c r="AB204" t="inlineStr">
        <is>
          <t>Сошлось по ночным тарифам</t>
        </is>
      </c>
      <c r="AC204" s="2" t="inlineStr"/>
      <c r="AD204" t="n">
        <v>2680</v>
      </c>
      <c r="AE204" t="n">
        <v>0</v>
      </c>
      <c r="AF204" t="inlineStr">
        <is>
          <t>Ночи скидки определены по dailyRates; в базу добавлена только часть выбранного периода</t>
        </is>
      </c>
      <c r="AG204" t="n">
        <v>13400</v>
      </c>
      <c r="AH204" t="n">
        <v>10720</v>
      </c>
      <c r="AI204" t="inlineStr">
        <is>
          <t>Частичное проживание распределено по dailyRates</t>
        </is>
      </c>
    </row>
    <row r="205">
      <c r="A205" t="inlineStr">
        <is>
          <t>20260906-8186-464058568</t>
        </is>
      </c>
      <c r="B205" t="n">
        <v>1</v>
      </c>
      <c r="C205" s="2" t="inlineStr">
        <is>
          <t>Наталья Волнянская, ВИКТОР ПРОЦЕНКО</t>
        </is>
      </c>
      <c r="D205" s="3" t="n">
        <v>27720</v>
      </c>
      <c r="E205" s="4" t="n">
        <v>0</v>
      </c>
      <c r="F205" t="inlineStr">
        <is>
          <t>Прямые бронирования (стойка) [Чайковский]</t>
        </is>
      </c>
      <c r="G205" s="3">
        <f>ROUND(D205/(100-E205)*100,2)</f>
        <v/>
      </c>
      <c r="H205" s="3" t="n">
        <v>1520</v>
      </c>
      <c r="I205" s="3">
        <f>ROUND(IF(ISNUMBER(AG205),AG205,G205)+H205,2)</f>
        <v/>
      </c>
      <c r="J205" s="2" t="inlineStr">
        <is>
          <t>продление номера — 1 520,00 ₽; Завтрак "Шведский стол"</t>
        </is>
      </c>
      <c r="K205" s="5" t="n">
        <v>46271.58333333334</v>
      </c>
      <c r="L205" t="n">
        <v>2</v>
      </c>
      <c r="M205" s="3">
        <f>I205/L205</f>
        <v/>
      </c>
      <c r="N205">
        <f>IF(M205&gt;=5100,"ставка","мин.ставка")</f>
        <v/>
      </c>
      <c r="O205" s="3">
        <f>ROUND(IF(N205="мин.ставка",L205*100,I205/102*2),2)</f>
        <v/>
      </c>
      <c r="P205" s="5" t="n">
        <v>46273.5</v>
      </c>
      <c r="Q205" t="inlineStr">
        <is>
          <t>TravelLine ресепшен</t>
        </is>
      </c>
      <c r="R205" s="2" t="inlineStr">
        <is>
          <t>УЛУЧШЕННЫЙ ДВУХМЕСТНЫЙ НОМЕР</t>
        </is>
      </c>
      <c r="S205" t="n">
        <v>56</v>
      </c>
      <c r="T205" t="n">
        <v>2</v>
      </c>
      <c r="U205" t="inlineStr"/>
      <c r="V205" t="inlineStr">
        <is>
          <t>Тариф с завтраком</t>
        </is>
      </c>
      <c r="W205" t="n">
        <v>29240</v>
      </c>
      <c r="X205" s="3" t="n">
        <v>3080</v>
      </c>
      <c r="Y205" t="inlineStr">
        <is>
          <t>10%</t>
        </is>
      </c>
      <c r="Z205" t="inlineStr">
        <is>
          <t>2026-09-06, 2026-09-07</t>
        </is>
      </c>
      <c r="AA205" s="3" t="n">
        <v>27720</v>
      </c>
      <c r="AB205" t="inlineStr">
        <is>
          <t>Сошлось с услугами</t>
        </is>
      </c>
      <c r="AC205" s="2" t="inlineStr"/>
      <c r="AD205" t="n">
        <v>3080</v>
      </c>
      <c r="AE205" t="n">
        <v>0</v>
      </c>
      <c r="AF205" t="inlineStr">
        <is>
          <t>Скидка добавлена к налоговой базе</t>
        </is>
      </c>
      <c r="AG205" t="n">
        <v>30800</v>
      </c>
      <c r="AH205" t="n">
        <v>27720</v>
      </c>
      <c r="AI205" t="inlineStr">
        <is>
          <t>Полное проживание в выбранном периоде</t>
        </is>
      </c>
    </row>
    <row r="206">
      <c r="A206" t="inlineStr">
        <is>
          <t>20260708-8186-426313855</t>
        </is>
      </c>
      <c r="B206" t="n">
        <v>1</v>
      </c>
      <c r="C206" s="2" t="inlineStr">
        <is>
          <t>НАТАЛЬЯ ДЕРНОВА, Виталий Савельев</t>
        </is>
      </c>
      <c r="D206" s="3" t="n">
        <v>71200</v>
      </c>
      <c r="E206" s="4" t="n">
        <v>4</v>
      </c>
      <c r="F206" t="inlineStr">
        <is>
          <t>TravelLine Booking Engine [Чайковский]</t>
        </is>
      </c>
      <c r="G206" s="3">
        <f>ROUND(D206/(100-E206)*100,2)</f>
        <v/>
      </c>
      <c r="H206" s="3" t="n">
        <v>1900</v>
      </c>
      <c r="I206" s="3">
        <f>ROUND(IF(ISNUMBER(AG206),AG206,G206)+H206,2)</f>
        <v/>
      </c>
      <c r="J206" s="2" t="inlineStr">
        <is>
          <t>продление номера — 1 600,00 ₽; продление номера — 300,00 ₽; Завтрак "Шведский стол"</t>
        </is>
      </c>
      <c r="K206" s="5" t="n">
        <v>46211.58333333334</v>
      </c>
      <c r="L206" t="n">
        <v>4</v>
      </c>
      <c r="M206" s="3">
        <f>I206/L206</f>
        <v/>
      </c>
      <c r="N206">
        <f>IF(M206&gt;=5100,"ставка","мин.ставка")</f>
        <v/>
      </c>
      <c r="O206" s="3">
        <f>ROUND(IF(N206="мин.ставка",L206*100,I206/102*2),2)</f>
        <v/>
      </c>
      <c r="P206" s="5" t="n">
        <v>46215.5</v>
      </c>
      <c r="Q206" t="inlineStr">
        <is>
          <t>TravelLine сайт</t>
        </is>
      </c>
      <c r="R206" s="2" t="inlineStr">
        <is>
          <t>ЛЮКС</t>
        </is>
      </c>
      <c r="S206" t="n">
        <v>54</v>
      </c>
      <c r="T206" t="n">
        <v>2</v>
      </c>
      <c r="U206" t="inlineStr"/>
      <c r="V206" t="inlineStr">
        <is>
          <t>Тариф с завтраком</t>
        </is>
      </c>
      <c r="W206" t="n">
        <v>73100</v>
      </c>
      <c r="X206" s="3" t="n">
        <v>0</v>
      </c>
      <c r="Y206" t="inlineStr"/>
      <c r="Z206" t="inlineStr"/>
      <c r="AA206" s="3" t="n">
        <v>71200</v>
      </c>
      <c r="AB206" t="inlineStr">
        <is>
          <t>Сошлось с услугами</t>
        </is>
      </c>
      <c r="AC206" s="2" t="inlineStr"/>
      <c r="AD206" t="n">
        <v>0</v>
      </c>
      <c r="AE206" t="n">
        <v>0</v>
      </c>
      <c r="AF206" t="inlineStr">
        <is>
          <t>Скидки нет</t>
        </is>
      </c>
      <c r="AG206" t="n">
        <v>71200</v>
      </c>
      <c r="AH206" t="n">
        <v>71200</v>
      </c>
      <c r="AI206" t="inlineStr">
        <is>
          <t>Полное проживание в выбранном периоде</t>
        </is>
      </c>
    </row>
    <row r="207">
      <c r="A207" t="inlineStr">
        <is>
          <t>20260915-8186-459193237</t>
        </is>
      </c>
      <c r="B207" t="n">
        <v>1</v>
      </c>
      <c r="C207" s="2" t="inlineStr">
        <is>
          <t>Наталья Жукова</t>
        </is>
      </c>
      <c r="D207" s="3" t="n">
        <v>27921</v>
      </c>
      <c r="E207" s="4" t="n">
        <v>18</v>
      </c>
      <c r="F207" t="inlineStr">
        <is>
          <t>ООО "Эй энд Эй" [Чайковский]</t>
        </is>
      </c>
      <c r="G207" s="3">
        <f>ROUND(D207/(100-E207)*100,2)</f>
        <v/>
      </c>
      <c r="H207" s="3" t="n">
        <v>0</v>
      </c>
      <c r="I207" s="3">
        <f>ROUND(IF(ISNUMBER(AG207),AG207,G207)+H207,2)</f>
        <v/>
      </c>
      <c r="J207" s="2" t="inlineStr">
        <is>
          <t>Завтрак "Шведский стол"</t>
        </is>
      </c>
      <c r="K207" s="5" t="n">
        <v>46280.58333333334</v>
      </c>
      <c r="L207" t="n">
        <v>3</v>
      </c>
      <c r="M207" s="3">
        <f>I207/L207</f>
        <v/>
      </c>
      <c r="N207">
        <f>IF(M207&gt;=5100,"ставка","мин.ставка")</f>
        <v/>
      </c>
      <c r="O207" s="3">
        <f>ROUND(IF(N207="мин.ставка",L207*100,I207/102*2),2)</f>
        <v/>
      </c>
      <c r="P207" s="5" t="n">
        <v>46283.5</v>
      </c>
      <c r="Q207" t="inlineStr">
        <is>
          <t>TravelLine ANA</t>
        </is>
      </c>
      <c r="R207" s="2" t="inlineStr">
        <is>
          <t>СТАНДАРТНЫЙ ДВУХМЕСТНЫЙ НОМЕР</t>
        </is>
      </c>
      <c r="S207" t="n">
        <v>58</v>
      </c>
      <c r="T207" t="n">
        <v>2</v>
      </c>
      <c r="U207" t="inlineStr"/>
      <c r="V207" t="inlineStr">
        <is>
          <t>Тариф с завтраком</t>
        </is>
      </c>
      <c r="W207" t="n">
        <v>27921</v>
      </c>
      <c r="X207" s="3" t="n">
        <v>6129</v>
      </c>
      <c r="Y207" t="inlineStr">
        <is>
          <t>18%</t>
        </is>
      </c>
      <c r="Z207" t="inlineStr">
        <is>
          <t>2026-09-15, 2026-09-16, 2026-09-17</t>
        </is>
      </c>
      <c r="AA207" s="3" t="n">
        <v>27921</v>
      </c>
      <c r="AB207" t="inlineStr">
        <is>
          <t>Сошлось по ночным тарифам</t>
        </is>
      </c>
      <c r="AC207" s="2" t="inlineStr"/>
      <c r="AD207" t="n">
        <v>6129</v>
      </c>
      <c r="AE207" t="n">
        <v>0</v>
      </c>
      <c r="AF207" t="inlineStr">
        <is>
          <t>Скидка добавлена к налоговой базе</t>
        </is>
      </c>
      <c r="AG207" t="n">
        <v>34050</v>
      </c>
      <c r="AH207" t="n">
        <v>27921</v>
      </c>
      <c r="AI207" t="inlineStr">
        <is>
          <t>Полное проживание в выбранном периоде</t>
        </is>
      </c>
    </row>
    <row r="208">
      <c r="A208" t="inlineStr">
        <is>
          <t>20260907-8186-455643629</t>
        </is>
      </c>
      <c r="B208" t="n">
        <v>1</v>
      </c>
      <c r="C208" s="2" t="inlineStr">
        <is>
          <t>Наталья Коноваленко, ВИКТОРИЯ ХРОМОВА</t>
        </is>
      </c>
      <c r="D208" s="3" t="n">
        <v>52986.15</v>
      </c>
      <c r="E208" s="4" t="n">
        <v>4</v>
      </c>
      <c r="F208" t="inlineStr">
        <is>
          <t>TravelLine Booking Engine [Чайковский]</t>
        </is>
      </c>
      <c r="G208" s="3">
        <f>ROUND(D208/(100-E208)*100,2)</f>
        <v/>
      </c>
      <c r="H208" s="3" t="n">
        <v>0</v>
      </c>
      <c r="I208" s="3">
        <f>ROUND(IF(ISNUMBER(AG208),AG208,G208)+H208,2)</f>
        <v/>
      </c>
      <c r="J208" s="2" t="inlineStr">
        <is>
          <t>Завтрак "Шведский стол"</t>
        </is>
      </c>
      <c r="K208" s="5" t="n">
        <v>46272.58333333334</v>
      </c>
      <c r="L208" t="n">
        <v>4</v>
      </c>
      <c r="M208" s="3">
        <f>I208/L208</f>
        <v/>
      </c>
      <c r="N208">
        <f>IF(M208&gt;=5100,"ставка","мин.ставка")</f>
        <v/>
      </c>
      <c r="O208" s="3">
        <f>ROUND(IF(N208="мин.ставка",L208*100,I208/102*2),2)</f>
        <v/>
      </c>
      <c r="P208" s="5" t="n">
        <v>46276.5</v>
      </c>
      <c r="Q208" t="inlineStr">
        <is>
          <t>TravelLine сайт</t>
        </is>
      </c>
      <c r="R208" s="2" t="inlineStr">
        <is>
          <t>СЕМЕЙНЫЙ НОМЕР КАТЕГОРИИ "СТАНДАРТ" ВТОРОЙ КОРПУС</t>
        </is>
      </c>
      <c r="S208" t="n">
        <v>50</v>
      </c>
      <c r="T208" t="n">
        <v>2</v>
      </c>
      <c r="U208" t="inlineStr"/>
      <c r="V208" t="inlineStr">
        <is>
          <t>Тариф с завтраком</t>
        </is>
      </c>
      <c r="W208" t="n">
        <v>52986.15</v>
      </c>
      <c r="X208" s="3" t="n">
        <v>413.85</v>
      </c>
      <c r="Y208" t="inlineStr">
        <is>
          <t>3.1%</t>
        </is>
      </c>
      <c r="Z208" t="inlineStr">
        <is>
          <t>2026-09-07</t>
        </is>
      </c>
      <c r="AA208" s="3" t="n">
        <v>52986.15</v>
      </c>
      <c r="AB208" t="inlineStr">
        <is>
          <t>Сошлось по ночным тарифам</t>
        </is>
      </c>
      <c r="AC208" s="2" t="inlineStr"/>
      <c r="AD208" t="n">
        <v>413.85</v>
      </c>
      <c r="AE208" t="n">
        <v>0</v>
      </c>
      <c r="AF208" t="inlineStr">
        <is>
          <t>Скидка добавлена к налоговой базе</t>
        </is>
      </c>
      <c r="AG208" t="n">
        <v>53400</v>
      </c>
      <c r="AH208" t="n">
        <v>52986.15</v>
      </c>
      <c r="AI208" t="inlineStr">
        <is>
          <t>Полное проживание в выбранном периоде</t>
        </is>
      </c>
    </row>
    <row r="209">
      <c r="A209" t="inlineStr">
        <is>
          <t>20260811-8186-451623831</t>
        </is>
      </c>
      <c r="B209" t="n">
        <v>1</v>
      </c>
      <c r="C209" s="2" t="inlineStr">
        <is>
          <t>Наталья Копейкина, Андрей Копейкин</t>
        </is>
      </c>
      <c r="D209" s="3" t="n">
        <v>26180</v>
      </c>
      <c r="E209" s="4" t="n">
        <v>16</v>
      </c>
      <c r="F209" t="inlineStr">
        <is>
          <t>ООО "БРОНИРОВАНИЕ ГОСТИНИЦ" (OSTROVOK) [Чайковский]</t>
        </is>
      </c>
      <c r="G209" s="3">
        <f>ROUND(D209/(100-E209)*100,2)</f>
        <v/>
      </c>
      <c r="H209" s="3" t="n">
        <v>0</v>
      </c>
      <c r="I209" s="3">
        <f>ROUND(IF(ISNUMBER(AG209),AG209,G209)+H209,2)</f>
        <v/>
      </c>
      <c r="J209" s="2" t="inlineStr">
        <is>
          <t>Завтрак "Шведский стол"</t>
        </is>
      </c>
      <c r="K209" s="5" t="n">
        <v>46245.58333333334</v>
      </c>
      <c r="L209" t="n">
        <v>2</v>
      </c>
      <c r="M209" s="3">
        <f>I209/L209</f>
        <v/>
      </c>
      <c r="N209">
        <f>IF(M209&gt;=5100,"ставка","мин.ставка")</f>
        <v/>
      </c>
      <c r="O209" s="3">
        <f>ROUND(IF(N209="мин.ставка",L209*100,I209/102*2),2)</f>
        <v/>
      </c>
      <c r="P209" s="5" t="n">
        <v>46247.5</v>
      </c>
      <c r="Q209" t="inlineStr">
        <is>
          <t>TravelLine OTK</t>
        </is>
      </c>
      <c r="R209" s="2" t="inlineStr">
        <is>
          <t>УЛУЧШЕННЫЙ ДВУХМЕСТНЫЙ НОМЕР</t>
        </is>
      </c>
      <c r="S209" t="n">
        <v>59</v>
      </c>
      <c r="T209" t="n">
        <v>2</v>
      </c>
      <c r="U209" t="inlineStr"/>
      <c r="V209" t="inlineStr">
        <is>
          <t>Тариф с завтраком</t>
        </is>
      </c>
      <c r="W209" t="n">
        <v>26180</v>
      </c>
      <c r="X209" s="3" t="n">
        <v>4620</v>
      </c>
      <c r="Y209" t="inlineStr">
        <is>
          <t>15%</t>
        </is>
      </c>
      <c r="Z209" t="inlineStr">
        <is>
          <t>2026-08-11, 2026-08-12</t>
        </is>
      </c>
      <c r="AA209" s="3" t="n">
        <v>26180</v>
      </c>
      <c r="AB209" t="inlineStr">
        <is>
          <t>Сошлось по ночным тарифам</t>
        </is>
      </c>
      <c r="AC209" s="2" t="inlineStr"/>
      <c r="AD209" t="n">
        <v>4620</v>
      </c>
      <c r="AE209" t="n">
        <v>0</v>
      </c>
      <c r="AF209" t="inlineStr">
        <is>
          <t>Скидка добавлена к налоговой базе</t>
        </is>
      </c>
      <c r="AG209" t="n">
        <v>30800</v>
      </c>
      <c r="AH209" t="n">
        <v>26180</v>
      </c>
      <c r="AI209" t="inlineStr">
        <is>
          <t>Полное проживание в выбранном периоде</t>
        </is>
      </c>
    </row>
    <row r="210">
      <c r="A210" t="inlineStr">
        <is>
          <t>20260701-8186-446759137</t>
        </is>
      </c>
      <c r="B210" t="n">
        <v>1</v>
      </c>
      <c r="C210" s="2" t="inlineStr">
        <is>
          <t>НАТАЛЬЯ ЛЕОСКО</t>
        </is>
      </c>
      <c r="D210" s="3" t="n">
        <v>16560</v>
      </c>
      <c r="E210" s="4" t="n">
        <v>20</v>
      </c>
      <c r="F210" t="inlineStr">
        <is>
          <t>ООО "ХБ-ПРО" [Чайковский]</t>
        </is>
      </c>
      <c r="G210" s="3">
        <f>ROUND(D210/(100-E210)*100,2)</f>
        <v/>
      </c>
      <c r="H210" s="3" t="n">
        <v>0</v>
      </c>
      <c r="I210" s="3">
        <f>ROUND(IF(ISNUMBER(AG210),AG210,G210)+H210,2)</f>
        <v/>
      </c>
      <c r="J210" s="2" t="inlineStr">
        <is>
          <t>Завтрак "Шведский стол"</t>
        </is>
      </c>
      <c r="K210" s="5" t="n">
        <v>46204.58333333334</v>
      </c>
      <c r="L210" t="n">
        <v>2</v>
      </c>
      <c r="M210" s="3">
        <f>I210/L210</f>
        <v/>
      </c>
      <c r="N210">
        <f>IF(M210&gt;=5100,"ставка","мин.ставка")</f>
        <v/>
      </c>
      <c r="O210" s="3">
        <f>ROUND(IF(N210="мин.ставка",L210*100,I210/102*2),2)</f>
        <v/>
      </c>
      <c r="P210" s="5" t="n">
        <v>46206.5</v>
      </c>
      <c r="Q210" t="inlineStr">
        <is>
          <t>TravelLine UTS</t>
        </is>
      </c>
      <c r="R210" s="2" t="inlineStr">
        <is>
          <t>СЕМЕЙНЫЙ НОМЕР КАТЕГОРИИ "СТАНДАРТ" ВТОРОЙ КОРПУС</t>
        </is>
      </c>
      <c r="S210" t="n">
        <v>50</v>
      </c>
      <c r="T210" t="n">
        <v>2</v>
      </c>
      <c r="U210" t="inlineStr"/>
      <c r="V210" t="inlineStr">
        <is>
          <t>Тариф с завтраком</t>
        </is>
      </c>
      <c r="W210" t="n">
        <v>16560</v>
      </c>
      <c r="X210" s="3" t="n">
        <v>0</v>
      </c>
      <c r="Y210" t="inlineStr"/>
      <c r="Z210" t="inlineStr"/>
      <c r="AA210" s="3" t="n">
        <v>16560</v>
      </c>
      <c r="AB210" t="inlineStr">
        <is>
          <t>Сошлось по ночным тарифам</t>
        </is>
      </c>
      <c r="AC210" s="2" t="inlineStr"/>
      <c r="AD210" t="n">
        <v>0</v>
      </c>
      <c r="AE210" t="n">
        <v>0</v>
      </c>
      <c r="AF210" t="inlineStr">
        <is>
          <t>Скидки нет</t>
        </is>
      </c>
      <c r="AG210" t="n">
        <v>16560</v>
      </c>
      <c r="AH210" t="n">
        <v>16560</v>
      </c>
      <c r="AI210" t="inlineStr">
        <is>
          <t>Полное проживание в выбранном периоде</t>
        </is>
      </c>
    </row>
    <row r="211">
      <c r="A211" t="inlineStr">
        <is>
          <t>20260721-8186-450735881</t>
        </is>
      </c>
      <c r="B211" t="n">
        <v>1</v>
      </c>
      <c r="C211" s="2" t="inlineStr">
        <is>
          <t>НАТАЛЬЯ НИКОНОВА, Яков Никонов</t>
        </is>
      </c>
      <c r="D211" s="3" t="n">
        <v>37920</v>
      </c>
      <c r="E211" s="4" t="n">
        <v>20</v>
      </c>
      <c r="F211" t="inlineStr">
        <is>
          <t>ООО "ХБ-ПРО" [Чайковский]</t>
        </is>
      </c>
      <c r="G211" s="3">
        <f>ROUND(D211/(100-E211)*100,2)</f>
        <v/>
      </c>
      <c r="H211" s="3" t="n">
        <v>6000</v>
      </c>
      <c r="I211" s="3">
        <f>ROUND(IF(ISNUMBER(AG211),AG211,G211)+H211,2)</f>
        <v/>
      </c>
      <c r="J211" s="2" t="inlineStr">
        <is>
          <t>продление номера — 6 000,00 ₽; Завтрак "Шведский стол"</t>
        </is>
      </c>
      <c r="K211" s="5" t="n">
        <v>46224.58333333334</v>
      </c>
      <c r="L211" t="n">
        <v>3</v>
      </c>
      <c r="M211" s="3">
        <f>I211/L211</f>
        <v/>
      </c>
      <c r="N211">
        <f>IF(M211&gt;=5100,"ставка","мин.ставка")</f>
        <v/>
      </c>
      <c r="O211" s="3">
        <f>ROUND(IF(N211="мин.ставка",L211*100,I211/102*2),2)</f>
        <v/>
      </c>
      <c r="P211" s="5" t="n">
        <v>46227.5</v>
      </c>
      <c r="Q211" t="inlineStr">
        <is>
          <t>TravelLine UTS</t>
        </is>
      </c>
      <c r="R211" s="2" t="inlineStr">
        <is>
          <t>ЛЮКС ВТОРОЙ КОРПУС</t>
        </is>
      </c>
      <c r="S211" t="n">
        <v>57</v>
      </c>
      <c r="T211" t="n">
        <v>2</v>
      </c>
      <c r="U211" t="inlineStr"/>
      <c r="V211" t="inlineStr">
        <is>
          <t>Тариф с завтраком</t>
        </is>
      </c>
      <c r="W211" t="n">
        <v>43920</v>
      </c>
      <c r="X211" s="3" t="n">
        <v>0</v>
      </c>
      <c r="Y211" t="inlineStr"/>
      <c r="Z211" t="inlineStr"/>
      <c r="AA211" s="3" t="n">
        <v>37920</v>
      </c>
      <c r="AB211" t="inlineStr">
        <is>
          <t>Сошлось с услугами</t>
        </is>
      </c>
      <c r="AC211" s="2" t="inlineStr"/>
      <c r="AD211" t="n">
        <v>0</v>
      </c>
      <c r="AE211" t="n">
        <v>0</v>
      </c>
      <c r="AF211" t="inlineStr">
        <is>
          <t>Скидки нет</t>
        </is>
      </c>
      <c r="AG211" t="n">
        <v>37920</v>
      </c>
      <c r="AH211" t="n">
        <v>37920</v>
      </c>
      <c r="AI211" t="inlineStr">
        <is>
          <t>Полное проживание в выбранном периоде</t>
        </is>
      </c>
    </row>
    <row r="212">
      <c r="A212" t="inlineStr">
        <is>
          <t>20260929-8186-468991538</t>
        </is>
      </c>
      <c r="B212" t="n">
        <v>1</v>
      </c>
      <c r="C212" s="2" t="inlineStr">
        <is>
          <t>Наталья Поночевная, RYOTARO MIYASHITA</t>
        </is>
      </c>
      <c r="D212" s="3" t="n">
        <v>42925</v>
      </c>
      <c r="E212" s="4" t="n">
        <v>15</v>
      </c>
      <c r="F212" t="inlineStr">
        <is>
          <t>Trip.com Group [Чайковский]</t>
        </is>
      </c>
      <c r="G212" s="3">
        <f>ROUND(D212/(100-E212)*100,2)</f>
        <v/>
      </c>
      <c r="H212" s="3" t="n">
        <v>0</v>
      </c>
      <c r="I212" s="3">
        <f>ROUND(IF(ISNUMBER(AG212),AG212,G212)+H212,2)</f>
        <v/>
      </c>
      <c r="J212" s="2" t="inlineStr"/>
      <c r="K212" s="5" t="n">
        <v>46294.58333333334</v>
      </c>
      <c r="L212" t="n">
        <v>2</v>
      </c>
      <c r="M212" s="3">
        <f>I212/L212</f>
        <v/>
      </c>
      <c r="N212">
        <f>IF(M212&gt;=5100,"ставка","мин.ставка")</f>
        <v/>
      </c>
      <c r="O212" s="3">
        <f>ROUND(IF(N212="мин.ставка",L212*100,I212/102*2),2)</f>
        <v/>
      </c>
      <c r="P212" s="5" t="n">
        <v>46297.5</v>
      </c>
      <c r="Q212" t="inlineStr">
        <is>
          <t>TravelLine CTP</t>
        </is>
      </c>
      <c r="R212" s="2" t="inlineStr">
        <is>
          <t>ЛЮКС ВТОРОЙ КОРПУС</t>
        </is>
      </c>
      <c r="S212" t="n">
        <v>54</v>
      </c>
      <c r="T212" t="n">
        <v>2</v>
      </c>
      <c r="U212" t="inlineStr"/>
      <c r="V212" t="inlineStr">
        <is>
          <t>Тариф с завтраком</t>
        </is>
      </c>
      <c r="W212" t="n">
        <v>42925</v>
      </c>
      <c r="X212" s="3" t="n">
        <v>0</v>
      </c>
      <c r="Y212" t="inlineStr"/>
      <c r="Z212" t="inlineStr"/>
      <c r="AA212" s="3" t="n">
        <v>42925</v>
      </c>
      <c r="AB212" t="inlineStr">
        <is>
          <t>Сошлось по ночным тарифам</t>
        </is>
      </c>
      <c r="AC212" s="2" t="inlineStr"/>
      <c r="AD212" t="n">
        <v>0</v>
      </c>
      <c r="AE212" t="n">
        <v>0</v>
      </c>
      <c r="AF212" t="inlineStr">
        <is>
          <t>Скидки нет</t>
        </is>
      </c>
      <c r="AG212" t="n">
        <v>30260</v>
      </c>
      <c r="AH212" t="n">
        <v>30260</v>
      </c>
      <c r="AI212" t="inlineStr">
        <is>
          <t>Частичное проживание распределено по dailyRates</t>
        </is>
      </c>
    </row>
    <row r="213">
      <c r="A213" t="inlineStr">
        <is>
          <t>20260724-8186-452953731</t>
        </is>
      </c>
      <c r="B213" t="n">
        <v>1</v>
      </c>
      <c r="C213" s="2" t="inlineStr">
        <is>
          <t>Наталья Сибирева, ВЛАДИМИР ТИХОНОВ</t>
        </is>
      </c>
      <c r="D213" s="3" t="n">
        <v>10736.5</v>
      </c>
      <c r="E213" s="4" t="n">
        <v>4</v>
      </c>
      <c r="F213" t="inlineStr">
        <is>
          <t>TravelLine Booking Engine [Чайковский]</t>
        </is>
      </c>
      <c r="G213" s="3">
        <f>ROUND(D213/(100-E213)*100,2)</f>
        <v/>
      </c>
      <c r="H213" s="3" t="n">
        <v>0</v>
      </c>
      <c r="I213" s="3">
        <f>ROUND(IF(ISNUMBER(AG213),AG213,G213)+H213,2)</f>
        <v/>
      </c>
      <c r="J213" s="2" t="inlineStr">
        <is>
          <t>Завтрак "Шведский стол"</t>
        </is>
      </c>
      <c r="K213" s="5" t="n">
        <v>46227.75</v>
      </c>
      <c r="L213" t="n">
        <v>1</v>
      </c>
      <c r="M213" s="3">
        <f>I213/L213</f>
        <v/>
      </c>
      <c r="N213">
        <f>IF(M213&gt;=5100,"ставка","мин.ставка")</f>
        <v/>
      </c>
      <c r="O213" s="3">
        <f>ROUND(IF(N213="мин.ставка",L213*100,I213/102*2),2)</f>
        <v/>
      </c>
      <c r="P213" s="5" t="n">
        <v>46228.5</v>
      </c>
      <c r="Q213" t="inlineStr">
        <is>
          <t>TravelLine сайт</t>
        </is>
      </c>
      <c r="R213" s="2" t="inlineStr">
        <is>
          <t>СЕМЕЙНЫЙ НОМЕР КАТЕГОРИИ "СТАНДАРТ" ВТОРОЙ КОРПУС</t>
        </is>
      </c>
      <c r="S213" t="n">
        <v>51</v>
      </c>
      <c r="T213" t="n">
        <v>2</v>
      </c>
      <c r="U213" t="inlineStr"/>
      <c r="V213" t="inlineStr">
        <is>
          <t>Тариф с завтраком</t>
        </is>
      </c>
      <c r="W213" t="n">
        <v>10736.5</v>
      </c>
      <c r="X213" s="3" t="n">
        <v>163.5</v>
      </c>
      <c r="Y213" t="inlineStr">
        <is>
          <t>1.5%</t>
        </is>
      </c>
      <c r="Z213" t="inlineStr">
        <is>
          <t>2026-07-24</t>
        </is>
      </c>
      <c r="AA213" s="3" t="n">
        <v>10736.5</v>
      </c>
      <c r="AB213" t="inlineStr">
        <is>
          <t>Сошлось по ночным тарифам</t>
        </is>
      </c>
      <c r="AC213" s="2" t="inlineStr"/>
      <c r="AD213" t="n">
        <v>163.5</v>
      </c>
      <c r="AE213" t="n">
        <v>0</v>
      </c>
      <c r="AF213" t="inlineStr">
        <is>
          <t>Скидка добавлена к налоговой базе</t>
        </is>
      </c>
      <c r="AG213" t="n">
        <v>10900</v>
      </c>
      <c r="AH213" t="n">
        <v>10736.5</v>
      </c>
      <c r="AI213" t="inlineStr">
        <is>
          <t>Полное проживание в выбранном периоде</t>
        </is>
      </c>
    </row>
    <row r="214">
      <c r="A214" t="inlineStr">
        <is>
          <t>20260910-8186-462995264</t>
        </is>
      </c>
      <c r="B214" t="n">
        <v>1</v>
      </c>
      <c r="C214" s="2" t="inlineStr">
        <is>
          <t>Наталья Соболева, ЕВГЕНИЙ БЕКИН</t>
        </is>
      </c>
      <c r="D214" s="3" t="n">
        <v>30627</v>
      </c>
      <c r="E214" s="4" t="n">
        <v>18</v>
      </c>
      <c r="F214" t="inlineStr">
        <is>
          <t>ООО "Эй энд Эй" [Чайковский]</t>
        </is>
      </c>
      <c r="G214" s="3">
        <f>ROUND(D214/(100-E214)*100,2)</f>
        <v/>
      </c>
      <c r="H214" s="3" t="n">
        <v>6000</v>
      </c>
      <c r="I214" s="3">
        <f>ROUND(IF(ISNUMBER(AG214),AG214,G214)+H214,2)</f>
        <v/>
      </c>
      <c r="J214" s="2" t="inlineStr">
        <is>
          <t>продление номера — 6 000,00 ₽; Завтрак "Шведский стол"</t>
        </is>
      </c>
      <c r="K214" s="5" t="n">
        <v>46275.58333333334</v>
      </c>
      <c r="L214" t="n">
        <v>3</v>
      </c>
      <c r="M214" s="3">
        <f>I214/L214</f>
        <v/>
      </c>
      <c r="N214">
        <f>IF(M214&gt;=5100,"ставка","мин.ставка")</f>
        <v/>
      </c>
      <c r="O214" s="3">
        <f>ROUND(IF(N214="мин.ставка",L214*100,I214/102*2),2)</f>
        <v/>
      </c>
      <c r="P214" s="5" t="n">
        <v>46278.5</v>
      </c>
      <c r="Q214" t="inlineStr">
        <is>
          <t>TravelLine ANA</t>
        </is>
      </c>
      <c r="R214" s="2" t="inlineStr">
        <is>
          <t>СЕМЕЙНЫЙ НОМЕР КАТЕГОРИИ "СТАНДАРТ" ВТОРОЙ КОРПУС</t>
        </is>
      </c>
      <c r="S214" t="n">
        <v>51</v>
      </c>
      <c r="T214" t="n">
        <v>2</v>
      </c>
      <c r="U214" t="inlineStr"/>
      <c r="V214" t="inlineStr">
        <is>
          <t>Тариф с завтраком</t>
        </is>
      </c>
      <c r="W214" t="n">
        <v>36627</v>
      </c>
      <c r="X214" s="3" t="n">
        <v>6723</v>
      </c>
      <c r="Y214" t="inlineStr">
        <is>
          <t>18%</t>
        </is>
      </c>
      <c r="Z214" t="inlineStr">
        <is>
          <t>2026-09-10, 2026-09-11, 2026-09-12</t>
        </is>
      </c>
      <c r="AA214" s="3" t="n">
        <v>30627</v>
      </c>
      <c r="AB214" t="inlineStr">
        <is>
          <t>Сошлось с услугами</t>
        </is>
      </c>
      <c r="AC214" s="2" t="inlineStr"/>
      <c r="AD214" t="n">
        <v>6723</v>
      </c>
      <c r="AE214" t="n">
        <v>0</v>
      </c>
      <c r="AF214" t="inlineStr">
        <is>
          <t>Скидка добавлена к налоговой базе</t>
        </is>
      </c>
      <c r="AG214" t="n">
        <v>37350</v>
      </c>
      <c r="AH214" t="n">
        <v>30627</v>
      </c>
      <c r="AI214" t="inlineStr">
        <is>
          <t>Полное проживание в выбранном периоде</t>
        </is>
      </c>
    </row>
    <row r="215">
      <c r="A215" t="inlineStr">
        <is>
          <t>20260904-8186-463350025</t>
        </is>
      </c>
      <c r="B215" t="n">
        <v>1</v>
      </c>
      <c r="C215" s="2" t="inlineStr">
        <is>
          <t>Наталья Шиловская</t>
        </is>
      </c>
      <c r="D215" s="3" t="n">
        <v>10500</v>
      </c>
      <c r="E215" s="4" t="n">
        <v>16</v>
      </c>
      <c r="F215" t="inlineStr">
        <is>
          <t>ООО "БРОНИРОВАНИЕ ГОСТИНИЦ" (OSTROVOK) [Чайковский]</t>
        </is>
      </c>
      <c r="G215" s="3">
        <f>ROUND(D215/(100-E215)*100,2)</f>
        <v/>
      </c>
      <c r="H215" s="3" t="n">
        <v>0</v>
      </c>
      <c r="I215" s="3">
        <f>ROUND(IF(ISNUMBER(AG215),AG215,G215)+H215,2)</f>
        <v/>
      </c>
      <c r="J215" s="2" t="inlineStr"/>
      <c r="K215" s="5" t="n">
        <v>46269.58333333334</v>
      </c>
      <c r="L215" t="n">
        <v>1</v>
      </c>
      <c r="M215" s="3">
        <f>I215/L215</f>
        <v/>
      </c>
      <c r="N215">
        <f>IF(M215&gt;=5100,"ставка","мин.ставка")</f>
        <v/>
      </c>
      <c r="O215" s="3">
        <f>ROUND(IF(N215="мин.ставка",L215*100,I215/102*2),2)</f>
        <v/>
      </c>
      <c r="P215" s="5" t="n">
        <v>46270.5</v>
      </c>
      <c r="Q215" t="inlineStr">
        <is>
          <t>TravelLine OTK</t>
        </is>
      </c>
      <c r="R215" s="2" t="inlineStr">
        <is>
          <t>ЛЮКС ВТОРОЙ КОРПУС</t>
        </is>
      </c>
      <c r="S215" t="n">
        <v>54</v>
      </c>
      <c r="T215" t="n">
        <v>2</v>
      </c>
      <c r="U215" t="inlineStr"/>
      <c r="V215" t="inlineStr">
        <is>
          <t>Основной тариф без завтрака</t>
        </is>
      </c>
      <c r="W215" t="n">
        <v>10500</v>
      </c>
      <c r="X215" s="3" t="n">
        <v>2000</v>
      </c>
      <c r="Y215" t="inlineStr">
        <is>
          <t>16%</t>
        </is>
      </c>
      <c r="Z215" t="inlineStr">
        <is>
          <t>2026-09-04</t>
        </is>
      </c>
      <c r="AA215" s="3" t="n">
        <v>10500</v>
      </c>
      <c r="AB215" t="inlineStr">
        <is>
          <t>Сошлось по ночным тарифам</t>
        </is>
      </c>
      <c r="AC215" s="2" t="inlineStr"/>
      <c r="AD215" t="n">
        <v>2000</v>
      </c>
      <c r="AE215" t="n">
        <v>0</v>
      </c>
      <c r="AF215" t="inlineStr">
        <is>
          <t>Скидка добавлена к налоговой базе</t>
        </is>
      </c>
      <c r="AG215" t="n">
        <v>12500</v>
      </c>
      <c r="AH215" t="n">
        <v>10500</v>
      </c>
      <c r="AI215" t="inlineStr">
        <is>
          <t>Полное проживание в выбранном периоде</t>
        </is>
      </c>
    </row>
    <row r="216">
      <c r="A216" t="inlineStr">
        <is>
          <t>20260924-8186-467746202</t>
        </is>
      </c>
      <c r="B216" t="n">
        <v>1</v>
      </c>
      <c r="C216" s="2" t="inlineStr">
        <is>
          <t>Никита Кривошеин, Алина Федорец</t>
        </is>
      </c>
      <c r="D216" s="3" t="n">
        <v>26700</v>
      </c>
      <c r="E216" s="4" t="n">
        <v>18</v>
      </c>
      <c r="F216" t="inlineStr">
        <is>
          <t>Яндекс.Путешествия [Чайковский]</t>
        </is>
      </c>
      <c r="G216" s="3">
        <f>ROUND(D216/(100-E216)*100,2)</f>
        <v/>
      </c>
      <c r="H216" s="3" t="n">
        <v>0</v>
      </c>
      <c r="I216" s="3">
        <f>ROUND(IF(ISNUMBER(AG216),AG216,G216)+H216,2)</f>
        <v/>
      </c>
      <c r="J216" s="2" t="inlineStr">
        <is>
          <t>Завтрак "Шведский стол"</t>
        </is>
      </c>
      <c r="K216" s="5" t="n">
        <v>46289.58333333334</v>
      </c>
      <c r="L216" t="n">
        <v>2</v>
      </c>
      <c r="M216" s="3">
        <f>I216/L216</f>
        <v/>
      </c>
      <c r="N216">
        <f>IF(M216&gt;=5100,"ставка","мин.ставка")</f>
        <v/>
      </c>
      <c r="O216" s="3">
        <f>ROUND(IF(N216="мин.ставка",L216*100,I216/102*2),2)</f>
        <v/>
      </c>
      <c r="P216" s="5" t="n">
        <v>46291.5</v>
      </c>
      <c r="Q216" t="inlineStr">
        <is>
          <t>TravelLine YAX</t>
        </is>
      </c>
      <c r="R216" s="2" t="inlineStr">
        <is>
          <t>ЛЮКС ВТОРОЙ КОРПУС</t>
        </is>
      </c>
      <c r="S216" t="n">
        <v>54</v>
      </c>
      <c r="T216" t="n">
        <v>2</v>
      </c>
      <c r="U216" t="inlineStr"/>
      <c r="V216" t="inlineStr">
        <is>
          <t>Тариф с завтраком</t>
        </is>
      </c>
      <c r="W216" t="n">
        <v>26700</v>
      </c>
      <c r="X216" s="3" t="n">
        <v>8900</v>
      </c>
      <c r="Y216" t="inlineStr">
        <is>
          <t>25%</t>
        </is>
      </c>
      <c r="Z216" t="inlineStr">
        <is>
          <t>2026-09-24, 2026-09-25</t>
        </is>
      </c>
      <c r="AA216" s="3" t="n">
        <v>26700</v>
      </c>
      <c r="AB216" t="inlineStr">
        <is>
          <t>Сошлось по ночным тарифам</t>
        </is>
      </c>
      <c r="AC216" s="2" t="inlineStr"/>
      <c r="AD216" t="n">
        <v>8900</v>
      </c>
      <c r="AE216" t="n">
        <v>0</v>
      </c>
      <c r="AF216" t="inlineStr">
        <is>
          <t>Скидка добавлена к налоговой базе</t>
        </is>
      </c>
      <c r="AG216" t="n">
        <v>35600</v>
      </c>
      <c r="AH216" t="n">
        <v>26700</v>
      </c>
      <c r="AI216" t="inlineStr">
        <is>
          <t>Полное проживание в выбранном периоде</t>
        </is>
      </c>
    </row>
    <row r="217">
      <c r="A217" t="inlineStr">
        <is>
          <t>20260728-8186-451976578</t>
        </is>
      </c>
      <c r="B217" t="n">
        <v>1</v>
      </c>
      <c r="C217" s="2" t="inlineStr">
        <is>
          <t>НИКОЛАЙ ГАВРИЛЬЧЕНКО, ГАЛИНА ГАВРИЛЬЧЕНКО</t>
        </is>
      </c>
      <c r="D217" s="3" t="n">
        <v>78540</v>
      </c>
      <c r="E217" s="4" t="n">
        <v>0</v>
      </c>
      <c r="F217" t="inlineStr">
        <is>
          <t>ООО «ХОМЛИН ЛЭНД» (ПЕГАС) [Чайковский]</t>
        </is>
      </c>
      <c r="G217" s="3">
        <f>ROUND(D217/(100-E217)*100,2)</f>
        <v/>
      </c>
      <c r="H217" s="3" t="n">
        <v>0</v>
      </c>
      <c r="I217" s="3">
        <f>ROUND(IF(ISNUMBER(AG217),AG217,G217)+H217,2)</f>
        <v/>
      </c>
      <c r="J217" s="2" t="inlineStr">
        <is>
          <t>Завтрак "Шведский стол"</t>
        </is>
      </c>
      <c r="K217" s="5" t="n">
        <v>46231.58333333334</v>
      </c>
      <c r="L217" t="n">
        <v>6</v>
      </c>
      <c r="M217" s="3">
        <f>I217/L217</f>
        <v/>
      </c>
      <c r="N217">
        <f>IF(M217&gt;=5100,"ставка","мин.ставка")</f>
        <v/>
      </c>
      <c r="O217" s="3">
        <f>ROUND(IF(N217="мин.ставка",L217*100,I217/102*2),2)</f>
        <v/>
      </c>
      <c r="P217" s="5" t="n">
        <v>46237.5</v>
      </c>
      <c r="Q217" t="inlineStr">
        <is>
          <t>TravelLine PGS</t>
        </is>
      </c>
      <c r="R217" s="2" t="inlineStr">
        <is>
          <t>УЛУЧШЕННЫЙ ДВУХМЕСТНЫЙ НОМЕР</t>
        </is>
      </c>
      <c r="S217" t="n">
        <v>59</v>
      </c>
      <c r="T217" t="n">
        <v>2</v>
      </c>
      <c r="U217" t="inlineStr"/>
      <c r="V217" t="inlineStr">
        <is>
          <t>Тариф с завтраком</t>
        </is>
      </c>
      <c r="W217" t="n">
        <v>78540</v>
      </c>
      <c r="X217" s="3" t="n">
        <v>13860</v>
      </c>
      <c r="Y217" t="inlineStr">
        <is>
          <t>15%</t>
        </is>
      </c>
      <c r="Z217" t="inlineStr">
        <is>
          <t>2026-07-28, 2026-07-29, 2026-07-30, 2026-07-31, 2026-08-01, 2026-08-02</t>
        </is>
      </c>
      <c r="AA217" s="3" t="n">
        <v>78540</v>
      </c>
      <c r="AB217" t="inlineStr">
        <is>
          <t>Сошлось по ночным тарифам</t>
        </is>
      </c>
      <c r="AC217" s="2" t="inlineStr"/>
      <c r="AD217" t="n">
        <v>13860</v>
      </c>
      <c r="AE217" t="n">
        <v>0</v>
      </c>
      <c r="AF217" t="inlineStr">
        <is>
          <t>Скидка добавлена к налоговой базе</t>
        </is>
      </c>
      <c r="AG217" t="n">
        <v>92400</v>
      </c>
      <c r="AH217" t="n">
        <v>78540</v>
      </c>
      <c r="AI217" t="inlineStr">
        <is>
          <t>Полное проживание в выбранном периоде</t>
        </is>
      </c>
    </row>
    <row r="218">
      <c r="A218" t="inlineStr">
        <is>
          <t>20260723-8186-449405708</t>
        </is>
      </c>
      <c r="B218" t="n">
        <v>1</v>
      </c>
      <c r="C218" s="2" t="inlineStr">
        <is>
          <t>Николай Семенов</t>
        </is>
      </c>
      <c r="D218" s="3" t="n">
        <v>30645</v>
      </c>
      <c r="E218" s="4" t="n">
        <v>0</v>
      </c>
      <c r="F218" t="inlineStr">
        <is>
          <t>Прямые бронирования (стойка) [Чайковский]</t>
        </is>
      </c>
      <c r="G218" s="3">
        <f>ROUND(D218/(100-E218)*100,2)</f>
        <v/>
      </c>
      <c r="H218" s="3" t="n">
        <v>0</v>
      </c>
      <c r="I218" s="3">
        <f>ROUND(IF(ISNUMBER(AG218),AG218,G218)+H218,2)</f>
        <v/>
      </c>
      <c r="J218" s="2" t="inlineStr">
        <is>
          <t>Завтрак "Шведский стол"</t>
        </is>
      </c>
      <c r="K218" s="5" t="n">
        <v>46226.58333333334</v>
      </c>
      <c r="L218" t="n">
        <v>3</v>
      </c>
      <c r="M218" s="3">
        <f>I218/L218</f>
        <v/>
      </c>
      <c r="N218">
        <f>IF(M218&gt;=5100,"ставка","мин.ставка")</f>
        <v/>
      </c>
      <c r="O218" s="3">
        <f>ROUND(IF(N218="мин.ставка",L218*100,I218/102*2),2)</f>
        <v/>
      </c>
      <c r="P218" s="5" t="n">
        <v>46229.5</v>
      </c>
      <c r="Q218" t="inlineStr">
        <is>
          <t>TravelLine ресепшен</t>
        </is>
      </c>
      <c r="R218" s="2" t="inlineStr">
        <is>
          <t>СТАНДАРТНЫЙ ДВУХМЕСТНЫЙ НОМЕР</t>
        </is>
      </c>
      <c r="S218" t="n">
        <v>58</v>
      </c>
      <c r="T218" t="n">
        <v>2</v>
      </c>
      <c r="U218" t="inlineStr"/>
      <c r="V218" t="inlineStr">
        <is>
          <t>Тариф с завтраком</t>
        </is>
      </c>
      <c r="W218" t="n">
        <v>30645</v>
      </c>
      <c r="X218" s="3" t="n">
        <v>3405</v>
      </c>
      <c r="Y218" t="inlineStr">
        <is>
          <t>10%</t>
        </is>
      </c>
      <c r="Z218" t="inlineStr">
        <is>
          <t>2026-07-23, 2026-07-24, 2026-07-25</t>
        </is>
      </c>
      <c r="AA218" s="3" t="n">
        <v>30645</v>
      </c>
      <c r="AB218" t="inlineStr">
        <is>
          <t>Сошлось по ночным тарифам</t>
        </is>
      </c>
      <c r="AC218" s="2" t="inlineStr"/>
      <c r="AD218" t="n">
        <v>3405</v>
      </c>
      <c r="AE218" t="n">
        <v>0</v>
      </c>
      <c r="AF218" t="inlineStr">
        <is>
          <t>Скидка добавлена к налоговой базе</t>
        </is>
      </c>
      <c r="AG218" t="n">
        <v>34050</v>
      </c>
      <c r="AH218" t="n">
        <v>30645</v>
      </c>
      <c r="AI218" t="inlineStr">
        <is>
          <t>Полное проживание в выбранном периоде</t>
        </is>
      </c>
    </row>
    <row r="219">
      <c r="A219" t="inlineStr">
        <is>
          <t>20260706-8186-446293718</t>
        </is>
      </c>
      <c r="B219" t="n">
        <v>1</v>
      </c>
      <c r="C219" s="2" t="inlineStr">
        <is>
          <t>Николай Сорокин</t>
        </is>
      </c>
      <c r="D219" s="3" t="n">
        <v>30000</v>
      </c>
      <c r="E219" s="4" t="n">
        <v>0</v>
      </c>
      <c r="F219" t="inlineStr">
        <is>
          <t>Прямые бронирования (стойка) [Чайковский]</t>
        </is>
      </c>
      <c r="G219" s="3">
        <f>ROUND(D219/(100-E219)*100,2)</f>
        <v/>
      </c>
      <c r="H219" s="3" t="n">
        <v>0</v>
      </c>
      <c r="I219" s="3">
        <f>ROUND(IF(ISNUMBER(AG219),AG219,G219)+H219,2)</f>
        <v/>
      </c>
      <c r="J219" s="2" t="inlineStr">
        <is>
          <t>Завтрак "Шведский стол"</t>
        </is>
      </c>
      <c r="K219" s="5" t="n">
        <v>46209.58333333334</v>
      </c>
      <c r="L219" t="n">
        <v>2</v>
      </c>
      <c r="M219" s="3">
        <f>I219/L219</f>
        <v/>
      </c>
      <c r="N219">
        <f>IF(M219&gt;=5100,"ставка","мин.ставка")</f>
        <v/>
      </c>
      <c r="O219" s="3">
        <f>ROUND(IF(N219="мин.ставка",L219*100,I219/102*2),2)</f>
        <v/>
      </c>
      <c r="P219" s="5" t="n">
        <v>46211.5</v>
      </c>
      <c r="Q219" t="inlineStr">
        <is>
          <t>TravelLine ресепшен</t>
        </is>
      </c>
      <c r="R219" s="2" t="inlineStr">
        <is>
          <t>СТАНДАРТНЫЙ ДВУХМЕСТНЫЙ НОМЕР</t>
        </is>
      </c>
      <c r="S219" t="n">
        <v>55</v>
      </c>
      <c r="T219" t="n">
        <v>2</v>
      </c>
      <c r="U219" t="inlineStr"/>
      <c r="V219" t="inlineStr">
        <is>
          <t>Тариф с завтраком</t>
        </is>
      </c>
      <c r="W219" t="n">
        <v>30000</v>
      </c>
      <c r="X219" s="3" t="n">
        <v>0</v>
      </c>
      <c r="Y219" t="inlineStr"/>
      <c r="Z219" t="inlineStr"/>
      <c r="AA219" s="3" t="n">
        <v>30000</v>
      </c>
      <c r="AB219" t="inlineStr">
        <is>
          <t>Сошлось по ночным тарифам</t>
        </is>
      </c>
      <c r="AC219" s="2" t="inlineStr"/>
      <c r="AD219" t="n">
        <v>0</v>
      </c>
      <c r="AE219" t="n">
        <v>0</v>
      </c>
      <c r="AF219" t="inlineStr">
        <is>
          <t>Скидки нет</t>
        </is>
      </c>
      <c r="AG219" t="n">
        <v>30000</v>
      </c>
      <c r="AH219" t="n">
        <v>30000</v>
      </c>
      <c r="AI219" t="inlineStr">
        <is>
          <t>Полное проживание в выбранном периоде</t>
        </is>
      </c>
    </row>
    <row r="220">
      <c r="A220" t="inlineStr">
        <is>
          <t>20260916-8186-460918498</t>
        </is>
      </c>
      <c r="B220" t="n">
        <v>1</v>
      </c>
      <c r="C220" s="2" t="inlineStr">
        <is>
          <t>Николай Стовпец, ЛЮДМИЛА СТОВПЕЦ</t>
        </is>
      </c>
      <c r="D220" s="3" t="n">
        <v>83160</v>
      </c>
      <c r="E220" s="4" t="n">
        <v>0</v>
      </c>
      <c r="F220" t="inlineStr">
        <is>
          <t>Прямые бронирования (стойка) [Чайковский]</t>
        </is>
      </c>
      <c r="G220" s="3">
        <f>ROUND(D220/(100-E220)*100,2)</f>
        <v/>
      </c>
      <c r="H220" s="3" t="n">
        <v>0</v>
      </c>
      <c r="I220" s="3">
        <f>ROUND(IF(ISNUMBER(AG220),AG220,G220)+H220,2)</f>
        <v/>
      </c>
      <c r="J220" s="2" t="inlineStr">
        <is>
          <t>Завтрак "Шведский стол"</t>
        </is>
      </c>
      <c r="K220" s="5" t="n">
        <v>46280.58333333334</v>
      </c>
      <c r="L220" t="n">
        <v>6</v>
      </c>
      <c r="M220" s="3">
        <f>I220/L220</f>
        <v/>
      </c>
      <c r="N220">
        <f>IF(M220&gt;=5100,"ставка","мин.ставка")</f>
        <v/>
      </c>
      <c r="O220" s="3">
        <f>ROUND(IF(N220="мин.ставка",L220*100,I220/102*2),2)</f>
        <v/>
      </c>
      <c r="P220" s="5" t="n">
        <v>46286.5</v>
      </c>
      <c r="Q220" t="inlineStr">
        <is>
          <t>TravelLine ресепшен</t>
        </is>
      </c>
      <c r="R220" s="2" t="inlineStr">
        <is>
          <t>УЛУЧШЕННЫЙ ДВУХМЕСТНЫЙ НОМЕР</t>
        </is>
      </c>
      <c r="S220" t="n">
        <v>56</v>
      </c>
      <c r="T220" t="n">
        <v>2</v>
      </c>
      <c r="U220" t="inlineStr"/>
      <c r="V220" t="inlineStr">
        <is>
          <t>Тариф с завтраком</t>
        </is>
      </c>
      <c r="W220" t="n">
        <v>83160</v>
      </c>
      <c r="X220" s="3" t="n">
        <v>9240</v>
      </c>
      <c r="Y220" t="inlineStr">
        <is>
          <t>10%</t>
        </is>
      </c>
      <c r="Z220" t="inlineStr">
        <is>
          <t>2026-09-15, 2026-09-16, 2026-09-17, 2026-09-18, 2026-09-19, 2026-09-20</t>
        </is>
      </c>
      <c r="AA220" s="3" t="n">
        <v>83160</v>
      </c>
      <c r="AB220" t="inlineStr">
        <is>
          <t>Сошлось по ночным тарифам</t>
        </is>
      </c>
      <c r="AC220" s="2" t="inlineStr"/>
      <c r="AD220" t="n">
        <v>9240</v>
      </c>
      <c r="AE220" t="n">
        <v>0</v>
      </c>
      <c r="AF220" t="inlineStr">
        <is>
          <t>Скидка добавлена к налоговой базе</t>
        </is>
      </c>
      <c r="AG220" t="n">
        <v>92400</v>
      </c>
      <c r="AH220" t="n">
        <v>83160</v>
      </c>
      <c r="AI220" t="inlineStr">
        <is>
          <t>Полное проживание в выбранном периоде</t>
        </is>
      </c>
    </row>
    <row r="221">
      <c r="A221" t="inlineStr">
        <is>
          <t>20260911-8186-459836145</t>
        </is>
      </c>
      <c r="B221" t="n">
        <v>1</v>
      </c>
      <c r="C221" s="2" t="inlineStr">
        <is>
          <t>НИКОЛАЙ ШИНОВ, ТАТЬЯНА ЛЕВАЧЕВА</t>
        </is>
      </c>
      <c r="D221" s="3" t="n">
        <v>39449.25</v>
      </c>
      <c r="E221" s="4" t="n">
        <v>4</v>
      </c>
      <c r="F221" t="inlineStr">
        <is>
          <t>TravelLine Booking Engine [Чайковский]</t>
        </is>
      </c>
      <c r="G221" s="3">
        <f>ROUND(D221/(100-E221)*100,2)</f>
        <v/>
      </c>
      <c r="H221" s="3" t="n">
        <v>0</v>
      </c>
      <c r="I221" s="3">
        <f>ROUND(IF(ISNUMBER(AG221),AG221,G221)+H221,2)</f>
        <v/>
      </c>
      <c r="J221" s="2" t="inlineStr">
        <is>
          <t>Завтрак "Шведский стол"</t>
        </is>
      </c>
      <c r="K221" s="5" t="n">
        <v>46276.58333333334</v>
      </c>
      <c r="L221" t="n">
        <v>3</v>
      </c>
      <c r="M221" s="3">
        <f>I221/L221</f>
        <v/>
      </c>
      <c r="N221">
        <f>IF(M221&gt;=5100,"ставка","мин.ставка")</f>
        <v/>
      </c>
      <c r="O221" s="3">
        <f>ROUND(IF(N221="мин.ставка",L221*100,I221/102*2),2)</f>
        <v/>
      </c>
      <c r="P221" s="5" t="n">
        <v>46279.5</v>
      </c>
      <c r="Q221" t="inlineStr">
        <is>
          <t>TravelLine сайт</t>
        </is>
      </c>
      <c r="R221" s="2" t="inlineStr">
        <is>
          <t>СТАНДАРТНЫЙ ДВУХМЕСТНЫЙ НОМЕР</t>
        </is>
      </c>
      <c r="S221" t="n">
        <v>58</v>
      </c>
      <c r="T221" t="n">
        <v>2</v>
      </c>
      <c r="U221" t="inlineStr"/>
      <c r="V221" t="inlineStr">
        <is>
          <t>Тариф с завтраком</t>
        </is>
      </c>
      <c r="W221" t="n">
        <v>39449.25</v>
      </c>
      <c r="X221" s="3" t="n">
        <v>600.75</v>
      </c>
      <c r="Y221" t="inlineStr">
        <is>
          <t>1.5%</t>
        </is>
      </c>
      <c r="Z221" t="inlineStr">
        <is>
          <t>2026-09-11, 2026-09-12, 2026-09-13</t>
        </is>
      </c>
      <c r="AA221" s="3" t="n">
        <v>39449.25</v>
      </c>
      <c r="AB221" t="inlineStr">
        <is>
          <t>Сошлось по ночным тарифам</t>
        </is>
      </c>
      <c r="AC221" s="2" t="inlineStr"/>
      <c r="AD221" t="n">
        <v>600.75</v>
      </c>
      <c r="AE221" t="n">
        <v>0</v>
      </c>
      <c r="AF221" t="inlineStr">
        <is>
          <t>Скидка добавлена к налоговой базе</t>
        </is>
      </c>
      <c r="AG221" t="n">
        <v>40050</v>
      </c>
      <c r="AH221" t="n">
        <v>39449.25</v>
      </c>
      <c r="AI221" t="inlineStr">
        <is>
          <t>Полное проживание в выбранном периоде</t>
        </is>
      </c>
    </row>
    <row r="222">
      <c r="A222" t="inlineStr">
        <is>
          <t>20260922-8186-466961418</t>
        </is>
      </c>
      <c r="B222" t="n">
        <v>1</v>
      </c>
      <c r="C222" s="2" t="inlineStr">
        <is>
          <t>Нина Балаян</t>
        </is>
      </c>
      <c r="D222" s="3" t="n">
        <v>44325</v>
      </c>
      <c r="E222" s="4" t="n">
        <v>18</v>
      </c>
      <c r="F222" t="inlineStr">
        <is>
          <t>Яндекс.Путешествия [Чайковский]</t>
        </is>
      </c>
      <c r="G222" s="3">
        <f>ROUND(D222/(100-E222)*100,2)</f>
        <v/>
      </c>
      <c r="H222" s="3" t="n">
        <v>0</v>
      </c>
      <c r="I222" s="3">
        <f>ROUND(IF(ISNUMBER(AG222),AG222,G222)+H222,2)</f>
        <v/>
      </c>
      <c r="J222" s="2" t="inlineStr"/>
      <c r="K222" s="5" t="n">
        <v>46287.58333333334</v>
      </c>
      <c r="L222" t="n">
        <v>6</v>
      </c>
      <c r="M222" s="3">
        <f>I222/L222</f>
        <v/>
      </c>
      <c r="N222">
        <f>IF(M222&gt;=5100,"ставка","мин.ставка")</f>
        <v/>
      </c>
      <c r="O222" s="3">
        <f>ROUND(IF(N222="мин.ставка",L222*100,I222/102*2),2)</f>
        <v/>
      </c>
      <c r="P222" s="5" t="n">
        <v>46293.5</v>
      </c>
      <c r="Q222" t="inlineStr">
        <is>
          <t>TravelLine YAX</t>
        </is>
      </c>
      <c r="R222" s="2" t="inlineStr">
        <is>
          <t>СТАНДАРТНЫЙ ДВУХМЕСТНЫЙ НОМЕР</t>
        </is>
      </c>
      <c r="S222" t="n">
        <v>58</v>
      </c>
      <c r="T222" t="n">
        <v>2</v>
      </c>
      <c r="U222" t="inlineStr"/>
      <c r="V222" t="inlineStr">
        <is>
          <t>Основной тариф без завтрака</t>
        </is>
      </c>
      <c r="W222" t="n">
        <v>44325</v>
      </c>
      <c r="X222" s="3" t="n">
        <v>14775</v>
      </c>
      <c r="Y222" t="inlineStr">
        <is>
          <t>25%</t>
        </is>
      </c>
      <c r="Z222" t="inlineStr">
        <is>
          <t>2026-09-22, 2026-09-23, 2026-09-24, 2026-09-25, 2026-09-26, 2026-09-27</t>
        </is>
      </c>
      <c r="AA222" s="3" t="n">
        <v>44325</v>
      </c>
      <c r="AB222" t="inlineStr">
        <is>
          <t>Сошлось по ночным тарифам</t>
        </is>
      </c>
      <c r="AC222" s="2" t="inlineStr"/>
      <c r="AD222" t="n">
        <v>14775</v>
      </c>
      <c r="AE222" t="n">
        <v>0</v>
      </c>
      <c r="AF222" t="inlineStr">
        <is>
          <t>Скидка добавлена к налоговой базе</t>
        </is>
      </c>
      <c r="AG222" t="n">
        <v>59100</v>
      </c>
      <c r="AH222" t="n">
        <v>44325</v>
      </c>
      <c r="AI222" t="inlineStr">
        <is>
          <t>Полное проживание в выбранном периоде</t>
        </is>
      </c>
    </row>
    <row r="223">
      <c r="A223" t="inlineStr">
        <is>
          <t>20260919-8186-467166169</t>
        </is>
      </c>
      <c r="B223" t="n">
        <v>1</v>
      </c>
      <c r="C223" s="2" t="inlineStr">
        <is>
          <t>НИНА ДАВЫДОВА, ИГОРЬ ТИЩЕНКО</t>
        </is>
      </c>
      <c r="D223" s="3" t="n">
        <v>12500</v>
      </c>
      <c r="E223" s="4" t="n">
        <v>0</v>
      </c>
      <c r="F223" t="inlineStr">
        <is>
          <t>Прямые бронирования (стойка) [Чайковский]</t>
        </is>
      </c>
      <c r="G223" s="3">
        <f>ROUND(D223/(100-E223)*100,2)</f>
        <v/>
      </c>
      <c r="H223" s="3" t="n">
        <v>0</v>
      </c>
      <c r="I223" s="3">
        <f>ROUND(IF(ISNUMBER(AG223),AG223,G223)+H223,2)</f>
        <v/>
      </c>
      <c r="J223" s="2" t="inlineStr">
        <is>
          <t>Завтрак "Шведский стол"</t>
        </is>
      </c>
      <c r="K223" s="5" t="n">
        <v>46284.58333333334</v>
      </c>
      <c r="L223" t="n">
        <v>1</v>
      </c>
      <c r="M223" s="3">
        <f>I223/L223</f>
        <v/>
      </c>
      <c r="N223">
        <f>IF(M223&gt;=5100,"ставка","мин.ставка")</f>
        <v/>
      </c>
      <c r="O223" s="3">
        <f>ROUND(IF(N223="мин.ставка",L223*100,I223/102*2),2)</f>
        <v/>
      </c>
      <c r="P223" s="5" t="n">
        <v>46285.5</v>
      </c>
      <c r="Q223" t="inlineStr">
        <is>
          <t>TravelLine ресепшен</t>
        </is>
      </c>
      <c r="R223" s="2" t="inlineStr">
        <is>
          <t>СЕМЕЙНЫЙ НОМЕР КАТЕГОРИИ "СТАНДАРТ" ВТОРОЙ КОРПУС</t>
        </is>
      </c>
      <c r="S223" t="n">
        <v>51</v>
      </c>
      <c r="T223" t="n">
        <v>2</v>
      </c>
      <c r="U223" t="inlineStr"/>
      <c r="V223" t="inlineStr">
        <is>
          <t>Тариф с завтраком</t>
        </is>
      </c>
      <c r="W223" t="n">
        <v>12500</v>
      </c>
      <c r="X223" s="3" t="n">
        <v>0</v>
      </c>
      <c r="Y223" t="inlineStr"/>
      <c r="Z223" t="inlineStr"/>
      <c r="AA223" s="3" t="n">
        <v>12500</v>
      </c>
      <c r="AB223" t="inlineStr">
        <is>
          <t>Сошлось по ночным тарифам</t>
        </is>
      </c>
      <c r="AC223" s="2" t="inlineStr"/>
      <c r="AD223" t="n">
        <v>0</v>
      </c>
      <c r="AE223" t="n">
        <v>0</v>
      </c>
      <c r="AF223" t="inlineStr">
        <is>
          <t>Скидки нет</t>
        </is>
      </c>
      <c r="AG223" t="n">
        <v>12500</v>
      </c>
      <c r="AH223" t="n">
        <v>12500</v>
      </c>
      <c r="AI223" t="inlineStr">
        <is>
          <t>Полное проживание в выбранном периоде</t>
        </is>
      </c>
    </row>
    <row r="224">
      <c r="A224" t="inlineStr">
        <is>
          <t>20260915-8186-465944203</t>
        </is>
      </c>
      <c r="B224" t="n">
        <v>1</v>
      </c>
      <c r="C224" s="2" t="inlineStr">
        <is>
          <t>Нина Кравченко, Елизавета Смольская</t>
        </is>
      </c>
      <c r="D224" s="3" t="n">
        <v>23987</v>
      </c>
      <c r="E224" s="4" t="n">
        <v>17</v>
      </c>
      <c r="F224" t="inlineStr">
        <is>
          <t>ООО «Интернет Трэвел» (OZON) [Чайковский]</t>
        </is>
      </c>
      <c r="G224" s="3">
        <f>ROUND(D224/(100-E224)*100,2)</f>
        <v/>
      </c>
      <c r="H224" s="3" t="n">
        <v>0</v>
      </c>
      <c r="I224" s="3">
        <f>ROUND(IF(ISNUMBER(AG224),AG224,G224)+H224,2)</f>
        <v/>
      </c>
      <c r="J224" s="2" t="inlineStr">
        <is>
          <t>Завтрак "Шведский стол"</t>
        </is>
      </c>
      <c r="K224" s="5" t="n">
        <v>46280.58333333334</v>
      </c>
      <c r="L224" t="n">
        <v>2</v>
      </c>
      <c r="M224" s="3">
        <f>I224/L224</f>
        <v/>
      </c>
      <c r="N224">
        <f>IF(M224&gt;=5100,"ставка","мин.ставка")</f>
        <v/>
      </c>
      <c r="O224" s="3">
        <f>ROUND(IF(N224="мин.ставка",L224*100,I224/102*2),2)</f>
        <v/>
      </c>
      <c r="P224" s="5" t="n">
        <v>46282.5</v>
      </c>
      <c r="Q224" t="inlineStr">
        <is>
          <t>TravelLine OZ2</t>
        </is>
      </c>
      <c r="R224" s="2" t="inlineStr">
        <is>
          <t>СЕМЕЙНЫЙ НОМЕР КАТЕГОРИИ "СТАНДАРТ" ВТОРОЙ КОРПУС</t>
        </is>
      </c>
      <c r="S224" t="n">
        <v>51</v>
      </c>
      <c r="T224" t="n">
        <v>2</v>
      </c>
      <c r="U224" t="inlineStr"/>
      <c r="V224" t="inlineStr">
        <is>
          <t>Тариф с завтраком</t>
        </is>
      </c>
      <c r="W224" t="n">
        <v>23987</v>
      </c>
      <c r="X224" s="3" t="n">
        <v>4913</v>
      </c>
      <c r="Y224" t="inlineStr">
        <is>
          <t>17%</t>
        </is>
      </c>
      <c r="Z224" t="inlineStr">
        <is>
          <t>2026-09-15, 2026-09-16</t>
        </is>
      </c>
      <c r="AA224" s="3" t="n">
        <v>23987</v>
      </c>
      <c r="AB224" t="inlineStr">
        <is>
          <t>Сошлось по ночным тарифам</t>
        </is>
      </c>
      <c r="AC224" s="2" t="inlineStr"/>
      <c r="AD224" t="n">
        <v>4913</v>
      </c>
      <c r="AE224" t="n">
        <v>0</v>
      </c>
      <c r="AF224" t="inlineStr">
        <is>
          <t>Скидка добавлена к налоговой базе</t>
        </is>
      </c>
      <c r="AG224" t="n">
        <v>28900</v>
      </c>
      <c r="AH224" t="n">
        <v>23987</v>
      </c>
      <c r="AI224" t="inlineStr">
        <is>
          <t>Полное проживание в выбранном периоде</t>
        </is>
      </c>
    </row>
    <row r="225">
      <c r="A225" t="inlineStr">
        <is>
          <t>20260708-8186-447576976</t>
        </is>
      </c>
      <c r="B225" t="n">
        <v>1</v>
      </c>
      <c r="C225" s="2" t="inlineStr">
        <is>
          <t>Оксана Дяденко</t>
        </is>
      </c>
      <c r="D225" s="3" t="n">
        <v>33879.75</v>
      </c>
      <c r="E225" s="4" t="n">
        <v>4</v>
      </c>
      <c r="F225" t="inlineStr">
        <is>
          <t>TravelLine Booking Engine [Чайковский]</t>
        </is>
      </c>
      <c r="G225" s="3">
        <f>ROUND(D225/(100-E225)*100,2)</f>
        <v/>
      </c>
      <c r="H225" s="3" t="n">
        <v>0</v>
      </c>
      <c r="I225" s="3">
        <f>ROUND(IF(ISNUMBER(AG225),AG225,G225)+H225,2)</f>
        <v/>
      </c>
      <c r="J225" s="2" t="inlineStr">
        <is>
          <t>Завтрак "Шведский стол"</t>
        </is>
      </c>
      <c r="K225" s="5" t="n">
        <v>46211.58333333334</v>
      </c>
      <c r="L225" t="n">
        <v>3</v>
      </c>
      <c r="M225" s="3">
        <f>I225/L225</f>
        <v/>
      </c>
      <c r="N225">
        <f>IF(M225&gt;=5100,"ставка","мин.ставка")</f>
        <v/>
      </c>
      <c r="O225" s="3">
        <f>ROUND(IF(N225="мин.ставка",L225*100,I225/102*2),2)</f>
        <v/>
      </c>
      <c r="P225" s="5" t="n">
        <v>46214.5</v>
      </c>
      <c r="Q225" t="inlineStr">
        <is>
          <t>TravelLine сайт</t>
        </is>
      </c>
      <c r="R225" s="2" t="inlineStr">
        <is>
          <t>СТАНДАРТНЫЙ ДВУХМЕСТНЫЙ НОМЕР</t>
        </is>
      </c>
      <c r="S225" t="n">
        <v>55</v>
      </c>
      <c r="T225" t="n">
        <v>2</v>
      </c>
      <c r="U225" t="inlineStr"/>
      <c r="V225" t="inlineStr">
        <is>
          <t>Тариф с завтраком</t>
        </is>
      </c>
      <c r="W225" t="n">
        <v>33879.75</v>
      </c>
      <c r="X225" s="3" t="n">
        <v>170.25</v>
      </c>
      <c r="Y225" t="inlineStr">
        <is>
          <t>1.5%</t>
        </is>
      </c>
      <c r="Z225" t="inlineStr">
        <is>
          <t>2026-07-08</t>
        </is>
      </c>
      <c r="AA225" s="3" t="n">
        <v>33879.75</v>
      </c>
      <c r="AB225" t="inlineStr">
        <is>
          <t>Сошлось по ночным тарифам</t>
        </is>
      </c>
      <c r="AC225" s="2" t="inlineStr"/>
      <c r="AD225" t="n">
        <v>170.25</v>
      </c>
      <c r="AE225" t="n">
        <v>0</v>
      </c>
      <c r="AF225" t="inlineStr">
        <is>
          <t>Скидка добавлена к налоговой базе</t>
        </is>
      </c>
      <c r="AG225" t="n">
        <v>34050</v>
      </c>
      <c r="AH225" t="n">
        <v>33879.75</v>
      </c>
      <c r="AI225" t="inlineStr">
        <is>
          <t>Полное проживание в выбранном периоде</t>
        </is>
      </c>
    </row>
    <row r="226">
      <c r="A226" t="inlineStr">
        <is>
          <t>20260820-8186-455918537</t>
        </is>
      </c>
      <c r="B226" t="n">
        <v>1</v>
      </c>
      <c r="C226" s="2" t="inlineStr">
        <is>
          <t>Оксана Степаненко</t>
        </is>
      </c>
      <c r="D226" s="3" t="n">
        <v>15310.2</v>
      </c>
      <c r="E226" s="4" t="n">
        <v>4</v>
      </c>
      <c r="F226" t="inlineStr">
        <is>
          <t>TravelLine Booking Engine [Чайковский]</t>
        </is>
      </c>
      <c r="G226" s="3">
        <f>ROUND(D226/(100-E226)*100,2)</f>
        <v/>
      </c>
      <c r="H226" s="3" t="n">
        <v>0</v>
      </c>
      <c r="I226" s="3">
        <f>ROUND(IF(ISNUMBER(AG226),AG226,G226)+H226,2)</f>
        <v/>
      </c>
      <c r="J226" s="2" t="inlineStr">
        <is>
          <t>Завтрак "Шведский стол"</t>
        </is>
      </c>
      <c r="K226" s="5" t="n">
        <v>46254.58333333334</v>
      </c>
      <c r="L226" t="n">
        <v>1</v>
      </c>
      <c r="M226" s="3">
        <f>I226/L226</f>
        <v/>
      </c>
      <c r="N226">
        <f>IF(M226&gt;=5100,"ставка","мин.ставка")</f>
        <v/>
      </c>
      <c r="O226" s="3">
        <f>ROUND(IF(N226="мин.ставка",L226*100,I226/102*2),2)</f>
        <v/>
      </c>
      <c r="P226" s="5" t="n">
        <v>46255.5</v>
      </c>
      <c r="Q226" t="inlineStr">
        <is>
          <t>TravelLine сайт</t>
        </is>
      </c>
      <c r="R226" s="2" t="inlineStr">
        <is>
          <t>ЛЮКС ВТОРОЙ КОРПУС</t>
        </is>
      </c>
      <c r="S226" t="n">
        <v>53</v>
      </c>
      <c r="T226" t="n">
        <v>2</v>
      </c>
      <c r="U226" t="inlineStr"/>
      <c r="V226" t="inlineStr">
        <is>
          <t>Тариф с завтраком</t>
        </is>
      </c>
      <c r="W226" t="n">
        <v>15310.2</v>
      </c>
      <c r="X226" s="3" t="n">
        <v>489.8</v>
      </c>
      <c r="Y226" t="inlineStr">
        <is>
          <t>3.1%</t>
        </is>
      </c>
      <c r="Z226" t="inlineStr">
        <is>
          <t>2026-08-20</t>
        </is>
      </c>
      <c r="AA226" s="3" t="n">
        <v>15310.2</v>
      </c>
      <c r="AB226" t="inlineStr">
        <is>
          <t>Сошлось по ночным тарифам</t>
        </is>
      </c>
      <c r="AC226" s="2" t="inlineStr"/>
      <c r="AD226" t="n">
        <v>489.8</v>
      </c>
      <c r="AE226" t="n">
        <v>0</v>
      </c>
      <c r="AF226" t="inlineStr">
        <is>
          <t>Скидка добавлена к налоговой базе</t>
        </is>
      </c>
      <c r="AG226" t="n">
        <v>15800</v>
      </c>
      <c r="AH226" t="n">
        <v>15310.2</v>
      </c>
      <c r="AI226" t="inlineStr">
        <is>
          <t>Полное проживание в выбранном периоде</t>
        </is>
      </c>
    </row>
    <row r="227">
      <c r="A227" t="inlineStr">
        <is>
          <t>20260916-8186-461117504</t>
        </is>
      </c>
      <c r="B227" t="n">
        <v>1</v>
      </c>
      <c r="C227" s="2" t="inlineStr">
        <is>
          <t>ОКТЯБРИНА КАЙСАНОВА</t>
        </is>
      </c>
      <c r="D227" s="3" t="n">
        <v>38590</v>
      </c>
      <c r="E227" s="4" t="n">
        <v>15</v>
      </c>
      <c r="F227" t="inlineStr">
        <is>
          <t>ООО "АКАДЕМ-ОНЛАЙН" [Чайковский]</t>
        </is>
      </c>
      <c r="G227" s="3">
        <f>ROUND(D227/(100-E227)*100,2)</f>
        <v/>
      </c>
      <c r="H227" s="3" t="n">
        <v>0</v>
      </c>
      <c r="I227" s="3">
        <f>ROUND(IF(ISNUMBER(AG227),AG227,G227)+H227,2)</f>
        <v/>
      </c>
      <c r="J227" s="2" t="inlineStr">
        <is>
          <t>Завтрак "Шведский стол"</t>
        </is>
      </c>
      <c r="K227" s="5" t="n">
        <v>46281.58333333334</v>
      </c>
      <c r="L227" t="n">
        <v>4</v>
      </c>
      <c r="M227" s="3">
        <f>I227/L227</f>
        <v/>
      </c>
      <c r="N227">
        <f>IF(M227&gt;=5100,"ставка","мин.ставка")</f>
        <v/>
      </c>
      <c r="O227" s="3">
        <f>ROUND(IF(N227="мин.ставка",L227*100,I227/102*2),2)</f>
        <v/>
      </c>
      <c r="P227" s="5" t="n">
        <v>46285.5</v>
      </c>
      <c r="Q227" t="inlineStr">
        <is>
          <t>TravelLine ACS</t>
        </is>
      </c>
      <c r="R227" s="2" t="inlineStr">
        <is>
          <t>СТАНДАРТНЫЙ ДВУХМЕСТНЫЙ НОМЕР</t>
        </is>
      </c>
      <c r="S227" t="n">
        <v>52</v>
      </c>
      <c r="T227" t="n">
        <v>2</v>
      </c>
      <c r="U227" t="inlineStr"/>
      <c r="V227" t="inlineStr">
        <is>
          <t>Тариф с завтраком</t>
        </is>
      </c>
      <c r="W227" t="n">
        <v>38590</v>
      </c>
      <c r="X227" s="3" t="n">
        <v>6810</v>
      </c>
      <c r="Y227" t="inlineStr">
        <is>
          <t>15%</t>
        </is>
      </c>
      <c r="Z227" t="inlineStr">
        <is>
          <t>2026-09-16, 2026-09-17, 2026-09-18, 2026-09-19</t>
        </is>
      </c>
      <c r="AA227" s="3" t="n">
        <v>38590</v>
      </c>
      <c r="AB227" t="inlineStr">
        <is>
          <t>Сошлось по ночным тарифам</t>
        </is>
      </c>
      <c r="AC227" s="2" t="inlineStr"/>
      <c r="AD227" t="n">
        <v>6810</v>
      </c>
      <c r="AE227" t="n">
        <v>0</v>
      </c>
      <c r="AF227" t="inlineStr">
        <is>
          <t>Скидка добавлена к налоговой базе</t>
        </is>
      </c>
      <c r="AG227" t="n">
        <v>45400</v>
      </c>
      <c r="AH227" t="n">
        <v>38590</v>
      </c>
      <c r="AI227" t="inlineStr">
        <is>
          <t>Полное проживание в выбранном периоде</t>
        </is>
      </c>
    </row>
    <row r="228">
      <c r="A228" t="inlineStr">
        <is>
          <t>20260725-8186-442138766</t>
        </is>
      </c>
      <c r="B228" t="n">
        <v>1</v>
      </c>
      <c r="C228" s="2" t="inlineStr">
        <is>
          <t>Олег Веселов</t>
        </is>
      </c>
      <c r="D228" s="3" t="n">
        <v>17800</v>
      </c>
      <c r="E228" s="4" t="n">
        <v>0</v>
      </c>
      <c r="F228" t="inlineStr">
        <is>
          <t>Прямые бронирования (стойка) [Чайковский]</t>
        </is>
      </c>
      <c r="G228" s="3">
        <f>ROUND(D228/(100-E228)*100,2)</f>
        <v/>
      </c>
      <c r="H228" s="3" t="n">
        <v>0</v>
      </c>
      <c r="I228" s="3">
        <f>ROUND(IF(ISNUMBER(AG228),AG228,G228)+H228,2)</f>
        <v/>
      </c>
      <c r="J228" s="2" t="inlineStr">
        <is>
          <t>Завтрак "Шведский стол"</t>
        </is>
      </c>
      <c r="K228" s="5" t="n">
        <v>46228.58333333334</v>
      </c>
      <c r="L228" t="n">
        <v>1</v>
      </c>
      <c r="M228" s="3">
        <f>I228/L228</f>
        <v/>
      </c>
      <c r="N228">
        <f>IF(M228&gt;=5100,"ставка","мин.ставка")</f>
        <v/>
      </c>
      <c r="O228" s="3">
        <f>ROUND(IF(N228="мин.ставка",L228*100,I228/102*2),2)</f>
        <v/>
      </c>
      <c r="P228" s="5" t="n">
        <v>46229.5</v>
      </c>
      <c r="Q228" t="inlineStr">
        <is>
          <t>TravelLine ресепшен</t>
        </is>
      </c>
      <c r="R228" s="2" t="inlineStr">
        <is>
          <t>ЛЮКС ВТОРОЙ КОРПУС</t>
        </is>
      </c>
      <c r="S228" t="n">
        <v>53</v>
      </c>
      <c r="T228" t="n">
        <v>2</v>
      </c>
      <c r="U228" t="inlineStr"/>
      <c r="V228" t="inlineStr">
        <is>
          <t>Тариф с завтраком</t>
        </is>
      </c>
      <c r="W228" t="n">
        <v>17800</v>
      </c>
      <c r="X228" s="3" t="n">
        <v>0</v>
      </c>
      <c r="Y228" t="inlineStr"/>
      <c r="Z228" t="inlineStr"/>
      <c r="AA228" s="3" t="n">
        <v>17800</v>
      </c>
      <c r="AB228" t="inlineStr">
        <is>
          <t>Сошлось по ночным тарифам</t>
        </is>
      </c>
      <c r="AC228" s="2" t="inlineStr"/>
      <c r="AD228" t="n">
        <v>0</v>
      </c>
      <c r="AE228" t="n">
        <v>0</v>
      </c>
      <c r="AF228" t="inlineStr">
        <is>
          <t>Скидки нет</t>
        </is>
      </c>
      <c r="AG228" t="n">
        <v>17800</v>
      </c>
      <c r="AH228" t="n">
        <v>17800</v>
      </c>
      <c r="AI228" t="inlineStr">
        <is>
          <t>Полное проживание в выбранном периоде</t>
        </is>
      </c>
    </row>
    <row r="229">
      <c r="A229" t="inlineStr">
        <is>
          <t>20260728-8186-453872864</t>
        </is>
      </c>
      <c r="B229" t="n">
        <v>1</v>
      </c>
      <c r="C229" s="2" t="inlineStr">
        <is>
          <t>Олеся Крохина</t>
        </is>
      </c>
      <c r="D229" s="3" t="n">
        <v>7298</v>
      </c>
      <c r="E229" s="4" t="n">
        <v>18</v>
      </c>
      <c r="F229" t="inlineStr">
        <is>
          <t>ООО "Эй энд Эй" [Чайковский]</t>
        </is>
      </c>
      <c r="G229" s="3">
        <f>ROUND(D229/(100-E229)*100,2)</f>
        <v/>
      </c>
      <c r="H229" s="3" t="n">
        <v>0</v>
      </c>
      <c r="I229" s="3">
        <f>ROUND(IF(ISNUMBER(AG229),AG229,G229)+H229,2)</f>
        <v/>
      </c>
      <c r="J229" s="2" t="inlineStr">
        <is>
          <t>Завтрак "Шведский стол"</t>
        </is>
      </c>
      <c r="K229" s="5" t="n">
        <v>46231.58333333334</v>
      </c>
      <c r="L229" t="n">
        <v>1</v>
      </c>
      <c r="M229" s="3">
        <f>I229/L229</f>
        <v/>
      </c>
      <c r="N229">
        <f>IF(M229&gt;=5100,"ставка","мин.ставка")</f>
        <v/>
      </c>
      <c r="O229" s="3">
        <f>ROUND(IF(N229="мин.ставка",L229*100,I229/102*2),2)</f>
        <v/>
      </c>
      <c r="P229" s="5" t="n">
        <v>46232.5</v>
      </c>
      <c r="Q229" t="inlineStr">
        <is>
          <t>TravelLine ANA</t>
        </is>
      </c>
      <c r="R229" s="2" t="inlineStr">
        <is>
          <t>СТАНДАРТНЫЙ ДВУХМЕСТНЫЙ НОМЕР</t>
        </is>
      </c>
      <c r="S229" t="n">
        <v>52</v>
      </c>
      <c r="T229" t="n">
        <v>2</v>
      </c>
      <c r="U229" t="inlineStr"/>
      <c r="V229" t="inlineStr">
        <is>
          <t>Тариф с завтраком</t>
        </is>
      </c>
      <c r="W229" t="n">
        <v>7298</v>
      </c>
      <c r="X229" s="3" t="n">
        <v>1602</v>
      </c>
      <c r="Y229" t="inlineStr">
        <is>
          <t>18%</t>
        </is>
      </c>
      <c r="Z229" t="inlineStr">
        <is>
          <t>2026-07-28</t>
        </is>
      </c>
      <c r="AA229" s="3" t="n">
        <v>7298</v>
      </c>
      <c r="AB229" t="inlineStr">
        <is>
          <t>Сошлось по ночным тарифам</t>
        </is>
      </c>
      <c r="AC229" s="2" t="inlineStr"/>
      <c r="AD229" t="n">
        <v>1602</v>
      </c>
      <c r="AE229" t="n">
        <v>0</v>
      </c>
      <c r="AF229" t="inlineStr">
        <is>
          <t>Скидка добавлена к налоговой базе</t>
        </is>
      </c>
      <c r="AG229" t="n">
        <v>8900</v>
      </c>
      <c r="AH229" t="n">
        <v>7298</v>
      </c>
      <c r="AI229" t="inlineStr">
        <is>
          <t>Полное проживание в выбранном периоде</t>
        </is>
      </c>
    </row>
    <row r="230">
      <c r="A230" t="inlineStr">
        <is>
          <t>20260630-8186-440656915</t>
        </is>
      </c>
      <c r="B230" t="n">
        <v>1</v>
      </c>
      <c r="C230" s="2" t="inlineStr">
        <is>
          <t>Олеся Порхало</t>
        </is>
      </c>
      <c r="D230" s="3" t="n">
        <v>18160</v>
      </c>
      <c r="E230" s="4" t="n">
        <v>20</v>
      </c>
      <c r="F230" t="inlineStr">
        <is>
          <t>ООО "УК ГЦБ и Т" [Чайковский]</t>
        </is>
      </c>
      <c r="G230" s="3">
        <f>ROUND(D230/(100-E230)*100,2)</f>
        <v/>
      </c>
      <c r="H230" s="3" t="n">
        <v>0</v>
      </c>
      <c r="I230" s="3">
        <f>ROUND(IF(ISNUMBER(AG230),AG230,G230)+H230,2)</f>
        <v/>
      </c>
      <c r="J230" s="2" t="inlineStr"/>
      <c r="K230" s="5" t="n">
        <v>46203.58333333334</v>
      </c>
      <c r="L230" t="n">
        <v>1</v>
      </c>
      <c r="M230" s="3">
        <f>I230/L230</f>
        <v/>
      </c>
      <c r="N230">
        <f>IF(M230&gt;=5100,"ставка","мин.ставка")</f>
        <v/>
      </c>
      <c r="O230" s="3">
        <f>ROUND(IF(N230="мин.ставка",L230*100,I230/102*2),2)</f>
        <v/>
      </c>
      <c r="P230" s="5" t="n">
        <v>46205.5</v>
      </c>
      <c r="Q230" t="inlineStr">
        <is>
          <t>TravelLine CBC</t>
        </is>
      </c>
      <c r="R230" s="2" t="inlineStr">
        <is>
          <t>СТАНДАРТНЫЙ ДВУХМЕСТНЫЙ НОМЕР</t>
        </is>
      </c>
      <c r="S230" t="n">
        <v>52</v>
      </c>
      <c r="T230" t="n">
        <v>2</v>
      </c>
      <c r="U230" t="inlineStr"/>
      <c r="V230" t="inlineStr">
        <is>
          <t>Тариф с завтраком</t>
        </is>
      </c>
      <c r="W230" t="n">
        <v>18160</v>
      </c>
      <c r="X230" s="3" t="n">
        <v>4540</v>
      </c>
      <c r="Y230" t="inlineStr">
        <is>
          <t>20%</t>
        </is>
      </c>
      <c r="Z230" t="inlineStr">
        <is>
          <t>2026-06-30, 2026-07-01</t>
        </is>
      </c>
      <c r="AA230" s="3" t="n">
        <v>18160</v>
      </c>
      <c r="AB230" t="inlineStr">
        <is>
          <t>Сошлось по ночным тарифам</t>
        </is>
      </c>
      <c r="AC230" s="2" t="inlineStr"/>
      <c r="AD230" t="n">
        <v>2270</v>
      </c>
      <c r="AE230" t="n">
        <v>0</v>
      </c>
      <c r="AF230" t="inlineStr">
        <is>
          <t>Ночи скидки определены по dailyRates; в базу добавлена только часть выбранного периода</t>
        </is>
      </c>
      <c r="AG230" t="n">
        <v>11350</v>
      </c>
      <c r="AH230" t="n">
        <v>9080</v>
      </c>
      <c r="AI230" t="inlineStr">
        <is>
          <t>Частичное проживание распределено по dailyRates</t>
        </is>
      </c>
    </row>
    <row r="231">
      <c r="A231" t="inlineStr">
        <is>
          <t>20260825-8186-459972581</t>
        </is>
      </c>
      <c r="B231" t="n">
        <v>1</v>
      </c>
      <c r="C231" s="2" t="inlineStr">
        <is>
          <t>Ольга Александрова, ИЛЬЯ ИВАНОВ</t>
        </is>
      </c>
      <c r="D231" s="3" t="n">
        <v>29904</v>
      </c>
      <c r="E231" s="4" t="n">
        <v>16</v>
      </c>
      <c r="F231" t="inlineStr">
        <is>
          <t>ООО "БРОНИРОВАНИЕ ГОСТИНИЦ" (OSTROVOK) [Чайковский]</t>
        </is>
      </c>
      <c r="G231" s="3">
        <f>ROUND(D231/(100-E231)*100,2)</f>
        <v/>
      </c>
      <c r="H231" s="3" t="n">
        <v>0</v>
      </c>
      <c r="I231" s="3">
        <f>ROUND(IF(ISNUMBER(AG231),AG231,G231)+H231,2)</f>
        <v/>
      </c>
      <c r="J231" s="2" t="inlineStr">
        <is>
          <t>Завтрак "Шведский стол"</t>
        </is>
      </c>
      <c r="K231" s="5" t="n">
        <v>46259.58333333334</v>
      </c>
      <c r="L231" t="n">
        <v>2</v>
      </c>
      <c r="M231" s="3">
        <f>I231/L231</f>
        <v/>
      </c>
      <c r="N231">
        <f>IF(M231&gt;=5100,"ставка","мин.ставка")</f>
        <v/>
      </c>
      <c r="O231" s="3">
        <f>ROUND(IF(N231="мин.ставка",L231*100,I231/102*2),2)</f>
        <v/>
      </c>
      <c r="P231" s="5" t="n">
        <v>46261.5</v>
      </c>
      <c r="Q231" t="inlineStr">
        <is>
          <t>TravelLine OTK</t>
        </is>
      </c>
      <c r="R231" s="2" t="inlineStr">
        <is>
          <t>ЛЮКС ВТОРОЙ КОРПУС</t>
        </is>
      </c>
      <c r="S231" t="n">
        <v>57</v>
      </c>
      <c r="T231" t="n">
        <v>2</v>
      </c>
      <c r="U231" t="inlineStr"/>
      <c r="V231" t="inlineStr">
        <is>
          <t>Тариф с завтраком</t>
        </is>
      </c>
      <c r="W231" t="n">
        <v>29904</v>
      </c>
      <c r="X231" s="3" t="n">
        <v>5696</v>
      </c>
      <c r="Y231" t="inlineStr">
        <is>
          <t>16%</t>
        </is>
      </c>
      <c r="Z231" t="inlineStr">
        <is>
          <t>2026-08-25, 2026-08-26</t>
        </is>
      </c>
      <c r="AA231" s="3" t="n">
        <v>29904</v>
      </c>
      <c r="AB231" t="inlineStr">
        <is>
          <t>Сошлось по ночным тарифам</t>
        </is>
      </c>
      <c r="AC231" s="2" t="inlineStr"/>
      <c r="AD231" t="n">
        <v>5696</v>
      </c>
      <c r="AE231" t="n">
        <v>0</v>
      </c>
      <c r="AF231" t="inlineStr">
        <is>
          <t>Скидка добавлена к налоговой базе</t>
        </is>
      </c>
      <c r="AG231" t="n">
        <v>35600</v>
      </c>
      <c r="AH231" t="n">
        <v>29904</v>
      </c>
      <c r="AI231" t="inlineStr">
        <is>
          <t>Полное проживание в выбранном периоде</t>
        </is>
      </c>
    </row>
    <row r="232">
      <c r="A232" t="inlineStr">
        <is>
          <t>20260921-8186-458690011</t>
        </is>
      </c>
      <c r="B232" t="n">
        <v>1</v>
      </c>
      <c r="C232" s="2" t="inlineStr">
        <is>
          <t>Ольга Ахапкина, Дмитрий Ахапкин</t>
        </is>
      </c>
      <c r="D232" s="3" t="n">
        <v>64080</v>
      </c>
      <c r="E232" s="4" t="n">
        <v>20</v>
      </c>
      <c r="F232" t="inlineStr">
        <is>
          <t>ООО "КОМПАНИЯ БРОНЕВИК" [Чайковский]</t>
        </is>
      </c>
      <c r="G232" s="3">
        <f>ROUND(D232/(100-E232)*100,2)</f>
        <v/>
      </c>
      <c r="H232" s="3" t="n">
        <v>0</v>
      </c>
      <c r="I232" s="3">
        <f>ROUND(IF(ISNUMBER(AG232),AG232,G232)+H232,2)</f>
        <v/>
      </c>
      <c r="J232" s="2" t="inlineStr">
        <is>
          <t>Завтрак "Шведский стол"</t>
        </is>
      </c>
      <c r="K232" s="5" t="n">
        <v>46286.58333333334</v>
      </c>
      <c r="L232" t="n">
        <v>6</v>
      </c>
      <c r="M232" s="3">
        <f>I232/L232</f>
        <v/>
      </c>
      <c r="N232">
        <f>IF(M232&gt;=5100,"ставка","мин.ставка")</f>
        <v/>
      </c>
      <c r="O232" s="3">
        <f>ROUND(IF(N232="мин.ставка",L232*100,I232/102*2),2)</f>
        <v/>
      </c>
      <c r="P232" s="5" t="n">
        <v>46292.5</v>
      </c>
      <c r="Q232" t="inlineStr">
        <is>
          <t>TravelLine BR2</t>
        </is>
      </c>
      <c r="R232" s="2" t="inlineStr">
        <is>
          <t>УЛУЧШЕННЫЙ ДВУХМЕСТНЫЙ НОМЕР</t>
        </is>
      </c>
      <c r="S232" t="n">
        <v>56</v>
      </c>
      <c r="T232" t="n">
        <v>2</v>
      </c>
      <c r="U232" t="inlineStr"/>
      <c r="V232" t="inlineStr">
        <is>
          <t>Тариф с завтраком</t>
        </is>
      </c>
      <c r="W232" t="n">
        <v>64080</v>
      </c>
      <c r="X232" s="3" t="n">
        <v>0</v>
      </c>
      <c r="Y232" t="inlineStr"/>
      <c r="Z232" t="inlineStr"/>
      <c r="AA232" s="3" t="n">
        <v>64080</v>
      </c>
      <c r="AB232" t="inlineStr">
        <is>
          <t>Сошлось по ночным тарифам</t>
        </is>
      </c>
      <c r="AC232" s="2" t="inlineStr"/>
      <c r="AD232" t="n">
        <v>0</v>
      </c>
      <c r="AE232" t="n">
        <v>0</v>
      </c>
      <c r="AF232" t="inlineStr">
        <is>
          <t>Скидки нет</t>
        </is>
      </c>
      <c r="AG232" t="n">
        <v>64080</v>
      </c>
      <c r="AH232" t="n">
        <v>64080</v>
      </c>
      <c r="AI232" t="inlineStr">
        <is>
          <t>Полное проживание в выбранном периоде</t>
        </is>
      </c>
    </row>
    <row r="233">
      <c r="A233" t="inlineStr">
        <is>
          <t>20260908-8186-455933749</t>
        </is>
      </c>
      <c r="B233" t="n">
        <v>1</v>
      </c>
      <c r="C233" s="2" t="inlineStr">
        <is>
          <t>Ольга Бобылева, Сергей Гайдук</t>
        </is>
      </c>
      <c r="D233" s="3" t="n">
        <v>33642</v>
      </c>
      <c r="E233" s="4" t="n">
        <v>16</v>
      </c>
      <c r="F233" t="inlineStr">
        <is>
          <t>ООО "БРОНИРОВАНИЕ ГОСТИНИЦ" (OSTROVOK) [Чайковский]</t>
        </is>
      </c>
      <c r="G233" s="3">
        <f>ROUND(D233/(100-E233)*100,2)</f>
        <v/>
      </c>
      <c r="H233" s="3" t="n">
        <v>0</v>
      </c>
      <c r="I233" s="3">
        <f>ROUND(IF(ISNUMBER(AG233),AG233,G233)+H233,2)</f>
        <v/>
      </c>
      <c r="J233" s="2" t="inlineStr">
        <is>
          <t>Завтрак "Шведский стол"</t>
        </is>
      </c>
      <c r="K233" s="5" t="n">
        <v>46273.58333333334</v>
      </c>
      <c r="L233" t="n">
        <v>3</v>
      </c>
      <c r="M233" s="3">
        <f>I233/L233</f>
        <v/>
      </c>
      <c r="N233">
        <f>IF(M233&gt;=5100,"ставка","мин.ставка")</f>
        <v/>
      </c>
      <c r="O233" s="3">
        <f>ROUND(IF(N233="мин.ставка",L233*100,I233/102*2),2)</f>
        <v/>
      </c>
      <c r="P233" s="5" t="n">
        <v>46276.5</v>
      </c>
      <c r="Q233" t="inlineStr">
        <is>
          <t>TravelLine OTK</t>
        </is>
      </c>
      <c r="R233" s="2" t="inlineStr">
        <is>
          <t>УЛУЧШЕННЫЙ ДВУХМЕСТНЫЙ НОМЕР</t>
        </is>
      </c>
      <c r="S233" t="n">
        <v>56</v>
      </c>
      <c r="T233" t="n">
        <v>2</v>
      </c>
      <c r="U233" t="inlineStr"/>
      <c r="V233" t="inlineStr">
        <is>
          <t>Тариф с завтраком</t>
        </is>
      </c>
      <c r="W233" t="n">
        <v>33642</v>
      </c>
      <c r="X233" s="3" t="n">
        <v>6408</v>
      </c>
      <c r="Y233" t="inlineStr">
        <is>
          <t>16%</t>
        </is>
      </c>
      <c r="Z233" t="inlineStr">
        <is>
          <t>2026-09-08, 2026-09-09, 2026-09-10</t>
        </is>
      </c>
      <c r="AA233" s="3" t="n">
        <v>33642</v>
      </c>
      <c r="AB233" t="inlineStr">
        <is>
          <t>Сошлось по ночным тарифам</t>
        </is>
      </c>
      <c r="AC233" s="2" t="inlineStr"/>
      <c r="AD233" t="n">
        <v>6408</v>
      </c>
      <c r="AE233" t="n">
        <v>0</v>
      </c>
      <c r="AF233" t="inlineStr">
        <is>
          <t>Скидка добавлена к налоговой базе</t>
        </is>
      </c>
      <c r="AG233" t="n">
        <v>40050</v>
      </c>
      <c r="AH233" t="n">
        <v>33642</v>
      </c>
      <c r="AI233" t="inlineStr">
        <is>
          <t>Полное проживание в выбранном периоде</t>
        </is>
      </c>
    </row>
    <row r="234">
      <c r="A234" t="inlineStr">
        <is>
          <t>20260901-8186-462400147</t>
        </is>
      </c>
      <c r="B234" t="n">
        <v>1</v>
      </c>
      <c r="C234" s="2" t="inlineStr">
        <is>
          <t>Ольга Галатенко, Павел Ворник</t>
        </is>
      </c>
      <c r="D234" s="3" t="n">
        <v>38346</v>
      </c>
      <c r="E234" s="4" t="n">
        <v>17</v>
      </c>
      <c r="F234" t="inlineStr">
        <is>
          <t>ООО «Интернет Трэвел» (OZON) [Чайковский]</t>
        </is>
      </c>
      <c r="G234" s="3">
        <f>ROUND(D234/(100-E234)*100,2)</f>
        <v/>
      </c>
      <c r="H234" s="3" t="n">
        <v>0</v>
      </c>
      <c r="I234" s="3">
        <f>ROUND(IF(ISNUMBER(AG234),AG234,G234)+H234,2)</f>
        <v/>
      </c>
      <c r="J234" s="2" t="inlineStr">
        <is>
          <t>Завтрак "Шведский стол"</t>
        </is>
      </c>
      <c r="K234" s="5" t="n">
        <v>46266.58333333334</v>
      </c>
      <c r="L234" t="n">
        <v>3</v>
      </c>
      <c r="M234" s="3">
        <f>I234/L234</f>
        <v/>
      </c>
      <c r="N234">
        <f>IF(M234&gt;=5100,"ставка","мин.ставка")</f>
        <v/>
      </c>
      <c r="O234" s="3">
        <f>ROUND(IF(N234="мин.ставка",L234*100,I234/102*2),2)</f>
        <v/>
      </c>
      <c r="P234" s="5" t="n">
        <v>46269.5</v>
      </c>
      <c r="Q234" t="inlineStr">
        <is>
          <t>TravelLine OZ2</t>
        </is>
      </c>
      <c r="R234" s="2" t="inlineStr">
        <is>
          <t>УЛУЧШЕННЫЙ ДВУХМЕСТНЫЙ НОМЕР</t>
        </is>
      </c>
      <c r="S234" t="n">
        <v>59</v>
      </c>
      <c r="T234" t="n">
        <v>2</v>
      </c>
      <c r="U234" t="inlineStr"/>
      <c r="V234" t="inlineStr">
        <is>
          <t>Тариф с завтраком</t>
        </is>
      </c>
      <c r="W234" t="n">
        <v>38346</v>
      </c>
      <c r="X234" s="3" t="n">
        <v>7854</v>
      </c>
      <c r="Y234" t="inlineStr">
        <is>
          <t>17%</t>
        </is>
      </c>
      <c r="Z234" t="inlineStr">
        <is>
          <t>2026-09-01, 2026-09-02, 2026-09-03</t>
        </is>
      </c>
      <c r="AA234" s="3" t="n">
        <v>38346</v>
      </c>
      <c r="AB234" t="inlineStr">
        <is>
          <t>Сошлось по ночным тарифам</t>
        </is>
      </c>
      <c r="AC234" s="2" t="inlineStr"/>
      <c r="AD234" t="n">
        <v>7854</v>
      </c>
      <c r="AE234" t="n">
        <v>0</v>
      </c>
      <c r="AF234" t="inlineStr">
        <is>
          <t>Скидка добавлена к налоговой базе</t>
        </is>
      </c>
      <c r="AG234" t="n">
        <v>46200</v>
      </c>
      <c r="AH234" t="n">
        <v>38346</v>
      </c>
      <c r="AI234" t="inlineStr">
        <is>
          <t>Полное проживание в выбранном периоде</t>
        </is>
      </c>
    </row>
    <row r="235">
      <c r="A235" t="inlineStr">
        <is>
          <t>20260713-8186-449799013</t>
        </is>
      </c>
      <c r="B235" t="n">
        <v>1</v>
      </c>
      <c r="C235" s="2" t="inlineStr">
        <is>
          <t>Ольга Красоцкая, Ольга Красоцкая</t>
        </is>
      </c>
      <c r="D235" s="3" t="n">
        <v>9265</v>
      </c>
      <c r="E235" s="4" t="n">
        <v>15</v>
      </c>
      <c r="F235" t="inlineStr">
        <is>
          <t>ООО Тинькофф Путешествия [Чайковский]</t>
        </is>
      </c>
      <c r="G235" s="3">
        <f>ROUND(D235/(100-E235)*100,2)</f>
        <v/>
      </c>
      <c r="H235" s="3" t="n">
        <v>0</v>
      </c>
      <c r="I235" s="3">
        <f>ROUND(IF(ISNUMBER(AG235),AG235,G235)+H235,2)</f>
        <v/>
      </c>
      <c r="J235" s="2" t="inlineStr">
        <is>
          <t>Завтрак "Шведский стол"</t>
        </is>
      </c>
      <c r="K235" s="5" t="n">
        <v>46216.58333333334</v>
      </c>
      <c r="L235" t="n">
        <v>1</v>
      </c>
      <c r="M235" s="3">
        <f>I235/L235</f>
        <v/>
      </c>
      <c r="N235">
        <f>IF(M235&gt;=5100,"ставка","мин.ставка")</f>
        <v/>
      </c>
      <c r="O235" s="3">
        <f>ROUND(IF(N235="мин.ставка",L235*100,I235/102*2),2)</f>
        <v/>
      </c>
      <c r="P235" s="5" t="n">
        <v>46217.5</v>
      </c>
      <c r="Q235" t="inlineStr">
        <is>
          <t>TravelLine TNK</t>
        </is>
      </c>
      <c r="R235" s="2" t="inlineStr">
        <is>
          <t>СЕМЕЙНЫЙ НОМЕР КАТЕГОРИИ "СТАНДАРТ" ВТОРОЙ КОРПУС</t>
        </is>
      </c>
      <c r="S235" t="n">
        <v>50</v>
      </c>
      <c r="T235" t="n">
        <v>2</v>
      </c>
      <c r="U235" t="inlineStr"/>
      <c r="V235" t="inlineStr">
        <is>
          <t>Тариф с завтраком</t>
        </is>
      </c>
      <c r="W235" t="n">
        <v>9265</v>
      </c>
      <c r="X235" s="3" t="n">
        <v>1635</v>
      </c>
      <c r="Y235" t="inlineStr">
        <is>
          <t>15%</t>
        </is>
      </c>
      <c r="Z235" t="inlineStr">
        <is>
          <t>2026-07-13</t>
        </is>
      </c>
      <c r="AA235" s="3" t="n">
        <v>9265</v>
      </c>
      <c r="AB235" t="inlineStr">
        <is>
          <t>Сошлось по ночным тарифам</t>
        </is>
      </c>
      <c r="AC235" s="2" t="inlineStr"/>
      <c r="AD235" t="n">
        <v>1635</v>
      </c>
      <c r="AE235" t="n">
        <v>0</v>
      </c>
      <c r="AF235" t="inlineStr">
        <is>
          <t>Скидка добавлена к налоговой базе</t>
        </is>
      </c>
      <c r="AG235" t="n">
        <v>10900</v>
      </c>
      <c r="AH235" t="n">
        <v>9265</v>
      </c>
      <c r="AI235" t="inlineStr">
        <is>
          <t>Полное проживание в выбранном периоде</t>
        </is>
      </c>
    </row>
    <row r="236">
      <c r="A236" t="inlineStr">
        <is>
          <t>20260917-8186-466217197</t>
        </is>
      </c>
      <c r="B236" t="n">
        <v>1</v>
      </c>
      <c r="C236" s="2" t="inlineStr">
        <is>
          <t>Ольга Пономарева</t>
        </is>
      </c>
      <c r="D236" s="3" t="n">
        <v>22348.15</v>
      </c>
      <c r="E236" s="4" t="n">
        <v>4</v>
      </c>
      <c r="F236" t="inlineStr">
        <is>
          <t>TravelLine Booking Engine [Чайковский]</t>
        </is>
      </c>
      <c r="G236" s="3">
        <f>ROUND(D236/(100-E236)*100,2)</f>
        <v/>
      </c>
      <c r="H236" s="3" t="n">
        <v>0</v>
      </c>
      <c r="I236" s="3">
        <f>ROUND(IF(ISNUMBER(AG236),AG236,G236)+H236,2)</f>
        <v/>
      </c>
      <c r="J236" s="2" t="inlineStr">
        <is>
          <t>Завтрак "Шведский стол"</t>
        </is>
      </c>
      <c r="K236" s="5" t="n">
        <v>46282.58333333334</v>
      </c>
      <c r="L236" t="n">
        <v>2</v>
      </c>
      <c r="M236" s="3">
        <f>I236/L236</f>
        <v/>
      </c>
      <c r="N236">
        <f>IF(M236&gt;=5100,"ставка","мин.ставка")</f>
        <v/>
      </c>
      <c r="O236" s="3">
        <f>ROUND(IF(N236="мин.ставка",L236*100,I236/102*2),2)</f>
        <v/>
      </c>
      <c r="P236" s="5" t="n">
        <v>46284.5</v>
      </c>
      <c r="Q236" t="inlineStr">
        <is>
          <t>TravelLine сайт</t>
        </is>
      </c>
      <c r="R236" s="2" t="inlineStr">
        <is>
          <t>СТАНДАРТНЫЙ ДВУХМЕСТНЫЙ НОМЕР</t>
        </is>
      </c>
      <c r="S236" t="n">
        <v>55</v>
      </c>
      <c r="T236" t="n">
        <v>2</v>
      </c>
      <c r="U236" t="inlineStr"/>
      <c r="V236" t="inlineStr">
        <is>
          <t>Тариф с завтраком</t>
        </is>
      </c>
      <c r="W236" t="n">
        <v>22348.15</v>
      </c>
      <c r="X236" s="3" t="n">
        <v>351.85</v>
      </c>
      <c r="Y236" t="inlineStr">
        <is>
          <t>3.1%</t>
        </is>
      </c>
      <c r="Z236" t="inlineStr">
        <is>
          <t>2026-09-17</t>
        </is>
      </c>
      <c r="AA236" s="3" t="n">
        <v>22348.15</v>
      </c>
      <c r="AB236" t="inlineStr">
        <is>
          <t>Сошлось по ночным тарифам</t>
        </is>
      </c>
      <c r="AC236" s="2" t="inlineStr"/>
      <c r="AD236" t="n">
        <v>351.85</v>
      </c>
      <c r="AE236" t="n">
        <v>0</v>
      </c>
      <c r="AF236" t="inlineStr">
        <is>
          <t>Скидка добавлена к налоговой базе</t>
        </is>
      </c>
      <c r="AG236" t="n">
        <v>22700</v>
      </c>
      <c r="AH236" t="n">
        <v>22348.15</v>
      </c>
      <c r="AI236" t="inlineStr">
        <is>
          <t>Полное проживание в выбранном периоде</t>
        </is>
      </c>
    </row>
    <row r="237">
      <c r="A237" t="inlineStr">
        <is>
          <t>20260702-8186-443610618</t>
        </is>
      </c>
      <c r="B237" t="n">
        <v>1</v>
      </c>
      <c r="C237" s="2" t="inlineStr">
        <is>
          <t>Ольга Саппо, Александр Саппо</t>
        </is>
      </c>
      <c r="D237" s="3" t="n">
        <v>64080</v>
      </c>
      <c r="E237" s="4" t="n">
        <v>20</v>
      </c>
      <c r="F237" t="inlineStr">
        <is>
          <t>ООО "ХБ-ПРО" [Чайковский]</t>
        </is>
      </c>
      <c r="G237" s="3">
        <f>ROUND(D237/(100-E237)*100,2)</f>
        <v/>
      </c>
      <c r="H237" s="3" t="n">
        <v>0</v>
      </c>
      <c r="I237" s="3">
        <f>ROUND(IF(ISNUMBER(AG237),AG237,G237)+H237,2)</f>
        <v/>
      </c>
      <c r="J237" s="2" t="inlineStr">
        <is>
          <t>Завтрак "Шведский стол"</t>
        </is>
      </c>
      <c r="K237" s="5" t="n">
        <v>46205.58333333334</v>
      </c>
      <c r="L237" t="n">
        <v>6</v>
      </c>
      <c r="M237" s="3">
        <f>I237/L237</f>
        <v/>
      </c>
      <c r="N237">
        <f>IF(M237&gt;=5100,"ставка","мин.ставка")</f>
        <v/>
      </c>
      <c r="O237" s="3">
        <f>ROUND(IF(N237="мин.ставка",L237*100,I237/102*2),2)</f>
        <v/>
      </c>
      <c r="P237" s="5" t="n">
        <v>46211.5</v>
      </c>
      <c r="Q237" t="inlineStr">
        <is>
          <t>TravelLine UTS</t>
        </is>
      </c>
      <c r="R237" s="2" t="inlineStr">
        <is>
          <t>СТАНДАРТНЫЙ ДВУХМЕСТНЫЙ НОМЕР</t>
        </is>
      </c>
      <c r="S237" t="n">
        <v>52</v>
      </c>
      <c r="T237" t="n">
        <v>2</v>
      </c>
      <c r="U237" t="inlineStr"/>
      <c r="V237" t="inlineStr">
        <is>
          <t>Тариф с завтраком</t>
        </is>
      </c>
      <c r="W237" t="n">
        <v>64080</v>
      </c>
      <c r="X237" s="3" t="n">
        <v>0</v>
      </c>
      <c r="Y237" t="inlineStr"/>
      <c r="Z237" t="inlineStr"/>
      <c r="AA237" s="3" t="n">
        <v>64080</v>
      </c>
      <c r="AB237" t="inlineStr">
        <is>
          <t>Сошлось по ночным тарифам</t>
        </is>
      </c>
      <c r="AC237" s="2" t="inlineStr"/>
      <c r="AD237" t="n">
        <v>0</v>
      </c>
      <c r="AE237" t="n">
        <v>0</v>
      </c>
      <c r="AF237" t="inlineStr">
        <is>
          <t>Скидки нет</t>
        </is>
      </c>
      <c r="AG237" t="n">
        <v>64080</v>
      </c>
      <c r="AH237" t="n">
        <v>64080</v>
      </c>
      <c r="AI237" t="inlineStr">
        <is>
          <t>Полное проживание в выбранном периоде</t>
        </is>
      </c>
    </row>
    <row r="238">
      <c r="A238" t="inlineStr">
        <is>
          <t>20260914-8186-463592259</t>
        </is>
      </c>
      <c r="B238" t="n">
        <v>1</v>
      </c>
      <c r="C238" s="2" t="inlineStr">
        <is>
          <t>ОЛЬГА САРАТОВА</t>
        </is>
      </c>
      <c r="D238" s="3" t="n">
        <v>9647.5</v>
      </c>
      <c r="E238" s="4" t="n">
        <v>15</v>
      </c>
      <c r="F238" t="inlineStr">
        <is>
          <t>ООО "Библио-Глобус Туроператор" [Чайковский]</t>
        </is>
      </c>
      <c r="G238" s="3">
        <f>ROUND(D238/(100-E238)*100,2)</f>
        <v/>
      </c>
      <c r="H238" s="3" t="n">
        <v>0</v>
      </c>
      <c r="I238" s="3">
        <f>ROUND(IF(ISNUMBER(AG238),AG238,G238)+H238,2)</f>
        <v/>
      </c>
      <c r="J238" s="2" t="inlineStr">
        <is>
          <t>Завтрак "Шведский стол"</t>
        </is>
      </c>
      <c r="K238" s="5" t="n">
        <v>46279.58333333334</v>
      </c>
      <c r="L238" t="n">
        <v>1</v>
      </c>
      <c r="M238" s="3">
        <f>I238/L238</f>
        <v/>
      </c>
      <c r="N238">
        <f>IF(M238&gt;=5100,"ставка","мин.ставка")</f>
        <v/>
      </c>
      <c r="O238" s="3">
        <f>ROUND(IF(N238="мин.ставка",L238*100,I238/102*2),2)</f>
        <v/>
      </c>
      <c r="P238" s="5" t="n">
        <v>46280.5</v>
      </c>
      <c r="Q238" t="inlineStr">
        <is>
          <t>TravelLine BGL</t>
        </is>
      </c>
      <c r="R238" s="2" t="inlineStr">
        <is>
          <t>УЛУЧШЕННЫЙ ДВУХМЕСТНЫЙ НОМЕР</t>
        </is>
      </c>
      <c r="S238" t="n">
        <v>59</v>
      </c>
      <c r="T238" t="n">
        <v>2</v>
      </c>
      <c r="U238" t="inlineStr"/>
      <c r="V238" t="inlineStr">
        <is>
          <t>Тариф с завтраком</t>
        </is>
      </c>
      <c r="W238" t="n">
        <v>9647.5</v>
      </c>
      <c r="X238" s="3" t="n">
        <v>0</v>
      </c>
      <c r="Y238" t="inlineStr"/>
      <c r="Z238" t="inlineStr"/>
      <c r="AA238" s="3" t="n">
        <v>9647.5</v>
      </c>
      <c r="AB238" t="inlineStr">
        <is>
          <t>Сошлось по ночным тарифам</t>
        </is>
      </c>
      <c r="AC238" s="2" t="inlineStr"/>
      <c r="AD238" t="n">
        <v>0</v>
      </c>
      <c r="AE238" t="n">
        <v>0</v>
      </c>
      <c r="AF238" t="inlineStr">
        <is>
          <t>Скидки нет</t>
        </is>
      </c>
      <c r="AG238" t="n">
        <v>9647.5</v>
      </c>
      <c r="AH238" t="n">
        <v>9647.5</v>
      </c>
      <c r="AI238" t="inlineStr">
        <is>
          <t>Полное проживание в выбранном периоде</t>
        </is>
      </c>
    </row>
    <row r="239">
      <c r="A239" t="inlineStr">
        <is>
          <t>20260915-8186-462648104</t>
        </is>
      </c>
      <c r="B239" t="n">
        <v>1</v>
      </c>
      <c r="C239" s="2" t="inlineStr">
        <is>
          <t>Ольга Свидинская</t>
        </is>
      </c>
      <c r="D239" s="3" t="n">
        <v>21976</v>
      </c>
      <c r="E239" s="4" t="n">
        <v>18</v>
      </c>
      <c r="F239" t="inlineStr">
        <is>
          <t>ООО "Эй энд Эй" [Чайковский]</t>
        </is>
      </c>
      <c r="G239" s="3">
        <f>ROUND(D239/(100-E239)*100,2)</f>
        <v/>
      </c>
      <c r="H239" s="3" t="n">
        <v>0</v>
      </c>
      <c r="I239" s="3">
        <f>ROUND(IF(ISNUMBER(AG239),AG239,G239)+H239,2)</f>
        <v/>
      </c>
      <c r="J239" s="2" t="inlineStr">
        <is>
          <t>Завтрак "Шведский стол"</t>
        </is>
      </c>
      <c r="K239" s="5" t="n">
        <v>46280.58333333334</v>
      </c>
      <c r="L239" t="n">
        <v>2</v>
      </c>
      <c r="M239" s="3">
        <f>I239/L239</f>
        <v/>
      </c>
      <c r="N239">
        <f>IF(M239&gt;=5100,"ставка","мин.ставка")</f>
        <v/>
      </c>
      <c r="O239" s="3">
        <f>ROUND(IF(N239="мин.ставка",L239*100,I239/102*2),2)</f>
        <v/>
      </c>
      <c r="P239" s="5" t="n">
        <v>46282.5</v>
      </c>
      <c r="Q239" t="inlineStr">
        <is>
          <t>TravelLine ANA</t>
        </is>
      </c>
      <c r="R239" s="2" t="inlineStr">
        <is>
          <t>УЛУЧШЕННЫЙ ДВУХМЕСТНЫЙ НОМЕР</t>
        </is>
      </c>
      <c r="S239" t="n">
        <v>59</v>
      </c>
      <c r="T239" t="n">
        <v>2</v>
      </c>
      <c r="U239" t="inlineStr"/>
      <c r="V239" t="inlineStr">
        <is>
          <t>Тариф с завтраком</t>
        </is>
      </c>
      <c r="W239" t="n">
        <v>21976</v>
      </c>
      <c r="X239" s="3" t="n">
        <v>4824</v>
      </c>
      <c r="Y239" t="inlineStr">
        <is>
          <t>18%</t>
        </is>
      </c>
      <c r="Z239" t="inlineStr">
        <is>
          <t>2026-09-15, 2026-09-16</t>
        </is>
      </c>
      <c r="AA239" s="3" t="n">
        <v>21976</v>
      </c>
      <c r="AB239" t="inlineStr">
        <is>
          <t>Сошлось по ночным тарифам</t>
        </is>
      </c>
      <c r="AC239" s="2" t="inlineStr"/>
      <c r="AD239" t="n">
        <v>4824</v>
      </c>
      <c r="AE239" t="n">
        <v>0</v>
      </c>
      <c r="AF239" t="inlineStr">
        <is>
          <t>Скидка добавлена к налоговой базе</t>
        </is>
      </c>
      <c r="AG239" t="n">
        <v>26800</v>
      </c>
      <c r="AH239" t="n">
        <v>21976</v>
      </c>
      <c r="AI239" t="inlineStr">
        <is>
          <t>Полное проживание в выбранном периоде</t>
        </is>
      </c>
    </row>
    <row r="240">
      <c r="A240" t="inlineStr">
        <is>
          <t>20260716-8186-408701650</t>
        </is>
      </c>
      <c r="B240" t="n">
        <v>1</v>
      </c>
      <c r="C240" s="2" t="inlineStr">
        <is>
          <t>ПАВЕЛ БЕЛИЧ, Кристина Углина</t>
        </is>
      </c>
      <c r="D240" s="3" t="n">
        <v>35333</v>
      </c>
      <c r="E240" s="4" t="n">
        <v>4</v>
      </c>
      <c r="F240" t="inlineStr">
        <is>
          <t>TravelLine Booking Engine [Чайковский]</t>
        </is>
      </c>
      <c r="G240" s="3">
        <f>ROUND(D240/(100-E240)*100,2)</f>
        <v/>
      </c>
      <c r="H240" s="3" t="n">
        <v>0</v>
      </c>
      <c r="I240" s="3">
        <f>ROUND(IF(ISNUMBER(AG240),AG240,G240)+H240,2)</f>
        <v/>
      </c>
      <c r="J240" s="2" t="inlineStr">
        <is>
          <t>Завтрак "Шведский стол"</t>
        </is>
      </c>
      <c r="K240" s="5" t="n">
        <v>46219.77083333334</v>
      </c>
      <c r="L240" t="n">
        <v>2</v>
      </c>
      <c r="M240" s="3">
        <f>I240/L240</f>
        <v/>
      </c>
      <c r="N240">
        <f>IF(M240&gt;=5100,"ставка","мин.ставка")</f>
        <v/>
      </c>
      <c r="O240" s="3">
        <f>ROUND(IF(N240="мин.ставка",L240*100,I240/102*2),2)</f>
        <v/>
      </c>
      <c r="P240" s="5" t="n">
        <v>46221.5</v>
      </c>
      <c r="Q240" t="inlineStr">
        <is>
          <t>TravelLine сайт</t>
        </is>
      </c>
      <c r="R240" s="2" t="inlineStr">
        <is>
          <t>ЛЮКС</t>
        </is>
      </c>
      <c r="S240" t="n">
        <v>54</v>
      </c>
      <c r="T240" t="n">
        <v>2</v>
      </c>
      <c r="U240" t="inlineStr"/>
      <c r="V240" t="inlineStr">
        <is>
          <t>Тариф с завтраком</t>
        </is>
      </c>
      <c r="W240" t="n">
        <v>35333</v>
      </c>
      <c r="X240" s="3" t="n">
        <v>267</v>
      </c>
      <c r="Y240" t="inlineStr">
        <is>
          <t>1.5%</t>
        </is>
      </c>
      <c r="Z240" t="inlineStr">
        <is>
          <t>2026-07-16</t>
        </is>
      </c>
      <c r="AA240" s="3" t="n">
        <v>35333</v>
      </c>
      <c r="AB240" t="inlineStr">
        <is>
          <t>Сошлось по ночным тарифам</t>
        </is>
      </c>
      <c r="AC240" s="2" t="inlineStr"/>
      <c r="AD240" t="n">
        <v>267</v>
      </c>
      <c r="AE240" t="n">
        <v>0</v>
      </c>
      <c r="AF240" t="inlineStr">
        <is>
          <t>Скидка добавлена к налоговой базе</t>
        </is>
      </c>
      <c r="AG240" t="n">
        <v>35600</v>
      </c>
      <c r="AH240" t="n">
        <v>35333</v>
      </c>
      <c r="AI240" t="inlineStr">
        <is>
          <t>Полное проживание в выбранном периоде</t>
        </is>
      </c>
    </row>
    <row r="241">
      <c r="A241" t="inlineStr">
        <is>
          <t>20260710-8186-447566954</t>
        </is>
      </c>
      <c r="B241" t="n">
        <v>1</v>
      </c>
      <c r="C241" s="2" t="inlineStr">
        <is>
          <t>Павел Глазов, Елена Глазова</t>
        </is>
      </c>
      <c r="D241" s="3" t="n">
        <v>65450</v>
      </c>
      <c r="E241" s="4" t="n">
        <v>0</v>
      </c>
      <c r="F241" t="inlineStr">
        <is>
          <t>ООО "АЛЕАН ОТДЫХ" [Чайковский]</t>
        </is>
      </c>
      <c r="G241" s="3">
        <f>ROUND(D241/(100-E241)*100,2)</f>
        <v/>
      </c>
      <c r="H241" s="3" t="n">
        <v>0</v>
      </c>
      <c r="I241" s="3">
        <f>ROUND(IF(ISNUMBER(AG241),AG241,G241)+H241,2)</f>
        <v/>
      </c>
      <c r="J241" s="2" t="inlineStr">
        <is>
          <t>meal_bf_buffet_1; meal_bf_buffet_1; Завтрак "Шведский стол"</t>
        </is>
      </c>
      <c r="K241" s="5" t="n">
        <v>46213.58333333334</v>
      </c>
      <c r="L241" t="n">
        <v>5</v>
      </c>
      <c r="M241" s="3">
        <f>I241/L241</f>
        <v/>
      </c>
      <c r="N241">
        <f>IF(M241&gt;=5100,"ставка","мин.ставка")</f>
        <v/>
      </c>
      <c r="O241" s="3">
        <f>ROUND(IF(N241="мин.ставка",L241*100,I241/102*2),2)</f>
        <v/>
      </c>
      <c r="P241" s="5" t="n">
        <v>46218.5</v>
      </c>
      <c r="Q241" t="inlineStr">
        <is>
          <t>TravelLine ALN</t>
        </is>
      </c>
      <c r="R241" s="2" t="inlineStr">
        <is>
          <t>УЛУЧШЕННЫЙ ДВУХМЕСТНЫЙ НОМЕР</t>
        </is>
      </c>
      <c r="S241" t="n">
        <v>59</v>
      </c>
      <c r="T241" t="n">
        <v>2</v>
      </c>
      <c r="U241" t="inlineStr"/>
      <c r="V241" t="inlineStr">
        <is>
          <t>Тариф с завтраком</t>
        </is>
      </c>
      <c r="W241" t="n">
        <v>65450</v>
      </c>
      <c r="X241" s="3" t="n">
        <v>11550</v>
      </c>
      <c r="Y241" t="inlineStr">
        <is>
          <t>15%</t>
        </is>
      </c>
      <c r="Z241" t="inlineStr">
        <is>
          <t>2026-07-10, 2026-07-11, 2026-07-12, 2026-07-13, 2026-07-14</t>
        </is>
      </c>
      <c r="AA241" s="3" t="n">
        <v>65450</v>
      </c>
      <c r="AB241" t="inlineStr">
        <is>
          <t>Сошлось по ночным тарифам</t>
        </is>
      </c>
      <c r="AC241" s="2" t="inlineStr"/>
      <c r="AD241" t="n">
        <v>11550</v>
      </c>
      <c r="AE241" t="n">
        <v>0</v>
      </c>
      <c r="AF241" t="inlineStr">
        <is>
          <t>Скидка добавлена к налоговой базе</t>
        </is>
      </c>
      <c r="AG241" t="n">
        <v>77000</v>
      </c>
      <c r="AH241" t="n">
        <v>65450</v>
      </c>
      <c r="AI241" t="inlineStr">
        <is>
          <t>Полное проживание в выбранном периоде</t>
        </is>
      </c>
    </row>
    <row r="242">
      <c r="A242" t="inlineStr">
        <is>
          <t>20260729-8186-435927071</t>
        </is>
      </c>
      <c r="B242" t="n">
        <v>1</v>
      </c>
      <c r="C242" s="2" t="inlineStr">
        <is>
          <t>Павел Ефимов, АНАСТАСИЯ КУЗЬМИНА</t>
        </is>
      </c>
      <c r="D242" s="3" t="n">
        <v>71200</v>
      </c>
      <c r="E242" s="4" t="n">
        <v>4</v>
      </c>
      <c r="F242" t="inlineStr">
        <is>
          <t>TravelLine Booking Engine [Чайковский]</t>
        </is>
      </c>
      <c r="G242" s="3">
        <f>ROUND(D242/(100-E242)*100,2)</f>
        <v/>
      </c>
      <c r="H242" s="3" t="n">
        <v>350</v>
      </c>
      <c r="I242" s="3">
        <f>ROUND(IF(ISNUMBER(AG242),AG242,G242)+H242,2)</f>
        <v/>
      </c>
      <c r="J242" s="2" t="inlineStr">
        <is>
          <t>продление номера — 350,00 ₽; Завтрак "Шведский стол"</t>
        </is>
      </c>
      <c r="K242" s="5" t="n">
        <v>46232.58333333334</v>
      </c>
      <c r="L242" t="n">
        <v>4</v>
      </c>
      <c r="M242" s="3">
        <f>I242/L242</f>
        <v/>
      </c>
      <c r="N242">
        <f>IF(M242&gt;=5100,"ставка","мин.ставка")</f>
        <v/>
      </c>
      <c r="O242" s="3">
        <f>ROUND(IF(N242="мин.ставка",L242*100,I242/102*2),2)</f>
        <v/>
      </c>
      <c r="P242" s="5" t="n">
        <v>46236.5</v>
      </c>
      <c r="Q242" t="inlineStr">
        <is>
          <t>TravelLine сайт</t>
        </is>
      </c>
      <c r="R242" s="2" t="inlineStr">
        <is>
          <t>ЛЮКС ВТОРОЙ КОРПУС</t>
        </is>
      </c>
      <c r="S242" t="n">
        <v>53</v>
      </c>
      <c r="T242" t="n">
        <v>2</v>
      </c>
      <c r="U242" t="inlineStr"/>
      <c r="V242" t="inlineStr">
        <is>
          <t>Тариф с завтраком</t>
        </is>
      </c>
      <c r="W242" t="n">
        <v>71550</v>
      </c>
      <c r="X242" s="3" t="n">
        <v>0</v>
      </c>
      <c r="Y242" t="inlineStr"/>
      <c r="Z242" t="inlineStr"/>
      <c r="AA242" s="3" t="n">
        <v>71200</v>
      </c>
      <c r="AB242" t="inlineStr">
        <is>
          <t>Сошлось с услугами</t>
        </is>
      </c>
      <c r="AC242" s="2" t="inlineStr"/>
      <c r="AD242" t="n">
        <v>0</v>
      </c>
      <c r="AE242" t="n">
        <v>0</v>
      </c>
      <c r="AF242" t="inlineStr">
        <is>
          <t>Скидки нет</t>
        </is>
      </c>
      <c r="AG242" t="n">
        <v>71200</v>
      </c>
      <c r="AH242" t="n">
        <v>71200</v>
      </c>
      <c r="AI242" t="inlineStr">
        <is>
          <t>Полное проживание в выбранном периоде</t>
        </is>
      </c>
    </row>
    <row r="243">
      <c r="A243" t="inlineStr">
        <is>
          <t>20260703-8186-447242080</t>
        </is>
      </c>
      <c r="B243" t="n">
        <v>1</v>
      </c>
      <c r="C243" s="2" t="inlineStr">
        <is>
          <t>ПАВЕЛ Карпенко</t>
        </is>
      </c>
      <c r="D243" s="3" t="n">
        <v>9315</v>
      </c>
      <c r="E243" s="4" t="n">
        <v>0</v>
      </c>
      <c r="F243" t="inlineStr">
        <is>
          <t>Прямые бронирования (стойка) [Чайковский]</t>
        </is>
      </c>
      <c r="G243" s="3">
        <f>ROUND(D243/(100-E243)*100,2)</f>
        <v/>
      </c>
      <c r="H243" s="3" t="n">
        <v>0</v>
      </c>
      <c r="I243" s="3">
        <f>ROUND(IF(ISNUMBER(AG243),AG243,G243)+H243,2)</f>
        <v/>
      </c>
      <c r="J243" s="2" t="inlineStr">
        <is>
          <t>Завтрак "Шведский стол"</t>
        </is>
      </c>
      <c r="K243" s="5" t="n">
        <v>46206.58333333334</v>
      </c>
      <c r="L243" t="n">
        <v>1</v>
      </c>
      <c r="M243" s="3">
        <f>I243/L243</f>
        <v/>
      </c>
      <c r="N243">
        <f>IF(M243&gt;=5100,"ставка","мин.ставка")</f>
        <v/>
      </c>
      <c r="O243" s="3">
        <f>ROUND(IF(N243="мин.ставка",L243*100,I243/102*2),2)</f>
        <v/>
      </c>
      <c r="P243" s="5" t="n">
        <v>46207.5</v>
      </c>
      <c r="Q243" t="inlineStr">
        <is>
          <t>TravelLine ресепшен</t>
        </is>
      </c>
      <c r="R243" s="2" t="inlineStr">
        <is>
          <t>СЕМЕЙНЫЙ НОМЕР КАТЕГОРИИ "СТАНДАРТ" ВТОРОЙ КОРПУС</t>
        </is>
      </c>
      <c r="S243" t="n">
        <v>50</v>
      </c>
      <c r="T243" t="n">
        <v>2</v>
      </c>
      <c r="U243" t="inlineStr"/>
      <c r="V243" t="inlineStr">
        <is>
          <t>Тариф с завтраком</t>
        </is>
      </c>
      <c r="W243" t="n">
        <v>9315</v>
      </c>
      <c r="X243" s="3" t="n">
        <v>1035</v>
      </c>
      <c r="Y243" t="inlineStr">
        <is>
          <t>10%</t>
        </is>
      </c>
      <c r="Z243" t="inlineStr">
        <is>
          <t>2026-07-03</t>
        </is>
      </c>
      <c r="AA243" s="3" t="n">
        <v>9315</v>
      </c>
      <c r="AB243" t="inlineStr">
        <is>
          <t>Сошлось по ночным тарифам</t>
        </is>
      </c>
      <c r="AC243" s="2" t="inlineStr"/>
      <c r="AD243" t="n">
        <v>1035</v>
      </c>
      <c r="AE243" t="n">
        <v>0</v>
      </c>
      <c r="AF243" t="inlineStr">
        <is>
          <t>Скидка добавлена к налоговой базе</t>
        </is>
      </c>
      <c r="AG243" t="n">
        <v>10350</v>
      </c>
      <c r="AH243" t="n">
        <v>9315</v>
      </c>
      <c r="AI243" t="inlineStr">
        <is>
          <t>Полное проживание в выбранном периоде</t>
        </is>
      </c>
    </row>
    <row r="244">
      <c r="A244" t="inlineStr">
        <is>
          <t>20260721-8186-451946348</t>
        </is>
      </c>
      <c r="B244" t="n">
        <v>1</v>
      </c>
      <c r="C244" s="2" t="inlineStr">
        <is>
          <t>ПАВЕЛ Карпенко</t>
        </is>
      </c>
      <c r="D244" s="3" t="n">
        <v>14220</v>
      </c>
      <c r="E244" s="4" t="n">
        <v>0</v>
      </c>
      <c r="F244" t="inlineStr">
        <is>
          <t>Прямые бронирования (стойка) [Чайковский]</t>
        </is>
      </c>
      <c r="G244" s="3">
        <f>ROUND(D244/(100-E244)*100,2)</f>
        <v/>
      </c>
      <c r="H244" s="3" t="n">
        <v>0</v>
      </c>
      <c r="I244" s="3">
        <f>ROUND(IF(ISNUMBER(AG244),AG244,G244)+H244,2)</f>
        <v/>
      </c>
      <c r="J244" s="2" t="inlineStr">
        <is>
          <t>Завтрак "Шведский стол"</t>
        </is>
      </c>
      <c r="K244" s="5" t="n">
        <v>46224.58333333334</v>
      </c>
      <c r="L244" t="n">
        <v>1</v>
      </c>
      <c r="M244" s="3">
        <f>I244/L244</f>
        <v/>
      </c>
      <c r="N244">
        <f>IF(M244&gt;=5100,"ставка","мин.ставка")</f>
        <v/>
      </c>
      <c r="O244" s="3">
        <f>ROUND(IF(N244="мин.ставка",L244*100,I244/102*2),2)</f>
        <v/>
      </c>
      <c r="P244" s="5" t="n">
        <v>46225.5</v>
      </c>
      <c r="Q244" t="inlineStr">
        <is>
          <t>TravelLine ресепшен</t>
        </is>
      </c>
      <c r="R244" s="2" t="inlineStr">
        <is>
          <t>ЛЮКС ВТОРОЙ КОРПУС</t>
        </is>
      </c>
      <c r="S244" t="n">
        <v>54</v>
      </c>
      <c r="T244" t="n">
        <v>2</v>
      </c>
      <c r="U244" t="inlineStr"/>
      <c r="V244" t="inlineStr">
        <is>
          <t>Тариф с завтраком</t>
        </is>
      </c>
      <c r="W244" t="n">
        <v>14220</v>
      </c>
      <c r="X244" s="3" t="n">
        <v>1580</v>
      </c>
      <c r="Y244" t="inlineStr">
        <is>
          <t>10%</t>
        </is>
      </c>
      <c r="Z244" t="inlineStr">
        <is>
          <t>2026-07-21</t>
        </is>
      </c>
      <c r="AA244" s="3" t="n">
        <v>14220</v>
      </c>
      <c r="AB244" t="inlineStr">
        <is>
          <t>Сошлось по ночным тарифам</t>
        </is>
      </c>
      <c r="AC244" s="2" t="inlineStr"/>
      <c r="AD244" t="n">
        <v>1580</v>
      </c>
      <c r="AE244" t="n">
        <v>0</v>
      </c>
      <c r="AF244" t="inlineStr">
        <is>
          <t>Скидка добавлена к налоговой базе</t>
        </is>
      </c>
      <c r="AG244" t="n">
        <v>15800</v>
      </c>
      <c r="AH244" t="n">
        <v>14220</v>
      </c>
      <c r="AI244" t="inlineStr">
        <is>
          <t>Полное проживание в выбранном периоде</t>
        </is>
      </c>
    </row>
    <row r="245">
      <c r="A245" t="inlineStr">
        <is>
          <t>20260807-8186-456585118</t>
        </is>
      </c>
      <c r="B245" t="n">
        <v>1</v>
      </c>
      <c r="C245" s="2" t="inlineStr">
        <is>
          <t>ПАВЕЛ Карпенко</t>
        </is>
      </c>
      <c r="D245" s="3" t="n">
        <v>14220</v>
      </c>
      <c r="E245" s="4" t="n">
        <v>0</v>
      </c>
      <c r="F245" t="inlineStr">
        <is>
          <t>Прямые бронирования (стойка) [Чайковский]</t>
        </is>
      </c>
      <c r="G245" s="3">
        <f>ROUND(D245/(100-E245)*100,2)</f>
        <v/>
      </c>
      <c r="H245" s="3" t="n">
        <v>0</v>
      </c>
      <c r="I245" s="3">
        <f>ROUND(IF(ISNUMBER(AG245),AG245,G245)+H245,2)</f>
        <v/>
      </c>
      <c r="J245" s="2" t="inlineStr">
        <is>
          <t>Завтрак "Шведский стол"</t>
        </is>
      </c>
      <c r="K245" s="5" t="n">
        <v>46241.58333333334</v>
      </c>
      <c r="L245" t="n">
        <v>1</v>
      </c>
      <c r="M245" s="3">
        <f>I245/L245</f>
        <v/>
      </c>
      <c r="N245">
        <f>IF(M245&gt;=5100,"ставка","мин.ставка")</f>
        <v/>
      </c>
      <c r="O245" s="3">
        <f>ROUND(IF(N245="мин.ставка",L245*100,I245/102*2),2)</f>
        <v/>
      </c>
      <c r="P245" s="5" t="n">
        <v>46242.5</v>
      </c>
      <c r="Q245" t="inlineStr">
        <is>
          <t>TravelLine ресепшен</t>
        </is>
      </c>
      <c r="R245" s="2" t="inlineStr">
        <is>
          <t>ЛЮКС ВТОРОЙ КОРПУС</t>
        </is>
      </c>
      <c r="S245" t="n">
        <v>53</v>
      </c>
      <c r="T245" t="n">
        <v>2</v>
      </c>
      <c r="U245" t="inlineStr"/>
      <c r="V245" t="inlineStr">
        <is>
          <t>Тариф с завтраком</t>
        </is>
      </c>
      <c r="W245" t="n">
        <v>14220</v>
      </c>
      <c r="X245" s="3" t="n">
        <v>1580</v>
      </c>
      <c r="Y245" t="inlineStr">
        <is>
          <t>10%</t>
        </is>
      </c>
      <c r="Z245" t="inlineStr">
        <is>
          <t>2026-08-07</t>
        </is>
      </c>
      <c r="AA245" s="3" t="n">
        <v>14220</v>
      </c>
      <c r="AB245" t="inlineStr">
        <is>
          <t>Сошлось по ночным тарифам</t>
        </is>
      </c>
      <c r="AC245" s="2" t="inlineStr"/>
      <c r="AD245" t="n">
        <v>1580</v>
      </c>
      <c r="AE245" t="n">
        <v>0</v>
      </c>
      <c r="AF245" t="inlineStr">
        <is>
          <t>Скидка добавлена к налоговой базе</t>
        </is>
      </c>
      <c r="AG245" t="n">
        <v>15800</v>
      </c>
      <c r="AH245" t="n">
        <v>14220</v>
      </c>
      <c r="AI245" t="inlineStr">
        <is>
          <t>Полное проживание в выбранном периоде</t>
        </is>
      </c>
    </row>
    <row r="246">
      <c r="A246" t="inlineStr">
        <is>
          <t>20260917-8186-466595912</t>
        </is>
      </c>
      <c r="B246" t="n">
        <v>1</v>
      </c>
      <c r="C246" s="2" t="inlineStr">
        <is>
          <t>ПАВЕЛ Карпенко</t>
        </is>
      </c>
      <c r="D246" s="3" t="n">
        <v>14450</v>
      </c>
      <c r="E246" s="4" t="n">
        <v>0</v>
      </c>
      <c r="F246" t="inlineStr">
        <is>
          <t>Прямые бронирования (стойка) [Чайковский]</t>
        </is>
      </c>
      <c r="G246" s="3">
        <f>ROUND(D246/(100-E246)*100,2)</f>
        <v/>
      </c>
      <c r="H246" s="3" t="n">
        <v>0</v>
      </c>
      <c r="I246" s="3">
        <f>ROUND(IF(ISNUMBER(AG246),AG246,G246)+H246,2)</f>
        <v/>
      </c>
      <c r="J246" s="2" t="inlineStr">
        <is>
          <t>Завтрак "Шведский стол"</t>
        </is>
      </c>
      <c r="K246" s="5" t="n">
        <v>46282.58333333334</v>
      </c>
      <c r="L246" t="n">
        <v>1</v>
      </c>
      <c r="M246" s="3">
        <f>I246/L246</f>
        <v/>
      </c>
      <c r="N246">
        <f>IF(M246&gt;=5100,"ставка","мин.ставка")</f>
        <v/>
      </c>
      <c r="O246" s="3">
        <f>ROUND(IF(N246="мин.ставка",L246*100,I246/102*2),2)</f>
        <v/>
      </c>
      <c r="P246" s="5" t="n">
        <v>46283.5</v>
      </c>
      <c r="Q246" t="inlineStr">
        <is>
          <t>TravelLine ресепшен</t>
        </is>
      </c>
      <c r="R246" s="2" t="inlineStr">
        <is>
          <t>СЕМЕЙНЫЙ НОМЕР КАТЕГОРИИ "СТАНДАРТ" ВТОРОЙ КОРПУС</t>
        </is>
      </c>
      <c r="S246" t="n">
        <v>51</v>
      </c>
      <c r="T246" t="n">
        <v>2</v>
      </c>
      <c r="U246" t="inlineStr"/>
      <c r="V246" t="inlineStr">
        <is>
          <t>Тариф с завтраком</t>
        </is>
      </c>
      <c r="W246" t="n">
        <v>14450</v>
      </c>
      <c r="X246" s="3" t="n">
        <v>0</v>
      </c>
      <c r="Y246" t="inlineStr"/>
      <c r="Z246" t="inlineStr"/>
      <c r="AA246" s="3" t="n">
        <v>14450</v>
      </c>
      <c r="AB246" t="inlineStr">
        <is>
          <t>Сошлось по ночным тарифам</t>
        </is>
      </c>
      <c r="AC246" s="2" t="inlineStr"/>
      <c r="AD246" t="n">
        <v>0</v>
      </c>
      <c r="AE246" t="n">
        <v>0</v>
      </c>
      <c r="AF246" t="inlineStr">
        <is>
          <t>Скидки нет</t>
        </is>
      </c>
      <c r="AG246" t="n">
        <v>14450</v>
      </c>
      <c r="AH246" t="n">
        <v>14450</v>
      </c>
      <c r="AI246" t="inlineStr">
        <is>
          <t>Полное проживание в выбранном периоде</t>
        </is>
      </c>
    </row>
    <row r="247">
      <c r="A247" t="inlineStr">
        <is>
          <t>20260718-8186-433966251</t>
        </is>
      </c>
      <c r="B247" t="n">
        <v>1</v>
      </c>
      <c r="C247" s="2" t="inlineStr">
        <is>
          <t>Павел Рыбальский, ОКСАНА РЫБАЛЬСКАЯ</t>
        </is>
      </c>
      <c r="D247" s="3" t="n">
        <v>14922.6</v>
      </c>
      <c r="E247" s="4" t="n">
        <v>4</v>
      </c>
      <c r="F247" t="inlineStr">
        <is>
          <t>TravelLine Booking Engine [Чайковский]</t>
        </is>
      </c>
      <c r="G247" s="3">
        <f>ROUND(D247/(100-E247)*100,2)</f>
        <v/>
      </c>
      <c r="H247" s="3" t="n">
        <v>0</v>
      </c>
      <c r="I247" s="3">
        <f>ROUND(IF(ISNUMBER(AG247),AG247,G247)+H247,2)</f>
        <v/>
      </c>
      <c r="J247" s="2" t="inlineStr">
        <is>
          <t>Завтрак "Шведский стол"</t>
        </is>
      </c>
      <c r="K247" s="5" t="n">
        <v>46227.58333333334</v>
      </c>
      <c r="L247" t="n">
        <v>1</v>
      </c>
      <c r="M247" s="3">
        <f>I247/L247</f>
        <v/>
      </c>
      <c r="N247">
        <f>IF(M247&gt;=5100,"ставка","мин.ставка")</f>
        <v/>
      </c>
      <c r="O247" s="3">
        <f>ROUND(IF(N247="мин.ставка",L247*100,I247/102*2),2)</f>
        <v/>
      </c>
      <c r="P247" s="5" t="n">
        <v>46228.5</v>
      </c>
      <c r="Q247" t="inlineStr">
        <is>
          <t>TravelLine сайт</t>
        </is>
      </c>
      <c r="R247" s="2" t="inlineStr">
        <is>
          <t>УЛУЧШЕННЫЙ ДВУХМЕСТНЫЙ НОМЕР</t>
        </is>
      </c>
      <c r="S247" t="n">
        <v>56</v>
      </c>
      <c r="T247" t="n">
        <v>2</v>
      </c>
      <c r="U247" t="inlineStr"/>
      <c r="V247" t="inlineStr">
        <is>
          <t>Тариф с завтраком</t>
        </is>
      </c>
      <c r="W247" t="n">
        <v>14922.6</v>
      </c>
      <c r="X247" s="3" t="n">
        <v>477.4</v>
      </c>
      <c r="Y247" t="inlineStr">
        <is>
          <t>3.1%</t>
        </is>
      </c>
      <c r="Z247" t="inlineStr">
        <is>
          <t>2026-07-24</t>
        </is>
      </c>
      <c r="AA247" s="3" t="n">
        <v>14922.6</v>
      </c>
      <c r="AB247" t="inlineStr">
        <is>
          <t>Сошлось по ночным тарифам</t>
        </is>
      </c>
      <c r="AC247" s="2" t="inlineStr"/>
      <c r="AD247" t="n">
        <v>477.4</v>
      </c>
      <c r="AE247" t="n">
        <v>0</v>
      </c>
      <c r="AF247" t="inlineStr">
        <is>
          <t>Скидка добавлена к налоговой базе</t>
        </is>
      </c>
      <c r="AG247" t="n">
        <v>15400</v>
      </c>
      <c r="AH247" t="n">
        <v>14922.6</v>
      </c>
      <c r="AI247" t="inlineStr">
        <is>
          <t>Полное проживание в выбранном периоде</t>
        </is>
      </c>
    </row>
    <row r="248">
      <c r="A248" t="inlineStr">
        <is>
          <t>20260720-8186-448843941</t>
        </is>
      </c>
      <c r="B248" t="n">
        <v>1</v>
      </c>
      <c r="C248" s="2" t="inlineStr">
        <is>
          <t>Павел Субботин, ЛУИЗА СУББОТИНА, МИХАИЛ СУББОТИН</t>
        </is>
      </c>
      <c r="D248" s="3" t="n">
        <v>27194.5</v>
      </c>
      <c r="E248" s="4" t="n">
        <v>4</v>
      </c>
      <c r="F248" t="inlineStr">
        <is>
          <t>TravelLine Booking Engine [Чайковский]</t>
        </is>
      </c>
      <c r="G248" s="3">
        <f>ROUND(D248/(100-E248)*100,2)</f>
        <v/>
      </c>
      <c r="H248" s="3" t="n">
        <v>0</v>
      </c>
      <c r="I248" s="3">
        <f>ROUND(IF(ISNUMBER(AG248),AG248,G248)+H248,2)</f>
        <v/>
      </c>
      <c r="J248" s="2" t="inlineStr">
        <is>
          <t>Завтрак "Шведский стол"</t>
        </is>
      </c>
      <c r="K248" s="5" t="n">
        <v>46223.58333333334</v>
      </c>
      <c r="L248" t="n">
        <v>2</v>
      </c>
      <c r="M248" s="3">
        <f>I248/L248</f>
        <v/>
      </c>
      <c r="N248">
        <f>IF(M248&gt;=5100,"ставка","мин.ставка")</f>
        <v/>
      </c>
      <c r="O248" s="3">
        <f>ROUND(IF(N248="мин.ставка",L248*100,I248/102*2),2)</f>
        <v/>
      </c>
      <c r="P248" s="5" t="n">
        <v>46225.5</v>
      </c>
      <c r="Q248" t="inlineStr">
        <is>
          <t>TravelLine сайт</t>
        </is>
      </c>
      <c r="R248" s="2" t="inlineStr">
        <is>
          <t>СЕМЕЙНЫЙ НОМЕР КАТЕГОРИИ "СТАНДАРТ" ВТОРОЙ КОРПУС</t>
        </is>
      </c>
      <c r="S248" t="n">
        <v>51</v>
      </c>
      <c r="T248" t="n">
        <v>2</v>
      </c>
      <c r="U248" t="inlineStr"/>
      <c r="V248" t="inlineStr">
        <is>
          <t>Тариф с завтраком</t>
        </is>
      </c>
      <c r="W248" t="n">
        <v>27194.5</v>
      </c>
      <c r="X248" s="3" t="n">
        <v>205.5</v>
      </c>
      <c r="Y248" t="inlineStr">
        <is>
          <t>1.5%</t>
        </is>
      </c>
      <c r="Z248" t="inlineStr">
        <is>
          <t>2026-07-20</t>
        </is>
      </c>
      <c r="AA248" s="3" t="n">
        <v>27194.5</v>
      </c>
      <c r="AB248" t="inlineStr">
        <is>
          <t>Сошлось по ночным тарифам</t>
        </is>
      </c>
      <c r="AC248" s="2" t="inlineStr"/>
      <c r="AD248" t="n">
        <v>205.5</v>
      </c>
      <c r="AE248" t="n">
        <v>0</v>
      </c>
      <c r="AF248" t="inlineStr">
        <is>
          <t>Скидка добавлена к налоговой базе</t>
        </is>
      </c>
      <c r="AG248" t="n">
        <v>27400</v>
      </c>
      <c r="AH248" t="n">
        <v>27194.5</v>
      </c>
      <c r="AI248" t="inlineStr">
        <is>
          <t>Полное проживание в выбранном периоде</t>
        </is>
      </c>
    </row>
    <row r="249">
      <c r="A249" t="inlineStr">
        <is>
          <t>20260810-8186-414060341</t>
        </is>
      </c>
      <c r="B249" t="n">
        <v>1</v>
      </c>
      <c r="C249" s="2" t="inlineStr">
        <is>
          <t>Павел Токарев, Кристина Банникова</t>
        </is>
      </c>
      <c r="D249" s="3" t="n">
        <v>14774</v>
      </c>
      <c r="E249" s="4" t="n">
        <v>17</v>
      </c>
      <c r="F249" t="inlineStr">
        <is>
          <t>ООО «Интернет Трэвел» (OZON) [Чайковский]</t>
        </is>
      </c>
      <c r="G249" s="3">
        <f>ROUND(D249/(100-E249)*100,2)</f>
        <v/>
      </c>
      <c r="H249" s="3" t="n">
        <v>0</v>
      </c>
      <c r="I249" s="3">
        <f>ROUND(IF(ISNUMBER(AG249),AG249,G249)+H249,2)</f>
        <v/>
      </c>
      <c r="J249" s="2" t="inlineStr">
        <is>
          <t>Завтрак "Шведский стол"</t>
        </is>
      </c>
      <c r="K249" s="5" t="n">
        <v>46244.58333333334</v>
      </c>
      <c r="L249" t="n">
        <v>1</v>
      </c>
      <c r="M249" s="3">
        <f>I249/L249</f>
        <v/>
      </c>
      <c r="N249">
        <f>IF(M249&gt;=5100,"ставка","мин.ставка")</f>
        <v/>
      </c>
      <c r="O249" s="3">
        <f>ROUND(IF(N249="мин.ставка",L249*100,I249/102*2),2)</f>
        <v/>
      </c>
      <c r="P249" s="5" t="n">
        <v>46245.5</v>
      </c>
      <c r="Q249" t="inlineStr">
        <is>
          <t>TravelLine OZ2</t>
        </is>
      </c>
      <c r="R249" s="2" t="inlineStr">
        <is>
          <t>ЛЮКС</t>
        </is>
      </c>
      <c r="S249" t="n">
        <v>54</v>
      </c>
      <c r="T249" t="n">
        <v>2</v>
      </c>
      <c r="U249" t="inlineStr"/>
      <c r="V249" t="inlineStr">
        <is>
          <t>Тариф с завтраком</t>
        </is>
      </c>
      <c r="W249" t="n">
        <v>14774</v>
      </c>
      <c r="X249" s="3" t="n">
        <v>3026</v>
      </c>
      <c r="Y249" t="inlineStr">
        <is>
          <t>17%</t>
        </is>
      </c>
      <c r="Z249" t="inlineStr">
        <is>
          <t>2026-08-10</t>
        </is>
      </c>
      <c r="AA249" s="3" t="n">
        <v>14774</v>
      </c>
      <c r="AB249" t="inlineStr">
        <is>
          <t>Сошлось по ночным тарифам</t>
        </is>
      </c>
      <c r="AC249" s="2" t="inlineStr"/>
      <c r="AD249" t="n">
        <v>3026</v>
      </c>
      <c r="AE249" t="n">
        <v>0</v>
      </c>
      <c r="AF249" t="inlineStr">
        <is>
          <t>Скидка добавлена к налоговой базе</t>
        </is>
      </c>
      <c r="AG249" t="n">
        <v>17800</v>
      </c>
      <c r="AH249" t="n">
        <v>14774</v>
      </c>
      <c r="AI249" t="inlineStr">
        <is>
          <t>Полное проживание в выбранном периоде</t>
        </is>
      </c>
    </row>
    <row r="250">
      <c r="A250" t="inlineStr">
        <is>
          <t>20260913-8186-464324763</t>
        </is>
      </c>
      <c r="B250" t="n">
        <v>1</v>
      </c>
      <c r="C250" s="2" t="inlineStr">
        <is>
          <t>Рамазан Ибрагимов, Евгения Ибрагимова</t>
        </is>
      </c>
      <c r="D250" s="3" t="n">
        <v>53133</v>
      </c>
      <c r="E250" s="4" t="n">
        <v>4</v>
      </c>
      <c r="F250" t="inlineStr">
        <is>
          <t>TravelLine Booking Engine [Чайковский]</t>
        </is>
      </c>
      <c r="G250" s="3">
        <f>ROUND(D250/(100-E250)*100,2)</f>
        <v/>
      </c>
      <c r="H250" s="3" t="n">
        <v>0</v>
      </c>
      <c r="I250" s="3">
        <f>ROUND(IF(ISNUMBER(AG250),AG250,G250)+H250,2)</f>
        <v/>
      </c>
      <c r="J250" s="2" t="inlineStr">
        <is>
          <t>Завтрак "Шведский стол"</t>
        </is>
      </c>
      <c r="K250" s="5" t="n">
        <v>46278.58333333334</v>
      </c>
      <c r="L250" t="n">
        <v>3</v>
      </c>
      <c r="M250" s="3">
        <f>I250/L250</f>
        <v/>
      </c>
      <c r="N250">
        <f>IF(M250&gt;=5100,"ставка","мин.ставка")</f>
        <v/>
      </c>
      <c r="O250" s="3">
        <f>ROUND(IF(N250="мин.ставка",L250*100,I250/102*2),2)</f>
        <v/>
      </c>
      <c r="P250" s="5" t="n">
        <v>46281.5</v>
      </c>
      <c r="Q250" t="inlineStr">
        <is>
          <t>TravelLine сайт</t>
        </is>
      </c>
      <c r="R250" s="2" t="inlineStr">
        <is>
          <t>ЛЮКС ВТОРОЙ КОРПУС</t>
        </is>
      </c>
      <c r="S250" t="n">
        <v>53</v>
      </c>
      <c r="T250" t="n">
        <v>2</v>
      </c>
      <c r="U250" t="inlineStr"/>
      <c r="V250" t="inlineStr">
        <is>
          <t>Тариф с завтраком</t>
        </is>
      </c>
      <c r="W250" t="n">
        <v>53133</v>
      </c>
      <c r="X250" s="3" t="n">
        <v>267</v>
      </c>
      <c r="Y250" t="inlineStr">
        <is>
          <t>1.5%</t>
        </is>
      </c>
      <c r="Z250" t="inlineStr">
        <is>
          <t>2026-09-13</t>
        </is>
      </c>
      <c r="AA250" s="3" t="n">
        <v>53133</v>
      </c>
      <c r="AB250" t="inlineStr">
        <is>
          <t>Сошлось по ночным тарифам</t>
        </is>
      </c>
      <c r="AC250" s="2" t="inlineStr"/>
      <c r="AD250" t="n">
        <v>267</v>
      </c>
      <c r="AE250" t="n">
        <v>0</v>
      </c>
      <c r="AF250" t="inlineStr">
        <is>
          <t>Скидка добавлена к налоговой базе</t>
        </is>
      </c>
      <c r="AG250" t="n">
        <v>53400</v>
      </c>
      <c r="AH250" t="n">
        <v>53133</v>
      </c>
      <c r="AI250" t="inlineStr">
        <is>
          <t>Полное проживание в выбранном периоде</t>
        </is>
      </c>
    </row>
    <row r="251">
      <c r="A251" t="inlineStr">
        <is>
          <t>20260818-8186-443505889</t>
        </is>
      </c>
      <c r="B251" t="n">
        <v>1</v>
      </c>
      <c r="C251" s="2" t="inlineStr">
        <is>
          <t>Роман Федотов</t>
        </is>
      </c>
      <c r="D251" s="3" t="n">
        <v>64080</v>
      </c>
      <c r="E251" s="4" t="n">
        <v>18</v>
      </c>
      <c r="F251" t="inlineStr">
        <is>
          <t>Яндекс.Путешествия [Чайковский]</t>
        </is>
      </c>
      <c r="G251" s="3">
        <f>ROUND(D251/(100-E251)*100,2)</f>
        <v/>
      </c>
      <c r="H251" s="3" t="n">
        <v>0</v>
      </c>
      <c r="I251" s="3">
        <f>ROUND(IF(ISNUMBER(AG251),AG251,G251)+H251,2)</f>
        <v/>
      </c>
      <c r="J251" s="2" t="inlineStr">
        <is>
          <t>Завтрак "Шведский стол"</t>
        </is>
      </c>
      <c r="K251" s="5" t="n">
        <v>46252.58333333334</v>
      </c>
      <c r="L251" t="n">
        <v>6</v>
      </c>
      <c r="M251" s="3">
        <f>I251/L251</f>
        <v/>
      </c>
      <c r="N251">
        <f>IF(M251&gt;=5100,"ставка","мин.ставка")</f>
        <v/>
      </c>
      <c r="O251" s="3">
        <f>ROUND(IF(N251="мин.ставка",L251*100,I251/102*2),2)</f>
        <v/>
      </c>
      <c r="P251" s="5" t="n">
        <v>46258.5</v>
      </c>
      <c r="Q251" t="inlineStr">
        <is>
          <t>TravelLine YAX</t>
        </is>
      </c>
      <c r="R251" s="2" t="inlineStr">
        <is>
          <t>СТАНДАРТНЫЙ ДВУХМЕСТНЫЙ НОМЕР</t>
        </is>
      </c>
      <c r="S251" t="n">
        <v>52</v>
      </c>
      <c r="T251" t="n">
        <v>2</v>
      </c>
      <c r="U251" t="inlineStr"/>
      <c r="V251" t="inlineStr">
        <is>
          <t>Тариф с завтраком</t>
        </is>
      </c>
      <c r="W251" t="n">
        <v>118560</v>
      </c>
      <c r="X251" s="3" t="n">
        <v>16020</v>
      </c>
      <c r="Y251" t="inlineStr">
        <is>
          <t>20%</t>
        </is>
      </c>
      <c r="Z251" t="inlineStr">
        <is>
          <t>2026-08-18, 2026-08-19, 2026-08-20, 2026-08-21, 2026-08-22, 2026-08-23</t>
        </is>
      </c>
      <c r="AA251" s="3" t="n">
        <v>64080</v>
      </c>
      <c r="AB251" t="inlineStr">
        <is>
          <t>Сошлось по ночным тарифам</t>
        </is>
      </c>
      <c r="AC251" s="2" t="inlineStr"/>
      <c r="AD251" t="n">
        <v>16020</v>
      </c>
      <c r="AE251" t="n">
        <v>0</v>
      </c>
      <c r="AF251" t="inlineStr">
        <is>
          <t>Скидка добавлена к налоговой базе</t>
        </is>
      </c>
      <c r="AG251" t="n">
        <v>80100</v>
      </c>
      <c r="AH251" t="n">
        <v>64080</v>
      </c>
      <c r="AI251" t="inlineStr">
        <is>
          <t>Полное проживание в выбранном периоде</t>
        </is>
      </c>
    </row>
    <row r="252">
      <c r="A252" t="inlineStr">
        <is>
          <t>20260811-8186-457112074</t>
        </is>
      </c>
      <c r="B252" t="n">
        <v>1</v>
      </c>
      <c r="C252" s="2" t="inlineStr">
        <is>
          <t>Рузания Ильясова</t>
        </is>
      </c>
      <c r="D252" s="3" t="n">
        <v>26228</v>
      </c>
      <c r="E252" s="4" t="n">
        <v>17</v>
      </c>
      <c r="F252" t="inlineStr">
        <is>
          <t>ООО «Интернет Трэвел» (OZON) [Чайковский]</t>
        </is>
      </c>
      <c r="G252" s="3">
        <f>ROUND(D252/(100-E252)*100,2)</f>
        <v/>
      </c>
      <c r="H252" s="3" t="n">
        <v>0</v>
      </c>
      <c r="I252" s="3">
        <f>ROUND(IF(ISNUMBER(AG252),AG252,G252)+H252,2)</f>
        <v/>
      </c>
      <c r="J252" s="2" t="inlineStr">
        <is>
          <t>Завтрак "Шведский стол"</t>
        </is>
      </c>
      <c r="K252" s="5" t="n">
        <v>46245.58333333334</v>
      </c>
      <c r="L252" t="n">
        <v>2</v>
      </c>
      <c r="M252" s="3">
        <f>I252/L252</f>
        <v/>
      </c>
      <c r="N252">
        <f>IF(M252&gt;=5100,"ставка","мин.ставка")</f>
        <v/>
      </c>
      <c r="O252" s="3">
        <f>ROUND(IF(N252="мин.ставка",L252*100,I252/102*2),2)</f>
        <v/>
      </c>
      <c r="P252" s="5" t="n">
        <v>46247.5</v>
      </c>
      <c r="Q252" t="inlineStr">
        <is>
          <t>TravelLine OZ2</t>
        </is>
      </c>
      <c r="R252" s="2" t="inlineStr">
        <is>
          <t>ЛЮКС ВТОРОЙ КОРПУС</t>
        </is>
      </c>
      <c r="S252" t="n">
        <v>53</v>
      </c>
      <c r="T252" t="n">
        <v>2</v>
      </c>
      <c r="U252" t="inlineStr"/>
      <c r="V252" t="inlineStr">
        <is>
          <t>Тариф с завтраком</t>
        </is>
      </c>
      <c r="W252" t="n">
        <v>26228</v>
      </c>
      <c r="X252" s="3" t="n">
        <v>5372</v>
      </c>
      <c r="Y252" t="inlineStr">
        <is>
          <t>17%</t>
        </is>
      </c>
      <c r="Z252" t="inlineStr">
        <is>
          <t>2026-08-11, 2026-08-12</t>
        </is>
      </c>
      <c r="AA252" s="3" t="n">
        <v>26228</v>
      </c>
      <c r="AB252" t="inlineStr">
        <is>
          <t>Сошлось по ночным тарифам</t>
        </is>
      </c>
      <c r="AC252" s="2" t="inlineStr"/>
      <c r="AD252" t="n">
        <v>5372</v>
      </c>
      <c r="AE252" t="n">
        <v>0</v>
      </c>
      <c r="AF252" t="inlineStr">
        <is>
          <t>Скидка добавлена к налоговой базе</t>
        </is>
      </c>
      <c r="AG252" t="n">
        <v>31600</v>
      </c>
      <c r="AH252" t="n">
        <v>26228</v>
      </c>
      <c r="AI252" t="inlineStr">
        <is>
          <t>Полное проживание в выбранном периоде</t>
        </is>
      </c>
    </row>
    <row r="253">
      <c r="A253" t="inlineStr">
        <is>
          <t>20260819-8186-459377986</t>
        </is>
      </c>
      <c r="B253" t="n">
        <v>1</v>
      </c>
      <c r="C253" s="2" t="inlineStr">
        <is>
          <t>Руслан Балабушко, Марина Балабушко</t>
        </is>
      </c>
      <c r="D253" s="3" t="n">
        <v>21976</v>
      </c>
      <c r="E253" s="4" t="n">
        <v>18</v>
      </c>
      <c r="F253" t="inlineStr">
        <is>
          <t>ООО "Эй энд Эй" [Чайковский]</t>
        </is>
      </c>
      <c r="G253" s="3">
        <f>ROUND(D253/(100-E253)*100,2)</f>
        <v/>
      </c>
      <c r="H253" s="3" t="n">
        <v>4000</v>
      </c>
      <c r="I253" s="3">
        <f>ROUND(IF(ISNUMBER(AG253),AG253,G253)+H253,2)</f>
        <v/>
      </c>
      <c r="J253" s="2" t="inlineStr">
        <is>
          <t>продление номера — 4 000,00 ₽; Завтрак "Шведский стол"</t>
        </is>
      </c>
      <c r="K253" s="5" t="n">
        <v>46253.58333333334</v>
      </c>
      <c r="L253" t="n">
        <v>2</v>
      </c>
      <c r="M253" s="3">
        <f>I253/L253</f>
        <v/>
      </c>
      <c r="N253">
        <f>IF(M253&gt;=5100,"ставка","мин.ставка")</f>
        <v/>
      </c>
      <c r="O253" s="3">
        <f>ROUND(IF(N253="мин.ставка",L253*100,I253/102*2),2)</f>
        <v/>
      </c>
      <c r="P253" s="5" t="n">
        <v>46255.5</v>
      </c>
      <c r="Q253" t="inlineStr">
        <is>
          <t>TravelLine ANA</t>
        </is>
      </c>
      <c r="R253" s="2" t="inlineStr">
        <is>
          <t>УЛУЧШЕННЫЙ ДВУХМЕСТНЫЙ НОМЕР</t>
        </is>
      </c>
      <c r="S253" t="n">
        <v>56</v>
      </c>
      <c r="T253" t="n">
        <v>2</v>
      </c>
      <c r="U253" t="inlineStr"/>
      <c r="V253" t="inlineStr">
        <is>
          <t>Тариф с завтраком</t>
        </is>
      </c>
      <c r="W253" t="n">
        <v>25976</v>
      </c>
      <c r="X253" s="3" t="n">
        <v>4824</v>
      </c>
      <c r="Y253" t="inlineStr">
        <is>
          <t>18%</t>
        </is>
      </c>
      <c r="Z253" t="inlineStr">
        <is>
          <t>2026-08-19, 2026-08-20</t>
        </is>
      </c>
      <c r="AA253" s="3" t="n">
        <v>21976</v>
      </c>
      <c r="AB253" t="inlineStr">
        <is>
          <t>Сошлось с услугами</t>
        </is>
      </c>
      <c r="AC253" s="2" t="inlineStr"/>
      <c r="AD253" t="n">
        <v>4824</v>
      </c>
      <c r="AE253" t="n">
        <v>0</v>
      </c>
      <c r="AF253" t="inlineStr">
        <is>
          <t>Скидка добавлена к налоговой базе</t>
        </is>
      </c>
      <c r="AG253" t="n">
        <v>26800</v>
      </c>
      <c r="AH253" t="n">
        <v>21976</v>
      </c>
      <c r="AI253" t="inlineStr">
        <is>
          <t>Полное проживание в выбранном периоде</t>
        </is>
      </c>
    </row>
    <row r="254">
      <c r="A254" t="inlineStr">
        <is>
          <t>20260906-8186-464177351</t>
        </is>
      </c>
      <c r="B254" t="n">
        <v>1</v>
      </c>
      <c r="C254" s="2" t="inlineStr">
        <is>
          <t>Руслан Мустафаев</t>
        </is>
      </c>
      <c r="D254" s="3" t="n">
        <v>15400</v>
      </c>
      <c r="E254" s="4" t="n">
        <v>0</v>
      </c>
      <c r="F254" t="inlineStr">
        <is>
          <t>Прямые бронирования (стойка) [Чайковский]</t>
        </is>
      </c>
      <c r="G254" s="3">
        <f>ROUND(D254/(100-E254)*100,2)</f>
        <v/>
      </c>
      <c r="H254" s="3" t="n">
        <v>0</v>
      </c>
      <c r="I254" s="3">
        <f>ROUND(IF(ISNUMBER(AG254),AG254,G254)+H254,2)</f>
        <v/>
      </c>
      <c r="J254" s="2" t="inlineStr">
        <is>
          <t>Завтрак "Шведский стол"</t>
        </is>
      </c>
      <c r="K254" s="5" t="n">
        <v>46271.58333333334</v>
      </c>
      <c r="L254" t="n">
        <v>1</v>
      </c>
      <c r="M254" s="3">
        <f>I254/L254</f>
        <v/>
      </c>
      <c r="N254">
        <f>IF(M254&gt;=5100,"ставка","мин.ставка")</f>
        <v/>
      </c>
      <c r="O254" s="3">
        <f>ROUND(IF(N254="мин.ставка",L254*100,I254/102*2),2)</f>
        <v/>
      </c>
      <c r="P254" s="5" t="n">
        <v>46272.5</v>
      </c>
      <c r="Q254" t="inlineStr">
        <is>
          <t>TravelLine ресепшен</t>
        </is>
      </c>
      <c r="R254" s="2" t="inlineStr">
        <is>
          <t>УЛУЧШЕННЫЙ ДВУХМЕСТНЫЙ НОМЕР</t>
        </is>
      </c>
      <c r="S254" t="n">
        <v>59</v>
      </c>
      <c r="T254" t="n">
        <v>2</v>
      </c>
      <c r="U254" t="inlineStr"/>
      <c r="V254" t="inlineStr">
        <is>
          <t>Тариф с завтраком</t>
        </is>
      </c>
      <c r="W254" t="n">
        <v>15400</v>
      </c>
      <c r="X254" s="3" t="n">
        <v>0</v>
      </c>
      <c r="Y254" t="inlineStr"/>
      <c r="Z254" t="inlineStr"/>
      <c r="AA254" s="3" t="n">
        <v>15400</v>
      </c>
      <c r="AB254" t="inlineStr">
        <is>
          <t>Сошлось по ночным тарифам</t>
        </is>
      </c>
      <c r="AC254" s="2" t="inlineStr"/>
      <c r="AD254" t="n">
        <v>0</v>
      </c>
      <c r="AE254" t="n">
        <v>0</v>
      </c>
      <c r="AF254" t="inlineStr">
        <is>
          <t>Скидки нет</t>
        </is>
      </c>
      <c r="AG254" t="n">
        <v>15400</v>
      </c>
      <c r="AH254" t="n">
        <v>15400</v>
      </c>
      <c r="AI254" t="inlineStr">
        <is>
          <t>Полное проживание в выбранном периоде</t>
        </is>
      </c>
    </row>
    <row r="255">
      <c r="A255" t="inlineStr">
        <is>
          <t>20260810-8186-457351716</t>
        </is>
      </c>
      <c r="B255" t="n">
        <v>1</v>
      </c>
      <c r="C255" s="2" t="inlineStr">
        <is>
          <t>РУФИНА ШАКИРОВА</t>
        </is>
      </c>
      <c r="D255" s="3" t="n">
        <v>8900</v>
      </c>
      <c r="E255" s="4" t="n">
        <v>0</v>
      </c>
      <c r="F255" t="inlineStr">
        <is>
          <t>Прямые бронирования (стойка) [Чайковский]</t>
        </is>
      </c>
      <c r="G255" s="3">
        <f>ROUND(D255/(100-E255)*100,2)</f>
        <v/>
      </c>
      <c r="H255" s="3" t="n">
        <v>0</v>
      </c>
      <c r="I255" s="3">
        <f>ROUND(IF(ISNUMBER(AG255),AG255,G255)+H255,2)</f>
        <v/>
      </c>
      <c r="J255" s="2" t="inlineStr">
        <is>
          <t>Завтрак "Шведский стол"</t>
        </is>
      </c>
      <c r="K255" s="5" t="n">
        <v>46244.58333333334</v>
      </c>
      <c r="L255" t="n">
        <v>1</v>
      </c>
      <c r="M255" s="3">
        <f>I255/L255</f>
        <v/>
      </c>
      <c r="N255">
        <f>IF(M255&gt;=5100,"ставка","мин.ставка")</f>
        <v/>
      </c>
      <c r="O255" s="3">
        <f>ROUND(IF(N255="мин.ставка",L255*100,I255/102*2),2)</f>
        <v/>
      </c>
      <c r="P255" s="5" t="n">
        <v>46245.5</v>
      </c>
      <c r="Q255" t="inlineStr">
        <is>
          <t>TravelLine ресепшен</t>
        </is>
      </c>
      <c r="R255" s="2" t="inlineStr">
        <is>
          <t>СЕМЕЙНЫЙ НОМЕР КАТЕГОРИИ "СТАНДАРТ" ВТОРОЙ КОРПУС</t>
        </is>
      </c>
      <c r="S255" t="n">
        <v>51</v>
      </c>
      <c r="T255" t="n">
        <v>2</v>
      </c>
      <c r="U255" t="inlineStr"/>
      <c r="V255" t="inlineStr">
        <is>
          <t>Тариф с завтраком</t>
        </is>
      </c>
      <c r="W255" t="n">
        <v>8900</v>
      </c>
      <c r="X255" s="3" t="n">
        <v>0</v>
      </c>
      <c r="Y255" t="inlineStr"/>
      <c r="Z255" t="inlineStr"/>
      <c r="AA255" s="3" t="n">
        <v>8900</v>
      </c>
      <c r="AB255" t="inlineStr">
        <is>
          <t>Сошлось по ночным тарифам</t>
        </is>
      </c>
      <c r="AC255" s="2" t="inlineStr"/>
      <c r="AD255" t="n">
        <v>0</v>
      </c>
      <c r="AE255" t="n">
        <v>0</v>
      </c>
      <c r="AF255" t="inlineStr">
        <is>
          <t>Скидки нет</t>
        </is>
      </c>
      <c r="AG255" t="n">
        <v>8900</v>
      </c>
      <c r="AH255" t="n">
        <v>8900</v>
      </c>
      <c r="AI255" t="inlineStr">
        <is>
          <t>Полное проживание в выбранном периоде</t>
        </is>
      </c>
    </row>
    <row r="256">
      <c r="A256" t="inlineStr">
        <is>
          <t>20260710-8186-431599148</t>
        </is>
      </c>
      <c r="B256" t="n">
        <v>1</v>
      </c>
      <c r="C256" s="2" t="inlineStr">
        <is>
          <t>Садик Алимов, Анна Алимова</t>
        </is>
      </c>
      <c r="D256" s="3" t="n">
        <v>11560</v>
      </c>
      <c r="E256" s="4" t="n">
        <v>18</v>
      </c>
      <c r="F256" t="inlineStr">
        <is>
          <t>Яндекс.Путешествия [Чайковский]</t>
        </is>
      </c>
      <c r="G256" s="3">
        <f>ROUND(D256/(100-E256)*100,2)</f>
        <v/>
      </c>
      <c r="H256" s="3" t="n">
        <v>0</v>
      </c>
      <c r="I256" s="3">
        <f>ROUND(IF(ISNUMBER(AG256),AG256,G256)+H256,2)</f>
        <v/>
      </c>
      <c r="J256" s="2" t="inlineStr">
        <is>
          <t>Завтрак "Шведский стол"</t>
        </is>
      </c>
      <c r="K256" s="5" t="n">
        <v>46213.58333333334</v>
      </c>
      <c r="L256" t="n">
        <v>1</v>
      </c>
      <c r="M256" s="3">
        <f>I256/L256</f>
        <v/>
      </c>
      <c r="N256">
        <f>IF(M256&gt;=5100,"ставка","мин.ставка")</f>
        <v/>
      </c>
      <c r="O256" s="3">
        <f>ROUND(IF(N256="мин.ставка",L256*100,I256/102*2),2)</f>
        <v/>
      </c>
      <c r="P256" s="5" t="n">
        <v>46214.5</v>
      </c>
      <c r="Q256" t="inlineStr">
        <is>
          <t>TravelLine YAX</t>
        </is>
      </c>
      <c r="R256" s="2" t="inlineStr">
        <is>
          <t>семейный номер категории "стандарт"</t>
        </is>
      </c>
      <c r="S256" t="n">
        <v>51</v>
      </c>
      <c r="T256" t="n">
        <v>2</v>
      </c>
      <c r="U256" t="inlineStr"/>
      <c r="V256" t="inlineStr">
        <is>
          <t>Тариф с завтраком</t>
        </is>
      </c>
      <c r="W256" t="n">
        <v>11560</v>
      </c>
      <c r="X256" s="3" t="n">
        <v>2890</v>
      </c>
      <c r="Y256" t="inlineStr">
        <is>
          <t>20%</t>
        </is>
      </c>
      <c r="Z256" t="inlineStr">
        <is>
          <t>2026-07-10</t>
        </is>
      </c>
      <c r="AA256" s="3" t="n">
        <v>11560</v>
      </c>
      <c r="AB256" t="inlineStr">
        <is>
          <t>Сошлось по ночным тарифам</t>
        </is>
      </c>
      <c r="AC256" s="2" t="inlineStr"/>
      <c r="AD256" t="n">
        <v>2890</v>
      </c>
      <c r="AE256" t="n">
        <v>0</v>
      </c>
      <c r="AF256" t="inlineStr">
        <is>
          <t>Скидка добавлена к налоговой базе</t>
        </is>
      </c>
      <c r="AG256" t="n">
        <v>14450</v>
      </c>
      <c r="AH256" t="n">
        <v>11560</v>
      </c>
      <c r="AI256" t="inlineStr">
        <is>
          <t>Полное проживание в выбранном периоде</t>
        </is>
      </c>
    </row>
    <row r="257">
      <c r="A257" t="inlineStr">
        <is>
          <t>20260728-8186-454019745</t>
        </is>
      </c>
      <c r="B257" t="n">
        <v>1</v>
      </c>
      <c r="C257" s="2" t="inlineStr">
        <is>
          <t>САМИР НАГИЕВ, ОЛЕСЯ САФРОНОВА</t>
        </is>
      </c>
      <c r="D257" s="3" t="n">
        <v>12325</v>
      </c>
      <c r="E257" s="4" t="n">
        <v>15</v>
      </c>
      <c r="F257" t="inlineStr">
        <is>
          <t>ООО «12Т» (ранее ONE TWO TRIP) [Чайковский]</t>
        </is>
      </c>
      <c r="G257" s="3">
        <f>ROUND(D257/(100-E257)*100,2)</f>
        <v/>
      </c>
      <c r="H257" s="3" t="n">
        <v>0</v>
      </c>
      <c r="I257" s="3">
        <f>ROUND(IF(ISNUMBER(AG257),AG257,G257)+H257,2)</f>
        <v/>
      </c>
      <c r="J257" s="2" t="inlineStr">
        <is>
          <t>Завтрак "Шведский стол"</t>
        </is>
      </c>
      <c r="K257" s="5" t="n">
        <v>46231.58333333334</v>
      </c>
      <c r="L257" t="n">
        <v>1</v>
      </c>
      <c r="M257" s="3">
        <f>I257/L257</f>
        <v/>
      </c>
      <c r="N257">
        <f>IF(M257&gt;=5100,"ставка","мин.ставка")</f>
        <v/>
      </c>
      <c r="O257" s="3">
        <f>ROUND(IF(N257="мин.ставка",L257*100,I257/102*2),2)</f>
        <v/>
      </c>
      <c r="P257" s="5" t="n">
        <v>46232.5</v>
      </c>
      <c r="Q257" t="inlineStr">
        <is>
          <t>TravelLine OTT</t>
        </is>
      </c>
      <c r="R257" s="2" t="inlineStr">
        <is>
          <t>ЛЮКС ВТОРОЙ КОРПУС</t>
        </is>
      </c>
      <c r="S257" t="n">
        <v>53</v>
      </c>
      <c r="T257" t="n">
        <v>2</v>
      </c>
      <c r="U257" t="inlineStr"/>
      <c r="V257" t="inlineStr">
        <is>
          <t>Тариф с завтраком</t>
        </is>
      </c>
      <c r="W257" t="n">
        <v>12325</v>
      </c>
      <c r="X257" s="3" t="n">
        <v>2175</v>
      </c>
      <c r="Y257" t="inlineStr">
        <is>
          <t>15%</t>
        </is>
      </c>
      <c r="Z257" t="inlineStr">
        <is>
          <t>2026-07-28</t>
        </is>
      </c>
      <c r="AA257" s="3" t="n">
        <v>12325</v>
      </c>
      <c r="AB257" t="inlineStr">
        <is>
          <t>Сошлось по ночным тарифам</t>
        </is>
      </c>
      <c r="AC257" s="2" t="inlineStr"/>
      <c r="AD257" t="n">
        <v>2175</v>
      </c>
      <c r="AE257" t="n">
        <v>0</v>
      </c>
      <c r="AF257" t="inlineStr">
        <is>
          <t>Скидка добавлена к налоговой базе</t>
        </is>
      </c>
      <c r="AG257" t="n">
        <v>14500</v>
      </c>
      <c r="AH257" t="n">
        <v>12325</v>
      </c>
      <c r="AI257" t="inlineStr">
        <is>
          <t>Полное проживание в выбранном периоде</t>
        </is>
      </c>
    </row>
    <row r="258">
      <c r="A258" t="inlineStr">
        <is>
          <t>20260805-8186-456086133</t>
        </is>
      </c>
      <c r="B258" t="n">
        <v>1</v>
      </c>
      <c r="C258" s="2" t="inlineStr">
        <is>
          <t>Самир Нагиев, ОЛЕСЯ САФРОНОВА</t>
        </is>
      </c>
      <c r="D258" s="3" t="n">
        <v>11600</v>
      </c>
      <c r="E258" s="4" t="n">
        <v>20</v>
      </c>
      <c r="F258" t="inlineStr">
        <is>
          <t>ООО "КОМПАНИЯ БРОНЕВИК" [Чайковский]</t>
        </is>
      </c>
      <c r="G258" s="3">
        <f>ROUND(D258/(100-E258)*100,2)</f>
        <v/>
      </c>
      <c r="H258" s="3" t="n">
        <v>0</v>
      </c>
      <c r="I258" s="3">
        <f>ROUND(IF(ISNUMBER(AG258),AG258,G258)+H258,2)</f>
        <v/>
      </c>
      <c r="J258" s="2" t="inlineStr"/>
      <c r="K258" s="5" t="n">
        <v>46239.58333333334</v>
      </c>
      <c r="L258" t="n">
        <v>1</v>
      </c>
      <c r="M258" s="3">
        <f>I258/L258</f>
        <v/>
      </c>
      <c r="N258">
        <f>IF(M258&gt;=5100,"ставка","мин.ставка")</f>
        <v/>
      </c>
      <c r="O258" s="3">
        <f>ROUND(IF(N258="мин.ставка",L258*100,I258/102*2),2)</f>
        <v/>
      </c>
      <c r="P258" s="5" t="n">
        <v>46240.5</v>
      </c>
      <c r="Q258" t="inlineStr">
        <is>
          <t>TravelLine BR2</t>
        </is>
      </c>
      <c r="R258" s="2" t="inlineStr">
        <is>
          <t>ЛЮКС ВТОРОЙ КОРПУС</t>
        </is>
      </c>
      <c r="S258" t="n">
        <v>53</v>
      </c>
      <c r="T258" t="n">
        <v>2</v>
      </c>
      <c r="U258" t="inlineStr"/>
      <c r="V258" t="inlineStr">
        <is>
          <t>Основной тариф без завтрака</t>
        </is>
      </c>
      <c r="W258" t="n">
        <v>11600</v>
      </c>
      <c r="X258" s="3" t="n">
        <v>0</v>
      </c>
      <c r="Y258" t="inlineStr"/>
      <c r="Z258" t="inlineStr"/>
      <c r="AA258" s="3" t="n">
        <v>11600</v>
      </c>
      <c r="AB258" t="inlineStr">
        <is>
          <t>Сошлось по ночным тарифам</t>
        </is>
      </c>
      <c r="AC258" s="2" t="inlineStr"/>
      <c r="AD258" t="n">
        <v>0</v>
      </c>
      <c r="AE258" t="n">
        <v>0</v>
      </c>
      <c r="AF258" t="inlineStr">
        <is>
          <t>Скидки нет</t>
        </is>
      </c>
      <c r="AG258" t="n">
        <v>11600</v>
      </c>
      <c r="AH258" t="n">
        <v>11600</v>
      </c>
      <c r="AI258" t="inlineStr">
        <is>
          <t>Полное проживание в выбранном периоде</t>
        </is>
      </c>
    </row>
    <row r="259">
      <c r="A259" t="inlineStr">
        <is>
          <t>20260914-8186-463592251</t>
        </is>
      </c>
      <c r="B259" t="n">
        <v>1</v>
      </c>
      <c r="C259" s="2" t="inlineStr">
        <is>
          <t>СВЕТЛАНА КОРСУНСКАЯ</t>
        </is>
      </c>
      <c r="D259" s="3" t="n">
        <v>9647.5</v>
      </c>
      <c r="E259" s="4" t="n">
        <v>15</v>
      </c>
      <c r="F259" t="inlineStr">
        <is>
          <t>ООО "Библио-Глобус Туроператор" [Чайковский]</t>
        </is>
      </c>
      <c r="G259" s="3">
        <f>ROUND(D259/(100-E259)*100,2)</f>
        <v/>
      </c>
      <c r="H259" s="3" t="n">
        <v>0</v>
      </c>
      <c r="I259" s="3">
        <f>ROUND(IF(ISNUMBER(AG259),AG259,G259)+H259,2)</f>
        <v/>
      </c>
      <c r="J259" s="2" t="inlineStr">
        <is>
          <t>Завтрак "Шведский стол"</t>
        </is>
      </c>
      <c r="K259" s="5" t="n">
        <v>46279.58333333334</v>
      </c>
      <c r="L259" t="n">
        <v>1</v>
      </c>
      <c r="M259" s="3">
        <f>I259/L259</f>
        <v/>
      </c>
      <c r="N259">
        <f>IF(M259&gt;=5100,"ставка","мин.ставка")</f>
        <v/>
      </c>
      <c r="O259" s="3">
        <f>ROUND(IF(N259="мин.ставка",L259*100,I259/102*2),2)</f>
        <v/>
      </c>
      <c r="P259" s="5" t="n">
        <v>46280.5</v>
      </c>
      <c r="Q259" t="inlineStr">
        <is>
          <t>TravelLine BGL</t>
        </is>
      </c>
      <c r="R259" s="2" t="inlineStr">
        <is>
          <t>СТАНДАРТНЫЙ ДВУХМЕСТНЫЙ НОМЕР</t>
        </is>
      </c>
      <c r="S259" t="n">
        <v>58</v>
      </c>
      <c r="T259" t="n">
        <v>2</v>
      </c>
      <c r="U259" t="inlineStr"/>
      <c r="V259" t="inlineStr">
        <is>
          <t>Тариф с завтраком</t>
        </is>
      </c>
      <c r="W259" t="n">
        <v>9647.5</v>
      </c>
      <c r="X259" s="3" t="n">
        <v>0</v>
      </c>
      <c r="Y259" t="inlineStr"/>
      <c r="Z259" t="inlineStr"/>
      <c r="AA259" s="3" t="n">
        <v>9647.5</v>
      </c>
      <c r="AB259" t="inlineStr">
        <is>
          <t>Сошлось по ночным тарифам</t>
        </is>
      </c>
      <c r="AC259" s="2" t="inlineStr"/>
      <c r="AD259" t="n">
        <v>0</v>
      </c>
      <c r="AE259" t="n">
        <v>0</v>
      </c>
      <c r="AF259" t="inlineStr">
        <is>
          <t>Скидки нет</t>
        </is>
      </c>
      <c r="AG259" t="n">
        <v>9647.5</v>
      </c>
      <c r="AH259" t="n">
        <v>9647.5</v>
      </c>
      <c r="AI259" t="inlineStr">
        <is>
          <t>Полное проживание в выбранном периоде</t>
        </is>
      </c>
    </row>
    <row r="260">
      <c r="A260" t="inlineStr">
        <is>
          <t>20260812-8186-451725472</t>
        </is>
      </c>
      <c r="B260" t="n">
        <v>1</v>
      </c>
      <c r="C260" s="2" t="inlineStr">
        <is>
          <t>Светлана Кривашапова, Анна Янчалкова</t>
        </is>
      </c>
      <c r="D260" s="3" t="n">
        <v>107322.6</v>
      </c>
      <c r="E260" s="4" t="n">
        <v>4</v>
      </c>
      <c r="F260" t="inlineStr">
        <is>
          <t>TravelLine Booking Engine [Чайковский]</t>
        </is>
      </c>
      <c r="G260" s="3">
        <f>ROUND(D260/(100-E260)*100,2)</f>
        <v/>
      </c>
      <c r="H260" s="3" t="n">
        <v>0</v>
      </c>
      <c r="I260" s="3">
        <f>ROUND(IF(ISNUMBER(AG260),AG260,G260)+H260,2)</f>
        <v/>
      </c>
      <c r="J260" s="2" t="inlineStr">
        <is>
          <t>Завтрак "Шведский стол"</t>
        </is>
      </c>
      <c r="K260" s="5" t="n">
        <v>46246.58333333334</v>
      </c>
      <c r="L260" t="n">
        <v>7</v>
      </c>
      <c r="M260" s="3">
        <f>I260/L260</f>
        <v/>
      </c>
      <c r="N260">
        <f>IF(M260&gt;=5100,"ставка","мин.ставка")</f>
        <v/>
      </c>
      <c r="O260" s="3">
        <f>ROUND(IF(N260="мин.ставка",L260*100,I260/102*2),2)</f>
        <v/>
      </c>
      <c r="P260" s="5" t="n">
        <v>46253.5</v>
      </c>
      <c r="Q260" t="inlineStr">
        <is>
          <t>TravelLine сайт</t>
        </is>
      </c>
      <c r="R260" s="2" t="inlineStr">
        <is>
          <t>УЛУЧШЕННЫЙ ДВУХМЕСТНЫЙ НОМЕР</t>
        </is>
      </c>
      <c r="S260" t="n">
        <v>56</v>
      </c>
      <c r="T260" t="n">
        <v>2</v>
      </c>
      <c r="U260" t="inlineStr"/>
      <c r="V260" t="inlineStr">
        <is>
          <t>Тариф с завтраком</t>
        </is>
      </c>
      <c r="W260" t="n">
        <v>107322.6</v>
      </c>
      <c r="X260" s="3" t="n">
        <v>477.4</v>
      </c>
      <c r="Y260" t="inlineStr">
        <is>
          <t>3.1%</t>
        </is>
      </c>
      <c r="Z260" t="inlineStr">
        <is>
          <t>2026-08-12</t>
        </is>
      </c>
      <c r="AA260" s="3" t="n">
        <v>107322.6</v>
      </c>
      <c r="AB260" t="inlineStr">
        <is>
          <t>Сошлось по ночным тарифам</t>
        </is>
      </c>
      <c r="AC260" s="2" t="inlineStr"/>
      <c r="AD260" t="n">
        <v>477.4</v>
      </c>
      <c r="AE260" t="n">
        <v>0</v>
      </c>
      <c r="AF260" t="inlineStr">
        <is>
          <t>Скидка добавлена к налоговой базе</t>
        </is>
      </c>
      <c r="AG260" t="n">
        <v>107800</v>
      </c>
      <c r="AH260" t="n">
        <v>107322.6</v>
      </c>
      <c r="AI260" t="inlineStr">
        <is>
          <t>Полное проживание в выбранном периоде</t>
        </is>
      </c>
    </row>
    <row r="261">
      <c r="A261" t="inlineStr">
        <is>
          <t>20260812-8186-456358699</t>
        </is>
      </c>
      <c r="B261" t="n">
        <v>1</v>
      </c>
      <c r="C261" s="2" t="inlineStr">
        <is>
          <t>Светлана Михалева, Анастасия Михалева</t>
        </is>
      </c>
      <c r="D261" s="3" t="n">
        <v>21360</v>
      </c>
      <c r="E261" s="4" t="n">
        <v>20</v>
      </c>
      <c r="F261" t="inlineStr">
        <is>
          <t>ООО «Дубль Гис» (OTELLO) [Чайковский]</t>
        </is>
      </c>
      <c r="G261" s="3">
        <f>ROUND(D261/(100-E261)*100,2)</f>
        <v/>
      </c>
      <c r="H261" s="3" t="n">
        <v>0</v>
      </c>
      <c r="I261" s="3">
        <f>ROUND(IF(ISNUMBER(AG261),AG261,G261)+H261,2)</f>
        <v/>
      </c>
      <c r="J261" s="2" t="inlineStr">
        <is>
          <t>Завтрак "Шведский стол"</t>
        </is>
      </c>
      <c r="K261" s="5" t="n">
        <v>46246.58333333334</v>
      </c>
      <c r="L261" t="n">
        <v>2</v>
      </c>
      <c r="M261" s="3">
        <f>I261/L261</f>
        <v/>
      </c>
      <c r="N261">
        <f>IF(M261&gt;=5100,"ставка","мин.ставка")</f>
        <v/>
      </c>
      <c r="O261" s="3">
        <f>ROUND(IF(N261="мин.ставка",L261*100,I261/102*2),2)</f>
        <v/>
      </c>
      <c r="P261" s="5" t="n">
        <v>46248.5</v>
      </c>
      <c r="Q261" t="inlineStr">
        <is>
          <t>TravelLine OL2</t>
        </is>
      </c>
      <c r="R261" s="2" t="inlineStr">
        <is>
          <t>СТАНДАРТНЫЙ ДВУХМЕСТНЫЙ НОМЕР</t>
        </is>
      </c>
      <c r="S261" t="n">
        <v>58</v>
      </c>
      <c r="T261" t="n">
        <v>2</v>
      </c>
      <c r="U261" t="inlineStr"/>
      <c r="V261" t="inlineStr">
        <is>
          <t>Тариф с завтраком</t>
        </is>
      </c>
      <c r="W261" t="n">
        <v>21360</v>
      </c>
      <c r="X261" s="3" t="n">
        <v>5340</v>
      </c>
      <c r="Y261" t="inlineStr">
        <is>
          <t>20%</t>
        </is>
      </c>
      <c r="Z261" t="inlineStr">
        <is>
          <t>2026-08-12, 2026-08-13</t>
        </is>
      </c>
      <c r="AA261" s="3" t="n">
        <v>21360</v>
      </c>
      <c r="AB261" t="inlineStr">
        <is>
          <t>Сошлось по ночным тарифам</t>
        </is>
      </c>
      <c r="AC261" s="2" t="inlineStr"/>
      <c r="AD261" t="n">
        <v>5340</v>
      </c>
      <c r="AE261" t="n">
        <v>0</v>
      </c>
      <c r="AF261" t="inlineStr">
        <is>
          <t>Скидка добавлена к налоговой базе</t>
        </is>
      </c>
      <c r="AG261" t="n">
        <v>26700</v>
      </c>
      <c r="AH261" t="n">
        <v>21360</v>
      </c>
      <c r="AI261" t="inlineStr">
        <is>
          <t>Полное проживание в выбранном периоде</t>
        </is>
      </c>
    </row>
    <row r="262">
      <c r="A262" t="inlineStr">
        <is>
          <t>20260914-8186-465267939</t>
        </is>
      </c>
      <c r="B262" t="n">
        <v>1</v>
      </c>
      <c r="C262" s="2" t="inlineStr">
        <is>
          <t>Светлана Носницына, ВЯЧЕСЛАВ БОЧАРОВ</t>
        </is>
      </c>
      <c r="D262" s="3" t="n">
        <v>26499.75</v>
      </c>
      <c r="E262" s="4" t="n">
        <v>4</v>
      </c>
      <c r="F262" t="inlineStr">
        <is>
          <t>TravelLine Booking Engine [Чайковский]</t>
        </is>
      </c>
      <c r="G262" s="3">
        <f>ROUND(D262/(100-E262)*100,2)</f>
        <v/>
      </c>
      <c r="H262" s="3" t="n">
        <v>0</v>
      </c>
      <c r="I262" s="3">
        <f>ROUND(IF(ISNUMBER(AG262),AG262,G262)+H262,2)</f>
        <v/>
      </c>
      <c r="J262" s="2" t="inlineStr">
        <is>
          <t>Завтрак "Шведский стол"</t>
        </is>
      </c>
      <c r="K262" s="5" t="n">
        <v>46279.58333333334</v>
      </c>
      <c r="L262" t="n">
        <v>2</v>
      </c>
      <c r="M262" s="3">
        <f>I262/L262</f>
        <v/>
      </c>
      <c r="N262">
        <f>IF(M262&gt;=5100,"ставка","мин.ставка")</f>
        <v/>
      </c>
      <c r="O262" s="3">
        <f>ROUND(IF(N262="мин.ставка",L262*100,I262/102*2),2)</f>
        <v/>
      </c>
      <c r="P262" s="5" t="n">
        <v>46281.5</v>
      </c>
      <c r="Q262" t="inlineStr">
        <is>
          <t>TravelLine сайт</t>
        </is>
      </c>
      <c r="R262" s="2" t="inlineStr">
        <is>
          <t>СТАНДАРТНЫЙ ДВУХМЕСТНЫЙ НОМЕР</t>
        </is>
      </c>
      <c r="S262" t="n">
        <v>52</v>
      </c>
      <c r="T262" t="n">
        <v>2</v>
      </c>
      <c r="U262" t="inlineStr"/>
      <c r="V262" t="inlineStr">
        <is>
          <t>Тариф с завтраком</t>
        </is>
      </c>
      <c r="W262" t="n">
        <v>26499.75</v>
      </c>
      <c r="X262" s="3" t="n">
        <v>200.25</v>
      </c>
      <c r="Y262" t="inlineStr">
        <is>
          <t>1.5%</t>
        </is>
      </c>
      <c r="Z262" t="inlineStr">
        <is>
          <t>2026-09-14</t>
        </is>
      </c>
      <c r="AA262" s="3" t="n">
        <v>26499.75</v>
      </c>
      <c r="AB262" t="inlineStr">
        <is>
          <t>Сошлось по ночным тарифам</t>
        </is>
      </c>
      <c r="AC262" s="2" t="inlineStr"/>
      <c r="AD262" t="n">
        <v>200.25</v>
      </c>
      <c r="AE262" t="n">
        <v>0</v>
      </c>
      <c r="AF262" t="inlineStr">
        <is>
          <t>Скидка добавлена к налоговой базе</t>
        </is>
      </c>
      <c r="AG262" t="n">
        <v>26700</v>
      </c>
      <c r="AH262" t="n">
        <v>26499.75</v>
      </c>
      <c r="AI262" t="inlineStr">
        <is>
          <t>Полное проживание в выбранном периоде</t>
        </is>
      </c>
    </row>
    <row r="263">
      <c r="A263" t="inlineStr">
        <is>
          <t>20260817-8186-425895976</t>
        </is>
      </c>
      <c r="B263" t="n">
        <v>1</v>
      </c>
      <c r="C263" s="2" t="inlineStr">
        <is>
          <t>СВЕТЛАНА РУДСКАЯ, СЕРГЕЙ ХАРЧЕНКО</t>
        </is>
      </c>
      <c r="D263" s="3" t="n">
        <v>43350</v>
      </c>
      <c r="E263" s="4" t="n">
        <v>0</v>
      </c>
      <c r="F263" t="inlineStr">
        <is>
          <t>Прямые бронирования (стойка) [Чайковский]</t>
        </is>
      </c>
      <c r="G263" s="3">
        <f>ROUND(D263/(100-E263)*100,2)</f>
        <v/>
      </c>
      <c r="H263" s="3" t="n">
        <v>0</v>
      </c>
      <c r="I263" s="3">
        <f>ROUND(IF(ISNUMBER(AG263),AG263,G263)+H263,2)</f>
        <v/>
      </c>
      <c r="J263" s="2" t="inlineStr">
        <is>
          <t>Завтрак "Шведский стол"</t>
        </is>
      </c>
      <c r="K263" s="5" t="n">
        <v>46255.58333333334</v>
      </c>
      <c r="L263" t="n">
        <v>3</v>
      </c>
      <c r="M263" s="3">
        <f>I263/L263</f>
        <v/>
      </c>
      <c r="N263">
        <f>IF(M263&gt;=5100,"ставка","мин.ставка")</f>
        <v/>
      </c>
      <c r="O263" s="3">
        <f>ROUND(IF(N263="мин.ставка",L263*100,I263/102*2),2)</f>
        <v/>
      </c>
      <c r="P263" s="5" t="n">
        <v>46258.5</v>
      </c>
      <c r="Q263" t="inlineStr">
        <is>
          <t>TravelLine ресепшен</t>
        </is>
      </c>
      <c r="R263" s="2" t="inlineStr">
        <is>
          <t>семейный номер категории "стандарт"</t>
        </is>
      </c>
      <c r="S263" t="n">
        <v>50</v>
      </c>
      <c r="T263" t="n">
        <v>2</v>
      </c>
      <c r="U263" t="inlineStr"/>
      <c r="V263" t="inlineStr">
        <is>
          <t>Тариф с завтраком</t>
        </is>
      </c>
      <c r="W263" t="n">
        <v>43350</v>
      </c>
      <c r="X263" s="3" t="n">
        <v>0</v>
      </c>
      <c r="Y263" t="inlineStr"/>
      <c r="Z263" t="inlineStr"/>
      <c r="AA263" s="3" t="n">
        <v>43350</v>
      </c>
      <c r="AB263" t="inlineStr">
        <is>
          <t>Сошлось по ночным тарифам</t>
        </is>
      </c>
      <c r="AC263" s="2" t="inlineStr"/>
      <c r="AD263" t="n">
        <v>0</v>
      </c>
      <c r="AE263" t="n">
        <v>0</v>
      </c>
      <c r="AF263" t="inlineStr">
        <is>
          <t>Скидки нет</t>
        </is>
      </c>
      <c r="AG263" t="n">
        <v>43350</v>
      </c>
      <c r="AH263" t="n">
        <v>43350</v>
      </c>
      <c r="AI263" t="inlineStr">
        <is>
          <t>Полное проживание в выбранном периоде</t>
        </is>
      </c>
    </row>
    <row r="264">
      <c r="A264" t="inlineStr">
        <is>
          <t>20260830-8186-455487869</t>
        </is>
      </c>
      <c r="B264" t="n">
        <v>1</v>
      </c>
      <c r="C264" s="2" t="inlineStr">
        <is>
          <t>СВЕТЛАНА РУДСКАЯ, СЕРГЕЙ ХАРЧЕНКО</t>
        </is>
      </c>
      <c r="D264" s="3" t="n">
        <v>28900</v>
      </c>
      <c r="E264" s="4" t="n">
        <v>0</v>
      </c>
      <c r="F264" t="inlineStr">
        <is>
          <t>Прямые бронирования (стойка) [Чайковский]</t>
        </is>
      </c>
      <c r="G264" s="3">
        <f>ROUND(D264/(100-E264)*100,2)</f>
        <v/>
      </c>
      <c r="H264" s="3" t="n">
        <v>0</v>
      </c>
      <c r="I264" s="3">
        <f>ROUND(IF(ISNUMBER(AG264),AG264,G264)+H264,2)</f>
        <v/>
      </c>
      <c r="J264" s="2" t="inlineStr">
        <is>
          <t>Завтрак "Шведский стол"</t>
        </is>
      </c>
      <c r="K264" s="5" t="n">
        <v>46265.58333333334</v>
      </c>
      <c r="L264" t="n">
        <v>2</v>
      </c>
      <c r="M264" s="3">
        <f>I264/L264</f>
        <v/>
      </c>
      <c r="N264">
        <f>IF(M264&gt;=5100,"ставка","мин.ставка")</f>
        <v/>
      </c>
      <c r="O264" s="3">
        <f>ROUND(IF(N264="мин.ставка",L264*100,I264/102*2),2)</f>
        <v/>
      </c>
      <c r="P264" s="5" t="n">
        <v>46267.5</v>
      </c>
      <c r="Q264" t="inlineStr">
        <is>
          <t>TravelLine ресепшен</t>
        </is>
      </c>
      <c r="R264" s="2" t="inlineStr">
        <is>
          <t>СЕМЕЙНЫЙ НОМЕР КАТЕГОРИИ "СТАНДАРТ" ВТОРОЙ КОРПУС</t>
        </is>
      </c>
      <c r="S264" t="n">
        <v>50</v>
      </c>
      <c r="T264" t="n">
        <v>2</v>
      </c>
      <c r="U264" t="inlineStr"/>
      <c r="V264" t="inlineStr">
        <is>
          <t>Тариф с завтраком</t>
        </is>
      </c>
      <c r="W264" t="n">
        <v>28900</v>
      </c>
      <c r="X264" s="3" t="n">
        <v>0</v>
      </c>
      <c r="Y264" t="inlineStr"/>
      <c r="Z264" t="inlineStr"/>
      <c r="AA264" s="3" t="n">
        <v>28900</v>
      </c>
      <c r="AB264" t="inlineStr">
        <is>
          <t>Сошлось по ночным тарифам</t>
        </is>
      </c>
      <c r="AC264" s="2" t="inlineStr"/>
      <c r="AD264" t="n">
        <v>0</v>
      </c>
      <c r="AE264" t="n">
        <v>0</v>
      </c>
      <c r="AF264" t="inlineStr">
        <is>
          <t>Скидки нет</t>
        </is>
      </c>
      <c r="AG264" t="n">
        <v>28900</v>
      </c>
      <c r="AH264" t="n">
        <v>28900</v>
      </c>
      <c r="AI264" t="inlineStr">
        <is>
          <t>Полное проживание в выбранном периоде</t>
        </is>
      </c>
    </row>
    <row r="265">
      <c r="A265" t="inlineStr">
        <is>
          <t>20260827-8186-461645701</t>
        </is>
      </c>
      <c r="B265" t="n">
        <v>1</v>
      </c>
      <c r="C265" s="2" t="inlineStr">
        <is>
          <t>Семён Новосельский</t>
        </is>
      </c>
      <c r="D265" s="3" t="n">
        <v>22348.15</v>
      </c>
      <c r="E265" s="4" t="n">
        <v>4</v>
      </c>
      <c r="F265" t="inlineStr">
        <is>
          <t>TravelLine Booking Engine [Чайковский]</t>
        </is>
      </c>
      <c r="G265" s="3">
        <f>ROUND(D265/(100-E265)*100,2)</f>
        <v/>
      </c>
      <c r="H265" s="3" t="n">
        <v>0</v>
      </c>
      <c r="I265" s="3">
        <f>ROUND(IF(ISNUMBER(AG265),AG265,G265)+H265,2)</f>
        <v/>
      </c>
      <c r="J265" s="2" t="inlineStr">
        <is>
          <t>Завтрак "Шведский стол"</t>
        </is>
      </c>
      <c r="K265" s="5" t="n">
        <v>46261.58333333334</v>
      </c>
      <c r="L265" t="n">
        <v>2</v>
      </c>
      <c r="M265" s="3">
        <f>I265/L265</f>
        <v/>
      </c>
      <c r="N265">
        <f>IF(M265&gt;=5100,"ставка","мин.ставка")</f>
        <v/>
      </c>
      <c r="O265" s="3">
        <f>ROUND(IF(N265="мин.ставка",L265*100,I265/102*2),2)</f>
        <v/>
      </c>
      <c r="P265" s="5" t="n">
        <v>46263.5</v>
      </c>
      <c r="Q265" t="inlineStr">
        <is>
          <t>TravelLine сайт</t>
        </is>
      </c>
      <c r="R265" s="2" t="inlineStr">
        <is>
          <t>СТАНДАРТНЫЙ ДВУХМЕСТНЫЙ НОМЕР</t>
        </is>
      </c>
      <c r="S265" t="n">
        <v>55</v>
      </c>
      <c r="T265" t="n">
        <v>2</v>
      </c>
      <c r="U265" t="inlineStr"/>
      <c r="V265" t="inlineStr">
        <is>
          <t>Тариф с завтраком</t>
        </is>
      </c>
      <c r="W265" t="n">
        <v>48634.3</v>
      </c>
      <c r="X265" s="3" t="n">
        <v>351.85</v>
      </c>
      <c r="Y265" t="inlineStr">
        <is>
          <t>3.1%</t>
        </is>
      </c>
      <c r="Z265" t="inlineStr">
        <is>
          <t>2026-08-27</t>
        </is>
      </c>
      <c r="AA265" s="3" t="n">
        <v>22348.15</v>
      </c>
      <c r="AB265" t="inlineStr">
        <is>
          <t>Сошлось по ночным тарифам</t>
        </is>
      </c>
      <c r="AC265" s="2" t="inlineStr"/>
      <c r="AD265" t="n">
        <v>351.85</v>
      </c>
      <c r="AE265" t="n">
        <v>0</v>
      </c>
      <c r="AF265" t="inlineStr">
        <is>
          <t>Скидка добавлена к налоговой базе</t>
        </is>
      </c>
      <c r="AG265" t="n">
        <v>22700</v>
      </c>
      <c r="AH265" t="n">
        <v>22348.15</v>
      </c>
      <c r="AI265" t="inlineStr">
        <is>
          <t>Полное проживание в выбранном периоде</t>
        </is>
      </c>
    </row>
    <row r="266">
      <c r="A266" t="inlineStr">
        <is>
          <t>20260711-8186-430006493</t>
        </is>
      </c>
      <c r="B266" t="n">
        <v>1</v>
      </c>
      <c r="C266" s="2" t="inlineStr">
        <is>
          <t>Сергей Денисов, Юлия Денисова</t>
        </is>
      </c>
      <c r="D266" s="3" t="n">
        <v>56737.5</v>
      </c>
      <c r="E266" s="4" t="n">
        <v>0</v>
      </c>
      <c r="F266" t="inlineStr">
        <is>
          <t>ООО "АЛЕАН ОТДЫХ" [Чайковский]</t>
        </is>
      </c>
      <c r="G266" s="3">
        <f>ROUND(D266/(100-E266)*100,2)</f>
        <v/>
      </c>
      <c r="H266" s="3" t="n">
        <v>9175</v>
      </c>
      <c r="I266" s="3">
        <f>ROUND(IF(ISNUMBER(AG266),AG266,G266)+H266,2)</f>
        <v/>
      </c>
      <c r="J266" s="2" t="inlineStr">
        <is>
          <t>meal_bf_buffet_1; meal_bf_buffet_1; продление номера — 1 800,00 ₽; продление номера — 400,00 ₽; продление номера — 300,00 ₽; продление номера — 6 675,00 ₽; Завтрак "Шведский стол"</t>
        </is>
      </c>
      <c r="K266" s="5" t="n">
        <v>46214.58333333334</v>
      </c>
      <c r="L266" t="n">
        <v>5</v>
      </c>
      <c r="M266" s="3">
        <f>I266/L266</f>
        <v/>
      </c>
      <c r="N266">
        <f>IF(M266&gt;=5100,"ставка","мин.ставка")</f>
        <v/>
      </c>
      <c r="O266" s="3">
        <f>ROUND(IF(N266="мин.ставка",L266*100,I266/102*2),2)</f>
        <v/>
      </c>
      <c r="P266" s="5" t="n">
        <v>46219.58333333334</v>
      </c>
      <c r="Q266" t="inlineStr">
        <is>
          <t>TravelLine ALN</t>
        </is>
      </c>
      <c r="R266" s="2" t="inlineStr">
        <is>
          <t>СТАНДАРТНЫЙ ДВУХМЕСТНЫЙ НОМЕР</t>
        </is>
      </c>
      <c r="S266" t="n">
        <v>55</v>
      </c>
      <c r="T266" t="n">
        <v>2</v>
      </c>
      <c r="U266" t="inlineStr"/>
      <c r="V266" t="inlineStr">
        <is>
          <t>Тариф с завтраком</t>
        </is>
      </c>
      <c r="W266" t="n">
        <v>65912.5</v>
      </c>
      <c r="X266" s="3" t="n">
        <v>10012.5</v>
      </c>
      <c r="Y266" t="inlineStr">
        <is>
          <t>15%</t>
        </is>
      </c>
      <c r="Z266" t="inlineStr">
        <is>
          <t>2026-07-11, 2026-07-12, 2026-07-13, 2026-07-14, 2026-07-15</t>
        </is>
      </c>
      <c r="AA266" s="3" t="n">
        <v>56737.5</v>
      </c>
      <c r="AB266" t="inlineStr">
        <is>
          <t>Сошлось с услугами</t>
        </is>
      </c>
      <c r="AC266" s="2" t="inlineStr"/>
      <c r="AD266" t="n">
        <v>10012.5</v>
      </c>
      <c r="AE266" t="n">
        <v>0</v>
      </c>
      <c r="AF266" t="inlineStr">
        <is>
          <t>Скидка добавлена к налоговой базе</t>
        </is>
      </c>
      <c r="AG266" t="n">
        <v>66750</v>
      </c>
      <c r="AH266" t="n">
        <v>56737.5</v>
      </c>
      <c r="AI266" t="inlineStr">
        <is>
          <t>Полное проживание в выбранном периоде</t>
        </is>
      </c>
    </row>
    <row r="267">
      <c r="A267" t="inlineStr">
        <is>
          <t>20260807-8186-456681097</t>
        </is>
      </c>
      <c r="B267" t="n">
        <v>1</v>
      </c>
      <c r="C267" s="2" t="inlineStr">
        <is>
          <t>СЕРГЕЙ КОРЧИН</t>
        </is>
      </c>
      <c r="D267" s="3" t="n">
        <v>20916</v>
      </c>
      <c r="E267" s="4" t="n">
        <v>16</v>
      </c>
      <c r="F267" t="inlineStr">
        <is>
          <t>ООО "БРОНИРОВАНИЕ ГОСТИНИЦ" (OSTROVOK) [Чайковский]</t>
        </is>
      </c>
      <c r="G267" s="3">
        <f>ROUND(D267/(100-E267)*100,2)</f>
        <v/>
      </c>
      <c r="H267" s="3" t="n">
        <v>200</v>
      </c>
      <c r="I267" s="3">
        <f>ROUND(IF(ISNUMBER(AG267),AG267,G267)+H267,2)</f>
        <v/>
      </c>
      <c r="J267" s="2" t="inlineStr">
        <is>
          <t>продление номера — 200,00 ₽; Завтрак "Шведский стол"</t>
        </is>
      </c>
      <c r="K267" s="5" t="n">
        <v>46241.58333333334</v>
      </c>
      <c r="L267" t="n">
        <v>2</v>
      </c>
      <c r="M267" s="3">
        <f>I267/L267</f>
        <v/>
      </c>
      <c r="N267">
        <f>IF(M267&gt;=5100,"ставка","мин.ставка")</f>
        <v/>
      </c>
      <c r="O267" s="3">
        <f>ROUND(IF(N267="мин.ставка",L267*100,I267/102*2),2)</f>
        <v/>
      </c>
      <c r="P267" s="5" t="n">
        <v>46243.5</v>
      </c>
      <c r="Q267" t="inlineStr">
        <is>
          <t>TravelLine OTK</t>
        </is>
      </c>
      <c r="R267" s="2" t="inlineStr">
        <is>
          <t>СЕМЕЙНЫЙ НОМЕР КАТЕГОРИИ "СТАНДАРТ" ВТОРОЙ КОРПУС</t>
        </is>
      </c>
      <c r="S267" t="n">
        <v>50</v>
      </c>
      <c r="T267" t="n">
        <v>2</v>
      </c>
      <c r="U267" t="inlineStr"/>
      <c r="V267" t="inlineStr">
        <is>
          <t>Тариф с завтраком</t>
        </is>
      </c>
      <c r="W267" t="n">
        <v>21116</v>
      </c>
      <c r="X267" s="3" t="n">
        <v>3984</v>
      </c>
      <c r="Y267" t="inlineStr">
        <is>
          <t>16%</t>
        </is>
      </c>
      <c r="Z267" t="inlineStr">
        <is>
          <t>2026-08-07, 2026-08-08</t>
        </is>
      </c>
      <c r="AA267" s="3" t="n">
        <v>20916</v>
      </c>
      <c r="AB267" t="inlineStr">
        <is>
          <t>Сошлось с услугами</t>
        </is>
      </c>
      <c r="AC267" s="2" t="inlineStr"/>
      <c r="AD267" t="n">
        <v>3984</v>
      </c>
      <c r="AE267" t="n">
        <v>0</v>
      </c>
      <c r="AF267" t="inlineStr">
        <is>
          <t>Скидка добавлена к налоговой базе</t>
        </is>
      </c>
      <c r="AG267" t="n">
        <v>24900</v>
      </c>
      <c r="AH267" t="n">
        <v>20916</v>
      </c>
      <c r="AI267" t="inlineStr">
        <is>
          <t>Полное проживание в выбранном периоде</t>
        </is>
      </c>
    </row>
    <row r="268">
      <c r="A268" t="inlineStr">
        <is>
          <t>20260809-8186-457090858</t>
        </is>
      </c>
      <c r="B268" t="n">
        <v>1</v>
      </c>
      <c r="C268" s="2" t="inlineStr">
        <is>
          <t>СЕРГЕЙ КОРЧИН</t>
        </is>
      </c>
      <c r="D268" s="3" t="n">
        <v>12450</v>
      </c>
      <c r="E268" s="4" t="n">
        <v>0</v>
      </c>
      <c r="F268" t="inlineStr">
        <is>
          <t>Прямые бронирования (стойка) [Чайковский]</t>
        </is>
      </c>
      <c r="G268" s="3">
        <f>ROUND(D268/(100-E268)*100,2)</f>
        <v/>
      </c>
      <c r="H268" s="3" t="n">
        <v>0</v>
      </c>
      <c r="I268" s="3">
        <f>ROUND(IF(ISNUMBER(AG268),AG268,G268)+H268,2)</f>
        <v/>
      </c>
      <c r="J268" s="2" t="inlineStr">
        <is>
          <t>Завтрак "Шведский стол"</t>
        </is>
      </c>
      <c r="K268" s="5" t="n">
        <v>46243.58333333334</v>
      </c>
      <c r="L268" t="n">
        <v>1</v>
      </c>
      <c r="M268" s="3">
        <f>I268/L268</f>
        <v/>
      </c>
      <c r="N268">
        <f>IF(M268&gt;=5100,"ставка","мин.ставка")</f>
        <v/>
      </c>
      <c r="O268" s="3">
        <f>ROUND(IF(N268="мин.ставка",L268*100,I268/102*2),2)</f>
        <v/>
      </c>
      <c r="P268" s="5" t="n">
        <v>46244.5</v>
      </c>
      <c r="Q268" t="inlineStr">
        <is>
          <t>TravelLine ресепшен</t>
        </is>
      </c>
      <c r="R268" s="2" t="inlineStr">
        <is>
          <t>СЕМЕЙНЫЙ НОМЕР КАТЕГОРИИ "СТАНДАРТ" ВТОРОЙ КОРПУС</t>
        </is>
      </c>
      <c r="S268" t="n">
        <v>50</v>
      </c>
      <c r="T268" t="n">
        <v>2</v>
      </c>
      <c r="U268" t="inlineStr"/>
      <c r="V268" t="inlineStr">
        <is>
          <t>Тариф с завтраком</t>
        </is>
      </c>
      <c r="W268" t="n">
        <v>12450</v>
      </c>
      <c r="X268" s="3" t="n">
        <v>0</v>
      </c>
      <c r="Y268" t="inlineStr"/>
      <c r="Z268" t="inlineStr"/>
      <c r="AA268" s="3" t="n">
        <v>12450</v>
      </c>
      <c r="AB268" t="inlineStr">
        <is>
          <t>Сошлось по ночным тарифам</t>
        </is>
      </c>
      <c r="AC268" s="2" t="inlineStr"/>
      <c r="AD268" t="n">
        <v>0</v>
      </c>
      <c r="AE268" t="n">
        <v>0</v>
      </c>
      <c r="AF268" t="inlineStr">
        <is>
          <t>Скидки нет</t>
        </is>
      </c>
      <c r="AG268" t="n">
        <v>12450</v>
      </c>
      <c r="AH268" t="n">
        <v>12450</v>
      </c>
      <c r="AI268" t="inlineStr">
        <is>
          <t>Полное проживание в выбранном периоде</t>
        </is>
      </c>
    </row>
    <row r="269">
      <c r="A269" t="inlineStr">
        <is>
          <t>20260702-8186-447117619</t>
        </is>
      </c>
      <c r="B269" t="n">
        <v>1</v>
      </c>
      <c r="C269" s="2" t="inlineStr">
        <is>
          <t>сергей кривченко</t>
        </is>
      </c>
      <c r="D269" s="3" t="n">
        <v>12350</v>
      </c>
      <c r="E269" s="4" t="n">
        <v>0</v>
      </c>
      <c r="F269" t="inlineStr">
        <is>
          <t>Прямые бронирования (стойка) [Чайковский]</t>
        </is>
      </c>
      <c r="G269" s="3">
        <f>ROUND(D269/(100-E269)*100,2)</f>
        <v/>
      </c>
      <c r="H269" s="3" t="n">
        <v>0</v>
      </c>
      <c r="I269" s="3">
        <f>ROUND(IF(ISNUMBER(AG269),AG269,G269)+H269,2)</f>
        <v/>
      </c>
      <c r="J269" s="2" t="inlineStr">
        <is>
          <t>Завтрак "Шведский стол"</t>
        </is>
      </c>
      <c r="K269" s="5" t="n">
        <v>46205.58333333334</v>
      </c>
      <c r="L269" t="n">
        <v>1</v>
      </c>
      <c r="M269" s="3">
        <f>I269/L269</f>
        <v/>
      </c>
      <c r="N269">
        <f>IF(M269&gt;=5100,"ставка","мин.ставка")</f>
        <v/>
      </c>
      <c r="O269" s="3">
        <f>ROUND(IF(N269="мин.ставка",L269*100,I269/102*2),2)</f>
        <v/>
      </c>
      <c r="P269" s="5" t="n">
        <v>46206.5</v>
      </c>
      <c r="Q269" t="inlineStr">
        <is>
          <t>TravelLine ресепшен</t>
        </is>
      </c>
      <c r="R269" s="2" t="inlineStr">
        <is>
          <t>СЕМЕЙНЫЙ НОМЕР КАТЕГОРИИ "СТАНДАРТ" ВТОРОЙ КОРПУС</t>
        </is>
      </c>
      <c r="S269" t="n">
        <v>51</v>
      </c>
      <c r="T269" t="n">
        <v>2</v>
      </c>
      <c r="U269" t="inlineStr"/>
      <c r="V269" t="inlineStr">
        <is>
          <t>Тариф с завтраком</t>
        </is>
      </c>
      <c r="W269" t="n">
        <v>12350</v>
      </c>
      <c r="X269" s="3" t="n">
        <v>0</v>
      </c>
      <c r="Y269" t="inlineStr"/>
      <c r="Z269" t="inlineStr"/>
      <c r="AA269" s="3" t="n">
        <v>12350</v>
      </c>
      <c r="AB269" t="inlineStr">
        <is>
          <t>Сошлось по ночным тарифам</t>
        </is>
      </c>
      <c r="AC269" s="2" t="inlineStr"/>
      <c r="AD269" t="n">
        <v>0</v>
      </c>
      <c r="AE269" t="n">
        <v>0</v>
      </c>
      <c r="AF269" t="inlineStr">
        <is>
          <t>Скидки нет</t>
        </is>
      </c>
      <c r="AG269" t="n">
        <v>12350</v>
      </c>
      <c r="AH269" t="n">
        <v>12350</v>
      </c>
      <c r="AI269" t="inlineStr">
        <is>
          <t>Полное проживание в выбранном периоде</t>
        </is>
      </c>
    </row>
    <row r="270">
      <c r="A270" t="inlineStr">
        <is>
          <t>20260708-8186-448685660</t>
        </is>
      </c>
      <c r="B270" t="n">
        <v>1</v>
      </c>
      <c r="C270" s="2" t="inlineStr">
        <is>
          <t>сергей кривченко</t>
        </is>
      </c>
      <c r="D270" s="3" t="n">
        <v>17800</v>
      </c>
      <c r="E270" s="4" t="n">
        <v>0</v>
      </c>
      <c r="F270" t="inlineStr">
        <is>
          <t>Прямые бронирования (стойка) [Чайковский]</t>
        </is>
      </c>
      <c r="G270" s="3">
        <f>ROUND(D270/(100-E270)*100,2)</f>
        <v/>
      </c>
      <c r="H270" s="3" t="n">
        <v>0</v>
      </c>
      <c r="I270" s="3">
        <f>ROUND(IF(ISNUMBER(AG270),AG270,G270)+H270,2)</f>
        <v/>
      </c>
      <c r="J270" s="2" t="inlineStr">
        <is>
          <t>Завтрак "Шведский стол"</t>
        </is>
      </c>
      <c r="K270" s="5" t="n">
        <v>46211.58333333334</v>
      </c>
      <c r="L270" t="n">
        <v>1</v>
      </c>
      <c r="M270" s="3">
        <f>I270/L270</f>
        <v/>
      </c>
      <c r="N270">
        <f>IF(M270&gt;=5100,"ставка","мин.ставка")</f>
        <v/>
      </c>
      <c r="O270" s="3">
        <f>ROUND(IF(N270="мин.ставка",L270*100,I270/102*2),2)</f>
        <v/>
      </c>
      <c r="P270" s="5" t="n">
        <v>46212.5</v>
      </c>
      <c r="Q270" t="inlineStr">
        <is>
          <t>TravelLine ресепшен</t>
        </is>
      </c>
      <c r="R270" s="2" t="inlineStr">
        <is>
          <t>ЛЮКС ВТОРОЙ КОРПУС</t>
        </is>
      </c>
      <c r="S270" t="n">
        <v>53</v>
      </c>
      <c r="T270" t="n">
        <v>2</v>
      </c>
      <c r="U270" t="inlineStr"/>
      <c r="V270" t="inlineStr">
        <is>
          <t>Тариф с завтраком</t>
        </is>
      </c>
      <c r="W270" t="n">
        <v>17800</v>
      </c>
      <c r="X270" s="3" t="n">
        <v>0</v>
      </c>
      <c r="Y270" t="inlineStr"/>
      <c r="Z270" t="inlineStr"/>
      <c r="AA270" s="3" t="n">
        <v>17800</v>
      </c>
      <c r="AB270" t="inlineStr">
        <is>
          <t>Сошлось по ночным тарифам</t>
        </is>
      </c>
      <c r="AC270" s="2" t="inlineStr"/>
      <c r="AD270" t="n">
        <v>0</v>
      </c>
      <c r="AE270" t="n">
        <v>0</v>
      </c>
      <c r="AF270" t="inlineStr">
        <is>
          <t>Скидки нет</t>
        </is>
      </c>
      <c r="AG270" t="n">
        <v>17800</v>
      </c>
      <c r="AH270" t="n">
        <v>17800</v>
      </c>
      <c r="AI270" t="inlineStr">
        <is>
          <t>Полное проживание в выбранном периоде</t>
        </is>
      </c>
    </row>
    <row r="271">
      <c r="A271" t="inlineStr">
        <is>
          <t>20260710-8186-449225976</t>
        </is>
      </c>
      <c r="B271" t="n">
        <v>1</v>
      </c>
      <c r="C271" s="2" t="inlineStr">
        <is>
          <t>сергей кривченко</t>
        </is>
      </c>
      <c r="D271" s="3" t="n">
        <v>9315</v>
      </c>
      <c r="E271" s="4" t="n">
        <v>0</v>
      </c>
      <c r="F271" t="inlineStr">
        <is>
          <t>Прямые бронирования (стойка) [Чайковский]</t>
        </is>
      </c>
      <c r="G271" s="3">
        <f>ROUND(D271/(100-E271)*100,2)</f>
        <v/>
      </c>
      <c r="H271" s="3" t="n">
        <v>0</v>
      </c>
      <c r="I271" s="3">
        <f>ROUND(IF(ISNUMBER(AG271),AG271,G271)+H271,2)</f>
        <v/>
      </c>
      <c r="J271" s="2" t="inlineStr">
        <is>
          <t>Завтрак "Шведский стол"</t>
        </is>
      </c>
      <c r="K271" s="5" t="n">
        <v>46213.58333333334</v>
      </c>
      <c r="L271" t="n">
        <v>1</v>
      </c>
      <c r="M271" s="3">
        <f>I271/L271</f>
        <v/>
      </c>
      <c r="N271">
        <f>IF(M271&gt;=5100,"ставка","мин.ставка")</f>
        <v/>
      </c>
      <c r="O271" s="3">
        <f>ROUND(IF(N271="мин.ставка",L271*100,I271/102*2),2)</f>
        <v/>
      </c>
      <c r="P271" s="5" t="n">
        <v>46214.5</v>
      </c>
      <c r="Q271" t="inlineStr">
        <is>
          <t>TravelLine ресепшен</t>
        </is>
      </c>
      <c r="R271" s="2" t="inlineStr">
        <is>
          <t>СТАНДАРТНЫЙ ДВУХМЕСТНЫЙ НОМЕР</t>
        </is>
      </c>
      <c r="S271" t="n">
        <v>58</v>
      </c>
      <c r="T271" t="n">
        <v>2</v>
      </c>
      <c r="U271" t="inlineStr"/>
      <c r="V271" t="inlineStr">
        <is>
          <t>Тариф с завтраком</t>
        </is>
      </c>
      <c r="W271" t="n">
        <v>9315</v>
      </c>
      <c r="X271" s="3" t="n">
        <v>1035</v>
      </c>
      <c r="Y271" t="inlineStr">
        <is>
          <t>10%</t>
        </is>
      </c>
      <c r="Z271" t="inlineStr">
        <is>
          <t>2026-07-10</t>
        </is>
      </c>
      <c r="AA271" s="3" t="n">
        <v>9315</v>
      </c>
      <c r="AB271" t="inlineStr">
        <is>
          <t>Сошлось по ночным тарифам</t>
        </is>
      </c>
      <c r="AC271" s="2" t="inlineStr"/>
      <c r="AD271" t="n">
        <v>1035</v>
      </c>
      <c r="AE271" t="n">
        <v>0</v>
      </c>
      <c r="AF271" t="inlineStr">
        <is>
          <t>Скидка добавлена к налоговой базе</t>
        </is>
      </c>
      <c r="AG271" t="n">
        <v>10350</v>
      </c>
      <c r="AH271" t="n">
        <v>9315</v>
      </c>
      <c r="AI271" t="inlineStr">
        <is>
          <t>Полное проживание в выбранном периоде</t>
        </is>
      </c>
    </row>
    <row r="272">
      <c r="A272" t="inlineStr">
        <is>
          <t>20260730-8186-454570903</t>
        </is>
      </c>
      <c r="B272" t="n">
        <v>1</v>
      </c>
      <c r="C272" s="2" t="inlineStr">
        <is>
          <t>сергей кривченко</t>
        </is>
      </c>
      <c r="D272" s="3" t="n">
        <v>12015</v>
      </c>
      <c r="E272" s="4" t="n">
        <v>0</v>
      </c>
      <c r="F272" t="inlineStr">
        <is>
          <t>Прямые бронирования (стойка) [Чайковский]</t>
        </is>
      </c>
      <c r="G272" s="3">
        <f>ROUND(D272/(100-E272)*100,2)</f>
        <v/>
      </c>
      <c r="H272" s="3" t="n">
        <v>0</v>
      </c>
      <c r="I272" s="3">
        <f>ROUND(IF(ISNUMBER(AG272),AG272,G272)+H272,2)</f>
        <v/>
      </c>
      <c r="J272" s="2" t="inlineStr">
        <is>
          <t>Завтрак "Шведский стол"</t>
        </is>
      </c>
      <c r="K272" s="5" t="n">
        <v>46233.58333333334</v>
      </c>
      <c r="L272" t="n">
        <v>1</v>
      </c>
      <c r="M272" s="3">
        <f>I272/L272</f>
        <v/>
      </c>
      <c r="N272">
        <f>IF(M272&gt;=5100,"ставка","мин.ставка")</f>
        <v/>
      </c>
      <c r="O272" s="3">
        <f>ROUND(IF(N272="мин.ставка",L272*100,I272/102*2),2)</f>
        <v/>
      </c>
      <c r="P272" s="5" t="n">
        <v>46234.5</v>
      </c>
      <c r="Q272" t="inlineStr">
        <is>
          <t>TravelLine ресепшен</t>
        </is>
      </c>
      <c r="R272" s="2" t="inlineStr">
        <is>
          <t>СТАНДАРТНЫЙ ДВУХМЕСТНЫЙ НОМЕР</t>
        </is>
      </c>
      <c r="S272" t="n">
        <v>52</v>
      </c>
      <c r="T272" t="n">
        <v>2</v>
      </c>
      <c r="U272" t="inlineStr"/>
      <c r="V272" t="inlineStr">
        <is>
          <t>Тариф с завтраком</t>
        </is>
      </c>
      <c r="W272" t="n">
        <v>12015</v>
      </c>
      <c r="X272" s="3" t="n">
        <v>1335</v>
      </c>
      <c r="Y272" t="inlineStr">
        <is>
          <t>10%</t>
        </is>
      </c>
      <c r="Z272" t="inlineStr">
        <is>
          <t>2026-07-30</t>
        </is>
      </c>
      <c r="AA272" s="3" t="n">
        <v>12015</v>
      </c>
      <c r="AB272" t="inlineStr">
        <is>
          <t>Сошлось по ночным тарифам</t>
        </is>
      </c>
      <c r="AC272" s="2" t="inlineStr"/>
      <c r="AD272" t="n">
        <v>1335</v>
      </c>
      <c r="AE272" t="n">
        <v>0</v>
      </c>
      <c r="AF272" t="inlineStr">
        <is>
          <t>Скидка добавлена к налоговой базе</t>
        </is>
      </c>
      <c r="AG272" t="n">
        <v>13350</v>
      </c>
      <c r="AH272" t="n">
        <v>12015</v>
      </c>
      <c r="AI272" t="inlineStr">
        <is>
          <t>Полное проживание в выбранном периоде</t>
        </is>
      </c>
    </row>
    <row r="273">
      <c r="A273" t="inlineStr">
        <is>
          <t>20260801-8186-455105013</t>
        </is>
      </c>
      <c r="B273" t="n">
        <v>1</v>
      </c>
      <c r="C273" s="2" t="inlineStr">
        <is>
          <t>сергей кривченко</t>
        </is>
      </c>
      <c r="D273" s="3" t="n">
        <v>12015</v>
      </c>
      <c r="E273" s="4" t="n">
        <v>0</v>
      </c>
      <c r="F273" t="inlineStr">
        <is>
          <t>Прямые бронирования (стойка) [Чайковский]</t>
        </is>
      </c>
      <c r="G273" s="3">
        <f>ROUND(D273/(100-E273)*100,2)</f>
        <v/>
      </c>
      <c r="H273" s="3" t="n">
        <v>0</v>
      </c>
      <c r="I273" s="3">
        <f>ROUND(IF(ISNUMBER(AG273),AG273,G273)+H273,2)</f>
        <v/>
      </c>
      <c r="J273" s="2" t="inlineStr">
        <is>
          <t>Завтрак "Шведский стол"</t>
        </is>
      </c>
      <c r="K273" s="5" t="n">
        <v>46235.58333333334</v>
      </c>
      <c r="L273" t="n">
        <v>1</v>
      </c>
      <c r="M273" s="3">
        <f>I273/L273</f>
        <v/>
      </c>
      <c r="N273">
        <f>IF(M273&gt;=5100,"ставка","мин.ставка")</f>
        <v/>
      </c>
      <c r="O273" s="3">
        <f>ROUND(IF(N273="мин.ставка",L273*100,I273/102*2),2)</f>
        <v/>
      </c>
      <c r="P273" s="5" t="n">
        <v>46236.5</v>
      </c>
      <c r="Q273" t="inlineStr">
        <is>
          <t>TravelLine ресепшен</t>
        </is>
      </c>
      <c r="R273" s="2" t="inlineStr">
        <is>
          <t>СТАНДАРТНЫЙ ДВУХМЕСТНЫЙ НОМЕР</t>
        </is>
      </c>
      <c r="S273" t="n">
        <v>52</v>
      </c>
      <c r="T273" t="n">
        <v>2</v>
      </c>
      <c r="U273" t="inlineStr"/>
      <c r="V273" t="inlineStr">
        <is>
          <t>Тариф с завтраком</t>
        </is>
      </c>
      <c r="W273" t="n">
        <v>12015</v>
      </c>
      <c r="X273" s="3" t="n">
        <v>1335</v>
      </c>
      <c r="Y273" t="inlineStr">
        <is>
          <t>10%</t>
        </is>
      </c>
      <c r="Z273" t="inlineStr">
        <is>
          <t>2026-08-01</t>
        </is>
      </c>
      <c r="AA273" s="3" t="n">
        <v>12015</v>
      </c>
      <c r="AB273" t="inlineStr">
        <is>
          <t>Сошлось по ночным тарифам</t>
        </is>
      </c>
      <c r="AC273" s="2" t="inlineStr"/>
      <c r="AD273" t="n">
        <v>1335</v>
      </c>
      <c r="AE273" t="n">
        <v>0</v>
      </c>
      <c r="AF273" t="inlineStr">
        <is>
          <t>Скидка добавлена к налоговой базе</t>
        </is>
      </c>
      <c r="AG273" t="n">
        <v>13350</v>
      </c>
      <c r="AH273" t="n">
        <v>12015</v>
      </c>
      <c r="AI273" t="inlineStr">
        <is>
          <t>Полное проживание в выбранном периоде</t>
        </is>
      </c>
    </row>
    <row r="274">
      <c r="A274" t="inlineStr">
        <is>
          <t>20260806-8186-456464200</t>
        </is>
      </c>
      <c r="B274" t="n">
        <v>1</v>
      </c>
      <c r="C274" s="2" t="inlineStr">
        <is>
          <t>сергей кривченко</t>
        </is>
      </c>
      <c r="D274" s="3" t="n">
        <v>16020</v>
      </c>
      <c r="E274" s="4" t="n">
        <v>0</v>
      </c>
      <c r="F274" t="inlineStr">
        <is>
          <t>Прямые бронирования (стойка) [Чайковский]</t>
        </is>
      </c>
      <c r="G274" s="3">
        <f>ROUND(D274/(100-E274)*100,2)</f>
        <v/>
      </c>
      <c r="H274" s="3" t="n">
        <v>0</v>
      </c>
      <c r="I274" s="3">
        <f>ROUND(IF(ISNUMBER(AG274),AG274,G274)+H274,2)</f>
        <v/>
      </c>
      <c r="J274" s="2" t="inlineStr">
        <is>
          <t>Завтрак "Шведский стол"</t>
        </is>
      </c>
      <c r="K274" s="5" t="n">
        <v>46240.58333333334</v>
      </c>
      <c r="L274" t="n">
        <v>1</v>
      </c>
      <c r="M274" s="3">
        <f>I274/L274</f>
        <v/>
      </c>
      <c r="N274">
        <f>IF(M274&gt;=5100,"ставка","мин.ставка")</f>
        <v/>
      </c>
      <c r="O274" s="3">
        <f>ROUND(IF(N274="мин.ставка",L274*100,I274/102*2),2)</f>
        <v/>
      </c>
      <c r="P274" s="5" t="n">
        <v>46241.5</v>
      </c>
      <c r="Q274" t="inlineStr">
        <is>
          <t>TravelLine ресепшен</t>
        </is>
      </c>
      <c r="R274" s="2" t="inlineStr">
        <is>
          <t>ЛЮКС ВТОРОЙ КОРПУС</t>
        </is>
      </c>
      <c r="S274" t="n">
        <v>54</v>
      </c>
      <c r="T274" t="n">
        <v>2</v>
      </c>
      <c r="U274" t="inlineStr"/>
      <c r="V274" t="inlineStr">
        <is>
          <t>Тариф с завтраком</t>
        </is>
      </c>
      <c r="W274" t="n">
        <v>16020</v>
      </c>
      <c r="X274" s="3" t="n">
        <v>1780</v>
      </c>
      <c r="Y274" t="inlineStr">
        <is>
          <t>10%</t>
        </is>
      </c>
      <c r="Z274" t="inlineStr">
        <is>
          <t>2026-08-06</t>
        </is>
      </c>
      <c r="AA274" s="3" t="n">
        <v>16020</v>
      </c>
      <c r="AB274" t="inlineStr">
        <is>
          <t>Сошлось по ночным тарифам</t>
        </is>
      </c>
      <c r="AC274" s="2" t="inlineStr"/>
      <c r="AD274" t="n">
        <v>1780</v>
      </c>
      <c r="AE274" t="n">
        <v>0</v>
      </c>
      <c r="AF274" t="inlineStr">
        <is>
          <t>Скидка добавлена к налоговой базе</t>
        </is>
      </c>
      <c r="AG274" t="n">
        <v>17800</v>
      </c>
      <c r="AH274" t="n">
        <v>16020</v>
      </c>
      <c r="AI274" t="inlineStr">
        <is>
          <t>Полное проживание в выбранном периоде</t>
        </is>
      </c>
    </row>
    <row r="275">
      <c r="A275" t="inlineStr">
        <is>
          <t>20260810-8186-457508617</t>
        </is>
      </c>
      <c r="B275" t="n">
        <v>1</v>
      </c>
      <c r="C275" s="2" t="inlineStr">
        <is>
          <t>СЕРГЕЙ КУЛИКОВ</t>
        </is>
      </c>
      <c r="D275" s="3" t="n">
        <v>9996</v>
      </c>
      <c r="E275" s="4" t="n">
        <v>16</v>
      </c>
      <c r="F275" t="inlineStr">
        <is>
          <t>ООО "БРОНИРОВАНИЕ ГОСТИНИЦ" (OSTROVOK) [Чайковский]</t>
        </is>
      </c>
      <c r="G275" s="3">
        <f>ROUND(D275/(100-E275)*100,2)</f>
        <v/>
      </c>
      <c r="H275" s="3" t="n">
        <v>0</v>
      </c>
      <c r="I275" s="3">
        <f>ROUND(IF(ISNUMBER(AG275),AG275,G275)+H275,2)</f>
        <v/>
      </c>
      <c r="J275" s="2" t="inlineStr"/>
      <c r="K275" s="5" t="n">
        <v>46244.58333333334</v>
      </c>
      <c r="L275" t="n">
        <v>1</v>
      </c>
      <c r="M275" s="3">
        <f>I275/L275</f>
        <v/>
      </c>
      <c r="N275">
        <f>IF(M275&gt;=5100,"ставка","мин.ставка")</f>
        <v/>
      </c>
      <c r="O275" s="3">
        <f>ROUND(IF(N275="мин.ставка",L275*100,I275/102*2),2)</f>
        <v/>
      </c>
      <c r="P275" s="5" t="n">
        <v>46245.5</v>
      </c>
      <c r="Q275" t="inlineStr">
        <is>
          <t>TravelLine OTK</t>
        </is>
      </c>
      <c r="R275" s="2" t="inlineStr">
        <is>
          <t>УЛУЧШЕННЫЙ ДВУХМЕСТНЫЙ НОМЕР</t>
        </is>
      </c>
      <c r="S275" t="n">
        <v>59</v>
      </c>
      <c r="T275" t="n">
        <v>2</v>
      </c>
      <c r="U275" t="inlineStr"/>
      <c r="V275" t="inlineStr">
        <is>
          <t>Основной тариф без завтрака</t>
        </is>
      </c>
      <c r="W275" t="n">
        <v>9996</v>
      </c>
      <c r="X275" s="3" t="n">
        <v>1904</v>
      </c>
      <c r="Y275" t="inlineStr">
        <is>
          <t>16%</t>
        </is>
      </c>
      <c r="Z275" t="inlineStr">
        <is>
          <t>2026-08-10</t>
        </is>
      </c>
      <c r="AA275" s="3" t="n">
        <v>9996</v>
      </c>
      <c r="AB275" t="inlineStr">
        <is>
          <t>Сошлось по ночным тарифам</t>
        </is>
      </c>
      <c r="AC275" s="2" t="inlineStr"/>
      <c r="AD275" t="n">
        <v>1904</v>
      </c>
      <c r="AE275" t="n">
        <v>0</v>
      </c>
      <c r="AF275" t="inlineStr">
        <is>
          <t>Скидка добавлена к налоговой базе</t>
        </is>
      </c>
      <c r="AG275" t="n">
        <v>11900</v>
      </c>
      <c r="AH275" t="n">
        <v>9996</v>
      </c>
      <c r="AI275" t="inlineStr">
        <is>
          <t>Полное проживание в выбранном периоде</t>
        </is>
      </c>
    </row>
    <row r="276">
      <c r="A276" t="inlineStr">
        <is>
          <t>20260727-8186-449971712</t>
        </is>
      </c>
      <c r="B276" t="n">
        <v>1</v>
      </c>
      <c r="C276" s="2" t="inlineStr">
        <is>
          <t>Сергей Маловичко, Елена Зорина</t>
        </is>
      </c>
      <c r="D276" s="3" t="n">
        <v>40560</v>
      </c>
      <c r="E276" s="4" t="n">
        <v>18</v>
      </c>
      <c r="F276" t="inlineStr">
        <is>
          <t>Яндекс.Путешествия [Чайковский]</t>
        </is>
      </c>
      <c r="G276" s="3">
        <f>ROUND(D276/(100-E276)*100,2)</f>
        <v/>
      </c>
      <c r="H276" s="3" t="n">
        <v>0</v>
      </c>
      <c r="I276" s="3">
        <f>ROUND(IF(ISNUMBER(AG276),AG276,G276)+H276,2)</f>
        <v/>
      </c>
      <c r="J276" s="2" t="inlineStr">
        <is>
          <t>Завтрак "Шведский стол"</t>
        </is>
      </c>
      <c r="K276" s="5" t="n">
        <v>46230.58333333334</v>
      </c>
      <c r="L276" t="n">
        <v>4</v>
      </c>
      <c r="M276" s="3">
        <f>I276/L276</f>
        <v/>
      </c>
      <c r="N276">
        <f>IF(M276&gt;=5100,"ставка","мин.ставка")</f>
        <v/>
      </c>
      <c r="O276" s="3">
        <f>ROUND(IF(N276="мин.ставка",L276*100,I276/102*2),2)</f>
        <v/>
      </c>
      <c r="P276" s="5" t="n">
        <v>46234.5</v>
      </c>
      <c r="Q276" t="inlineStr">
        <is>
          <t>TravelLine YAX</t>
        </is>
      </c>
      <c r="R276" s="2" t="inlineStr">
        <is>
          <t>СЕМЕЙНЫЙ НОМЕР КАТЕГОРИИ "СТАНДАРТ" ВТОРОЙ КОРПУС</t>
        </is>
      </c>
      <c r="S276" t="n">
        <v>50</v>
      </c>
      <c r="T276" t="n">
        <v>2</v>
      </c>
      <c r="U276" t="inlineStr"/>
      <c r="V276" t="inlineStr">
        <is>
          <t>Тариф с завтраком</t>
        </is>
      </c>
      <c r="W276" t="n">
        <v>40560</v>
      </c>
      <c r="X276" s="3" t="n">
        <v>10140</v>
      </c>
      <c r="Y276" t="inlineStr">
        <is>
          <t>20%</t>
        </is>
      </c>
      <c r="Z276" t="inlineStr">
        <is>
          <t>Не распределена по датам</t>
        </is>
      </c>
      <c r="AA276" s="3" t="n">
        <v>40560</v>
      </c>
      <c r="AB276" t="inlineStr">
        <is>
          <t>Сошлось по ночным тарифам</t>
        </is>
      </c>
      <c r="AC276" s="2" t="inlineStr"/>
      <c r="AD276" t="n">
        <v>10140</v>
      </c>
      <c r="AE276" t="n">
        <v>0</v>
      </c>
      <c r="AF276" t="inlineStr">
        <is>
          <t>Скидка добавлена к налоговой базе</t>
        </is>
      </c>
      <c r="AG276" t="n">
        <v>50700</v>
      </c>
      <c r="AH276" t="n">
        <v>40560</v>
      </c>
      <c r="AI276" t="inlineStr">
        <is>
          <t>Полное проживание в выбранном периоде</t>
        </is>
      </c>
    </row>
    <row r="277">
      <c r="A277" t="inlineStr">
        <is>
          <t>20260806-8186-456267629</t>
        </is>
      </c>
      <c r="B277" t="n">
        <v>1</v>
      </c>
      <c r="C277" s="2" t="inlineStr">
        <is>
          <t>СЕРГЕЙ МИХЕЕВ, АМЕЛИЯ МИХЕЕВА</t>
        </is>
      </c>
      <c r="D277" s="3" t="n">
        <v>11214</v>
      </c>
      <c r="E277" s="4" t="n">
        <v>16</v>
      </c>
      <c r="F277" t="inlineStr">
        <is>
          <t>ООО "БРОНИРОВАНИЕ ГОСТИНИЦ" (OSTROVOK) [Чайковский]</t>
        </is>
      </c>
      <c r="G277" s="3">
        <f>ROUND(D277/(100-E277)*100,2)</f>
        <v/>
      </c>
      <c r="H277" s="3" t="n">
        <v>0</v>
      </c>
      <c r="I277" s="3">
        <f>ROUND(IF(ISNUMBER(AG277),AG277,G277)+H277,2)</f>
        <v/>
      </c>
      <c r="J277" s="2" t="inlineStr">
        <is>
          <t>Завтрак "Шведский стол"</t>
        </is>
      </c>
      <c r="K277" s="5" t="n">
        <v>46240.58333333334</v>
      </c>
      <c r="L277" t="n">
        <v>1</v>
      </c>
      <c r="M277" s="3">
        <f>I277/L277</f>
        <v/>
      </c>
      <c r="N277">
        <f>IF(M277&gt;=5100,"ставка","мин.ставка")</f>
        <v/>
      </c>
      <c r="O277" s="3">
        <f>ROUND(IF(N277="мин.ставка",L277*100,I277/102*2),2)</f>
        <v/>
      </c>
      <c r="P277" s="5" t="n">
        <v>46241.5</v>
      </c>
      <c r="Q277" t="inlineStr">
        <is>
          <t>TravelLine OTK</t>
        </is>
      </c>
      <c r="R277" s="2" t="inlineStr">
        <is>
          <t>СТАНДАРТНЫЙ ДВУХМЕСТНЫЙ НОМЕР</t>
        </is>
      </c>
      <c r="S277" t="n">
        <v>52</v>
      </c>
      <c r="T277" t="n">
        <v>2</v>
      </c>
      <c r="U277" t="inlineStr"/>
      <c r="V277" t="inlineStr">
        <is>
          <t>Тариф с завтраком</t>
        </is>
      </c>
      <c r="W277" t="n">
        <v>11214</v>
      </c>
      <c r="X277" s="3" t="n">
        <v>2136</v>
      </c>
      <c r="Y277" t="inlineStr">
        <is>
          <t>16%</t>
        </is>
      </c>
      <c r="Z277" t="inlineStr">
        <is>
          <t>2026-08-06</t>
        </is>
      </c>
      <c r="AA277" s="3" t="n">
        <v>11214</v>
      </c>
      <c r="AB277" t="inlineStr">
        <is>
          <t>Сошлось по ночным тарифам</t>
        </is>
      </c>
      <c r="AC277" s="2" t="inlineStr"/>
      <c r="AD277" t="n">
        <v>2136</v>
      </c>
      <c r="AE277" t="n">
        <v>0</v>
      </c>
      <c r="AF277" t="inlineStr">
        <is>
          <t>Скидка добавлена к налоговой базе</t>
        </is>
      </c>
      <c r="AG277" t="n">
        <v>13350</v>
      </c>
      <c r="AH277" t="n">
        <v>11214</v>
      </c>
      <c r="AI277" t="inlineStr">
        <is>
          <t>Полное проживание в выбранном периоде</t>
        </is>
      </c>
    </row>
    <row r="278">
      <c r="A278" t="inlineStr">
        <is>
          <t>20260707-8186-444464400</t>
        </is>
      </c>
      <c r="B278" t="n">
        <v>1</v>
      </c>
      <c r="C278" s="2" t="inlineStr">
        <is>
          <t>Сергей Морозов, Виктория Морозова</t>
        </is>
      </c>
      <c r="D278" s="3" t="n">
        <v>78540</v>
      </c>
      <c r="E278" s="4" t="n">
        <v>0</v>
      </c>
      <c r="F278" t="inlineStr">
        <is>
          <t>ООО «ХОМЛИН ЛЭНД» (ПЕГАС) [Чайковский]</t>
        </is>
      </c>
      <c r="G278" s="3">
        <f>ROUND(D278/(100-E278)*100,2)</f>
        <v/>
      </c>
      <c r="H278" s="3" t="n">
        <v>0</v>
      </c>
      <c r="I278" s="3">
        <f>ROUND(IF(ISNUMBER(AG278),AG278,G278)+H278,2)</f>
        <v/>
      </c>
      <c r="J278" s="2" t="inlineStr">
        <is>
          <t>Завтрак "Шведский стол"</t>
        </is>
      </c>
      <c r="K278" s="5" t="n">
        <v>46210.58333333334</v>
      </c>
      <c r="L278" t="n">
        <v>6</v>
      </c>
      <c r="M278" s="3">
        <f>I278/L278</f>
        <v/>
      </c>
      <c r="N278">
        <f>IF(M278&gt;=5100,"ставка","мин.ставка")</f>
        <v/>
      </c>
      <c r="O278" s="3">
        <f>ROUND(IF(N278="мин.ставка",L278*100,I278/102*2),2)</f>
        <v/>
      </c>
      <c r="P278" s="5" t="n">
        <v>46216.5</v>
      </c>
      <c r="Q278" t="inlineStr">
        <is>
          <t>TravelLine PGS</t>
        </is>
      </c>
      <c r="R278" s="2" t="inlineStr">
        <is>
          <t>УЛУЧШЕННЫЙ ДВУХМЕСТНЫЙ НОМЕР</t>
        </is>
      </c>
      <c r="S278" t="n">
        <v>56</v>
      </c>
      <c r="T278" t="n">
        <v>2</v>
      </c>
      <c r="U278" t="inlineStr"/>
      <c r="V278" t="inlineStr">
        <is>
          <t>Тариф с завтраком</t>
        </is>
      </c>
      <c r="W278" t="n">
        <v>78540</v>
      </c>
      <c r="X278" s="3" t="n">
        <v>13860</v>
      </c>
      <c r="Y278" t="inlineStr">
        <is>
          <t>15%</t>
        </is>
      </c>
      <c r="Z278" t="inlineStr">
        <is>
          <t>2026-07-07, 2026-07-08, 2026-07-09, 2026-07-10, 2026-07-11, 2026-07-12</t>
        </is>
      </c>
      <c r="AA278" s="3" t="n">
        <v>78540</v>
      </c>
      <c r="AB278" t="inlineStr">
        <is>
          <t>Сошлось по ночным тарифам</t>
        </is>
      </c>
      <c r="AC278" s="2" t="inlineStr"/>
      <c r="AD278" t="n">
        <v>13860</v>
      </c>
      <c r="AE278" t="n">
        <v>0</v>
      </c>
      <c r="AF278" t="inlineStr">
        <is>
          <t>Скидка добавлена к налоговой базе</t>
        </is>
      </c>
      <c r="AG278" t="n">
        <v>92400</v>
      </c>
      <c r="AH278" t="n">
        <v>78540</v>
      </c>
      <c r="AI278" t="inlineStr">
        <is>
          <t>Полное проживание в выбранном периоде</t>
        </is>
      </c>
    </row>
    <row r="279">
      <c r="A279" t="inlineStr">
        <is>
          <t>20260724-8186-452868322</t>
        </is>
      </c>
      <c r="B279" t="n">
        <v>1</v>
      </c>
      <c r="C279" s="2" t="inlineStr">
        <is>
          <t>СЕРГЕЙ САЛТЫКОВ</t>
        </is>
      </c>
      <c r="D279" s="3" t="n">
        <v>9647.5</v>
      </c>
      <c r="E279" s="4" t="n">
        <v>15</v>
      </c>
      <c r="F279" t="inlineStr">
        <is>
          <t>ООО "БРОНИРОВАНИЕ ГОСТИНИЦ" (OSTROVOK) [Чайковский]</t>
        </is>
      </c>
      <c r="G279" s="3">
        <f>ROUND(D279/(100-E279)*100,2)</f>
        <v/>
      </c>
      <c r="H279" s="3" t="n">
        <v>0</v>
      </c>
      <c r="I279" s="3">
        <f>ROUND(IF(ISNUMBER(AG279),AG279,G279)+H279,2)</f>
        <v/>
      </c>
      <c r="J279" s="2" t="inlineStr">
        <is>
          <t>Завтрак "Шведский стол"</t>
        </is>
      </c>
      <c r="K279" s="5" t="n">
        <v>46227.58333333334</v>
      </c>
      <c r="L279" t="n">
        <v>1</v>
      </c>
      <c r="M279" s="3">
        <f>I279/L279</f>
        <v/>
      </c>
      <c r="N279">
        <f>IF(M279&gt;=5100,"ставка","мин.ставка")</f>
        <v/>
      </c>
      <c r="O279" s="3">
        <f>ROUND(IF(N279="мин.ставка",L279*100,I279/102*2),2)</f>
        <v/>
      </c>
      <c r="P279" s="5" t="n">
        <v>46228.5</v>
      </c>
      <c r="Q279" t="inlineStr">
        <is>
          <t>TravelLine OTK</t>
        </is>
      </c>
      <c r="R279" s="2" t="inlineStr">
        <is>
          <t>СТАНДАРТНЫЙ ДВУХМЕСТНЫЙ НОМЕР</t>
        </is>
      </c>
      <c r="S279" t="n">
        <v>52</v>
      </c>
      <c r="T279" t="n">
        <v>2</v>
      </c>
      <c r="U279" t="inlineStr"/>
      <c r="V279" t="inlineStr">
        <is>
          <t>Тариф с завтраком</t>
        </is>
      </c>
      <c r="W279" t="n">
        <v>9647.5</v>
      </c>
      <c r="X279" s="3" t="n">
        <v>1702.5</v>
      </c>
      <c r="Y279" t="inlineStr">
        <is>
          <t>15%</t>
        </is>
      </c>
      <c r="Z279" t="inlineStr">
        <is>
          <t>2026-07-24</t>
        </is>
      </c>
      <c r="AA279" s="3" t="n">
        <v>9647.5</v>
      </c>
      <c r="AB279" t="inlineStr">
        <is>
          <t>Сошлось по ночным тарифам</t>
        </is>
      </c>
      <c r="AC279" s="2" t="inlineStr"/>
      <c r="AD279" t="n">
        <v>1702.5</v>
      </c>
      <c r="AE279" t="n">
        <v>0</v>
      </c>
      <c r="AF279" t="inlineStr">
        <is>
          <t>Скидка добавлена к налоговой базе</t>
        </is>
      </c>
      <c r="AG279" t="n">
        <v>11350</v>
      </c>
      <c r="AH279" t="n">
        <v>9647.5</v>
      </c>
      <c r="AI279" t="inlineStr">
        <is>
          <t>Полное проживание в выбранном периоде</t>
        </is>
      </c>
    </row>
    <row r="280">
      <c r="A280" t="inlineStr">
        <is>
          <t>20260713-8186-448319484</t>
        </is>
      </c>
      <c r="B280" t="n">
        <v>1</v>
      </c>
      <c r="C280" s="2" t="inlineStr">
        <is>
          <t>Сергей Сварник</t>
        </is>
      </c>
      <c r="D280" s="3" t="n">
        <v>14596</v>
      </c>
      <c r="E280" s="4" t="n">
        <v>18</v>
      </c>
      <c r="F280" t="inlineStr">
        <is>
          <t>ООО "Эй энд Эй" [Чайковский]</t>
        </is>
      </c>
      <c r="G280" s="3">
        <f>ROUND(D280/(100-E280)*100,2)</f>
        <v/>
      </c>
      <c r="H280" s="3" t="n">
        <v>2000</v>
      </c>
      <c r="I280" s="3">
        <f>ROUND(IF(ISNUMBER(AG280),AG280,G280)+H280,2)</f>
        <v/>
      </c>
      <c r="J280" s="2" t="inlineStr">
        <is>
          <t>продление номера — 2 000,00 ₽; Завтрак "Шведский стол"</t>
        </is>
      </c>
      <c r="K280" s="5" t="n">
        <v>46216.58333333334</v>
      </c>
      <c r="L280" t="n">
        <v>2</v>
      </c>
      <c r="M280" s="3">
        <f>I280/L280</f>
        <v/>
      </c>
      <c r="N280">
        <f>IF(M280&gt;=5100,"ставка","мин.ставка")</f>
        <v/>
      </c>
      <c r="O280" s="3">
        <f>ROUND(IF(N280="мин.ставка",L280*100,I280/102*2),2)</f>
        <v/>
      </c>
      <c r="P280" s="5" t="n">
        <v>46218.5</v>
      </c>
      <c r="Q280" t="inlineStr">
        <is>
          <t>TravelLine ANA</t>
        </is>
      </c>
      <c r="R280" s="2" t="inlineStr">
        <is>
          <t>СЕМЕЙНЫЙ НОМЕР КАТЕГОРИИ "СТАНДАРТ" ВТОРОЙ КОРПУС</t>
        </is>
      </c>
      <c r="S280" t="n">
        <v>51</v>
      </c>
      <c r="T280" t="n">
        <v>2</v>
      </c>
      <c r="U280" t="inlineStr"/>
      <c r="V280" t="inlineStr">
        <is>
          <t>Тариф с завтраком</t>
        </is>
      </c>
      <c r="W280" t="n">
        <v>16596</v>
      </c>
      <c r="X280" s="3" t="n">
        <v>3204</v>
      </c>
      <c r="Y280" t="inlineStr">
        <is>
          <t>18%</t>
        </is>
      </c>
      <c r="Z280" t="inlineStr">
        <is>
          <t>2026-07-13, 2026-07-14</t>
        </is>
      </c>
      <c r="AA280" s="3" t="n">
        <v>14596</v>
      </c>
      <c r="AB280" t="inlineStr">
        <is>
          <t>Сошлось с услугами</t>
        </is>
      </c>
      <c r="AC280" s="2" t="inlineStr"/>
      <c r="AD280" t="n">
        <v>3204</v>
      </c>
      <c r="AE280" t="n">
        <v>0</v>
      </c>
      <c r="AF280" t="inlineStr">
        <is>
          <t>Скидка добавлена к налоговой базе</t>
        </is>
      </c>
      <c r="AG280" t="n">
        <v>17800</v>
      </c>
      <c r="AH280" t="n">
        <v>14596</v>
      </c>
      <c r="AI280" t="inlineStr">
        <is>
          <t>Полное проживание в выбранном периоде</t>
        </is>
      </c>
    </row>
    <row r="281">
      <c r="A281" t="inlineStr">
        <is>
          <t>20260828-8186-462177609</t>
        </is>
      </c>
      <c r="B281" t="n">
        <v>1</v>
      </c>
      <c r="C281" s="2" t="inlineStr">
        <is>
          <t>СЕРГЕЙ СЕРЕГИН</t>
        </is>
      </c>
      <c r="D281" s="3" t="n">
        <v>9960</v>
      </c>
      <c r="E281" s="4" t="n">
        <v>0</v>
      </c>
      <c r="F281" t="inlineStr">
        <is>
          <t>Прямые бронирования (стойка) [Чайковский]</t>
        </is>
      </c>
      <c r="G281" s="3">
        <f>ROUND(D281/(100-E281)*100,2)</f>
        <v/>
      </c>
      <c r="H281" s="3" t="n">
        <v>0</v>
      </c>
      <c r="I281" s="3">
        <f>ROUND(IF(ISNUMBER(AG281),AG281,G281)+H281,2)</f>
        <v/>
      </c>
      <c r="J281" s="2" t="inlineStr">
        <is>
          <t>Завтрак "Шведский стол"</t>
        </is>
      </c>
      <c r="K281" s="5" t="n">
        <v>46262.58333333334</v>
      </c>
      <c r="L281" t="n">
        <v>1</v>
      </c>
      <c r="M281" s="3">
        <f>I281/L281</f>
        <v/>
      </c>
      <c r="N281">
        <f>IF(M281&gt;=5100,"ставка","мин.ставка")</f>
        <v/>
      </c>
      <c r="O281" s="3">
        <f>ROUND(IF(N281="мин.ставка",L281*100,I281/102*2),2)</f>
        <v/>
      </c>
      <c r="P281" s="5" t="n">
        <v>46263.5</v>
      </c>
      <c r="Q281" t="inlineStr">
        <is>
          <t>TravelLine ресепшен</t>
        </is>
      </c>
      <c r="R281" s="2" t="inlineStr">
        <is>
          <t>СЕМЕЙНЫЙ НОМЕР КАТЕГОРИИ "СТАНДАРТ" ВТОРОЙ КОРПУС</t>
        </is>
      </c>
      <c r="S281" t="n">
        <v>50</v>
      </c>
      <c r="T281" t="n">
        <v>2</v>
      </c>
      <c r="U281" t="inlineStr"/>
      <c r="V281" t="inlineStr">
        <is>
          <t>Тариф с завтраком</t>
        </is>
      </c>
      <c r="W281" t="n">
        <v>9960</v>
      </c>
      <c r="X281" s="3" t="n">
        <v>2490</v>
      </c>
      <c r="Y281" t="inlineStr">
        <is>
          <t>20%</t>
        </is>
      </c>
      <c r="Z281" t="inlineStr">
        <is>
          <t>2026-08-28</t>
        </is>
      </c>
      <c r="AA281" s="3" t="n">
        <v>9960</v>
      </c>
      <c r="AB281" t="inlineStr">
        <is>
          <t>Сошлось по ночным тарифам</t>
        </is>
      </c>
      <c r="AC281" s="2" t="inlineStr"/>
      <c r="AD281" t="n">
        <v>2490</v>
      </c>
      <c r="AE281" t="n">
        <v>0</v>
      </c>
      <c r="AF281" t="inlineStr">
        <is>
          <t>Скидка добавлена к налоговой базе</t>
        </is>
      </c>
      <c r="AG281" t="n">
        <v>12450</v>
      </c>
      <c r="AH281" t="n">
        <v>9960</v>
      </c>
      <c r="AI281" t="inlineStr">
        <is>
          <t>Полное проживание в выбранном периоде</t>
        </is>
      </c>
    </row>
    <row r="282">
      <c r="A282" t="inlineStr">
        <is>
          <t>20260911-8186-465366665</t>
        </is>
      </c>
      <c r="B282" t="n">
        <v>1</v>
      </c>
      <c r="C282" s="2" t="inlineStr">
        <is>
          <t>СЕРГЕЙ СЕРЕГИН</t>
        </is>
      </c>
      <c r="D282" s="3" t="n">
        <v>9000</v>
      </c>
      <c r="E282" s="4" t="n">
        <v>0</v>
      </c>
      <c r="F282" t="inlineStr">
        <is>
          <t>Прямые бронирования (стойка) [Чайковский]</t>
        </is>
      </c>
      <c r="G282" s="3">
        <f>ROUND(D282/(100-E282)*100,2)</f>
        <v/>
      </c>
      <c r="H282" s="3" t="n">
        <v>0</v>
      </c>
      <c r="I282" s="3">
        <f>ROUND(IF(ISNUMBER(AG282),AG282,G282)+H282,2)</f>
        <v/>
      </c>
      <c r="J282" s="2" t="inlineStr">
        <is>
          <t>Завтрак "Шведский стол"</t>
        </is>
      </c>
      <c r="K282" s="5" t="n">
        <v>46276.58333333334</v>
      </c>
      <c r="L282" t="n">
        <v>1</v>
      </c>
      <c r="M282" s="3">
        <f>I282/L282</f>
        <v/>
      </c>
      <c r="N282">
        <f>IF(M282&gt;=5100,"ставка","мин.ставка")</f>
        <v/>
      </c>
      <c r="O282" s="3">
        <f>ROUND(IF(N282="мин.ставка",L282*100,I282/102*2),2)</f>
        <v/>
      </c>
      <c r="P282" s="5" t="n">
        <v>46277.5</v>
      </c>
      <c r="Q282" t="inlineStr">
        <is>
          <t>TravelLine ресепшен</t>
        </is>
      </c>
      <c r="R282" s="2" t="inlineStr">
        <is>
          <t>СЕМЕЙНЫЙ НОМЕР КАТЕГОРИИ "СТАНДАРТ" ВТОРОЙ КОРПУС</t>
        </is>
      </c>
      <c r="S282" t="n">
        <v>50</v>
      </c>
      <c r="T282" t="n">
        <v>2</v>
      </c>
      <c r="U282" t="inlineStr"/>
      <c r="V282" t="inlineStr">
        <is>
          <t>Тариф с завтраком</t>
        </is>
      </c>
      <c r="W282" t="n">
        <v>9000</v>
      </c>
      <c r="X282" s="3" t="n">
        <v>0</v>
      </c>
      <c r="Y282" t="inlineStr"/>
      <c r="Z282" t="inlineStr"/>
      <c r="AA282" s="3" t="n">
        <v>9000</v>
      </c>
      <c r="AB282" t="inlineStr">
        <is>
          <t>Сошлось по ночным тарифам</t>
        </is>
      </c>
      <c r="AC282" s="2" t="inlineStr"/>
      <c r="AD282" t="n">
        <v>0</v>
      </c>
      <c r="AE282" t="n">
        <v>0</v>
      </c>
      <c r="AF282" t="inlineStr">
        <is>
          <t>Скидки нет</t>
        </is>
      </c>
      <c r="AG282" t="n">
        <v>9000</v>
      </c>
      <c r="AH282" t="n">
        <v>9000</v>
      </c>
      <c r="AI282" t="inlineStr">
        <is>
          <t>Полное проживание в выбранном периоде</t>
        </is>
      </c>
    </row>
    <row r="283">
      <c r="A283" t="inlineStr">
        <is>
          <t>20260919-8186-466902324</t>
        </is>
      </c>
      <c r="B283" t="n">
        <v>1</v>
      </c>
      <c r="C283" s="2" t="inlineStr">
        <is>
          <t>Сергей Шаролапов</t>
        </is>
      </c>
      <c r="D283" s="3" t="n">
        <v>15800</v>
      </c>
      <c r="E283" s="4" t="n">
        <v>0</v>
      </c>
      <c r="F283" t="inlineStr">
        <is>
          <t>Прямые бронирования (стойка) [Чайковский]</t>
        </is>
      </c>
      <c r="G283" s="3">
        <f>ROUND(D283/(100-E283)*100,2)</f>
        <v/>
      </c>
      <c r="H283" s="3" t="n">
        <v>0</v>
      </c>
      <c r="I283" s="3">
        <f>ROUND(IF(ISNUMBER(AG283),AG283,G283)+H283,2)</f>
        <v/>
      </c>
      <c r="J283" s="2" t="inlineStr">
        <is>
          <t>Завтрак "Шведский стол"</t>
        </is>
      </c>
      <c r="K283" s="5" t="n">
        <v>46284.58333333334</v>
      </c>
      <c r="L283" t="n">
        <v>1</v>
      </c>
      <c r="M283" s="3">
        <f>I283/L283</f>
        <v/>
      </c>
      <c r="N283">
        <f>IF(M283&gt;=5100,"ставка","мин.ставка")</f>
        <v/>
      </c>
      <c r="O283" s="3">
        <f>ROUND(IF(N283="мин.ставка",L283*100,I283/102*2),2)</f>
        <v/>
      </c>
      <c r="P283" s="5" t="n">
        <v>46285.5</v>
      </c>
      <c r="Q283" t="inlineStr">
        <is>
          <t>TravelLine ресепшен</t>
        </is>
      </c>
      <c r="R283" s="2" t="inlineStr">
        <is>
          <t>ЛЮКС ВТОРОЙ КОРПУС</t>
        </is>
      </c>
      <c r="S283" t="n">
        <v>53</v>
      </c>
      <c r="T283" t="n">
        <v>2</v>
      </c>
      <c r="U283" t="inlineStr"/>
      <c r="V283" t="inlineStr">
        <is>
          <t>Тариф с завтраком</t>
        </is>
      </c>
      <c r="W283" t="n">
        <v>15800</v>
      </c>
      <c r="X283" s="3" t="n">
        <v>0</v>
      </c>
      <c r="Y283" t="inlineStr"/>
      <c r="Z283" t="inlineStr"/>
      <c r="AA283" s="3" t="n">
        <v>15800</v>
      </c>
      <c r="AB283" t="inlineStr">
        <is>
          <t>Сошлось по ночным тарифам</t>
        </is>
      </c>
      <c r="AC283" s="2" t="inlineStr"/>
      <c r="AD283" t="n">
        <v>0</v>
      </c>
      <c r="AE283" t="n">
        <v>0</v>
      </c>
      <c r="AF283" t="inlineStr">
        <is>
          <t>Скидки нет</t>
        </is>
      </c>
      <c r="AG283" t="n">
        <v>15800</v>
      </c>
      <c r="AH283" t="n">
        <v>15800</v>
      </c>
      <c r="AI283" t="inlineStr">
        <is>
          <t>Полное проживание в выбранном периоде</t>
        </is>
      </c>
    </row>
    <row r="284">
      <c r="A284" t="inlineStr">
        <is>
          <t>20260704-8186-447496041</t>
        </is>
      </c>
      <c r="B284" t="n">
        <v>1</v>
      </c>
      <c r="C284" s="2" t="inlineStr">
        <is>
          <t>Сергей Шпаков, ВАЛЕРИЯ ШПАКОВА</t>
        </is>
      </c>
      <c r="D284" s="3" t="n">
        <v>49252.5</v>
      </c>
      <c r="E284" s="4" t="n">
        <v>4</v>
      </c>
      <c r="F284" t="inlineStr">
        <is>
          <t>TravelLine Booking Engine [Чайковский]</t>
        </is>
      </c>
      <c r="G284" s="3">
        <f>ROUND(D284/(100-E284)*100,2)</f>
        <v/>
      </c>
      <c r="H284" s="3" t="n">
        <v>3440</v>
      </c>
      <c r="I284" s="3">
        <f>ROUND(IF(ISNUMBER(AG284),AG284,G284)+H284,2)</f>
        <v/>
      </c>
      <c r="J284" s="2" t="inlineStr">
        <is>
          <t>продление номера — 2 752,00 ₽; продление номера — 688,00 ₽; Завтрак "Шведский стол"</t>
        </is>
      </c>
      <c r="K284" s="5" t="n">
        <v>46207.70833333334</v>
      </c>
      <c r="L284" t="n">
        <v>3</v>
      </c>
      <c r="M284" s="3">
        <f>I284/L284</f>
        <v/>
      </c>
      <c r="N284">
        <f>IF(M284&gt;=5100,"ставка","мин.ставка")</f>
        <v/>
      </c>
      <c r="O284" s="3">
        <f>ROUND(IF(N284="мин.ставка",L284*100,I284/102*2),2)</f>
        <v/>
      </c>
      <c r="P284" s="5" t="n">
        <v>46210.66666666666</v>
      </c>
      <c r="Q284" t="inlineStr">
        <is>
          <t>TravelLine сайт</t>
        </is>
      </c>
      <c r="R284" s="2" t="inlineStr">
        <is>
          <t>ЛЮКС ВТОРОЙ КОРПУС</t>
        </is>
      </c>
      <c r="S284" t="n">
        <v>54</v>
      </c>
      <c r="T284" t="n">
        <v>2</v>
      </c>
      <c r="U284" t="inlineStr"/>
      <c r="V284" t="inlineStr">
        <is>
          <t>Тариф с завтраком</t>
        </is>
      </c>
      <c r="W284" t="n">
        <v>52692.5</v>
      </c>
      <c r="X284" s="3" t="n">
        <v>247.5</v>
      </c>
      <c r="Y284" t="inlineStr">
        <is>
          <t>1.5%</t>
        </is>
      </c>
      <c r="Z284" t="inlineStr">
        <is>
          <t>2026-07-04</t>
        </is>
      </c>
      <c r="AA284" s="3" t="n">
        <v>49252.5</v>
      </c>
      <c r="AB284" t="inlineStr">
        <is>
          <t>Сошлось с услугами</t>
        </is>
      </c>
      <c r="AC284" s="2" t="inlineStr"/>
      <c r="AD284" t="n">
        <v>247.5</v>
      </c>
      <c r="AE284" t="n">
        <v>0</v>
      </c>
      <c r="AF284" t="inlineStr">
        <is>
          <t>Скидка добавлена к налоговой базе</t>
        </is>
      </c>
      <c r="AG284" t="n">
        <v>49500</v>
      </c>
      <c r="AH284" t="n">
        <v>49252.5</v>
      </c>
      <c r="AI284" t="inlineStr">
        <is>
          <t>Полное проживание в выбранном периоде</t>
        </is>
      </c>
    </row>
    <row r="285">
      <c r="A285" t="inlineStr">
        <is>
          <t>20260819-8186-457340079</t>
        </is>
      </c>
      <c r="B285" t="n">
        <v>1</v>
      </c>
      <c r="C285" s="2" t="inlineStr">
        <is>
          <t>София Гапаева, Юлия Тыртычева</t>
        </is>
      </c>
      <c r="D285" s="3" t="n">
        <v>29904</v>
      </c>
      <c r="E285" s="4" t="n">
        <v>16</v>
      </c>
      <c r="F285" t="inlineStr">
        <is>
          <t>ООО "БРОНИРОВАНИЕ ГОСТИНИЦ" (OSTROVOK) [Чайковский]</t>
        </is>
      </c>
      <c r="G285" s="3">
        <f>ROUND(D285/(100-E285)*100,2)</f>
        <v/>
      </c>
      <c r="H285" s="3" t="n">
        <v>0</v>
      </c>
      <c r="I285" s="3">
        <f>ROUND(IF(ISNUMBER(AG285),AG285,G285)+H285,2)</f>
        <v/>
      </c>
      <c r="J285" s="2" t="inlineStr">
        <is>
          <t>Завтрак "Шведский стол"</t>
        </is>
      </c>
      <c r="K285" s="5" t="n">
        <v>46253.58333333334</v>
      </c>
      <c r="L285" t="n">
        <v>2</v>
      </c>
      <c r="M285" s="3">
        <f>I285/L285</f>
        <v/>
      </c>
      <c r="N285">
        <f>IF(M285&gt;=5100,"ставка","мин.ставка")</f>
        <v/>
      </c>
      <c r="O285" s="3">
        <f>ROUND(IF(N285="мин.ставка",L285*100,I285/102*2),2)</f>
        <v/>
      </c>
      <c r="P285" s="5" t="n">
        <v>46255.5</v>
      </c>
      <c r="Q285" t="inlineStr">
        <is>
          <t>TravelLine OTK</t>
        </is>
      </c>
      <c r="R285" s="2" t="inlineStr">
        <is>
          <t>ЛЮКС ВТОРОЙ КОРПУС</t>
        </is>
      </c>
      <c r="S285" t="n">
        <v>54</v>
      </c>
      <c r="T285" t="n">
        <v>2</v>
      </c>
      <c r="U285" t="inlineStr"/>
      <c r="V285" t="inlineStr">
        <is>
          <t>Тариф с завтраком</t>
        </is>
      </c>
      <c r="W285" t="n">
        <v>29904</v>
      </c>
      <c r="X285" s="3" t="n">
        <v>5696</v>
      </c>
      <c r="Y285" t="inlineStr">
        <is>
          <t>16%</t>
        </is>
      </c>
      <c r="Z285" t="inlineStr">
        <is>
          <t>2026-08-19, 2026-08-20</t>
        </is>
      </c>
      <c r="AA285" s="3" t="n">
        <v>29904</v>
      </c>
      <c r="AB285" t="inlineStr">
        <is>
          <t>Сошлось по ночным тарифам</t>
        </is>
      </c>
      <c r="AC285" s="2" t="inlineStr"/>
      <c r="AD285" t="n">
        <v>5696</v>
      </c>
      <c r="AE285" t="n">
        <v>0</v>
      </c>
      <c r="AF285" t="inlineStr">
        <is>
          <t>Скидка добавлена к налоговой базе</t>
        </is>
      </c>
      <c r="AG285" t="n">
        <v>35600</v>
      </c>
      <c r="AH285" t="n">
        <v>29904</v>
      </c>
      <c r="AI285" t="inlineStr">
        <is>
          <t>Полное проживание в выбранном периоде</t>
        </is>
      </c>
    </row>
    <row r="286">
      <c r="A286" t="inlineStr">
        <is>
          <t>20260725-8186-451545829</t>
        </is>
      </c>
      <c r="B286" t="n">
        <v>1</v>
      </c>
      <c r="C286" s="2" t="inlineStr">
        <is>
          <t>Станислав Ершов, Мария Мельникова</t>
        </is>
      </c>
      <c r="D286" s="3" t="n">
        <v>14240</v>
      </c>
      <c r="E286" s="4" t="n">
        <v>18</v>
      </c>
      <c r="F286" t="inlineStr">
        <is>
          <t>Яндекс.Путешествия [Чайковский]</t>
        </is>
      </c>
      <c r="G286" s="3">
        <f>ROUND(D286/(100-E286)*100,2)</f>
        <v/>
      </c>
      <c r="H286" s="3" t="n">
        <v>8900</v>
      </c>
      <c r="I286" s="3">
        <f>ROUND(IF(ISNUMBER(AG286),AG286,G286)+H286,2)</f>
        <v/>
      </c>
      <c r="J286" s="2" t="inlineStr">
        <is>
          <t>продление номера — 8 900,00 ₽; Завтрак "Шведский стол"</t>
        </is>
      </c>
      <c r="K286" s="5" t="n">
        <v>46234.58333333334</v>
      </c>
      <c r="L286" t="n">
        <v>1</v>
      </c>
      <c r="M286" s="3">
        <f>I286/L286</f>
        <v/>
      </c>
      <c r="N286">
        <f>IF(M286&gt;=5100,"ставка","мин.ставка")</f>
        <v/>
      </c>
      <c r="O286" s="3">
        <f>ROUND(IF(N286="мин.ставка",L286*100,I286/102*2),2)</f>
        <v/>
      </c>
      <c r="P286" s="5" t="n">
        <v>46235.79166666666</v>
      </c>
      <c r="Q286" t="inlineStr">
        <is>
          <t>TravelLine YAX</t>
        </is>
      </c>
      <c r="R286" s="2" t="inlineStr">
        <is>
          <t>ЛЮКС ВТОРОЙ КОРПУС</t>
        </is>
      </c>
      <c r="S286" t="n">
        <v>54</v>
      </c>
      <c r="T286" t="n">
        <v>2</v>
      </c>
      <c r="U286" t="inlineStr"/>
      <c r="V286" t="inlineStr">
        <is>
          <t>Тариф с завтраком</t>
        </is>
      </c>
      <c r="W286" t="n">
        <v>23140</v>
      </c>
      <c r="X286" s="3" t="n">
        <v>3560</v>
      </c>
      <c r="Y286" t="inlineStr">
        <is>
          <t>20%</t>
        </is>
      </c>
      <c r="Z286" t="inlineStr">
        <is>
          <t>2026-07-31</t>
        </is>
      </c>
      <c r="AA286" s="3" t="n">
        <v>14240</v>
      </c>
      <c r="AB286" t="inlineStr">
        <is>
          <t>Сошлось с услугами</t>
        </is>
      </c>
      <c r="AC286" s="2" t="inlineStr"/>
      <c r="AD286" t="n">
        <v>3560</v>
      </c>
      <c r="AE286" t="n">
        <v>0</v>
      </c>
      <c r="AF286" t="inlineStr">
        <is>
          <t>Скидка добавлена к налоговой базе</t>
        </is>
      </c>
      <c r="AG286" t="n">
        <v>17800</v>
      </c>
      <c r="AH286" t="n">
        <v>14240</v>
      </c>
      <c r="AI286" t="inlineStr">
        <is>
          <t>Полное проживание в выбранном периоде</t>
        </is>
      </c>
    </row>
    <row r="287">
      <c r="A287" t="inlineStr">
        <is>
          <t>20260923-8186-467728893</t>
        </is>
      </c>
      <c r="B287" t="n">
        <v>1</v>
      </c>
      <c r="C287" s="2" t="inlineStr">
        <is>
          <t>Станислав Николаев</t>
        </is>
      </c>
      <c r="D287" s="3" t="n">
        <v>11205</v>
      </c>
      <c r="E287" s="4" t="n">
        <v>0</v>
      </c>
      <c r="F287" t="inlineStr">
        <is>
          <t>Прямые бронирования (стойка) [Чайковский]</t>
        </is>
      </c>
      <c r="G287" s="3">
        <f>ROUND(D287/(100-E287)*100,2)</f>
        <v/>
      </c>
      <c r="H287" s="3" t="n">
        <v>0</v>
      </c>
      <c r="I287" s="3">
        <f>ROUND(IF(ISNUMBER(AG287),AG287,G287)+H287,2)</f>
        <v/>
      </c>
      <c r="J287" s="2" t="inlineStr">
        <is>
          <t>Завтрак "Шведский стол"</t>
        </is>
      </c>
      <c r="K287" s="5" t="n">
        <v>46288.58333333334</v>
      </c>
      <c r="L287" t="n">
        <v>1</v>
      </c>
      <c r="M287" s="3">
        <f>I287/L287</f>
        <v/>
      </c>
      <c r="N287">
        <f>IF(M287&gt;=5100,"ставка","мин.ставка")</f>
        <v/>
      </c>
      <c r="O287" s="3">
        <f>ROUND(IF(N287="мин.ставка",L287*100,I287/102*2),2)</f>
        <v/>
      </c>
      <c r="P287" s="5" t="n">
        <v>46289.5</v>
      </c>
      <c r="Q287" t="inlineStr">
        <is>
          <t>TravelLine ресепшен</t>
        </is>
      </c>
      <c r="R287" s="2" t="inlineStr">
        <is>
          <t>СЕМЕЙНЫЙ НОМЕР КАТЕГОРИИ "СТАНДАРТ" ВТОРОЙ КОРПУС</t>
        </is>
      </c>
      <c r="S287" t="n">
        <v>50</v>
      </c>
      <c r="T287" t="n">
        <v>2</v>
      </c>
      <c r="U287" t="inlineStr"/>
      <c r="V287" t="inlineStr">
        <is>
          <t>Тариф с завтраком</t>
        </is>
      </c>
      <c r="W287" t="n">
        <v>11205</v>
      </c>
      <c r="X287" s="3" t="n">
        <v>1245</v>
      </c>
      <c r="Y287" t="inlineStr">
        <is>
          <t>10%</t>
        </is>
      </c>
      <c r="Z287" t="inlineStr">
        <is>
          <t>2026-09-23</t>
        </is>
      </c>
      <c r="AA287" s="3" t="n">
        <v>11205</v>
      </c>
      <c r="AB287" t="inlineStr">
        <is>
          <t>Сошлось по ночным тарифам</t>
        </is>
      </c>
      <c r="AC287" s="2" t="inlineStr"/>
      <c r="AD287" t="n">
        <v>1245</v>
      </c>
      <c r="AE287" t="n">
        <v>0</v>
      </c>
      <c r="AF287" t="inlineStr">
        <is>
          <t>Скидка добавлена к налоговой базе</t>
        </is>
      </c>
      <c r="AG287" t="n">
        <v>12450</v>
      </c>
      <c r="AH287" t="n">
        <v>11205</v>
      </c>
      <c r="AI287" t="inlineStr">
        <is>
          <t>Полное проживание в выбранном периоде</t>
        </is>
      </c>
    </row>
    <row r="288">
      <c r="A288" t="inlineStr">
        <is>
          <t>20260812-8186-457353835</t>
        </is>
      </c>
      <c r="B288" t="n">
        <v>1</v>
      </c>
      <c r="C288" s="2" t="inlineStr">
        <is>
          <t>Сурен Мусаелян</t>
        </is>
      </c>
      <c r="D288" s="3" t="n">
        <v>9647.5</v>
      </c>
      <c r="E288" s="4" t="n">
        <v>15</v>
      </c>
      <c r="F288" t="inlineStr">
        <is>
          <t>ООО «12Т» (ранее ONE TWO TRIP) [Чайковский]</t>
        </is>
      </c>
      <c r="G288" s="3">
        <f>ROUND(D288/(100-E288)*100,2)</f>
        <v/>
      </c>
      <c r="H288" s="3" t="n">
        <v>0</v>
      </c>
      <c r="I288" s="3">
        <f>ROUND(IF(ISNUMBER(AG288),AG288,G288)+H288,2)</f>
        <v/>
      </c>
      <c r="J288" s="2" t="inlineStr">
        <is>
          <t>Завтрак "Шведский стол"</t>
        </is>
      </c>
      <c r="K288" s="5" t="n">
        <v>46246.58333333334</v>
      </c>
      <c r="L288" t="n">
        <v>1</v>
      </c>
      <c r="M288" s="3">
        <f>I288/L288</f>
        <v/>
      </c>
      <c r="N288">
        <f>IF(M288&gt;=5100,"ставка","мин.ставка")</f>
        <v/>
      </c>
      <c r="O288" s="3">
        <f>ROUND(IF(N288="мин.ставка",L288*100,I288/102*2),2)</f>
        <v/>
      </c>
      <c r="P288" s="5" t="n">
        <v>46247.5</v>
      </c>
      <c r="Q288" t="inlineStr">
        <is>
          <t>TravelLine OTT</t>
        </is>
      </c>
      <c r="R288" s="2" t="inlineStr">
        <is>
          <t>СТАНДАРТНЫЙ ДВУХМЕСТНЫЙ НОМЕР</t>
        </is>
      </c>
      <c r="S288" t="n">
        <v>52</v>
      </c>
      <c r="T288" t="n">
        <v>2</v>
      </c>
      <c r="U288" t="inlineStr"/>
      <c r="V288" t="inlineStr">
        <is>
          <t>Тариф с завтраком</t>
        </is>
      </c>
      <c r="W288" t="n">
        <v>9647.5</v>
      </c>
      <c r="X288" s="3" t="n">
        <v>1702.5</v>
      </c>
      <c r="Y288" t="inlineStr">
        <is>
          <t>15%</t>
        </is>
      </c>
      <c r="Z288" t="inlineStr">
        <is>
          <t>2026-08-12</t>
        </is>
      </c>
      <c r="AA288" s="3" t="n">
        <v>9647.5</v>
      </c>
      <c r="AB288" t="inlineStr">
        <is>
          <t>Сошлось по ночным тарифам</t>
        </is>
      </c>
      <c r="AC288" s="2" t="inlineStr"/>
      <c r="AD288" t="n">
        <v>1702.5</v>
      </c>
      <c r="AE288" t="n">
        <v>0</v>
      </c>
      <c r="AF288" t="inlineStr">
        <is>
          <t>Скидка добавлена к налоговой базе</t>
        </is>
      </c>
      <c r="AG288" t="n">
        <v>11350</v>
      </c>
      <c r="AH288" t="n">
        <v>9647.5</v>
      </c>
      <c r="AI288" t="inlineStr">
        <is>
          <t>Полное проживание в выбранном периоде</t>
        </is>
      </c>
    </row>
    <row r="289">
      <c r="A289" t="inlineStr">
        <is>
          <t>20260725-8186-451752132</t>
        </is>
      </c>
      <c r="B289" t="n">
        <v>1</v>
      </c>
      <c r="C289" s="2" t="inlineStr">
        <is>
          <t>Татьяна Августова, ПОЛИНА БУЛЛЕР</t>
        </is>
      </c>
      <c r="D289" s="3" t="n">
        <v>24805</v>
      </c>
      <c r="E289" s="4" t="n">
        <v>18</v>
      </c>
      <c r="F289" t="inlineStr">
        <is>
          <t>ООО "Эй энд Эй" [Чайковский]</t>
        </is>
      </c>
      <c r="G289" s="3">
        <f>ROUND(D289/(100-E289)*100,2)</f>
        <v/>
      </c>
      <c r="H289" s="3" t="n">
        <v>6000</v>
      </c>
      <c r="I289" s="3">
        <f>ROUND(IF(ISNUMBER(AG289),AG289,G289)+H289,2)</f>
        <v/>
      </c>
      <c r="J289" s="2" t="inlineStr">
        <is>
          <t>продление номера — 6 000,00 ₽; Завтрак "Шведский стол"</t>
        </is>
      </c>
      <c r="K289" s="5" t="n">
        <v>46228.58333333334</v>
      </c>
      <c r="L289" t="n">
        <v>3</v>
      </c>
      <c r="M289" s="3">
        <f>I289/L289</f>
        <v/>
      </c>
      <c r="N289">
        <f>IF(M289&gt;=5100,"ставка","мин.ставка")</f>
        <v/>
      </c>
      <c r="O289" s="3">
        <f>ROUND(IF(N289="мин.ставка",L289*100,I289/102*2),2)</f>
        <v/>
      </c>
      <c r="P289" s="5" t="n">
        <v>46231.5</v>
      </c>
      <c r="Q289" t="inlineStr">
        <is>
          <t>TravelLine ANA</t>
        </is>
      </c>
      <c r="R289" s="2" t="inlineStr">
        <is>
          <t>СЕМЕЙНЫЙ НОМЕР КАТЕГОРИИ "СТАНДАРТ" ВТОРОЙ КОРПУС</t>
        </is>
      </c>
      <c r="S289" t="n">
        <v>51</v>
      </c>
      <c r="T289" t="n">
        <v>2</v>
      </c>
      <c r="U289" t="inlineStr"/>
      <c r="V289" t="inlineStr">
        <is>
          <t>Тариф с завтраком</t>
        </is>
      </c>
      <c r="W289" t="n">
        <v>30805</v>
      </c>
      <c r="X289" s="3" t="n">
        <v>5445</v>
      </c>
      <c r="Y289" t="inlineStr">
        <is>
          <t>18%</t>
        </is>
      </c>
      <c r="Z289" t="inlineStr">
        <is>
          <t>Не распределена по датам</t>
        </is>
      </c>
      <c r="AA289" s="3" t="n">
        <v>24805</v>
      </c>
      <c r="AB289" t="inlineStr">
        <is>
          <t>Сошлось с услугами</t>
        </is>
      </c>
      <c r="AC289" s="2" t="inlineStr"/>
      <c r="AD289" t="n">
        <v>5445</v>
      </c>
      <c r="AE289" t="n">
        <v>0</v>
      </c>
      <c r="AF289" t="inlineStr">
        <is>
          <t>Скидка добавлена к налоговой базе</t>
        </is>
      </c>
      <c r="AG289" t="n">
        <v>30250</v>
      </c>
      <c r="AH289" t="n">
        <v>24805</v>
      </c>
      <c r="AI289" t="inlineStr">
        <is>
          <t>Полное проживание в выбранном периоде</t>
        </is>
      </c>
    </row>
    <row r="290">
      <c r="A290" t="inlineStr">
        <is>
          <t>20260729-8186-454077989</t>
        </is>
      </c>
      <c r="B290" t="n">
        <v>1</v>
      </c>
      <c r="C290" s="2" t="inlineStr">
        <is>
          <t>Татьяна Бельтюкова</t>
        </is>
      </c>
      <c r="D290" s="3" t="n">
        <v>13856.7</v>
      </c>
      <c r="E290" s="4" t="n">
        <v>4</v>
      </c>
      <c r="F290" t="inlineStr">
        <is>
          <t>TravelLine Booking Engine [Чайковский]</t>
        </is>
      </c>
      <c r="G290" s="3">
        <f>ROUND(D290/(100-E290)*100,2)</f>
        <v/>
      </c>
      <c r="H290" s="3" t="n">
        <v>0</v>
      </c>
      <c r="I290" s="3">
        <f>ROUND(IF(ISNUMBER(AG290),AG290,G290)+H290,2)</f>
        <v/>
      </c>
      <c r="J290" s="2" t="inlineStr"/>
      <c r="K290" s="5" t="n">
        <v>46232.58333333334</v>
      </c>
      <c r="L290" t="n">
        <v>1</v>
      </c>
      <c r="M290" s="3">
        <f>I290/L290</f>
        <v/>
      </c>
      <c r="N290">
        <f>IF(M290&gt;=5100,"ставка","мин.ставка")</f>
        <v/>
      </c>
      <c r="O290" s="3">
        <f>ROUND(IF(N290="мин.ставка",L290*100,I290/102*2),2)</f>
        <v/>
      </c>
      <c r="P290" s="5" t="n">
        <v>46233.5</v>
      </c>
      <c r="Q290" t="inlineStr">
        <is>
          <t>TravelLine сайт</t>
        </is>
      </c>
      <c r="R290" s="2" t="inlineStr">
        <is>
          <t>ЛЮКС ВТОРОЙ КОРПУС</t>
        </is>
      </c>
      <c r="S290" t="n">
        <v>57</v>
      </c>
      <c r="T290" t="n">
        <v>2</v>
      </c>
      <c r="U290" t="inlineStr"/>
      <c r="V290" t="inlineStr">
        <is>
          <t>Основной тариф без завтрака</t>
        </is>
      </c>
      <c r="W290" t="n">
        <v>13856.7</v>
      </c>
      <c r="X290" s="3" t="n">
        <v>443.3</v>
      </c>
      <c r="Y290" t="inlineStr">
        <is>
          <t>3.1%</t>
        </is>
      </c>
      <c r="Z290" t="inlineStr">
        <is>
          <t>2026-07-29</t>
        </is>
      </c>
      <c r="AA290" s="3" t="n">
        <v>13856.7</v>
      </c>
      <c r="AB290" t="inlineStr">
        <is>
          <t>Сошлось по ночным тарифам</t>
        </is>
      </c>
      <c r="AC290" s="2" t="inlineStr"/>
      <c r="AD290" t="n">
        <v>443.3</v>
      </c>
      <c r="AE290" t="n">
        <v>0</v>
      </c>
      <c r="AF290" t="inlineStr">
        <is>
          <t>Скидка добавлена к налоговой базе</t>
        </is>
      </c>
      <c r="AG290" t="n">
        <v>14300</v>
      </c>
      <c r="AH290" t="n">
        <v>13856.7</v>
      </c>
      <c r="AI290" t="inlineStr">
        <is>
          <t>Полное проживание в выбранном периоде</t>
        </is>
      </c>
    </row>
    <row r="291">
      <c r="A291" t="inlineStr">
        <is>
          <t>20260828-8186-461231604</t>
        </is>
      </c>
      <c r="B291" t="n">
        <v>1</v>
      </c>
      <c r="C291" s="2" t="inlineStr">
        <is>
          <t>Татьяна Губанова, Андрей Губанов</t>
        </is>
      </c>
      <c r="D291" s="3" t="n">
        <v>28550.5</v>
      </c>
      <c r="E291" s="4" t="n">
        <v>4</v>
      </c>
      <c r="F291" t="inlineStr">
        <is>
          <t>TravelLine Booking Engine [Чайковский]</t>
        </is>
      </c>
      <c r="G291" s="3">
        <f>ROUND(D291/(100-E291)*100,2)</f>
        <v/>
      </c>
      <c r="H291" s="3" t="n">
        <v>0</v>
      </c>
      <c r="I291" s="3">
        <f>ROUND(IF(ISNUMBER(AG291),AG291,G291)+H291,2)</f>
        <v/>
      </c>
      <c r="J291" s="2" t="inlineStr"/>
      <c r="K291" s="5" t="n">
        <v>46262.58333333334</v>
      </c>
      <c r="L291" t="n">
        <v>2</v>
      </c>
      <c r="M291" s="3">
        <f>I291/L291</f>
        <v/>
      </c>
      <c r="N291">
        <f>IF(M291&gt;=5100,"ставка","мин.ставка")</f>
        <v/>
      </c>
      <c r="O291" s="3">
        <f>ROUND(IF(N291="мин.ставка",L291*100,I291/102*2),2)</f>
        <v/>
      </c>
      <c r="P291" s="5" t="n">
        <v>46264.5</v>
      </c>
      <c r="Q291" t="inlineStr">
        <is>
          <t>TravelLine сайт</t>
        </is>
      </c>
      <c r="R291" s="2" t="inlineStr">
        <is>
          <t>ЛЮКС ВТОРОЙ КОРПУС</t>
        </is>
      </c>
      <c r="S291" t="n">
        <v>53</v>
      </c>
      <c r="T291" t="n">
        <v>2</v>
      </c>
      <c r="U291" t="inlineStr"/>
      <c r="V291" t="inlineStr">
        <is>
          <t>Основной тариф без завтрака</t>
        </is>
      </c>
      <c r="W291" t="n">
        <v>28550.5</v>
      </c>
      <c r="X291" s="3" t="n">
        <v>449.5</v>
      </c>
      <c r="Y291" t="inlineStr">
        <is>
          <t>3.1%</t>
        </is>
      </c>
      <c r="Z291" t="inlineStr">
        <is>
          <t>2026-08-28</t>
        </is>
      </c>
      <c r="AA291" s="3" t="n">
        <v>28550.5</v>
      </c>
      <c r="AB291" t="inlineStr">
        <is>
          <t>Сошлось по ночным тарифам</t>
        </is>
      </c>
      <c r="AC291" s="2" t="inlineStr"/>
      <c r="AD291" t="n">
        <v>449.5</v>
      </c>
      <c r="AE291" t="n">
        <v>0</v>
      </c>
      <c r="AF291" t="inlineStr">
        <is>
          <t>Скидка добавлена к налоговой базе</t>
        </is>
      </c>
      <c r="AG291" t="n">
        <v>29000</v>
      </c>
      <c r="AH291" t="n">
        <v>28550.5</v>
      </c>
      <c r="AI291" t="inlineStr">
        <is>
          <t>Полное проживание в выбранном периоде</t>
        </is>
      </c>
    </row>
    <row r="292">
      <c r="A292" t="inlineStr">
        <is>
          <t>20260715-8186-440318690</t>
        </is>
      </c>
      <c r="B292" t="n">
        <v>1</v>
      </c>
      <c r="C292" s="2" t="inlineStr">
        <is>
          <t>Татьяна Кагановская, Александра Кагановская</t>
        </is>
      </c>
      <c r="D292" s="3" t="n">
        <v>30322.6</v>
      </c>
      <c r="E292" s="4" t="n">
        <v>4</v>
      </c>
      <c r="F292" t="inlineStr">
        <is>
          <t>TravelLine Booking Engine [Чайковский]</t>
        </is>
      </c>
      <c r="G292" s="3">
        <f>ROUND(D292/(100-E292)*100,2)</f>
        <v/>
      </c>
      <c r="H292" s="3" t="n">
        <v>0</v>
      </c>
      <c r="I292" s="3">
        <f>ROUND(IF(ISNUMBER(AG292),AG292,G292)+H292,2)</f>
        <v/>
      </c>
      <c r="J292" s="2" t="inlineStr">
        <is>
          <t>Завтрак "Шведский стол"</t>
        </is>
      </c>
      <c r="K292" s="5" t="n">
        <v>46218.58333333334</v>
      </c>
      <c r="L292" t="n">
        <v>2</v>
      </c>
      <c r="M292" s="3">
        <f>I292/L292</f>
        <v/>
      </c>
      <c r="N292">
        <f>IF(M292&gt;=5100,"ставка","мин.ставка")</f>
        <v/>
      </c>
      <c r="O292" s="3">
        <f>ROUND(IF(N292="мин.ставка",L292*100,I292/102*2),2)</f>
        <v/>
      </c>
      <c r="P292" s="5" t="n">
        <v>46220.5</v>
      </c>
      <c r="Q292" t="inlineStr">
        <is>
          <t>TravelLine сайт</t>
        </is>
      </c>
      <c r="R292" s="2" t="inlineStr">
        <is>
          <t>УЛУЧШЕННЫЙ ДВУХМЕСТНЫЙ НОМЕР</t>
        </is>
      </c>
      <c r="S292" t="n">
        <v>59</v>
      </c>
      <c r="T292" t="n">
        <v>2</v>
      </c>
      <c r="U292" t="inlineStr"/>
      <c r="V292" t="inlineStr">
        <is>
          <t>Тариф с завтраком</t>
        </is>
      </c>
      <c r="W292" t="n">
        <v>30322.6</v>
      </c>
      <c r="X292" s="3" t="n">
        <v>477.4</v>
      </c>
      <c r="Y292" t="inlineStr">
        <is>
          <t>3.1%</t>
        </is>
      </c>
      <c r="Z292" t="inlineStr">
        <is>
          <t>2026-07-15</t>
        </is>
      </c>
      <c r="AA292" s="3" t="n">
        <v>30322.6</v>
      </c>
      <c r="AB292" t="inlineStr">
        <is>
          <t>Сошлось по ночным тарифам</t>
        </is>
      </c>
      <c r="AC292" s="2" t="inlineStr"/>
      <c r="AD292" t="n">
        <v>477.4</v>
      </c>
      <c r="AE292" t="n">
        <v>0</v>
      </c>
      <c r="AF292" t="inlineStr">
        <is>
          <t>Скидка добавлена к налоговой базе</t>
        </is>
      </c>
      <c r="AG292" t="n">
        <v>30800</v>
      </c>
      <c r="AH292" t="n">
        <v>30322.6</v>
      </c>
      <c r="AI292" t="inlineStr">
        <is>
          <t>Полное проживание в выбранном периоде</t>
        </is>
      </c>
    </row>
    <row r="293">
      <c r="A293" t="inlineStr">
        <is>
          <t>20260910-8186-461133023</t>
        </is>
      </c>
      <c r="B293" t="n">
        <v>1</v>
      </c>
      <c r="C293" s="2" t="inlineStr">
        <is>
          <t>ТАТЬЯНА МЕРКУЛОВА</t>
        </is>
      </c>
      <c r="D293" s="3" t="n">
        <v>31500</v>
      </c>
      <c r="E293" s="4" t="n">
        <v>16</v>
      </c>
      <c r="F293" t="inlineStr">
        <is>
          <t>ООО "БРОНИРОВАНИЕ ГОСТИНИЦ" (OSTROVOK) [Чайковский]</t>
        </is>
      </c>
      <c r="G293" s="3">
        <f>ROUND(D293/(100-E293)*100,2)</f>
        <v/>
      </c>
      <c r="H293" s="3" t="n">
        <v>0</v>
      </c>
      <c r="I293" s="3">
        <f>ROUND(IF(ISNUMBER(AG293),AG293,G293)+H293,2)</f>
        <v/>
      </c>
      <c r="J293" s="2" t="inlineStr"/>
      <c r="K293" s="5" t="n">
        <v>46275.58333333334</v>
      </c>
      <c r="L293" t="n">
        <v>3</v>
      </c>
      <c r="M293" s="3">
        <f>I293/L293</f>
        <v/>
      </c>
      <c r="N293">
        <f>IF(M293&gt;=5100,"ставка","мин.ставка")</f>
        <v/>
      </c>
      <c r="O293" s="3">
        <f>ROUND(IF(N293="мин.ставка",L293*100,I293/102*2),2)</f>
        <v/>
      </c>
      <c r="P293" s="5" t="n">
        <v>46278.5</v>
      </c>
      <c r="Q293" t="inlineStr">
        <is>
          <t>TravelLine OTK</t>
        </is>
      </c>
      <c r="R293" s="2" t="inlineStr">
        <is>
          <t>ЛЮКС ВТОРОЙ КОРПУС</t>
        </is>
      </c>
      <c r="S293" t="n">
        <v>54</v>
      </c>
      <c r="T293" t="n">
        <v>2</v>
      </c>
      <c r="U293" t="inlineStr"/>
      <c r="V293" t="inlineStr">
        <is>
          <t>Основной тариф без завтрака</t>
        </is>
      </c>
      <c r="W293" t="n">
        <v>31500</v>
      </c>
      <c r="X293" s="3" t="n">
        <v>6000</v>
      </c>
      <c r="Y293" t="inlineStr">
        <is>
          <t>16%</t>
        </is>
      </c>
      <c r="Z293" t="inlineStr">
        <is>
          <t>2026-09-10, 2026-09-11, 2026-09-12</t>
        </is>
      </c>
      <c r="AA293" s="3" t="n">
        <v>31500</v>
      </c>
      <c r="AB293" t="inlineStr">
        <is>
          <t>Сошлось по ночным тарифам</t>
        </is>
      </c>
      <c r="AC293" s="2" t="inlineStr"/>
      <c r="AD293" t="n">
        <v>6000</v>
      </c>
      <c r="AE293" t="n">
        <v>0</v>
      </c>
      <c r="AF293" t="inlineStr">
        <is>
          <t>Скидка добавлена к налоговой базе</t>
        </is>
      </c>
      <c r="AG293" t="n">
        <v>37500</v>
      </c>
      <c r="AH293" t="n">
        <v>31500</v>
      </c>
      <c r="AI293" t="inlineStr">
        <is>
          <t>Полное проживание в выбранном периоде</t>
        </is>
      </c>
    </row>
    <row r="294">
      <c r="A294" t="inlineStr">
        <is>
          <t>20260804-8186-452574889</t>
        </is>
      </c>
      <c r="B294" t="n">
        <v>1</v>
      </c>
      <c r="C294" s="2" t="inlineStr">
        <is>
          <t>Татьяна Слезко, Анна Максимова</t>
        </is>
      </c>
      <c r="D294" s="3" t="n">
        <v>26286.15</v>
      </c>
      <c r="E294" s="4" t="n">
        <v>4</v>
      </c>
      <c r="F294" t="inlineStr">
        <is>
          <t>TravelLine Booking Engine [Чайковский]</t>
        </is>
      </c>
      <c r="G294" s="3">
        <f>ROUND(D294/(100-E294)*100,2)</f>
        <v/>
      </c>
      <c r="H294" s="3" t="n">
        <v>90</v>
      </c>
      <c r="I294" s="3">
        <f>ROUND(IF(ISNUMBER(AG294),AG294,G294)+H294,2)</f>
        <v/>
      </c>
      <c r="J294" s="2" t="inlineStr">
        <is>
          <t>продление номера — 90,00 ₽; Завтрак "Шведский стол"</t>
        </is>
      </c>
      <c r="K294" s="5" t="n">
        <v>46238.58333333334</v>
      </c>
      <c r="L294" t="n">
        <v>2</v>
      </c>
      <c r="M294" s="3">
        <f>I294/L294</f>
        <v/>
      </c>
      <c r="N294">
        <f>IF(M294&gt;=5100,"ставка","мин.ставка")</f>
        <v/>
      </c>
      <c r="O294" s="3">
        <f>ROUND(IF(N294="мин.ставка",L294*100,I294/102*2),2)</f>
        <v/>
      </c>
      <c r="P294" s="5" t="n">
        <v>46240.5</v>
      </c>
      <c r="Q294" t="inlineStr">
        <is>
          <t>TravelLine сайт</t>
        </is>
      </c>
      <c r="R294" s="2" t="inlineStr">
        <is>
          <t>СТАНДАРТНЫЙ ДВУХМЕСТНЫЙ НОМЕР</t>
        </is>
      </c>
      <c r="S294" t="n">
        <v>52</v>
      </c>
      <c r="T294" t="n">
        <v>2</v>
      </c>
      <c r="U294" t="inlineStr"/>
      <c r="V294" t="inlineStr">
        <is>
          <t>Тариф с завтраком</t>
        </is>
      </c>
      <c r="W294" t="n">
        <v>26376.15</v>
      </c>
      <c r="X294" s="3" t="n">
        <v>413.85</v>
      </c>
      <c r="Y294" t="inlineStr">
        <is>
          <t>3.1%</t>
        </is>
      </c>
      <c r="Z294" t="inlineStr">
        <is>
          <t>2026-08-04</t>
        </is>
      </c>
      <c r="AA294" s="3" t="n">
        <v>26286.15</v>
      </c>
      <c r="AB294" t="inlineStr">
        <is>
          <t>Сошлось с услугами</t>
        </is>
      </c>
      <c r="AC294" s="2" t="inlineStr"/>
      <c r="AD294" t="n">
        <v>413.85</v>
      </c>
      <c r="AE294" t="n">
        <v>0</v>
      </c>
      <c r="AF294" t="inlineStr">
        <is>
          <t>Скидка добавлена к налоговой базе</t>
        </is>
      </c>
      <c r="AG294" t="n">
        <v>26700</v>
      </c>
      <c r="AH294" t="n">
        <v>26286.15</v>
      </c>
      <c r="AI294" t="inlineStr">
        <is>
          <t>Полное проживание в выбранном периоде</t>
        </is>
      </c>
    </row>
    <row r="295">
      <c r="A295" t="inlineStr">
        <is>
          <t>20260911-8186-464105054</t>
        </is>
      </c>
      <c r="B295" t="n">
        <v>1</v>
      </c>
      <c r="C295" s="2" t="inlineStr">
        <is>
          <t>Уфук Кырмызыгедик, Полина Кырмызыгедик</t>
        </is>
      </c>
      <c r="D295" s="3" t="n">
        <v>11550</v>
      </c>
      <c r="E295" s="4" t="n">
        <v>18</v>
      </c>
      <c r="F295" t="inlineStr">
        <is>
          <t>Яндекс.Путешествия [Чайковский]</t>
        </is>
      </c>
      <c r="G295" s="3">
        <f>ROUND(D295/(100-E295)*100,2)</f>
        <v/>
      </c>
      <c r="H295" s="3" t="n">
        <v>0</v>
      </c>
      <c r="I295" s="3">
        <f>ROUND(IF(ISNUMBER(AG295),AG295,G295)+H295,2)</f>
        <v/>
      </c>
      <c r="J295" s="2" t="inlineStr">
        <is>
          <t>Завтрак "Шведский стол"</t>
        </is>
      </c>
      <c r="K295" s="5" t="n">
        <v>46276.58333333334</v>
      </c>
      <c r="L295" t="n">
        <v>1</v>
      </c>
      <c r="M295" s="3">
        <f>I295/L295</f>
        <v/>
      </c>
      <c r="N295">
        <f>IF(M295&gt;=5100,"ставка","мин.ставка")</f>
        <v/>
      </c>
      <c r="O295" s="3">
        <f>ROUND(IF(N295="мин.ставка",L295*100,I295/102*2),2)</f>
        <v/>
      </c>
      <c r="P295" s="5" t="n">
        <v>46277.5</v>
      </c>
      <c r="Q295" t="inlineStr">
        <is>
          <t>TravelLine YAX</t>
        </is>
      </c>
      <c r="R295" s="2" t="inlineStr">
        <is>
          <t>УЛУЧШЕННЫЙ ДВУХМЕСТНЫЙ НОМЕР</t>
        </is>
      </c>
      <c r="S295" t="n">
        <v>56</v>
      </c>
      <c r="T295" t="n">
        <v>2</v>
      </c>
      <c r="U295" t="inlineStr"/>
      <c r="V295" t="inlineStr">
        <is>
          <t>Тариф с завтраком</t>
        </is>
      </c>
      <c r="W295" t="n">
        <v>11550</v>
      </c>
      <c r="X295" s="3" t="n">
        <v>0</v>
      </c>
      <c r="Y295" t="inlineStr"/>
      <c r="Z295" t="inlineStr"/>
      <c r="AA295" s="3" t="n">
        <v>11550</v>
      </c>
      <c r="AB295" t="inlineStr">
        <is>
          <t>Сошлось по ночным тарифам</t>
        </is>
      </c>
      <c r="AC295" s="2" t="inlineStr"/>
      <c r="AD295" t="n">
        <v>0</v>
      </c>
      <c r="AE295" t="n">
        <v>0</v>
      </c>
      <c r="AF295" t="inlineStr">
        <is>
          <t>Скидки нет</t>
        </is>
      </c>
      <c r="AG295" t="n">
        <v>11550</v>
      </c>
      <c r="AH295" t="n">
        <v>11550</v>
      </c>
      <c r="AI295" t="inlineStr">
        <is>
          <t>Полное проживание в выбранном периоде</t>
        </is>
      </c>
    </row>
    <row r="296">
      <c r="A296" t="inlineStr">
        <is>
          <t>20260930-8186-469709667</t>
        </is>
      </c>
      <c r="B296" t="n">
        <v>1</v>
      </c>
      <c r="C296" s="2" t="inlineStr">
        <is>
          <t>ШАШИН ШАШИН</t>
        </is>
      </c>
      <c r="D296" s="3" t="n">
        <v>13400</v>
      </c>
      <c r="E296" s="4" t="n">
        <v>0</v>
      </c>
      <c r="F296" t="inlineStr">
        <is>
          <t>Прямые бронирования (стойка) [Чайковский]</t>
        </is>
      </c>
      <c r="G296" s="3">
        <f>ROUND(D296/(100-E296)*100,2)</f>
        <v/>
      </c>
      <c r="H296" s="3" t="n">
        <v>0</v>
      </c>
      <c r="I296" s="3">
        <f>ROUND(IF(ISNUMBER(AG296),AG296,G296)+H296,2)</f>
        <v/>
      </c>
      <c r="J296" s="2" t="inlineStr">
        <is>
          <t>Завтрак "Шведский стол"</t>
        </is>
      </c>
      <c r="K296" s="5" t="n">
        <v>46295.58333333334</v>
      </c>
      <c r="L296" t="n">
        <v>1</v>
      </c>
      <c r="M296" s="3">
        <f>I296/L296</f>
        <v/>
      </c>
      <c r="N296">
        <f>IF(M296&gt;=5100,"ставка","мин.ставка")</f>
        <v/>
      </c>
      <c r="O296" s="3">
        <f>ROUND(IF(N296="мин.ставка",L296*100,I296/102*2),2)</f>
        <v/>
      </c>
      <c r="P296" s="5" t="n">
        <v>46296.5</v>
      </c>
      <c r="Q296" t="inlineStr">
        <is>
          <t>TravelLine ресепшен</t>
        </is>
      </c>
      <c r="R296" s="2" t="inlineStr">
        <is>
          <t>УЛУЧШЕННЫЙ ДВУХМЕСТНЫЙ НОМЕР</t>
        </is>
      </c>
      <c r="S296" t="n">
        <v>59</v>
      </c>
      <c r="T296" t="n">
        <v>2</v>
      </c>
      <c r="U296" t="inlineStr"/>
      <c r="V296" t="inlineStr">
        <is>
          <t>Тариф с завтраком</t>
        </is>
      </c>
      <c r="W296" t="n">
        <v>13400</v>
      </c>
      <c r="X296" s="3" t="n">
        <v>0</v>
      </c>
      <c r="Y296" t="inlineStr"/>
      <c r="Z296" t="inlineStr"/>
      <c r="AA296" s="3" t="n">
        <v>13400</v>
      </c>
      <c r="AB296" t="inlineStr">
        <is>
          <t>Сошлось по ночным тарифам</t>
        </is>
      </c>
      <c r="AC296" s="2" t="inlineStr"/>
      <c r="AD296" t="n">
        <v>0</v>
      </c>
      <c r="AE296" t="n">
        <v>0</v>
      </c>
      <c r="AF296" t="inlineStr">
        <is>
          <t>Скидки нет</t>
        </is>
      </c>
      <c r="AG296" t="n">
        <v>13400</v>
      </c>
      <c r="AH296" t="n">
        <v>13400</v>
      </c>
      <c r="AI296" t="inlineStr">
        <is>
          <t>Полное проживание в выбранном периоде</t>
        </is>
      </c>
    </row>
    <row r="297">
      <c r="A297" t="inlineStr">
        <is>
          <t>20260824-8186-458333110</t>
        </is>
      </c>
      <c r="B297" t="n">
        <v>1</v>
      </c>
      <c r="C297" s="2" t="inlineStr">
        <is>
          <t>Эдуард Исаков</t>
        </is>
      </c>
      <c r="D297" s="3" t="n">
        <v>27921</v>
      </c>
      <c r="E297" s="4" t="n">
        <v>18</v>
      </c>
      <c r="F297" t="inlineStr">
        <is>
          <t>ООО "Эй энд Эй" [Чайковский]</t>
        </is>
      </c>
      <c r="G297" s="3">
        <f>ROUND(D297/(100-E297)*100,2)</f>
        <v/>
      </c>
      <c r="H297" s="3" t="n">
        <v>0</v>
      </c>
      <c r="I297" s="3">
        <f>ROUND(IF(ISNUMBER(AG297),AG297,G297)+H297,2)</f>
        <v/>
      </c>
      <c r="J297" s="2" t="inlineStr">
        <is>
          <t>Завтрак "Шведский стол"</t>
        </is>
      </c>
      <c r="K297" s="5" t="n">
        <v>46258.58333333334</v>
      </c>
      <c r="L297" t="n">
        <v>3</v>
      </c>
      <c r="M297" s="3">
        <f>I297/L297</f>
        <v/>
      </c>
      <c r="N297">
        <f>IF(M297&gt;=5100,"ставка","мин.ставка")</f>
        <v/>
      </c>
      <c r="O297" s="3">
        <f>ROUND(IF(N297="мин.ставка",L297*100,I297/102*2),2)</f>
        <v/>
      </c>
      <c r="P297" s="5" t="n">
        <v>46261.5</v>
      </c>
      <c r="Q297" t="inlineStr">
        <is>
          <t>TravelLine ANA</t>
        </is>
      </c>
      <c r="R297" s="2" t="inlineStr">
        <is>
          <t>УЛУЧШЕННЫЙ ДВУХМЕСТНЫЙ НОМЕР</t>
        </is>
      </c>
      <c r="S297" t="n">
        <v>56</v>
      </c>
      <c r="T297" t="n">
        <v>2</v>
      </c>
      <c r="U297" t="inlineStr"/>
      <c r="V297" t="inlineStr">
        <is>
          <t>Тариф с завтраком</t>
        </is>
      </c>
      <c r="W297" t="n">
        <v>27921</v>
      </c>
      <c r="X297" s="3" t="n">
        <v>6129</v>
      </c>
      <c r="Y297" t="inlineStr">
        <is>
          <t>18%</t>
        </is>
      </c>
      <c r="Z297" t="inlineStr">
        <is>
          <t>2026-08-24, 2026-08-25, 2026-08-26</t>
        </is>
      </c>
      <c r="AA297" s="3" t="n">
        <v>27921</v>
      </c>
      <c r="AB297" t="inlineStr">
        <is>
          <t>Сошлось по ночным тарифам</t>
        </is>
      </c>
      <c r="AC297" s="2" t="inlineStr"/>
      <c r="AD297" t="n">
        <v>6129</v>
      </c>
      <c r="AE297" t="n">
        <v>0</v>
      </c>
      <c r="AF297" t="inlineStr">
        <is>
          <t>Скидка добавлена к налоговой базе</t>
        </is>
      </c>
      <c r="AG297" t="n">
        <v>34050</v>
      </c>
      <c r="AH297" t="n">
        <v>27921</v>
      </c>
      <c r="AI297" t="inlineStr">
        <is>
          <t>Полное проживание в выбранном периоде</t>
        </is>
      </c>
    </row>
    <row r="298">
      <c r="A298" t="inlineStr">
        <is>
          <t>20260815-8186-458412797</t>
        </is>
      </c>
      <c r="B298" t="n">
        <v>1</v>
      </c>
      <c r="C298" s="2" t="inlineStr">
        <is>
          <t>Юлия Болгова</t>
        </is>
      </c>
      <c r="D298" s="3" t="n">
        <v>9960</v>
      </c>
      <c r="E298" s="4" t="n">
        <v>20</v>
      </c>
      <c r="F298" t="inlineStr">
        <is>
          <t>ООО «Дубль Гис» (OTELLO) [Чайковский]</t>
        </is>
      </c>
      <c r="G298" s="3">
        <f>ROUND(D298/(100-E298)*100,2)</f>
        <v/>
      </c>
      <c r="H298" s="3" t="n">
        <v>0</v>
      </c>
      <c r="I298" s="3">
        <f>ROUND(IF(ISNUMBER(AG298),AG298,G298)+H298,2)</f>
        <v/>
      </c>
      <c r="J298" s="2" t="inlineStr">
        <is>
          <t>Завтрак "Шведский стол"</t>
        </is>
      </c>
      <c r="K298" s="5" t="n">
        <v>46249.58333333334</v>
      </c>
      <c r="L298" t="n">
        <v>1</v>
      </c>
      <c r="M298" s="3">
        <f>I298/L298</f>
        <v/>
      </c>
      <c r="N298">
        <f>IF(M298&gt;=5100,"ставка","мин.ставка")</f>
        <v/>
      </c>
      <c r="O298" s="3">
        <f>ROUND(IF(N298="мин.ставка",L298*100,I298/102*2),2)</f>
        <v/>
      </c>
      <c r="P298" s="5" t="n">
        <v>46250.58333333334</v>
      </c>
      <c r="Q298" t="inlineStr">
        <is>
          <t>TravelLine OL2</t>
        </is>
      </c>
      <c r="R298" s="2" t="inlineStr">
        <is>
          <t>СЕМЕЙНЫЙ НОМЕР КАТЕГОРИИ "СТАНДАРТ" ВТОРОЙ КОРПУС</t>
        </is>
      </c>
      <c r="S298" t="n">
        <v>51</v>
      </c>
      <c r="T298" t="n">
        <v>2</v>
      </c>
      <c r="U298" t="inlineStr"/>
      <c r="V298" t="inlineStr">
        <is>
          <t>Тариф с завтраком</t>
        </is>
      </c>
      <c r="W298" t="n">
        <v>29880</v>
      </c>
      <c r="X298" s="3" t="n">
        <v>2490</v>
      </c>
      <c r="Y298" t="inlineStr">
        <is>
          <t>20%</t>
        </is>
      </c>
      <c r="Z298" t="inlineStr">
        <is>
          <t>2026-08-15</t>
        </is>
      </c>
      <c r="AA298" s="3" t="n">
        <v>9960</v>
      </c>
      <c r="AB298" t="inlineStr">
        <is>
          <t>Сошлось по ночным тарифам</t>
        </is>
      </c>
      <c r="AC298" s="2" t="inlineStr"/>
      <c r="AD298" t="n">
        <v>2490</v>
      </c>
      <c r="AE298" t="n">
        <v>0</v>
      </c>
      <c r="AF298" t="inlineStr">
        <is>
          <t>Скидка добавлена к налоговой базе</t>
        </is>
      </c>
      <c r="AG298" t="n">
        <v>12450</v>
      </c>
      <c r="AH298" t="n">
        <v>9960</v>
      </c>
      <c r="AI298" t="inlineStr">
        <is>
          <t>Полное проживание в выбранном периоде</t>
        </is>
      </c>
    </row>
    <row r="299">
      <c r="A299" t="inlineStr">
        <is>
          <t>20260815-8186-458412797</t>
        </is>
      </c>
      <c r="B299" t="n">
        <v>1</v>
      </c>
      <c r="C299" s="2" t="inlineStr">
        <is>
          <t>Юлия Болгова</t>
        </is>
      </c>
      <c r="D299" s="3" t="n">
        <v>19920</v>
      </c>
      <c r="E299" s="4" t="n">
        <v>20</v>
      </c>
      <c r="F299" t="inlineStr">
        <is>
          <t>ООО «Дубль Гис» (OTELLO) [Чайковский]</t>
        </is>
      </c>
      <c r="G299" s="3">
        <f>ROUND(D299/(100-E299)*100,2)</f>
        <v/>
      </c>
      <c r="H299" s="3" t="n">
        <v>0</v>
      </c>
      <c r="I299" s="3">
        <f>ROUND(IF(ISNUMBER(AG299),AG299,G299)+H299,2)</f>
        <v/>
      </c>
      <c r="J299" s="2" t="inlineStr">
        <is>
          <t>Завтрак "Шведский стол"</t>
        </is>
      </c>
      <c r="K299" s="5" t="n">
        <v>46250.58333333334</v>
      </c>
      <c r="L299" t="n">
        <v>2</v>
      </c>
      <c r="M299" s="3">
        <f>I299/L299</f>
        <v/>
      </c>
      <c r="N299">
        <f>IF(M299&gt;=5100,"ставка","мин.ставка")</f>
        <v/>
      </c>
      <c r="O299" s="3">
        <f>ROUND(IF(N299="мин.ставка",L299*100,I299/102*2),2)</f>
        <v/>
      </c>
      <c r="P299" s="5" t="n">
        <v>46252.5</v>
      </c>
      <c r="Q299" t="inlineStr">
        <is>
          <t>TravelLine OL2</t>
        </is>
      </c>
      <c r="R299" s="2" t="inlineStr">
        <is>
          <t>СЕМЕЙНЫЙ НОМЕР КАТЕГОРИИ "СТАНДАРТ" ВТОРОЙ КОРПУС</t>
        </is>
      </c>
      <c r="S299" t="n">
        <v>50</v>
      </c>
      <c r="T299" t="n">
        <v>2</v>
      </c>
      <c r="U299" t="inlineStr"/>
      <c r="V299" t="inlineStr">
        <is>
          <t>Тариф с завтраком</t>
        </is>
      </c>
      <c r="W299" t="n">
        <v>29880</v>
      </c>
      <c r="X299" s="3" t="n">
        <v>4980</v>
      </c>
      <c r="Y299" t="inlineStr">
        <is>
          <t>20%</t>
        </is>
      </c>
      <c r="Z299" t="inlineStr">
        <is>
          <t>2026-08-16, 2026-08-17</t>
        </is>
      </c>
      <c r="AA299" s="3" t="n">
        <v>19920</v>
      </c>
      <c r="AB299" t="inlineStr">
        <is>
          <t>Сошлось по ночным тарифам</t>
        </is>
      </c>
      <c r="AC299" s="2" t="inlineStr"/>
      <c r="AD299" t="n">
        <v>4980</v>
      </c>
      <c r="AE299" t="n">
        <v>0</v>
      </c>
      <c r="AF299" t="inlineStr">
        <is>
          <t>Скидка добавлена к налоговой базе</t>
        </is>
      </c>
      <c r="AG299" t="n">
        <v>24900</v>
      </c>
      <c r="AH299" t="n">
        <v>19920</v>
      </c>
      <c r="AI299" t="inlineStr">
        <is>
          <t>Полное проживание в выбранном периоде</t>
        </is>
      </c>
    </row>
    <row r="300">
      <c r="A300" t="inlineStr">
        <is>
          <t>20260706-8186-446293807</t>
        </is>
      </c>
      <c r="B300" t="n">
        <v>1</v>
      </c>
      <c r="C300" s="2" t="inlineStr">
        <is>
          <t>Юлия Ковалева</t>
        </is>
      </c>
      <c r="D300" s="3" t="n">
        <v>30000</v>
      </c>
      <c r="E300" s="4" t="n">
        <v>0</v>
      </c>
      <c r="F300" t="inlineStr">
        <is>
          <t>Прямые бронирования (стойка) [Чайковский]</t>
        </is>
      </c>
      <c r="G300" s="3">
        <f>ROUND(D300/(100-E300)*100,2)</f>
        <v/>
      </c>
      <c r="H300" s="3" t="n">
        <v>0</v>
      </c>
      <c r="I300" s="3">
        <f>ROUND(IF(ISNUMBER(AG300),AG300,G300)+H300,2)</f>
        <v/>
      </c>
      <c r="J300" s="2" t="inlineStr">
        <is>
          <t>Завтрак "Шведский стол"</t>
        </is>
      </c>
      <c r="K300" s="5" t="n">
        <v>46209.58333333334</v>
      </c>
      <c r="L300" t="n">
        <v>2</v>
      </c>
      <c r="M300" s="3">
        <f>I300/L300</f>
        <v/>
      </c>
      <c r="N300">
        <f>IF(M300&gt;=5100,"ставка","мин.ставка")</f>
        <v/>
      </c>
      <c r="O300" s="3">
        <f>ROUND(IF(N300="мин.ставка",L300*100,I300/102*2),2)</f>
        <v/>
      </c>
      <c r="P300" s="5" t="n">
        <v>46211.5</v>
      </c>
      <c r="Q300" t="inlineStr">
        <is>
          <t>TravelLine ресепшен</t>
        </is>
      </c>
      <c r="R300" s="2" t="inlineStr">
        <is>
          <t>СТАНДАРТНЫЙ ДВУХМЕСТНЫЙ НОМЕР</t>
        </is>
      </c>
      <c r="S300" t="n">
        <v>58</v>
      </c>
      <c r="T300" t="n">
        <v>2</v>
      </c>
      <c r="U300" t="inlineStr"/>
      <c r="V300" t="inlineStr">
        <is>
          <t>Тариф с завтраком</t>
        </is>
      </c>
      <c r="W300" t="n">
        <v>30000</v>
      </c>
      <c r="X300" s="3" t="n">
        <v>0</v>
      </c>
      <c r="Y300" t="inlineStr"/>
      <c r="Z300" t="inlineStr"/>
      <c r="AA300" s="3" t="n">
        <v>30000</v>
      </c>
      <c r="AB300" t="inlineStr">
        <is>
          <t>Сошлось по ночным тарифам</t>
        </is>
      </c>
      <c r="AC300" s="2" t="inlineStr"/>
      <c r="AD300" t="n">
        <v>0</v>
      </c>
      <c r="AE300" t="n">
        <v>0</v>
      </c>
      <c r="AF300" t="inlineStr">
        <is>
          <t>Скидки нет</t>
        </is>
      </c>
      <c r="AG300" t="n">
        <v>30000</v>
      </c>
      <c r="AH300" t="n">
        <v>30000</v>
      </c>
      <c r="AI300" t="inlineStr">
        <is>
          <t>Полное проживание в выбранном периоде</t>
        </is>
      </c>
    </row>
    <row r="301">
      <c r="A301" t="inlineStr">
        <is>
          <t>20260729-8186-451924244</t>
        </is>
      </c>
      <c r="B301" t="n">
        <v>1</v>
      </c>
      <c r="C301" s="2" t="inlineStr">
        <is>
          <t>ЮЛИЯ КУЗИЧЕВА, Александр Кузичев</t>
        </is>
      </c>
      <c r="D301" s="3" t="n">
        <v>61122.6</v>
      </c>
      <c r="E301" s="4" t="n">
        <v>4</v>
      </c>
      <c r="F301" t="inlineStr">
        <is>
          <t>TravelLine Booking Engine [Чайковский]</t>
        </is>
      </c>
      <c r="G301" s="3">
        <f>ROUND(D301/(100-E301)*100,2)</f>
        <v/>
      </c>
      <c r="H301" s="3" t="n">
        <v>0</v>
      </c>
      <c r="I301" s="3">
        <f>ROUND(IF(ISNUMBER(AG301),AG301,G301)+H301,2)</f>
        <v/>
      </c>
      <c r="J301" s="2" t="inlineStr">
        <is>
          <t>Завтрак "Шведский стол"</t>
        </is>
      </c>
      <c r="K301" s="5" t="n">
        <v>46232.85416666666</v>
      </c>
      <c r="L301" t="n">
        <v>4</v>
      </c>
      <c r="M301" s="3">
        <f>I301/L301</f>
        <v/>
      </c>
      <c r="N301">
        <f>IF(M301&gt;=5100,"ставка","мин.ставка")</f>
        <v/>
      </c>
      <c r="O301" s="3">
        <f>ROUND(IF(N301="мин.ставка",L301*100,I301/102*2),2)</f>
        <v/>
      </c>
      <c r="P301" s="5" t="n">
        <v>46236.5</v>
      </c>
      <c r="Q301" t="inlineStr">
        <is>
          <t>TravelLine сайт</t>
        </is>
      </c>
      <c r="R301" s="2" t="inlineStr">
        <is>
          <t>УЛУЧШЕННЫЙ ДВУХМЕСТНЫЙ НОМЕР</t>
        </is>
      </c>
      <c r="S301" t="n">
        <v>56</v>
      </c>
      <c r="T301" t="n">
        <v>2</v>
      </c>
      <c r="U301" t="inlineStr"/>
      <c r="V301" t="inlineStr">
        <is>
          <t>Тариф с завтраком</t>
        </is>
      </c>
      <c r="W301" t="n">
        <v>61122.6</v>
      </c>
      <c r="X301" s="3" t="n">
        <v>477.4</v>
      </c>
      <c r="Y301" t="inlineStr">
        <is>
          <t>3.1%</t>
        </is>
      </c>
      <c r="Z301" t="inlineStr">
        <is>
          <t>2026-07-29</t>
        </is>
      </c>
      <c r="AA301" s="3" t="n">
        <v>61122.6</v>
      </c>
      <c r="AB301" t="inlineStr">
        <is>
          <t>Сошлось по ночным тарифам</t>
        </is>
      </c>
      <c r="AC301" s="2" t="inlineStr"/>
      <c r="AD301" t="n">
        <v>477.4</v>
      </c>
      <c r="AE301" t="n">
        <v>0</v>
      </c>
      <c r="AF301" t="inlineStr">
        <is>
          <t>Скидка добавлена к налоговой базе</t>
        </is>
      </c>
      <c r="AG301" t="n">
        <v>61600</v>
      </c>
      <c r="AH301" t="n">
        <v>61122.6</v>
      </c>
      <c r="AI301" t="inlineStr">
        <is>
          <t>Полное проживание в выбранном периоде</t>
        </is>
      </c>
    </row>
    <row r="302">
      <c r="A302" t="inlineStr">
        <is>
          <t>20260717-8186-442283023</t>
        </is>
      </c>
      <c r="B302" t="n">
        <v>1</v>
      </c>
      <c r="C302" s="2" t="inlineStr">
        <is>
          <t>Юлия Кускова, Павел Трегуб</t>
        </is>
      </c>
      <c r="D302" s="3" t="n">
        <v>32040</v>
      </c>
      <c r="E302" s="4" t="n">
        <v>18</v>
      </c>
      <c r="F302" t="inlineStr">
        <is>
          <t>Яндекс.Путешествия [Чайковский]</t>
        </is>
      </c>
      <c r="G302" s="3">
        <f>ROUND(D302/(100-E302)*100,2)</f>
        <v/>
      </c>
      <c r="H302" s="3" t="n">
        <v>0</v>
      </c>
      <c r="I302" s="3">
        <f>ROUND(IF(ISNUMBER(AG302),AG302,G302)+H302,2)</f>
        <v/>
      </c>
      <c r="J302" s="2" t="inlineStr">
        <is>
          <t>Завтрак "Шведский стол"</t>
        </is>
      </c>
      <c r="K302" s="5" t="n">
        <v>46220.58333333334</v>
      </c>
      <c r="L302" t="n">
        <v>3</v>
      </c>
      <c r="M302" s="3">
        <f>I302/L302</f>
        <v/>
      </c>
      <c r="N302">
        <f>IF(M302&gt;=5100,"ставка","мин.ставка")</f>
        <v/>
      </c>
      <c r="O302" s="3">
        <f>ROUND(IF(N302="мин.ставка",L302*100,I302/102*2),2)</f>
        <v/>
      </c>
      <c r="P302" s="5" t="n">
        <v>46223.5</v>
      </c>
      <c r="Q302" t="inlineStr">
        <is>
          <t>TravelLine YAX</t>
        </is>
      </c>
      <c r="R302" s="2" t="inlineStr">
        <is>
          <t>СТАНДАРТНЫЙ ДВУХМЕСТНЫЙ НОМЕР</t>
        </is>
      </c>
      <c r="S302" t="n">
        <v>52</v>
      </c>
      <c r="T302" t="n">
        <v>2</v>
      </c>
      <c r="U302" t="inlineStr"/>
      <c r="V302" t="inlineStr">
        <is>
          <t>Тариф с завтраком</t>
        </is>
      </c>
      <c r="W302" t="n">
        <v>32040</v>
      </c>
      <c r="X302" s="3" t="n">
        <v>8010</v>
      </c>
      <c r="Y302" t="inlineStr">
        <is>
          <t>20%</t>
        </is>
      </c>
      <c r="Z302" t="inlineStr">
        <is>
          <t>2026-07-17, 2026-07-18, 2026-07-19</t>
        </is>
      </c>
      <c r="AA302" s="3" t="n">
        <v>32040</v>
      </c>
      <c r="AB302" t="inlineStr">
        <is>
          <t>Сошлось по ночным тарифам</t>
        </is>
      </c>
      <c r="AC302" s="2" t="inlineStr"/>
      <c r="AD302" t="n">
        <v>8010</v>
      </c>
      <c r="AE302" t="n">
        <v>0</v>
      </c>
      <c r="AF302" t="inlineStr">
        <is>
          <t>Скидка добавлена к налоговой базе</t>
        </is>
      </c>
      <c r="AG302" t="n">
        <v>40050</v>
      </c>
      <c r="AH302" t="n">
        <v>32040</v>
      </c>
      <c r="AI302" t="inlineStr">
        <is>
          <t>Полное проживание в выбранном периоде</t>
        </is>
      </c>
    </row>
    <row r="303">
      <c r="A303" t="inlineStr">
        <is>
          <t>20260919-8186-466759616</t>
        </is>
      </c>
      <c r="B303" t="n">
        <v>1</v>
      </c>
      <c r="C303" s="2" t="inlineStr">
        <is>
          <t>ЮЛИЯ ЛЕУТИНА, НИКИТА ЛЕУТИН</t>
        </is>
      </c>
      <c r="D303" s="3" t="n">
        <v>11214</v>
      </c>
      <c r="E303" s="4" t="n">
        <v>16</v>
      </c>
      <c r="F303" t="inlineStr">
        <is>
          <t>ООО "БРОНИРОВАНИЕ ГОСТИНИЦ" (OSTROVOK) [Чайковский]</t>
        </is>
      </c>
      <c r="G303" s="3">
        <f>ROUND(D303/(100-E303)*100,2)</f>
        <v/>
      </c>
      <c r="H303" s="3" t="n">
        <v>0</v>
      </c>
      <c r="I303" s="3">
        <f>ROUND(IF(ISNUMBER(AG303),AG303,G303)+H303,2)</f>
        <v/>
      </c>
      <c r="J303" s="2" t="inlineStr">
        <is>
          <t>Завтрак "Шведский стол"</t>
        </is>
      </c>
      <c r="K303" s="5" t="n">
        <v>46284.58333333334</v>
      </c>
      <c r="L303" t="n">
        <v>1</v>
      </c>
      <c r="M303" s="3">
        <f>I303/L303</f>
        <v/>
      </c>
      <c r="N303">
        <f>IF(M303&gt;=5100,"ставка","мин.ставка")</f>
        <v/>
      </c>
      <c r="O303" s="3">
        <f>ROUND(IF(N303="мин.ставка",L303*100,I303/102*2),2)</f>
        <v/>
      </c>
      <c r="P303" s="5" t="n">
        <v>46285.5</v>
      </c>
      <c r="Q303" t="inlineStr">
        <is>
          <t>TravelLine OTK</t>
        </is>
      </c>
      <c r="R303" s="2" t="inlineStr">
        <is>
          <t>СТАНДАРТНЫЙ ДВУХМЕСТНЫЙ НОМЕР</t>
        </is>
      </c>
      <c r="S303" t="n">
        <v>58</v>
      </c>
      <c r="T303" t="n">
        <v>2</v>
      </c>
      <c r="U303" t="inlineStr"/>
      <c r="V303" t="inlineStr">
        <is>
          <t>Тариф с завтраком</t>
        </is>
      </c>
      <c r="W303" t="n">
        <v>31962</v>
      </c>
      <c r="X303" s="3" t="n">
        <v>2136</v>
      </c>
      <c r="Y303" t="inlineStr">
        <is>
          <t>16%</t>
        </is>
      </c>
      <c r="Z303" t="inlineStr">
        <is>
          <t>2026-09-19</t>
        </is>
      </c>
      <c r="AA303" s="3" t="n">
        <v>11214</v>
      </c>
      <c r="AB303" t="inlineStr">
        <is>
          <t>Сошлось по ночным тарифам</t>
        </is>
      </c>
      <c r="AC303" s="2" t="inlineStr"/>
      <c r="AD303" t="n">
        <v>2136</v>
      </c>
      <c r="AE303" t="n">
        <v>0</v>
      </c>
      <c r="AF303" t="inlineStr">
        <is>
          <t>Скидка добавлена к налоговой базе</t>
        </is>
      </c>
      <c r="AG303" t="n">
        <v>13350</v>
      </c>
      <c r="AH303" t="n">
        <v>11214</v>
      </c>
      <c r="AI303" t="inlineStr">
        <is>
          <t>Полное проживание в выбранном периоде</t>
        </is>
      </c>
    </row>
    <row r="304">
      <c r="A304" t="inlineStr">
        <is>
          <t>20260705-8186-447705881</t>
        </is>
      </c>
      <c r="B304" t="n">
        <v>1</v>
      </c>
      <c r="C304" s="2" t="inlineStr">
        <is>
          <t>ЮЛИЯ МЕДВЕДЕВА, МАРИЯ МЕДВЕДЕВА</t>
        </is>
      </c>
      <c r="D304" s="3" t="n">
        <v>6247.5</v>
      </c>
      <c r="E304" s="4" t="n">
        <v>15</v>
      </c>
      <c r="F304" t="inlineStr">
        <is>
          <t>ООО "БРОНИРОВАНИЕ ГОСТИНИЦ" (OSTROVOK) [Чайковский]</t>
        </is>
      </c>
      <c r="G304" s="3">
        <f>ROUND(D304/(100-E304)*100,2)</f>
        <v/>
      </c>
      <c r="H304" s="3" t="n">
        <v>0</v>
      </c>
      <c r="I304" s="3">
        <f>ROUND(IF(ISNUMBER(AG304),AG304,G304)+H304,2)</f>
        <v/>
      </c>
      <c r="J304" s="2" t="inlineStr"/>
      <c r="K304" s="5" t="n">
        <v>46208.58333333334</v>
      </c>
      <c r="L304" t="n">
        <v>1</v>
      </c>
      <c r="M304" s="3">
        <f>I304/L304</f>
        <v/>
      </c>
      <c r="N304">
        <f>IF(M304&gt;=5100,"ставка","мин.ставка")</f>
        <v/>
      </c>
      <c r="O304" s="3">
        <f>ROUND(IF(N304="мин.ставка",L304*100,I304/102*2),2)</f>
        <v/>
      </c>
      <c r="P304" s="5" t="n">
        <v>46209.5</v>
      </c>
      <c r="Q304" t="inlineStr">
        <is>
          <t>TravelLine OTK</t>
        </is>
      </c>
      <c r="R304" s="2" t="inlineStr">
        <is>
          <t>СЕМЕЙНЫЙ НОМЕР КАТЕГОРИИ "СТАНДАРТ" ВТОРОЙ КОРПУС</t>
        </is>
      </c>
      <c r="S304" t="n">
        <v>50</v>
      </c>
      <c r="T304" t="n">
        <v>2</v>
      </c>
      <c r="U304" t="inlineStr"/>
      <c r="V304" t="inlineStr">
        <is>
          <t>Основной тариф без завтрака</t>
        </is>
      </c>
      <c r="W304" t="n">
        <v>6247.5</v>
      </c>
      <c r="X304" s="3" t="n">
        <v>1102.5</v>
      </c>
      <c r="Y304" t="inlineStr">
        <is>
          <t>15%</t>
        </is>
      </c>
      <c r="Z304" t="inlineStr">
        <is>
          <t>2026-07-05</t>
        </is>
      </c>
      <c r="AA304" s="3" t="n">
        <v>6247.5</v>
      </c>
      <c r="AB304" t="inlineStr">
        <is>
          <t>Сошлось по ночным тарифам</t>
        </is>
      </c>
      <c r="AC304" s="2" t="inlineStr"/>
      <c r="AD304" t="n">
        <v>1102.5</v>
      </c>
      <c r="AE304" t="n">
        <v>0</v>
      </c>
      <c r="AF304" t="inlineStr">
        <is>
          <t>Скидка добавлена к налоговой базе</t>
        </is>
      </c>
      <c r="AG304" t="n">
        <v>7350</v>
      </c>
      <c r="AH304" t="n">
        <v>6247.5</v>
      </c>
      <c r="AI304" t="inlineStr">
        <is>
          <t>Полное проживание в выбранном периоде</t>
        </is>
      </c>
    </row>
    <row r="305">
      <c r="A305" t="inlineStr">
        <is>
          <t>20260903-8186-463521602</t>
        </is>
      </c>
      <c r="B305" t="n">
        <v>1</v>
      </c>
      <c r="C305" s="2" t="inlineStr">
        <is>
          <t>ЮРИЙ БОРИСЕНКО, НАТАЛИЯ БУРЦЕВА</t>
        </is>
      </c>
      <c r="D305" s="3" t="n">
        <v>12138</v>
      </c>
      <c r="E305" s="4" t="n">
        <v>16</v>
      </c>
      <c r="F305" t="inlineStr">
        <is>
          <t>ООО "БРОНИРОВАНИЕ ГОСТИНИЦ" (OSTROVOK) [Чайковский]</t>
        </is>
      </c>
      <c r="G305" s="3">
        <f>ROUND(D305/(100-E305)*100,2)</f>
        <v/>
      </c>
      <c r="H305" s="3" t="n">
        <v>0</v>
      </c>
      <c r="I305" s="3">
        <f>ROUND(IF(ISNUMBER(AG305),AG305,G305)+H305,2)</f>
        <v/>
      </c>
      <c r="J305" s="2" t="inlineStr">
        <is>
          <t>Завтрак "Шведский стол"</t>
        </is>
      </c>
      <c r="K305" s="5" t="n">
        <v>46268.58333333334</v>
      </c>
      <c r="L305" t="n">
        <v>1</v>
      </c>
      <c r="M305" s="3">
        <f>I305/L305</f>
        <v/>
      </c>
      <c r="N305">
        <f>IF(M305&gt;=5100,"ставка","мин.ставка")</f>
        <v/>
      </c>
      <c r="O305" s="3">
        <f>ROUND(IF(N305="мин.ставка",L305*100,I305/102*2),2)</f>
        <v/>
      </c>
      <c r="P305" s="5" t="n">
        <v>46269.5</v>
      </c>
      <c r="Q305" t="inlineStr">
        <is>
          <t>TravelLine OTK</t>
        </is>
      </c>
      <c r="R305" s="2" t="inlineStr">
        <is>
          <t>СЕМЕЙНЫЙ НОМЕР КАТЕГОРИИ "СТАНДАРТ" ВТОРОЙ КОРПУС</t>
        </is>
      </c>
      <c r="S305" t="n">
        <v>51</v>
      </c>
      <c r="T305" t="n">
        <v>2</v>
      </c>
      <c r="U305" t="inlineStr"/>
      <c r="V305" t="inlineStr">
        <is>
          <t>Тариф с завтраком</t>
        </is>
      </c>
      <c r="W305" t="n">
        <v>12138</v>
      </c>
      <c r="X305" s="3" t="n">
        <v>2312</v>
      </c>
      <c r="Y305" t="inlineStr">
        <is>
          <t>16%</t>
        </is>
      </c>
      <c r="Z305" t="inlineStr">
        <is>
          <t>2026-09-03</t>
        </is>
      </c>
      <c r="AA305" s="3" t="n">
        <v>12138</v>
      </c>
      <c r="AB305" t="inlineStr">
        <is>
          <t>Сошлось по ночным тарифам</t>
        </is>
      </c>
      <c r="AC305" s="2" t="inlineStr"/>
      <c r="AD305" t="n">
        <v>2312</v>
      </c>
      <c r="AE305" t="n">
        <v>0</v>
      </c>
      <c r="AF305" t="inlineStr">
        <is>
          <t>Скидка добавлена к налоговой базе</t>
        </is>
      </c>
      <c r="AG305" t="n">
        <v>14450</v>
      </c>
      <c r="AH305" t="n">
        <v>12138</v>
      </c>
      <c r="AI305" t="inlineStr">
        <is>
          <t>Полное проживание в выбранном периоде</t>
        </is>
      </c>
    </row>
    <row r="306">
      <c r="A306" t="inlineStr">
        <is>
          <t>20260811-8186-417991409</t>
        </is>
      </c>
      <c r="B306" t="n">
        <v>1</v>
      </c>
      <c r="C306" s="2" t="inlineStr">
        <is>
          <t>Юрий Губарев, СВЕТЛАНА ГУБАРЕВА</t>
        </is>
      </c>
      <c r="D306" s="3" t="n">
        <v>170880</v>
      </c>
      <c r="E306" s="4" t="n">
        <v>0</v>
      </c>
      <c r="F306" t="inlineStr">
        <is>
          <t>Прямые бронирования (стойка) [Чайковский]</t>
        </is>
      </c>
      <c r="G306" s="3">
        <f>ROUND(D306/(100-E306)*100,2)</f>
        <v/>
      </c>
      <c r="H306" s="3" t="n">
        <v>0</v>
      </c>
      <c r="I306" s="3">
        <f>ROUND(IF(ISNUMBER(AG306),AG306,G306)+H306,2)</f>
        <v/>
      </c>
      <c r="J306" s="2" t="inlineStr">
        <is>
          <t>Завтрак "Шведский стол"</t>
        </is>
      </c>
      <c r="K306" s="5" t="n">
        <v>46245.58333333334</v>
      </c>
      <c r="L306" t="n">
        <v>12</v>
      </c>
      <c r="M306" s="3">
        <f>I306/L306</f>
        <v/>
      </c>
      <c r="N306">
        <f>IF(M306&gt;=5100,"ставка","мин.ставка")</f>
        <v/>
      </c>
      <c r="O306" s="3">
        <f>ROUND(IF(N306="мин.ставка",L306*100,I306/102*2),2)</f>
        <v/>
      </c>
      <c r="P306" s="5" t="n">
        <v>46257.5</v>
      </c>
      <c r="Q306" t="inlineStr">
        <is>
          <t>TravelLine ресепшен</t>
        </is>
      </c>
      <c r="R306" s="2" t="inlineStr">
        <is>
          <t>ЛЮКС</t>
        </is>
      </c>
      <c r="S306" t="n">
        <v>57</v>
      </c>
      <c r="T306" t="n">
        <v>2</v>
      </c>
      <c r="U306" t="inlineStr"/>
      <c r="V306" t="inlineStr">
        <is>
          <t>Тариф с завтраком</t>
        </is>
      </c>
      <c r="W306" t="n">
        <v>170880</v>
      </c>
      <c r="X306" s="3" t="n">
        <v>42720</v>
      </c>
      <c r="Y306" t="inlineStr">
        <is>
          <t>20%</t>
        </is>
      </c>
      <c r="Z306" t="inlineStr">
        <is>
          <t>2026-08-11, 2026-08-12, 2026-08-13, 2026-08-14, 2026-08-15, 2026-08-16, 2026-08-17, 2026-08-18, 2026-08-19, 2026-08-20, 2026-08-21, 2026-08-22</t>
        </is>
      </c>
      <c r="AA306" s="3" t="n">
        <v>170880</v>
      </c>
      <c r="AB306" t="inlineStr">
        <is>
          <t>Сошлось по ночным тарифам</t>
        </is>
      </c>
      <c r="AC306" s="2" t="inlineStr"/>
      <c r="AD306" t="n">
        <v>42720</v>
      </c>
      <c r="AE306" t="n">
        <v>0</v>
      </c>
      <c r="AF306" t="inlineStr">
        <is>
          <t>Скидка добавлена к налоговой базе</t>
        </is>
      </c>
      <c r="AG306" t="n">
        <v>213600</v>
      </c>
      <c r="AH306" t="n">
        <v>170880</v>
      </c>
      <c r="AI306" t="inlineStr">
        <is>
          <t>Полное проживание в выбранном периоде</t>
        </is>
      </c>
    </row>
    <row r="307">
      <c r="A307" t="inlineStr">
        <is>
          <t>20260818-8186-454003492</t>
        </is>
      </c>
      <c r="B307" t="n">
        <v>1</v>
      </c>
      <c r="C307" s="2" t="inlineStr">
        <is>
          <t>Юрий Митюков, Анна Мекина</t>
        </is>
      </c>
      <c r="D307" s="3" t="n">
        <v>61600</v>
      </c>
      <c r="E307" s="4" t="n">
        <v>20</v>
      </c>
      <c r="F307" t="inlineStr">
        <is>
          <t>ООО "КОМПАНИЯ БРОНЕВИК" [Чайковский]</t>
        </is>
      </c>
      <c r="G307" s="3">
        <f>ROUND(D307/(100-E307)*100,2)</f>
        <v/>
      </c>
      <c r="H307" s="3" t="n">
        <v>0</v>
      </c>
      <c r="I307" s="3">
        <f>ROUND(IF(ISNUMBER(AG307),AG307,G307)+H307,2)</f>
        <v/>
      </c>
      <c r="J307" s="2" t="inlineStr">
        <is>
          <t>Завтрак "Шведский стол"</t>
        </is>
      </c>
      <c r="K307" s="5" t="n">
        <v>46252.58333333334</v>
      </c>
      <c r="L307" t="n">
        <v>5</v>
      </c>
      <c r="M307" s="3">
        <f>I307/L307</f>
        <v/>
      </c>
      <c r="N307">
        <f>IF(M307&gt;=5100,"ставка","мин.ставка")</f>
        <v/>
      </c>
      <c r="O307" s="3">
        <f>ROUND(IF(N307="мин.ставка",L307*100,I307/102*2),2)</f>
        <v/>
      </c>
      <c r="P307" s="5" t="n">
        <v>46257.5</v>
      </c>
      <c r="Q307" t="inlineStr">
        <is>
          <t>TravelLine BR2</t>
        </is>
      </c>
      <c r="R307" s="2" t="inlineStr">
        <is>
          <t>УЛУЧШЕННЫЙ ДВУХМЕСТНЫЙ НОМЕР</t>
        </is>
      </c>
      <c r="S307" t="n">
        <v>59</v>
      </c>
      <c r="T307" t="n">
        <v>2</v>
      </c>
      <c r="U307" t="inlineStr"/>
      <c r="V307" t="inlineStr">
        <is>
          <t>Тариф с завтраком</t>
        </is>
      </c>
      <c r="W307" t="n">
        <v>61600</v>
      </c>
      <c r="X307" s="3" t="n">
        <v>0</v>
      </c>
      <c r="Y307" t="inlineStr"/>
      <c r="Z307" t="inlineStr"/>
      <c r="AA307" s="3" t="n">
        <v>61600</v>
      </c>
      <c r="AB307" t="inlineStr">
        <is>
          <t>Сошлось по ночным тарифам</t>
        </is>
      </c>
      <c r="AC307" s="2" t="inlineStr"/>
      <c r="AD307" t="n">
        <v>0</v>
      </c>
      <c r="AE307" t="n">
        <v>0</v>
      </c>
      <c r="AF307" t="inlineStr">
        <is>
          <t>Скидки нет</t>
        </is>
      </c>
      <c r="AG307" t="n">
        <v>61600</v>
      </c>
      <c r="AH307" t="n">
        <v>61600</v>
      </c>
      <c r="AI307" t="inlineStr">
        <is>
          <t>Полное проживание в выбранном периоде</t>
        </is>
      </c>
    </row>
    <row r="308">
      <c r="A308" t="inlineStr">
        <is>
          <t>20260724-8186-451950013</t>
        </is>
      </c>
      <c r="B308" t="n">
        <v>1</v>
      </c>
      <c r="C308" s="2" t="inlineStr">
        <is>
          <t>ЯКОВ НИКОНОВ</t>
        </is>
      </c>
      <c r="D308" s="3" t="n">
        <v>17800</v>
      </c>
      <c r="E308" s="4" t="n">
        <v>0</v>
      </c>
      <c r="F308" t="inlineStr">
        <is>
          <t>Прямые бронирования (стойка) [Чайковский]</t>
        </is>
      </c>
      <c r="G308" s="3">
        <f>ROUND(D308/(100-E308)*100,2)</f>
        <v/>
      </c>
      <c r="H308" s="3" t="n">
        <v>0</v>
      </c>
      <c r="I308" s="3">
        <f>ROUND(IF(ISNUMBER(AG308),AG308,G308)+H308,2)</f>
        <v/>
      </c>
      <c r="J308" s="2" t="inlineStr">
        <is>
          <t>Завтрак "Шведский стол"</t>
        </is>
      </c>
      <c r="K308" s="5" t="n">
        <v>46227.58333333334</v>
      </c>
      <c r="L308" t="n">
        <v>1</v>
      </c>
      <c r="M308" s="3">
        <f>I308/L308</f>
        <v/>
      </c>
      <c r="N308">
        <f>IF(M308&gt;=5100,"ставка","мин.ставка")</f>
        <v/>
      </c>
      <c r="O308" s="3">
        <f>ROUND(IF(N308="мин.ставка",L308*100,I308/102*2),2)</f>
        <v/>
      </c>
      <c r="P308" s="5" t="n">
        <v>46228.5</v>
      </c>
      <c r="Q308" t="inlineStr">
        <is>
          <t>TravelLine ресепшен</t>
        </is>
      </c>
      <c r="R308" s="2" t="inlineStr">
        <is>
          <t>ЛЮКС ВТОРОЙ КОРПУС</t>
        </is>
      </c>
      <c r="S308" t="n">
        <v>57</v>
      </c>
      <c r="T308" t="n">
        <v>2</v>
      </c>
      <c r="U308" t="inlineStr"/>
      <c r="V308" t="inlineStr">
        <is>
          <t>Тариф с завтраком</t>
        </is>
      </c>
      <c r="W308" t="n">
        <v>17800</v>
      </c>
      <c r="X308" s="3" t="n">
        <v>0</v>
      </c>
      <c r="Y308" t="inlineStr"/>
      <c r="Z308" t="inlineStr"/>
      <c r="AA308" s="3" t="n">
        <v>17800</v>
      </c>
      <c r="AB308" t="inlineStr">
        <is>
          <t>Сошлось по ночным тарифам</t>
        </is>
      </c>
      <c r="AC308" s="2" t="inlineStr"/>
      <c r="AD308" t="n">
        <v>0</v>
      </c>
      <c r="AE308" t="n">
        <v>0</v>
      </c>
      <c r="AF308" t="inlineStr">
        <is>
          <t>Скидки нет</t>
        </is>
      </c>
      <c r="AG308" t="n">
        <v>17800</v>
      </c>
      <c r="AH308" t="n">
        <v>17800</v>
      </c>
      <c r="AI308" t="inlineStr">
        <is>
          <t>Полное проживание в выбранном периоде</t>
        </is>
      </c>
    </row>
    <row r="309">
      <c r="A309" t="inlineStr">
        <is>
          <t>20260813-8186-457325306</t>
        </is>
      </c>
      <c r="B309" t="n">
        <v>1</v>
      </c>
      <c r="C309" s="2" t="inlineStr">
        <is>
          <t>Ян Метринский</t>
        </is>
      </c>
      <c r="D309" s="3" t="n">
        <v>27240</v>
      </c>
      <c r="E309" s="4" t="n">
        <v>20</v>
      </c>
      <c r="F309" t="inlineStr">
        <is>
          <t>ООО "КОМПАНИЯ БРОНЕВИК" [Чайковский]</t>
        </is>
      </c>
      <c r="G309" s="3">
        <f>ROUND(D309/(100-E309)*100,2)</f>
        <v/>
      </c>
      <c r="H309" s="3" t="n">
        <v>0</v>
      </c>
      <c r="I309" s="3">
        <f>ROUND(IF(ISNUMBER(AG309),AG309,G309)+H309,2)</f>
        <v/>
      </c>
      <c r="J309" s="2" t="inlineStr">
        <is>
          <t>Завтрак "Шведский стол"</t>
        </is>
      </c>
      <c r="K309" s="5" t="n">
        <v>46247.58333333334</v>
      </c>
      <c r="L309" t="n">
        <v>3</v>
      </c>
      <c r="M309" s="3">
        <f>I309/L309</f>
        <v/>
      </c>
      <c r="N309">
        <f>IF(M309&gt;=5100,"ставка","мин.ставка")</f>
        <v/>
      </c>
      <c r="O309" s="3">
        <f>ROUND(IF(N309="мин.ставка",L309*100,I309/102*2),2)</f>
        <v/>
      </c>
      <c r="P309" s="5" t="n">
        <v>46250.5</v>
      </c>
      <c r="Q309" t="inlineStr">
        <is>
          <t>TravelLine BR2</t>
        </is>
      </c>
      <c r="R309" s="2" t="inlineStr">
        <is>
          <t>СТАНДАРТНЫЙ ДВУХМЕСТНЫЙ НОМЕР</t>
        </is>
      </c>
      <c r="S309" t="n">
        <v>52</v>
      </c>
      <c r="T309" t="n">
        <v>2</v>
      </c>
      <c r="U309" t="inlineStr"/>
      <c r="V309" t="inlineStr">
        <is>
          <t>Тариф с завтраком</t>
        </is>
      </c>
      <c r="W309" t="n">
        <v>27240</v>
      </c>
      <c r="X309" s="3" t="n">
        <v>0</v>
      </c>
      <c r="Y309" t="inlineStr"/>
      <c r="Z309" t="inlineStr"/>
      <c r="AA309" s="3" t="n">
        <v>27240</v>
      </c>
      <c r="AB309" t="inlineStr">
        <is>
          <t>Сошлось по ночным тарифам</t>
        </is>
      </c>
      <c r="AC309" s="2" t="inlineStr"/>
      <c r="AD309" t="n">
        <v>0</v>
      </c>
      <c r="AE309" t="n">
        <v>0</v>
      </c>
      <c r="AF309" t="inlineStr">
        <is>
          <t>Скидки нет</t>
        </is>
      </c>
      <c r="AG309" t="n">
        <v>27240</v>
      </c>
      <c r="AH309" t="n">
        <v>27240</v>
      </c>
      <c r="AI309" t="inlineStr">
        <is>
          <t>Полное проживание в выбранном периоде</t>
        </is>
      </c>
    </row>
    <row r="310">
      <c r="A310" t="inlineStr">
        <is>
          <t>20260813-8186-456022228</t>
        </is>
      </c>
      <c r="B310" t="n">
        <v>1</v>
      </c>
      <c r="C310" s="2" t="inlineStr">
        <is>
          <t>ЯНИНА АНУЩЕНКОВА</t>
        </is>
      </c>
      <c r="D310" s="3" t="n">
        <v>39816</v>
      </c>
      <c r="E310" s="4" t="n">
        <v>16</v>
      </c>
      <c r="F310" t="inlineStr">
        <is>
          <t>ООО "БРОНИРОВАНИЕ ГОСТИНИЦ" (OSTROVOK) [Чайковский]</t>
        </is>
      </c>
      <c r="G310" s="3">
        <f>ROUND(D310/(100-E310)*100,2)</f>
        <v/>
      </c>
      <c r="H310" s="3" t="n">
        <v>3300</v>
      </c>
      <c r="I310" s="3">
        <f>ROUND(IF(ISNUMBER(AG310),AG310,G310)+H310,2)</f>
        <v/>
      </c>
      <c r="J310" s="2" t="inlineStr">
        <is>
          <t>продление номера — 3 300,00 ₽; Завтрак "Шведский стол"</t>
        </is>
      </c>
      <c r="K310" s="5" t="n">
        <v>46247.58333333334</v>
      </c>
      <c r="L310" t="n">
        <v>3</v>
      </c>
      <c r="M310" s="3">
        <f>I310/L310</f>
        <v/>
      </c>
      <c r="N310">
        <f>IF(M310&gt;=5100,"ставка","мин.ставка")</f>
        <v/>
      </c>
      <c r="O310" s="3">
        <f>ROUND(IF(N310="мин.ставка",L310*100,I310/102*2),2)</f>
        <v/>
      </c>
      <c r="P310" s="5" t="n">
        <v>46250.70833333334</v>
      </c>
      <c r="Q310" t="inlineStr">
        <is>
          <t>TravelLine OTK</t>
        </is>
      </c>
      <c r="R310" s="2" t="inlineStr">
        <is>
          <t>ЛЮКС ВТОРОЙ КОРПУС</t>
        </is>
      </c>
      <c r="S310" t="n">
        <v>53</v>
      </c>
      <c r="T310" t="n">
        <v>2</v>
      </c>
      <c r="U310" t="inlineStr"/>
      <c r="V310" t="inlineStr">
        <is>
          <t>Тариф с завтраком</t>
        </is>
      </c>
      <c r="W310" t="n">
        <v>43116</v>
      </c>
      <c r="X310" s="3" t="n">
        <v>7584</v>
      </c>
      <c r="Y310" t="inlineStr">
        <is>
          <t>16%</t>
        </is>
      </c>
      <c r="Z310" t="inlineStr">
        <is>
          <t>2026-08-13, 2026-08-14, 2026-08-15</t>
        </is>
      </c>
      <c r="AA310" s="3" t="n">
        <v>39816</v>
      </c>
      <c r="AB310" t="inlineStr">
        <is>
          <t>Сошлось с услугами</t>
        </is>
      </c>
      <c r="AC310" s="2" t="inlineStr"/>
      <c r="AD310" t="n">
        <v>7584</v>
      </c>
      <c r="AE310" t="n">
        <v>0</v>
      </c>
      <c r="AF310" t="inlineStr">
        <is>
          <t>Скидка добавлена к налоговой базе</t>
        </is>
      </c>
      <c r="AG310" t="n">
        <v>47400</v>
      </c>
      <c r="AH310" t="n">
        <v>39816</v>
      </c>
      <c r="AI310" t="inlineStr">
        <is>
          <t>Полное проживание в выбранном периоде</t>
        </is>
      </c>
    </row>
    <row r="311">
      <c r="A311" s="6" t="n"/>
      <c r="B311" s="6">
        <f>SUM(B2:B310)</f>
        <v/>
      </c>
      <c r="C311" s="6" t="inlineStr">
        <is>
          <t>ИТОГО:</t>
        </is>
      </c>
      <c r="D311" s="6">
        <f>SUM(D2:D310)</f>
        <v/>
      </c>
      <c r="E311" s="6" t="n"/>
      <c r="F311" s="6" t="n"/>
      <c r="G311" s="6">
        <f>SUM(G2:G310)</f>
        <v/>
      </c>
      <c r="H311" s="6">
        <f>SUM(H2:H310)</f>
        <v/>
      </c>
      <c r="I311" s="6">
        <f>SUM(I2:I310)</f>
        <v/>
      </c>
      <c r="J311" s="6" t="n"/>
      <c r="K311" s="6" t="n"/>
      <c r="L311" s="6">
        <f>SUM(L2:L310)</f>
        <v/>
      </c>
      <c r="M311" s="6" t="n"/>
      <c r="N311" s="6" t="n"/>
      <c r="O311" s="6">
        <f>SUM(O2:O310)</f>
        <v/>
      </c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2026-10-19T10:23:11Z</dcterms:created>
  <dcterms:modified xsi:type="dcterms:W3CDTF">2026-10-19T10:23:12Z</dcterms:modified>
</cp:coreProperties>
</file>