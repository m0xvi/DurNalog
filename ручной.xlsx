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rcp-tch\Desktop\"/>
    </mc:Choice>
  </mc:AlternateContent>
  <xr:revisionPtr revIDLastSave="0" documentId="13_ncr:1_{99F595C9-C9FB-415B-BF94-70A497447ED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&amp;2" sheetId="1" r:id="rId1"/>
    <sheet name="нет корпуса" sheetId="2" r:id="rId2"/>
    <sheet name="1" sheetId="3" r:id="rId3"/>
    <sheet name="2" sheetId="4" r:id="rId4"/>
  </sheets>
  <definedNames>
    <definedName name="_xlnm._FilterDatabase" localSheetId="2" hidden="1">'1'!$A$1:$U$634</definedName>
    <definedName name="_xlnm._FilterDatabase" localSheetId="3" hidden="1">'2'!$A$1:$U$303</definedName>
  </definedNames>
  <calcPr calcId="191029"/>
</workbook>
</file>

<file path=xl/calcChain.xml><?xml version="1.0" encoding="utf-8"?>
<calcChain xmlns="http://schemas.openxmlformats.org/spreadsheetml/2006/main">
  <c r="G55" i="4" l="1"/>
  <c r="I55" i="4" s="1"/>
  <c r="M52" i="4"/>
  <c r="M20" i="4"/>
  <c r="M16" i="4"/>
  <c r="G15" i="3"/>
  <c r="I15" i="3" s="1"/>
  <c r="N15" i="3" s="1"/>
  <c r="O15" i="3" s="1"/>
  <c r="L303" i="4"/>
  <c r="H303" i="4"/>
  <c r="D303" i="4"/>
  <c r="B303" i="4"/>
  <c r="G102" i="4"/>
  <c r="I102" i="4" s="1"/>
  <c r="M102" i="4" s="1"/>
  <c r="N102" i="4" s="1"/>
  <c r="O102" i="4" s="1"/>
  <c r="G119" i="4"/>
  <c r="I119" i="4" s="1"/>
  <c r="M119" i="4" s="1"/>
  <c r="N119" i="4" s="1"/>
  <c r="O119" i="4" s="1"/>
  <c r="G272" i="4"/>
  <c r="I272" i="4" s="1"/>
  <c r="M272" i="4" s="1"/>
  <c r="N272" i="4" s="1"/>
  <c r="O272" i="4" s="1"/>
  <c r="G118" i="4"/>
  <c r="I118" i="4" s="1"/>
  <c r="M118" i="4" s="1"/>
  <c r="N118" i="4" s="1"/>
  <c r="O118" i="4" s="1"/>
  <c r="G271" i="4"/>
  <c r="I271" i="4" s="1"/>
  <c r="M271" i="4" s="1"/>
  <c r="N271" i="4" s="1"/>
  <c r="O271" i="4" s="1"/>
  <c r="G101" i="4"/>
  <c r="I101" i="4" s="1"/>
  <c r="M101" i="4" s="1"/>
  <c r="N101" i="4" s="1"/>
  <c r="O101" i="4" s="1"/>
  <c r="G100" i="4"/>
  <c r="I100" i="4" s="1"/>
  <c r="M100" i="4" s="1"/>
  <c r="N100" i="4" s="1"/>
  <c r="O100" i="4" s="1"/>
  <c r="G302" i="4"/>
  <c r="I302" i="4" s="1"/>
  <c r="M302" i="4" s="1"/>
  <c r="N302" i="4" s="1"/>
  <c r="O302" i="4" s="1"/>
  <c r="G52" i="4"/>
  <c r="I52" i="4" s="1"/>
  <c r="N52" i="4" s="1"/>
  <c r="O52" i="4" s="1"/>
  <c r="G270" i="4"/>
  <c r="I270" i="4" s="1"/>
  <c r="M270" i="4" s="1"/>
  <c r="N270" i="4" s="1"/>
  <c r="O270" i="4" s="1"/>
  <c r="G157" i="4"/>
  <c r="I157" i="4" s="1"/>
  <c r="M157" i="4" s="1"/>
  <c r="N157" i="4" s="1"/>
  <c r="O157" i="4" s="1"/>
  <c r="G156" i="4"/>
  <c r="I156" i="4" s="1"/>
  <c r="M156" i="4" s="1"/>
  <c r="N156" i="4" s="1"/>
  <c r="O156" i="4" s="1"/>
  <c r="G147" i="4"/>
  <c r="I147" i="4" s="1"/>
  <c r="M147" i="4" s="1"/>
  <c r="N147" i="4" s="1"/>
  <c r="O147" i="4" s="1"/>
  <c r="G269" i="4"/>
  <c r="I269" i="4" s="1"/>
  <c r="M269" i="4" s="1"/>
  <c r="N269" i="4" s="1"/>
  <c r="O269" i="4" s="1"/>
  <c r="G301" i="4"/>
  <c r="I301" i="4" s="1"/>
  <c r="M301" i="4" s="1"/>
  <c r="N301" i="4" s="1"/>
  <c r="O301" i="4" s="1"/>
  <c r="G51" i="4"/>
  <c r="I51" i="4" s="1"/>
  <c r="M51" i="4" s="1"/>
  <c r="N51" i="4" s="1"/>
  <c r="O51" i="4" s="1"/>
  <c r="G99" i="4"/>
  <c r="I99" i="4" s="1"/>
  <c r="M99" i="4" s="1"/>
  <c r="N99" i="4" s="1"/>
  <c r="O99" i="4" s="1"/>
  <c r="G50" i="4"/>
  <c r="I50" i="4" s="1"/>
  <c r="M50" i="4" s="1"/>
  <c r="N50" i="4" s="1"/>
  <c r="O50" i="4" s="1"/>
  <c r="G49" i="4"/>
  <c r="I49" i="4" s="1"/>
  <c r="M49" i="4" s="1"/>
  <c r="N49" i="4" s="1"/>
  <c r="O49" i="4" s="1"/>
  <c r="G48" i="4"/>
  <c r="I48" i="4" s="1"/>
  <c r="M48" i="4" s="1"/>
  <c r="N48" i="4" s="1"/>
  <c r="O48" i="4" s="1"/>
  <c r="G146" i="4"/>
  <c r="I146" i="4" s="1"/>
  <c r="M146" i="4" s="1"/>
  <c r="N146" i="4" s="1"/>
  <c r="O146" i="4" s="1"/>
  <c r="G149" i="4"/>
  <c r="I149" i="4" s="1"/>
  <c r="M149" i="4" s="1"/>
  <c r="N149" i="4" s="1"/>
  <c r="O149" i="4" s="1"/>
  <c r="I268" i="4"/>
  <c r="M268" i="4" s="1"/>
  <c r="N268" i="4" s="1"/>
  <c r="O268" i="4" s="1"/>
  <c r="G268" i="4"/>
  <c r="G300" i="4"/>
  <c r="I300" i="4" s="1"/>
  <c r="M300" i="4" s="1"/>
  <c r="N300" i="4" s="1"/>
  <c r="O300" i="4" s="1"/>
  <c r="G98" i="4"/>
  <c r="I98" i="4" s="1"/>
  <c r="M98" i="4" s="1"/>
  <c r="N98" i="4" s="1"/>
  <c r="O98" i="4" s="1"/>
  <c r="G47" i="4"/>
  <c r="I47" i="4" s="1"/>
  <c r="M47" i="4" s="1"/>
  <c r="N47" i="4" s="1"/>
  <c r="O47" i="4" s="1"/>
  <c r="G267" i="4"/>
  <c r="I267" i="4" s="1"/>
  <c r="M267" i="4" s="1"/>
  <c r="N267" i="4" s="1"/>
  <c r="O267" i="4" s="1"/>
  <c r="G266" i="4"/>
  <c r="I266" i="4" s="1"/>
  <c r="M266" i="4" s="1"/>
  <c r="N266" i="4" s="1"/>
  <c r="O266" i="4" s="1"/>
  <c r="G265" i="4"/>
  <c r="I265" i="4" s="1"/>
  <c r="M265" i="4" s="1"/>
  <c r="N265" i="4" s="1"/>
  <c r="O265" i="4" s="1"/>
  <c r="G145" i="4"/>
  <c r="I145" i="4" s="1"/>
  <c r="M145" i="4" s="1"/>
  <c r="N145" i="4" s="1"/>
  <c r="O145" i="4" s="1"/>
  <c r="G97" i="4"/>
  <c r="I97" i="4" s="1"/>
  <c r="M97" i="4" s="1"/>
  <c r="N97" i="4" s="1"/>
  <c r="O97" i="4" s="1"/>
  <c r="G176" i="4"/>
  <c r="I176" i="4" s="1"/>
  <c r="M176" i="4" s="1"/>
  <c r="N176" i="4" s="1"/>
  <c r="O176" i="4" s="1"/>
  <c r="G96" i="4"/>
  <c r="I96" i="4" s="1"/>
  <c r="M96" i="4" s="1"/>
  <c r="N96" i="4" s="1"/>
  <c r="O96" i="4" s="1"/>
  <c r="G299" i="4"/>
  <c r="I299" i="4" s="1"/>
  <c r="M299" i="4" s="1"/>
  <c r="N299" i="4" s="1"/>
  <c r="O299" i="4" s="1"/>
  <c r="G95" i="4"/>
  <c r="I95" i="4" s="1"/>
  <c r="M95" i="4" s="1"/>
  <c r="N95" i="4" s="1"/>
  <c r="O95" i="4" s="1"/>
  <c r="G264" i="4"/>
  <c r="I264" i="4" s="1"/>
  <c r="M264" i="4" s="1"/>
  <c r="N264" i="4" s="1"/>
  <c r="O264" i="4" s="1"/>
  <c r="G263" i="4"/>
  <c r="I263" i="4" s="1"/>
  <c r="M263" i="4" s="1"/>
  <c r="N263" i="4" s="1"/>
  <c r="O263" i="4" s="1"/>
  <c r="G262" i="4"/>
  <c r="I262" i="4" s="1"/>
  <c r="M262" i="4" s="1"/>
  <c r="N262" i="4" s="1"/>
  <c r="O262" i="4" s="1"/>
  <c r="G261" i="4"/>
  <c r="I261" i="4" s="1"/>
  <c r="M261" i="4" s="1"/>
  <c r="N261" i="4" s="1"/>
  <c r="O261" i="4" s="1"/>
  <c r="G260" i="4"/>
  <c r="I260" i="4" s="1"/>
  <c r="M260" i="4" s="1"/>
  <c r="N260" i="4" s="1"/>
  <c r="O260" i="4" s="1"/>
  <c r="G259" i="4"/>
  <c r="I259" i="4" s="1"/>
  <c r="M259" i="4" s="1"/>
  <c r="N259" i="4" s="1"/>
  <c r="O259" i="4" s="1"/>
  <c r="G94" i="4"/>
  <c r="I94" i="4" s="1"/>
  <c r="M94" i="4" s="1"/>
  <c r="N94" i="4" s="1"/>
  <c r="O94" i="4" s="1"/>
  <c r="G258" i="4"/>
  <c r="I258" i="4" s="1"/>
  <c r="M258" i="4" s="1"/>
  <c r="N258" i="4" s="1"/>
  <c r="O258" i="4" s="1"/>
  <c r="G66" i="4"/>
  <c r="I66" i="4" s="1"/>
  <c r="M66" i="4" s="1"/>
  <c r="N66" i="4" s="1"/>
  <c r="O66" i="4" s="1"/>
  <c r="G257" i="4"/>
  <c r="I257" i="4" s="1"/>
  <c r="M257" i="4" s="1"/>
  <c r="N257" i="4" s="1"/>
  <c r="O257" i="4" s="1"/>
  <c r="I256" i="4"/>
  <c r="M256" i="4" s="1"/>
  <c r="N256" i="4" s="1"/>
  <c r="O256" i="4" s="1"/>
  <c r="G256" i="4"/>
  <c r="G46" i="4"/>
  <c r="I46" i="4" s="1"/>
  <c r="M46" i="4" s="1"/>
  <c r="N46" i="4" s="1"/>
  <c r="O46" i="4" s="1"/>
  <c r="G155" i="4"/>
  <c r="I155" i="4" s="1"/>
  <c r="M155" i="4" s="1"/>
  <c r="N155" i="4" s="1"/>
  <c r="O155" i="4" s="1"/>
  <c r="G45" i="4"/>
  <c r="I45" i="4" s="1"/>
  <c r="M45" i="4" s="1"/>
  <c r="N45" i="4" s="1"/>
  <c r="O45" i="4" s="1"/>
  <c r="G71" i="4"/>
  <c r="I71" i="4" s="1"/>
  <c r="M71" i="4" s="1"/>
  <c r="N71" i="4" s="1"/>
  <c r="O71" i="4" s="1"/>
  <c r="G117" i="4"/>
  <c r="I117" i="4" s="1"/>
  <c r="M117" i="4" s="1"/>
  <c r="N117" i="4" s="1"/>
  <c r="O117" i="4" s="1"/>
  <c r="G148" i="4"/>
  <c r="I148" i="4" s="1"/>
  <c r="M148" i="4" s="1"/>
  <c r="N148" i="4" s="1"/>
  <c r="O148" i="4" s="1"/>
  <c r="G298" i="4"/>
  <c r="I298" i="4" s="1"/>
  <c r="M298" i="4" s="1"/>
  <c r="N298" i="4" s="1"/>
  <c r="O298" i="4" s="1"/>
  <c r="G255" i="4"/>
  <c r="I255" i="4" s="1"/>
  <c r="M255" i="4" s="1"/>
  <c r="N255" i="4" s="1"/>
  <c r="O255" i="4" s="1"/>
  <c r="G254" i="4"/>
  <c r="I254" i="4" s="1"/>
  <c r="M254" i="4" s="1"/>
  <c r="N254" i="4" s="1"/>
  <c r="O254" i="4" s="1"/>
  <c r="G144" i="4"/>
  <c r="I144" i="4" s="1"/>
  <c r="M144" i="4" s="1"/>
  <c r="N144" i="4" s="1"/>
  <c r="O144" i="4" s="1"/>
  <c r="G172" i="4"/>
  <c r="I172" i="4" s="1"/>
  <c r="M172" i="4" s="1"/>
  <c r="N172" i="4" s="1"/>
  <c r="O172" i="4" s="1"/>
  <c r="G44" i="4"/>
  <c r="I44" i="4" s="1"/>
  <c r="M44" i="4" s="1"/>
  <c r="N44" i="4" s="1"/>
  <c r="O44" i="4" s="1"/>
  <c r="G171" i="4"/>
  <c r="I171" i="4" s="1"/>
  <c r="M171" i="4" s="1"/>
  <c r="N171" i="4" s="1"/>
  <c r="O171" i="4" s="1"/>
  <c r="G43" i="4"/>
  <c r="I43" i="4" s="1"/>
  <c r="M43" i="4" s="1"/>
  <c r="N43" i="4" s="1"/>
  <c r="O43" i="4" s="1"/>
  <c r="G42" i="4"/>
  <c r="I42" i="4" s="1"/>
  <c r="M42" i="4" s="1"/>
  <c r="N42" i="4" s="1"/>
  <c r="O42" i="4" s="1"/>
  <c r="G253" i="4"/>
  <c r="I253" i="4" s="1"/>
  <c r="M253" i="4" s="1"/>
  <c r="N253" i="4" s="1"/>
  <c r="O253" i="4" s="1"/>
  <c r="I252" i="4"/>
  <c r="M252" i="4" s="1"/>
  <c r="N252" i="4" s="1"/>
  <c r="O252" i="4" s="1"/>
  <c r="G252" i="4"/>
  <c r="G251" i="4"/>
  <c r="I251" i="4" s="1"/>
  <c r="M251" i="4" s="1"/>
  <c r="N251" i="4" s="1"/>
  <c r="O251" i="4" s="1"/>
  <c r="G250" i="4"/>
  <c r="I250" i="4" s="1"/>
  <c r="M250" i="4" s="1"/>
  <c r="N250" i="4" s="1"/>
  <c r="O250" i="4" s="1"/>
  <c r="G41" i="4"/>
  <c r="I41" i="4" s="1"/>
  <c r="M41" i="4" s="1"/>
  <c r="N41" i="4" s="1"/>
  <c r="O41" i="4" s="1"/>
  <c r="G65" i="4"/>
  <c r="I65" i="4" s="1"/>
  <c r="M65" i="4" s="1"/>
  <c r="N65" i="4" s="1"/>
  <c r="O65" i="4" s="1"/>
  <c r="G40" i="4"/>
  <c r="I40" i="4" s="1"/>
  <c r="M40" i="4" s="1"/>
  <c r="N40" i="4" s="1"/>
  <c r="O40" i="4" s="1"/>
  <c r="G143" i="4"/>
  <c r="I143" i="4" s="1"/>
  <c r="M143" i="4" s="1"/>
  <c r="N143" i="4" s="1"/>
  <c r="O143" i="4" s="1"/>
  <c r="I70" i="4"/>
  <c r="M70" i="4" s="1"/>
  <c r="N70" i="4" s="1"/>
  <c r="O70" i="4" s="1"/>
  <c r="G70" i="4"/>
  <c r="G133" i="4"/>
  <c r="I133" i="4" s="1"/>
  <c r="M133" i="4" s="1"/>
  <c r="N133" i="4" s="1"/>
  <c r="O133" i="4" s="1"/>
  <c r="G39" i="4"/>
  <c r="I39" i="4" s="1"/>
  <c r="M39" i="4" s="1"/>
  <c r="N39" i="4" s="1"/>
  <c r="O39" i="4" s="1"/>
  <c r="G179" i="4"/>
  <c r="I179" i="4" s="1"/>
  <c r="M179" i="4" s="1"/>
  <c r="N179" i="4" s="1"/>
  <c r="O179" i="4" s="1"/>
  <c r="G170" i="4"/>
  <c r="I170" i="4" s="1"/>
  <c r="M170" i="4" s="1"/>
  <c r="N170" i="4" s="1"/>
  <c r="O170" i="4" s="1"/>
  <c r="G93" i="4"/>
  <c r="I93" i="4" s="1"/>
  <c r="M93" i="4" s="1"/>
  <c r="N93" i="4" s="1"/>
  <c r="O93" i="4" s="1"/>
  <c r="G116" i="4"/>
  <c r="I116" i="4" s="1"/>
  <c r="M116" i="4" s="1"/>
  <c r="N116" i="4" s="1"/>
  <c r="O116" i="4" s="1"/>
  <c r="G92" i="4"/>
  <c r="I92" i="4" s="1"/>
  <c r="M92" i="4" s="1"/>
  <c r="N92" i="4" s="1"/>
  <c r="O92" i="4" s="1"/>
  <c r="G124" i="4"/>
  <c r="I124" i="4" s="1"/>
  <c r="M124" i="4" s="1"/>
  <c r="N124" i="4" s="1"/>
  <c r="O124" i="4" s="1"/>
  <c r="I142" i="4"/>
  <c r="M142" i="4" s="1"/>
  <c r="N142" i="4" s="1"/>
  <c r="O142" i="4" s="1"/>
  <c r="G142" i="4"/>
  <c r="G249" i="4"/>
  <c r="I249" i="4" s="1"/>
  <c r="M249" i="4" s="1"/>
  <c r="N249" i="4" s="1"/>
  <c r="O249" i="4" s="1"/>
  <c r="G62" i="4"/>
  <c r="I62" i="4" s="1"/>
  <c r="M62" i="4" s="1"/>
  <c r="N62" i="4" s="1"/>
  <c r="O62" i="4" s="1"/>
  <c r="G38" i="4"/>
  <c r="I38" i="4" s="1"/>
  <c r="M38" i="4" s="1"/>
  <c r="N38" i="4" s="1"/>
  <c r="O38" i="4" s="1"/>
  <c r="G37" i="4"/>
  <c r="I37" i="4" s="1"/>
  <c r="M37" i="4" s="1"/>
  <c r="N37" i="4" s="1"/>
  <c r="O37" i="4" s="1"/>
  <c r="G169" i="4"/>
  <c r="I169" i="4" s="1"/>
  <c r="M169" i="4" s="1"/>
  <c r="N169" i="4" s="1"/>
  <c r="O169" i="4" s="1"/>
  <c r="G248" i="4"/>
  <c r="I248" i="4" s="1"/>
  <c r="M248" i="4" s="1"/>
  <c r="N248" i="4" s="1"/>
  <c r="O248" i="4" s="1"/>
  <c r="G297" i="4"/>
  <c r="I297" i="4" s="1"/>
  <c r="M297" i="4" s="1"/>
  <c r="N297" i="4" s="1"/>
  <c r="O297" i="4" s="1"/>
  <c r="G36" i="4"/>
  <c r="I36" i="4" s="1"/>
  <c r="M36" i="4" s="1"/>
  <c r="N36" i="4" s="1"/>
  <c r="O36" i="4" s="1"/>
  <c r="G247" i="4"/>
  <c r="I247" i="4" s="1"/>
  <c r="M247" i="4" s="1"/>
  <c r="N247" i="4" s="1"/>
  <c r="O247" i="4" s="1"/>
  <c r="G246" i="4"/>
  <c r="I246" i="4" s="1"/>
  <c r="M246" i="4" s="1"/>
  <c r="N246" i="4" s="1"/>
  <c r="O246" i="4" s="1"/>
  <c r="G245" i="4"/>
  <c r="I245" i="4" s="1"/>
  <c r="M245" i="4" s="1"/>
  <c r="N245" i="4" s="1"/>
  <c r="O245" i="4" s="1"/>
  <c r="G175" i="4"/>
  <c r="I175" i="4" s="1"/>
  <c r="M175" i="4" s="1"/>
  <c r="N175" i="4" s="1"/>
  <c r="O175" i="4" s="1"/>
  <c r="G296" i="4"/>
  <c r="I296" i="4" s="1"/>
  <c r="M296" i="4" s="1"/>
  <c r="N296" i="4" s="1"/>
  <c r="O296" i="4" s="1"/>
  <c r="I91" i="4"/>
  <c r="M91" i="4" s="1"/>
  <c r="N91" i="4" s="1"/>
  <c r="O91" i="4" s="1"/>
  <c r="G91" i="4"/>
  <c r="G141" i="4"/>
  <c r="I141" i="4" s="1"/>
  <c r="M141" i="4" s="1"/>
  <c r="N141" i="4" s="1"/>
  <c r="O141" i="4" s="1"/>
  <c r="G35" i="4"/>
  <c r="I35" i="4" s="1"/>
  <c r="M35" i="4" s="1"/>
  <c r="N35" i="4" s="1"/>
  <c r="O35" i="4" s="1"/>
  <c r="G132" i="4"/>
  <c r="I132" i="4" s="1"/>
  <c r="M132" i="4" s="1"/>
  <c r="N132" i="4" s="1"/>
  <c r="O132" i="4" s="1"/>
  <c r="G131" i="4"/>
  <c r="I131" i="4" s="1"/>
  <c r="M131" i="4" s="1"/>
  <c r="N131" i="4" s="1"/>
  <c r="O131" i="4" s="1"/>
  <c r="G90" i="4"/>
  <c r="I90" i="4" s="1"/>
  <c r="M90" i="4" s="1"/>
  <c r="N90" i="4" s="1"/>
  <c r="O90" i="4" s="1"/>
  <c r="G34" i="4"/>
  <c r="I34" i="4" s="1"/>
  <c r="M34" i="4" s="1"/>
  <c r="N34" i="4" s="1"/>
  <c r="O34" i="4" s="1"/>
  <c r="G140" i="4"/>
  <c r="I140" i="4" s="1"/>
  <c r="M140" i="4" s="1"/>
  <c r="N140" i="4" s="1"/>
  <c r="O140" i="4" s="1"/>
  <c r="G33" i="4"/>
  <c r="I33" i="4" s="1"/>
  <c r="M33" i="4" s="1"/>
  <c r="N33" i="4" s="1"/>
  <c r="O33" i="4" s="1"/>
  <c r="G244" i="4"/>
  <c r="I244" i="4" s="1"/>
  <c r="M244" i="4" s="1"/>
  <c r="N244" i="4" s="1"/>
  <c r="O244" i="4" s="1"/>
  <c r="G123" i="4"/>
  <c r="I123" i="4" s="1"/>
  <c r="M123" i="4" s="1"/>
  <c r="N123" i="4" s="1"/>
  <c r="O123" i="4" s="1"/>
  <c r="G120" i="4"/>
  <c r="I120" i="4" s="1"/>
  <c r="M120" i="4" s="1"/>
  <c r="N120" i="4" s="1"/>
  <c r="O120" i="4" s="1"/>
  <c r="G243" i="4"/>
  <c r="I243" i="4" s="1"/>
  <c r="M243" i="4" s="1"/>
  <c r="N243" i="4" s="1"/>
  <c r="O243" i="4" s="1"/>
  <c r="G168" i="4"/>
  <c r="I168" i="4" s="1"/>
  <c r="M168" i="4" s="1"/>
  <c r="N168" i="4" s="1"/>
  <c r="O168" i="4" s="1"/>
  <c r="G242" i="4"/>
  <c r="I242" i="4" s="1"/>
  <c r="M242" i="4" s="1"/>
  <c r="N242" i="4" s="1"/>
  <c r="O242" i="4" s="1"/>
  <c r="I167" i="4"/>
  <c r="M167" i="4" s="1"/>
  <c r="N167" i="4" s="1"/>
  <c r="O167" i="4" s="1"/>
  <c r="G167" i="4"/>
  <c r="G241" i="4"/>
  <c r="I241" i="4" s="1"/>
  <c r="M241" i="4" s="1"/>
  <c r="N241" i="4" s="1"/>
  <c r="O241" i="4" s="1"/>
  <c r="G2" i="4"/>
  <c r="I2" i="4" s="1"/>
  <c r="M2" i="4" s="1"/>
  <c r="N2" i="4" s="1"/>
  <c r="O2" i="4" s="1"/>
  <c r="G32" i="4"/>
  <c r="I32" i="4" s="1"/>
  <c r="M32" i="4" s="1"/>
  <c r="N32" i="4" s="1"/>
  <c r="O32" i="4" s="1"/>
  <c r="G89" i="4"/>
  <c r="I89" i="4" s="1"/>
  <c r="M89" i="4" s="1"/>
  <c r="N89" i="4" s="1"/>
  <c r="O89" i="4" s="1"/>
  <c r="G154" i="4"/>
  <c r="I154" i="4" s="1"/>
  <c r="M154" i="4" s="1"/>
  <c r="N154" i="4" s="1"/>
  <c r="O154" i="4" s="1"/>
  <c r="G166" i="4"/>
  <c r="I166" i="4" s="1"/>
  <c r="M166" i="4" s="1"/>
  <c r="N166" i="4" s="1"/>
  <c r="O166" i="4" s="1"/>
  <c r="G240" i="4"/>
  <c r="I240" i="4" s="1"/>
  <c r="M240" i="4" s="1"/>
  <c r="N240" i="4" s="1"/>
  <c r="O240" i="4" s="1"/>
  <c r="G239" i="4"/>
  <c r="I239" i="4" s="1"/>
  <c r="M239" i="4" s="1"/>
  <c r="N239" i="4" s="1"/>
  <c r="O239" i="4" s="1"/>
  <c r="G31" i="4"/>
  <c r="I31" i="4" s="1"/>
  <c r="M31" i="4" s="1"/>
  <c r="N31" i="4" s="1"/>
  <c r="O31" i="4" s="1"/>
  <c r="G54" i="4"/>
  <c r="I54" i="4" s="1"/>
  <c r="M54" i="4" s="1"/>
  <c r="N54" i="4" s="1"/>
  <c r="O54" i="4" s="1"/>
  <c r="G30" i="4"/>
  <c r="I30" i="4" s="1"/>
  <c r="M30" i="4" s="1"/>
  <c r="N30" i="4" s="1"/>
  <c r="O30" i="4" s="1"/>
  <c r="G165" i="4"/>
  <c r="I165" i="4" s="1"/>
  <c r="M165" i="4" s="1"/>
  <c r="N165" i="4" s="1"/>
  <c r="O165" i="4" s="1"/>
  <c r="G29" i="4"/>
  <c r="I29" i="4" s="1"/>
  <c r="M29" i="4" s="1"/>
  <c r="N29" i="4" s="1"/>
  <c r="O29" i="4" s="1"/>
  <c r="G164" i="4"/>
  <c r="I164" i="4" s="1"/>
  <c r="M164" i="4" s="1"/>
  <c r="N164" i="4" s="1"/>
  <c r="O164" i="4" s="1"/>
  <c r="G88" i="4"/>
  <c r="I88" i="4" s="1"/>
  <c r="M88" i="4" s="1"/>
  <c r="N88" i="4" s="1"/>
  <c r="O88" i="4" s="1"/>
  <c r="I153" i="4"/>
  <c r="M153" i="4" s="1"/>
  <c r="N153" i="4" s="1"/>
  <c r="O153" i="4" s="1"/>
  <c r="G153" i="4"/>
  <c r="G238" i="4"/>
  <c r="I238" i="4" s="1"/>
  <c r="M238" i="4" s="1"/>
  <c r="N238" i="4" s="1"/>
  <c r="O238" i="4" s="1"/>
  <c r="G28" i="4"/>
  <c r="I28" i="4" s="1"/>
  <c r="M28" i="4" s="1"/>
  <c r="N28" i="4" s="1"/>
  <c r="O28" i="4" s="1"/>
  <c r="G163" i="4"/>
  <c r="I163" i="4" s="1"/>
  <c r="M163" i="4" s="1"/>
  <c r="N163" i="4" s="1"/>
  <c r="O163" i="4" s="1"/>
  <c r="G237" i="4"/>
  <c r="I237" i="4" s="1"/>
  <c r="M237" i="4" s="1"/>
  <c r="N237" i="4" s="1"/>
  <c r="O237" i="4" s="1"/>
  <c r="G236" i="4"/>
  <c r="I236" i="4" s="1"/>
  <c r="M236" i="4" s="1"/>
  <c r="N236" i="4" s="1"/>
  <c r="O236" i="4" s="1"/>
  <c r="G53" i="4"/>
  <c r="I53" i="4" s="1"/>
  <c r="M53" i="4" s="1"/>
  <c r="N53" i="4" s="1"/>
  <c r="O53" i="4" s="1"/>
  <c r="G130" i="4"/>
  <c r="I130" i="4" s="1"/>
  <c r="M130" i="4" s="1"/>
  <c r="N130" i="4" s="1"/>
  <c r="O130" i="4" s="1"/>
  <c r="G27" i="4"/>
  <c r="I27" i="4" s="1"/>
  <c r="M27" i="4" s="1"/>
  <c r="N27" i="4" s="1"/>
  <c r="O27" i="4" s="1"/>
  <c r="G115" i="4"/>
  <c r="I115" i="4" s="1"/>
  <c r="M115" i="4" s="1"/>
  <c r="N115" i="4" s="1"/>
  <c r="O115" i="4" s="1"/>
  <c r="G129" i="4"/>
  <c r="I129" i="4" s="1"/>
  <c r="M129" i="4" s="1"/>
  <c r="N129" i="4" s="1"/>
  <c r="O129" i="4" s="1"/>
  <c r="G295" i="4"/>
  <c r="I295" i="4" s="1"/>
  <c r="M295" i="4" s="1"/>
  <c r="N295" i="4" s="1"/>
  <c r="O295" i="4" s="1"/>
  <c r="G294" i="4"/>
  <c r="I294" i="4" s="1"/>
  <c r="M294" i="4" s="1"/>
  <c r="N294" i="4" s="1"/>
  <c r="O294" i="4" s="1"/>
  <c r="G235" i="4"/>
  <c r="I235" i="4" s="1"/>
  <c r="M235" i="4" s="1"/>
  <c r="N235" i="4" s="1"/>
  <c r="O235" i="4" s="1"/>
  <c r="G87" i="4"/>
  <c r="I87" i="4" s="1"/>
  <c r="M87" i="4" s="1"/>
  <c r="N87" i="4" s="1"/>
  <c r="O87" i="4" s="1"/>
  <c r="G61" i="4"/>
  <c r="I61" i="4" s="1"/>
  <c r="M61" i="4" s="1"/>
  <c r="N61" i="4" s="1"/>
  <c r="O61" i="4" s="1"/>
  <c r="G234" i="4"/>
  <c r="I234" i="4" s="1"/>
  <c r="M234" i="4" s="1"/>
  <c r="N234" i="4" s="1"/>
  <c r="O234" i="4" s="1"/>
  <c r="I233" i="4"/>
  <c r="M233" i="4" s="1"/>
  <c r="N233" i="4" s="1"/>
  <c r="O233" i="4" s="1"/>
  <c r="G233" i="4"/>
  <c r="G114" i="4"/>
  <c r="I114" i="4" s="1"/>
  <c r="M114" i="4" s="1"/>
  <c r="N114" i="4" s="1"/>
  <c r="O114" i="4" s="1"/>
  <c r="G69" i="4"/>
  <c r="I69" i="4" s="1"/>
  <c r="M69" i="4" s="1"/>
  <c r="N69" i="4" s="1"/>
  <c r="O69" i="4" s="1"/>
  <c r="G293" i="4"/>
  <c r="I293" i="4" s="1"/>
  <c r="M293" i="4" s="1"/>
  <c r="N293" i="4" s="1"/>
  <c r="O293" i="4" s="1"/>
  <c r="G86" i="4"/>
  <c r="I86" i="4" s="1"/>
  <c r="M86" i="4" s="1"/>
  <c r="N86" i="4" s="1"/>
  <c r="O86" i="4" s="1"/>
  <c r="G232" i="4"/>
  <c r="I232" i="4" s="1"/>
  <c r="M232" i="4" s="1"/>
  <c r="N232" i="4" s="1"/>
  <c r="O232" i="4" s="1"/>
  <c r="G64" i="4"/>
  <c r="I64" i="4" s="1"/>
  <c r="M64" i="4" s="1"/>
  <c r="N64" i="4" s="1"/>
  <c r="O64" i="4" s="1"/>
  <c r="G128" i="4"/>
  <c r="I128" i="4" s="1"/>
  <c r="M128" i="4" s="1"/>
  <c r="N128" i="4" s="1"/>
  <c r="O128" i="4" s="1"/>
  <c r="G139" i="4"/>
  <c r="I139" i="4" s="1"/>
  <c r="M139" i="4" s="1"/>
  <c r="N139" i="4" s="1"/>
  <c r="O139" i="4" s="1"/>
  <c r="I174" i="4"/>
  <c r="M174" i="4" s="1"/>
  <c r="N174" i="4" s="1"/>
  <c r="O174" i="4" s="1"/>
  <c r="G174" i="4"/>
  <c r="G85" i="4"/>
  <c r="I85" i="4" s="1"/>
  <c r="M85" i="4" s="1"/>
  <c r="N85" i="4" s="1"/>
  <c r="O85" i="4" s="1"/>
  <c r="G231" i="4"/>
  <c r="I231" i="4" s="1"/>
  <c r="M231" i="4" s="1"/>
  <c r="N231" i="4" s="1"/>
  <c r="O231" i="4" s="1"/>
  <c r="G152" i="4"/>
  <c r="I152" i="4" s="1"/>
  <c r="M152" i="4" s="1"/>
  <c r="N152" i="4" s="1"/>
  <c r="O152" i="4" s="1"/>
  <c r="G230" i="4"/>
  <c r="I230" i="4" s="1"/>
  <c r="M230" i="4" s="1"/>
  <c r="N230" i="4" s="1"/>
  <c r="O230" i="4" s="1"/>
  <c r="G113" i="4"/>
  <c r="I113" i="4" s="1"/>
  <c r="M113" i="4" s="1"/>
  <c r="N113" i="4" s="1"/>
  <c r="O113" i="4" s="1"/>
  <c r="G229" i="4"/>
  <c r="I229" i="4" s="1"/>
  <c r="M229" i="4" s="1"/>
  <c r="N229" i="4" s="1"/>
  <c r="O229" i="4" s="1"/>
  <c r="G84" i="4"/>
  <c r="I84" i="4" s="1"/>
  <c r="M84" i="4" s="1"/>
  <c r="N84" i="4" s="1"/>
  <c r="O84" i="4" s="1"/>
  <c r="G26" i="4"/>
  <c r="I26" i="4" s="1"/>
  <c r="M26" i="4" s="1"/>
  <c r="G68" i="4"/>
  <c r="I68" i="4" s="1"/>
  <c r="M68" i="4" s="1"/>
  <c r="N68" i="4" s="1"/>
  <c r="O68" i="4" s="1"/>
  <c r="G138" i="4"/>
  <c r="I138" i="4" s="1"/>
  <c r="M138" i="4" s="1"/>
  <c r="N138" i="4" s="1"/>
  <c r="O138" i="4" s="1"/>
  <c r="G292" i="4"/>
  <c r="I292" i="4" s="1"/>
  <c r="M292" i="4" s="1"/>
  <c r="N292" i="4" s="1"/>
  <c r="O292" i="4" s="1"/>
  <c r="G25" i="4"/>
  <c r="I25" i="4" s="1"/>
  <c r="N25" i="4" s="1"/>
  <c r="O25" i="4" s="1"/>
  <c r="G112" i="4"/>
  <c r="I112" i="4" s="1"/>
  <c r="M112" i="4" s="1"/>
  <c r="N112" i="4" s="1"/>
  <c r="O112" i="4" s="1"/>
  <c r="G291" i="4"/>
  <c r="I291" i="4" s="1"/>
  <c r="M291" i="4" s="1"/>
  <c r="N291" i="4" s="1"/>
  <c r="O291" i="4" s="1"/>
  <c r="G228" i="4"/>
  <c r="I228" i="4" s="1"/>
  <c r="M228" i="4" s="1"/>
  <c r="N228" i="4" s="1"/>
  <c r="O228" i="4" s="1"/>
  <c r="G290" i="4"/>
  <c r="I290" i="4" s="1"/>
  <c r="M290" i="4" s="1"/>
  <c r="N290" i="4" s="1"/>
  <c r="O290" i="4" s="1"/>
  <c r="G289" i="4"/>
  <c r="I289" i="4" s="1"/>
  <c r="M289" i="4" s="1"/>
  <c r="N289" i="4" s="1"/>
  <c r="O289" i="4" s="1"/>
  <c r="G137" i="4"/>
  <c r="I137" i="4" s="1"/>
  <c r="M137" i="4" s="1"/>
  <c r="N137" i="4" s="1"/>
  <c r="O137" i="4" s="1"/>
  <c r="G162" i="4"/>
  <c r="I162" i="4" s="1"/>
  <c r="M162" i="4" s="1"/>
  <c r="N162" i="4" s="1"/>
  <c r="O162" i="4" s="1"/>
  <c r="G24" i="4"/>
  <c r="N24" i="4" s="1"/>
  <c r="O24" i="4" s="1"/>
  <c r="G23" i="4"/>
  <c r="I23" i="4" s="1"/>
  <c r="M23" i="4" s="1"/>
  <c r="N23" i="4" s="1"/>
  <c r="O23" i="4" s="1"/>
  <c r="G151" i="4"/>
  <c r="I151" i="4" s="1"/>
  <c r="M151" i="4" s="1"/>
  <c r="N151" i="4" s="1"/>
  <c r="O151" i="4" s="1"/>
  <c r="G227" i="4"/>
  <c r="I227" i="4" s="1"/>
  <c r="M227" i="4" s="1"/>
  <c r="N227" i="4" s="1"/>
  <c r="O227" i="4" s="1"/>
  <c r="G136" i="4"/>
  <c r="I136" i="4" s="1"/>
  <c r="M136" i="4" s="1"/>
  <c r="N136" i="4" s="1"/>
  <c r="O136" i="4" s="1"/>
  <c r="G22" i="4"/>
  <c r="I22" i="4" s="1"/>
  <c r="M22" i="4" s="1"/>
  <c r="N22" i="4" s="1"/>
  <c r="O22" i="4" s="1"/>
  <c r="G111" i="4"/>
  <c r="I111" i="4" s="1"/>
  <c r="M111" i="4" s="1"/>
  <c r="N111" i="4" s="1"/>
  <c r="O111" i="4" s="1"/>
  <c r="G122" i="4"/>
  <c r="I122" i="4" s="1"/>
  <c r="M122" i="4" s="1"/>
  <c r="N122" i="4" s="1"/>
  <c r="O122" i="4" s="1"/>
  <c r="G83" i="4"/>
  <c r="I83" i="4" s="1"/>
  <c r="M83" i="4" s="1"/>
  <c r="N83" i="4" s="1"/>
  <c r="O83" i="4" s="1"/>
  <c r="G82" i="4"/>
  <c r="I82" i="4" s="1"/>
  <c r="M82" i="4" s="1"/>
  <c r="N82" i="4" s="1"/>
  <c r="O82" i="4" s="1"/>
  <c r="G226" i="4"/>
  <c r="I226" i="4" s="1"/>
  <c r="M226" i="4" s="1"/>
  <c r="N226" i="4" s="1"/>
  <c r="O226" i="4" s="1"/>
  <c r="G225" i="4"/>
  <c r="I225" i="4" s="1"/>
  <c r="M225" i="4" s="1"/>
  <c r="N225" i="4" s="1"/>
  <c r="O225" i="4" s="1"/>
  <c r="G161" i="4"/>
  <c r="I161" i="4" s="1"/>
  <c r="M161" i="4" s="1"/>
  <c r="N161" i="4" s="1"/>
  <c r="O161" i="4" s="1"/>
  <c r="G288" i="4"/>
  <c r="I288" i="4" s="1"/>
  <c r="M288" i="4" s="1"/>
  <c r="N288" i="4" s="1"/>
  <c r="O288" i="4" s="1"/>
  <c r="G178" i="4"/>
  <c r="I178" i="4" s="1"/>
  <c r="M178" i="4" s="1"/>
  <c r="N178" i="4" s="1"/>
  <c r="O178" i="4" s="1"/>
  <c r="G110" i="4"/>
  <c r="I110" i="4" s="1"/>
  <c r="M110" i="4" s="1"/>
  <c r="N110" i="4" s="1"/>
  <c r="O110" i="4" s="1"/>
  <c r="G224" i="4"/>
  <c r="I224" i="4" s="1"/>
  <c r="M224" i="4" s="1"/>
  <c r="N224" i="4" s="1"/>
  <c r="O224" i="4" s="1"/>
  <c r="G223" i="4"/>
  <c r="I223" i="4" s="1"/>
  <c r="M223" i="4" s="1"/>
  <c r="N223" i="4" s="1"/>
  <c r="O223" i="4" s="1"/>
  <c r="G222" i="4"/>
  <c r="I222" i="4" s="1"/>
  <c r="M222" i="4" s="1"/>
  <c r="N222" i="4" s="1"/>
  <c r="O222" i="4" s="1"/>
  <c r="G287" i="4"/>
  <c r="I287" i="4" s="1"/>
  <c r="M287" i="4" s="1"/>
  <c r="N287" i="4" s="1"/>
  <c r="O287" i="4" s="1"/>
  <c r="G81" i="4"/>
  <c r="I81" i="4" s="1"/>
  <c r="M81" i="4" s="1"/>
  <c r="N81" i="4" s="1"/>
  <c r="O81" i="4" s="1"/>
  <c r="G221" i="4"/>
  <c r="I221" i="4" s="1"/>
  <c r="M221" i="4" s="1"/>
  <c r="N221" i="4" s="1"/>
  <c r="O221" i="4" s="1"/>
  <c r="I220" i="4"/>
  <c r="M220" i="4" s="1"/>
  <c r="N220" i="4" s="1"/>
  <c r="O220" i="4" s="1"/>
  <c r="G220" i="4"/>
  <c r="G219" i="4"/>
  <c r="I219" i="4" s="1"/>
  <c r="M219" i="4" s="1"/>
  <c r="N219" i="4" s="1"/>
  <c r="O219" i="4" s="1"/>
  <c r="G218" i="4"/>
  <c r="I218" i="4" s="1"/>
  <c r="M218" i="4" s="1"/>
  <c r="N218" i="4" s="1"/>
  <c r="O218" i="4" s="1"/>
  <c r="G217" i="4"/>
  <c r="I217" i="4" s="1"/>
  <c r="M217" i="4" s="1"/>
  <c r="N217" i="4" s="1"/>
  <c r="O217" i="4" s="1"/>
  <c r="G216" i="4"/>
  <c r="I216" i="4" s="1"/>
  <c r="M216" i="4" s="1"/>
  <c r="N216" i="4" s="1"/>
  <c r="O216" i="4" s="1"/>
  <c r="G215" i="4"/>
  <c r="I215" i="4" s="1"/>
  <c r="M215" i="4" s="1"/>
  <c r="N215" i="4" s="1"/>
  <c r="O215" i="4" s="1"/>
  <c r="G214" i="4"/>
  <c r="I214" i="4" s="1"/>
  <c r="M214" i="4" s="1"/>
  <c r="N214" i="4" s="1"/>
  <c r="O214" i="4" s="1"/>
  <c r="G177" i="4"/>
  <c r="I177" i="4" s="1"/>
  <c r="M177" i="4" s="1"/>
  <c r="N177" i="4" s="1"/>
  <c r="O177" i="4" s="1"/>
  <c r="G160" i="4"/>
  <c r="I160" i="4" s="1"/>
  <c r="M160" i="4" s="1"/>
  <c r="N160" i="4" s="1"/>
  <c r="O160" i="4" s="1"/>
  <c r="G286" i="4"/>
  <c r="I286" i="4" s="1"/>
  <c r="M286" i="4" s="1"/>
  <c r="N286" i="4" s="1"/>
  <c r="O286" i="4" s="1"/>
  <c r="G67" i="4"/>
  <c r="I67" i="4" s="1"/>
  <c r="M67" i="4" s="1"/>
  <c r="N67" i="4" s="1"/>
  <c r="O67" i="4" s="1"/>
  <c r="G21" i="4"/>
  <c r="M21" i="4" s="1"/>
  <c r="N21" i="4" s="1"/>
  <c r="O21" i="4" s="1"/>
  <c r="G285" i="4"/>
  <c r="I285" i="4" s="1"/>
  <c r="M285" i="4" s="1"/>
  <c r="N285" i="4" s="1"/>
  <c r="O285" i="4" s="1"/>
  <c r="G213" i="4"/>
  <c r="I213" i="4" s="1"/>
  <c r="M213" i="4" s="1"/>
  <c r="N213" i="4" s="1"/>
  <c r="O213" i="4" s="1"/>
  <c r="G284" i="4"/>
  <c r="I284" i="4" s="1"/>
  <c r="M284" i="4" s="1"/>
  <c r="N284" i="4" s="1"/>
  <c r="O284" i="4" s="1"/>
  <c r="I60" i="4"/>
  <c r="M60" i="4" s="1"/>
  <c r="N60" i="4" s="1"/>
  <c r="O60" i="4" s="1"/>
  <c r="G60" i="4"/>
  <c r="G20" i="4"/>
  <c r="I20" i="4" s="1"/>
  <c r="N20" i="4" s="1"/>
  <c r="O20" i="4" s="1"/>
  <c r="G212" i="4"/>
  <c r="I212" i="4" s="1"/>
  <c r="M212" i="4" s="1"/>
  <c r="N212" i="4" s="1"/>
  <c r="O212" i="4" s="1"/>
  <c r="G19" i="4"/>
  <c r="I19" i="4" s="1"/>
  <c r="N19" i="4" s="1"/>
  <c r="O19" i="4" s="1"/>
  <c r="G211" i="4"/>
  <c r="I211" i="4" s="1"/>
  <c r="M211" i="4" s="1"/>
  <c r="N211" i="4" s="1"/>
  <c r="O211" i="4" s="1"/>
  <c r="G210" i="4"/>
  <c r="I210" i="4" s="1"/>
  <c r="M210" i="4" s="1"/>
  <c r="N210" i="4" s="1"/>
  <c r="O210" i="4" s="1"/>
  <c r="G283" i="4"/>
  <c r="I283" i="4" s="1"/>
  <c r="M283" i="4" s="1"/>
  <c r="N283" i="4" s="1"/>
  <c r="O283" i="4" s="1"/>
  <c r="G127" i="4"/>
  <c r="I127" i="4" s="1"/>
  <c r="M127" i="4" s="1"/>
  <c r="N127" i="4" s="1"/>
  <c r="O127" i="4" s="1"/>
  <c r="G209" i="4"/>
  <c r="I209" i="4" s="1"/>
  <c r="M209" i="4" s="1"/>
  <c r="N209" i="4" s="1"/>
  <c r="O209" i="4" s="1"/>
  <c r="G18" i="4"/>
  <c r="I18" i="4" s="1"/>
  <c r="N18" i="4" s="1"/>
  <c r="O18" i="4" s="1"/>
  <c r="G109" i="4"/>
  <c r="I109" i="4" s="1"/>
  <c r="M109" i="4" s="1"/>
  <c r="N109" i="4" s="1"/>
  <c r="O109" i="4" s="1"/>
  <c r="G80" i="4"/>
  <c r="I80" i="4" s="1"/>
  <c r="M80" i="4" s="1"/>
  <c r="N80" i="4" s="1"/>
  <c r="O80" i="4" s="1"/>
  <c r="G208" i="4"/>
  <c r="I208" i="4" s="1"/>
  <c r="M208" i="4" s="1"/>
  <c r="N208" i="4" s="1"/>
  <c r="O208" i="4" s="1"/>
  <c r="G121" i="4"/>
  <c r="I121" i="4" s="1"/>
  <c r="M121" i="4" s="1"/>
  <c r="N121" i="4" s="1"/>
  <c r="O121" i="4" s="1"/>
  <c r="G207" i="4"/>
  <c r="I207" i="4" s="1"/>
  <c r="M207" i="4" s="1"/>
  <c r="N207" i="4" s="1"/>
  <c r="O207" i="4" s="1"/>
  <c r="G17" i="4"/>
  <c r="I17" i="4" s="1"/>
  <c r="M17" i="4" s="1"/>
  <c r="N17" i="4" s="1"/>
  <c r="O17" i="4" s="1"/>
  <c r="G282" i="4"/>
  <c r="I282" i="4" s="1"/>
  <c r="M282" i="4" s="1"/>
  <c r="N282" i="4" s="1"/>
  <c r="O282" i="4" s="1"/>
  <c r="G281" i="4"/>
  <c r="I281" i="4" s="1"/>
  <c r="M281" i="4" s="1"/>
  <c r="N281" i="4" s="1"/>
  <c r="O281" i="4" s="1"/>
  <c r="I150" i="4"/>
  <c r="M150" i="4" s="1"/>
  <c r="N150" i="4" s="1"/>
  <c r="O150" i="4" s="1"/>
  <c r="G150" i="4"/>
  <c r="G280" i="4"/>
  <c r="I280" i="4" s="1"/>
  <c r="M280" i="4" s="1"/>
  <c r="N280" i="4" s="1"/>
  <c r="O280" i="4" s="1"/>
  <c r="G16" i="4"/>
  <c r="I16" i="4" s="1"/>
  <c r="N16" i="4" s="1"/>
  <c r="O16" i="4" s="1"/>
  <c r="G15" i="4"/>
  <c r="I15" i="4" s="1"/>
  <c r="M15" i="4" s="1"/>
  <c r="N15" i="4" s="1"/>
  <c r="O15" i="4" s="1"/>
  <c r="G14" i="4"/>
  <c r="I14" i="4" s="1"/>
  <c r="M14" i="4" s="1"/>
  <c r="N14" i="4" s="1"/>
  <c r="O14" i="4" s="1"/>
  <c r="G63" i="4"/>
  <c r="I63" i="4" s="1"/>
  <c r="M63" i="4" s="1"/>
  <c r="N63" i="4" s="1"/>
  <c r="O63" i="4" s="1"/>
  <c r="G108" i="4"/>
  <c r="I108" i="4" s="1"/>
  <c r="M108" i="4" s="1"/>
  <c r="N108" i="4" s="1"/>
  <c r="O108" i="4" s="1"/>
  <c r="O79" i="4"/>
  <c r="G79" i="4"/>
  <c r="I79" i="4" s="1"/>
  <c r="M79" i="4" s="1"/>
  <c r="N79" i="4" s="1"/>
  <c r="G107" i="4"/>
  <c r="I107" i="4" s="1"/>
  <c r="M107" i="4" s="1"/>
  <c r="N107" i="4" s="1"/>
  <c r="O107" i="4" s="1"/>
  <c r="G279" i="4"/>
  <c r="I279" i="4" s="1"/>
  <c r="M279" i="4" s="1"/>
  <c r="N279" i="4" s="1"/>
  <c r="O279" i="4" s="1"/>
  <c r="G13" i="4"/>
  <c r="I13" i="4" s="1"/>
  <c r="M13" i="4" s="1"/>
  <c r="N13" i="4" s="1"/>
  <c r="O13" i="4" s="1"/>
  <c r="G12" i="4"/>
  <c r="I12" i="4" s="1"/>
  <c r="M12" i="4" s="1"/>
  <c r="N12" i="4" s="1"/>
  <c r="O12" i="4" s="1"/>
  <c r="G59" i="4"/>
  <c r="I59" i="4" s="1"/>
  <c r="M59" i="4" s="1"/>
  <c r="N59" i="4" s="1"/>
  <c r="O59" i="4" s="1"/>
  <c r="G11" i="4"/>
  <c r="I11" i="4" s="1"/>
  <c r="M11" i="4" s="1"/>
  <c r="N11" i="4" s="1"/>
  <c r="O11" i="4" s="1"/>
  <c r="G159" i="4"/>
  <c r="I159" i="4" s="1"/>
  <c r="M159" i="4" s="1"/>
  <c r="N159" i="4" s="1"/>
  <c r="O159" i="4" s="1"/>
  <c r="G10" i="4"/>
  <c r="I10" i="4" s="1"/>
  <c r="M10" i="4" s="1"/>
  <c r="N10" i="4" s="1"/>
  <c r="O10" i="4" s="1"/>
  <c r="G9" i="4"/>
  <c r="I9" i="4" s="1"/>
  <c r="M9" i="4" s="1"/>
  <c r="N9" i="4" s="1"/>
  <c r="O9" i="4" s="1"/>
  <c r="G206" i="4"/>
  <c r="I206" i="4" s="1"/>
  <c r="M206" i="4" s="1"/>
  <c r="N206" i="4" s="1"/>
  <c r="O206" i="4" s="1"/>
  <c r="G205" i="4"/>
  <c r="I205" i="4" s="1"/>
  <c r="M205" i="4" s="1"/>
  <c r="N205" i="4" s="1"/>
  <c r="O205" i="4" s="1"/>
  <c r="G204" i="4"/>
  <c r="I204" i="4" s="1"/>
  <c r="M204" i="4" s="1"/>
  <c r="N204" i="4" s="1"/>
  <c r="O204" i="4" s="1"/>
  <c r="I203" i="4"/>
  <c r="M203" i="4" s="1"/>
  <c r="N203" i="4" s="1"/>
  <c r="O203" i="4" s="1"/>
  <c r="G203" i="4"/>
  <c r="G202" i="4"/>
  <c r="I202" i="4" s="1"/>
  <c r="M202" i="4" s="1"/>
  <c r="N202" i="4" s="1"/>
  <c r="O202" i="4" s="1"/>
  <c r="G201" i="4"/>
  <c r="I201" i="4" s="1"/>
  <c r="M201" i="4" s="1"/>
  <c r="N201" i="4" s="1"/>
  <c r="O201" i="4" s="1"/>
  <c r="G200" i="4"/>
  <c r="I200" i="4" s="1"/>
  <c r="M200" i="4" s="1"/>
  <c r="N200" i="4" s="1"/>
  <c r="O200" i="4" s="1"/>
  <c r="G199" i="4"/>
  <c r="I199" i="4" s="1"/>
  <c r="M199" i="4" s="1"/>
  <c r="N199" i="4" s="1"/>
  <c r="O199" i="4" s="1"/>
  <c r="G78" i="4"/>
  <c r="I78" i="4" s="1"/>
  <c r="M78" i="4" s="1"/>
  <c r="N78" i="4" s="1"/>
  <c r="O78" i="4" s="1"/>
  <c r="G77" i="4"/>
  <c r="I77" i="4" s="1"/>
  <c r="M77" i="4" s="1"/>
  <c r="N77" i="4" s="1"/>
  <c r="O77" i="4" s="1"/>
  <c r="G198" i="4"/>
  <c r="I198" i="4" s="1"/>
  <c r="M198" i="4" s="1"/>
  <c r="N198" i="4" s="1"/>
  <c r="O198" i="4" s="1"/>
  <c r="G278" i="4"/>
  <c r="I278" i="4" s="1"/>
  <c r="M278" i="4" s="1"/>
  <c r="N278" i="4" s="1"/>
  <c r="O278" i="4" s="1"/>
  <c r="G76" i="4"/>
  <c r="I76" i="4" s="1"/>
  <c r="M76" i="4" s="1"/>
  <c r="N76" i="4" s="1"/>
  <c r="O76" i="4" s="1"/>
  <c r="G58" i="4"/>
  <c r="I58" i="4" s="1"/>
  <c r="M58" i="4" s="1"/>
  <c r="N58" i="4" s="1"/>
  <c r="O58" i="4" s="1"/>
  <c r="G126" i="4"/>
  <c r="I126" i="4" s="1"/>
  <c r="M126" i="4" s="1"/>
  <c r="N126" i="4" s="1"/>
  <c r="O126" i="4" s="1"/>
  <c r="G197" i="4"/>
  <c r="I197" i="4" s="1"/>
  <c r="M197" i="4" s="1"/>
  <c r="N197" i="4" s="1"/>
  <c r="O197" i="4" s="1"/>
  <c r="G196" i="4"/>
  <c r="I196" i="4" s="1"/>
  <c r="M196" i="4" s="1"/>
  <c r="N196" i="4" s="1"/>
  <c r="O196" i="4" s="1"/>
  <c r="G277" i="4"/>
  <c r="I277" i="4" s="1"/>
  <c r="M277" i="4" s="1"/>
  <c r="N277" i="4" s="1"/>
  <c r="O277" i="4" s="1"/>
  <c r="G158" i="4"/>
  <c r="I158" i="4" s="1"/>
  <c r="M158" i="4" s="1"/>
  <c r="N158" i="4" s="1"/>
  <c r="O158" i="4" s="1"/>
  <c r="I173" i="4"/>
  <c r="M173" i="4" s="1"/>
  <c r="N173" i="4" s="1"/>
  <c r="O173" i="4" s="1"/>
  <c r="G173" i="4"/>
  <c r="G195" i="4"/>
  <c r="I195" i="4" s="1"/>
  <c r="M195" i="4" s="1"/>
  <c r="N195" i="4" s="1"/>
  <c r="O195" i="4" s="1"/>
  <c r="G194" i="4"/>
  <c r="I194" i="4" s="1"/>
  <c r="M194" i="4" s="1"/>
  <c r="N194" i="4" s="1"/>
  <c r="O194" i="4" s="1"/>
  <c r="G106" i="4"/>
  <c r="I106" i="4" s="1"/>
  <c r="M106" i="4" s="1"/>
  <c r="N106" i="4" s="1"/>
  <c r="O106" i="4" s="1"/>
  <c r="I105" i="4"/>
  <c r="M105" i="4" s="1"/>
  <c r="N105" i="4" s="1"/>
  <c r="O105" i="4" s="1"/>
  <c r="G105" i="4"/>
  <c r="G8" i="4"/>
  <c r="I8" i="4" s="1"/>
  <c r="M8" i="4" s="1"/>
  <c r="N8" i="4" s="1"/>
  <c r="O8" i="4" s="1"/>
  <c r="G135" i="4"/>
  <c r="I135" i="4" s="1"/>
  <c r="M135" i="4" s="1"/>
  <c r="N135" i="4" s="1"/>
  <c r="O135" i="4" s="1"/>
  <c r="G7" i="4"/>
  <c r="I7" i="4" s="1"/>
  <c r="M7" i="4" s="1"/>
  <c r="N7" i="4" s="1"/>
  <c r="O7" i="4" s="1"/>
  <c r="G75" i="4"/>
  <c r="I75" i="4" s="1"/>
  <c r="M75" i="4" s="1"/>
  <c r="N75" i="4" s="1"/>
  <c r="O75" i="4" s="1"/>
  <c r="I104" i="4"/>
  <c r="M104" i="4" s="1"/>
  <c r="N104" i="4" s="1"/>
  <c r="O104" i="4" s="1"/>
  <c r="G104" i="4"/>
  <c r="G276" i="4"/>
  <c r="I276" i="4" s="1"/>
  <c r="M276" i="4" s="1"/>
  <c r="N276" i="4" s="1"/>
  <c r="O276" i="4" s="1"/>
  <c r="G275" i="4"/>
  <c r="I275" i="4" s="1"/>
  <c r="M275" i="4" s="1"/>
  <c r="N275" i="4" s="1"/>
  <c r="O275" i="4" s="1"/>
  <c r="G57" i="4"/>
  <c r="I57" i="4" s="1"/>
  <c r="M57" i="4" s="1"/>
  <c r="N57" i="4" s="1"/>
  <c r="O57" i="4" s="1"/>
  <c r="G56" i="4"/>
  <c r="I56" i="4" s="1"/>
  <c r="M56" i="4" s="1"/>
  <c r="N56" i="4" s="1"/>
  <c r="O56" i="4" s="1"/>
  <c r="G103" i="4"/>
  <c r="I103" i="4" s="1"/>
  <c r="M103" i="4" s="1"/>
  <c r="N103" i="4" s="1"/>
  <c r="O103" i="4" s="1"/>
  <c r="G134" i="4"/>
  <c r="I134" i="4" s="1"/>
  <c r="M134" i="4" s="1"/>
  <c r="N134" i="4" s="1"/>
  <c r="O134" i="4" s="1"/>
  <c r="G193" i="4"/>
  <c r="I193" i="4" s="1"/>
  <c r="M193" i="4" s="1"/>
  <c r="N193" i="4" s="1"/>
  <c r="O193" i="4" s="1"/>
  <c r="G74" i="4"/>
  <c r="I74" i="4" s="1"/>
  <c r="M74" i="4" s="1"/>
  <c r="N74" i="4" s="1"/>
  <c r="O74" i="4" s="1"/>
  <c r="G125" i="4"/>
  <c r="I125" i="4" s="1"/>
  <c r="M125" i="4" s="1"/>
  <c r="N125" i="4" s="1"/>
  <c r="O125" i="4" s="1"/>
  <c r="G274" i="4"/>
  <c r="I274" i="4" s="1"/>
  <c r="M274" i="4" s="1"/>
  <c r="N274" i="4" s="1"/>
  <c r="O274" i="4" s="1"/>
  <c r="G192" i="4"/>
  <c r="I192" i="4" s="1"/>
  <c r="M192" i="4" s="1"/>
  <c r="N192" i="4" s="1"/>
  <c r="O192" i="4" s="1"/>
  <c r="G191" i="4"/>
  <c r="I191" i="4" s="1"/>
  <c r="M191" i="4" s="1"/>
  <c r="N191" i="4" s="1"/>
  <c r="O191" i="4" s="1"/>
  <c r="G6" i="4"/>
  <c r="I6" i="4" s="1"/>
  <c r="M6" i="4" s="1"/>
  <c r="N6" i="4" s="1"/>
  <c r="O6" i="4" s="1"/>
  <c r="G5" i="4"/>
  <c r="I5" i="4" s="1"/>
  <c r="M5" i="4" s="1"/>
  <c r="N5" i="4" s="1"/>
  <c r="O5" i="4" s="1"/>
  <c r="I190" i="4"/>
  <c r="M190" i="4" s="1"/>
  <c r="N190" i="4" s="1"/>
  <c r="O190" i="4" s="1"/>
  <c r="G190" i="4"/>
  <c r="G189" i="4"/>
  <c r="I189" i="4" s="1"/>
  <c r="M189" i="4" s="1"/>
  <c r="N189" i="4" s="1"/>
  <c r="O189" i="4" s="1"/>
  <c r="G188" i="4"/>
  <c r="I188" i="4" s="1"/>
  <c r="M188" i="4" s="1"/>
  <c r="N188" i="4" s="1"/>
  <c r="O188" i="4" s="1"/>
  <c r="G187" i="4"/>
  <c r="I187" i="4" s="1"/>
  <c r="M187" i="4" s="1"/>
  <c r="N187" i="4" s="1"/>
  <c r="O187" i="4" s="1"/>
  <c r="G186" i="4"/>
  <c r="I186" i="4" s="1"/>
  <c r="M186" i="4" s="1"/>
  <c r="N186" i="4" s="1"/>
  <c r="O186" i="4" s="1"/>
  <c r="G185" i="4"/>
  <c r="I185" i="4" s="1"/>
  <c r="M185" i="4" s="1"/>
  <c r="N185" i="4" s="1"/>
  <c r="O185" i="4" s="1"/>
  <c r="G184" i="4"/>
  <c r="I184" i="4" s="1"/>
  <c r="M184" i="4" s="1"/>
  <c r="N184" i="4" s="1"/>
  <c r="O184" i="4" s="1"/>
  <c r="G183" i="4"/>
  <c r="I183" i="4" s="1"/>
  <c r="M183" i="4" s="1"/>
  <c r="N183" i="4" s="1"/>
  <c r="O183" i="4" s="1"/>
  <c r="G182" i="4"/>
  <c r="I182" i="4" s="1"/>
  <c r="M182" i="4" s="1"/>
  <c r="N182" i="4" s="1"/>
  <c r="O182" i="4" s="1"/>
  <c r="G4" i="4"/>
  <c r="I4" i="4" s="1"/>
  <c r="M4" i="4" s="1"/>
  <c r="N4" i="4" s="1"/>
  <c r="O4" i="4" s="1"/>
  <c r="G3" i="4"/>
  <c r="I3" i="4" s="1"/>
  <c r="M3" i="4" s="1"/>
  <c r="N3" i="4" s="1"/>
  <c r="O3" i="4" s="1"/>
  <c r="G73" i="4"/>
  <c r="I73" i="4" s="1"/>
  <c r="M73" i="4" s="1"/>
  <c r="N73" i="4" s="1"/>
  <c r="O73" i="4" s="1"/>
  <c r="G273" i="4"/>
  <c r="I273" i="4" s="1"/>
  <c r="M273" i="4" s="1"/>
  <c r="N273" i="4" s="1"/>
  <c r="O273" i="4" s="1"/>
  <c r="G72" i="4"/>
  <c r="I72" i="4" s="1"/>
  <c r="M72" i="4" s="1"/>
  <c r="N72" i="4" s="1"/>
  <c r="O72" i="4" s="1"/>
  <c r="I181" i="4"/>
  <c r="M181" i="4" s="1"/>
  <c r="N181" i="4" s="1"/>
  <c r="O181" i="4" s="1"/>
  <c r="G181" i="4"/>
  <c r="G180" i="4"/>
  <c r="L634" i="3"/>
  <c r="H634" i="3"/>
  <c r="D634" i="3"/>
  <c r="B634" i="3"/>
  <c r="G633" i="3"/>
  <c r="I633" i="3" s="1"/>
  <c r="M633" i="3" s="1"/>
  <c r="N633" i="3" s="1"/>
  <c r="O633" i="3" s="1"/>
  <c r="G632" i="3"/>
  <c r="I632" i="3" s="1"/>
  <c r="M632" i="3" s="1"/>
  <c r="N632" i="3" s="1"/>
  <c r="O632" i="3" s="1"/>
  <c r="G631" i="3"/>
  <c r="I631" i="3" s="1"/>
  <c r="M631" i="3" s="1"/>
  <c r="N631" i="3" s="1"/>
  <c r="O631" i="3" s="1"/>
  <c r="G630" i="3"/>
  <c r="I630" i="3" s="1"/>
  <c r="M630" i="3" s="1"/>
  <c r="N630" i="3" s="1"/>
  <c r="O630" i="3" s="1"/>
  <c r="G629" i="3"/>
  <c r="I629" i="3" s="1"/>
  <c r="M629" i="3" s="1"/>
  <c r="N629" i="3" s="1"/>
  <c r="O629" i="3" s="1"/>
  <c r="G628" i="3"/>
  <c r="I628" i="3" s="1"/>
  <c r="M628" i="3" s="1"/>
  <c r="N628" i="3" s="1"/>
  <c r="O628" i="3" s="1"/>
  <c r="G627" i="3"/>
  <c r="I627" i="3" s="1"/>
  <c r="M627" i="3" s="1"/>
  <c r="N627" i="3" s="1"/>
  <c r="O627" i="3" s="1"/>
  <c r="G626" i="3"/>
  <c r="I626" i="3" s="1"/>
  <c r="N626" i="3" s="1"/>
  <c r="O626" i="3" s="1"/>
  <c r="G625" i="3"/>
  <c r="I625" i="3" s="1"/>
  <c r="M625" i="3" s="1"/>
  <c r="N625" i="3" s="1"/>
  <c r="O625" i="3" s="1"/>
  <c r="G624" i="3"/>
  <c r="I624" i="3" s="1"/>
  <c r="M624" i="3" s="1"/>
  <c r="N624" i="3" s="1"/>
  <c r="O624" i="3" s="1"/>
  <c r="G623" i="3"/>
  <c r="I623" i="3" s="1"/>
  <c r="M623" i="3" s="1"/>
  <c r="N623" i="3" s="1"/>
  <c r="O623" i="3" s="1"/>
  <c r="G622" i="3"/>
  <c r="I622" i="3" s="1"/>
  <c r="M622" i="3" s="1"/>
  <c r="N622" i="3" s="1"/>
  <c r="O622" i="3" s="1"/>
  <c r="G621" i="3"/>
  <c r="I621" i="3" s="1"/>
  <c r="M621" i="3" s="1"/>
  <c r="N621" i="3" s="1"/>
  <c r="O621" i="3" s="1"/>
  <c r="G620" i="3"/>
  <c r="I620" i="3" s="1"/>
  <c r="M620" i="3" s="1"/>
  <c r="N620" i="3" s="1"/>
  <c r="O620" i="3" s="1"/>
  <c r="G619" i="3"/>
  <c r="I619" i="3" s="1"/>
  <c r="M619" i="3" s="1"/>
  <c r="N619" i="3" s="1"/>
  <c r="O619" i="3" s="1"/>
  <c r="G618" i="3"/>
  <c r="I618" i="3" s="1"/>
  <c r="M618" i="3" s="1"/>
  <c r="N618" i="3" s="1"/>
  <c r="O618" i="3" s="1"/>
  <c r="G617" i="3"/>
  <c r="I617" i="3" s="1"/>
  <c r="M617" i="3" s="1"/>
  <c r="N617" i="3" s="1"/>
  <c r="O617" i="3" s="1"/>
  <c r="G616" i="3"/>
  <c r="I616" i="3" s="1"/>
  <c r="M616" i="3" s="1"/>
  <c r="N616" i="3" s="1"/>
  <c r="O616" i="3" s="1"/>
  <c r="G615" i="3"/>
  <c r="I615" i="3" s="1"/>
  <c r="M615" i="3" s="1"/>
  <c r="N615" i="3" s="1"/>
  <c r="O615" i="3" s="1"/>
  <c r="G614" i="3"/>
  <c r="I614" i="3" s="1"/>
  <c r="M614" i="3" s="1"/>
  <c r="N614" i="3" s="1"/>
  <c r="O614" i="3" s="1"/>
  <c r="G613" i="3"/>
  <c r="I613" i="3" s="1"/>
  <c r="M613" i="3" s="1"/>
  <c r="N613" i="3" s="1"/>
  <c r="O613" i="3" s="1"/>
  <c r="G612" i="3"/>
  <c r="I612" i="3" s="1"/>
  <c r="M612" i="3" s="1"/>
  <c r="N612" i="3" s="1"/>
  <c r="O612" i="3" s="1"/>
  <c r="G611" i="3"/>
  <c r="I611" i="3" s="1"/>
  <c r="M611" i="3" s="1"/>
  <c r="N611" i="3" s="1"/>
  <c r="O611" i="3" s="1"/>
  <c r="G610" i="3"/>
  <c r="I610" i="3" s="1"/>
  <c r="M610" i="3" s="1"/>
  <c r="N610" i="3" s="1"/>
  <c r="O610" i="3" s="1"/>
  <c r="G609" i="3"/>
  <c r="I609" i="3" s="1"/>
  <c r="M609" i="3" s="1"/>
  <c r="N609" i="3" s="1"/>
  <c r="O609" i="3" s="1"/>
  <c r="G608" i="3"/>
  <c r="I608" i="3" s="1"/>
  <c r="M608" i="3" s="1"/>
  <c r="N608" i="3" s="1"/>
  <c r="O608" i="3" s="1"/>
  <c r="G607" i="3"/>
  <c r="I607" i="3" s="1"/>
  <c r="M607" i="3" s="1"/>
  <c r="N607" i="3" s="1"/>
  <c r="O607" i="3" s="1"/>
  <c r="G606" i="3"/>
  <c r="I606" i="3" s="1"/>
  <c r="M606" i="3" s="1"/>
  <c r="N606" i="3" s="1"/>
  <c r="O606" i="3" s="1"/>
  <c r="G605" i="3"/>
  <c r="I605" i="3" s="1"/>
  <c r="M605" i="3" s="1"/>
  <c r="N605" i="3" s="1"/>
  <c r="O605" i="3" s="1"/>
  <c r="G604" i="3"/>
  <c r="I604" i="3" s="1"/>
  <c r="M604" i="3" s="1"/>
  <c r="N604" i="3" s="1"/>
  <c r="O604" i="3" s="1"/>
  <c r="G603" i="3"/>
  <c r="I603" i="3" s="1"/>
  <c r="M603" i="3" s="1"/>
  <c r="N603" i="3" s="1"/>
  <c r="O603" i="3" s="1"/>
  <c r="G602" i="3"/>
  <c r="I602" i="3" s="1"/>
  <c r="M602" i="3" s="1"/>
  <c r="N602" i="3" s="1"/>
  <c r="O602" i="3" s="1"/>
  <c r="G601" i="3"/>
  <c r="I601" i="3" s="1"/>
  <c r="M601" i="3" s="1"/>
  <c r="N601" i="3" s="1"/>
  <c r="O601" i="3" s="1"/>
  <c r="G600" i="3"/>
  <c r="I600" i="3" s="1"/>
  <c r="M600" i="3" s="1"/>
  <c r="N600" i="3" s="1"/>
  <c r="O600" i="3" s="1"/>
  <c r="G599" i="3"/>
  <c r="I599" i="3" s="1"/>
  <c r="M599" i="3" s="1"/>
  <c r="N599" i="3" s="1"/>
  <c r="O599" i="3" s="1"/>
  <c r="G598" i="3"/>
  <c r="I598" i="3" s="1"/>
  <c r="M598" i="3" s="1"/>
  <c r="N598" i="3" s="1"/>
  <c r="O598" i="3" s="1"/>
  <c r="G597" i="3"/>
  <c r="I597" i="3" s="1"/>
  <c r="M597" i="3" s="1"/>
  <c r="N597" i="3" s="1"/>
  <c r="O597" i="3" s="1"/>
  <c r="G596" i="3"/>
  <c r="I596" i="3" s="1"/>
  <c r="M596" i="3" s="1"/>
  <c r="N596" i="3" s="1"/>
  <c r="O596" i="3" s="1"/>
  <c r="G595" i="3"/>
  <c r="I595" i="3" s="1"/>
  <c r="M595" i="3" s="1"/>
  <c r="N595" i="3" s="1"/>
  <c r="O595" i="3" s="1"/>
  <c r="G594" i="3"/>
  <c r="I594" i="3" s="1"/>
  <c r="M594" i="3" s="1"/>
  <c r="N594" i="3" s="1"/>
  <c r="O594" i="3" s="1"/>
  <c r="G593" i="3"/>
  <c r="I593" i="3" s="1"/>
  <c r="M593" i="3" s="1"/>
  <c r="N593" i="3" s="1"/>
  <c r="O593" i="3" s="1"/>
  <c r="G592" i="3"/>
  <c r="I592" i="3" s="1"/>
  <c r="M592" i="3" s="1"/>
  <c r="N592" i="3" s="1"/>
  <c r="O592" i="3" s="1"/>
  <c r="G591" i="3"/>
  <c r="I591" i="3" s="1"/>
  <c r="M591" i="3" s="1"/>
  <c r="N591" i="3" s="1"/>
  <c r="O591" i="3" s="1"/>
  <c r="G590" i="3"/>
  <c r="I590" i="3" s="1"/>
  <c r="M590" i="3" s="1"/>
  <c r="N590" i="3" s="1"/>
  <c r="O590" i="3" s="1"/>
  <c r="G589" i="3"/>
  <c r="I589" i="3" s="1"/>
  <c r="M589" i="3" s="1"/>
  <c r="N589" i="3" s="1"/>
  <c r="O589" i="3" s="1"/>
  <c r="G588" i="3"/>
  <c r="I588" i="3" s="1"/>
  <c r="M588" i="3" s="1"/>
  <c r="N588" i="3" s="1"/>
  <c r="O588" i="3" s="1"/>
  <c r="G587" i="3"/>
  <c r="I587" i="3" s="1"/>
  <c r="M587" i="3" s="1"/>
  <c r="N587" i="3" s="1"/>
  <c r="O587" i="3" s="1"/>
  <c r="G586" i="3"/>
  <c r="I586" i="3" s="1"/>
  <c r="M586" i="3" s="1"/>
  <c r="N586" i="3" s="1"/>
  <c r="O586" i="3" s="1"/>
  <c r="G585" i="3"/>
  <c r="I585" i="3" s="1"/>
  <c r="M585" i="3" s="1"/>
  <c r="N585" i="3" s="1"/>
  <c r="O585" i="3" s="1"/>
  <c r="G584" i="3"/>
  <c r="I584" i="3" s="1"/>
  <c r="M584" i="3" s="1"/>
  <c r="N584" i="3" s="1"/>
  <c r="O584" i="3" s="1"/>
  <c r="G583" i="3"/>
  <c r="I583" i="3" s="1"/>
  <c r="M583" i="3" s="1"/>
  <c r="N583" i="3" s="1"/>
  <c r="O583" i="3" s="1"/>
  <c r="G582" i="3"/>
  <c r="I582" i="3" s="1"/>
  <c r="M582" i="3" s="1"/>
  <c r="N582" i="3" s="1"/>
  <c r="O582" i="3" s="1"/>
  <c r="G581" i="3"/>
  <c r="I581" i="3" s="1"/>
  <c r="M581" i="3" s="1"/>
  <c r="N581" i="3" s="1"/>
  <c r="O581" i="3" s="1"/>
  <c r="G580" i="3"/>
  <c r="I580" i="3" s="1"/>
  <c r="M580" i="3" s="1"/>
  <c r="N580" i="3" s="1"/>
  <c r="O580" i="3" s="1"/>
  <c r="G579" i="3"/>
  <c r="I579" i="3" s="1"/>
  <c r="M579" i="3" s="1"/>
  <c r="N579" i="3" s="1"/>
  <c r="O579" i="3" s="1"/>
  <c r="G578" i="3"/>
  <c r="I578" i="3" s="1"/>
  <c r="M578" i="3" s="1"/>
  <c r="N578" i="3" s="1"/>
  <c r="O578" i="3" s="1"/>
  <c r="G577" i="3"/>
  <c r="I577" i="3" s="1"/>
  <c r="M577" i="3" s="1"/>
  <c r="N577" i="3" s="1"/>
  <c r="O577" i="3" s="1"/>
  <c r="G576" i="3"/>
  <c r="I576" i="3" s="1"/>
  <c r="M576" i="3" s="1"/>
  <c r="N576" i="3" s="1"/>
  <c r="O576" i="3" s="1"/>
  <c r="G575" i="3"/>
  <c r="I575" i="3" s="1"/>
  <c r="M575" i="3" s="1"/>
  <c r="N575" i="3" s="1"/>
  <c r="O575" i="3" s="1"/>
  <c r="G574" i="3"/>
  <c r="I574" i="3" s="1"/>
  <c r="M574" i="3" s="1"/>
  <c r="N574" i="3" s="1"/>
  <c r="O574" i="3" s="1"/>
  <c r="G573" i="3"/>
  <c r="I573" i="3" s="1"/>
  <c r="M573" i="3" s="1"/>
  <c r="N573" i="3" s="1"/>
  <c r="O573" i="3" s="1"/>
  <c r="G572" i="3"/>
  <c r="I572" i="3" s="1"/>
  <c r="M572" i="3" s="1"/>
  <c r="N572" i="3" s="1"/>
  <c r="O572" i="3" s="1"/>
  <c r="G571" i="3"/>
  <c r="I571" i="3" s="1"/>
  <c r="M571" i="3" s="1"/>
  <c r="N571" i="3" s="1"/>
  <c r="O571" i="3" s="1"/>
  <c r="G570" i="3"/>
  <c r="I570" i="3" s="1"/>
  <c r="M570" i="3" s="1"/>
  <c r="N570" i="3" s="1"/>
  <c r="O570" i="3" s="1"/>
  <c r="G569" i="3"/>
  <c r="I569" i="3" s="1"/>
  <c r="M569" i="3" s="1"/>
  <c r="N569" i="3" s="1"/>
  <c r="O569" i="3" s="1"/>
  <c r="G568" i="3"/>
  <c r="I568" i="3" s="1"/>
  <c r="M568" i="3" s="1"/>
  <c r="N568" i="3" s="1"/>
  <c r="O568" i="3" s="1"/>
  <c r="G567" i="3"/>
  <c r="I567" i="3" s="1"/>
  <c r="M567" i="3" s="1"/>
  <c r="N567" i="3" s="1"/>
  <c r="O567" i="3" s="1"/>
  <c r="G566" i="3"/>
  <c r="I566" i="3" s="1"/>
  <c r="M566" i="3" s="1"/>
  <c r="N566" i="3" s="1"/>
  <c r="O566" i="3" s="1"/>
  <c r="G565" i="3"/>
  <c r="I565" i="3" s="1"/>
  <c r="M565" i="3" s="1"/>
  <c r="N565" i="3" s="1"/>
  <c r="O565" i="3" s="1"/>
  <c r="G564" i="3"/>
  <c r="I564" i="3" s="1"/>
  <c r="M564" i="3" s="1"/>
  <c r="N564" i="3" s="1"/>
  <c r="O564" i="3" s="1"/>
  <c r="G563" i="3"/>
  <c r="I563" i="3" s="1"/>
  <c r="M563" i="3" s="1"/>
  <c r="N563" i="3" s="1"/>
  <c r="O563" i="3" s="1"/>
  <c r="G562" i="3"/>
  <c r="I562" i="3" s="1"/>
  <c r="M562" i="3" s="1"/>
  <c r="N562" i="3" s="1"/>
  <c r="O562" i="3" s="1"/>
  <c r="G561" i="3"/>
  <c r="I561" i="3" s="1"/>
  <c r="M561" i="3" s="1"/>
  <c r="N561" i="3" s="1"/>
  <c r="O561" i="3" s="1"/>
  <c r="G560" i="3"/>
  <c r="I560" i="3" s="1"/>
  <c r="M560" i="3" s="1"/>
  <c r="N560" i="3" s="1"/>
  <c r="O560" i="3" s="1"/>
  <c r="G559" i="3"/>
  <c r="I559" i="3" s="1"/>
  <c r="M559" i="3" s="1"/>
  <c r="N559" i="3" s="1"/>
  <c r="O559" i="3" s="1"/>
  <c r="G558" i="3"/>
  <c r="I558" i="3" s="1"/>
  <c r="M558" i="3" s="1"/>
  <c r="N558" i="3" s="1"/>
  <c r="O558" i="3" s="1"/>
  <c r="G557" i="3"/>
  <c r="I557" i="3" s="1"/>
  <c r="M557" i="3" s="1"/>
  <c r="N557" i="3" s="1"/>
  <c r="O557" i="3" s="1"/>
  <c r="G556" i="3"/>
  <c r="I556" i="3" s="1"/>
  <c r="M556" i="3" s="1"/>
  <c r="N556" i="3" s="1"/>
  <c r="O556" i="3" s="1"/>
  <c r="G555" i="3"/>
  <c r="I555" i="3" s="1"/>
  <c r="M555" i="3" s="1"/>
  <c r="N555" i="3" s="1"/>
  <c r="O555" i="3" s="1"/>
  <c r="G554" i="3"/>
  <c r="I554" i="3" s="1"/>
  <c r="M554" i="3" s="1"/>
  <c r="N554" i="3" s="1"/>
  <c r="O554" i="3" s="1"/>
  <c r="G553" i="3"/>
  <c r="I553" i="3" s="1"/>
  <c r="M553" i="3" s="1"/>
  <c r="N553" i="3" s="1"/>
  <c r="O553" i="3" s="1"/>
  <c r="G552" i="3"/>
  <c r="I552" i="3" s="1"/>
  <c r="M552" i="3" s="1"/>
  <c r="N552" i="3" s="1"/>
  <c r="O552" i="3" s="1"/>
  <c r="G551" i="3"/>
  <c r="I551" i="3" s="1"/>
  <c r="M551" i="3" s="1"/>
  <c r="N551" i="3" s="1"/>
  <c r="O551" i="3" s="1"/>
  <c r="G550" i="3"/>
  <c r="I550" i="3" s="1"/>
  <c r="M550" i="3" s="1"/>
  <c r="N550" i="3" s="1"/>
  <c r="O550" i="3" s="1"/>
  <c r="G549" i="3"/>
  <c r="I549" i="3" s="1"/>
  <c r="M549" i="3" s="1"/>
  <c r="N549" i="3" s="1"/>
  <c r="O549" i="3" s="1"/>
  <c r="G548" i="3"/>
  <c r="I548" i="3" s="1"/>
  <c r="M548" i="3" s="1"/>
  <c r="N548" i="3" s="1"/>
  <c r="O548" i="3" s="1"/>
  <c r="G547" i="3"/>
  <c r="I547" i="3" s="1"/>
  <c r="M547" i="3" s="1"/>
  <c r="N547" i="3" s="1"/>
  <c r="O547" i="3" s="1"/>
  <c r="G546" i="3"/>
  <c r="I546" i="3" s="1"/>
  <c r="M546" i="3" s="1"/>
  <c r="N546" i="3" s="1"/>
  <c r="O546" i="3" s="1"/>
  <c r="G545" i="3"/>
  <c r="I545" i="3" s="1"/>
  <c r="M545" i="3" s="1"/>
  <c r="N545" i="3" s="1"/>
  <c r="O545" i="3" s="1"/>
  <c r="G544" i="3"/>
  <c r="I544" i="3" s="1"/>
  <c r="M544" i="3" s="1"/>
  <c r="N544" i="3" s="1"/>
  <c r="O544" i="3" s="1"/>
  <c r="G543" i="3"/>
  <c r="I543" i="3" s="1"/>
  <c r="M543" i="3" s="1"/>
  <c r="N543" i="3" s="1"/>
  <c r="O543" i="3" s="1"/>
  <c r="G542" i="3"/>
  <c r="I542" i="3" s="1"/>
  <c r="M542" i="3" s="1"/>
  <c r="N542" i="3" s="1"/>
  <c r="O542" i="3" s="1"/>
  <c r="G541" i="3"/>
  <c r="I541" i="3" s="1"/>
  <c r="M541" i="3" s="1"/>
  <c r="N541" i="3" s="1"/>
  <c r="O541" i="3" s="1"/>
  <c r="G540" i="3"/>
  <c r="I540" i="3" s="1"/>
  <c r="M540" i="3" s="1"/>
  <c r="N540" i="3" s="1"/>
  <c r="O540" i="3" s="1"/>
  <c r="G539" i="3"/>
  <c r="I539" i="3" s="1"/>
  <c r="M539" i="3" s="1"/>
  <c r="N539" i="3" s="1"/>
  <c r="O539" i="3" s="1"/>
  <c r="G538" i="3"/>
  <c r="I538" i="3" s="1"/>
  <c r="M538" i="3" s="1"/>
  <c r="N538" i="3" s="1"/>
  <c r="O538" i="3" s="1"/>
  <c r="G537" i="3"/>
  <c r="I537" i="3" s="1"/>
  <c r="M537" i="3" s="1"/>
  <c r="N537" i="3" s="1"/>
  <c r="O537" i="3" s="1"/>
  <c r="G536" i="3"/>
  <c r="I536" i="3" s="1"/>
  <c r="M536" i="3" s="1"/>
  <c r="N536" i="3" s="1"/>
  <c r="O536" i="3" s="1"/>
  <c r="G535" i="3"/>
  <c r="I535" i="3" s="1"/>
  <c r="M535" i="3" s="1"/>
  <c r="N535" i="3" s="1"/>
  <c r="O535" i="3" s="1"/>
  <c r="G534" i="3"/>
  <c r="I534" i="3" s="1"/>
  <c r="M534" i="3" s="1"/>
  <c r="N534" i="3" s="1"/>
  <c r="O534" i="3" s="1"/>
  <c r="G533" i="3"/>
  <c r="I533" i="3" s="1"/>
  <c r="M533" i="3" s="1"/>
  <c r="N533" i="3" s="1"/>
  <c r="O533" i="3" s="1"/>
  <c r="G532" i="3"/>
  <c r="I532" i="3" s="1"/>
  <c r="M532" i="3" s="1"/>
  <c r="N532" i="3" s="1"/>
  <c r="O532" i="3" s="1"/>
  <c r="G531" i="3"/>
  <c r="I531" i="3" s="1"/>
  <c r="M531" i="3" s="1"/>
  <c r="N531" i="3" s="1"/>
  <c r="O531" i="3" s="1"/>
  <c r="G530" i="3"/>
  <c r="I530" i="3" s="1"/>
  <c r="M530" i="3" s="1"/>
  <c r="N530" i="3" s="1"/>
  <c r="O530" i="3" s="1"/>
  <c r="G529" i="3"/>
  <c r="I529" i="3" s="1"/>
  <c r="M529" i="3" s="1"/>
  <c r="N529" i="3" s="1"/>
  <c r="O529" i="3" s="1"/>
  <c r="G528" i="3"/>
  <c r="I528" i="3" s="1"/>
  <c r="M528" i="3" s="1"/>
  <c r="N528" i="3" s="1"/>
  <c r="O528" i="3" s="1"/>
  <c r="G527" i="3"/>
  <c r="I527" i="3" s="1"/>
  <c r="M527" i="3" s="1"/>
  <c r="N527" i="3" s="1"/>
  <c r="O527" i="3" s="1"/>
  <c r="G526" i="3"/>
  <c r="I526" i="3" s="1"/>
  <c r="M526" i="3" s="1"/>
  <c r="N526" i="3" s="1"/>
  <c r="O526" i="3" s="1"/>
  <c r="G525" i="3"/>
  <c r="I525" i="3" s="1"/>
  <c r="M525" i="3" s="1"/>
  <c r="N525" i="3" s="1"/>
  <c r="O525" i="3" s="1"/>
  <c r="G524" i="3"/>
  <c r="I524" i="3" s="1"/>
  <c r="M524" i="3" s="1"/>
  <c r="N524" i="3" s="1"/>
  <c r="O524" i="3" s="1"/>
  <c r="G523" i="3"/>
  <c r="I523" i="3" s="1"/>
  <c r="M523" i="3" s="1"/>
  <c r="N523" i="3" s="1"/>
  <c r="O523" i="3" s="1"/>
  <c r="G522" i="3"/>
  <c r="I522" i="3" s="1"/>
  <c r="M522" i="3" s="1"/>
  <c r="N522" i="3" s="1"/>
  <c r="O522" i="3" s="1"/>
  <c r="G521" i="3"/>
  <c r="I521" i="3" s="1"/>
  <c r="M521" i="3" s="1"/>
  <c r="N521" i="3" s="1"/>
  <c r="O521" i="3" s="1"/>
  <c r="G520" i="3"/>
  <c r="I520" i="3" s="1"/>
  <c r="M520" i="3" s="1"/>
  <c r="N520" i="3" s="1"/>
  <c r="O520" i="3" s="1"/>
  <c r="G519" i="3"/>
  <c r="I519" i="3" s="1"/>
  <c r="M519" i="3" s="1"/>
  <c r="N519" i="3" s="1"/>
  <c r="O519" i="3" s="1"/>
  <c r="G518" i="3"/>
  <c r="I518" i="3" s="1"/>
  <c r="M518" i="3" s="1"/>
  <c r="N518" i="3" s="1"/>
  <c r="O518" i="3" s="1"/>
  <c r="G517" i="3"/>
  <c r="I517" i="3" s="1"/>
  <c r="M517" i="3" s="1"/>
  <c r="N517" i="3" s="1"/>
  <c r="O517" i="3" s="1"/>
  <c r="G516" i="3"/>
  <c r="I516" i="3" s="1"/>
  <c r="M516" i="3" s="1"/>
  <c r="N516" i="3" s="1"/>
  <c r="O516" i="3" s="1"/>
  <c r="G515" i="3"/>
  <c r="I515" i="3" s="1"/>
  <c r="N515" i="3" s="1"/>
  <c r="O515" i="3" s="1"/>
  <c r="G514" i="3"/>
  <c r="I514" i="3" s="1"/>
  <c r="M514" i="3" s="1"/>
  <c r="N514" i="3" s="1"/>
  <c r="O514" i="3" s="1"/>
  <c r="G513" i="3"/>
  <c r="I513" i="3" s="1"/>
  <c r="M513" i="3" s="1"/>
  <c r="N513" i="3" s="1"/>
  <c r="O513" i="3" s="1"/>
  <c r="G512" i="3"/>
  <c r="I512" i="3" s="1"/>
  <c r="M512" i="3" s="1"/>
  <c r="N512" i="3" s="1"/>
  <c r="O512" i="3" s="1"/>
  <c r="G511" i="3"/>
  <c r="I511" i="3" s="1"/>
  <c r="M511" i="3" s="1"/>
  <c r="N511" i="3" s="1"/>
  <c r="O511" i="3" s="1"/>
  <c r="G510" i="3"/>
  <c r="I510" i="3" s="1"/>
  <c r="M510" i="3" s="1"/>
  <c r="N510" i="3" s="1"/>
  <c r="O510" i="3" s="1"/>
  <c r="G509" i="3"/>
  <c r="I509" i="3" s="1"/>
  <c r="M509" i="3" s="1"/>
  <c r="N509" i="3" s="1"/>
  <c r="O509" i="3" s="1"/>
  <c r="G508" i="3"/>
  <c r="I508" i="3" s="1"/>
  <c r="M508" i="3" s="1"/>
  <c r="N508" i="3" s="1"/>
  <c r="O508" i="3" s="1"/>
  <c r="G507" i="3"/>
  <c r="I507" i="3" s="1"/>
  <c r="M507" i="3" s="1"/>
  <c r="N507" i="3" s="1"/>
  <c r="O507" i="3" s="1"/>
  <c r="G506" i="3"/>
  <c r="I506" i="3" s="1"/>
  <c r="M506" i="3" s="1"/>
  <c r="N506" i="3" s="1"/>
  <c r="O506" i="3" s="1"/>
  <c r="G505" i="3"/>
  <c r="I505" i="3" s="1"/>
  <c r="M505" i="3" s="1"/>
  <c r="N505" i="3" s="1"/>
  <c r="O505" i="3" s="1"/>
  <c r="G504" i="3"/>
  <c r="I504" i="3" s="1"/>
  <c r="M504" i="3" s="1"/>
  <c r="N504" i="3" s="1"/>
  <c r="O504" i="3" s="1"/>
  <c r="G503" i="3"/>
  <c r="I503" i="3" s="1"/>
  <c r="M503" i="3" s="1"/>
  <c r="N503" i="3" s="1"/>
  <c r="O503" i="3" s="1"/>
  <c r="G502" i="3"/>
  <c r="I502" i="3" s="1"/>
  <c r="M502" i="3" s="1"/>
  <c r="N502" i="3" s="1"/>
  <c r="O502" i="3" s="1"/>
  <c r="G501" i="3"/>
  <c r="I501" i="3" s="1"/>
  <c r="M501" i="3" s="1"/>
  <c r="N501" i="3" s="1"/>
  <c r="O501" i="3" s="1"/>
  <c r="G500" i="3"/>
  <c r="I500" i="3" s="1"/>
  <c r="M500" i="3" s="1"/>
  <c r="N500" i="3" s="1"/>
  <c r="O500" i="3" s="1"/>
  <c r="G499" i="3"/>
  <c r="I499" i="3" s="1"/>
  <c r="M499" i="3" s="1"/>
  <c r="N499" i="3" s="1"/>
  <c r="O499" i="3" s="1"/>
  <c r="G498" i="3"/>
  <c r="I498" i="3" s="1"/>
  <c r="M498" i="3" s="1"/>
  <c r="N498" i="3" s="1"/>
  <c r="O498" i="3" s="1"/>
  <c r="G497" i="3"/>
  <c r="I497" i="3" s="1"/>
  <c r="M497" i="3" s="1"/>
  <c r="N497" i="3" s="1"/>
  <c r="O497" i="3" s="1"/>
  <c r="G496" i="3"/>
  <c r="I496" i="3" s="1"/>
  <c r="M496" i="3" s="1"/>
  <c r="N496" i="3" s="1"/>
  <c r="O496" i="3" s="1"/>
  <c r="G495" i="3"/>
  <c r="I495" i="3" s="1"/>
  <c r="M495" i="3" s="1"/>
  <c r="N495" i="3" s="1"/>
  <c r="O495" i="3" s="1"/>
  <c r="G494" i="3"/>
  <c r="I494" i="3" s="1"/>
  <c r="M494" i="3" s="1"/>
  <c r="N494" i="3" s="1"/>
  <c r="O494" i="3" s="1"/>
  <c r="G493" i="3"/>
  <c r="I493" i="3" s="1"/>
  <c r="M493" i="3" s="1"/>
  <c r="N493" i="3" s="1"/>
  <c r="O493" i="3" s="1"/>
  <c r="G492" i="3"/>
  <c r="I492" i="3" s="1"/>
  <c r="M492" i="3" s="1"/>
  <c r="N492" i="3" s="1"/>
  <c r="O492" i="3" s="1"/>
  <c r="G491" i="3"/>
  <c r="I491" i="3" s="1"/>
  <c r="M491" i="3" s="1"/>
  <c r="N491" i="3" s="1"/>
  <c r="O491" i="3" s="1"/>
  <c r="G490" i="3"/>
  <c r="I490" i="3" s="1"/>
  <c r="M490" i="3" s="1"/>
  <c r="N490" i="3" s="1"/>
  <c r="O490" i="3" s="1"/>
  <c r="G489" i="3"/>
  <c r="I489" i="3" s="1"/>
  <c r="M489" i="3" s="1"/>
  <c r="N489" i="3" s="1"/>
  <c r="O489" i="3" s="1"/>
  <c r="G488" i="3"/>
  <c r="I488" i="3" s="1"/>
  <c r="M488" i="3" s="1"/>
  <c r="N488" i="3" s="1"/>
  <c r="O488" i="3" s="1"/>
  <c r="G487" i="3"/>
  <c r="I487" i="3" s="1"/>
  <c r="M487" i="3" s="1"/>
  <c r="N487" i="3" s="1"/>
  <c r="O487" i="3" s="1"/>
  <c r="G486" i="3"/>
  <c r="I486" i="3" s="1"/>
  <c r="M486" i="3" s="1"/>
  <c r="N486" i="3" s="1"/>
  <c r="O486" i="3" s="1"/>
  <c r="G485" i="3"/>
  <c r="I485" i="3" s="1"/>
  <c r="M485" i="3" s="1"/>
  <c r="N485" i="3" s="1"/>
  <c r="O485" i="3" s="1"/>
  <c r="G484" i="3"/>
  <c r="I484" i="3" s="1"/>
  <c r="M484" i="3" s="1"/>
  <c r="N484" i="3" s="1"/>
  <c r="O484" i="3" s="1"/>
  <c r="G483" i="3"/>
  <c r="I483" i="3" s="1"/>
  <c r="M483" i="3" s="1"/>
  <c r="N483" i="3" s="1"/>
  <c r="O483" i="3" s="1"/>
  <c r="G482" i="3"/>
  <c r="I482" i="3" s="1"/>
  <c r="M482" i="3" s="1"/>
  <c r="N482" i="3" s="1"/>
  <c r="O482" i="3" s="1"/>
  <c r="G481" i="3"/>
  <c r="I481" i="3" s="1"/>
  <c r="M481" i="3" s="1"/>
  <c r="N481" i="3" s="1"/>
  <c r="O481" i="3" s="1"/>
  <c r="G480" i="3"/>
  <c r="I480" i="3" s="1"/>
  <c r="M480" i="3" s="1"/>
  <c r="N480" i="3" s="1"/>
  <c r="O480" i="3" s="1"/>
  <c r="G479" i="3"/>
  <c r="I479" i="3" s="1"/>
  <c r="M479" i="3" s="1"/>
  <c r="N479" i="3" s="1"/>
  <c r="O479" i="3" s="1"/>
  <c r="G478" i="3"/>
  <c r="I478" i="3" s="1"/>
  <c r="M478" i="3" s="1"/>
  <c r="N478" i="3" s="1"/>
  <c r="O478" i="3" s="1"/>
  <c r="G477" i="3"/>
  <c r="I477" i="3" s="1"/>
  <c r="M477" i="3" s="1"/>
  <c r="N477" i="3" s="1"/>
  <c r="O477" i="3" s="1"/>
  <c r="G476" i="3"/>
  <c r="I476" i="3" s="1"/>
  <c r="M476" i="3" s="1"/>
  <c r="N476" i="3" s="1"/>
  <c r="O476" i="3" s="1"/>
  <c r="G475" i="3"/>
  <c r="I475" i="3" s="1"/>
  <c r="M475" i="3" s="1"/>
  <c r="N475" i="3" s="1"/>
  <c r="O475" i="3" s="1"/>
  <c r="G474" i="3"/>
  <c r="I474" i="3" s="1"/>
  <c r="M474" i="3" s="1"/>
  <c r="N474" i="3" s="1"/>
  <c r="O474" i="3" s="1"/>
  <c r="G473" i="3"/>
  <c r="I473" i="3" s="1"/>
  <c r="M473" i="3" s="1"/>
  <c r="N473" i="3" s="1"/>
  <c r="O473" i="3" s="1"/>
  <c r="G472" i="3"/>
  <c r="I472" i="3" s="1"/>
  <c r="M472" i="3" s="1"/>
  <c r="N472" i="3" s="1"/>
  <c r="O472" i="3" s="1"/>
  <c r="G471" i="3"/>
  <c r="I471" i="3" s="1"/>
  <c r="M471" i="3" s="1"/>
  <c r="N471" i="3" s="1"/>
  <c r="O471" i="3" s="1"/>
  <c r="G470" i="3"/>
  <c r="I470" i="3" s="1"/>
  <c r="M470" i="3" s="1"/>
  <c r="N470" i="3" s="1"/>
  <c r="O470" i="3" s="1"/>
  <c r="G469" i="3"/>
  <c r="I469" i="3" s="1"/>
  <c r="M469" i="3" s="1"/>
  <c r="N469" i="3" s="1"/>
  <c r="O469" i="3" s="1"/>
  <c r="G468" i="3"/>
  <c r="I468" i="3" s="1"/>
  <c r="M468" i="3" s="1"/>
  <c r="N468" i="3" s="1"/>
  <c r="O468" i="3" s="1"/>
  <c r="G467" i="3"/>
  <c r="I467" i="3" s="1"/>
  <c r="M467" i="3" s="1"/>
  <c r="N467" i="3" s="1"/>
  <c r="O467" i="3" s="1"/>
  <c r="G466" i="3"/>
  <c r="I466" i="3" s="1"/>
  <c r="M466" i="3" s="1"/>
  <c r="N466" i="3" s="1"/>
  <c r="O466" i="3" s="1"/>
  <c r="G465" i="3"/>
  <c r="I465" i="3" s="1"/>
  <c r="M465" i="3" s="1"/>
  <c r="N465" i="3" s="1"/>
  <c r="O465" i="3" s="1"/>
  <c r="G464" i="3"/>
  <c r="I464" i="3" s="1"/>
  <c r="M464" i="3" s="1"/>
  <c r="N464" i="3" s="1"/>
  <c r="O464" i="3" s="1"/>
  <c r="G463" i="3"/>
  <c r="I463" i="3" s="1"/>
  <c r="M463" i="3" s="1"/>
  <c r="N463" i="3" s="1"/>
  <c r="O463" i="3" s="1"/>
  <c r="G462" i="3"/>
  <c r="I462" i="3" s="1"/>
  <c r="M462" i="3" s="1"/>
  <c r="N462" i="3" s="1"/>
  <c r="O462" i="3" s="1"/>
  <c r="G461" i="3"/>
  <c r="I461" i="3" s="1"/>
  <c r="M461" i="3" s="1"/>
  <c r="N461" i="3" s="1"/>
  <c r="O461" i="3" s="1"/>
  <c r="G460" i="3"/>
  <c r="I460" i="3" s="1"/>
  <c r="M460" i="3" s="1"/>
  <c r="N460" i="3" s="1"/>
  <c r="O460" i="3" s="1"/>
  <c r="G459" i="3"/>
  <c r="I459" i="3" s="1"/>
  <c r="M459" i="3" s="1"/>
  <c r="N459" i="3" s="1"/>
  <c r="O459" i="3" s="1"/>
  <c r="G458" i="3"/>
  <c r="I458" i="3" s="1"/>
  <c r="M458" i="3" s="1"/>
  <c r="N458" i="3" s="1"/>
  <c r="O458" i="3" s="1"/>
  <c r="G457" i="3"/>
  <c r="I457" i="3" s="1"/>
  <c r="M457" i="3" s="1"/>
  <c r="N457" i="3" s="1"/>
  <c r="O457" i="3" s="1"/>
  <c r="G456" i="3"/>
  <c r="I456" i="3" s="1"/>
  <c r="M456" i="3" s="1"/>
  <c r="N456" i="3" s="1"/>
  <c r="O456" i="3" s="1"/>
  <c r="G455" i="3"/>
  <c r="I455" i="3" s="1"/>
  <c r="M455" i="3" s="1"/>
  <c r="N455" i="3" s="1"/>
  <c r="O455" i="3" s="1"/>
  <c r="G454" i="3"/>
  <c r="I454" i="3" s="1"/>
  <c r="M454" i="3" s="1"/>
  <c r="N454" i="3" s="1"/>
  <c r="O454" i="3" s="1"/>
  <c r="G453" i="3"/>
  <c r="I453" i="3" s="1"/>
  <c r="M453" i="3" s="1"/>
  <c r="N453" i="3" s="1"/>
  <c r="O453" i="3" s="1"/>
  <c r="G452" i="3"/>
  <c r="I452" i="3" s="1"/>
  <c r="M452" i="3" s="1"/>
  <c r="N452" i="3" s="1"/>
  <c r="O452" i="3" s="1"/>
  <c r="G451" i="3"/>
  <c r="I451" i="3" s="1"/>
  <c r="M451" i="3" s="1"/>
  <c r="N451" i="3" s="1"/>
  <c r="O451" i="3" s="1"/>
  <c r="G450" i="3"/>
  <c r="I450" i="3" s="1"/>
  <c r="M450" i="3" s="1"/>
  <c r="N450" i="3" s="1"/>
  <c r="O450" i="3" s="1"/>
  <c r="G449" i="3"/>
  <c r="I449" i="3" s="1"/>
  <c r="M449" i="3" s="1"/>
  <c r="N449" i="3" s="1"/>
  <c r="O449" i="3" s="1"/>
  <c r="G448" i="3"/>
  <c r="I448" i="3" s="1"/>
  <c r="M448" i="3" s="1"/>
  <c r="N448" i="3" s="1"/>
  <c r="O448" i="3" s="1"/>
  <c r="G447" i="3"/>
  <c r="I447" i="3" s="1"/>
  <c r="M447" i="3" s="1"/>
  <c r="N447" i="3" s="1"/>
  <c r="O447" i="3" s="1"/>
  <c r="G446" i="3"/>
  <c r="I446" i="3" s="1"/>
  <c r="M446" i="3" s="1"/>
  <c r="N446" i="3" s="1"/>
  <c r="O446" i="3" s="1"/>
  <c r="G445" i="3"/>
  <c r="I445" i="3" s="1"/>
  <c r="M445" i="3" s="1"/>
  <c r="N445" i="3" s="1"/>
  <c r="O445" i="3" s="1"/>
  <c r="G444" i="3"/>
  <c r="I444" i="3" s="1"/>
  <c r="M444" i="3" s="1"/>
  <c r="N444" i="3" s="1"/>
  <c r="O444" i="3" s="1"/>
  <c r="G443" i="3"/>
  <c r="I443" i="3" s="1"/>
  <c r="M443" i="3" s="1"/>
  <c r="N443" i="3" s="1"/>
  <c r="O443" i="3" s="1"/>
  <c r="G442" i="3"/>
  <c r="I442" i="3" s="1"/>
  <c r="M442" i="3" s="1"/>
  <c r="N442" i="3" s="1"/>
  <c r="O442" i="3" s="1"/>
  <c r="G441" i="3"/>
  <c r="I441" i="3" s="1"/>
  <c r="M441" i="3" s="1"/>
  <c r="N441" i="3" s="1"/>
  <c r="O441" i="3" s="1"/>
  <c r="G440" i="3"/>
  <c r="I440" i="3" s="1"/>
  <c r="M440" i="3" s="1"/>
  <c r="N440" i="3" s="1"/>
  <c r="O440" i="3" s="1"/>
  <c r="G439" i="3"/>
  <c r="I439" i="3" s="1"/>
  <c r="M439" i="3" s="1"/>
  <c r="N439" i="3" s="1"/>
  <c r="O439" i="3" s="1"/>
  <c r="G438" i="3"/>
  <c r="I438" i="3" s="1"/>
  <c r="M438" i="3" s="1"/>
  <c r="N438" i="3" s="1"/>
  <c r="O438" i="3" s="1"/>
  <c r="G437" i="3"/>
  <c r="I437" i="3" s="1"/>
  <c r="M437" i="3" s="1"/>
  <c r="N437" i="3" s="1"/>
  <c r="O437" i="3" s="1"/>
  <c r="G436" i="3"/>
  <c r="I436" i="3" s="1"/>
  <c r="M436" i="3" s="1"/>
  <c r="N436" i="3" s="1"/>
  <c r="O436" i="3" s="1"/>
  <c r="G435" i="3"/>
  <c r="I435" i="3" s="1"/>
  <c r="M435" i="3" s="1"/>
  <c r="N435" i="3" s="1"/>
  <c r="O435" i="3" s="1"/>
  <c r="G434" i="3"/>
  <c r="I434" i="3" s="1"/>
  <c r="M434" i="3" s="1"/>
  <c r="N434" i="3" s="1"/>
  <c r="O434" i="3" s="1"/>
  <c r="G433" i="3"/>
  <c r="I433" i="3" s="1"/>
  <c r="M433" i="3" s="1"/>
  <c r="N433" i="3" s="1"/>
  <c r="O433" i="3" s="1"/>
  <c r="G432" i="3"/>
  <c r="I432" i="3" s="1"/>
  <c r="M432" i="3" s="1"/>
  <c r="N432" i="3" s="1"/>
  <c r="O432" i="3" s="1"/>
  <c r="G431" i="3"/>
  <c r="I431" i="3" s="1"/>
  <c r="M431" i="3" s="1"/>
  <c r="N431" i="3" s="1"/>
  <c r="O431" i="3" s="1"/>
  <c r="G430" i="3"/>
  <c r="I430" i="3" s="1"/>
  <c r="M430" i="3" s="1"/>
  <c r="N430" i="3" s="1"/>
  <c r="O430" i="3" s="1"/>
  <c r="G429" i="3"/>
  <c r="I429" i="3" s="1"/>
  <c r="M429" i="3" s="1"/>
  <c r="N429" i="3" s="1"/>
  <c r="O429" i="3" s="1"/>
  <c r="G428" i="3"/>
  <c r="I428" i="3" s="1"/>
  <c r="M428" i="3" s="1"/>
  <c r="N428" i="3" s="1"/>
  <c r="O428" i="3" s="1"/>
  <c r="G427" i="3"/>
  <c r="I427" i="3" s="1"/>
  <c r="M427" i="3" s="1"/>
  <c r="N427" i="3" s="1"/>
  <c r="O427" i="3" s="1"/>
  <c r="G426" i="3"/>
  <c r="I426" i="3" s="1"/>
  <c r="M426" i="3" s="1"/>
  <c r="N426" i="3" s="1"/>
  <c r="O426" i="3" s="1"/>
  <c r="G425" i="3"/>
  <c r="I425" i="3" s="1"/>
  <c r="M425" i="3" s="1"/>
  <c r="N425" i="3" s="1"/>
  <c r="O425" i="3" s="1"/>
  <c r="G424" i="3"/>
  <c r="I424" i="3" s="1"/>
  <c r="M424" i="3" s="1"/>
  <c r="N424" i="3" s="1"/>
  <c r="O424" i="3" s="1"/>
  <c r="G423" i="3"/>
  <c r="I423" i="3" s="1"/>
  <c r="M423" i="3" s="1"/>
  <c r="N423" i="3" s="1"/>
  <c r="O423" i="3" s="1"/>
  <c r="G422" i="3"/>
  <c r="I422" i="3" s="1"/>
  <c r="M422" i="3" s="1"/>
  <c r="N422" i="3" s="1"/>
  <c r="O422" i="3" s="1"/>
  <c r="G421" i="3"/>
  <c r="I421" i="3" s="1"/>
  <c r="M421" i="3" s="1"/>
  <c r="N421" i="3" s="1"/>
  <c r="O421" i="3" s="1"/>
  <c r="G420" i="3"/>
  <c r="I420" i="3" s="1"/>
  <c r="M420" i="3" s="1"/>
  <c r="N420" i="3" s="1"/>
  <c r="O420" i="3" s="1"/>
  <c r="G419" i="3"/>
  <c r="I419" i="3" s="1"/>
  <c r="M419" i="3" s="1"/>
  <c r="N419" i="3" s="1"/>
  <c r="O419" i="3" s="1"/>
  <c r="G418" i="3"/>
  <c r="I418" i="3" s="1"/>
  <c r="M418" i="3" s="1"/>
  <c r="N418" i="3" s="1"/>
  <c r="O418" i="3" s="1"/>
  <c r="G417" i="3"/>
  <c r="I417" i="3" s="1"/>
  <c r="M417" i="3" s="1"/>
  <c r="N417" i="3" s="1"/>
  <c r="O417" i="3" s="1"/>
  <c r="G416" i="3"/>
  <c r="I416" i="3" s="1"/>
  <c r="M416" i="3" s="1"/>
  <c r="N416" i="3" s="1"/>
  <c r="O416" i="3" s="1"/>
  <c r="G415" i="3"/>
  <c r="I415" i="3" s="1"/>
  <c r="M415" i="3" s="1"/>
  <c r="N415" i="3" s="1"/>
  <c r="O415" i="3" s="1"/>
  <c r="G414" i="3"/>
  <c r="I414" i="3" s="1"/>
  <c r="M414" i="3" s="1"/>
  <c r="N414" i="3" s="1"/>
  <c r="O414" i="3" s="1"/>
  <c r="G413" i="3"/>
  <c r="I413" i="3" s="1"/>
  <c r="M413" i="3" s="1"/>
  <c r="N413" i="3" s="1"/>
  <c r="O413" i="3" s="1"/>
  <c r="G412" i="3"/>
  <c r="I412" i="3" s="1"/>
  <c r="M412" i="3" s="1"/>
  <c r="N412" i="3" s="1"/>
  <c r="O412" i="3" s="1"/>
  <c r="G411" i="3"/>
  <c r="I411" i="3" s="1"/>
  <c r="M411" i="3" s="1"/>
  <c r="N411" i="3" s="1"/>
  <c r="O411" i="3" s="1"/>
  <c r="G410" i="3"/>
  <c r="I410" i="3" s="1"/>
  <c r="M410" i="3" s="1"/>
  <c r="N410" i="3" s="1"/>
  <c r="O410" i="3" s="1"/>
  <c r="G409" i="3"/>
  <c r="I409" i="3" s="1"/>
  <c r="M409" i="3" s="1"/>
  <c r="N409" i="3" s="1"/>
  <c r="O409" i="3" s="1"/>
  <c r="G408" i="3"/>
  <c r="I408" i="3" s="1"/>
  <c r="M408" i="3" s="1"/>
  <c r="N408" i="3" s="1"/>
  <c r="O408" i="3" s="1"/>
  <c r="G407" i="3"/>
  <c r="I407" i="3" s="1"/>
  <c r="M407" i="3" s="1"/>
  <c r="N407" i="3" s="1"/>
  <c r="O407" i="3" s="1"/>
  <c r="G406" i="3"/>
  <c r="I406" i="3" s="1"/>
  <c r="M406" i="3" s="1"/>
  <c r="N406" i="3" s="1"/>
  <c r="O406" i="3" s="1"/>
  <c r="G405" i="3"/>
  <c r="I405" i="3" s="1"/>
  <c r="M405" i="3" s="1"/>
  <c r="N405" i="3" s="1"/>
  <c r="O405" i="3" s="1"/>
  <c r="G404" i="3"/>
  <c r="I404" i="3" s="1"/>
  <c r="M404" i="3" s="1"/>
  <c r="N404" i="3" s="1"/>
  <c r="O404" i="3" s="1"/>
  <c r="G403" i="3"/>
  <c r="I403" i="3" s="1"/>
  <c r="M403" i="3" s="1"/>
  <c r="N403" i="3" s="1"/>
  <c r="O403" i="3" s="1"/>
  <c r="G402" i="3"/>
  <c r="I402" i="3" s="1"/>
  <c r="M402" i="3" s="1"/>
  <c r="N402" i="3" s="1"/>
  <c r="O402" i="3" s="1"/>
  <c r="G401" i="3"/>
  <c r="I401" i="3" s="1"/>
  <c r="M401" i="3" s="1"/>
  <c r="N401" i="3" s="1"/>
  <c r="O401" i="3" s="1"/>
  <c r="G400" i="3"/>
  <c r="I400" i="3" s="1"/>
  <c r="M400" i="3" s="1"/>
  <c r="N400" i="3" s="1"/>
  <c r="O400" i="3" s="1"/>
  <c r="G399" i="3"/>
  <c r="I399" i="3" s="1"/>
  <c r="M399" i="3" s="1"/>
  <c r="N399" i="3" s="1"/>
  <c r="O399" i="3" s="1"/>
  <c r="G398" i="3"/>
  <c r="I398" i="3" s="1"/>
  <c r="M398" i="3" s="1"/>
  <c r="N398" i="3" s="1"/>
  <c r="O398" i="3" s="1"/>
  <c r="G397" i="3"/>
  <c r="I397" i="3" s="1"/>
  <c r="M397" i="3" s="1"/>
  <c r="N397" i="3" s="1"/>
  <c r="O397" i="3" s="1"/>
  <c r="G396" i="3"/>
  <c r="I396" i="3" s="1"/>
  <c r="M396" i="3" s="1"/>
  <c r="N396" i="3" s="1"/>
  <c r="O396" i="3" s="1"/>
  <c r="G395" i="3"/>
  <c r="I395" i="3" s="1"/>
  <c r="M395" i="3" s="1"/>
  <c r="N395" i="3" s="1"/>
  <c r="O395" i="3" s="1"/>
  <c r="G394" i="3"/>
  <c r="I394" i="3" s="1"/>
  <c r="M394" i="3" s="1"/>
  <c r="N394" i="3" s="1"/>
  <c r="O394" i="3" s="1"/>
  <c r="G393" i="3"/>
  <c r="I393" i="3" s="1"/>
  <c r="M393" i="3" s="1"/>
  <c r="N393" i="3" s="1"/>
  <c r="O393" i="3" s="1"/>
  <c r="G392" i="3"/>
  <c r="I392" i="3" s="1"/>
  <c r="M392" i="3" s="1"/>
  <c r="N392" i="3" s="1"/>
  <c r="O392" i="3" s="1"/>
  <c r="G391" i="3"/>
  <c r="I391" i="3" s="1"/>
  <c r="M391" i="3" s="1"/>
  <c r="N391" i="3" s="1"/>
  <c r="O391" i="3" s="1"/>
  <c r="G390" i="3"/>
  <c r="I390" i="3" s="1"/>
  <c r="M390" i="3" s="1"/>
  <c r="N390" i="3" s="1"/>
  <c r="O390" i="3" s="1"/>
  <c r="G389" i="3"/>
  <c r="I389" i="3" s="1"/>
  <c r="M389" i="3" s="1"/>
  <c r="N389" i="3" s="1"/>
  <c r="O389" i="3" s="1"/>
  <c r="G388" i="3"/>
  <c r="I388" i="3" s="1"/>
  <c r="M388" i="3" s="1"/>
  <c r="N388" i="3" s="1"/>
  <c r="O388" i="3" s="1"/>
  <c r="G387" i="3"/>
  <c r="I387" i="3" s="1"/>
  <c r="M387" i="3" s="1"/>
  <c r="N387" i="3" s="1"/>
  <c r="O387" i="3" s="1"/>
  <c r="G386" i="3"/>
  <c r="I386" i="3" s="1"/>
  <c r="M386" i="3" s="1"/>
  <c r="N386" i="3" s="1"/>
  <c r="O386" i="3" s="1"/>
  <c r="G385" i="3"/>
  <c r="I385" i="3" s="1"/>
  <c r="M385" i="3" s="1"/>
  <c r="N385" i="3" s="1"/>
  <c r="O385" i="3" s="1"/>
  <c r="G384" i="3"/>
  <c r="I384" i="3" s="1"/>
  <c r="M384" i="3" s="1"/>
  <c r="N384" i="3" s="1"/>
  <c r="O384" i="3" s="1"/>
  <c r="G383" i="3"/>
  <c r="I383" i="3" s="1"/>
  <c r="M383" i="3" s="1"/>
  <c r="N383" i="3" s="1"/>
  <c r="O383" i="3" s="1"/>
  <c r="G382" i="3"/>
  <c r="I382" i="3" s="1"/>
  <c r="M382" i="3" s="1"/>
  <c r="N382" i="3" s="1"/>
  <c r="O382" i="3" s="1"/>
  <c r="G381" i="3"/>
  <c r="I381" i="3" s="1"/>
  <c r="M381" i="3" s="1"/>
  <c r="N381" i="3" s="1"/>
  <c r="O381" i="3" s="1"/>
  <c r="G380" i="3"/>
  <c r="I380" i="3" s="1"/>
  <c r="M380" i="3" s="1"/>
  <c r="N380" i="3" s="1"/>
  <c r="O380" i="3" s="1"/>
  <c r="G379" i="3"/>
  <c r="I379" i="3" s="1"/>
  <c r="M379" i="3" s="1"/>
  <c r="N379" i="3" s="1"/>
  <c r="O379" i="3" s="1"/>
  <c r="G378" i="3"/>
  <c r="I378" i="3" s="1"/>
  <c r="M378" i="3" s="1"/>
  <c r="N378" i="3" s="1"/>
  <c r="O378" i="3" s="1"/>
  <c r="G377" i="3"/>
  <c r="I377" i="3" s="1"/>
  <c r="M377" i="3" s="1"/>
  <c r="N377" i="3" s="1"/>
  <c r="O377" i="3" s="1"/>
  <c r="G376" i="3"/>
  <c r="I376" i="3" s="1"/>
  <c r="M376" i="3" s="1"/>
  <c r="N376" i="3" s="1"/>
  <c r="O376" i="3" s="1"/>
  <c r="G375" i="3"/>
  <c r="I375" i="3" s="1"/>
  <c r="M375" i="3" s="1"/>
  <c r="N375" i="3" s="1"/>
  <c r="O375" i="3" s="1"/>
  <c r="G374" i="3"/>
  <c r="I374" i="3" s="1"/>
  <c r="M374" i="3" s="1"/>
  <c r="N374" i="3" s="1"/>
  <c r="O374" i="3" s="1"/>
  <c r="G373" i="3"/>
  <c r="I373" i="3" s="1"/>
  <c r="M373" i="3" s="1"/>
  <c r="N373" i="3" s="1"/>
  <c r="O373" i="3" s="1"/>
  <c r="G372" i="3"/>
  <c r="I372" i="3" s="1"/>
  <c r="M372" i="3" s="1"/>
  <c r="N372" i="3" s="1"/>
  <c r="O372" i="3" s="1"/>
  <c r="G371" i="3"/>
  <c r="I371" i="3" s="1"/>
  <c r="M371" i="3" s="1"/>
  <c r="N371" i="3" s="1"/>
  <c r="O371" i="3" s="1"/>
  <c r="G370" i="3"/>
  <c r="I370" i="3" s="1"/>
  <c r="M370" i="3" s="1"/>
  <c r="N370" i="3" s="1"/>
  <c r="O370" i="3" s="1"/>
  <c r="G369" i="3"/>
  <c r="I369" i="3" s="1"/>
  <c r="M369" i="3" s="1"/>
  <c r="N369" i="3" s="1"/>
  <c r="O369" i="3" s="1"/>
  <c r="G368" i="3"/>
  <c r="I368" i="3" s="1"/>
  <c r="M368" i="3" s="1"/>
  <c r="N368" i="3" s="1"/>
  <c r="O368" i="3" s="1"/>
  <c r="G367" i="3"/>
  <c r="I367" i="3" s="1"/>
  <c r="M367" i="3" s="1"/>
  <c r="N367" i="3" s="1"/>
  <c r="O367" i="3" s="1"/>
  <c r="G366" i="3"/>
  <c r="I366" i="3" s="1"/>
  <c r="M366" i="3" s="1"/>
  <c r="N366" i="3" s="1"/>
  <c r="O366" i="3" s="1"/>
  <c r="G365" i="3"/>
  <c r="I365" i="3" s="1"/>
  <c r="M365" i="3" s="1"/>
  <c r="N365" i="3" s="1"/>
  <c r="O365" i="3" s="1"/>
  <c r="G364" i="3"/>
  <c r="I364" i="3" s="1"/>
  <c r="M364" i="3" s="1"/>
  <c r="N364" i="3" s="1"/>
  <c r="O364" i="3" s="1"/>
  <c r="G363" i="3"/>
  <c r="I363" i="3" s="1"/>
  <c r="M363" i="3" s="1"/>
  <c r="N363" i="3" s="1"/>
  <c r="O363" i="3" s="1"/>
  <c r="G362" i="3"/>
  <c r="I362" i="3" s="1"/>
  <c r="M362" i="3" s="1"/>
  <c r="N362" i="3" s="1"/>
  <c r="O362" i="3" s="1"/>
  <c r="G361" i="3"/>
  <c r="I361" i="3" s="1"/>
  <c r="M361" i="3" s="1"/>
  <c r="N361" i="3" s="1"/>
  <c r="O361" i="3" s="1"/>
  <c r="G360" i="3"/>
  <c r="I360" i="3" s="1"/>
  <c r="M360" i="3" s="1"/>
  <c r="N360" i="3" s="1"/>
  <c r="O360" i="3" s="1"/>
  <c r="G359" i="3"/>
  <c r="I359" i="3" s="1"/>
  <c r="M359" i="3" s="1"/>
  <c r="N359" i="3" s="1"/>
  <c r="O359" i="3" s="1"/>
  <c r="G358" i="3"/>
  <c r="I358" i="3" s="1"/>
  <c r="M358" i="3" s="1"/>
  <c r="N358" i="3" s="1"/>
  <c r="O358" i="3" s="1"/>
  <c r="G357" i="3"/>
  <c r="I357" i="3" s="1"/>
  <c r="M357" i="3" s="1"/>
  <c r="N357" i="3" s="1"/>
  <c r="O357" i="3" s="1"/>
  <c r="G356" i="3"/>
  <c r="I356" i="3" s="1"/>
  <c r="M356" i="3" s="1"/>
  <c r="N356" i="3" s="1"/>
  <c r="O356" i="3" s="1"/>
  <c r="G355" i="3"/>
  <c r="I355" i="3" s="1"/>
  <c r="M355" i="3" s="1"/>
  <c r="N355" i="3" s="1"/>
  <c r="O355" i="3" s="1"/>
  <c r="G354" i="3"/>
  <c r="I354" i="3" s="1"/>
  <c r="M354" i="3" s="1"/>
  <c r="N354" i="3" s="1"/>
  <c r="O354" i="3" s="1"/>
  <c r="G353" i="3"/>
  <c r="I353" i="3" s="1"/>
  <c r="M353" i="3" s="1"/>
  <c r="N353" i="3" s="1"/>
  <c r="O353" i="3" s="1"/>
  <c r="G352" i="3"/>
  <c r="I352" i="3" s="1"/>
  <c r="M352" i="3" s="1"/>
  <c r="N352" i="3" s="1"/>
  <c r="O352" i="3" s="1"/>
  <c r="G351" i="3"/>
  <c r="I351" i="3" s="1"/>
  <c r="M351" i="3" s="1"/>
  <c r="N351" i="3" s="1"/>
  <c r="O351" i="3" s="1"/>
  <c r="G350" i="3"/>
  <c r="I350" i="3" s="1"/>
  <c r="M350" i="3" s="1"/>
  <c r="N350" i="3" s="1"/>
  <c r="O350" i="3" s="1"/>
  <c r="G349" i="3"/>
  <c r="I349" i="3" s="1"/>
  <c r="M349" i="3" s="1"/>
  <c r="N349" i="3" s="1"/>
  <c r="O349" i="3" s="1"/>
  <c r="G348" i="3"/>
  <c r="I348" i="3" s="1"/>
  <c r="M348" i="3" s="1"/>
  <c r="N348" i="3" s="1"/>
  <c r="O348" i="3" s="1"/>
  <c r="G347" i="3"/>
  <c r="I347" i="3" s="1"/>
  <c r="M347" i="3" s="1"/>
  <c r="N347" i="3" s="1"/>
  <c r="O347" i="3" s="1"/>
  <c r="G346" i="3"/>
  <c r="I346" i="3" s="1"/>
  <c r="M346" i="3" s="1"/>
  <c r="N346" i="3" s="1"/>
  <c r="O346" i="3" s="1"/>
  <c r="G345" i="3"/>
  <c r="I345" i="3" s="1"/>
  <c r="M345" i="3" s="1"/>
  <c r="N345" i="3" s="1"/>
  <c r="O345" i="3" s="1"/>
  <c r="G344" i="3"/>
  <c r="I344" i="3" s="1"/>
  <c r="M344" i="3" s="1"/>
  <c r="N344" i="3" s="1"/>
  <c r="O344" i="3" s="1"/>
  <c r="G343" i="3"/>
  <c r="I343" i="3" s="1"/>
  <c r="M343" i="3" s="1"/>
  <c r="N343" i="3" s="1"/>
  <c r="O343" i="3" s="1"/>
  <c r="G342" i="3"/>
  <c r="I342" i="3" s="1"/>
  <c r="M342" i="3" s="1"/>
  <c r="N342" i="3" s="1"/>
  <c r="O342" i="3" s="1"/>
  <c r="G341" i="3"/>
  <c r="I341" i="3" s="1"/>
  <c r="M341" i="3" s="1"/>
  <c r="N341" i="3" s="1"/>
  <c r="O341" i="3" s="1"/>
  <c r="G340" i="3"/>
  <c r="I340" i="3" s="1"/>
  <c r="M340" i="3" s="1"/>
  <c r="N340" i="3" s="1"/>
  <c r="O340" i="3" s="1"/>
  <c r="G339" i="3"/>
  <c r="I339" i="3" s="1"/>
  <c r="M339" i="3" s="1"/>
  <c r="N339" i="3" s="1"/>
  <c r="O339" i="3" s="1"/>
  <c r="G338" i="3"/>
  <c r="I338" i="3" s="1"/>
  <c r="M338" i="3" s="1"/>
  <c r="N338" i="3" s="1"/>
  <c r="O338" i="3" s="1"/>
  <c r="G337" i="3"/>
  <c r="I337" i="3" s="1"/>
  <c r="M337" i="3" s="1"/>
  <c r="N337" i="3" s="1"/>
  <c r="O337" i="3" s="1"/>
  <c r="G336" i="3"/>
  <c r="I336" i="3" s="1"/>
  <c r="M336" i="3" s="1"/>
  <c r="N336" i="3" s="1"/>
  <c r="O336" i="3" s="1"/>
  <c r="G335" i="3"/>
  <c r="I335" i="3" s="1"/>
  <c r="M335" i="3" s="1"/>
  <c r="N335" i="3" s="1"/>
  <c r="O335" i="3" s="1"/>
  <c r="G334" i="3"/>
  <c r="I334" i="3" s="1"/>
  <c r="M334" i="3" s="1"/>
  <c r="N334" i="3" s="1"/>
  <c r="O334" i="3" s="1"/>
  <c r="G333" i="3"/>
  <c r="I333" i="3" s="1"/>
  <c r="M333" i="3" s="1"/>
  <c r="N333" i="3" s="1"/>
  <c r="O333" i="3" s="1"/>
  <c r="G332" i="3"/>
  <c r="I332" i="3" s="1"/>
  <c r="M332" i="3" s="1"/>
  <c r="N332" i="3" s="1"/>
  <c r="O332" i="3" s="1"/>
  <c r="G331" i="3"/>
  <c r="I331" i="3" s="1"/>
  <c r="M331" i="3" s="1"/>
  <c r="N331" i="3" s="1"/>
  <c r="O331" i="3" s="1"/>
  <c r="G330" i="3"/>
  <c r="I330" i="3" s="1"/>
  <c r="M330" i="3" s="1"/>
  <c r="N330" i="3" s="1"/>
  <c r="O330" i="3" s="1"/>
  <c r="G329" i="3"/>
  <c r="I329" i="3" s="1"/>
  <c r="M329" i="3" s="1"/>
  <c r="N329" i="3" s="1"/>
  <c r="O329" i="3" s="1"/>
  <c r="G328" i="3"/>
  <c r="I328" i="3" s="1"/>
  <c r="M328" i="3" s="1"/>
  <c r="N328" i="3" s="1"/>
  <c r="O328" i="3" s="1"/>
  <c r="G327" i="3"/>
  <c r="I327" i="3" s="1"/>
  <c r="M327" i="3" s="1"/>
  <c r="N327" i="3" s="1"/>
  <c r="O327" i="3" s="1"/>
  <c r="G326" i="3"/>
  <c r="I326" i="3" s="1"/>
  <c r="M326" i="3" s="1"/>
  <c r="N326" i="3" s="1"/>
  <c r="O326" i="3" s="1"/>
  <c r="G325" i="3"/>
  <c r="I325" i="3" s="1"/>
  <c r="M325" i="3" s="1"/>
  <c r="N325" i="3" s="1"/>
  <c r="O325" i="3" s="1"/>
  <c r="G324" i="3"/>
  <c r="I324" i="3" s="1"/>
  <c r="M324" i="3" s="1"/>
  <c r="N324" i="3" s="1"/>
  <c r="O324" i="3" s="1"/>
  <c r="G323" i="3"/>
  <c r="I323" i="3" s="1"/>
  <c r="M323" i="3" s="1"/>
  <c r="N323" i="3" s="1"/>
  <c r="O323" i="3" s="1"/>
  <c r="G322" i="3"/>
  <c r="I322" i="3" s="1"/>
  <c r="M322" i="3" s="1"/>
  <c r="N322" i="3" s="1"/>
  <c r="O322" i="3" s="1"/>
  <c r="G321" i="3"/>
  <c r="I321" i="3" s="1"/>
  <c r="M321" i="3" s="1"/>
  <c r="N321" i="3" s="1"/>
  <c r="O321" i="3" s="1"/>
  <c r="G320" i="3"/>
  <c r="I320" i="3" s="1"/>
  <c r="M320" i="3" s="1"/>
  <c r="N320" i="3" s="1"/>
  <c r="O320" i="3" s="1"/>
  <c r="G319" i="3"/>
  <c r="I319" i="3" s="1"/>
  <c r="M319" i="3" s="1"/>
  <c r="N319" i="3" s="1"/>
  <c r="O319" i="3" s="1"/>
  <c r="G318" i="3"/>
  <c r="I318" i="3" s="1"/>
  <c r="M318" i="3" s="1"/>
  <c r="N318" i="3" s="1"/>
  <c r="O318" i="3" s="1"/>
  <c r="G317" i="3"/>
  <c r="I317" i="3" s="1"/>
  <c r="M317" i="3" s="1"/>
  <c r="N317" i="3" s="1"/>
  <c r="O317" i="3" s="1"/>
  <c r="G316" i="3"/>
  <c r="I316" i="3" s="1"/>
  <c r="M316" i="3" s="1"/>
  <c r="N316" i="3" s="1"/>
  <c r="O316" i="3" s="1"/>
  <c r="G315" i="3"/>
  <c r="I315" i="3" s="1"/>
  <c r="M315" i="3" s="1"/>
  <c r="N315" i="3" s="1"/>
  <c r="O315" i="3" s="1"/>
  <c r="G314" i="3"/>
  <c r="I314" i="3" s="1"/>
  <c r="M314" i="3" s="1"/>
  <c r="N314" i="3" s="1"/>
  <c r="O314" i="3" s="1"/>
  <c r="G313" i="3"/>
  <c r="I313" i="3" s="1"/>
  <c r="M313" i="3" s="1"/>
  <c r="N313" i="3" s="1"/>
  <c r="O313" i="3" s="1"/>
  <c r="G312" i="3"/>
  <c r="I312" i="3" s="1"/>
  <c r="M312" i="3" s="1"/>
  <c r="N312" i="3" s="1"/>
  <c r="O312" i="3" s="1"/>
  <c r="G311" i="3"/>
  <c r="I311" i="3" s="1"/>
  <c r="M311" i="3" s="1"/>
  <c r="N311" i="3" s="1"/>
  <c r="O311" i="3" s="1"/>
  <c r="G310" i="3"/>
  <c r="I310" i="3" s="1"/>
  <c r="M310" i="3" s="1"/>
  <c r="N310" i="3" s="1"/>
  <c r="O310" i="3" s="1"/>
  <c r="G309" i="3"/>
  <c r="I309" i="3" s="1"/>
  <c r="M309" i="3" s="1"/>
  <c r="N309" i="3" s="1"/>
  <c r="O309" i="3" s="1"/>
  <c r="G308" i="3"/>
  <c r="I308" i="3" s="1"/>
  <c r="M308" i="3" s="1"/>
  <c r="N308" i="3" s="1"/>
  <c r="O308" i="3" s="1"/>
  <c r="G307" i="3"/>
  <c r="I307" i="3" s="1"/>
  <c r="M307" i="3" s="1"/>
  <c r="N307" i="3" s="1"/>
  <c r="O307" i="3" s="1"/>
  <c r="G306" i="3"/>
  <c r="I306" i="3" s="1"/>
  <c r="M306" i="3" s="1"/>
  <c r="N306" i="3" s="1"/>
  <c r="O306" i="3" s="1"/>
  <c r="G305" i="3"/>
  <c r="I305" i="3" s="1"/>
  <c r="M305" i="3" s="1"/>
  <c r="N305" i="3" s="1"/>
  <c r="O305" i="3" s="1"/>
  <c r="G304" i="3"/>
  <c r="I304" i="3" s="1"/>
  <c r="M304" i="3" s="1"/>
  <c r="N304" i="3" s="1"/>
  <c r="O304" i="3" s="1"/>
  <c r="G303" i="3"/>
  <c r="I303" i="3" s="1"/>
  <c r="M303" i="3" s="1"/>
  <c r="N303" i="3" s="1"/>
  <c r="O303" i="3" s="1"/>
  <c r="G302" i="3"/>
  <c r="I302" i="3" s="1"/>
  <c r="M302" i="3" s="1"/>
  <c r="N302" i="3" s="1"/>
  <c r="O302" i="3" s="1"/>
  <c r="G301" i="3"/>
  <c r="I301" i="3" s="1"/>
  <c r="M301" i="3" s="1"/>
  <c r="N301" i="3" s="1"/>
  <c r="O301" i="3" s="1"/>
  <c r="G300" i="3"/>
  <c r="I300" i="3" s="1"/>
  <c r="M300" i="3" s="1"/>
  <c r="N300" i="3" s="1"/>
  <c r="O300" i="3" s="1"/>
  <c r="G299" i="3"/>
  <c r="I299" i="3" s="1"/>
  <c r="M299" i="3" s="1"/>
  <c r="N299" i="3" s="1"/>
  <c r="O299" i="3" s="1"/>
  <c r="G298" i="3"/>
  <c r="I298" i="3" s="1"/>
  <c r="M298" i="3" s="1"/>
  <c r="N298" i="3" s="1"/>
  <c r="O298" i="3" s="1"/>
  <c r="G297" i="3"/>
  <c r="I297" i="3" s="1"/>
  <c r="M297" i="3" s="1"/>
  <c r="N297" i="3" s="1"/>
  <c r="O297" i="3" s="1"/>
  <c r="G296" i="3"/>
  <c r="I296" i="3" s="1"/>
  <c r="M296" i="3" s="1"/>
  <c r="N296" i="3" s="1"/>
  <c r="O296" i="3" s="1"/>
  <c r="G295" i="3"/>
  <c r="I295" i="3" s="1"/>
  <c r="M295" i="3" s="1"/>
  <c r="N295" i="3" s="1"/>
  <c r="O295" i="3" s="1"/>
  <c r="G294" i="3"/>
  <c r="I294" i="3" s="1"/>
  <c r="M294" i="3" s="1"/>
  <c r="N294" i="3" s="1"/>
  <c r="O294" i="3" s="1"/>
  <c r="G293" i="3"/>
  <c r="I293" i="3" s="1"/>
  <c r="M293" i="3" s="1"/>
  <c r="N293" i="3" s="1"/>
  <c r="O293" i="3" s="1"/>
  <c r="G292" i="3"/>
  <c r="I292" i="3" s="1"/>
  <c r="M292" i="3" s="1"/>
  <c r="N292" i="3" s="1"/>
  <c r="O292" i="3" s="1"/>
  <c r="G291" i="3"/>
  <c r="I291" i="3" s="1"/>
  <c r="M291" i="3" s="1"/>
  <c r="N291" i="3" s="1"/>
  <c r="O291" i="3" s="1"/>
  <c r="G290" i="3"/>
  <c r="I290" i="3" s="1"/>
  <c r="M290" i="3" s="1"/>
  <c r="N290" i="3" s="1"/>
  <c r="O290" i="3" s="1"/>
  <c r="G289" i="3"/>
  <c r="I289" i="3" s="1"/>
  <c r="M289" i="3" s="1"/>
  <c r="N289" i="3" s="1"/>
  <c r="O289" i="3" s="1"/>
  <c r="G288" i="3"/>
  <c r="I288" i="3" s="1"/>
  <c r="M288" i="3" s="1"/>
  <c r="N288" i="3" s="1"/>
  <c r="O288" i="3" s="1"/>
  <c r="G287" i="3"/>
  <c r="I287" i="3" s="1"/>
  <c r="M287" i="3" s="1"/>
  <c r="N287" i="3" s="1"/>
  <c r="O287" i="3" s="1"/>
  <c r="G286" i="3"/>
  <c r="I286" i="3" s="1"/>
  <c r="M286" i="3" s="1"/>
  <c r="N286" i="3" s="1"/>
  <c r="O286" i="3" s="1"/>
  <c r="G285" i="3"/>
  <c r="I285" i="3" s="1"/>
  <c r="M285" i="3" s="1"/>
  <c r="N285" i="3" s="1"/>
  <c r="O285" i="3" s="1"/>
  <c r="G284" i="3"/>
  <c r="I284" i="3" s="1"/>
  <c r="M284" i="3" s="1"/>
  <c r="N284" i="3" s="1"/>
  <c r="O284" i="3" s="1"/>
  <c r="G283" i="3"/>
  <c r="I283" i="3" s="1"/>
  <c r="M283" i="3" s="1"/>
  <c r="N283" i="3" s="1"/>
  <c r="O283" i="3" s="1"/>
  <c r="G282" i="3"/>
  <c r="I282" i="3" s="1"/>
  <c r="M282" i="3" s="1"/>
  <c r="N282" i="3" s="1"/>
  <c r="O282" i="3" s="1"/>
  <c r="G281" i="3"/>
  <c r="I281" i="3" s="1"/>
  <c r="M281" i="3" s="1"/>
  <c r="N281" i="3" s="1"/>
  <c r="O281" i="3" s="1"/>
  <c r="G280" i="3"/>
  <c r="I280" i="3" s="1"/>
  <c r="M280" i="3" s="1"/>
  <c r="N280" i="3" s="1"/>
  <c r="O280" i="3" s="1"/>
  <c r="G279" i="3"/>
  <c r="I279" i="3" s="1"/>
  <c r="M279" i="3" s="1"/>
  <c r="N279" i="3" s="1"/>
  <c r="O279" i="3" s="1"/>
  <c r="G278" i="3"/>
  <c r="I278" i="3" s="1"/>
  <c r="M278" i="3" s="1"/>
  <c r="N278" i="3" s="1"/>
  <c r="O278" i="3" s="1"/>
  <c r="G277" i="3"/>
  <c r="I277" i="3" s="1"/>
  <c r="M277" i="3" s="1"/>
  <c r="N277" i="3" s="1"/>
  <c r="O277" i="3" s="1"/>
  <c r="G276" i="3"/>
  <c r="I276" i="3" s="1"/>
  <c r="M276" i="3" s="1"/>
  <c r="N276" i="3" s="1"/>
  <c r="O276" i="3" s="1"/>
  <c r="G275" i="3"/>
  <c r="I275" i="3" s="1"/>
  <c r="M275" i="3" s="1"/>
  <c r="N275" i="3" s="1"/>
  <c r="O275" i="3" s="1"/>
  <c r="G274" i="3"/>
  <c r="I274" i="3" s="1"/>
  <c r="M274" i="3" s="1"/>
  <c r="N274" i="3" s="1"/>
  <c r="O274" i="3" s="1"/>
  <c r="G273" i="3"/>
  <c r="I273" i="3" s="1"/>
  <c r="M273" i="3" s="1"/>
  <c r="N273" i="3" s="1"/>
  <c r="O273" i="3" s="1"/>
  <c r="G272" i="3"/>
  <c r="I272" i="3" s="1"/>
  <c r="M272" i="3" s="1"/>
  <c r="N272" i="3" s="1"/>
  <c r="O272" i="3" s="1"/>
  <c r="G271" i="3"/>
  <c r="I271" i="3" s="1"/>
  <c r="M271" i="3" s="1"/>
  <c r="N271" i="3" s="1"/>
  <c r="O271" i="3" s="1"/>
  <c r="G270" i="3"/>
  <c r="I270" i="3" s="1"/>
  <c r="M270" i="3" s="1"/>
  <c r="N270" i="3" s="1"/>
  <c r="O270" i="3" s="1"/>
  <c r="G269" i="3"/>
  <c r="I269" i="3" s="1"/>
  <c r="M269" i="3" s="1"/>
  <c r="N269" i="3" s="1"/>
  <c r="O269" i="3" s="1"/>
  <c r="G268" i="3"/>
  <c r="I268" i="3" s="1"/>
  <c r="M268" i="3" s="1"/>
  <c r="N268" i="3" s="1"/>
  <c r="O268" i="3" s="1"/>
  <c r="G267" i="3"/>
  <c r="I267" i="3" s="1"/>
  <c r="M267" i="3" s="1"/>
  <c r="N267" i="3" s="1"/>
  <c r="O267" i="3" s="1"/>
  <c r="G266" i="3"/>
  <c r="I266" i="3" s="1"/>
  <c r="M266" i="3" s="1"/>
  <c r="N266" i="3" s="1"/>
  <c r="O266" i="3" s="1"/>
  <c r="G265" i="3"/>
  <c r="I265" i="3" s="1"/>
  <c r="M265" i="3" s="1"/>
  <c r="N265" i="3" s="1"/>
  <c r="O265" i="3" s="1"/>
  <c r="G264" i="3"/>
  <c r="I264" i="3" s="1"/>
  <c r="M264" i="3" s="1"/>
  <c r="N264" i="3" s="1"/>
  <c r="O264" i="3" s="1"/>
  <c r="G263" i="3"/>
  <c r="I263" i="3" s="1"/>
  <c r="M263" i="3" s="1"/>
  <c r="N263" i="3" s="1"/>
  <c r="O263" i="3" s="1"/>
  <c r="G262" i="3"/>
  <c r="I262" i="3" s="1"/>
  <c r="M262" i="3" s="1"/>
  <c r="N262" i="3" s="1"/>
  <c r="O262" i="3" s="1"/>
  <c r="G261" i="3"/>
  <c r="I261" i="3" s="1"/>
  <c r="M261" i="3" s="1"/>
  <c r="N261" i="3" s="1"/>
  <c r="O261" i="3" s="1"/>
  <c r="G260" i="3"/>
  <c r="I260" i="3" s="1"/>
  <c r="M260" i="3" s="1"/>
  <c r="N260" i="3" s="1"/>
  <c r="O260" i="3" s="1"/>
  <c r="G259" i="3"/>
  <c r="I259" i="3" s="1"/>
  <c r="M259" i="3" s="1"/>
  <c r="N259" i="3" s="1"/>
  <c r="O259" i="3" s="1"/>
  <c r="G258" i="3"/>
  <c r="I258" i="3" s="1"/>
  <c r="M258" i="3" s="1"/>
  <c r="N258" i="3" s="1"/>
  <c r="O258" i="3" s="1"/>
  <c r="G257" i="3"/>
  <c r="I257" i="3" s="1"/>
  <c r="M257" i="3" s="1"/>
  <c r="N257" i="3" s="1"/>
  <c r="O257" i="3" s="1"/>
  <c r="G256" i="3"/>
  <c r="I256" i="3" s="1"/>
  <c r="M256" i="3" s="1"/>
  <c r="N256" i="3" s="1"/>
  <c r="O256" i="3" s="1"/>
  <c r="G255" i="3"/>
  <c r="I255" i="3" s="1"/>
  <c r="M255" i="3" s="1"/>
  <c r="N255" i="3" s="1"/>
  <c r="O255" i="3" s="1"/>
  <c r="G254" i="3"/>
  <c r="I254" i="3" s="1"/>
  <c r="M254" i="3" s="1"/>
  <c r="N254" i="3" s="1"/>
  <c r="O254" i="3" s="1"/>
  <c r="G253" i="3"/>
  <c r="I253" i="3" s="1"/>
  <c r="M253" i="3" s="1"/>
  <c r="N253" i="3" s="1"/>
  <c r="O253" i="3" s="1"/>
  <c r="G252" i="3"/>
  <c r="I252" i="3" s="1"/>
  <c r="M252" i="3" s="1"/>
  <c r="N252" i="3" s="1"/>
  <c r="O252" i="3" s="1"/>
  <c r="G251" i="3"/>
  <c r="I251" i="3" s="1"/>
  <c r="M251" i="3" s="1"/>
  <c r="N251" i="3" s="1"/>
  <c r="O251" i="3" s="1"/>
  <c r="G250" i="3"/>
  <c r="I250" i="3" s="1"/>
  <c r="M250" i="3" s="1"/>
  <c r="N250" i="3" s="1"/>
  <c r="O250" i="3" s="1"/>
  <c r="G249" i="3"/>
  <c r="I249" i="3" s="1"/>
  <c r="M249" i="3" s="1"/>
  <c r="N249" i="3" s="1"/>
  <c r="O249" i="3" s="1"/>
  <c r="G248" i="3"/>
  <c r="I248" i="3" s="1"/>
  <c r="M248" i="3" s="1"/>
  <c r="N248" i="3" s="1"/>
  <c r="O248" i="3" s="1"/>
  <c r="G247" i="3"/>
  <c r="I247" i="3" s="1"/>
  <c r="M247" i="3" s="1"/>
  <c r="N247" i="3" s="1"/>
  <c r="O247" i="3" s="1"/>
  <c r="G246" i="3"/>
  <c r="I246" i="3" s="1"/>
  <c r="M246" i="3" s="1"/>
  <c r="N246" i="3" s="1"/>
  <c r="O246" i="3" s="1"/>
  <c r="G245" i="3"/>
  <c r="I245" i="3" s="1"/>
  <c r="M245" i="3" s="1"/>
  <c r="N245" i="3" s="1"/>
  <c r="O245" i="3" s="1"/>
  <c r="G244" i="3"/>
  <c r="I244" i="3" s="1"/>
  <c r="M244" i="3" s="1"/>
  <c r="N244" i="3" s="1"/>
  <c r="O244" i="3" s="1"/>
  <c r="G243" i="3"/>
  <c r="I243" i="3" s="1"/>
  <c r="M243" i="3" s="1"/>
  <c r="N243" i="3" s="1"/>
  <c r="O243" i="3" s="1"/>
  <c r="G242" i="3"/>
  <c r="I242" i="3" s="1"/>
  <c r="M242" i="3" s="1"/>
  <c r="N242" i="3" s="1"/>
  <c r="O242" i="3" s="1"/>
  <c r="G241" i="3"/>
  <c r="I241" i="3" s="1"/>
  <c r="M241" i="3" s="1"/>
  <c r="N241" i="3" s="1"/>
  <c r="O241" i="3" s="1"/>
  <c r="G240" i="3"/>
  <c r="I240" i="3" s="1"/>
  <c r="M240" i="3" s="1"/>
  <c r="N240" i="3" s="1"/>
  <c r="O240" i="3" s="1"/>
  <c r="G239" i="3"/>
  <c r="I239" i="3" s="1"/>
  <c r="M239" i="3" s="1"/>
  <c r="N239" i="3" s="1"/>
  <c r="O239" i="3" s="1"/>
  <c r="G238" i="3"/>
  <c r="I238" i="3" s="1"/>
  <c r="M238" i="3" s="1"/>
  <c r="N238" i="3" s="1"/>
  <c r="O238" i="3" s="1"/>
  <c r="G237" i="3"/>
  <c r="I237" i="3" s="1"/>
  <c r="M237" i="3" s="1"/>
  <c r="N237" i="3" s="1"/>
  <c r="O237" i="3" s="1"/>
  <c r="G236" i="3"/>
  <c r="I236" i="3" s="1"/>
  <c r="M236" i="3" s="1"/>
  <c r="N236" i="3" s="1"/>
  <c r="O236" i="3" s="1"/>
  <c r="G235" i="3"/>
  <c r="I235" i="3" s="1"/>
  <c r="M235" i="3" s="1"/>
  <c r="N235" i="3" s="1"/>
  <c r="O235" i="3" s="1"/>
  <c r="G234" i="3"/>
  <c r="I234" i="3" s="1"/>
  <c r="M234" i="3" s="1"/>
  <c r="N234" i="3" s="1"/>
  <c r="O234" i="3" s="1"/>
  <c r="G233" i="3"/>
  <c r="I233" i="3" s="1"/>
  <c r="M233" i="3" s="1"/>
  <c r="N233" i="3" s="1"/>
  <c r="O233" i="3" s="1"/>
  <c r="G232" i="3"/>
  <c r="I232" i="3" s="1"/>
  <c r="M232" i="3" s="1"/>
  <c r="N232" i="3" s="1"/>
  <c r="O232" i="3" s="1"/>
  <c r="G231" i="3"/>
  <c r="I231" i="3" s="1"/>
  <c r="M231" i="3" s="1"/>
  <c r="N231" i="3" s="1"/>
  <c r="O231" i="3" s="1"/>
  <c r="G230" i="3"/>
  <c r="I230" i="3" s="1"/>
  <c r="M230" i="3" s="1"/>
  <c r="N230" i="3" s="1"/>
  <c r="O230" i="3" s="1"/>
  <c r="G229" i="3"/>
  <c r="I229" i="3" s="1"/>
  <c r="M229" i="3" s="1"/>
  <c r="N229" i="3" s="1"/>
  <c r="O229" i="3" s="1"/>
  <c r="G228" i="3"/>
  <c r="I228" i="3" s="1"/>
  <c r="M228" i="3" s="1"/>
  <c r="N228" i="3" s="1"/>
  <c r="O228" i="3" s="1"/>
  <c r="G227" i="3"/>
  <c r="I227" i="3" s="1"/>
  <c r="M227" i="3" s="1"/>
  <c r="N227" i="3" s="1"/>
  <c r="O227" i="3" s="1"/>
  <c r="G226" i="3"/>
  <c r="I226" i="3" s="1"/>
  <c r="M226" i="3" s="1"/>
  <c r="N226" i="3" s="1"/>
  <c r="O226" i="3" s="1"/>
  <c r="G225" i="3"/>
  <c r="I225" i="3" s="1"/>
  <c r="M225" i="3" s="1"/>
  <c r="N225" i="3" s="1"/>
  <c r="O225" i="3" s="1"/>
  <c r="G224" i="3"/>
  <c r="I224" i="3" s="1"/>
  <c r="M224" i="3" s="1"/>
  <c r="N224" i="3" s="1"/>
  <c r="O224" i="3" s="1"/>
  <c r="G223" i="3"/>
  <c r="I223" i="3" s="1"/>
  <c r="M223" i="3" s="1"/>
  <c r="N223" i="3" s="1"/>
  <c r="O223" i="3" s="1"/>
  <c r="G222" i="3"/>
  <c r="I222" i="3" s="1"/>
  <c r="M222" i="3" s="1"/>
  <c r="N222" i="3" s="1"/>
  <c r="O222" i="3" s="1"/>
  <c r="G221" i="3"/>
  <c r="I221" i="3" s="1"/>
  <c r="M221" i="3" s="1"/>
  <c r="N221" i="3" s="1"/>
  <c r="O221" i="3" s="1"/>
  <c r="G220" i="3"/>
  <c r="I220" i="3" s="1"/>
  <c r="M220" i="3" s="1"/>
  <c r="N220" i="3" s="1"/>
  <c r="O220" i="3" s="1"/>
  <c r="G219" i="3"/>
  <c r="I219" i="3" s="1"/>
  <c r="M219" i="3" s="1"/>
  <c r="N219" i="3" s="1"/>
  <c r="O219" i="3" s="1"/>
  <c r="G218" i="3"/>
  <c r="I218" i="3" s="1"/>
  <c r="M218" i="3" s="1"/>
  <c r="N218" i="3" s="1"/>
  <c r="O218" i="3" s="1"/>
  <c r="G217" i="3"/>
  <c r="I217" i="3" s="1"/>
  <c r="M217" i="3" s="1"/>
  <c r="N217" i="3" s="1"/>
  <c r="O217" i="3" s="1"/>
  <c r="G216" i="3"/>
  <c r="I216" i="3" s="1"/>
  <c r="M216" i="3" s="1"/>
  <c r="N216" i="3" s="1"/>
  <c r="O216" i="3" s="1"/>
  <c r="G215" i="3"/>
  <c r="I215" i="3" s="1"/>
  <c r="M215" i="3" s="1"/>
  <c r="N215" i="3" s="1"/>
  <c r="O215" i="3" s="1"/>
  <c r="G214" i="3"/>
  <c r="I214" i="3" s="1"/>
  <c r="M214" i="3" s="1"/>
  <c r="N214" i="3" s="1"/>
  <c r="O214" i="3" s="1"/>
  <c r="G213" i="3"/>
  <c r="I213" i="3" s="1"/>
  <c r="M213" i="3" s="1"/>
  <c r="N213" i="3" s="1"/>
  <c r="O213" i="3" s="1"/>
  <c r="G212" i="3"/>
  <c r="I212" i="3" s="1"/>
  <c r="M212" i="3" s="1"/>
  <c r="N212" i="3" s="1"/>
  <c r="O212" i="3" s="1"/>
  <c r="G211" i="3"/>
  <c r="I211" i="3" s="1"/>
  <c r="M211" i="3" s="1"/>
  <c r="N211" i="3" s="1"/>
  <c r="O211" i="3" s="1"/>
  <c r="G210" i="3"/>
  <c r="I210" i="3" s="1"/>
  <c r="M210" i="3" s="1"/>
  <c r="N210" i="3" s="1"/>
  <c r="O210" i="3" s="1"/>
  <c r="G209" i="3"/>
  <c r="I209" i="3" s="1"/>
  <c r="M209" i="3" s="1"/>
  <c r="N209" i="3" s="1"/>
  <c r="O209" i="3" s="1"/>
  <c r="G208" i="3"/>
  <c r="I208" i="3" s="1"/>
  <c r="M208" i="3" s="1"/>
  <c r="N208" i="3" s="1"/>
  <c r="O208" i="3" s="1"/>
  <c r="G207" i="3"/>
  <c r="I207" i="3" s="1"/>
  <c r="M207" i="3" s="1"/>
  <c r="N207" i="3" s="1"/>
  <c r="O207" i="3" s="1"/>
  <c r="G206" i="3"/>
  <c r="I206" i="3" s="1"/>
  <c r="M206" i="3" s="1"/>
  <c r="N206" i="3" s="1"/>
  <c r="O206" i="3" s="1"/>
  <c r="G205" i="3"/>
  <c r="I205" i="3" s="1"/>
  <c r="M205" i="3" s="1"/>
  <c r="N205" i="3" s="1"/>
  <c r="O205" i="3" s="1"/>
  <c r="G204" i="3"/>
  <c r="I204" i="3" s="1"/>
  <c r="M204" i="3" s="1"/>
  <c r="N204" i="3" s="1"/>
  <c r="O204" i="3" s="1"/>
  <c r="G203" i="3"/>
  <c r="I203" i="3" s="1"/>
  <c r="M203" i="3" s="1"/>
  <c r="N203" i="3" s="1"/>
  <c r="O203" i="3" s="1"/>
  <c r="G202" i="3"/>
  <c r="I202" i="3" s="1"/>
  <c r="M202" i="3" s="1"/>
  <c r="N202" i="3" s="1"/>
  <c r="O202" i="3" s="1"/>
  <c r="G201" i="3"/>
  <c r="I201" i="3" s="1"/>
  <c r="M201" i="3" s="1"/>
  <c r="N201" i="3" s="1"/>
  <c r="O201" i="3" s="1"/>
  <c r="G200" i="3"/>
  <c r="I200" i="3" s="1"/>
  <c r="M200" i="3" s="1"/>
  <c r="N200" i="3" s="1"/>
  <c r="O200" i="3" s="1"/>
  <c r="G199" i="3"/>
  <c r="I199" i="3" s="1"/>
  <c r="M199" i="3" s="1"/>
  <c r="N199" i="3" s="1"/>
  <c r="O199" i="3" s="1"/>
  <c r="G198" i="3"/>
  <c r="I198" i="3" s="1"/>
  <c r="M198" i="3" s="1"/>
  <c r="N198" i="3" s="1"/>
  <c r="O198" i="3" s="1"/>
  <c r="G197" i="3"/>
  <c r="I197" i="3" s="1"/>
  <c r="M197" i="3" s="1"/>
  <c r="N197" i="3" s="1"/>
  <c r="O197" i="3" s="1"/>
  <c r="G196" i="3"/>
  <c r="I196" i="3" s="1"/>
  <c r="M196" i="3" s="1"/>
  <c r="N196" i="3" s="1"/>
  <c r="O196" i="3" s="1"/>
  <c r="G195" i="3"/>
  <c r="I195" i="3" s="1"/>
  <c r="M195" i="3" s="1"/>
  <c r="N195" i="3" s="1"/>
  <c r="O195" i="3" s="1"/>
  <c r="G194" i="3"/>
  <c r="I194" i="3" s="1"/>
  <c r="M194" i="3" s="1"/>
  <c r="N194" i="3" s="1"/>
  <c r="O194" i="3" s="1"/>
  <c r="G193" i="3"/>
  <c r="I193" i="3" s="1"/>
  <c r="M193" i="3" s="1"/>
  <c r="N193" i="3" s="1"/>
  <c r="O193" i="3" s="1"/>
  <c r="G192" i="3"/>
  <c r="I192" i="3" s="1"/>
  <c r="M192" i="3" s="1"/>
  <c r="N192" i="3" s="1"/>
  <c r="O192" i="3" s="1"/>
  <c r="G191" i="3"/>
  <c r="I191" i="3" s="1"/>
  <c r="M191" i="3" s="1"/>
  <c r="N191" i="3" s="1"/>
  <c r="O191" i="3" s="1"/>
  <c r="G190" i="3"/>
  <c r="I190" i="3" s="1"/>
  <c r="M190" i="3" s="1"/>
  <c r="N190" i="3" s="1"/>
  <c r="O190" i="3" s="1"/>
  <c r="G189" i="3"/>
  <c r="I189" i="3" s="1"/>
  <c r="M189" i="3" s="1"/>
  <c r="N189" i="3" s="1"/>
  <c r="O189" i="3" s="1"/>
  <c r="G188" i="3"/>
  <c r="I188" i="3" s="1"/>
  <c r="M188" i="3" s="1"/>
  <c r="N188" i="3" s="1"/>
  <c r="O188" i="3" s="1"/>
  <c r="G187" i="3"/>
  <c r="I187" i="3" s="1"/>
  <c r="M187" i="3" s="1"/>
  <c r="N187" i="3" s="1"/>
  <c r="O187" i="3" s="1"/>
  <c r="G186" i="3"/>
  <c r="I186" i="3" s="1"/>
  <c r="M186" i="3" s="1"/>
  <c r="N186" i="3" s="1"/>
  <c r="O186" i="3" s="1"/>
  <c r="G185" i="3"/>
  <c r="I185" i="3" s="1"/>
  <c r="M185" i="3" s="1"/>
  <c r="N185" i="3" s="1"/>
  <c r="O185" i="3" s="1"/>
  <c r="G184" i="3"/>
  <c r="I184" i="3" s="1"/>
  <c r="M184" i="3" s="1"/>
  <c r="N184" i="3" s="1"/>
  <c r="O184" i="3" s="1"/>
  <c r="G183" i="3"/>
  <c r="I183" i="3" s="1"/>
  <c r="M183" i="3" s="1"/>
  <c r="N183" i="3" s="1"/>
  <c r="O183" i="3" s="1"/>
  <c r="G182" i="3"/>
  <c r="I182" i="3" s="1"/>
  <c r="M182" i="3" s="1"/>
  <c r="N182" i="3" s="1"/>
  <c r="O182" i="3" s="1"/>
  <c r="G181" i="3"/>
  <c r="I181" i="3" s="1"/>
  <c r="M181" i="3" s="1"/>
  <c r="N181" i="3" s="1"/>
  <c r="O181" i="3" s="1"/>
  <c r="G180" i="3"/>
  <c r="I180" i="3" s="1"/>
  <c r="M180" i="3" s="1"/>
  <c r="N180" i="3" s="1"/>
  <c r="O180" i="3" s="1"/>
  <c r="G179" i="3"/>
  <c r="I179" i="3" s="1"/>
  <c r="M179" i="3" s="1"/>
  <c r="N179" i="3" s="1"/>
  <c r="O179" i="3" s="1"/>
  <c r="G178" i="3"/>
  <c r="I178" i="3" s="1"/>
  <c r="M178" i="3" s="1"/>
  <c r="N178" i="3" s="1"/>
  <c r="O178" i="3" s="1"/>
  <c r="G177" i="3"/>
  <c r="I177" i="3" s="1"/>
  <c r="M177" i="3" s="1"/>
  <c r="N177" i="3" s="1"/>
  <c r="O177" i="3" s="1"/>
  <c r="G176" i="3"/>
  <c r="I176" i="3" s="1"/>
  <c r="M176" i="3" s="1"/>
  <c r="N176" i="3" s="1"/>
  <c r="O176" i="3" s="1"/>
  <c r="G175" i="3"/>
  <c r="I175" i="3" s="1"/>
  <c r="M175" i="3" s="1"/>
  <c r="N175" i="3" s="1"/>
  <c r="O175" i="3" s="1"/>
  <c r="G174" i="3"/>
  <c r="I174" i="3" s="1"/>
  <c r="M174" i="3" s="1"/>
  <c r="N174" i="3" s="1"/>
  <c r="O174" i="3" s="1"/>
  <c r="G173" i="3"/>
  <c r="I173" i="3" s="1"/>
  <c r="M173" i="3" s="1"/>
  <c r="N173" i="3" s="1"/>
  <c r="O173" i="3" s="1"/>
  <c r="G172" i="3"/>
  <c r="I172" i="3" s="1"/>
  <c r="M172" i="3" s="1"/>
  <c r="N172" i="3" s="1"/>
  <c r="O172" i="3" s="1"/>
  <c r="G171" i="3"/>
  <c r="I171" i="3" s="1"/>
  <c r="M171" i="3" s="1"/>
  <c r="N171" i="3" s="1"/>
  <c r="O171" i="3" s="1"/>
  <c r="G170" i="3"/>
  <c r="I170" i="3" s="1"/>
  <c r="M170" i="3" s="1"/>
  <c r="N170" i="3" s="1"/>
  <c r="O170" i="3" s="1"/>
  <c r="G169" i="3"/>
  <c r="I169" i="3" s="1"/>
  <c r="M169" i="3" s="1"/>
  <c r="N169" i="3" s="1"/>
  <c r="O169" i="3" s="1"/>
  <c r="G168" i="3"/>
  <c r="I168" i="3" s="1"/>
  <c r="M168" i="3" s="1"/>
  <c r="N168" i="3" s="1"/>
  <c r="O168" i="3" s="1"/>
  <c r="G167" i="3"/>
  <c r="I167" i="3" s="1"/>
  <c r="M167" i="3" s="1"/>
  <c r="N167" i="3" s="1"/>
  <c r="O167" i="3" s="1"/>
  <c r="G166" i="3"/>
  <c r="I166" i="3" s="1"/>
  <c r="M166" i="3" s="1"/>
  <c r="N166" i="3" s="1"/>
  <c r="O166" i="3" s="1"/>
  <c r="G165" i="3"/>
  <c r="I165" i="3" s="1"/>
  <c r="M165" i="3" s="1"/>
  <c r="N165" i="3" s="1"/>
  <c r="O165" i="3" s="1"/>
  <c r="G164" i="3"/>
  <c r="I164" i="3" s="1"/>
  <c r="M164" i="3" s="1"/>
  <c r="N164" i="3" s="1"/>
  <c r="O164" i="3" s="1"/>
  <c r="G163" i="3"/>
  <c r="I163" i="3" s="1"/>
  <c r="M163" i="3" s="1"/>
  <c r="N163" i="3" s="1"/>
  <c r="O163" i="3" s="1"/>
  <c r="G162" i="3"/>
  <c r="I162" i="3" s="1"/>
  <c r="M162" i="3" s="1"/>
  <c r="N162" i="3" s="1"/>
  <c r="O162" i="3" s="1"/>
  <c r="G161" i="3"/>
  <c r="I161" i="3" s="1"/>
  <c r="M161" i="3" s="1"/>
  <c r="N161" i="3" s="1"/>
  <c r="O161" i="3" s="1"/>
  <c r="G160" i="3"/>
  <c r="I160" i="3" s="1"/>
  <c r="M160" i="3" s="1"/>
  <c r="N160" i="3" s="1"/>
  <c r="O160" i="3" s="1"/>
  <c r="G159" i="3"/>
  <c r="I159" i="3" s="1"/>
  <c r="M159" i="3" s="1"/>
  <c r="N159" i="3" s="1"/>
  <c r="O159" i="3" s="1"/>
  <c r="G158" i="3"/>
  <c r="I158" i="3" s="1"/>
  <c r="M158" i="3" s="1"/>
  <c r="N158" i="3" s="1"/>
  <c r="O158" i="3" s="1"/>
  <c r="G157" i="3"/>
  <c r="I157" i="3" s="1"/>
  <c r="M157" i="3" s="1"/>
  <c r="N157" i="3" s="1"/>
  <c r="O157" i="3" s="1"/>
  <c r="G156" i="3"/>
  <c r="I156" i="3" s="1"/>
  <c r="M156" i="3" s="1"/>
  <c r="N156" i="3" s="1"/>
  <c r="O156" i="3" s="1"/>
  <c r="G155" i="3"/>
  <c r="I155" i="3" s="1"/>
  <c r="M155" i="3" s="1"/>
  <c r="N155" i="3" s="1"/>
  <c r="O155" i="3" s="1"/>
  <c r="G154" i="3"/>
  <c r="I154" i="3" s="1"/>
  <c r="M154" i="3" s="1"/>
  <c r="N154" i="3" s="1"/>
  <c r="O154" i="3" s="1"/>
  <c r="G153" i="3"/>
  <c r="I153" i="3" s="1"/>
  <c r="M153" i="3" s="1"/>
  <c r="N153" i="3" s="1"/>
  <c r="O153" i="3" s="1"/>
  <c r="G152" i="3"/>
  <c r="I152" i="3" s="1"/>
  <c r="M152" i="3" s="1"/>
  <c r="N152" i="3" s="1"/>
  <c r="O152" i="3" s="1"/>
  <c r="G151" i="3"/>
  <c r="I151" i="3" s="1"/>
  <c r="M151" i="3" s="1"/>
  <c r="N151" i="3" s="1"/>
  <c r="O151" i="3" s="1"/>
  <c r="G150" i="3"/>
  <c r="I150" i="3" s="1"/>
  <c r="M150" i="3" s="1"/>
  <c r="N150" i="3" s="1"/>
  <c r="O150" i="3" s="1"/>
  <c r="G149" i="3"/>
  <c r="I149" i="3" s="1"/>
  <c r="M149" i="3" s="1"/>
  <c r="N149" i="3" s="1"/>
  <c r="O149" i="3" s="1"/>
  <c r="G148" i="3"/>
  <c r="I148" i="3" s="1"/>
  <c r="M148" i="3" s="1"/>
  <c r="N148" i="3" s="1"/>
  <c r="O148" i="3" s="1"/>
  <c r="G147" i="3"/>
  <c r="I147" i="3" s="1"/>
  <c r="M147" i="3" s="1"/>
  <c r="N147" i="3" s="1"/>
  <c r="O147" i="3" s="1"/>
  <c r="G146" i="3"/>
  <c r="I146" i="3" s="1"/>
  <c r="M146" i="3" s="1"/>
  <c r="N146" i="3" s="1"/>
  <c r="O146" i="3" s="1"/>
  <c r="G145" i="3"/>
  <c r="I145" i="3" s="1"/>
  <c r="M145" i="3" s="1"/>
  <c r="N145" i="3" s="1"/>
  <c r="O145" i="3" s="1"/>
  <c r="G144" i="3"/>
  <c r="I144" i="3" s="1"/>
  <c r="M144" i="3" s="1"/>
  <c r="N144" i="3" s="1"/>
  <c r="O144" i="3" s="1"/>
  <c r="G143" i="3"/>
  <c r="I143" i="3" s="1"/>
  <c r="M143" i="3" s="1"/>
  <c r="N143" i="3" s="1"/>
  <c r="O143" i="3" s="1"/>
  <c r="G142" i="3"/>
  <c r="I142" i="3" s="1"/>
  <c r="M142" i="3" s="1"/>
  <c r="N142" i="3" s="1"/>
  <c r="O142" i="3" s="1"/>
  <c r="G141" i="3"/>
  <c r="I141" i="3" s="1"/>
  <c r="M141" i="3" s="1"/>
  <c r="N141" i="3" s="1"/>
  <c r="O141" i="3" s="1"/>
  <c r="G140" i="3"/>
  <c r="I140" i="3" s="1"/>
  <c r="M140" i="3" s="1"/>
  <c r="N140" i="3" s="1"/>
  <c r="O140" i="3" s="1"/>
  <c r="G139" i="3"/>
  <c r="I139" i="3" s="1"/>
  <c r="M139" i="3" s="1"/>
  <c r="N139" i="3" s="1"/>
  <c r="O139" i="3" s="1"/>
  <c r="G138" i="3"/>
  <c r="I138" i="3" s="1"/>
  <c r="M138" i="3" s="1"/>
  <c r="N138" i="3" s="1"/>
  <c r="O138" i="3" s="1"/>
  <c r="G137" i="3"/>
  <c r="I137" i="3" s="1"/>
  <c r="M137" i="3" s="1"/>
  <c r="N137" i="3" s="1"/>
  <c r="O137" i="3" s="1"/>
  <c r="G136" i="3"/>
  <c r="I136" i="3" s="1"/>
  <c r="M136" i="3" s="1"/>
  <c r="N136" i="3" s="1"/>
  <c r="O136" i="3" s="1"/>
  <c r="G135" i="3"/>
  <c r="I135" i="3" s="1"/>
  <c r="M135" i="3" s="1"/>
  <c r="N135" i="3" s="1"/>
  <c r="O135" i="3" s="1"/>
  <c r="G134" i="3"/>
  <c r="I134" i="3" s="1"/>
  <c r="M134" i="3" s="1"/>
  <c r="N134" i="3" s="1"/>
  <c r="O134" i="3" s="1"/>
  <c r="G133" i="3"/>
  <c r="I133" i="3" s="1"/>
  <c r="M133" i="3" s="1"/>
  <c r="N133" i="3" s="1"/>
  <c r="O133" i="3" s="1"/>
  <c r="G132" i="3"/>
  <c r="I132" i="3" s="1"/>
  <c r="M132" i="3" s="1"/>
  <c r="N132" i="3" s="1"/>
  <c r="O132" i="3" s="1"/>
  <c r="G131" i="3"/>
  <c r="I131" i="3" s="1"/>
  <c r="M131" i="3" s="1"/>
  <c r="N131" i="3" s="1"/>
  <c r="O131" i="3" s="1"/>
  <c r="G130" i="3"/>
  <c r="I130" i="3" s="1"/>
  <c r="M130" i="3" s="1"/>
  <c r="N130" i="3" s="1"/>
  <c r="O130" i="3" s="1"/>
  <c r="G129" i="3"/>
  <c r="I129" i="3" s="1"/>
  <c r="M129" i="3" s="1"/>
  <c r="N129" i="3" s="1"/>
  <c r="O129" i="3" s="1"/>
  <c r="G128" i="3"/>
  <c r="I128" i="3" s="1"/>
  <c r="M128" i="3" s="1"/>
  <c r="N128" i="3" s="1"/>
  <c r="O128" i="3" s="1"/>
  <c r="G127" i="3"/>
  <c r="I127" i="3" s="1"/>
  <c r="M127" i="3" s="1"/>
  <c r="N127" i="3" s="1"/>
  <c r="O127" i="3" s="1"/>
  <c r="G126" i="3"/>
  <c r="I126" i="3" s="1"/>
  <c r="M126" i="3" s="1"/>
  <c r="N126" i="3" s="1"/>
  <c r="O126" i="3" s="1"/>
  <c r="G125" i="3"/>
  <c r="I125" i="3" s="1"/>
  <c r="M125" i="3" s="1"/>
  <c r="N125" i="3" s="1"/>
  <c r="O125" i="3" s="1"/>
  <c r="G124" i="3"/>
  <c r="I124" i="3" s="1"/>
  <c r="M124" i="3" s="1"/>
  <c r="N124" i="3" s="1"/>
  <c r="O124" i="3" s="1"/>
  <c r="G123" i="3"/>
  <c r="I123" i="3" s="1"/>
  <c r="M123" i="3" s="1"/>
  <c r="N123" i="3" s="1"/>
  <c r="O123" i="3" s="1"/>
  <c r="G122" i="3"/>
  <c r="I122" i="3" s="1"/>
  <c r="M122" i="3" s="1"/>
  <c r="N122" i="3" s="1"/>
  <c r="O122" i="3" s="1"/>
  <c r="G121" i="3"/>
  <c r="I121" i="3" s="1"/>
  <c r="M121" i="3" s="1"/>
  <c r="N121" i="3" s="1"/>
  <c r="O121" i="3" s="1"/>
  <c r="G120" i="3"/>
  <c r="I120" i="3" s="1"/>
  <c r="M120" i="3" s="1"/>
  <c r="N120" i="3" s="1"/>
  <c r="O120" i="3" s="1"/>
  <c r="G119" i="3"/>
  <c r="I119" i="3" s="1"/>
  <c r="M119" i="3" s="1"/>
  <c r="N119" i="3" s="1"/>
  <c r="O119" i="3" s="1"/>
  <c r="G118" i="3"/>
  <c r="I118" i="3" s="1"/>
  <c r="M118" i="3" s="1"/>
  <c r="N118" i="3" s="1"/>
  <c r="O118" i="3" s="1"/>
  <c r="G117" i="3"/>
  <c r="I117" i="3" s="1"/>
  <c r="M117" i="3" s="1"/>
  <c r="N117" i="3" s="1"/>
  <c r="O117" i="3" s="1"/>
  <c r="G116" i="3"/>
  <c r="I116" i="3" s="1"/>
  <c r="M116" i="3" s="1"/>
  <c r="N116" i="3" s="1"/>
  <c r="O116" i="3" s="1"/>
  <c r="G115" i="3"/>
  <c r="I115" i="3" s="1"/>
  <c r="M115" i="3" s="1"/>
  <c r="N115" i="3" s="1"/>
  <c r="O115" i="3" s="1"/>
  <c r="G114" i="3"/>
  <c r="I114" i="3" s="1"/>
  <c r="M114" i="3" s="1"/>
  <c r="N114" i="3" s="1"/>
  <c r="O114" i="3" s="1"/>
  <c r="G113" i="3"/>
  <c r="I113" i="3" s="1"/>
  <c r="M113" i="3" s="1"/>
  <c r="N113" i="3" s="1"/>
  <c r="O113" i="3" s="1"/>
  <c r="G112" i="3"/>
  <c r="I112" i="3" s="1"/>
  <c r="M112" i="3" s="1"/>
  <c r="N112" i="3" s="1"/>
  <c r="O112" i="3" s="1"/>
  <c r="G111" i="3"/>
  <c r="I111" i="3" s="1"/>
  <c r="M111" i="3" s="1"/>
  <c r="N111" i="3" s="1"/>
  <c r="O111" i="3" s="1"/>
  <c r="G110" i="3"/>
  <c r="I110" i="3" s="1"/>
  <c r="M110" i="3" s="1"/>
  <c r="N110" i="3" s="1"/>
  <c r="O110" i="3" s="1"/>
  <c r="G109" i="3"/>
  <c r="I109" i="3" s="1"/>
  <c r="M109" i="3" s="1"/>
  <c r="N109" i="3" s="1"/>
  <c r="O109" i="3" s="1"/>
  <c r="G108" i="3"/>
  <c r="I108" i="3" s="1"/>
  <c r="M108" i="3" s="1"/>
  <c r="N108" i="3" s="1"/>
  <c r="O108" i="3" s="1"/>
  <c r="G107" i="3"/>
  <c r="I107" i="3" s="1"/>
  <c r="M107" i="3" s="1"/>
  <c r="N107" i="3" s="1"/>
  <c r="O107" i="3" s="1"/>
  <c r="G106" i="3"/>
  <c r="I106" i="3" s="1"/>
  <c r="M106" i="3" s="1"/>
  <c r="N106" i="3" s="1"/>
  <c r="O106" i="3" s="1"/>
  <c r="G105" i="3"/>
  <c r="I105" i="3" s="1"/>
  <c r="M105" i="3" s="1"/>
  <c r="N105" i="3" s="1"/>
  <c r="O105" i="3" s="1"/>
  <c r="G104" i="3"/>
  <c r="I104" i="3" s="1"/>
  <c r="M104" i="3" s="1"/>
  <c r="N104" i="3" s="1"/>
  <c r="O104" i="3" s="1"/>
  <c r="G103" i="3"/>
  <c r="I103" i="3" s="1"/>
  <c r="M103" i="3" s="1"/>
  <c r="N103" i="3" s="1"/>
  <c r="O103" i="3" s="1"/>
  <c r="G102" i="3"/>
  <c r="I102" i="3" s="1"/>
  <c r="M102" i="3" s="1"/>
  <c r="N102" i="3" s="1"/>
  <c r="O102" i="3" s="1"/>
  <c r="G101" i="3"/>
  <c r="I101" i="3" s="1"/>
  <c r="M101" i="3" s="1"/>
  <c r="N101" i="3" s="1"/>
  <c r="O101" i="3" s="1"/>
  <c r="G100" i="3"/>
  <c r="I100" i="3" s="1"/>
  <c r="M100" i="3" s="1"/>
  <c r="N100" i="3" s="1"/>
  <c r="O100" i="3" s="1"/>
  <c r="G99" i="3"/>
  <c r="I99" i="3" s="1"/>
  <c r="M99" i="3" s="1"/>
  <c r="N99" i="3" s="1"/>
  <c r="O99" i="3" s="1"/>
  <c r="G98" i="3"/>
  <c r="I98" i="3" s="1"/>
  <c r="M98" i="3" s="1"/>
  <c r="N98" i="3" s="1"/>
  <c r="O98" i="3" s="1"/>
  <c r="G97" i="3"/>
  <c r="I97" i="3" s="1"/>
  <c r="M97" i="3" s="1"/>
  <c r="N97" i="3" s="1"/>
  <c r="O97" i="3" s="1"/>
  <c r="G96" i="3"/>
  <c r="I96" i="3" s="1"/>
  <c r="M96" i="3" s="1"/>
  <c r="N96" i="3" s="1"/>
  <c r="O96" i="3" s="1"/>
  <c r="G95" i="3"/>
  <c r="I95" i="3" s="1"/>
  <c r="M95" i="3" s="1"/>
  <c r="N95" i="3" s="1"/>
  <c r="O95" i="3" s="1"/>
  <c r="G94" i="3"/>
  <c r="I94" i="3" s="1"/>
  <c r="M94" i="3" s="1"/>
  <c r="N94" i="3" s="1"/>
  <c r="O94" i="3" s="1"/>
  <c r="G93" i="3"/>
  <c r="I93" i="3" s="1"/>
  <c r="M93" i="3" s="1"/>
  <c r="N93" i="3" s="1"/>
  <c r="O93" i="3" s="1"/>
  <c r="G92" i="3"/>
  <c r="I92" i="3" s="1"/>
  <c r="M92" i="3" s="1"/>
  <c r="N92" i="3" s="1"/>
  <c r="O92" i="3" s="1"/>
  <c r="G91" i="3"/>
  <c r="I91" i="3" s="1"/>
  <c r="M91" i="3" s="1"/>
  <c r="N91" i="3" s="1"/>
  <c r="O91" i="3" s="1"/>
  <c r="G90" i="3"/>
  <c r="I90" i="3" s="1"/>
  <c r="M90" i="3" s="1"/>
  <c r="N90" i="3" s="1"/>
  <c r="O90" i="3" s="1"/>
  <c r="G89" i="3"/>
  <c r="I89" i="3" s="1"/>
  <c r="M89" i="3" s="1"/>
  <c r="N89" i="3" s="1"/>
  <c r="O89" i="3" s="1"/>
  <c r="G88" i="3"/>
  <c r="I88" i="3" s="1"/>
  <c r="M88" i="3" s="1"/>
  <c r="N88" i="3" s="1"/>
  <c r="O88" i="3" s="1"/>
  <c r="G87" i="3"/>
  <c r="I87" i="3" s="1"/>
  <c r="M87" i="3" s="1"/>
  <c r="N87" i="3" s="1"/>
  <c r="O87" i="3" s="1"/>
  <c r="G86" i="3"/>
  <c r="I86" i="3" s="1"/>
  <c r="M86" i="3" s="1"/>
  <c r="N86" i="3" s="1"/>
  <c r="O86" i="3" s="1"/>
  <c r="G85" i="3"/>
  <c r="I85" i="3" s="1"/>
  <c r="M85" i="3" s="1"/>
  <c r="N85" i="3" s="1"/>
  <c r="O85" i="3" s="1"/>
  <c r="G84" i="3"/>
  <c r="I84" i="3" s="1"/>
  <c r="M84" i="3" s="1"/>
  <c r="N84" i="3" s="1"/>
  <c r="O84" i="3" s="1"/>
  <c r="G83" i="3"/>
  <c r="I83" i="3" s="1"/>
  <c r="M83" i="3" s="1"/>
  <c r="N83" i="3" s="1"/>
  <c r="O83" i="3" s="1"/>
  <c r="G82" i="3"/>
  <c r="I82" i="3" s="1"/>
  <c r="M82" i="3" s="1"/>
  <c r="N82" i="3" s="1"/>
  <c r="O82" i="3" s="1"/>
  <c r="G81" i="3"/>
  <c r="I81" i="3" s="1"/>
  <c r="M81" i="3" s="1"/>
  <c r="N81" i="3" s="1"/>
  <c r="O81" i="3" s="1"/>
  <c r="G80" i="3"/>
  <c r="I80" i="3" s="1"/>
  <c r="M80" i="3" s="1"/>
  <c r="N80" i="3" s="1"/>
  <c r="O80" i="3" s="1"/>
  <c r="G79" i="3"/>
  <c r="I79" i="3" s="1"/>
  <c r="M79" i="3" s="1"/>
  <c r="N79" i="3" s="1"/>
  <c r="O79" i="3" s="1"/>
  <c r="G78" i="3"/>
  <c r="I78" i="3" s="1"/>
  <c r="M78" i="3" s="1"/>
  <c r="N78" i="3" s="1"/>
  <c r="O78" i="3" s="1"/>
  <c r="G77" i="3"/>
  <c r="I77" i="3" s="1"/>
  <c r="M77" i="3" s="1"/>
  <c r="N77" i="3" s="1"/>
  <c r="O77" i="3" s="1"/>
  <c r="G76" i="3"/>
  <c r="I76" i="3" s="1"/>
  <c r="M76" i="3" s="1"/>
  <c r="N76" i="3" s="1"/>
  <c r="O76" i="3" s="1"/>
  <c r="G75" i="3"/>
  <c r="I75" i="3" s="1"/>
  <c r="M75" i="3" s="1"/>
  <c r="N75" i="3" s="1"/>
  <c r="O75" i="3" s="1"/>
  <c r="G74" i="3"/>
  <c r="I74" i="3" s="1"/>
  <c r="M74" i="3" s="1"/>
  <c r="N74" i="3" s="1"/>
  <c r="O74" i="3" s="1"/>
  <c r="G73" i="3"/>
  <c r="I73" i="3" s="1"/>
  <c r="M73" i="3" s="1"/>
  <c r="N73" i="3" s="1"/>
  <c r="O73" i="3" s="1"/>
  <c r="G72" i="3"/>
  <c r="I72" i="3" s="1"/>
  <c r="M72" i="3" s="1"/>
  <c r="N72" i="3" s="1"/>
  <c r="O72" i="3" s="1"/>
  <c r="G71" i="3"/>
  <c r="I71" i="3" s="1"/>
  <c r="M71" i="3" s="1"/>
  <c r="N71" i="3" s="1"/>
  <c r="O71" i="3" s="1"/>
  <c r="G70" i="3"/>
  <c r="I70" i="3" s="1"/>
  <c r="M70" i="3" s="1"/>
  <c r="N70" i="3" s="1"/>
  <c r="O70" i="3" s="1"/>
  <c r="G69" i="3"/>
  <c r="I69" i="3" s="1"/>
  <c r="M69" i="3" s="1"/>
  <c r="N69" i="3" s="1"/>
  <c r="O69" i="3" s="1"/>
  <c r="G68" i="3"/>
  <c r="I68" i="3" s="1"/>
  <c r="M68" i="3" s="1"/>
  <c r="N68" i="3" s="1"/>
  <c r="O68" i="3" s="1"/>
  <c r="G67" i="3"/>
  <c r="I67" i="3" s="1"/>
  <c r="M67" i="3" s="1"/>
  <c r="N67" i="3" s="1"/>
  <c r="O67" i="3" s="1"/>
  <c r="G66" i="3"/>
  <c r="I66" i="3" s="1"/>
  <c r="M66" i="3" s="1"/>
  <c r="N66" i="3" s="1"/>
  <c r="O66" i="3" s="1"/>
  <c r="G65" i="3"/>
  <c r="I65" i="3" s="1"/>
  <c r="M65" i="3" s="1"/>
  <c r="N65" i="3" s="1"/>
  <c r="O65" i="3" s="1"/>
  <c r="G64" i="3"/>
  <c r="I64" i="3" s="1"/>
  <c r="M64" i="3" s="1"/>
  <c r="N64" i="3" s="1"/>
  <c r="O64" i="3" s="1"/>
  <c r="G63" i="3"/>
  <c r="I63" i="3" s="1"/>
  <c r="M63" i="3" s="1"/>
  <c r="N63" i="3" s="1"/>
  <c r="O63" i="3" s="1"/>
  <c r="G62" i="3"/>
  <c r="I62" i="3" s="1"/>
  <c r="M62" i="3" s="1"/>
  <c r="N62" i="3" s="1"/>
  <c r="O62" i="3" s="1"/>
  <c r="G61" i="3"/>
  <c r="I61" i="3" s="1"/>
  <c r="M61" i="3" s="1"/>
  <c r="N61" i="3" s="1"/>
  <c r="O61" i="3" s="1"/>
  <c r="G60" i="3"/>
  <c r="I60" i="3" s="1"/>
  <c r="M60" i="3" s="1"/>
  <c r="N60" i="3" s="1"/>
  <c r="O60" i="3" s="1"/>
  <c r="G59" i="3"/>
  <c r="I59" i="3" s="1"/>
  <c r="M59" i="3" s="1"/>
  <c r="N59" i="3" s="1"/>
  <c r="O59" i="3" s="1"/>
  <c r="G58" i="3"/>
  <c r="I58" i="3" s="1"/>
  <c r="M58" i="3" s="1"/>
  <c r="N58" i="3" s="1"/>
  <c r="O58" i="3" s="1"/>
  <c r="G57" i="3"/>
  <c r="I57" i="3" s="1"/>
  <c r="M57" i="3" s="1"/>
  <c r="N57" i="3" s="1"/>
  <c r="O57" i="3" s="1"/>
  <c r="G56" i="3"/>
  <c r="I56" i="3" s="1"/>
  <c r="M56" i="3" s="1"/>
  <c r="N56" i="3" s="1"/>
  <c r="O56" i="3" s="1"/>
  <c r="G55" i="3"/>
  <c r="I55" i="3" s="1"/>
  <c r="M55" i="3" s="1"/>
  <c r="N55" i="3" s="1"/>
  <c r="O55" i="3" s="1"/>
  <c r="G54" i="3"/>
  <c r="I54" i="3" s="1"/>
  <c r="M54" i="3" s="1"/>
  <c r="N54" i="3" s="1"/>
  <c r="O54" i="3" s="1"/>
  <c r="G53" i="3"/>
  <c r="I53" i="3" s="1"/>
  <c r="M53" i="3" s="1"/>
  <c r="N53" i="3" s="1"/>
  <c r="O53" i="3" s="1"/>
  <c r="G52" i="3"/>
  <c r="I52" i="3" s="1"/>
  <c r="M52" i="3" s="1"/>
  <c r="N52" i="3" s="1"/>
  <c r="O52" i="3" s="1"/>
  <c r="G51" i="3"/>
  <c r="I51" i="3" s="1"/>
  <c r="M51" i="3" s="1"/>
  <c r="N51" i="3" s="1"/>
  <c r="O51" i="3" s="1"/>
  <c r="G50" i="3"/>
  <c r="I50" i="3" s="1"/>
  <c r="M50" i="3" s="1"/>
  <c r="N50" i="3" s="1"/>
  <c r="O50" i="3" s="1"/>
  <c r="G49" i="3"/>
  <c r="I49" i="3" s="1"/>
  <c r="M49" i="3" s="1"/>
  <c r="N49" i="3" s="1"/>
  <c r="O49" i="3" s="1"/>
  <c r="G48" i="3"/>
  <c r="I48" i="3" s="1"/>
  <c r="M48" i="3" s="1"/>
  <c r="N48" i="3" s="1"/>
  <c r="O48" i="3" s="1"/>
  <c r="G47" i="3"/>
  <c r="I47" i="3" s="1"/>
  <c r="M47" i="3" s="1"/>
  <c r="N47" i="3" s="1"/>
  <c r="O47" i="3" s="1"/>
  <c r="G46" i="3"/>
  <c r="I46" i="3" s="1"/>
  <c r="M46" i="3" s="1"/>
  <c r="N46" i="3" s="1"/>
  <c r="O46" i="3" s="1"/>
  <c r="G45" i="3"/>
  <c r="I45" i="3" s="1"/>
  <c r="M45" i="3" s="1"/>
  <c r="N45" i="3" s="1"/>
  <c r="O45" i="3" s="1"/>
  <c r="G44" i="3"/>
  <c r="I44" i="3" s="1"/>
  <c r="M44" i="3" s="1"/>
  <c r="N44" i="3" s="1"/>
  <c r="O44" i="3" s="1"/>
  <c r="G43" i="3"/>
  <c r="I43" i="3" s="1"/>
  <c r="M43" i="3" s="1"/>
  <c r="N43" i="3" s="1"/>
  <c r="O43" i="3" s="1"/>
  <c r="G42" i="3"/>
  <c r="I42" i="3" s="1"/>
  <c r="M42" i="3" s="1"/>
  <c r="N42" i="3" s="1"/>
  <c r="O42" i="3" s="1"/>
  <c r="G41" i="3"/>
  <c r="I41" i="3" s="1"/>
  <c r="M41" i="3" s="1"/>
  <c r="N41" i="3" s="1"/>
  <c r="O41" i="3" s="1"/>
  <c r="G40" i="3"/>
  <c r="I40" i="3" s="1"/>
  <c r="M40" i="3" s="1"/>
  <c r="N40" i="3" s="1"/>
  <c r="O40" i="3" s="1"/>
  <c r="G39" i="3"/>
  <c r="I39" i="3" s="1"/>
  <c r="M39" i="3" s="1"/>
  <c r="N39" i="3" s="1"/>
  <c r="O39" i="3" s="1"/>
  <c r="G38" i="3"/>
  <c r="I38" i="3" s="1"/>
  <c r="M38" i="3" s="1"/>
  <c r="N38" i="3" s="1"/>
  <c r="O38" i="3" s="1"/>
  <c r="G37" i="3"/>
  <c r="I37" i="3" s="1"/>
  <c r="M37" i="3" s="1"/>
  <c r="N37" i="3" s="1"/>
  <c r="O37" i="3" s="1"/>
  <c r="G36" i="3"/>
  <c r="I36" i="3" s="1"/>
  <c r="M36" i="3" s="1"/>
  <c r="N36" i="3" s="1"/>
  <c r="O36" i="3" s="1"/>
  <c r="G35" i="3"/>
  <c r="I35" i="3" s="1"/>
  <c r="M35" i="3" s="1"/>
  <c r="N35" i="3" s="1"/>
  <c r="O35" i="3" s="1"/>
  <c r="G34" i="3"/>
  <c r="I34" i="3" s="1"/>
  <c r="M34" i="3" s="1"/>
  <c r="N34" i="3" s="1"/>
  <c r="O34" i="3" s="1"/>
  <c r="G33" i="3"/>
  <c r="I33" i="3" s="1"/>
  <c r="M33" i="3" s="1"/>
  <c r="N33" i="3" s="1"/>
  <c r="O33" i="3" s="1"/>
  <c r="G32" i="3"/>
  <c r="I32" i="3" s="1"/>
  <c r="M32" i="3" s="1"/>
  <c r="N32" i="3" s="1"/>
  <c r="O32" i="3" s="1"/>
  <c r="G31" i="3"/>
  <c r="I31" i="3" s="1"/>
  <c r="M31" i="3" s="1"/>
  <c r="N31" i="3" s="1"/>
  <c r="O31" i="3" s="1"/>
  <c r="G30" i="3"/>
  <c r="I30" i="3" s="1"/>
  <c r="M30" i="3" s="1"/>
  <c r="N30" i="3" s="1"/>
  <c r="O30" i="3" s="1"/>
  <c r="G29" i="3"/>
  <c r="I29" i="3" s="1"/>
  <c r="M29" i="3" s="1"/>
  <c r="N29" i="3" s="1"/>
  <c r="O29" i="3" s="1"/>
  <c r="G28" i="3"/>
  <c r="I28" i="3" s="1"/>
  <c r="M28" i="3" s="1"/>
  <c r="N28" i="3" s="1"/>
  <c r="O28" i="3" s="1"/>
  <c r="G27" i="3"/>
  <c r="I27" i="3" s="1"/>
  <c r="M27" i="3" s="1"/>
  <c r="N27" i="3" s="1"/>
  <c r="O27" i="3" s="1"/>
  <c r="G26" i="3"/>
  <c r="I26" i="3" s="1"/>
  <c r="M26" i="3" s="1"/>
  <c r="N26" i="3" s="1"/>
  <c r="O26" i="3" s="1"/>
  <c r="G25" i="3"/>
  <c r="I25" i="3" s="1"/>
  <c r="M25" i="3" s="1"/>
  <c r="N25" i="3" s="1"/>
  <c r="O25" i="3" s="1"/>
  <c r="G24" i="3"/>
  <c r="I24" i="3" s="1"/>
  <c r="M24" i="3" s="1"/>
  <c r="N24" i="3" s="1"/>
  <c r="O24" i="3" s="1"/>
  <c r="G23" i="3"/>
  <c r="I23" i="3" s="1"/>
  <c r="M23" i="3" s="1"/>
  <c r="N23" i="3" s="1"/>
  <c r="O23" i="3" s="1"/>
  <c r="G22" i="3"/>
  <c r="I22" i="3" s="1"/>
  <c r="M22" i="3" s="1"/>
  <c r="N22" i="3" s="1"/>
  <c r="O22" i="3" s="1"/>
  <c r="G21" i="3"/>
  <c r="I21" i="3" s="1"/>
  <c r="M21" i="3" s="1"/>
  <c r="N21" i="3" s="1"/>
  <c r="O21" i="3" s="1"/>
  <c r="G20" i="3"/>
  <c r="I20" i="3" s="1"/>
  <c r="M20" i="3" s="1"/>
  <c r="N20" i="3" s="1"/>
  <c r="O20" i="3" s="1"/>
  <c r="G19" i="3"/>
  <c r="I19" i="3" s="1"/>
  <c r="M19" i="3" s="1"/>
  <c r="N19" i="3" s="1"/>
  <c r="O19" i="3" s="1"/>
  <c r="G18" i="3"/>
  <c r="I18" i="3" s="1"/>
  <c r="M18" i="3" s="1"/>
  <c r="N18" i="3" s="1"/>
  <c r="O18" i="3" s="1"/>
  <c r="G17" i="3"/>
  <c r="I17" i="3" s="1"/>
  <c r="M17" i="3" s="1"/>
  <c r="N17" i="3" s="1"/>
  <c r="O17" i="3" s="1"/>
  <c r="G16" i="3"/>
  <c r="I16" i="3" s="1"/>
  <c r="N16" i="3" s="1"/>
  <c r="O16" i="3" s="1"/>
  <c r="G14" i="3"/>
  <c r="I14" i="3" s="1"/>
  <c r="M14" i="3" s="1"/>
  <c r="N14" i="3" s="1"/>
  <c r="O14" i="3" s="1"/>
  <c r="G13" i="3"/>
  <c r="I13" i="3" s="1"/>
  <c r="M13" i="3" s="1"/>
  <c r="N13" i="3" s="1"/>
  <c r="O13" i="3" s="1"/>
  <c r="G12" i="3"/>
  <c r="I12" i="3" s="1"/>
  <c r="M12" i="3" s="1"/>
  <c r="N12" i="3" s="1"/>
  <c r="O12" i="3" s="1"/>
  <c r="G11" i="3"/>
  <c r="I11" i="3" s="1"/>
  <c r="M11" i="3" s="1"/>
  <c r="N11" i="3" s="1"/>
  <c r="O11" i="3" s="1"/>
  <c r="G10" i="3"/>
  <c r="I10" i="3" s="1"/>
  <c r="M10" i="3" s="1"/>
  <c r="N10" i="3" s="1"/>
  <c r="O10" i="3" s="1"/>
  <c r="G9" i="3"/>
  <c r="I9" i="3" s="1"/>
  <c r="M9" i="3" s="1"/>
  <c r="N9" i="3" s="1"/>
  <c r="O9" i="3" s="1"/>
  <c r="G8" i="3"/>
  <c r="I8" i="3" s="1"/>
  <c r="M8" i="3" s="1"/>
  <c r="N8" i="3" s="1"/>
  <c r="O8" i="3" s="1"/>
  <c r="G7" i="3"/>
  <c r="I7" i="3" s="1"/>
  <c r="M7" i="3" s="1"/>
  <c r="N7" i="3" s="1"/>
  <c r="O7" i="3" s="1"/>
  <c r="G6" i="3"/>
  <c r="I6" i="3" s="1"/>
  <c r="M6" i="3" s="1"/>
  <c r="N6" i="3" s="1"/>
  <c r="O6" i="3" s="1"/>
  <c r="G5" i="3"/>
  <c r="I5" i="3" s="1"/>
  <c r="M5" i="3" s="1"/>
  <c r="N5" i="3" s="1"/>
  <c r="O5" i="3" s="1"/>
  <c r="G4" i="3"/>
  <c r="I4" i="3" s="1"/>
  <c r="M4" i="3" s="1"/>
  <c r="N4" i="3" s="1"/>
  <c r="O4" i="3" s="1"/>
  <c r="G3" i="3"/>
  <c r="I3" i="3" s="1"/>
  <c r="M3" i="3" s="1"/>
  <c r="N3" i="3" s="1"/>
  <c r="O3" i="3" s="1"/>
  <c r="G2" i="3"/>
  <c r="I2" i="3" s="1"/>
  <c r="L46" i="2"/>
  <c r="H46" i="2"/>
  <c r="D46" i="2"/>
  <c r="B46" i="2"/>
  <c r="N45" i="2"/>
  <c r="O45" i="2" s="1"/>
  <c r="M45" i="2"/>
  <c r="I45" i="2"/>
  <c r="G45" i="2"/>
  <c r="M44" i="2"/>
  <c r="N44" i="2" s="1"/>
  <c r="O44" i="2" s="1"/>
  <c r="G44" i="2"/>
  <c r="I44" i="2" s="1"/>
  <c r="I43" i="2"/>
  <c r="M43" i="2" s="1"/>
  <c r="N43" i="2" s="1"/>
  <c r="O43" i="2" s="1"/>
  <c r="G43" i="2"/>
  <c r="M42" i="2"/>
  <c r="N42" i="2" s="1"/>
  <c r="O42" i="2" s="1"/>
  <c r="I42" i="2"/>
  <c r="G42" i="2"/>
  <c r="N41" i="2"/>
  <c r="O41" i="2" s="1"/>
  <c r="I41" i="2"/>
  <c r="M41" i="2" s="1"/>
  <c r="G41" i="2"/>
  <c r="O40" i="2"/>
  <c r="G40" i="2"/>
  <c r="I40" i="2" s="1"/>
  <c r="M40" i="2" s="1"/>
  <c r="N40" i="2" s="1"/>
  <c r="N39" i="2"/>
  <c r="O39" i="2" s="1"/>
  <c r="I39" i="2"/>
  <c r="M39" i="2" s="1"/>
  <c r="G39" i="2"/>
  <c r="M38" i="2"/>
  <c r="N38" i="2" s="1"/>
  <c r="O38" i="2" s="1"/>
  <c r="G38" i="2"/>
  <c r="I38" i="2" s="1"/>
  <c r="N37" i="2"/>
  <c r="O37" i="2" s="1"/>
  <c r="M37" i="2"/>
  <c r="I37" i="2"/>
  <c r="G37" i="2"/>
  <c r="G36" i="2"/>
  <c r="I36" i="2" s="1"/>
  <c r="M36" i="2" s="1"/>
  <c r="N36" i="2" s="1"/>
  <c r="O36" i="2" s="1"/>
  <c r="I35" i="2"/>
  <c r="M35" i="2" s="1"/>
  <c r="N35" i="2" s="1"/>
  <c r="O35" i="2" s="1"/>
  <c r="G35" i="2"/>
  <c r="O34" i="2"/>
  <c r="M34" i="2"/>
  <c r="N34" i="2" s="1"/>
  <c r="I34" i="2"/>
  <c r="G34" i="2"/>
  <c r="I33" i="2"/>
  <c r="M33" i="2" s="1"/>
  <c r="N33" i="2" s="1"/>
  <c r="O33" i="2" s="1"/>
  <c r="G33" i="2"/>
  <c r="O32" i="2"/>
  <c r="G32" i="2"/>
  <c r="I32" i="2" s="1"/>
  <c r="M32" i="2" s="1"/>
  <c r="N32" i="2" s="1"/>
  <c r="I31" i="2"/>
  <c r="M31" i="2" s="1"/>
  <c r="N31" i="2" s="1"/>
  <c r="O31" i="2" s="1"/>
  <c r="G31" i="2"/>
  <c r="G30" i="2"/>
  <c r="I30" i="2" s="1"/>
  <c r="M30" i="2" s="1"/>
  <c r="N30" i="2" s="1"/>
  <c r="O30" i="2" s="1"/>
  <c r="N29" i="2"/>
  <c r="O29" i="2" s="1"/>
  <c r="M29" i="2"/>
  <c r="I29" i="2"/>
  <c r="G29" i="2"/>
  <c r="G28" i="2"/>
  <c r="I28" i="2" s="1"/>
  <c r="M28" i="2" s="1"/>
  <c r="N28" i="2" s="1"/>
  <c r="O28" i="2" s="1"/>
  <c r="I27" i="2"/>
  <c r="M27" i="2" s="1"/>
  <c r="N27" i="2" s="1"/>
  <c r="O27" i="2" s="1"/>
  <c r="G27" i="2"/>
  <c r="M26" i="2"/>
  <c r="N26" i="2" s="1"/>
  <c r="O26" i="2" s="1"/>
  <c r="I26" i="2"/>
  <c r="G26" i="2"/>
  <c r="I25" i="2"/>
  <c r="M25" i="2" s="1"/>
  <c r="N25" i="2" s="1"/>
  <c r="O25" i="2" s="1"/>
  <c r="G25" i="2"/>
  <c r="G24" i="2"/>
  <c r="I24" i="2" s="1"/>
  <c r="M24" i="2" s="1"/>
  <c r="N24" i="2" s="1"/>
  <c r="O24" i="2" s="1"/>
  <c r="N23" i="2"/>
  <c r="O23" i="2" s="1"/>
  <c r="I23" i="2"/>
  <c r="M23" i="2" s="1"/>
  <c r="G23" i="2"/>
  <c r="G22" i="2"/>
  <c r="I22" i="2" s="1"/>
  <c r="M22" i="2" s="1"/>
  <c r="N22" i="2" s="1"/>
  <c r="O22" i="2" s="1"/>
  <c r="N21" i="2"/>
  <c r="O21" i="2" s="1"/>
  <c r="M21" i="2"/>
  <c r="I21" i="2"/>
  <c r="G21" i="2"/>
  <c r="M20" i="2"/>
  <c r="N20" i="2" s="1"/>
  <c r="O20" i="2" s="1"/>
  <c r="G20" i="2"/>
  <c r="I20" i="2" s="1"/>
  <c r="I19" i="2"/>
  <c r="M19" i="2" s="1"/>
  <c r="N19" i="2" s="1"/>
  <c r="O19" i="2" s="1"/>
  <c r="G19" i="2"/>
  <c r="O18" i="2"/>
  <c r="M18" i="2"/>
  <c r="N18" i="2" s="1"/>
  <c r="I18" i="2"/>
  <c r="G18" i="2"/>
  <c r="I17" i="2"/>
  <c r="M17" i="2" s="1"/>
  <c r="N17" i="2" s="1"/>
  <c r="O17" i="2" s="1"/>
  <c r="G17" i="2"/>
  <c r="N16" i="2"/>
  <c r="O16" i="2" s="1"/>
  <c r="G16" i="2"/>
  <c r="I16" i="2" s="1"/>
  <c r="M16" i="2" s="1"/>
  <c r="I15" i="2"/>
  <c r="M15" i="2" s="1"/>
  <c r="N15" i="2" s="1"/>
  <c r="O15" i="2" s="1"/>
  <c r="G15" i="2"/>
  <c r="G14" i="2"/>
  <c r="I14" i="2" s="1"/>
  <c r="M14" i="2" s="1"/>
  <c r="N14" i="2" s="1"/>
  <c r="O14" i="2" s="1"/>
  <c r="M13" i="2"/>
  <c r="N13" i="2" s="1"/>
  <c r="O13" i="2" s="1"/>
  <c r="I13" i="2"/>
  <c r="G13" i="2"/>
  <c r="G12" i="2"/>
  <c r="I12" i="2" s="1"/>
  <c r="M12" i="2" s="1"/>
  <c r="N12" i="2" s="1"/>
  <c r="O12" i="2" s="1"/>
  <c r="O11" i="2"/>
  <c r="I11" i="2"/>
  <c r="M11" i="2" s="1"/>
  <c r="N11" i="2" s="1"/>
  <c r="G11" i="2"/>
  <c r="I10" i="2"/>
  <c r="M10" i="2" s="1"/>
  <c r="N10" i="2" s="1"/>
  <c r="O10" i="2" s="1"/>
  <c r="G10" i="2"/>
  <c r="I9" i="2"/>
  <c r="M9" i="2" s="1"/>
  <c r="N9" i="2" s="1"/>
  <c r="O9" i="2" s="1"/>
  <c r="G9" i="2"/>
  <c r="N8" i="2"/>
  <c r="O8" i="2" s="1"/>
  <c r="G8" i="2"/>
  <c r="I8" i="2" s="1"/>
  <c r="M8" i="2" s="1"/>
  <c r="G7" i="2"/>
  <c r="I7" i="2" s="1"/>
  <c r="M7" i="2" s="1"/>
  <c r="N7" i="2" s="1"/>
  <c r="O7" i="2" s="1"/>
  <c r="M6" i="2"/>
  <c r="N6" i="2" s="1"/>
  <c r="O6" i="2" s="1"/>
  <c r="G6" i="2"/>
  <c r="I6" i="2" s="1"/>
  <c r="M5" i="2"/>
  <c r="N5" i="2" s="1"/>
  <c r="O5" i="2" s="1"/>
  <c r="I5" i="2"/>
  <c r="G5" i="2"/>
  <c r="G4" i="2"/>
  <c r="I3" i="2"/>
  <c r="M3" i="2" s="1"/>
  <c r="N3" i="2" s="1"/>
  <c r="O3" i="2" s="1"/>
  <c r="G3" i="2"/>
  <c r="M2" i="2"/>
  <c r="N2" i="2" s="1"/>
  <c r="O2" i="2" s="1"/>
  <c r="I2" i="2"/>
  <c r="G2" i="2"/>
  <c r="L979" i="1"/>
  <c r="H979" i="1"/>
  <c r="D979" i="1"/>
  <c r="B979" i="1"/>
  <c r="G978" i="1"/>
  <c r="I978" i="1" s="1"/>
  <c r="M978" i="1" s="1"/>
  <c r="N978" i="1" s="1"/>
  <c r="O978" i="1" s="1"/>
  <c r="M977" i="1"/>
  <c r="N977" i="1" s="1"/>
  <c r="O977" i="1" s="1"/>
  <c r="I977" i="1"/>
  <c r="G977" i="1"/>
  <c r="M976" i="1"/>
  <c r="N976" i="1" s="1"/>
  <c r="O976" i="1" s="1"/>
  <c r="G976" i="1"/>
  <c r="I976" i="1" s="1"/>
  <c r="O975" i="1"/>
  <c r="I975" i="1"/>
  <c r="M975" i="1" s="1"/>
  <c r="N975" i="1" s="1"/>
  <c r="G975" i="1"/>
  <c r="I974" i="1"/>
  <c r="M974" i="1" s="1"/>
  <c r="N974" i="1" s="1"/>
  <c r="O974" i="1" s="1"/>
  <c r="G974" i="1"/>
  <c r="I973" i="1"/>
  <c r="M973" i="1" s="1"/>
  <c r="N973" i="1" s="1"/>
  <c r="O973" i="1" s="1"/>
  <c r="G973" i="1"/>
  <c r="N972" i="1"/>
  <c r="O972" i="1" s="1"/>
  <c r="G972" i="1"/>
  <c r="I972" i="1" s="1"/>
  <c r="M972" i="1" s="1"/>
  <c r="I971" i="1"/>
  <c r="M971" i="1" s="1"/>
  <c r="N971" i="1" s="1"/>
  <c r="O971" i="1" s="1"/>
  <c r="G971" i="1"/>
  <c r="M970" i="1"/>
  <c r="N970" i="1" s="1"/>
  <c r="O970" i="1" s="1"/>
  <c r="G970" i="1"/>
  <c r="I970" i="1" s="1"/>
  <c r="M969" i="1"/>
  <c r="N969" i="1" s="1"/>
  <c r="O969" i="1" s="1"/>
  <c r="I969" i="1"/>
  <c r="G969" i="1"/>
  <c r="G968" i="1"/>
  <c r="I968" i="1" s="1"/>
  <c r="M968" i="1" s="1"/>
  <c r="N968" i="1" s="1"/>
  <c r="O968" i="1" s="1"/>
  <c r="I967" i="1"/>
  <c r="M967" i="1" s="1"/>
  <c r="N967" i="1" s="1"/>
  <c r="O967" i="1" s="1"/>
  <c r="G967" i="1"/>
  <c r="M966" i="1"/>
  <c r="N966" i="1" s="1"/>
  <c r="O966" i="1" s="1"/>
  <c r="I966" i="1"/>
  <c r="G966" i="1"/>
  <c r="N965" i="1"/>
  <c r="O965" i="1" s="1"/>
  <c r="I965" i="1"/>
  <c r="M965" i="1" s="1"/>
  <c r="G965" i="1"/>
  <c r="G964" i="1"/>
  <c r="I964" i="1" s="1"/>
  <c r="M964" i="1" s="1"/>
  <c r="N964" i="1" s="1"/>
  <c r="O964" i="1" s="1"/>
  <c r="N963" i="1"/>
  <c r="O963" i="1" s="1"/>
  <c r="G963" i="1"/>
  <c r="I963" i="1" s="1"/>
  <c r="M963" i="1" s="1"/>
  <c r="G962" i="1"/>
  <c r="I962" i="1" s="1"/>
  <c r="M962" i="1" s="1"/>
  <c r="N962" i="1" s="1"/>
  <c r="O962" i="1" s="1"/>
  <c r="N961" i="1"/>
  <c r="O961" i="1" s="1"/>
  <c r="M961" i="1"/>
  <c r="I961" i="1"/>
  <c r="G961" i="1"/>
  <c r="M960" i="1"/>
  <c r="N960" i="1" s="1"/>
  <c r="O960" i="1" s="1"/>
  <c r="G960" i="1"/>
  <c r="I960" i="1" s="1"/>
  <c r="I959" i="1"/>
  <c r="M959" i="1" s="1"/>
  <c r="N959" i="1" s="1"/>
  <c r="O959" i="1" s="1"/>
  <c r="G959" i="1"/>
  <c r="M958" i="1"/>
  <c r="N958" i="1" s="1"/>
  <c r="O958" i="1" s="1"/>
  <c r="I958" i="1"/>
  <c r="G958" i="1"/>
  <c r="I957" i="1"/>
  <c r="M957" i="1" s="1"/>
  <c r="N957" i="1" s="1"/>
  <c r="O957" i="1" s="1"/>
  <c r="G957" i="1"/>
  <c r="G956" i="1"/>
  <c r="I956" i="1" s="1"/>
  <c r="M956" i="1" s="1"/>
  <c r="N956" i="1" s="1"/>
  <c r="O956" i="1" s="1"/>
  <c r="I955" i="1"/>
  <c r="M955" i="1" s="1"/>
  <c r="N955" i="1" s="1"/>
  <c r="O955" i="1" s="1"/>
  <c r="G955" i="1"/>
  <c r="G954" i="1"/>
  <c r="I954" i="1" s="1"/>
  <c r="M954" i="1" s="1"/>
  <c r="N954" i="1" s="1"/>
  <c r="O954" i="1" s="1"/>
  <c r="M953" i="1"/>
  <c r="N953" i="1" s="1"/>
  <c r="O953" i="1" s="1"/>
  <c r="I953" i="1"/>
  <c r="G953" i="1"/>
  <c r="G952" i="1"/>
  <c r="I952" i="1" s="1"/>
  <c r="M952" i="1" s="1"/>
  <c r="N952" i="1" s="1"/>
  <c r="O952" i="1" s="1"/>
  <c r="O951" i="1"/>
  <c r="I951" i="1"/>
  <c r="M951" i="1" s="1"/>
  <c r="N951" i="1" s="1"/>
  <c r="G951" i="1"/>
  <c r="I950" i="1"/>
  <c r="M950" i="1" s="1"/>
  <c r="N950" i="1" s="1"/>
  <c r="O950" i="1" s="1"/>
  <c r="G950" i="1"/>
  <c r="I949" i="1"/>
  <c r="M949" i="1" s="1"/>
  <c r="N949" i="1" s="1"/>
  <c r="O949" i="1" s="1"/>
  <c r="G949" i="1"/>
  <c r="G948" i="1"/>
  <c r="I948" i="1" s="1"/>
  <c r="M948" i="1" s="1"/>
  <c r="N948" i="1" s="1"/>
  <c r="O948" i="1" s="1"/>
  <c r="G947" i="1"/>
  <c r="I947" i="1" s="1"/>
  <c r="M947" i="1" s="1"/>
  <c r="N947" i="1" s="1"/>
  <c r="O947" i="1" s="1"/>
  <c r="G946" i="1"/>
  <c r="I946" i="1" s="1"/>
  <c r="M946" i="1" s="1"/>
  <c r="N946" i="1" s="1"/>
  <c r="O946" i="1" s="1"/>
  <c r="M945" i="1"/>
  <c r="N945" i="1" s="1"/>
  <c r="O945" i="1" s="1"/>
  <c r="I945" i="1"/>
  <c r="G945" i="1"/>
  <c r="G944" i="1"/>
  <c r="I944" i="1" s="1"/>
  <c r="M944" i="1" s="1"/>
  <c r="N944" i="1" s="1"/>
  <c r="O944" i="1" s="1"/>
  <c r="I943" i="1"/>
  <c r="M943" i="1" s="1"/>
  <c r="N943" i="1" s="1"/>
  <c r="O943" i="1" s="1"/>
  <c r="G943" i="1"/>
  <c r="G942" i="1"/>
  <c r="I942" i="1" s="1"/>
  <c r="M942" i="1" s="1"/>
  <c r="N942" i="1" s="1"/>
  <c r="O942" i="1" s="1"/>
  <c r="N941" i="1"/>
  <c r="O941" i="1" s="1"/>
  <c r="I941" i="1"/>
  <c r="M941" i="1" s="1"/>
  <c r="G941" i="1"/>
  <c r="M940" i="1"/>
  <c r="N940" i="1" s="1"/>
  <c r="O940" i="1" s="1"/>
  <c r="G940" i="1"/>
  <c r="I940" i="1" s="1"/>
  <c r="N939" i="1"/>
  <c r="O939" i="1" s="1"/>
  <c r="I939" i="1"/>
  <c r="M939" i="1" s="1"/>
  <c r="G939" i="1"/>
  <c r="G938" i="1"/>
  <c r="I938" i="1" s="1"/>
  <c r="M938" i="1" s="1"/>
  <c r="N938" i="1" s="1"/>
  <c r="O938" i="1" s="1"/>
  <c r="I937" i="1"/>
  <c r="M937" i="1" s="1"/>
  <c r="N937" i="1" s="1"/>
  <c r="O937" i="1" s="1"/>
  <c r="G937" i="1"/>
  <c r="M936" i="1"/>
  <c r="N936" i="1" s="1"/>
  <c r="O936" i="1" s="1"/>
  <c r="G936" i="1"/>
  <c r="I936" i="1" s="1"/>
  <c r="N935" i="1"/>
  <c r="O935" i="1" s="1"/>
  <c r="I935" i="1"/>
  <c r="M935" i="1" s="1"/>
  <c r="G935" i="1"/>
  <c r="I934" i="1"/>
  <c r="M934" i="1" s="1"/>
  <c r="N934" i="1" s="1"/>
  <c r="O934" i="1" s="1"/>
  <c r="G934" i="1"/>
  <c r="I933" i="1"/>
  <c r="M933" i="1" s="1"/>
  <c r="N933" i="1" s="1"/>
  <c r="O933" i="1" s="1"/>
  <c r="G933" i="1"/>
  <c r="G932" i="1"/>
  <c r="I932" i="1" s="1"/>
  <c r="M932" i="1" s="1"/>
  <c r="N932" i="1" s="1"/>
  <c r="O932" i="1" s="1"/>
  <c r="G931" i="1"/>
  <c r="I931" i="1" s="1"/>
  <c r="M931" i="1" s="1"/>
  <c r="N931" i="1" s="1"/>
  <c r="O931" i="1" s="1"/>
  <c r="M930" i="1"/>
  <c r="N930" i="1" s="1"/>
  <c r="O930" i="1" s="1"/>
  <c r="G930" i="1"/>
  <c r="I930" i="1" s="1"/>
  <c r="N929" i="1"/>
  <c r="O929" i="1" s="1"/>
  <c r="I929" i="1"/>
  <c r="M929" i="1" s="1"/>
  <c r="G929" i="1"/>
  <c r="I928" i="1"/>
  <c r="M928" i="1" s="1"/>
  <c r="N928" i="1" s="1"/>
  <c r="O928" i="1" s="1"/>
  <c r="G928" i="1"/>
  <c r="O927" i="1"/>
  <c r="I927" i="1"/>
  <c r="M927" i="1" s="1"/>
  <c r="N927" i="1" s="1"/>
  <c r="G927" i="1"/>
  <c r="M926" i="1"/>
  <c r="N926" i="1" s="1"/>
  <c r="O926" i="1" s="1"/>
  <c r="G926" i="1"/>
  <c r="I926" i="1" s="1"/>
  <c r="G925" i="1"/>
  <c r="I925" i="1" s="1"/>
  <c r="M925" i="1" s="1"/>
  <c r="N925" i="1" s="1"/>
  <c r="O925" i="1" s="1"/>
  <c r="M924" i="1"/>
  <c r="N924" i="1" s="1"/>
  <c r="O924" i="1" s="1"/>
  <c r="G924" i="1"/>
  <c r="I924" i="1" s="1"/>
  <c r="N923" i="1"/>
  <c r="O923" i="1" s="1"/>
  <c r="G923" i="1"/>
  <c r="I923" i="1" s="1"/>
  <c r="M923" i="1" s="1"/>
  <c r="M922" i="1"/>
  <c r="N922" i="1" s="1"/>
  <c r="O922" i="1" s="1"/>
  <c r="G922" i="1"/>
  <c r="I922" i="1" s="1"/>
  <c r="I921" i="1"/>
  <c r="M921" i="1" s="1"/>
  <c r="N921" i="1" s="1"/>
  <c r="O921" i="1" s="1"/>
  <c r="G921" i="1"/>
  <c r="I920" i="1"/>
  <c r="M920" i="1" s="1"/>
  <c r="N920" i="1" s="1"/>
  <c r="O920" i="1" s="1"/>
  <c r="G920" i="1"/>
  <c r="O919" i="1"/>
  <c r="I919" i="1"/>
  <c r="M919" i="1" s="1"/>
  <c r="N919" i="1" s="1"/>
  <c r="G919" i="1"/>
  <c r="M918" i="1"/>
  <c r="N918" i="1" s="1"/>
  <c r="O918" i="1" s="1"/>
  <c r="G918" i="1"/>
  <c r="I918" i="1" s="1"/>
  <c r="G917" i="1"/>
  <c r="I917" i="1" s="1"/>
  <c r="M917" i="1" s="1"/>
  <c r="N917" i="1" s="1"/>
  <c r="O917" i="1" s="1"/>
  <c r="M916" i="1"/>
  <c r="N916" i="1" s="1"/>
  <c r="O916" i="1" s="1"/>
  <c r="G916" i="1"/>
  <c r="I916" i="1" s="1"/>
  <c r="G915" i="1"/>
  <c r="I915" i="1" s="1"/>
  <c r="M915" i="1" s="1"/>
  <c r="N915" i="1" s="1"/>
  <c r="O915" i="1" s="1"/>
  <c r="M914" i="1"/>
  <c r="N914" i="1" s="1"/>
  <c r="O914" i="1" s="1"/>
  <c r="G914" i="1"/>
  <c r="I914" i="1" s="1"/>
  <c r="N913" i="1"/>
  <c r="O913" i="1" s="1"/>
  <c r="I913" i="1"/>
  <c r="M913" i="1" s="1"/>
  <c r="G913" i="1"/>
  <c r="I912" i="1"/>
  <c r="M912" i="1" s="1"/>
  <c r="N912" i="1" s="1"/>
  <c r="O912" i="1" s="1"/>
  <c r="G912" i="1"/>
  <c r="O911" i="1"/>
  <c r="I911" i="1"/>
  <c r="M911" i="1" s="1"/>
  <c r="N911" i="1" s="1"/>
  <c r="G911" i="1"/>
  <c r="M910" i="1"/>
  <c r="N910" i="1" s="1"/>
  <c r="O910" i="1" s="1"/>
  <c r="G910" i="1"/>
  <c r="I910" i="1" s="1"/>
  <c r="G909" i="1"/>
  <c r="I909" i="1" s="1"/>
  <c r="M909" i="1" s="1"/>
  <c r="N909" i="1" s="1"/>
  <c r="O909" i="1" s="1"/>
  <c r="M908" i="1"/>
  <c r="N908" i="1" s="1"/>
  <c r="O908" i="1" s="1"/>
  <c r="G908" i="1"/>
  <c r="I908" i="1" s="1"/>
  <c r="N907" i="1"/>
  <c r="O907" i="1" s="1"/>
  <c r="G907" i="1"/>
  <c r="I907" i="1" s="1"/>
  <c r="M907" i="1" s="1"/>
  <c r="M906" i="1"/>
  <c r="N906" i="1" s="1"/>
  <c r="O906" i="1" s="1"/>
  <c r="G906" i="1"/>
  <c r="I906" i="1" s="1"/>
  <c r="I905" i="1"/>
  <c r="M905" i="1" s="1"/>
  <c r="N905" i="1" s="1"/>
  <c r="O905" i="1" s="1"/>
  <c r="G905" i="1"/>
  <c r="I904" i="1"/>
  <c r="M904" i="1" s="1"/>
  <c r="N904" i="1" s="1"/>
  <c r="O904" i="1" s="1"/>
  <c r="G904" i="1"/>
  <c r="O903" i="1"/>
  <c r="I903" i="1"/>
  <c r="M903" i="1" s="1"/>
  <c r="N903" i="1" s="1"/>
  <c r="G903" i="1"/>
  <c r="M902" i="1"/>
  <c r="N902" i="1" s="1"/>
  <c r="O902" i="1" s="1"/>
  <c r="G902" i="1"/>
  <c r="I902" i="1" s="1"/>
  <c r="G901" i="1"/>
  <c r="I901" i="1" s="1"/>
  <c r="M901" i="1" s="1"/>
  <c r="N901" i="1" s="1"/>
  <c r="O901" i="1" s="1"/>
  <c r="M900" i="1"/>
  <c r="N900" i="1" s="1"/>
  <c r="O900" i="1" s="1"/>
  <c r="G900" i="1"/>
  <c r="I900" i="1" s="1"/>
  <c r="I899" i="1"/>
  <c r="M899" i="1" s="1"/>
  <c r="N899" i="1" s="1"/>
  <c r="O899" i="1" s="1"/>
  <c r="G899" i="1"/>
  <c r="M898" i="1"/>
  <c r="N898" i="1" s="1"/>
  <c r="O898" i="1" s="1"/>
  <c r="G898" i="1"/>
  <c r="I898" i="1" s="1"/>
  <c r="M897" i="1"/>
  <c r="N897" i="1" s="1"/>
  <c r="O897" i="1" s="1"/>
  <c r="I897" i="1"/>
  <c r="G897" i="1"/>
  <c r="O896" i="1"/>
  <c r="M896" i="1"/>
  <c r="N896" i="1" s="1"/>
  <c r="G896" i="1"/>
  <c r="I896" i="1" s="1"/>
  <c r="G895" i="1"/>
  <c r="I895" i="1" s="1"/>
  <c r="M895" i="1" s="1"/>
  <c r="N895" i="1" s="1"/>
  <c r="O895" i="1" s="1"/>
  <c r="G894" i="1"/>
  <c r="I894" i="1" s="1"/>
  <c r="M894" i="1" s="1"/>
  <c r="N894" i="1" s="1"/>
  <c r="O894" i="1" s="1"/>
  <c r="M893" i="1"/>
  <c r="N893" i="1" s="1"/>
  <c r="O893" i="1" s="1"/>
  <c r="I893" i="1"/>
  <c r="G893" i="1"/>
  <c r="O892" i="1"/>
  <c r="G892" i="1"/>
  <c r="I892" i="1" s="1"/>
  <c r="M892" i="1" s="1"/>
  <c r="N892" i="1" s="1"/>
  <c r="G891" i="1"/>
  <c r="I891" i="1" s="1"/>
  <c r="M891" i="1" s="1"/>
  <c r="N891" i="1" s="1"/>
  <c r="O891" i="1" s="1"/>
  <c r="I890" i="1"/>
  <c r="M890" i="1" s="1"/>
  <c r="N890" i="1" s="1"/>
  <c r="O890" i="1" s="1"/>
  <c r="G890" i="1"/>
  <c r="N889" i="1"/>
  <c r="O889" i="1" s="1"/>
  <c r="I889" i="1"/>
  <c r="M889" i="1" s="1"/>
  <c r="G889" i="1"/>
  <c r="G888" i="1"/>
  <c r="I888" i="1" s="1"/>
  <c r="M888" i="1" s="1"/>
  <c r="N888" i="1" s="1"/>
  <c r="O888" i="1" s="1"/>
  <c r="N887" i="1"/>
  <c r="O887" i="1" s="1"/>
  <c r="G887" i="1"/>
  <c r="I887" i="1" s="1"/>
  <c r="M887" i="1" s="1"/>
  <c r="O886" i="1"/>
  <c r="I886" i="1"/>
  <c r="M886" i="1" s="1"/>
  <c r="N886" i="1" s="1"/>
  <c r="G886" i="1"/>
  <c r="G885" i="1"/>
  <c r="I885" i="1" s="1"/>
  <c r="M885" i="1" s="1"/>
  <c r="N885" i="1" s="1"/>
  <c r="O885" i="1" s="1"/>
  <c r="N884" i="1"/>
  <c r="O884" i="1" s="1"/>
  <c r="M884" i="1"/>
  <c r="G884" i="1"/>
  <c r="I884" i="1" s="1"/>
  <c r="I883" i="1"/>
  <c r="M883" i="1" s="1"/>
  <c r="N883" i="1" s="1"/>
  <c r="O883" i="1" s="1"/>
  <c r="G883" i="1"/>
  <c r="M882" i="1"/>
  <c r="N882" i="1" s="1"/>
  <c r="O882" i="1" s="1"/>
  <c r="G882" i="1"/>
  <c r="I882" i="1" s="1"/>
  <c r="M881" i="1"/>
  <c r="N881" i="1" s="1"/>
  <c r="O881" i="1" s="1"/>
  <c r="I881" i="1"/>
  <c r="G881" i="1"/>
  <c r="G880" i="1"/>
  <c r="I880" i="1" s="1"/>
  <c r="M880" i="1" s="1"/>
  <c r="N880" i="1" s="1"/>
  <c r="O880" i="1" s="1"/>
  <c r="G879" i="1"/>
  <c r="I879" i="1" s="1"/>
  <c r="M879" i="1" s="1"/>
  <c r="N879" i="1" s="1"/>
  <c r="O879" i="1" s="1"/>
  <c r="N878" i="1"/>
  <c r="O878" i="1" s="1"/>
  <c r="G878" i="1"/>
  <c r="I878" i="1" s="1"/>
  <c r="M878" i="1" s="1"/>
  <c r="M877" i="1"/>
  <c r="N877" i="1" s="1"/>
  <c r="O877" i="1" s="1"/>
  <c r="I877" i="1"/>
  <c r="G877" i="1"/>
  <c r="O876" i="1"/>
  <c r="G876" i="1"/>
  <c r="I876" i="1" s="1"/>
  <c r="M876" i="1" s="1"/>
  <c r="N876" i="1" s="1"/>
  <c r="M875" i="1"/>
  <c r="N875" i="1" s="1"/>
  <c r="O875" i="1" s="1"/>
  <c r="G875" i="1"/>
  <c r="I875" i="1" s="1"/>
  <c r="I874" i="1"/>
  <c r="M874" i="1" s="1"/>
  <c r="N874" i="1" s="1"/>
  <c r="O874" i="1" s="1"/>
  <c r="G874" i="1"/>
  <c r="N873" i="1"/>
  <c r="O873" i="1" s="1"/>
  <c r="I873" i="1"/>
  <c r="M873" i="1" s="1"/>
  <c r="G873" i="1"/>
  <c r="N872" i="1"/>
  <c r="O872" i="1" s="1"/>
  <c r="G872" i="1"/>
  <c r="I872" i="1" s="1"/>
  <c r="M872" i="1" s="1"/>
  <c r="G871" i="1"/>
  <c r="I871" i="1" s="1"/>
  <c r="M871" i="1" s="1"/>
  <c r="N871" i="1" s="1"/>
  <c r="O871" i="1" s="1"/>
  <c r="I870" i="1"/>
  <c r="M870" i="1" s="1"/>
  <c r="N870" i="1" s="1"/>
  <c r="O870" i="1" s="1"/>
  <c r="G870" i="1"/>
  <c r="G869" i="1"/>
  <c r="I869" i="1" s="1"/>
  <c r="M869" i="1" s="1"/>
  <c r="N869" i="1" s="1"/>
  <c r="O869" i="1" s="1"/>
  <c r="M868" i="1"/>
  <c r="N868" i="1" s="1"/>
  <c r="O868" i="1" s="1"/>
  <c r="G868" i="1"/>
  <c r="I868" i="1" s="1"/>
  <c r="I867" i="1"/>
  <c r="M867" i="1" s="1"/>
  <c r="N867" i="1" s="1"/>
  <c r="O867" i="1" s="1"/>
  <c r="G867" i="1"/>
  <c r="M866" i="1"/>
  <c r="N866" i="1" s="1"/>
  <c r="O866" i="1" s="1"/>
  <c r="G866" i="1"/>
  <c r="I866" i="1" s="1"/>
  <c r="M865" i="1"/>
  <c r="N865" i="1" s="1"/>
  <c r="O865" i="1" s="1"/>
  <c r="I865" i="1"/>
  <c r="G865" i="1"/>
  <c r="M864" i="1"/>
  <c r="N864" i="1" s="1"/>
  <c r="O864" i="1" s="1"/>
  <c r="G864" i="1"/>
  <c r="I864" i="1" s="1"/>
  <c r="G863" i="1"/>
  <c r="I863" i="1" s="1"/>
  <c r="M863" i="1" s="1"/>
  <c r="N863" i="1" s="1"/>
  <c r="O863" i="1" s="1"/>
  <c r="N862" i="1"/>
  <c r="O862" i="1" s="1"/>
  <c r="G862" i="1"/>
  <c r="I862" i="1" s="1"/>
  <c r="M862" i="1" s="1"/>
  <c r="I861" i="1"/>
  <c r="M861" i="1" s="1"/>
  <c r="N861" i="1" s="1"/>
  <c r="O861" i="1" s="1"/>
  <c r="G861" i="1"/>
  <c r="O860" i="1"/>
  <c r="G860" i="1"/>
  <c r="I860" i="1" s="1"/>
  <c r="M860" i="1" s="1"/>
  <c r="N860" i="1" s="1"/>
  <c r="M859" i="1"/>
  <c r="N859" i="1" s="1"/>
  <c r="O859" i="1" s="1"/>
  <c r="G859" i="1"/>
  <c r="I859" i="1" s="1"/>
  <c r="I858" i="1"/>
  <c r="M858" i="1" s="1"/>
  <c r="N858" i="1" s="1"/>
  <c r="O858" i="1" s="1"/>
  <c r="G858" i="1"/>
  <c r="I857" i="1"/>
  <c r="M857" i="1" s="1"/>
  <c r="N857" i="1" s="1"/>
  <c r="O857" i="1" s="1"/>
  <c r="G857" i="1"/>
  <c r="G856" i="1"/>
  <c r="I856" i="1" s="1"/>
  <c r="M856" i="1" s="1"/>
  <c r="N856" i="1" s="1"/>
  <c r="O856" i="1" s="1"/>
  <c r="N855" i="1"/>
  <c r="O855" i="1" s="1"/>
  <c r="G855" i="1"/>
  <c r="I855" i="1" s="1"/>
  <c r="M855" i="1" s="1"/>
  <c r="M854" i="1"/>
  <c r="N854" i="1" s="1"/>
  <c r="O854" i="1" s="1"/>
  <c r="I854" i="1"/>
  <c r="G854" i="1"/>
  <c r="G853" i="1"/>
  <c r="I853" i="1" s="1"/>
  <c r="M853" i="1" s="1"/>
  <c r="N853" i="1" s="1"/>
  <c r="O853" i="1" s="1"/>
  <c r="N852" i="1"/>
  <c r="O852" i="1" s="1"/>
  <c r="M852" i="1"/>
  <c r="G852" i="1"/>
  <c r="I852" i="1" s="1"/>
  <c r="O851" i="1"/>
  <c r="I851" i="1"/>
  <c r="M851" i="1" s="1"/>
  <c r="N851" i="1" s="1"/>
  <c r="G851" i="1"/>
  <c r="G850" i="1"/>
  <c r="I850" i="1" s="1"/>
  <c r="M850" i="1" s="1"/>
  <c r="N850" i="1" s="1"/>
  <c r="O850" i="1" s="1"/>
  <c r="M849" i="1"/>
  <c r="N849" i="1" s="1"/>
  <c r="O849" i="1" s="1"/>
  <c r="I849" i="1"/>
  <c r="G849" i="1"/>
  <c r="M848" i="1"/>
  <c r="N848" i="1" s="1"/>
  <c r="O848" i="1" s="1"/>
  <c r="G848" i="1"/>
  <c r="I848" i="1" s="1"/>
  <c r="M847" i="1"/>
  <c r="N847" i="1" s="1"/>
  <c r="O847" i="1" s="1"/>
  <c r="I847" i="1"/>
  <c r="G847" i="1"/>
  <c r="O846" i="1"/>
  <c r="I846" i="1"/>
  <c r="M846" i="1" s="1"/>
  <c r="N846" i="1" s="1"/>
  <c r="G846" i="1"/>
  <c r="M845" i="1"/>
  <c r="N845" i="1" s="1"/>
  <c r="O845" i="1" s="1"/>
  <c r="I845" i="1"/>
  <c r="G845" i="1"/>
  <c r="N844" i="1"/>
  <c r="O844" i="1" s="1"/>
  <c r="G844" i="1"/>
  <c r="I844" i="1" s="1"/>
  <c r="M844" i="1" s="1"/>
  <c r="G843" i="1"/>
  <c r="I843" i="1" s="1"/>
  <c r="M843" i="1" s="1"/>
  <c r="N843" i="1" s="1"/>
  <c r="O843" i="1" s="1"/>
  <c r="I842" i="1"/>
  <c r="M842" i="1" s="1"/>
  <c r="N842" i="1" s="1"/>
  <c r="O842" i="1" s="1"/>
  <c r="G842" i="1"/>
  <c r="M841" i="1"/>
  <c r="N841" i="1" s="1"/>
  <c r="O841" i="1" s="1"/>
  <c r="G841" i="1"/>
  <c r="I841" i="1" s="1"/>
  <c r="G840" i="1"/>
  <c r="I840" i="1" s="1"/>
  <c r="M840" i="1" s="1"/>
  <c r="N840" i="1" s="1"/>
  <c r="O840" i="1" s="1"/>
  <c r="I839" i="1"/>
  <c r="M839" i="1" s="1"/>
  <c r="N839" i="1" s="1"/>
  <c r="O839" i="1" s="1"/>
  <c r="G839" i="1"/>
  <c r="I838" i="1"/>
  <c r="M838" i="1" s="1"/>
  <c r="N838" i="1" s="1"/>
  <c r="O838" i="1" s="1"/>
  <c r="G838" i="1"/>
  <c r="N837" i="1"/>
  <c r="O837" i="1" s="1"/>
  <c r="I837" i="1"/>
  <c r="M837" i="1" s="1"/>
  <c r="G837" i="1"/>
  <c r="G836" i="1"/>
  <c r="I836" i="1" s="1"/>
  <c r="M836" i="1" s="1"/>
  <c r="N836" i="1" s="1"/>
  <c r="O836" i="1" s="1"/>
  <c r="O835" i="1"/>
  <c r="G835" i="1"/>
  <c r="I835" i="1" s="1"/>
  <c r="M835" i="1" s="1"/>
  <c r="N835" i="1" s="1"/>
  <c r="G834" i="1"/>
  <c r="I834" i="1" s="1"/>
  <c r="M834" i="1" s="1"/>
  <c r="N834" i="1" s="1"/>
  <c r="O834" i="1" s="1"/>
  <c r="G833" i="1"/>
  <c r="I833" i="1" s="1"/>
  <c r="M833" i="1" s="1"/>
  <c r="N833" i="1" s="1"/>
  <c r="O833" i="1" s="1"/>
  <c r="M832" i="1"/>
  <c r="N832" i="1" s="1"/>
  <c r="O832" i="1" s="1"/>
  <c r="G832" i="1"/>
  <c r="I832" i="1" s="1"/>
  <c r="N831" i="1"/>
  <c r="O831" i="1" s="1"/>
  <c r="I831" i="1"/>
  <c r="M831" i="1" s="1"/>
  <c r="G831" i="1"/>
  <c r="I830" i="1"/>
  <c r="M830" i="1" s="1"/>
  <c r="N830" i="1" s="1"/>
  <c r="O830" i="1" s="1"/>
  <c r="G830" i="1"/>
  <c r="N829" i="1"/>
  <c r="O829" i="1" s="1"/>
  <c r="I829" i="1"/>
  <c r="M829" i="1" s="1"/>
  <c r="G829" i="1"/>
  <c r="M828" i="1"/>
  <c r="N828" i="1" s="1"/>
  <c r="O828" i="1" s="1"/>
  <c r="G828" i="1"/>
  <c r="I828" i="1" s="1"/>
  <c r="G827" i="1"/>
  <c r="I827" i="1" s="1"/>
  <c r="M827" i="1" s="1"/>
  <c r="N827" i="1" s="1"/>
  <c r="O827" i="1" s="1"/>
  <c r="G826" i="1"/>
  <c r="I826" i="1" s="1"/>
  <c r="M826" i="1" s="1"/>
  <c r="N826" i="1" s="1"/>
  <c r="O826" i="1" s="1"/>
  <c r="G825" i="1"/>
  <c r="I825" i="1" s="1"/>
  <c r="M825" i="1" s="1"/>
  <c r="N825" i="1" s="1"/>
  <c r="O825" i="1" s="1"/>
  <c r="M824" i="1"/>
  <c r="N824" i="1" s="1"/>
  <c r="O824" i="1" s="1"/>
  <c r="G824" i="1"/>
  <c r="I824" i="1" s="1"/>
  <c r="I823" i="1"/>
  <c r="M823" i="1" s="1"/>
  <c r="N823" i="1" s="1"/>
  <c r="O823" i="1" s="1"/>
  <c r="G823" i="1"/>
  <c r="I822" i="1"/>
  <c r="M822" i="1" s="1"/>
  <c r="N822" i="1" s="1"/>
  <c r="O822" i="1" s="1"/>
  <c r="G822" i="1"/>
  <c r="I821" i="1"/>
  <c r="M821" i="1" s="1"/>
  <c r="N821" i="1" s="1"/>
  <c r="O821" i="1" s="1"/>
  <c r="G821" i="1"/>
  <c r="G820" i="1"/>
  <c r="I820" i="1" s="1"/>
  <c r="M820" i="1" s="1"/>
  <c r="N820" i="1" s="1"/>
  <c r="O820" i="1" s="1"/>
  <c r="G819" i="1"/>
  <c r="I819" i="1" s="1"/>
  <c r="M819" i="1" s="1"/>
  <c r="N819" i="1" s="1"/>
  <c r="O819" i="1" s="1"/>
  <c r="G818" i="1"/>
  <c r="I818" i="1" s="1"/>
  <c r="M818" i="1" s="1"/>
  <c r="N818" i="1" s="1"/>
  <c r="O818" i="1" s="1"/>
  <c r="M817" i="1"/>
  <c r="N817" i="1" s="1"/>
  <c r="O817" i="1" s="1"/>
  <c r="G817" i="1"/>
  <c r="I817" i="1" s="1"/>
  <c r="M816" i="1"/>
  <c r="N816" i="1" s="1"/>
  <c r="O816" i="1" s="1"/>
  <c r="G816" i="1"/>
  <c r="I816" i="1" s="1"/>
  <c r="I815" i="1"/>
  <c r="M815" i="1" s="1"/>
  <c r="N815" i="1" s="1"/>
  <c r="O815" i="1" s="1"/>
  <c r="G815" i="1"/>
  <c r="I814" i="1"/>
  <c r="M814" i="1" s="1"/>
  <c r="N814" i="1" s="1"/>
  <c r="O814" i="1" s="1"/>
  <c r="G814" i="1"/>
  <c r="N813" i="1"/>
  <c r="O813" i="1" s="1"/>
  <c r="I813" i="1"/>
  <c r="M813" i="1" s="1"/>
  <c r="G813" i="1"/>
  <c r="G812" i="1"/>
  <c r="I812" i="1" s="1"/>
  <c r="M812" i="1" s="1"/>
  <c r="N812" i="1" s="1"/>
  <c r="O812" i="1" s="1"/>
  <c r="G811" i="1"/>
  <c r="I811" i="1" s="1"/>
  <c r="M811" i="1" s="1"/>
  <c r="N811" i="1" s="1"/>
  <c r="O811" i="1" s="1"/>
  <c r="M810" i="1"/>
  <c r="N810" i="1" s="1"/>
  <c r="O810" i="1" s="1"/>
  <c r="G810" i="1"/>
  <c r="I810" i="1" s="1"/>
  <c r="G809" i="1"/>
  <c r="I809" i="1" s="1"/>
  <c r="M809" i="1" s="1"/>
  <c r="N809" i="1" s="1"/>
  <c r="O809" i="1" s="1"/>
  <c r="M808" i="1"/>
  <c r="N808" i="1" s="1"/>
  <c r="O808" i="1" s="1"/>
  <c r="G808" i="1"/>
  <c r="I808" i="1" s="1"/>
  <c r="I807" i="1"/>
  <c r="M807" i="1" s="1"/>
  <c r="N807" i="1" s="1"/>
  <c r="O807" i="1" s="1"/>
  <c r="G807" i="1"/>
  <c r="I806" i="1"/>
  <c r="M806" i="1" s="1"/>
  <c r="N806" i="1" s="1"/>
  <c r="O806" i="1" s="1"/>
  <c r="G806" i="1"/>
  <c r="N805" i="1"/>
  <c r="O805" i="1" s="1"/>
  <c r="I805" i="1"/>
  <c r="M805" i="1" s="1"/>
  <c r="G805" i="1"/>
  <c r="G804" i="1"/>
  <c r="I804" i="1" s="1"/>
  <c r="M804" i="1" s="1"/>
  <c r="N804" i="1" s="1"/>
  <c r="O804" i="1" s="1"/>
  <c r="O803" i="1"/>
  <c r="G803" i="1"/>
  <c r="I803" i="1" s="1"/>
  <c r="M803" i="1" s="1"/>
  <c r="N803" i="1" s="1"/>
  <c r="G802" i="1"/>
  <c r="I802" i="1" s="1"/>
  <c r="M802" i="1" s="1"/>
  <c r="N802" i="1" s="1"/>
  <c r="O802" i="1" s="1"/>
  <c r="G801" i="1"/>
  <c r="I801" i="1" s="1"/>
  <c r="M801" i="1" s="1"/>
  <c r="N801" i="1" s="1"/>
  <c r="O801" i="1" s="1"/>
  <c r="M800" i="1"/>
  <c r="N800" i="1" s="1"/>
  <c r="O800" i="1" s="1"/>
  <c r="G800" i="1"/>
  <c r="I800" i="1" s="1"/>
  <c r="N799" i="1"/>
  <c r="O799" i="1" s="1"/>
  <c r="I799" i="1"/>
  <c r="M799" i="1" s="1"/>
  <c r="G799" i="1"/>
  <c r="M798" i="1"/>
  <c r="N798" i="1" s="1"/>
  <c r="O798" i="1" s="1"/>
  <c r="G798" i="1"/>
  <c r="I798" i="1" s="1"/>
  <c r="O797" i="1"/>
  <c r="M797" i="1"/>
  <c r="N797" i="1" s="1"/>
  <c r="I797" i="1"/>
  <c r="G797" i="1"/>
  <c r="O796" i="1"/>
  <c r="I796" i="1"/>
  <c r="M796" i="1" s="1"/>
  <c r="N796" i="1" s="1"/>
  <c r="G796" i="1"/>
  <c r="G795" i="1"/>
  <c r="I795" i="1" s="1"/>
  <c r="M795" i="1" s="1"/>
  <c r="N795" i="1" s="1"/>
  <c r="O795" i="1" s="1"/>
  <c r="M794" i="1"/>
  <c r="N794" i="1" s="1"/>
  <c r="O794" i="1" s="1"/>
  <c r="G794" i="1"/>
  <c r="I794" i="1" s="1"/>
  <c r="I793" i="1"/>
  <c r="M793" i="1" s="1"/>
  <c r="N793" i="1" s="1"/>
  <c r="O793" i="1" s="1"/>
  <c r="G793" i="1"/>
  <c r="N792" i="1"/>
  <c r="O792" i="1" s="1"/>
  <c r="G792" i="1"/>
  <c r="I792" i="1" s="1"/>
  <c r="M792" i="1" s="1"/>
  <c r="M791" i="1"/>
  <c r="N791" i="1" s="1"/>
  <c r="O791" i="1" s="1"/>
  <c r="G791" i="1"/>
  <c r="I791" i="1" s="1"/>
  <c r="O790" i="1"/>
  <c r="I790" i="1"/>
  <c r="M790" i="1" s="1"/>
  <c r="N790" i="1" s="1"/>
  <c r="G790" i="1"/>
  <c r="N789" i="1"/>
  <c r="O789" i="1" s="1"/>
  <c r="I789" i="1"/>
  <c r="M789" i="1" s="1"/>
  <c r="G789" i="1"/>
  <c r="G788" i="1"/>
  <c r="I788" i="1" s="1"/>
  <c r="M788" i="1" s="1"/>
  <c r="N788" i="1" s="1"/>
  <c r="O788" i="1" s="1"/>
  <c r="I787" i="1"/>
  <c r="M787" i="1" s="1"/>
  <c r="N787" i="1" s="1"/>
  <c r="O787" i="1" s="1"/>
  <c r="G787" i="1"/>
  <c r="I786" i="1"/>
  <c r="M786" i="1" s="1"/>
  <c r="N786" i="1" s="1"/>
  <c r="O786" i="1" s="1"/>
  <c r="G786" i="1"/>
  <c r="M785" i="1"/>
  <c r="N785" i="1" s="1"/>
  <c r="O785" i="1" s="1"/>
  <c r="G785" i="1"/>
  <c r="I785" i="1" s="1"/>
  <c r="M784" i="1"/>
  <c r="N784" i="1" s="1"/>
  <c r="O784" i="1" s="1"/>
  <c r="G784" i="1"/>
  <c r="I784" i="1" s="1"/>
  <c r="I783" i="1"/>
  <c r="M783" i="1" s="1"/>
  <c r="N783" i="1" s="1"/>
  <c r="O783" i="1" s="1"/>
  <c r="G783" i="1"/>
  <c r="G782" i="1"/>
  <c r="I782" i="1" s="1"/>
  <c r="M782" i="1" s="1"/>
  <c r="N782" i="1" s="1"/>
  <c r="O782" i="1" s="1"/>
  <c r="O781" i="1"/>
  <c r="M781" i="1"/>
  <c r="N781" i="1" s="1"/>
  <c r="I781" i="1"/>
  <c r="G781" i="1"/>
  <c r="O780" i="1"/>
  <c r="I780" i="1"/>
  <c r="M780" i="1" s="1"/>
  <c r="N780" i="1" s="1"/>
  <c r="G780" i="1"/>
  <c r="G779" i="1"/>
  <c r="I779" i="1" s="1"/>
  <c r="M779" i="1" s="1"/>
  <c r="N779" i="1" s="1"/>
  <c r="O779" i="1" s="1"/>
  <c r="M778" i="1"/>
  <c r="N778" i="1" s="1"/>
  <c r="O778" i="1" s="1"/>
  <c r="G778" i="1"/>
  <c r="I778" i="1" s="1"/>
  <c r="I777" i="1"/>
  <c r="M777" i="1" s="1"/>
  <c r="N777" i="1" s="1"/>
  <c r="O777" i="1" s="1"/>
  <c r="G777" i="1"/>
  <c r="N776" i="1"/>
  <c r="O776" i="1" s="1"/>
  <c r="G776" i="1"/>
  <c r="I776" i="1" s="1"/>
  <c r="M776" i="1" s="1"/>
  <c r="G775" i="1"/>
  <c r="I775" i="1" s="1"/>
  <c r="M775" i="1" s="1"/>
  <c r="N775" i="1" s="1"/>
  <c r="O775" i="1" s="1"/>
  <c r="O774" i="1"/>
  <c r="I774" i="1"/>
  <c r="M774" i="1" s="1"/>
  <c r="N774" i="1" s="1"/>
  <c r="G774" i="1"/>
  <c r="I773" i="1"/>
  <c r="M773" i="1" s="1"/>
  <c r="N773" i="1" s="1"/>
  <c r="O773" i="1" s="1"/>
  <c r="G773" i="1"/>
  <c r="G772" i="1"/>
  <c r="I772" i="1" s="1"/>
  <c r="M772" i="1" s="1"/>
  <c r="N772" i="1" s="1"/>
  <c r="O772" i="1" s="1"/>
  <c r="I771" i="1"/>
  <c r="M771" i="1" s="1"/>
  <c r="N771" i="1" s="1"/>
  <c r="O771" i="1" s="1"/>
  <c r="G771" i="1"/>
  <c r="I770" i="1"/>
  <c r="M770" i="1" s="1"/>
  <c r="N770" i="1" s="1"/>
  <c r="O770" i="1" s="1"/>
  <c r="G770" i="1"/>
  <c r="G769" i="1"/>
  <c r="I769" i="1" s="1"/>
  <c r="M769" i="1" s="1"/>
  <c r="N769" i="1" s="1"/>
  <c r="O769" i="1" s="1"/>
  <c r="M768" i="1"/>
  <c r="N768" i="1" s="1"/>
  <c r="O768" i="1" s="1"/>
  <c r="G768" i="1"/>
  <c r="I768" i="1" s="1"/>
  <c r="N767" i="1"/>
  <c r="O767" i="1" s="1"/>
  <c r="I767" i="1"/>
  <c r="M767" i="1" s="1"/>
  <c r="G767" i="1"/>
  <c r="M766" i="1"/>
  <c r="N766" i="1" s="1"/>
  <c r="O766" i="1" s="1"/>
  <c r="G766" i="1"/>
  <c r="I766" i="1" s="1"/>
  <c r="O765" i="1"/>
  <c r="M765" i="1"/>
  <c r="N765" i="1" s="1"/>
  <c r="I765" i="1"/>
  <c r="G765" i="1"/>
  <c r="O764" i="1"/>
  <c r="I764" i="1"/>
  <c r="M764" i="1" s="1"/>
  <c r="N764" i="1" s="1"/>
  <c r="G764" i="1"/>
  <c r="G763" i="1"/>
  <c r="I763" i="1" s="1"/>
  <c r="M763" i="1" s="1"/>
  <c r="N763" i="1" s="1"/>
  <c r="O763" i="1" s="1"/>
  <c r="M762" i="1"/>
  <c r="N762" i="1" s="1"/>
  <c r="O762" i="1" s="1"/>
  <c r="G762" i="1"/>
  <c r="I762" i="1" s="1"/>
  <c r="I761" i="1"/>
  <c r="M761" i="1" s="1"/>
  <c r="N761" i="1" s="1"/>
  <c r="O761" i="1" s="1"/>
  <c r="G761" i="1"/>
  <c r="N760" i="1"/>
  <c r="O760" i="1" s="1"/>
  <c r="G760" i="1"/>
  <c r="I760" i="1" s="1"/>
  <c r="M760" i="1" s="1"/>
  <c r="M759" i="1"/>
  <c r="N759" i="1" s="1"/>
  <c r="O759" i="1" s="1"/>
  <c r="G759" i="1"/>
  <c r="I759" i="1" s="1"/>
  <c r="O758" i="1"/>
  <c r="I758" i="1"/>
  <c r="M758" i="1" s="1"/>
  <c r="N758" i="1" s="1"/>
  <c r="G758" i="1"/>
  <c r="N757" i="1"/>
  <c r="O757" i="1" s="1"/>
  <c r="I757" i="1"/>
  <c r="M757" i="1" s="1"/>
  <c r="G757" i="1"/>
  <c r="G756" i="1"/>
  <c r="I756" i="1" s="1"/>
  <c r="M756" i="1" s="1"/>
  <c r="N756" i="1" s="1"/>
  <c r="O756" i="1" s="1"/>
  <c r="I755" i="1"/>
  <c r="M755" i="1" s="1"/>
  <c r="N755" i="1" s="1"/>
  <c r="O755" i="1" s="1"/>
  <c r="G755" i="1"/>
  <c r="I754" i="1"/>
  <c r="M754" i="1" s="1"/>
  <c r="N754" i="1" s="1"/>
  <c r="O754" i="1" s="1"/>
  <c r="G754" i="1"/>
  <c r="M753" i="1"/>
  <c r="N753" i="1" s="1"/>
  <c r="O753" i="1" s="1"/>
  <c r="G753" i="1"/>
  <c r="I753" i="1" s="1"/>
  <c r="M752" i="1"/>
  <c r="N752" i="1" s="1"/>
  <c r="O752" i="1" s="1"/>
  <c r="G752" i="1"/>
  <c r="I752" i="1" s="1"/>
  <c r="I751" i="1"/>
  <c r="M751" i="1" s="1"/>
  <c r="N751" i="1" s="1"/>
  <c r="O751" i="1" s="1"/>
  <c r="G751" i="1"/>
  <c r="G750" i="1"/>
  <c r="I750" i="1" s="1"/>
  <c r="M750" i="1" s="1"/>
  <c r="N750" i="1" s="1"/>
  <c r="O750" i="1" s="1"/>
  <c r="O749" i="1"/>
  <c r="M749" i="1"/>
  <c r="N749" i="1" s="1"/>
  <c r="I749" i="1"/>
  <c r="G749" i="1"/>
  <c r="I748" i="1"/>
  <c r="M748" i="1" s="1"/>
  <c r="N748" i="1" s="1"/>
  <c r="O748" i="1" s="1"/>
  <c r="G748" i="1"/>
  <c r="G747" i="1"/>
  <c r="I747" i="1" s="1"/>
  <c r="M747" i="1" s="1"/>
  <c r="N747" i="1" s="1"/>
  <c r="O747" i="1" s="1"/>
  <c r="M746" i="1"/>
  <c r="N746" i="1" s="1"/>
  <c r="O746" i="1" s="1"/>
  <c r="G746" i="1"/>
  <c r="I746" i="1" s="1"/>
  <c r="I745" i="1"/>
  <c r="M745" i="1" s="1"/>
  <c r="N745" i="1" s="1"/>
  <c r="O745" i="1" s="1"/>
  <c r="G745" i="1"/>
  <c r="G744" i="1"/>
  <c r="I744" i="1" s="1"/>
  <c r="M744" i="1" s="1"/>
  <c r="N744" i="1" s="1"/>
  <c r="O744" i="1" s="1"/>
  <c r="G743" i="1"/>
  <c r="I743" i="1" s="1"/>
  <c r="M743" i="1" s="1"/>
  <c r="N743" i="1" s="1"/>
  <c r="O743" i="1" s="1"/>
  <c r="O742" i="1"/>
  <c r="I742" i="1"/>
  <c r="M742" i="1" s="1"/>
  <c r="N742" i="1" s="1"/>
  <c r="G742" i="1"/>
  <c r="I741" i="1"/>
  <c r="M741" i="1" s="1"/>
  <c r="N741" i="1" s="1"/>
  <c r="O741" i="1" s="1"/>
  <c r="G741" i="1"/>
  <c r="G740" i="1"/>
  <c r="I740" i="1" s="1"/>
  <c r="M740" i="1" s="1"/>
  <c r="N740" i="1" s="1"/>
  <c r="O740" i="1" s="1"/>
  <c r="I739" i="1"/>
  <c r="M739" i="1" s="1"/>
  <c r="N739" i="1" s="1"/>
  <c r="O739" i="1" s="1"/>
  <c r="G739" i="1"/>
  <c r="I738" i="1"/>
  <c r="M738" i="1" s="1"/>
  <c r="N738" i="1" s="1"/>
  <c r="O738" i="1" s="1"/>
  <c r="G738" i="1"/>
  <c r="G737" i="1"/>
  <c r="I737" i="1" s="1"/>
  <c r="M737" i="1" s="1"/>
  <c r="N737" i="1" s="1"/>
  <c r="O737" i="1" s="1"/>
  <c r="M736" i="1"/>
  <c r="N736" i="1" s="1"/>
  <c r="O736" i="1" s="1"/>
  <c r="G736" i="1"/>
  <c r="I736" i="1" s="1"/>
  <c r="N735" i="1"/>
  <c r="O735" i="1" s="1"/>
  <c r="I735" i="1"/>
  <c r="M735" i="1" s="1"/>
  <c r="G735" i="1"/>
  <c r="M734" i="1"/>
  <c r="N734" i="1" s="1"/>
  <c r="O734" i="1" s="1"/>
  <c r="G734" i="1"/>
  <c r="I734" i="1" s="1"/>
  <c r="M733" i="1"/>
  <c r="N733" i="1" s="1"/>
  <c r="O733" i="1" s="1"/>
  <c r="I733" i="1"/>
  <c r="G733" i="1"/>
  <c r="O732" i="1"/>
  <c r="I732" i="1"/>
  <c r="M732" i="1" s="1"/>
  <c r="N732" i="1" s="1"/>
  <c r="G732" i="1"/>
  <c r="G731" i="1"/>
  <c r="I731" i="1" s="1"/>
  <c r="M731" i="1" s="1"/>
  <c r="N731" i="1" s="1"/>
  <c r="O731" i="1" s="1"/>
  <c r="G730" i="1"/>
  <c r="I730" i="1" s="1"/>
  <c r="M730" i="1" s="1"/>
  <c r="N730" i="1" s="1"/>
  <c r="O730" i="1" s="1"/>
  <c r="I729" i="1"/>
  <c r="M729" i="1" s="1"/>
  <c r="N729" i="1" s="1"/>
  <c r="O729" i="1" s="1"/>
  <c r="G729" i="1"/>
  <c r="N728" i="1"/>
  <c r="O728" i="1" s="1"/>
  <c r="G728" i="1"/>
  <c r="I728" i="1" s="1"/>
  <c r="M728" i="1" s="1"/>
  <c r="M727" i="1"/>
  <c r="N727" i="1" s="1"/>
  <c r="O727" i="1" s="1"/>
  <c r="G727" i="1"/>
  <c r="I727" i="1" s="1"/>
  <c r="I726" i="1"/>
  <c r="M726" i="1" s="1"/>
  <c r="N726" i="1" s="1"/>
  <c r="O726" i="1" s="1"/>
  <c r="G726" i="1"/>
  <c r="N725" i="1"/>
  <c r="O725" i="1" s="1"/>
  <c r="I725" i="1"/>
  <c r="M725" i="1" s="1"/>
  <c r="G725" i="1"/>
  <c r="G724" i="1"/>
  <c r="I724" i="1" s="1"/>
  <c r="M724" i="1" s="1"/>
  <c r="N724" i="1" s="1"/>
  <c r="O724" i="1" s="1"/>
  <c r="I723" i="1"/>
  <c r="M723" i="1" s="1"/>
  <c r="N723" i="1" s="1"/>
  <c r="O723" i="1" s="1"/>
  <c r="G723" i="1"/>
  <c r="I722" i="1"/>
  <c r="M722" i="1" s="1"/>
  <c r="N722" i="1" s="1"/>
  <c r="O722" i="1" s="1"/>
  <c r="G722" i="1"/>
  <c r="M721" i="1"/>
  <c r="N721" i="1" s="1"/>
  <c r="O721" i="1" s="1"/>
  <c r="G721" i="1"/>
  <c r="I721" i="1" s="1"/>
  <c r="M720" i="1"/>
  <c r="N720" i="1" s="1"/>
  <c r="O720" i="1" s="1"/>
  <c r="G720" i="1"/>
  <c r="I720" i="1" s="1"/>
  <c r="I719" i="1"/>
  <c r="M719" i="1" s="1"/>
  <c r="N719" i="1" s="1"/>
  <c r="O719" i="1" s="1"/>
  <c r="G719" i="1"/>
  <c r="G718" i="1"/>
  <c r="I718" i="1" s="1"/>
  <c r="M718" i="1" s="1"/>
  <c r="N718" i="1" s="1"/>
  <c r="O718" i="1" s="1"/>
  <c r="O717" i="1"/>
  <c r="M717" i="1"/>
  <c r="N717" i="1" s="1"/>
  <c r="I717" i="1"/>
  <c r="G717" i="1"/>
  <c r="I716" i="1"/>
  <c r="M716" i="1" s="1"/>
  <c r="N716" i="1" s="1"/>
  <c r="O716" i="1" s="1"/>
  <c r="G716" i="1"/>
  <c r="G715" i="1"/>
  <c r="I715" i="1" s="1"/>
  <c r="M715" i="1" s="1"/>
  <c r="N715" i="1" s="1"/>
  <c r="O715" i="1" s="1"/>
  <c r="M714" i="1"/>
  <c r="N714" i="1" s="1"/>
  <c r="O714" i="1" s="1"/>
  <c r="G714" i="1"/>
  <c r="I714" i="1" s="1"/>
  <c r="I713" i="1"/>
  <c r="M713" i="1" s="1"/>
  <c r="N713" i="1" s="1"/>
  <c r="O713" i="1" s="1"/>
  <c r="G713" i="1"/>
  <c r="G712" i="1"/>
  <c r="I712" i="1" s="1"/>
  <c r="M712" i="1" s="1"/>
  <c r="N712" i="1" s="1"/>
  <c r="O712" i="1" s="1"/>
  <c r="G711" i="1"/>
  <c r="I711" i="1" s="1"/>
  <c r="M711" i="1" s="1"/>
  <c r="N711" i="1" s="1"/>
  <c r="O711" i="1" s="1"/>
  <c r="O710" i="1"/>
  <c r="I710" i="1"/>
  <c r="M710" i="1" s="1"/>
  <c r="N710" i="1" s="1"/>
  <c r="G710" i="1"/>
  <c r="I709" i="1"/>
  <c r="M709" i="1" s="1"/>
  <c r="N709" i="1" s="1"/>
  <c r="O709" i="1" s="1"/>
  <c r="G709" i="1"/>
  <c r="G708" i="1"/>
  <c r="I708" i="1" s="1"/>
  <c r="M708" i="1" s="1"/>
  <c r="N708" i="1" s="1"/>
  <c r="O708" i="1" s="1"/>
  <c r="I707" i="1"/>
  <c r="M707" i="1" s="1"/>
  <c r="N707" i="1" s="1"/>
  <c r="O707" i="1" s="1"/>
  <c r="G707" i="1"/>
  <c r="I706" i="1"/>
  <c r="M706" i="1" s="1"/>
  <c r="N706" i="1" s="1"/>
  <c r="O706" i="1" s="1"/>
  <c r="G706" i="1"/>
  <c r="G705" i="1"/>
  <c r="I705" i="1" s="1"/>
  <c r="M705" i="1" s="1"/>
  <c r="N705" i="1" s="1"/>
  <c r="O705" i="1" s="1"/>
  <c r="M704" i="1"/>
  <c r="N704" i="1" s="1"/>
  <c r="O704" i="1" s="1"/>
  <c r="G704" i="1"/>
  <c r="I704" i="1" s="1"/>
  <c r="N703" i="1"/>
  <c r="O703" i="1" s="1"/>
  <c r="I703" i="1"/>
  <c r="M703" i="1" s="1"/>
  <c r="G703" i="1"/>
  <c r="M702" i="1"/>
  <c r="N702" i="1" s="1"/>
  <c r="O702" i="1" s="1"/>
  <c r="G702" i="1"/>
  <c r="I702" i="1" s="1"/>
  <c r="M701" i="1"/>
  <c r="N701" i="1" s="1"/>
  <c r="O701" i="1" s="1"/>
  <c r="I701" i="1"/>
  <c r="G701" i="1"/>
  <c r="O700" i="1"/>
  <c r="I700" i="1"/>
  <c r="M700" i="1" s="1"/>
  <c r="N700" i="1" s="1"/>
  <c r="G700" i="1"/>
  <c r="G699" i="1"/>
  <c r="I699" i="1" s="1"/>
  <c r="M699" i="1" s="1"/>
  <c r="N699" i="1" s="1"/>
  <c r="O699" i="1" s="1"/>
  <c r="G698" i="1"/>
  <c r="I698" i="1" s="1"/>
  <c r="M698" i="1" s="1"/>
  <c r="N698" i="1" s="1"/>
  <c r="O698" i="1" s="1"/>
  <c r="I697" i="1"/>
  <c r="M697" i="1" s="1"/>
  <c r="N697" i="1" s="1"/>
  <c r="O697" i="1" s="1"/>
  <c r="G697" i="1"/>
  <c r="N696" i="1"/>
  <c r="O696" i="1" s="1"/>
  <c r="G696" i="1"/>
  <c r="I696" i="1" s="1"/>
  <c r="M696" i="1" s="1"/>
  <c r="M695" i="1"/>
  <c r="N695" i="1" s="1"/>
  <c r="O695" i="1" s="1"/>
  <c r="G695" i="1"/>
  <c r="I695" i="1" s="1"/>
  <c r="I694" i="1"/>
  <c r="M694" i="1" s="1"/>
  <c r="N694" i="1" s="1"/>
  <c r="O694" i="1" s="1"/>
  <c r="G694" i="1"/>
  <c r="N693" i="1"/>
  <c r="O693" i="1" s="1"/>
  <c r="I693" i="1"/>
  <c r="M693" i="1" s="1"/>
  <c r="G693" i="1"/>
  <c r="G692" i="1"/>
  <c r="I692" i="1" s="1"/>
  <c r="M692" i="1" s="1"/>
  <c r="N692" i="1" s="1"/>
  <c r="O692" i="1" s="1"/>
  <c r="I691" i="1"/>
  <c r="M691" i="1" s="1"/>
  <c r="N691" i="1" s="1"/>
  <c r="O691" i="1" s="1"/>
  <c r="G691" i="1"/>
  <c r="I690" i="1"/>
  <c r="M690" i="1" s="1"/>
  <c r="N690" i="1" s="1"/>
  <c r="O690" i="1" s="1"/>
  <c r="G690" i="1"/>
  <c r="M689" i="1"/>
  <c r="N689" i="1" s="1"/>
  <c r="O689" i="1" s="1"/>
  <c r="G689" i="1"/>
  <c r="I689" i="1" s="1"/>
  <c r="M688" i="1"/>
  <c r="N688" i="1" s="1"/>
  <c r="O688" i="1" s="1"/>
  <c r="G688" i="1"/>
  <c r="I688" i="1" s="1"/>
  <c r="I687" i="1"/>
  <c r="M687" i="1" s="1"/>
  <c r="N687" i="1" s="1"/>
  <c r="O687" i="1" s="1"/>
  <c r="G687" i="1"/>
  <c r="G686" i="1"/>
  <c r="I686" i="1" s="1"/>
  <c r="M686" i="1" s="1"/>
  <c r="N686" i="1" s="1"/>
  <c r="O686" i="1" s="1"/>
  <c r="O685" i="1"/>
  <c r="M685" i="1"/>
  <c r="N685" i="1" s="1"/>
  <c r="I685" i="1"/>
  <c r="G685" i="1"/>
  <c r="I684" i="1"/>
  <c r="M684" i="1" s="1"/>
  <c r="N684" i="1" s="1"/>
  <c r="O684" i="1" s="1"/>
  <c r="G684" i="1"/>
  <c r="G683" i="1"/>
  <c r="I683" i="1" s="1"/>
  <c r="M683" i="1" s="1"/>
  <c r="N683" i="1" s="1"/>
  <c r="O683" i="1" s="1"/>
  <c r="M682" i="1"/>
  <c r="N682" i="1" s="1"/>
  <c r="O682" i="1" s="1"/>
  <c r="G682" i="1"/>
  <c r="I682" i="1" s="1"/>
  <c r="I681" i="1"/>
  <c r="M681" i="1" s="1"/>
  <c r="N681" i="1" s="1"/>
  <c r="O681" i="1" s="1"/>
  <c r="G681" i="1"/>
  <c r="G680" i="1"/>
  <c r="I680" i="1" s="1"/>
  <c r="M680" i="1" s="1"/>
  <c r="N680" i="1" s="1"/>
  <c r="O680" i="1" s="1"/>
  <c r="G679" i="1"/>
  <c r="I679" i="1" s="1"/>
  <c r="M679" i="1" s="1"/>
  <c r="N679" i="1" s="1"/>
  <c r="O679" i="1" s="1"/>
  <c r="O678" i="1"/>
  <c r="I678" i="1"/>
  <c r="M678" i="1" s="1"/>
  <c r="N678" i="1" s="1"/>
  <c r="G678" i="1"/>
  <c r="I677" i="1"/>
  <c r="M677" i="1" s="1"/>
  <c r="N677" i="1" s="1"/>
  <c r="O677" i="1" s="1"/>
  <c r="G677" i="1"/>
  <c r="G676" i="1"/>
  <c r="I676" i="1" s="1"/>
  <c r="M676" i="1" s="1"/>
  <c r="N676" i="1" s="1"/>
  <c r="O676" i="1" s="1"/>
  <c r="I675" i="1"/>
  <c r="M675" i="1" s="1"/>
  <c r="N675" i="1" s="1"/>
  <c r="O675" i="1" s="1"/>
  <c r="G675" i="1"/>
  <c r="I674" i="1"/>
  <c r="M674" i="1" s="1"/>
  <c r="N674" i="1" s="1"/>
  <c r="O674" i="1" s="1"/>
  <c r="G674" i="1"/>
  <c r="G673" i="1"/>
  <c r="I673" i="1" s="1"/>
  <c r="M673" i="1" s="1"/>
  <c r="N673" i="1" s="1"/>
  <c r="O673" i="1" s="1"/>
  <c r="M672" i="1"/>
  <c r="N672" i="1" s="1"/>
  <c r="O672" i="1" s="1"/>
  <c r="G672" i="1"/>
  <c r="I672" i="1" s="1"/>
  <c r="N671" i="1"/>
  <c r="O671" i="1" s="1"/>
  <c r="I671" i="1"/>
  <c r="M671" i="1" s="1"/>
  <c r="G671" i="1"/>
  <c r="M670" i="1"/>
  <c r="N670" i="1" s="1"/>
  <c r="O670" i="1" s="1"/>
  <c r="G670" i="1"/>
  <c r="I670" i="1" s="1"/>
  <c r="M669" i="1"/>
  <c r="N669" i="1" s="1"/>
  <c r="O669" i="1" s="1"/>
  <c r="I669" i="1"/>
  <c r="G669" i="1"/>
  <c r="O668" i="1"/>
  <c r="I668" i="1"/>
  <c r="M668" i="1" s="1"/>
  <c r="N668" i="1" s="1"/>
  <c r="G668" i="1"/>
  <c r="G667" i="1"/>
  <c r="I667" i="1" s="1"/>
  <c r="M667" i="1" s="1"/>
  <c r="N667" i="1" s="1"/>
  <c r="O667" i="1" s="1"/>
  <c r="M666" i="1"/>
  <c r="N666" i="1" s="1"/>
  <c r="O666" i="1" s="1"/>
  <c r="G666" i="1"/>
  <c r="I666" i="1" s="1"/>
  <c r="I665" i="1"/>
  <c r="M665" i="1" s="1"/>
  <c r="N665" i="1" s="1"/>
  <c r="O665" i="1" s="1"/>
  <c r="G665" i="1"/>
  <c r="G664" i="1"/>
  <c r="I664" i="1" s="1"/>
  <c r="M664" i="1" s="1"/>
  <c r="N664" i="1" s="1"/>
  <c r="O664" i="1" s="1"/>
  <c r="G663" i="1"/>
  <c r="I663" i="1" s="1"/>
  <c r="M663" i="1" s="1"/>
  <c r="N663" i="1" s="1"/>
  <c r="O663" i="1" s="1"/>
  <c r="O662" i="1"/>
  <c r="I662" i="1"/>
  <c r="M662" i="1" s="1"/>
  <c r="N662" i="1" s="1"/>
  <c r="G662" i="1"/>
  <c r="N661" i="1"/>
  <c r="O661" i="1" s="1"/>
  <c r="I661" i="1"/>
  <c r="M661" i="1" s="1"/>
  <c r="G661" i="1"/>
  <c r="G660" i="1"/>
  <c r="I660" i="1" s="1"/>
  <c r="M660" i="1" s="1"/>
  <c r="N660" i="1" s="1"/>
  <c r="O660" i="1" s="1"/>
  <c r="I659" i="1"/>
  <c r="M659" i="1" s="1"/>
  <c r="N659" i="1" s="1"/>
  <c r="O659" i="1" s="1"/>
  <c r="G659" i="1"/>
  <c r="O658" i="1"/>
  <c r="I658" i="1"/>
  <c r="M658" i="1" s="1"/>
  <c r="N658" i="1" s="1"/>
  <c r="G658" i="1"/>
  <c r="M657" i="1"/>
  <c r="N657" i="1" s="1"/>
  <c r="O657" i="1" s="1"/>
  <c r="G657" i="1"/>
  <c r="I657" i="1" s="1"/>
  <c r="G656" i="1"/>
  <c r="I656" i="1" s="1"/>
  <c r="M656" i="1" s="1"/>
  <c r="N656" i="1" s="1"/>
  <c r="O656" i="1" s="1"/>
  <c r="M655" i="1"/>
  <c r="N655" i="1" s="1"/>
  <c r="O655" i="1" s="1"/>
  <c r="G655" i="1"/>
  <c r="I655" i="1" s="1"/>
  <c r="I654" i="1"/>
  <c r="M654" i="1" s="1"/>
  <c r="N654" i="1" s="1"/>
  <c r="O654" i="1" s="1"/>
  <c r="G654" i="1"/>
  <c r="I653" i="1"/>
  <c r="M653" i="1" s="1"/>
  <c r="N653" i="1" s="1"/>
  <c r="O653" i="1" s="1"/>
  <c r="G653" i="1"/>
  <c r="N652" i="1"/>
  <c r="O652" i="1" s="1"/>
  <c r="I652" i="1"/>
  <c r="M652" i="1" s="1"/>
  <c r="G652" i="1"/>
  <c r="N651" i="1"/>
  <c r="O651" i="1" s="1"/>
  <c r="G651" i="1"/>
  <c r="I651" i="1" s="1"/>
  <c r="M651" i="1" s="1"/>
  <c r="G650" i="1"/>
  <c r="I650" i="1" s="1"/>
  <c r="M650" i="1" s="1"/>
  <c r="N650" i="1" s="1"/>
  <c r="O650" i="1" s="1"/>
  <c r="G649" i="1"/>
  <c r="I649" i="1" s="1"/>
  <c r="M649" i="1" s="1"/>
  <c r="N649" i="1" s="1"/>
  <c r="O649" i="1" s="1"/>
  <c r="M648" i="1"/>
  <c r="N648" i="1" s="1"/>
  <c r="O648" i="1" s="1"/>
  <c r="G648" i="1"/>
  <c r="I648" i="1" s="1"/>
  <c r="G647" i="1"/>
  <c r="I647" i="1" s="1"/>
  <c r="M647" i="1" s="1"/>
  <c r="N647" i="1" s="1"/>
  <c r="O647" i="1" s="1"/>
  <c r="O646" i="1"/>
  <c r="I646" i="1"/>
  <c r="M646" i="1" s="1"/>
  <c r="N646" i="1" s="1"/>
  <c r="G646" i="1"/>
  <c r="O645" i="1"/>
  <c r="I645" i="1"/>
  <c r="M645" i="1" s="1"/>
  <c r="N645" i="1" s="1"/>
  <c r="G645" i="1"/>
  <c r="I644" i="1"/>
  <c r="M644" i="1" s="1"/>
  <c r="N644" i="1" s="1"/>
  <c r="O644" i="1" s="1"/>
  <c r="G644" i="1"/>
  <c r="G643" i="1"/>
  <c r="I643" i="1" s="1"/>
  <c r="M643" i="1" s="1"/>
  <c r="N643" i="1" s="1"/>
  <c r="O643" i="1" s="1"/>
  <c r="N642" i="1"/>
  <c r="O642" i="1" s="1"/>
  <c r="G642" i="1"/>
  <c r="I642" i="1" s="1"/>
  <c r="M642" i="1" s="1"/>
  <c r="M641" i="1"/>
  <c r="N641" i="1" s="1"/>
  <c r="O641" i="1" s="1"/>
  <c r="G641" i="1"/>
  <c r="I641" i="1" s="1"/>
  <c r="G640" i="1"/>
  <c r="I640" i="1" s="1"/>
  <c r="M640" i="1" s="1"/>
  <c r="N640" i="1" s="1"/>
  <c r="O640" i="1" s="1"/>
  <c r="M639" i="1"/>
  <c r="N639" i="1" s="1"/>
  <c r="O639" i="1" s="1"/>
  <c r="G639" i="1"/>
  <c r="I639" i="1" s="1"/>
  <c r="I638" i="1"/>
  <c r="M638" i="1" s="1"/>
  <c r="N638" i="1" s="1"/>
  <c r="O638" i="1" s="1"/>
  <c r="G638" i="1"/>
  <c r="I637" i="1"/>
  <c r="M637" i="1" s="1"/>
  <c r="N637" i="1" s="1"/>
  <c r="O637" i="1" s="1"/>
  <c r="G637" i="1"/>
  <c r="N636" i="1"/>
  <c r="O636" i="1" s="1"/>
  <c r="I636" i="1"/>
  <c r="M636" i="1" s="1"/>
  <c r="G636" i="1"/>
  <c r="N635" i="1"/>
  <c r="O635" i="1" s="1"/>
  <c r="G635" i="1"/>
  <c r="I635" i="1" s="1"/>
  <c r="M635" i="1" s="1"/>
  <c r="G634" i="1"/>
  <c r="I634" i="1" s="1"/>
  <c r="M634" i="1" s="1"/>
  <c r="N634" i="1" s="1"/>
  <c r="O634" i="1" s="1"/>
  <c r="G633" i="1"/>
  <c r="I633" i="1" s="1"/>
  <c r="M633" i="1" s="1"/>
  <c r="N633" i="1" s="1"/>
  <c r="O633" i="1" s="1"/>
  <c r="M632" i="1"/>
  <c r="N632" i="1" s="1"/>
  <c r="O632" i="1" s="1"/>
  <c r="G632" i="1"/>
  <c r="I632" i="1" s="1"/>
  <c r="G631" i="1"/>
  <c r="I631" i="1" s="1"/>
  <c r="M631" i="1" s="1"/>
  <c r="N631" i="1" s="1"/>
  <c r="O631" i="1" s="1"/>
  <c r="O630" i="1"/>
  <c r="I630" i="1"/>
  <c r="M630" i="1" s="1"/>
  <c r="N630" i="1" s="1"/>
  <c r="G630" i="1"/>
  <c r="O629" i="1"/>
  <c r="I629" i="1"/>
  <c r="M629" i="1" s="1"/>
  <c r="N629" i="1" s="1"/>
  <c r="G629" i="1"/>
  <c r="I628" i="1"/>
  <c r="M628" i="1" s="1"/>
  <c r="N628" i="1" s="1"/>
  <c r="O628" i="1" s="1"/>
  <c r="G628" i="1"/>
  <c r="G627" i="1"/>
  <c r="I627" i="1" s="1"/>
  <c r="M627" i="1" s="1"/>
  <c r="N627" i="1" s="1"/>
  <c r="O627" i="1" s="1"/>
  <c r="N626" i="1"/>
  <c r="O626" i="1" s="1"/>
  <c r="G626" i="1"/>
  <c r="I626" i="1" s="1"/>
  <c r="M626" i="1" s="1"/>
  <c r="M625" i="1"/>
  <c r="N625" i="1" s="1"/>
  <c r="O625" i="1" s="1"/>
  <c r="G625" i="1"/>
  <c r="I625" i="1" s="1"/>
  <c r="M624" i="1"/>
  <c r="N624" i="1" s="1"/>
  <c r="O624" i="1" s="1"/>
  <c r="G624" i="1"/>
  <c r="I624" i="1" s="1"/>
  <c r="O623" i="1"/>
  <c r="M623" i="1"/>
  <c r="N623" i="1" s="1"/>
  <c r="G623" i="1"/>
  <c r="I623" i="1" s="1"/>
  <c r="O622" i="1"/>
  <c r="I622" i="1"/>
  <c r="M622" i="1" s="1"/>
  <c r="N622" i="1" s="1"/>
  <c r="G622" i="1"/>
  <c r="I621" i="1"/>
  <c r="M621" i="1" s="1"/>
  <c r="N621" i="1" s="1"/>
  <c r="O621" i="1" s="1"/>
  <c r="G621" i="1"/>
  <c r="I620" i="1"/>
  <c r="M620" i="1" s="1"/>
  <c r="N620" i="1" s="1"/>
  <c r="O620" i="1" s="1"/>
  <c r="G620" i="1"/>
  <c r="N619" i="1"/>
  <c r="O619" i="1" s="1"/>
  <c r="G619" i="1"/>
  <c r="I619" i="1" s="1"/>
  <c r="M619" i="1" s="1"/>
  <c r="N618" i="1"/>
  <c r="O618" i="1" s="1"/>
  <c r="I618" i="1"/>
  <c r="M618" i="1" s="1"/>
  <c r="G618" i="1"/>
  <c r="M617" i="1"/>
  <c r="N617" i="1" s="1"/>
  <c r="O617" i="1" s="1"/>
  <c r="G617" i="1"/>
  <c r="I617" i="1" s="1"/>
  <c r="M616" i="1"/>
  <c r="N616" i="1" s="1"/>
  <c r="O616" i="1" s="1"/>
  <c r="G616" i="1"/>
  <c r="I616" i="1" s="1"/>
  <c r="O615" i="1"/>
  <c r="M615" i="1"/>
  <c r="N615" i="1" s="1"/>
  <c r="G615" i="1"/>
  <c r="I615" i="1" s="1"/>
  <c r="O614" i="1"/>
  <c r="I614" i="1"/>
  <c r="M614" i="1" s="1"/>
  <c r="N614" i="1" s="1"/>
  <c r="G614" i="1"/>
  <c r="I613" i="1"/>
  <c r="M613" i="1" s="1"/>
  <c r="N613" i="1" s="1"/>
  <c r="O613" i="1" s="1"/>
  <c r="G613" i="1"/>
  <c r="I612" i="1"/>
  <c r="M612" i="1" s="1"/>
  <c r="N612" i="1" s="1"/>
  <c r="O612" i="1" s="1"/>
  <c r="G612" i="1"/>
  <c r="N611" i="1"/>
  <c r="O611" i="1" s="1"/>
  <c r="G611" i="1"/>
  <c r="I611" i="1" s="1"/>
  <c r="M611" i="1" s="1"/>
  <c r="N610" i="1"/>
  <c r="O610" i="1" s="1"/>
  <c r="I610" i="1"/>
  <c r="M610" i="1" s="1"/>
  <c r="G610" i="1"/>
  <c r="M609" i="1"/>
  <c r="N609" i="1" s="1"/>
  <c r="O609" i="1" s="1"/>
  <c r="G609" i="1"/>
  <c r="I609" i="1" s="1"/>
  <c r="M608" i="1"/>
  <c r="N608" i="1" s="1"/>
  <c r="O608" i="1" s="1"/>
  <c r="G608" i="1"/>
  <c r="I608" i="1" s="1"/>
  <c r="O607" i="1"/>
  <c r="M607" i="1"/>
  <c r="N607" i="1" s="1"/>
  <c r="G607" i="1"/>
  <c r="I607" i="1" s="1"/>
  <c r="O606" i="1"/>
  <c r="I606" i="1"/>
  <c r="M606" i="1" s="1"/>
  <c r="N606" i="1" s="1"/>
  <c r="G606" i="1"/>
  <c r="I605" i="1"/>
  <c r="M605" i="1" s="1"/>
  <c r="N605" i="1" s="1"/>
  <c r="O605" i="1" s="1"/>
  <c r="G605" i="1"/>
  <c r="I604" i="1"/>
  <c r="M604" i="1" s="1"/>
  <c r="N604" i="1" s="1"/>
  <c r="O604" i="1" s="1"/>
  <c r="G604" i="1"/>
  <c r="N603" i="1"/>
  <c r="O603" i="1" s="1"/>
  <c r="G603" i="1"/>
  <c r="I603" i="1" s="1"/>
  <c r="M603" i="1" s="1"/>
  <c r="N602" i="1"/>
  <c r="O602" i="1" s="1"/>
  <c r="I602" i="1"/>
  <c r="M602" i="1" s="1"/>
  <c r="G602" i="1"/>
  <c r="M601" i="1"/>
  <c r="N601" i="1" s="1"/>
  <c r="O601" i="1" s="1"/>
  <c r="G601" i="1"/>
  <c r="I601" i="1" s="1"/>
  <c r="M600" i="1"/>
  <c r="N600" i="1" s="1"/>
  <c r="O600" i="1" s="1"/>
  <c r="G600" i="1"/>
  <c r="I600" i="1" s="1"/>
  <c r="O599" i="1"/>
  <c r="M599" i="1"/>
  <c r="N599" i="1" s="1"/>
  <c r="G599" i="1"/>
  <c r="I599" i="1" s="1"/>
  <c r="O598" i="1"/>
  <c r="I598" i="1"/>
  <c r="M598" i="1" s="1"/>
  <c r="N598" i="1" s="1"/>
  <c r="G598" i="1"/>
  <c r="I597" i="1"/>
  <c r="M597" i="1" s="1"/>
  <c r="N597" i="1" s="1"/>
  <c r="O597" i="1" s="1"/>
  <c r="G597" i="1"/>
  <c r="I596" i="1"/>
  <c r="M596" i="1" s="1"/>
  <c r="N596" i="1" s="1"/>
  <c r="O596" i="1" s="1"/>
  <c r="G596" i="1"/>
  <c r="N595" i="1"/>
  <c r="O595" i="1" s="1"/>
  <c r="G595" i="1"/>
  <c r="I595" i="1" s="1"/>
  <c r="M595" i="1" s="1"/>
  <c r="N594" i="1"/>
  <c r="O594" i="1" s="1"/>
  <c r="I594" i="1"/>
  <c r="M594" i="1" s="1"/>
  <c r="G594" i="1"/>
  <c r="M593" i="1"/>
  <c r="N593" i="1" s="1"/>
  <c r="O593" i="1" s="1"/>
  <c r="G593" i="1"/>
  <c r="I593" i="1" s="1"/>
  <c r="M592" i="1"/>
  <c r="N592" i="1" s="1"/>
  <c r="O592" i="1" s="1"/>
  <c r="G592" i="1"/>
  <c r="I592" i="1" s="1"/>
  <c r="O591" i="1"/>
  <c r="M591" i="1"/>
  <c r="N591" i="1" s="1"/>
  <c r="G591" i="1"/>
  <c r="I591" i="1" s="1"/>
  <c r="O590" i="1"/>
  <c r="I590" i="1"/>
  <c r="M590" i="1" s="1"/>
  <c r="N590" i="1" s="1"/>
  <c r="G590" i="1"/>
  <c r="I589" i="1"/>
  <c r="M589" i="1" s="1"/>
  <c r="N589" i="1" s="1"/>
  <c r="O589" i="1" s="1"/>
  <c r="G589" i="1"/>
  <c r="I588" i="1"/>
  <c r="M588" i="1" s="1"/>
  <c r="N588" i="1" s="1"/>
  <c r="O588" i="1" s="1"/>
  <c r="G588" i="1"/>
  <c r="N587" i="1"/>
  <c r="O587" i="1" s="1"/>
  <c r="G587" i="1"/>
  <c r="I587" i="1" s="1"/>
  <c r="M587" i="1" s="1"/>
  <c r="N586" i="1"/>
  <c r="O586" i="1" s="1"/>
  <c r="I586" i="1"/>
  <c r="M586" i="1" s="1"/>
  <c r="G586" i="1"/>
  <c r="M585" i="1"/>
  <c r="N585" i="1" s="1"/>
  <c r="O585" i="1" s="1"/>
  <c r="G585" i="1"/>
  <c r="I585" i="1" s="1"/>
  <c r="M584" i="1"/>
  <c r="N584" i="1" s="1"/>
  <c r="O584" i="1" s="1"/>
  <c r="G584" i="1"/>
  <c r="I584" i="1" s="1"/>
  <c r="O583" i="1"/>
  <c r="M583" i="1"/>
  <c r="N583" i="1" s="1"/>
  <c r="G583" i="1"/>
  <c r="I583" i="1" s="1"/>
  <c r="O582" i="1"/>
  <c r="I582" i="1"/>
  <c r="M582" i="1" s="1"/>
  <c r="N582" i="1" s="1"/>
  <c r="G582" i="1"/>
  <c r="I581" i="1"/>
  <c r="M581" i="1" s="1"/>
  <c r="N581" i="1" s="1"/>
  <c r="O581" i="1" s="1"/>
  <c r="G581" i="1"/>
  <c r="I580" i="1"/>
  <c r="M580" i="1" s="1"/>
  <c r="N580" i="1" s="1"/>
  <c r="O580" i="1" s="1"/>
  <c r="G580" i="1"/>
  <c r="N579" i="1"/>
  <c r="O579" i="1" s="1"/>
  <c r="G579" i="1"/>
  <c r="I579" i="1" s="1"/>
  <c r="M579" i="1" s="1"/>
  <c r="N578" i="1"/>
  <c r="O578" i="1" s="1"/>
  <c r="I578" i="1"/>
  <c r="M578" i="1" s="1"/>
  <c r="G578" i="1"/>
  <c r="M577" i="1"/>
  <c r="N577" i="1" s="1"/>
  <c r="O577" i="1" s="1"/>
  <c r="G577" i="1"/>
  <c r="I577" i="1" s="1"/>
  <c r="M576" i="1"/>
  <c r="N576" i="1" s="1"/>
  <c r="O576" i="1" s="1"/>
  <c r="G576" i="1"/>
  <c r="I576" i="1" s="1"/>
  <c r="O575" i="1"/>
  <c r="M575" i="1"/>
  <c r="N575" i="1" s="1"/>
  <c r="G575" i="1"/>
  <c r="I575" i="1" s="1"/>
  <c r="O574" i="1"/>
  <c r="I574" i="1"/>
  <c r="M574" i="1" s="1"/>
  <c r="N574" i="1" s="1"/>
  <c r="G574" i="1"/>
  <c r="I573" i="1"/>
  <c r="M573" i="1" s="1"/>
  <c r="N573" i="1" s="1"/>
  <c r="O573" i="1" s="1"/>
  <c r="G573" i="1"/>
  <c r="I572" i="1"/>
  <c r="M572" i="1" s="1"/>
  <c r="N572" i="1" s="1"/>
  <c r="O572" i="1" s="1"/>
  <c r="G572" i="1"/>
  <c r="N571" i="1"/>
  <c r="O571" i="1" s="1"/>
  <c r="G571" i="1"/>
  <c r="I571" i="1" s="1"/>
  <c r="M571" i="1" s="1"/>
  <c r="N570" i="1"/>
  <c r="O570" i="1" s="1"/>
  <c r="I570" i="1"/>
  <c r="M570" i="1" s="1"/>
  <c r="G570" i="1"/>
  <c r="M569" i="1"/>
  <c r="N569" i="1" s="1"/>
  <c r="O569" i="1" s="1"/>
  <c r="G569" i="1"/>
  <c r="I569" i="1" s="1"/>
  <c r="M568" i="1"/>
  <c r="N568" i="1" s="1"/>
  <c r="O568" i="1" s="1"/>
  <c r="G568" i="1"/>
  <c r="I568" i="1" s="1"/>
  <c r="O567" i="1"/>
  <c r="M567" i="1"/>
  <c r="N567" i="1" s="1"/>
  <c r="G567" i="1"/>
  <c r="I567" i="1" s="1"/>
  <c r="O566" i="1"/>
  <c r="I566" i="1"/>
  <c r="M566" i="1" s="1"/>
  <c r="N566" i="1" s="1"/>
  <c r="G566" i="1"/>
  <c r="I565" i="1"/>
  <c r="M565" i="1" s="1"/>
  <c r="N565" i="1" s="1"/>
  <c r="O565" i="1" s="1"/>
  <c r="G565" i="1"/>
  <c r="I564" i="1"/>
  <c r="M564" i="1" s="1"/>
  <c r="N564" i="1" s="1"/>
  <c r="O564" i="1" s="1"/>
  <c r="G564" i="1"/>
  <c r="N563" i="1"/>
  <c r="O563" i="1" s="1"/>
  <c r="G563" i="1"/>
  <c r="I563" i="1" s="1"/>
  <c r="M563" i="1" s="1"/>
  <c r="N562" i="1"/>
  <c r="O562" i="1" s="1"/>
  <c r="I562" i="1"/>
  <c r="M562" i="1" s="1"/>
  <c r="G562" i="1"/>
  <c r="M561" i="1"/>
  <c r="N561" i="1" s="1"/>
  <c r="O561" i="1" s="1"/>
  <c r="G561" i="1"/>
  <c r="I561" i="1" s="1"/>
  <c r="M560" i="1"/>
  <c r="N560" i="1" s="1"/>
  <c r="O560" i="1" s="1"/>
  <c r="G560" i="1"/>
  <c r="I560" i="1" s="1"/>
  <c r="O559" i="1"/>
  <c r="M559" i="1"/>
  <c r="N559" i="1" s="1"/>
  <c r="G559" i="1"/>
  <c r="I559" i="1" s="1"/>
  <c r="O558" i="1"/>
  <c r="I558" i="1"/>
  <c r="M558" i="1" s="1"/>
  <c r="N558" i="1" s="1"/>
  <c r="G558" i="1"/>
  <c r="I557" i="1"/>
  <c r="M557" i="1" s="1"/>
  <c r="N557" i="1" s="1"/>
  <c r="O557" i="1" s="1"/>
  <c r="G557" i="1"/>
  <c r="I556" i="1"/>
  <c r="M556" i="1" s="1"/>
  <c r="N556" i="1" s="1"/>
  <c r="O556" i="1" s="1"/>
  <c r="G556" i="1"/>
  <c r="N555" i="1"/>
  <c r="O555" i="1" s="1"/>
  <c r="G555" i="1"/>
  <c r="I555" i="1" s="1"/>
  <c r="M555" i="1" s="1"/>
  <c r="N554" i="1"/>
  <c r="O554" i="1" s="1"/>
  <c r="I554" i="1"/>
  <c r="M554" i="1" s="1"/>
  <c r="G554" i="1"/>
  <c r="M553" i="1"/>
  <c r="N553" i="1" s="1"/>
  <c r="O553" i="1" s="1"/>
  <c r="G553" i="1"/>
  <c r="I553" i="1" s="1"/>
  <c r="M552" i="1"/>
  <c r="N552" i="1" s="1"/>
  <c r="O552" i="1" s="1"/>
  <c r="G552" i="1"/>
  <c r="I552" i="1" s="1"/>
  <c r="O551" i="1"/>
  <c r="M551" i="1"/>
  <c r="N551" i="1" s="1"/>
  <c r="G551" i="1"/>
  <c r="I551" i="1" s="1"/>
  <c r="O550" i="1"/>
  <c r="I550" i="1"/>
  <c r="M550" i="1" s="1"/>
  <c r="N550" i="1" s="1"/>
  <c r="G550" i="1"/>
  <c r="I549" i="1"/>
  <c r="M549" i="1" s="1"/>
  <c r="N549" i="1" s="1"/>
  <c r="O549" i="1" s="1"/>
  <c r="G549" i="1"/>
  <c r="I548" i="1"/>
  <c r="M548" i="1" s="1"/>
  <c r="N548" i="1" s="1"/>
  <c r="O548" i="1" s="1"/>
  <c r="G548" i="1"/>
  <c r="N547" i="1"/>
  <c r="O547" i="1" s="1"/>
  <c r="G547" i="1"/>
  <c r="I547" i="1" s="1"/>
  <c r="M547" i="1" s="1"/>
  <c r="N546" i="1"/>
  <c r="O546" i="1" s="1"/>
  <c r="I546" i="1"/>
  <c r="M546" i="1" s="1"/>
  <c r="G546" i="1"/>
  <c r="M545" i="1"/>
  <c r="N545" i="1" s="1"/>
  <c r="O545" i="1" s="1"/>
  <c r="G545" i="1"/>
  <c r="I545" i="1" s="1"/>
  <c r="M544" i="1"/>
  <c r="N544" i="1" s="1"/>
  <c r="O544" i="1" s="1"/>
  <c r="G544" i="1"/>
  <c r="I544" i="1" s="1"/>
  <c r="O543" i="1"/>
  <c r="M543" i="1"/>
  <c r="N543" i="1" s="1"/>
  <c r="G543" i="1"/>
  <c r="I543" i="1" s="1"/>
  <c r="O542" i="1"/>
  <c r="I542" i="1"/>
  <c r="M542" i="1" s="1"/>
  <c r="N542" i="1" s="1"/>
  <c r="G542" i="1"/>
  <c r="I541" i="1"/>
  <c r="M541" i="1" s="1"/>
  <c r="N541" i="1" s="1"/>
  <c r="O541" i="1" s="1"/>
  <c r="G541" i="1"/>
  <c r="I540" i="1"/>
  <c r="M540" i="1" s="1"/>
  <c r="N540" i="1" s="1"/>
  <c r="O540" i="1" s="1"/>
  <c r="G540" i="1"/>
  <c r="N539" i="1"/>
  <c r="O539" i="1" s="1"/>
  <c r="G539" i="1"/>
  <c r="I539" i="1" s="1"/>
  <c r="M539" i="1" s="1"/>
  <c r="N538" i="1"/>
  <c r="O538" i="1" s="1"/>
  <c r="I538" i="1"/>
  <c r="M538" i="1" s="1"/>
  <c r="G538" i="1"/>
  <c r="M537" i="1"/>
  <c r="N537" i="1" s="1"/>
  <c r="O537" i="1" s="1"/>
  <c r="G537" i="1"/>
  <c r="I537" i="1" s="1"/>
  <c r="M536" i="1"/>
  <c r="N536" i="1" s="1"/>
  <c r="O536" i="1" s="1"/>
  <c r="G536" i="1"/>
  <c r="I536" i="1" s="1"/>
  <c r="O535" i="1"/>
  <c r="M535" i="1"/>
  <c r="N535" i="1" s="1"/>
  <c r="G535" i="1"/>
  <c r="I535" i="1" s="1"/>
  <c r="O534" i="1"/>
  <c r="I534" i="1"/>
  <c r="M534" i="1" s="1"/>
  <c r="N534" i="1" s="1"/>
  <c r="G534" i="1"/>
  <c r="I533" i="1"/>
  <c r="M533" i="1" s="1"/>
  <c r="N533" i="1" s="1"/>
  <c r="O533" i="1" s="1"/>
  <c r="G533" i="1"/>
  <c r="I532" i="1"/>
  <c r="M532" i="1" s="1"/>
  <c r="N532" i="1" s="1"/>
  <c r="O532" i="1" s="1"/>
  <c r="G532" i="1"/>
  <c r="N531" i="1"/>
  <c r="O531" i="1" s="1"/>
  <c r="G531" i="1"/>
  <c r="I531" i="1" s="1"/>
  <c r="M531" i="1" s="1"/>
  <c r="N530" i="1"/>
  <c r="O530" i="1" s="1"/>
  <c r="I530" i="1"/>
  <c r="M530" i="1" s="1"/>
  <c r="G530" i="1"/>
  <c r="M529" i="1"/>
  <c r="N529" i="1" s="1"/>
  <c r="O529" i="1" s="1"/>
  <c r="G529" i="1"/>
  <c r="I529" i="1" s="1"/>
  <c r="M528" i="1"/>
  <c r="N528" i="1" s="1"/>
  <c r="O528" i="1" s="1"/>
  <c r="G528" i="1"/>
  <c r="I528" i="1" s="1"/>
  <c r="O527" i="1"/>
  <c r="M527" i="1"/>
  <c r="N527" i="1" s="1"/>
  <c r="G527" i="1"/>
  <c r="I527" i="1" s="1"/>
  <c r="O526" i="1"/>
  <c r="I526" i="1"/>
  <c r="M526" i="1" s="1"/>
  <c r="N526" i="1" s="1"/>
  <c r="G526" i="1"/>
  <c r="I525" i="1"/>
  <c r="M525" i="1" s="1"/>
  <c r="N525" i="1" s="1"/>
  <c r="O525" i="1" s="1"/>
  <c r="G525" i="1"/>
  <c r="I524" i="1"/>
  <c r="M524" i="1" s="1"/>
  <c r="N524" i="1" s="1"/>
  <c r="O524" i="1" s="1"/>
  <c r="G524" i="1"/>
  <c r="N523" i="1"/>
  <c r="O523" i="1" s="1"/>
  <c r="G523" i="1"/>
  <c r="I523" i="1" s="1"/>
  <c r="M523" i="1" s="1"/>
  <c r="N522" i="1"/>
  <c r="O522" i="1" s="1"/>
  <c r="I522" i="1"/>
  <c r="M522" i="1" s="1"/>
  <c r="G522" i="1"/>
  <c r="M521" i="1"/>
  <c r="N521" i="1" s="1"/>
  <c r="O521" i="1" s="1"/>
  <c r="G521" i="1"/>
  <c r="I521" i="1" s="1"/>
  <c r="M520" i="1"/>
  <c r="N520" i="1" s="1"/>
  <c r="O520" i="1" s="1"/>
  <c r="G520" i="1"/>
  <c r="I520" i="1" s="1"/>
  <c r="O519" i="1"/>
  <c r="M519" i="1"/>
  <c r="N519" i="1" s="1"/>
  <c r="G519" i="1"/>
  <c r="I519" i="1" s="1"/>
  <c r="O518" i="1"/>
  <c r="I518" i="1"/>
  <c r="M518" i="1" s="1"/>
  <c r="N518" i="1" s="1"/>
  <c r="G518" i="1"/>
  <c r="I517" i="1"/>
  <c r="M517" i="1" s="1"/>
  <c r="N517" i="1" s="1"/>
  <c r="O517" i="1" s="1"/>
  <c r="G517" i="1"/>
  <c r="I516" i="1"/>
  <c r="M516" i="1" s="1"/>
  <c r="N516" i="1" s="1"/>
  <c r="O516" i="1" s="1"/>
  <c r="G516" i="1"/>
  <c r="N515" i="1"/>
  <c r="O515" i="1" s="1"/>
  <c r="G515" i="1"/>
  <c r="I515" i="1" s="1"/>
  <c r="M515" i="1" s="1"/>
  <c r="N514" i="1"/>
  <c r="O514" i="1" s="1"/>
  <c r="I514" i="1"/>
  <c r="M514" i="1" s="1"/>
  <c r="G514" i="1"/>
  <c r="M513" i="1"/>
  <c r="N513" i="1" s="1"/>
  <c r="O513" i="1" s="1"/>
  <c r="G513" i="1"/>
  <c r="I513" i="1" s="1"/>
  <c r="M512" i="1"/>
  <c r="N512" i="1" s="1"/>
  <c r="O512" i="1" s="1"/>
  <c r="G512" i="1"/>
  <c r="I512" i="1" s="1"/>
  <c r="O511" i="1"/>
  <c r="M511" i="1"/>
  <c r="N511" i="1" s="1"/>
  <c r="G511" i="1"/>
  <c r="I511" i="1" s="1"/>
  <c r="O510" i="1"/>
  <c r="I510" i="1"/>
  <c r="M510" i="1" s="1"/>
  <c r="N510" i="1" s="1"/>
  <c r="G510" i="1"/>
  <c r="I509" i="1"/>
  <c r="M509" i="1" s="1"/>
  <c r="N509" i="1" s="1"/>
  <c r="O509" i="1" s="1"/>
  <c r="G509" i="1"/>
  <c r="I508" i="1"/>
  <c r="M508" i="1" s="1"/>
  <c r="N508" i="1" s="1"/>
  <c r="O508" i="1" s="1"/>
  <c r="G508" i="1"/>
  <c r="N507" i="1"/>
  <c r="O507" i="1" s="1"/>
  <c r="G507" i="1"/>
  <c r="I507" i="1" s="1"/>
  <c r="M507" i="1" s="1"/>
  <c r="N506" i="1"/>
  <c r="O506" i="1" s="1"/>
  <c r="I506" i="1"/>
  <c r="M506" i="1" s="1"/>
  <c r="G506" i="1"/>
  <c r="M505" i="1"/>
  <c r="N505" i="1" s="1"/>
  <c r="O505" i="1" s="1"/>
  <c r="G505" i="1"/>
  <c r="I505" i="1" s="1"/>
  <c r="M504" i="1"/>
  <c r="N504" i="1" s="1"/>
  <c r="O504" i="1" s="1"/>
  <c r="G504" i="1"/>
  <c r="I504" i="1" s="1"/>
  <c r="O503" i="1"/>
  <c r="M503" i="1"/>
  <c r="N503" i="1" s="1"/>
  <c r="G503" i="1"/>
  <c r="I503" i="1" s="1"/>
  <c r="O502" i="1"/>
  <c r="I502" i="1"/>
  <c r="M502" i="1" s="1"/>
  <c r="N502" i="1" s="1"/>
  <c r="G502" i="1"/>
  <c r="I501" i="1"/>
  <c r="M501" i="1" s="1"/>
  <c r="N501" i="1" s="1"/>
  <c r="O501" i="1" s="1"/>
  <c r="G501" i="1"/>
  <c r="I500" i="1"/>
  <c r="M500" i="1" s="1"/>
  <c r="N500" i="1" s="1"/>
  <c r="O500" i="1" s="1"/>
  <c r="G500" i="1"/>
  <c r="N499" i="1"/>
  <c r="O499" i="1" s="1"/>
  <c r="G499" i="1"/>
  <c r="I499" i="1" s="1"/>
  <c r="M499" i="1" s="1"/>
  <c r="N498" i="1"/>
  <c r="O498" i="1" s="1"/>
  <c r="I498" i="1"/>
  <c r="M498" i="1" s="1"/>
  <c r="G498" i="1"/>
  <c r="M497" i="1"/>
  <c r="N497" i="1" s="1"/>
  <c r="O497" i="1" s="1"/>
  <c r="G497" i="1"/>
  <c r="I497" i="1" s="1"/>
  <c r="M496" i="1"/>
  <c r="N496" i="1" s="1"/>
  <c r="O496" i="1" s="1"/>
  <c r="G496" i="1"/>
  <c r="I496" i="1" s="1"/>
  <c r="O495" i="1"/>
  <c r="M495" i="1"/>
  <c r="N495" i="1" s="1"/>
  <c r="G495" i="1"/>
  <c r="I495" i="1" s="1"/>
  <c r="O494" i="1"/>
  <c r="I494" i="1"/>
  <c r="M494" i="1" s="1"/>
  <c r="N494" i="1" s="1"/>
  <c r="G494" i="1"/>
  <c r="I493" i="1"/>
  <c r="M493" i="1" s="1"/>
  <c r="N493" i="1" s="1"/>
  <c r="O493" i="1" s="1"/>
  <c r="G493" i="1"/>
  <c r="I492" i="1"/>
  <c r="M492" i="1" s="1"/>
  <c r="N492" i="1" s="1"/>
  <c r="O492" i="1" s="1"/>
  <c r="G492" i="1"/>
  <c r="N491" i="1"/>
  <c r="O491" i="1" s="1"/>
  <c r="G491" i="1"/>
  <c r="I491" i="1" s="1"/>
  <c r="M491" i="1" s="1"/>
  <c r="N490" i="1"/>
  <c r="O490" i="1" s="1"/>
  <c r="I490" i="1"/>
  <c r="M490" i="1" s="1"/>
  <c r="G490" i="1"/>
  <c r="M489" i="1"/>
  <c r="N489" i="1" s="1"/>
  <c r="O489" i="1" s="1"/>
  <c r="G489" i="1"/>
  <c r="I489" i="1" s="1"/>
  <c r="M488" i="1"/>
  <c r="N488" i="1" s="1"/>
  <c r="O488" i="1" s="1"/>
  <c r="G488" i="1"/>
  <c r="I488" i="1" s="1"/>
  <c r="O487" i="1"/>
  <c r="M487" i="1"/>
  <c r="N487" i="1" s="1"/>
  <c r="G487" i="1"/>
  <c r="I487" i="1" s="1"/>
  <c r="O486" i="1"/>
  <c r="I486" i="1"/>
  <c r="M486" i="1" s="1"/>
  <c r="N486" i="1" s="1"/>
  <c r="G486" i="1"/>
  <c r="I485" i="1"/>
  <c r="M485" i="1" s="1"/>
  <c r="N485" i="1" s="1"/>
  <c r="O485" i="1" s="1"/>
  <c r="G485" i="1"/>
  <c r="I484" i="1"/>
  <c r="M484" i="1" s="1"/>
  <c r="N484" i="1" s="1"/>
  <c r="O484" i="1" s="1"/>
  <c r="G484" i="1"/>
  <c r="N483" i="1"/>
  <c r="O483" i="1" s="1"/>
  <c r="G483" i="1"/>
  <c r="I483" i="1" s="1"/>
  <c r="M483" i="1" s="1"/>
  <c r="N482" i="1"/>
  <c r="O482" i="1" s="1"/>
  <c r="I482" i="1"/>
  <c r="M482" i="1" s="1"/>
  <c r="G482" i="1"/>
  <c r="M481" i="1"/>
  <c r="N481" i="1" s="1"/>
  <c r="O481" i="1" s="1"/>
  <c r="G481" i="1"/>
  <c r="I481" i="1" s="1"/>
  <c r="M480" i="1"/>
  <c r="N480" i="1" s="1"/>
  <c r="O480" i="1" s="1"/>
  <c r="G480" i="1"/>
  <c r="I480" i="1" s="1"/>
  <c r="O479" i="1"/>
  <c r="M479" i="1"/>
  <c r="N479" i="1" s="1"/>
  <c r="G479" i="1"/>
  <c r="I479" i="1" s="1"/>
  <c r="O478" i="1"/>
  <c r="I478" i="1"/>
  <c r="M478" i="1" s="1"/>
  <c r="N478" i="1" s="1"/>
  <c r="G478" i="1"/>
  <c r="I477" i="1"/>
  <c r="M477" i="1" s="1"/>
  <c r="N477" i="1" s="1"/>
  <c r="O477" i="1" s="1"/>
  <c r="G477" i="1"/>
  <c r="I476" i="1"/>
  <c r="M476" i="1" s="1"/>
  <c r="N476" i="1" s="1"/>
  <c r="O476" i="1" s="1"/>
  <c r="G476" i="1"/>
  <c r="N475" i="1"/>
  <c r="O475" i="1" s="1"/>
  <c r="G475" i="1"/>
  <c r="I475" i="1" s="1"/>
  <c r="M475" i="1" s="1"/>
  <c r="N474" i="1"/>
  <c r="O474" i="1" s="1"/>
  <c r="I474" i="1"/>
  <c r="M474" i="1" s="1"/>
  <c r="G474" i="1"/>
  <c r="M473" i="1"/>
  <c r="N473" i="1" s="1"/>
  <c r="O473" i="1" s="1"/>
  <c r="G473" i="1"/>
  <c r="I473" i="1" s="1"/>
  <c r="M472" i="1"/>
  <c r="N472" i="1" s="1"/>
  <c r="O472" i="1" s="1"/>
  <c r="G472" i="1"/>
  <c r="I472" i="1" s="1"/>
  <c r="O471" i="1"/>
  <c r="M471" i="1"/>
  <c r="N471" i="1" s="1"/>
  <c r="G471" i="1"/>
  <c r="I471" i="1" s="1"/>
  <c r="O470" i="1"/>
  <c r="I470" i="1"/>
  <c r="M470" i="1" s="1"/>
  <c r="N470" i="1" s="1"/>
  <c r="G470" i="1"/>
  <c r="I469" i="1"/>
  <c r="M469" i="1" s="1"/>
  <c r="N469" i="1" s="1"/>
  <c r="O469" i="1" s="1"/>
  <c r="G469" i="1"/>
  <c r="I468" i="1"/>
  <c r="M468" i="1" s="1"/>
  <c r="N468" i="1" s="1"/>
  <c r="O468" i="1" s="1"/>
  <c r="G468" i="1"/>
  <c r="N467" i="1"/>
  <c r="O467" i="1" s="1"/>
  <c r="G467" i="1"/>
  <c r="I467" i="1" s="1"/>
  <c r="M467" i="1" s="1"/>
  <c r="N466" i="1"/>
  <c r="O466" i="1" s="1"/>
  <c r="I466" i="1"/>
  <c r="M466" i="1" s="1"/>
  <c r="G466" i="1"/>
  <c r="M465" i="1"/>
  <c r="N465" i="1" s="1"/>
  <c r="O465" i="1" s="1"/>
  <c r="G465" i="1"/>
  <c r="I465" i="1" s="1"/>
  <c r="G464" i="1"/>
  <c r="I464" i="1" s="1"/>
  <c r="M464" i="1" s="1"/>
  <c r="N464" i="1" s="1"/>
  <c r="O464" i="1" s="1"/>
  <c r="I463" i="1"/>
  <c r="M463" i="1" s="1"/>
  <c r="N463" i="1" s="1"/>
  <c r="O463" i="1" s="1"/>
  <c r="G463" i="1"/>
  <c r="M462" i="1"/>
  <c r="N462" i="1" s="1"/>
  <c r="O462" i="1" s="1"/>
  <c r="I462" i="1"/>
  <c r="G462" i="1"/>
  <c r="M461" i="1"/>
  <c r="N461" i="1" s="1"/>
  <c r="O461" i="1" s="1"/>
  <c r="I461" i="1"/>
  <c r="G461" i="1"/>
  <c r="I460" i="1"/>
  <c r="M460" i="1" s="1"/>
  <c r="N460" i="1" s="1"/>
  <c r="O460" i="1" s="1"/>
  <c r="G460" i="1"/>
  <c r="N459" i="1"/>
  <c r="O459" i="1" s="1"/>
  <c r="I459" i="1"/>
  <c r="M459" i="1" s="1"/>
  <c r="G459" i="1"/>
  <c r="I458" i="1"/>
  <c r="M458" i="1" s="1"/>
  <c r="N458" i="1" s="1"/>
  <c r="O458" i="1" s="1"/>
  <c r="G458" i="1"/>
  <c r="M457" i="1"/>
  <c r="N457" i="1" s="1"/>
  <c r="O457" i="1" s="1"/>
  <c r="G457" i="1"/>
  <c r="I457" i="1" s="1"/>
  <c r="G456" i="1"/>
  <c r="I456" i="1" s="1"/>
  <c r="M456" i="1" s="1"/>
  <c r="N456" i="1" s="1"/>
  <c r="O456" i="1" s="1"/>
  <c r="I455" i="1"/>
  <c r="M455" i="1" s="1"/>
  <c r="N455" i="1" s="1"/>
  <c r="O455" i="1" s="1"/>
  <c r="G455" i="1"/>
  <c r="M454" i="1"/>
  <c r="N454" i="1" s="1"/>
  <c r="O454" i="1" s="1"/>
  <c r="I454" i="1"/>
  <c r="G454" i="1"/>
  <c r="M453" i="1"/>
  <c r="N453" i="1" s="1"/>
  <c r="O453" i="1" s="1"/>
  <c r="I453" i="1"/>
  <c r="G453" i="1"/>
  <c r="I452" i="1"/>
  <c r="M452" i="1" s="1"/>
  <c r="N452" i="1" s="1"/>
  <c r="O452" i="1" s="1"/>
  <c r="G452" i="1"/>
  <c r="N451" i="1"/>
  <c r="O451" i="1" s="1"/>
  <c r="I451" i="1"/>
  <c r="M451" i="1" s="1"/>
  <c r="G451" i="1"/>
  <c r="I450" i="1"/>
  <c r="M450" i="1" s="1"/>
  <c r="N450" i="1" s="1"/>
  <c r="O450" i="1" s="1"/>
  <c r="G450" i="1"/>
  <c r="M449" i="1"/>
  <c r="N449" i="1" s="1"/>
  <c r="O449" i="1" s="1"/>
  <c r="G449" i="1"/>
  <c r="I449" i="1" s="1"/>
  <c r="G448" i="1"/>
  <c r="I448" i="1" s="1"/>
  <c r="M448" i="1" s="1"/>
  <c r="N448" i="1" s="1"/>
  <c r="O448" i="1" s="1"/>
  <c r="I447" i="1"/>
  <c r="M447" i="1" s="1"/>
  <c r="N447" i="1" s="1"/>
  <c r="O447" i="1" s="1"/>
  <c r="G447" i="1"/>
  <c r="M446" i="1"/>
  <c r="N446" i="1" s="1"/>
  <c r="O446" i="1" s="1"/>
  <c r="I446" i="1"/>
  <c r="G446" i="1"/>
  <c r="M445" i="1"/>
  <c r="N445" i="1" s="1"/>
  <c r="O445" i="1" s="1"/>
  <c r="I445" i="1"/>
  <c r="G445" i="1"/>
  <c r="I444" i="1"/>
  <c r="M444" i="1" s="1"/>
  <c r="N444" i="1" s="1"/>
  <c r="O444" i="1" s="1"/>
  <c r="G444" i="1"/>
  <c r="N443" i="1"/>
  <c r="O443" i="1" s="1"/>
  <c r="I443" i="1"/>
  <c r="M443" i="1" s="1"/>
  <c r="G443" i="1"/>
  <c r="I442" i="1"/>
  <c r="M442" i="1" s="1"/>
  <c r="N442" i="1" s="1"/>
  <c r="O442" i="1" s="1"/>
  <c r="G442" i="1"/>
  <c r="M441" i="1"/>
  <c r="N441" i="1" s="1"/>
  <c r="O441" i="1" s="1"/>
  <c r="G441" i="1"/>
  <c r="I441" i="1" s="1"/>
  <c r="G440" i="1"/>
  <c r="I440" i="1" s="1"/>
  <c r="M440" i="1" s="1"/>
  <c r="N440" i="1" s="1"/>
  <c r="O440" i="1" s="1"/>
  <c r="I439" i="1"/>
  <c r="M439" i="1" s="1"/>
  <c r="N439" i="1" s="1"/>
  <c r="O439" i="1" s="1"/>
  <c r="G439" i="1"/>
  <c r="M438" i="1"/>
  <c r="N438" i="1" s="1"/>
  <c r="O438" i="1" s="1"/>
  <c r="I438" i="1"/>
  <c r="G438" i="1"/>
  <c r="M437" i="1"/>
  <c r="N437" i="1" s="1"/>
  <c r="O437" i="1" s="1"/>
  <c r="I437" i="1"/>
  <c r="G437" i="1"/>
  <c r="I436" i="1"/>
  <c r="M436" i="1" s="1"/>
  <c r="N436" i="1" s="1"/>
  <c r="O436" i="1" s="1"/>
  <c r="G436" i="1"/>
  <c r="N435" i="1"/>
  <c r="O435" i="1" s="1"/>
  <c r="I435" i="1"/>
  <c r="M435" i="1" s="1"/>
  <c r="G435" i="1"/>
  <c r="I434" i="1"/>
  <c r="M434" i="1" s="1"/>
  <c r="N434" i="1" s="1"/>
  <c r="O434" i="1" s="1"/>
  <c r="G434" i="1"/>
  <c r="M433" i="1"/>
  <c r="N433" i="1" s="1"/>
  <c r="O433" i="1" s="1"/>
  <c r="G433" i="1"/>
  <c r="I433" i="1" s="1"/>
  <c r="G432" i="1"/>
  <c r="I432" i="1" s="1"/>
  <c r="M432" i="1" s="1"/>
  <c r="N432" i="1" s="1"/>
  <c r="O432" i="1" s="1"/>
  <c r="I431" i="1"/>
  <c r="M431" i="1" s="1"/>
  <c r="N431" i="1" s="1"/>
  <c r="O431" i="1" s="1"/>
  <c r="G431" i="1"/>
  <c r="M430" i="1"/>
  <c r="N430" i="1" s="1"/>
  <c r="O430" i="1" s="1"/>
  <c r="I430" i="1"/>
  <c r="G430" i="1"/>
  <c r="M429" i="1"/>
  <c r="N429" i="1" s="1"/>
  <c r="O429" i="1" s="1"/>
  <c r="I429" i="1"/>
  <c r="G429" i="1"/>
  <c r="I428" i="1"/>
  <c r="M428" i="1" s="1"/>
  <c r="N428" i="1" s="1"/>
  <c r="O428" i="1" s="1"/>
  <c r="G428" i="1"/>
  <c r="N427" i="1"/>
  <c r="O427" i="1" s="1"/>
  <c r="I427" i="1"/>
  <c r="M427" i="1" s="1"/>
  <c r="G427" i="1"/>
  <c r="I426" i="1"/>
  <c r="M426" i="1" s="1"/>
  <c r="N426" i="1" s="1"/>
  <c r="O426" i="1" s="1"/>
  <c r="G426" i="1"/>
  <c r="M425" i="1"/>
  <c r="N425" i="1" s="1"/>
  <c r="O425" i="1" s="1"/>
  <c r="G425" i="1"/>
  <c r="I425" i="1" s="1"/>
  <c r="G424" i="1"/>
  <c r="I424" i="1" s="1"/>
  <c r="M424" i="1" s="1"/>
  <c r="N424" i="1" s="1"/>
  <c r="O424" i="1" s="1"/>
  <c r="I423" i="1"/>
  <c r="M423" i="1" s="1"/>
  <c r="N423" i="1" s="1"/>
  <c r="O423" i="1" s="1"/>
  <c r="G423" i="1"/>
  <c r="M422" i="1"/>
  <c r="N422" i="1" s="1"/>
  <c r="O422" i="1" s="1"/>
  <c r="I422" i="1"/>
  <c r="G422" i="1"/>
  <c r="M421" i="1"/>
  <c r="N421" i="1" s="1"/>
  <c r="O421" i="1" s="1"/>
  <c r="I421" i="1"/>
  <c r="G421" i="1"/>
  <c r="I420" i="1"/>
  <c r="M420" i="1" s="1"/>
  <c r="N420" i="1" s="1"/>
  <c r="O420" i="1" s="1"/>
  <c r="G420" i="1"/>
  <c r="N419" i="1"/>
  <c r="O419" i="1" s="1"/>
  <c r="I419" i="1"/>
  <c r="M419" i="1" s="1"/>
  <c r="G419" i="1"/>
  <c r="I418" i="1"/>
  <c r="M418" i="1" s="1"/>
  <c r="N418" i="1" s="1"/>
  <c r="O418" i="1" s="1"/>
  <c r="G418" i="1"/>
  <c r="M417" i="1"/>
  <c r="N417" i="1" s="1"/>
  <c r="O417" i="1" s="1"/>
  <c r="G417" i="1"/>
  <c r="I417" i="1" s="1"/>
  <c r="G416" i="1"/>
  <c r="I416" i="1" s="1"/>
  <c r="M416" i="1" s="1"/>
  <c r="N416" i="1" s="1"/>
  <c r="O416" i="1" s="1"/>
  <c r="I415" i="1"/>
  <c r="M415" i="1" s="1"/>
  <c r="N415" i="1" s="1"/>
  <c r="O415" i="1" s="1"/>
  <c r="G415" i="1"/>
  <c r="M414" i="1"/>
  <c r="N414" i="1" s="1"/>
  <c r="O414" i="1" s="1"/>
  <c r="I414" i="1"/>
  <c r="G414" i="1"/>
  <c r="M413" i="1"/>
  <c r="N413" i="1" s="1"/>
  <c r="O413" i="1" s="1"/>
  <c r="I413" i="1"/>
  <c r="G413" i="1"/>
  <c r="I412" i="1"/>
  <c r="M412" i="1" s="1"/>
  <c r="N412" i="1" s="1"/>
  <c r="O412" i="1" s="1"/>
  <c r="G412" i="1"/>
  <c r="N411" i="1"/>
  <c r="O411" i="1" s="1"/>
  <c r="I411" i="1"/>
  <c r="M411" i="1" s="1"/>
  <c r="G411" i="1"/>
  <c r="I410" i="1"/>
  <c r="M410" i="1" s="1"/>
  <c r="N410" i="1" s="1"/>
  <c r="O410" i="1" s="1"/>
  <c r="G410" i="1"/>
  <c r="M409" i="1"/>
  <c r="N409" i="1" s="1"/>
  <c r="O409" i="1" s="1"/>
  <c r="G409" i="1"/>
  <c r="I409" i="1" s="1"/>
  <c r="G408" i="1"/>
  <c r="I408" i="1" s="1"/>
  <c r="M408" i="1" s="1"/>
  <c r="N408" i="1" s="1"/>
  <c r="O408" i="1" s="1"/>
  <c r="I407" i="1"/>
  <c r="M407" i="1" s="1"/>
  <c r="N407" i="1" s="1"/>
  <c r="O407" i="1" s="1"/>
  <c r="G407" i="1"/>
  <c r="M406" i="1"/>
  <c r="N406" i="1" s="1"/>
  <c r="O406" i="1" s="1"/>
  <c r="I406" i="1"/>
  <c r="G406" i="1"/>
  <c r="M405" i="1"/>
  <c r="N405" i="1" s="1"/>
  <c r="O405" i="1" s="1"/>
  <c r="I405" i="1"/>
  <c r="G405" i="1"/>
  <c r="I404" i="1"/>
  <c r="M404" i="1" s="1"/>
  <c r="N404" i="1" s="1"/>
  <c r="O404" i="1" s="1"/>
  <c r="G404" i="1"/>
  <c r="N403" i="1"/>
  <c r="O403" i="1" s="1"/>
  <c r="I403" i="1"/>
  <c r="M403" i="1" s="1"/>
  <c r="G403" i="1"/>
  <c r="I402" i="1"/>
  <c r="M402" i="1" s="1"/>
  <c r="N402" i="1" s="1"/>
  <c r="O402" i="1" s="1"/>
  <c r="G402" i="1"/>
  <c r="M401" i="1"/>
  <c r="N401" i="1" s="1"/>
  <c r="O401" i="1" s="1"/>
  <c r="G401" i="1"/>
  <c r="I401" i="1" s="1"/>
  <c r="G400" i="1"/>
  <c r="I400" i="1" s="1"/>
  <c r="M400" i="1" s="1"/>
  <c r="N400" i="1" s="1"/>
  <c r="O400" i="1" s="1"/>
  <c r="I399" i="1"/>
  <c r="M399" i="1" s="1"/>
  <c r="N399" i="1" s="1"/>
  <c r="O399" i="1" s="1"/>
  <c r="G399" i="1"/>
  <c r="M398" i="1"/>
  <c r="N398" i="1" s="1"/>
  <c r="O398" i="1" s="1"/>
  <c r="I398" i="1"/>
  <c r="G398" i="1"/>
  <c r="M397" i="1"/>
  <c r="N397" i="1" s="1"/>
  <c r="O397" i="1" s="1"/>
  <c r="I397" i="1"/>
  <c r="G397" i="1"/>
  <c r="I396" i="1"/>
  <c r="M396" i="1" s="1"/>
  <c r="N396" i="1" s="1"/>
  <c r="O396" i="1" s="1"/>
  <c r="G396" i="1"/>
  <c r="G395" i="1"/>
  <c r="I395" i="1" s="1"/>
  <c r="M395" i="1" s="1"/>
  <c r="N395" i="1" s="1"/>
  <c r="O395" i="1" s="1"/>
  <c r="M394" i="1"/>
  <c r="N394" i="1" s="1"/>
  <c r="O394" i="1" s="1"/>
  <c r="I394" i="1"/>
  <c r="G394" i="1"/>
  <c r="G393" i="1"/>
  <c r="I393" i="1" s="1"/>
  <c r="M393" i="1" s="1"/>
  <c r="N393" i="1" s="1"/>
  <c r="O393" i="1" s="1"/>
  <c r="G392" i="1"/>
  <c r="I392" i="1" s="1"/>
  <c r="M392" i="1" s="1"/>
  <c r="N392" i="1" s="1"/>
  <c r="O392" i="1" s="1"/>
  <c r="I391" i="1"/>
  <c r="M391" i="1" s="1"/>
  <c r="N391" i="1" s="1"/>
  <c r="O391" i="1" s="1"/>
  <c r="G391" i="1"/>
  <c r="I390" i="1"/>
  <c r="M390" i="1" s="1"/>
  <c r="N390" i="1" s="1"/>
  <c r="O390" i="1" s="1"/>
  <c r="G390" i="1"/>
  <c r="I389" i="1"/>
  <c r="M389" i="1" s="1"/>
  <c r="N389" i="1" s="1"/>
  <c r="O389" i="1" s="1"/>
  <c r="G389" i="1"/>
  <c r="N388" i="1"/>
  <c r="O388" i="1" s="1"/>
  <c r="I388" i="1"/>
  <c r="M388" i="1" s="1"/>
  <c r="G388" i="1"/>
  <c r="M387" i="1"/>
  <c r="N387" i="1" s="1"/>
  <c r="O387" i="1" s="1"/>
  <c r="I387" i="1"/>
  <c r="G387" i="1"/>
  <c r="G386" i="1"/>
  <c r="I386" i="1" s="1"/>
  <c r="M386" i="1" s="1"/>
  <c r="N386" i="1" s="1"/>
  <c r="O386" i="1" s="1"/>
  <c r="N385" i="1"/>
  <c r="O385" i="1" s="1"/>
  <c r="M385" i="1"/>
  <c r="G385" i="1"/>
  <c r="I385" i="1" s="1"/>
  <c r="I384" i="1"/>
  <c r="M384" i="1" s="1"/>
  <c r="N384" i="1" s="1"/>
  <c r="O384" i="1" s="1"/>
  <c r="G384" i="1"/>
  <c r="G383" i="1"/>
  <c r="I383" i="1" s="1"/>
  <c r="M383" i="1" s="1"/>
  <c r="N383" i="1" s="1"/>
  <c r="O383" i="1" s="1"/>
  <c r="M382" i="1"/>
  <c r="N382" i="1" s="1"/>
  <c r="O382" i="1" s="1"/>
  <c r="I382" i="1"/>
  <c r="G382" i="1"/>
  <c r="M381" i="1"/>
  <c r="N381" i="1" s="1"/>
  <c r="O381" i="1" s="1"/>
  <c r="I381" i="1"/>
  <c r="G381" i="1"/>
  <c r="I380" i="1"/>
  <c r="M380" i="1" s="1"/>
  <c r="N380" i="1" s="1"/>
  <c r="O380" i="1" s="1"/>
  <c r="G380" i="1"/>
  <c r="G379" i="1"/>
  <c r="I379" i="1" s="1"/>
  <c r="M379" i="1" s="1"/>
  <c r="N379" i="1" s="1"/>
  <c r="O379" i="1" s="1"/>
  <c r="M378" i="1"/>
  <c r="N378" i="1" s="1"/>
  <c r="O378" i="1" s="1"/>
  <c r="I378" i="1"/>
  <c r="G378" i="1"/>
  <c r="G377" i="1"/>
  <c r="I377" i="1" s="1"/>
  <c r="M377" i="1" s="1"/>
  <c r="N377" i="1" s="1"/>
  <c r="O377" i="1" s="1"/>
  <c r="G376" i="1"/>
  <c r="I376" i="1" s="1"/>
  <c r="M376" i="1" s="1"/>
  <c r="N376" i="1" s="1"/>
  <c r="O376" i="1" s="1"/>
  <c r="I375" i="1"/>
  <c r="M375" i="1" s="1"/>
  <c r="N375" i="1" s="1"/>
  <c r="O375" i="1" s="1"/>
  <c r="G375" i="1"/>
  <c r="I374" i="1"/>
  <c r="M374" i="1" s="1"/>
  <c r="N374" i="1" s="1"/>
  <c r="O374" i="1" s="1"/>
  <c r="G374" i="1"/>
  <c r="I373" i="1"/>
  <c r="M373" i="1" s="1"/>
  <c r="N373" i="1" s="1"/>
  <c r="O373" i="1" s="1"/>
  <c r="G373" i="1"/>
  <c r="N372" i="1"/>
  <c r="O372" i="1" s="1"/>
  <c r="I372" i="1"/>
  <c r="M372" i="1" s="1"/>
  <c r="G372" i="1"/>
  <c r="M371" i="1"/>
  <c r="N371" i="1" s="1"/>
  <c r="O371" i="1" s="1"/>
  <c r="I371" i="1"/>
  <c r="G371" i="1"/>
  <c r="G370" i="1"/>
  <c r="I370" i="1" s="1"/>
  <c r="M370" i="1" s="1"/>
  <c r="N370" i="1" s="1"/>
  <c r="O370" i="1" s="1"/>
  <c r="N369" i="1"/>
  <c r="O369" i="1" s="1"/>
  <c r="M369" i="1"/>
  <c r="G369" i="1"/>
  <c r="I369" i="1" s="1"/>
  <c r="I368" i="1"/>
  <c r="M368" i="1" s="1"/>
  <c r="N368" i="1" s="1"/>
  <c r="O368" i="1" s="1"/>
  <c r="G368" i="1"/>
  <c r="G367" i="1"/>
  <c r="I367" i="1" s="1"/>
  <c r="M367" i="1" s="1"/>
  <c r="N367" i="1" s="1"/>
  <c r="O367" i="1" s="1"/>
  <c r="M366" i="1"/>
  <c r="N366" i="1" s="1"/>
  <c r="O366" i="1" s="1"/>
  <c r="I366" i="1"/>
  <c r="G366" i="1"/>
  <c r="M365" i="1"/>
  <c r="N365" i="1" s="1"/>
  <c r="O365" i="1" s="1"/>
  <c r="I365" i="1"/>
  <c r="G365" i="1"/>
  <c r="I364" i="1"/>
  <c r="M364" i="1" s="1"/>
  <c r="N364" i="1" s="1"/>
  <c r="O364" i="1" s="1"/>
  <c r="G364" i="1"/>
  <c r="G363" i="1"/>
  <c r="I363" i="1" s="1"/>
  <c r="M363" i="1" s="1"/>
  <c r="N363" i="1" s="1"/>
  <c r="O363" i="1" s="1"/>
  <c r="M362" i="1"/>
  <c r="N362" i="1" s="1"/>
  <c r="O362" i="1" s="1"/>
  <c r="I362" i="1"/>
  <c r="G362" i="1"/>
  <c r="G361" i="1"/>
  <c r="I361" i="1" s="1"/>
  <c r="M361" i="1" s="1"/>
  <c r="N361" i="1" s="1"/>
  <c r="O361" i="1" s="1"/>
  <c r="G360" i="1"/>
  <c r="I360" i="1" s="1"/>
  <c r="M360" i="1" s="1"/>
  <c r="N360" i="1" s="1"/>
  <c r="O360" i="1" s="1"/>
  <c r="I359" i="1"/>
  <c r="M359" i="1" s="1"/>
  <c r="N359" i="1" s="1"/>
  <c r="O359" i="1" s="1"/>
  <c r="G359" i="1"/>
  <c r="I358" i="1"/>
  <c r="M358" i="1" s="1"/>
  <c r="N358" i="1" s="1"/>
  <c r="O358" i="1" s="1"/>
  <c r="G358" i="1"/>
  <c r="I357" i="1"/>
  <c r="M357" i="1" s="1"/>
  <c r="N357" i="1" s="1"/>
  <c r="O357" i="1" s="1"/>
  <c r="G357" i="1"/>
  <c r="N356" i="1"/>
  <c r="O356" i="1" s="1"/>
  <c r="I356" i="1"/>
  <c r="M356" i="1" s="1"/>
  <c r="G356" i="1"/>
  <c r="M355" i="1"/>
  <c r="N355" i="1" s="1"/>
  <c r="O355" i="1" s="1"/>
  <c r="I355" i="1"/>
  <c r="G355" i="1"/>
  <c r="G354" i="1"/>
  <c r="I354" i="1" s="1"/>
  <c r="M354" i="1" s="1"/>
  <c r="N354" i="1" s="1"/>
  <c r="O354" i="1" s="1"/>
  <c r="N353" i="1"/>
  <c r="O353" i="1" s="1"/>
  <c r="M353" i="1"/>
  <c r="G353" i="1"/>
  <c r="I353" i="1" s="1"/>
  <c r="I352" i="1"/>
  <c r="M352" i="1" s="1"/>
  <c r="N352" i="1" s="1"/>
  <c r="O352" i="1" s="1"/>
  <c r="G352" i="1"/>
  <c r="G351" i="1"/>
  <c r="I351" i="1" s="1"/>
  <c r="M351" i="1" s="1"/>
  <c r="N351" i="1" s="1"/>
  <c r="O351" i="1" s="1"/>
  <c r="M350" i="1"/>
  <c r="N350" i="1" s="1"/>
  <c r="O350" i="1" s="1"/>
  <c r="I350" i="1"/>
  <c r="G350" i="1"/>
  <c r="M349" i="1"/>
  <c r="N349" i="1" s="1"/>
  <c r="O349" i="1" s="1"/>
  <c r="I349" i="1"/>
  <c r="G349" i="1"/>
  <c r="I348" i="1"/>
  <c r="M348" i="1" s="1"/>
  <c r="N348" i="1" s="1"/>
  <c r="O348" i="1" s="1"/>
  <c r="G348" i="1"/>
  <c r="G347" i="1"/>
  <c r="I347" i="1" s="1"/>
  <c r="M347" i="1" s="1"/>
  <c r="N347" i="1" s="1"/>
  <c r="O347" i="1" s="1"/>
  <c r="M346" i="1"/>
  <c r="N346" i="1" s="1"/>
  <c r="O346" i="1" s="1"/>
  <c r="I346" i="1"/>
  <c r="G346" i="1"/>
  <c r="G345" i="1"/>
  <c r="I345" i="1" s="1"/>
  <c r="M345" i="1" s="1"/>
  <c r="N345" i="1" s="1"/>
  <c r="O345" i="1" s="1"/>
  <c r="G344" i="1"/>
  <c r="I344" i="1" s="1"/>
  <c r="M344" i="1" s="1"/>
  <c r="N344" i="1" s="1"/>
  <c r="O344" i="1" s="1"/>
  <c r="I343" i="1"/>
  <c r="M343" i="1" s="1"/>
  <c r="N343" i="1" s="1"/>
  <c r="O343" i="1" s="1"/>
  <c r="G343" i="1"/>
  <c r="I342" i="1"/>
  <c r="M342" i="1" s="1"/>
  <c r="N342" i="1" s="1"/>
  <c r="O342" i="1" s="1"/>
  <c r="G342" i="1"/>
  <c r="I341" i="1"/>
  <c r="M341" i="1" s="1"/>
  <c r="N341" i="1" s="1"/>
  <c r="O341" i="1" s="1"/>
  <c r="G341" i="1"/>
  <c r="N340" i="1"/>
  <c r="O340" i="1" s="1"/>
  <c r="I340" i="1"/>
  <c r="M340" i="1" s="1"/>
  <c r="G340" i="1"/>
  <c r="M339" i="1"/>
  <c r="N339" i="1" s="1"/>
  <c r="O339" i="1" s="1"/>
  <c r="I339" i="1"/>
  <c r="G339" i="1"/>
  <c r="G338" i="1"/>
  <c r="I338" i="1" s="1"/>
  <c r="M338" i="1" s="1"/>
  <c r="N338" i="1" s="1"/>
  <c r="O338" i="1" s="1"/>
  <c r="N337" i="1"/>
  <c r="O337" i="1" s="1"/>
  <c r="M337" i="1"/>
  <c r="G337" i="1"/>
  <c r="I337" i="1" s="1"/>
  <c r="I336" i="1"/>
  <c r="M336" i="1" s="1"/>
  <c r="N336" i="1" s="1"/>
  <c r="O336" i="1" s="1"/>
  <c r="G336" i="1"/>
  <c r="G335" i="1"/>
  <c r="I335" i="1" s="1"/>
  <c r="M335" i="1" s="1"/>
  <c r="N335" i="1" s="1"/>
  <c r="O335" i="1" s="1"/>
  <c r="M334" i="1"/>
  <c r="N334" i="1" s="1"/>
  <c r="O334" i="1" s="1"/>
  <c r="I334" i="1"/>
  <c r="G334" i="1"/>
  <c r="M333" i="1"/>
  <c r="N333" i="1" s="1"/>
  <c r="O333" i="1" s="1"/>
  <c r="I333" i="1"/>
  <c r="G333" i="1"/>
  <c r="I332" i="1"/>
  <c r="M332" i="1" s="1"/>
  <c r="N332" i="1" s="1"/>
  <c r="O332" i="1" s="1"/>
  <c r="G332" i="1"/>
  <c r="G331" i="1"/>
  <c r="I331" i="1" s="1"/>
  <c r="M331" i="1" s="1"/>
  <c r="N331" i="1" s="1"/>
  <c r="O331" i="1" s="1"/>
  <c r="M330" i="1"/>
  <c r="N330" i="1" s="1"/>
  <c r="O330" i="1" s="1"/>
  <c r="I330" i="1"/>
  <c r="G330" i="1"/>
  <c r="G329" i="1"/>
  <c r="I329" i="1" s="1"/>
  <c r="M329" i="1" s="1"/>
  <c r="N329" i="1" s="1"/>
  <c r="O329" i="1" s="1"/>
  <c r="G328" i="1"/>
  <c r="I328" i="1" s="1"/>
  <c r="M328" i="1" s="1"/>
  <c r="N328" i="1" s="1"/>
  <c r="O328" i="1" s="1"/>
  <c r="I327" i="1"/>
  <c r="M327" i="1" s="1"/>
  <c r="N327" i="1" s="1"/>
  <c r="O327" i="1" s="1"/>
  <c r="G327" i="1"/>
  <c r="I326" i="1"/>
  <c r="M326" i="1" s="1"/>
  <c r="N326" i="1" s="1"/>
  <c r="O326" i="1" s="1"/>
  <c r="G326" i="1"/>
  <c r="I325" i="1"/>
  <c r="M325" i="1" s="1"/>
  <c r="N325" i="1" s="1"/>
  <c r="O325" i="1" s="1"/>
  <c r="G325" i="1"/>
  <c r="N324" i="1"/>
  <c r="O324" i="1" s="1"/>
  <c r="I324" i="1"/>
  <c r="M324" i="1" s="1"/>
  <c r="G324" i="1"/>
  <c r="M323" i="1"/>
  <c r="N323" i="1" s="1"/>
  <c r="O323" i="1" s="1"/>
  <c r="I323" i="1"/>
  <c r="G323" i="1"/>
  <c r="G322" i="1"/>
  <c r="I322" i="1" s="1"/>
  <c r="M322" i="1" s="1"/>
  <c r="N322" i="1" s="1"/>
  <c r="O322" i="1" s="1"/>
  <c r="N321" i="1"/>
  <c r="O321" i="1" s="1"/>
  <c r="M321" i="1"/>
  <c r="G321" i="1"/>
  <c r="I321" i="1" s="1"/>
  <c r="I320" i="1"/>
  <c r="M320" i="1" s="1"/>
  <c r="N320" i="1" s="1"/>
  <c r="O320" i="1" s="1"/>
  <c r="G320" i="1"/>
  <c r="G319" i="1"/>
  <c r="I319" i="1" s="1"/>
  <c r="M319" i="1" s="1"/>
  <c r="N319" i="1" s="1"/>
  <c r="O319" i="1" s="1"/>
  <c r="M318" i="1"/>
  <c r="N318" i="1" s="1"/>
  <c r="O318" i="1" s="1"/>
  <c r="I318" i="1"/>
  <c r="G318" i="1"/>
  <c r="M317" i="1"/>
  <c r="N317" i="1" s="1"/>
  <c r="O317" i="1" s="1"/>
  <c r="I317" i="1"/>
  <c r="G317" i="1"/>
  <c r="I316" i="1"/>
  <c r="M316" i="1" s="1"/>
  <c r="N316" i="1" s="1"/>
  <c r="O316" i="1" s="1"/>
  <c r="G316" i="1"/>
  <c r="G315" i="1"/>
  <c r="I315" i="1" s="1"/>
  <c r="M315" i="1" s="1"/>
  <c r="N315" i="1" s="1"/>
  <c r="O315" i="1" s="1"/>
  <c r="M314" i="1"/>
  <c r="N314" i="1" s="1"/>
  <c r="O314" i="1" s="1"/>
  <c r="I314" i="1"/>
  <c r="G314" i="1"/>
  <c r="G313" i="1"/>
  <c r="I313" i="1" s="1"/>
  <c r="M313" i="1" s="1"/>
  <c r="N313" i="1" s="1"/>
  <c r="O313" i="1" s="1"/>
  <c r="G312" i="1"/>
  <c r="I312" i="1" s="1"/>
  <c r="M312" i="1" s="1"/>
  <c r="N312" i="1" s="1"/>
  <c r="O312" i="1" s="1"/>
  <c r="I311" i="1"/>
  <c r="M311" i="1" s="1"/>
  <c r="N311" i="1" s="1"/>
  <c r="O311" i="1" s="1"/>
  <c r="G311" i="1"/>
  <c r="I310" i="1"/>
  <c r="M310" i="1" s="1"/>
  <c r="N310" i="1" s="1"/>
  <c r="O310" i="1" s="1"/>
  <c r="G310" i="1"/>
  <c r="I309" i="1"/>
  <c r="M309" i="1" s="1"/>
  <c r="N309" i="1" s="1"/>
  <c r="O309" i="1" s="1"/>
  <c r="G309" i="1"/>
  <c r="N308" i="1"/>
  <c r="O308" i="1" s="1"/>
  <c r="I308" i="1"/>
  <c r="M308" i="1" s="1"/>
  <c r="G308" i="1"/>
  <c r="M307" i="1"/>
  <c r="N307" i="1" s="1"/>
  <c r="O307" i="1" s="1"/>
  <c r="I307" i="1"/>
  <c r="G307" i="1"/>
  <c r="G306" i="1"/>
  <c r="I306" i="1" s="1"/>
  <c r="M306" i="1" s="1"/>
  <c r="N306" i="1" s="1"/>
  <c r="O306" i="1" s="1"/>
  <c r="N305" i="1"/>
  <c r="O305" i="1" s="1"/>
  <c r="M305" i="1"/>
  <c r="G305" i="1"/>
  <c r="I305" i="1" s="1"/>
  <c r="I304" i="1"/>
  <c r="M304" i="1" s="1"/>
  <c r="N304" i="1" s="1"/>
  <c r="O304" i="1" s="1"/>
  <c r="G304" i="1"/>
  <c r="G303" i="1"/>
  <c r="I303" i="1" s="1"/>
  <c r="M303" i="1" s="1"/>
  <c r="N303" i="1" s="1"/>
  <c r="O303" i="1" s="1"/>
  <c r="M302" i="1"/>
  <c r="N302" i="1" s="1"/>
  <c r="O302" i="1" s="1"/>
  <c r="I302" i="1"/>
  <c r="G302" i="1"/>
  <c r="M301" i="1"/>
  <c r="N301" i="1" s="1"/>
  <c r="O301" i="1" s="1"/>
  <c r="I301" i="1"/>
  <c r="G301" i="1"/>
  <c r="I300" i="1"/>
  <c r="M300" i="1" s="1"/>
  <c r="N300" i="1" s="1"/>
  <c r="O300" i="1" s="1"/>
  <c r="G300" i="1"/>
  <c r="G299" i="1"/>
  <c r="I299" i="1" s="1"/>
  <c r="M299" i="1" s="1"/>
  <c r="N299" i="1" s="1"/>
  <c r="O299" i="1" s="1"/>
  <c r="M298" i="1"/>
  <c r="N298" i="1" s="1"/>
  <c r="O298" i="1" s="1"/>
  <c r="I298" i="1"/>
  <c r="G298" i="1"/>
  <c r="G297" i="1"/>
  <c r="I297" i="1" s="1"/>
  <c r="M297" i="1" s="1"/>
  <c r="N297" i="1" s="1"/>
  <c r="O297" i="1" s="1"/>
  <c r="G296" i="1"/>
  <c r="I296" i="1" s="1"/>
  <c r="M296" i="1" s="1"/>
  <c r="N296" i="1" s="1"/>
  <c r="O296" i="1" s="1"/>
  <c r="I295" i="1"/>
  <c r="M295" i="1" s="1"/>
  <c r="N295" i="1" s="1"/>
  <c r="O295" i="1" s="1"/>
  <c r="G295" i="1"/>
  <c r="I294" i="1"/>
  <c r="M294" i="1" s="1"/>
  <c r="N294" i="1" s="1"/>
  <c r="O294" i="1" s="1"/>
  <c r="G294" i="1"/>
  <c r="I293" i="1"/>
  <c r="M293" i="1" s="1"/>
  <c r="N293" i="1" s="1"/>
  <c r="O293" i="1" s="1"/>
  <c r="G293" i="1"/>
  <c r="N292" i="1"/>
  <c r="O292" i="1" s="1"/>
  <c r="I292" i="1"/>
  <c r="M292" i="1" s="1"/>
  <c r="G292" i="1"/>
  <c r="M291" i="1"/>
  <c r="N291" i="1" s="1"/>
  <c r="O291" i="1" s="1"/>
  <c r="I291" i="1"/>
  <c r="G291" i="1"/>
  <c r="G290" i="1"/>
  <c r="I290" i="1" s="1"/>
  <c r="M290" i="1" s="1"/>
  <c r="N290" i="1" s="1"/>
  <c r="O290" i="1" s="1"/>
  <c r="N289" i="1"/>
  <c r="O289" i="1" s="1"/>
  <c r="M289" i="1"/>
  <c r="G289" i="1"/>
  <c r="I289" i="1" s="1"/>
  <c r="I288" i="1"/>
  <c r="M288" i="1" s="1"/>
  <c r="N288" i="1" s="1"/>
  <c r="O288" i="1" s="1"/>
  <c r="G288" i="1"/>
  <c r="I287" i="1"/>
  <c r="M287" i="1" s="1"/>
  <c r="N287" i="1" s="1"/>
  <c r="O287" i="1" s="1"/>
  <c r="G287" i="1"/>
  <c r="I286" i="1"/>
  <c r="M286" i="1" s="1"/>
  <c r="N286" i="1" s="1"/>
  <c r="O286" i="1" s="1"/>
  <c r="G286" i="1"/>
  <c r="G285" i="1"/>
  <c r="I285" i="1" s="1"/>
  <c r="M285" i="1" s="1"/>
  <c r="N285" i="1" s="1"/>
  <c r="O285" i="1" s="1"/>
  <c r="G284" i="1"/>
  <c r="I284" i="1" s="1"/>
  <c r="M284" i="1" s="1"/>
  <c r="N284" i="1" s="1"/>
  <c r="O284" i="1" s="1"/>
  <c r="G283" i="1"/>
  <c r="I283" i="1" s="1"/>
  <c r="M283" i="1" s="1"/>
  <c r="N283" i="1" s="1"/>
  <c r="O283" i="1" s="1"/>
  <c r="M282" i="1"/>
  <c r="N282" i="1" s="1"/>
  <c r="O282" i="1" s="1"/>
  <c r="I282" i="1"/>
  <c r="G282" i="1"/>
  <c r="M281" i="1"/>
  <c r="N281" i="1" s="1"/>
  <c r="O281" i="1" s="1"/>
  <c r="I281" i="1"/>
  <c r="G281" i="1"/>
  <c r="I280" i="1"/>
  <c r="M280" i="1" s="1"/>
  <c r="N280" i="1" s="1"/>
  <c r="O280" i="1" s="1"/>
  <c r="G280" i="1"/>
  <c r="I279" i="1"/>
  <c r="M279" i="1" s="1"/>
  <c r="N279" i="1" s="1"/>
  <c r="O279" i="1" s="1"/>
  <c r="G279" i="1"/>
  <c r="I278" i="1"/>
  <c r="M278" i="1" s="1"/>
  <c r="N278" i="1" s="1"/>
  <c r="O278" i="1" s="1"/>
  <c r="G278" i="1"/>
  <c r="G277" i="1"/>
  <c r="I277" i="1" s="1"/>
  <c r="M277" i="1" s="1"/>
  <c r="N277" i="1" s="1"/>
  <c r="O277" i="1" s="1"/>
  <c r="G276" i="1"/>
  <c r="I276" i="1" s="1"/>
  <c r="M276" i="1" s="1"/>
  <c r="N276" i="1" s="1"/>
  <c r="O276" i="1" s="1"/>
  <c r="G275" i="1"/>
  <c r="I275" i="1" s="1"/>
  <c r="M275" i="1" s="1"/>
  <c r="N275" i="1" s="1"/>
  <c r="O275" i="1" s="1"/>
  <c r="M274" i="1"/>
  <c r="N274" i="1" s="1"/>
  <c r="O274" i="1" s="1"/>
  <c r="I274" i="1"/>
  <c r="G274" i="1"/>
  <c r="M273" i="1"/>
  <c r="N273" i="1" s="1"/>
  <c r="O273" i="1" s="1"/>
  <c r="I273" i="1"/>
  <c r="G273" i="1"/>
  <c r="I272" i="1"/>
  <c r="M272" i="1" s="1"/>
  <c r="N272" i="1" s="1"/>
  <c r="O272" i="1" s="1"/>
  <c r="G272" i="1"/>
  <c r="I271" i="1"/>
  <c r="M271" i="1" s="1"/>
  <c r="N271" i="1" s="1"/>
  <c r="O271" i="1" s="1"/>
  <c r="G271" i="1"/>
  <c r="I270" i="1"/>
  <c r="M270" i="1" s="1"/>
  <c r="N270" i="1" s="1"/>
  <c r="O270" i="1" s="1"/>
  <c r="G270" i="1"/>
  <c r="G269" i="1"/>
  <c r="I269" i="1" s="1"/>
  <c r="M269" i="1" s="1"/>
  <c r="N269" i="1" s="1"/>
  <c r="O269" i="1" s="1"/>
  <c r="G268" i="1"/>
  <c r="I268" i="1" s="1"/>
  <c r="M268" i="1" s="1"/>
  <c r="N268" i="1" s="1"/>
  <c r="O268" i="1" s="1"/>
  <c r="G267" i="1"/>
  <c r="I267" i="1" s="1"/>
  <c r="M267" i="1" s="1"/>
  <c r="N267" i="1" s="1"/>
  <c r="O267" i="1" s="1"/>
  <c r="M266" i="1"/>
  <c r="N266" i="1" s="1"/>
  <c r="O266" i="1" s="1"/>
  <c r="I266" i="1"/>
  <c r="G266" i="1"/>
  <c r="M265" i="1"/>
  <c r="N265" i="1" s="1"/>
  <c r="O265" i="1" s="1"/>
  <c r="I265" i="1"/>
  <c r="G265" i="1"/>
  <c r="I264" i="1"/>
  <c r="M264" i="1" s="1"/>
  <c r="N264" i="1" s="1"/>
  <c r="O264" i="1" s="1"/>
  <c r="G264" i="1"/>
  <c r="I263" i="1"/>
  <c r="M263" i="1" s="1"/>
  <c r="N263" i="1" s="1"/>
  <c r="O263" i="1" s="1"/>
  <c r="G263" i="1"/>
  <c r="I262" i="1"/>
  <c r="M262" i="1" s="1"/>
  <c r="N262" i="1" s="1"/>
  <c r="O262" i="1" s="1"/>
  <c r="G262" i="1"/>
  <c r="G261" i="1"/>
  <c r="I261" i="1" s="1"/>
  <c r="M261" i="1" s="1"/>
  <c r="N261" i="1" s="1"/>
  <c r="O261" i="1" s="1"/>
  <c r="G260" i="1"/>
  <c r="I260" i="1" s="1"/>
  <c r="M260" i="1" s="1"/>
  <c r="N260" i="1" s="1"/>
  <c r="O260" i="1" s="1"/>
  <c r="G259" i="1"/>
  <c r="I259" i="1" s="1"/>
  <c r="M259" i="1" s="1"/>
  <c r="N259" i="1" s="1"/>
  <c r="O259" i="1" s="1"/>
  <c r="M258" i="1"/>
  <c r="N258" i="1" s="1"/>
  <c r="O258" i="1" s="1"/>
  <c r="I258" i="1"/>
  <c r="G258" i="1"/>
  <c r="M257" i="1"/>
  <c r="N257" i="1" s="1"/>
  <c r="O257" i="1" s="1"/>
  <c r="I257" i="1"/>
  <c r="G257" i="1"/>
  <c r="I256" i="1"/>
  <c r="M256" i="1" s="1"/>
  <c r="N256" i="1" s="1"/>
  <c r="O256" i="1" s="1"/>
  <c r="G256" i="1"/>
  <c r="I255" i="1"/>
  <c r="M255" i="1" s="1"/>
  <c r="N255" i="1" s="1"/>
  <c r="O255" i="1" s="1"/>
  <c r="G255" i="1"/>
  <c r="I254" i="1"/>
  <c r="M254" i="1" s="1"/>
  <c r="N254" i="1" s="1"/>
  <c r="O254" i="1" s="1"/>
  <c r="G254" i="1"/>
  <c r="G253" i="1"/>
  <c r="I253" i="1" s="1"/>
  <c r="M253" i="1" s="1"/>
  <c r="N253" i="1" s="1"/>
  <c r="O253" i="1" s="1"/>
  <c r="G252" i="1"/>
  <c r="I252" i="1" s="1"/>
  <c r="M252" i="1" s="1"/>
  <c r="N252" i="1" s="1"/>
  <c r="O252" i="1" s="1"/>
  <c r="G251" i="1"/>
  <c r="I251" i="1" s="1"/>
  <c r="M251" i="1" s="1"/>
  <c r="N251" i="1" s="1"/>
  <c r="O251" i="1" s="1"/>
  <c r="M250" i="1"/>
  <c r="N250" i="1" s="1"/>
  <c r="O250" i="1" s="1"/>
  <c r="I250" i="1"/>
  <c r="G250" i="1"/>
  <c r="M249" i="1"/>
  <c r="N249" i="1" s="1"/>
  <c r="O249" i="1" s="1"/>
  <c r="I249" i="1"/>
  <c r="G249" i="1"/>
  <c r="I248" i="1"/>
  <c r="M248" i="1" s="1"/>
  <c r="N248" i="1" s="1"/>
  <c r="O248" i="1" s="1"/>
  <c r="G248" i="1"/>
  <c r="I247" i="1"/>
  <c r="M247" i="1" s="1"/>
  <c r="N247" i="1" s="1"/>
  <c r="O247" i="1" s="1"/>
  <c r="G247" i="1"/>
  <c r="I246" i="1"/>
  <c r="M246" i="1" s="1"/>
  <c r="N246" i="1" s="1"/>
  <c r="O246" i="1" s="1"/>
  <c r="G246" i="1"/>
  <c r="G245" i="1"/>
  <c r="I245" i="1" s="1"/>
  <c r="M245" i="1" s="1"/>
  <c r="N245" i="1" s="1"/>
  <c r="O245" i="1" s="1"/>
  <c r="G244" i="1"/>
  <c r="I244" i="1" s="1"/>
  <c r="M244" i="1" s="1"/>
  <c r="N244" i="1" s="1"/>
  <c r="O244" i="1" s="1"/>
  <c r="G243" i="1"/>
  <c r="I243" i="1" s="1"/>
  <c r="M243" i="1" s="1"/>
  <c r="N243" i="1" s="1"/>
  <c r="O243" i="1" s="1"/>
  <c r="M242" i="1"/>
  <c r="N242" i="1" s="1"/>
  <c r="O242" i="1" s="1"/>
  <c r="I242" i="1"/>
  <c r="G242" i="1"/>
  <c r="M241" i="1"/>
  <c r="N241" i="1" s="1"/>
  <c r="O241" i="1" s="1"/>
  <c r="I241" i="1"/>
  <c r="G241" i="1"/>
  <c r="I240" i="1"/>
  <c r="M240" i="1" s="1"/>
  <c r="N240" i="1" s="1"/>
  <c r="O240" i="1" s="1"/>
  <c r="G240" i="1"/>
  <c r="I239" i="1"/>
  <c r="M239" i="1" s="1"/>
  <c r="N239" i="1" s="1"/>
  <c r="O239" i="1" s="1"/>
  <c r="G239" i="1"/>
  <c r="I238" i="1"/>
  <c r="M238" i="1" s="1"/>
  <c r="N238" i="1" s="1"/>
  <c r="O238" i="1" s="1"/>
  <c r="G238" i="1"/>
  <c r="G237" i="1"/>
  <c r="I237" i="1" s="1"/>
  <c r="M237" i="1" s="1"/>
  <c r="N237" i="1" s="1"/>
  <c r="O237" i="1" s="1"/>
  <c r="G236" i="1"/>
  <c r="I236" i="1" s="1"/>
  <c r="M236" i="1" s="1"/>
  <c r="N236" i="1" s="1"/>
  <c r="O236" i="1" s="1"/>
  <c r="G235" i="1"/>
  <c r="I235" i="1" s="1"/>
  <c r="M235" i="1" s="1"/>
  <c r="N235" i="1" s="1"/>
  <c r="O235" i="1" s="1"/>
  <c r="M234" i="1"/>
  <c r="N234" i="1" s="1"/>
  <c r="O234" i="1" s="1"/>
  <c r="I234" i="1"/>
  <c r="G234" i="1"/>
  <c r="M233" i="1"/>
  <c r="N233" i="1" s="1"/>
  <c r="O233" i="1" s="1"/>
  <c r="I233" i="1"/>
  <c r="G233" i="1"/>
  <c r="I232" i="1"/>
  <c r="M232" i="1" s="1"/>
  <c r="N232" i="1" s="1"/>
  <c r="O232" i="1" s="1"/>
  <c r="G232" i="1"/>
  <c r="I231" i="1"/>
  <c r="M231" i="1" s="1"/>
  <c r="N231" i="1" s="1"/>
  <c r="O231" i="1" s="1"/>
  <c r="G231" i="1"/>
  <c r="I230" i="1"/>
  <c r="M230" i="1" s="1"/>
  <c r="N230" i="1" s="1"/>
  <c r="O230" i="1" s="1"/>
  <c r="G230" i="1"/>
  <c r="G229" i="1"/>
  <c r="I229" i="1" s="1"/>
  <c r="M229" i="1" s="1"/>
  <c r="N229" i="1" s="1"/>
  <c r="O229" i="1" s="1"/>
  <c r="G228" i="1"/>
  <c r="I228" i="1" s="1"/>
  <c r="M228" i="1" s="1"/>
  <c r="N228" i="1" s="1"/>
  <c r="O228" i="1" s="1"/>
  <c r="G227" i="1"/>
  <c r="I227" i="1" s="1"/>
  <c r="M227" i="1" s="1"/>
  <c r="N227" i="1" s="1"/>
  <c r="O227" i="1" s="1"/>
  <c r="M226" i="1"/>
  <c r="N226" i="1" s="1"/>
  <c r="O226" i="1" s="1"/>
  <c r="I226" i="1"/>
  <c r="G226" i="1"/>
  <c r="M225" i="1"/>
  <c r="N225" i="1" s="1"/>
  <c r="O225" i="1" s="1"/>
  <c r="I225" i="1"/>
  <c r="G225" i="1"/>
  <c r="I224" i="1"/>
  <c r="M224" i="1" s="1"/>
  <c r="N224" i="1" s="1"/>
  <c r="O224" i="1" s="1"/>
  <c r="G224" i="1"/>
  <c r="I223" i="1"/>
  <c r="M223" i="1" s="1"/>
  <c r="N223" i="1" s="1"/>
  <c r="O223" i="1" s="1"/>
  <c r="G223" i="1"/>
  <c r="I222" i="1"/>
  <c r="M222" i="1" s="1"/>
  <c r="N222" i="1" s="1"/>
  <c r="O222" i="1" s="1"/>
  <c r="G222" i="1"/>
  <c r="G221" i="1"/>
  <c r="I221" i="1" s="1"/>
  <c r="M221" i="1" s="1"/>
  <c r="N221" i="1" s="1"/>
  <c r="O221" i="1" s="1"/>
  <c r="G220" i="1"/>
  <c r="I220" i="1" s="1"/>
  <c r="M220" i="1" s="1"/>
  <c r="N220" i="1" s="1"/>
  <c r="O220" i="1" s="1"/>
  <c r="G219" i="1"/>
  <c r="I219" i="1" s="1"/>
  <c r="M219" i="1" s="1"/>
  <c r="N219" i="1" s="1"/>
  <c r="O219" i="1" s="1"/>
  <c r="M218" i="1"/>
  <c r="N218" i="1" s="1"/>
  <c r="O218" i="1" s="1"/>
  <c r="I218" i="1"/>
  <c r="G218" i="1"/>
  <c r="M217" i="1"/>
  <c r="N217" i="1" s="1"/>
  <c r="O217" i="1" s="1"/>
  <c r="I217" i="1"/>
  <c r="G217" i="1"/>
  <c r="I216" i="1"/>
  <c r="M216" i="1" s="1"/>
  <c r="N216" i="1" s="1"/>
  <c r="O216" i="1" s="1"/>
  <c r="G216" i="1"/>
  <c r="I215" i="1"/>
  <c r="M215" i="1" s="1"/>
  <c r="N215" i="1" s="1"/>
  <c r="O215" i="1" s="1"/>
  <c r="G215" i="1"/>
  <c r="I214" i="1"/>
  <c r="M214" i="1" s="1"/>
  <c r="N214" i="1" s="1"/>
  <c r="O214" i="1" s="1"/>
  <c r="G214" i="1"/>
  <c r="G213" i="1"/>
  <c r="I213" i="1" s="1"/>
  <c r="M213" i="1" s="1"/>
  <c r="N213" i="1" s="1"/>
  <c r="O213" i="1" s="1"/>
  <c r="G212" i="1"/>
  <c r="I212" i="1" s="1"/>
  <c r="M212" i="1" s="1"/>
  <c r="N212" i="1" s="1"/>
  <c r="O212" i="1" s="1"/>
  <c r="G211" i="1"/>
  <c r="I211" i="1" s="1"/>
  <c r="M211" i="1" s="1"/>
  <c r="N211" i="1" s="1"/>
  <c r="O211" i="1" s="1"/>
  <c r="M210" i="1"/>
  <c r="N210" i="1" s="1"/>
  <c r="O210" i="1" s="1"/>
  <c r="I210" i="1"/>
  <c r="G210" i="1"/>
  <c r="M209" i="1"/>
  <c r="N209" i="1" s="1"/>
  <c r="O209" i="1" s="1"/>
  <c r="I209" i="1"/>
  <c r="G209" i="1"/>
  <c r="I208" i="1"/>
  <c r="M208" i="1" s="1"/>
  <c r="N208" i="1" s="1"/>
  <c r="O208" i="1" s="1"/>
  <c r="G208" i="1"/>
  <c r="I207" i="1"/>
  <c r="M207" i="1" s="1"/>
  <c r="N207" i="1" s="1"/>
  <c r="O207" i="1" s="1"/>
  <c r="G207" i="1"/>
  <c r="I206" i="1"/>
  <c r="M206" i="1" s="1"/>
  <c r="N206" i="1" s="1"/>
  <c r="O206" i="1" s="1"/>
  <c r="G206" i="1"/>
  <c r="G205" i="1"/>
  <c r="I205" i="1" s="1"/>
  <c r="M205" i="1" s="1"/>
  <c r="N205" i="1" s="1"/>
  <c r="O205" i="1" s="1"/>
  <c r="G204" i="1"/>
  <c r="I204" i="1" s="1"/>
  <c r="M204" i="1" s="1"/>
  <c r="N204" i="1" s="1"/>
  <c r="O204" i="1" s="1"/>
  <c r="G203" i="1"/>
  <c r="I203" i="1" s="1"/>
  <c r="M203" i="1" s="1"/>
  <c r="N203" i="1" s="1"/>
  <c r="O203" i="1" s="1"/>
  <c r="M202" i="1"/>
  <c r="N202" i="1" s="1"/>
  <c r="O202" i="1" s="1"/>
  <c r="I202" i="1"/>
  <c r="G202" i="1"/>
  <c r="M201" i="1"/>
  <c r="N201" i="1" s="1"/>
  <c r="O201" i="1" s="1"/>
  <c r="I201" i="1"/>
  <c r="G201" i="1"/>
  <c r="I200" i="1"/>
  <c r="M200" i="1" s="1"/>
  <c r="N200" i="1" s="1"/>
  <c r="O200" i="1" s="1"/>
  <c r="G200" i="1"/>
  <c r="I199" i="1"/>
  <c r="M199" i="1" s="1"/>
  <c r="N199" i="1" s="1"/>
  <c r="O199" i="1" s="1"/>
  <c r="G199" i="1"/>
  <c r="I198" i="1"/>
  <c r="M198" i="1" s="1"/>
  <c r="N198" i="1" s="1"/>
  <c r="O198" i="1" s="1"/>
  <c r="G198" i="1"/>
  <c r="G197" i="1"/>
  <c r="I197" i="1" s="1"/>
  <c r="M197" i="1" s="1"/>
  <c r="N197" i="1" s="1"/>
  <c r="O197" i="1" s="1"/>
  <c r="G196" i="1"/>
  <c r="I196" i="1" s="1"/>
  <c r="M196" i="1" s="1"/>
  <c r="N196" i="1" s="1"/>
  <c r="O196" i="1" s="1"/>
  <c r="G195" i="1"/>
  <c r="I195" i="1" s="1"/>
  <c r="M195" i="1" s="1"/>
  <c r="N195" i="1" s="1"/>
  <c r="O195" i="1" s="1"/>
  <c r="M194" i="1"/>
  <c r="N194" i="1" s="1"/>
  <c r="O194" i="1" s="1"/>
  <c r="I194" i="1"/>
  <c r="G194" i="1"/>
  <c r="M193" i="1"/>
  <c r="N193" i="1" s="1"/>
  <c r="O193" i="1" s="1"/>
  <c r="I193" i="1"/>
  <c r="G193" i="1"/>
  <c r="I192" i="1"/>
  <c r="M192" i="1" s="1"/>
  <c r="N192" i="1" s="1"/>
  <c r="O192" i="1" s="1"/>
  <c r="G192" i="1"/>
  <c r="I191" i="1"/>
  <c r="M191" i="1" s="1"/>
  <c r="N191" i="1" s="1"/>
  <c r="O191" i="1" s="1"/>
  <c r="G191" i="1"/>
  <c r="I190" i="1"/>
  <c r="M190" i="1" s="1"/>
  <c r="N190" i="1" s="1"/>
  <c r="O190" i="1" s="1"/>
  <c r="G190" i="1"/>
  <c r="G189" i="1"/>
  <c r="I189" i="1" s="1"/>
  <c r="M189" i="1" s="1"/>
  <c r="N189" i="1" s="1"/>
  <c r="O189" i="1" s="1"/>
  <c r="G188" i="1"/>
  <c r="I188" i="1" s="1"/>
  <c r="M188" i="1" s="1"/>
  <c r="N188" i="1" s="1"/>
  <c r="O188" i="1" s="1"/>
  <c r="G187" i="1"/>
  <c r="I187" i="1" s="1"/>
  <c r="M187" i="1" s="1"/>
  <c r="N187" i="1" s="1"/>
  <c r="O187" i="1" s="1"/>
  <c r="M186" i="1"/>
  <c r="N186" i="1" s="1"/>
  <c r="O186" i="1" s="1"/>
  <c r="I186" i="1"/>
  <c r="G186" i="1"/>
  <c r="M185" i="1"/>
  <c r="N185" i="1" s="1"/>
  <c r="O185" i="1" s="1"/>
  <c r="I185" i="1"/>
  <c r="G185" i="1"/>
  <c r="I184" i="1"/>
  <c r="M184" i="1" s="1"/>
  <c r="N184" i="1" s="1"/>
  <c r="O184" i="1" s="1"/>
  <c r="G184" i="1"/>
  <c r="I183" i="1"/>
  <c r="M183" i="1" s="1"/>
  <c r="N183" i="1" s="1"/>
  <c r="O183" i="1" s="1"/>
  <c r="G183" i="1"/>
  <c r="I182" i="1"/>
  <c r="M182" i="1" s="1"/>
  <c r="N182" i="1" s="1"/>
  <c r="O182" i="1" s="1"/>
  <c r="G182" i="1"/>
  <c r="G181" i="1"/>
  <c r="I181" i="1" s="1"/>
  <c r="M181" i="1" s="1"/>
  <c r="N181" i="1" s="1"/>
  <c r="O181" i="1" s="1"/>
  <c r="G180" i="1"/>
  <c r="I180" i="1" s="1"/>
  <c r="M180" i="1" s="1"/>
  <c r="N180" i="1" s="1"/>
  <c r="O180" i="1" s="1"/>
  <c r="G179" i="1"/>
  <c r="I179" i="1" s="1"/>
  <c r="M179" i="1" s="1"/>
  <c r="N179" i="1" s="1"/>
  <c r="O179" i="1" s="1"/>
  <c r="M178" i="1"/>
  <c r="N178" i="1" s="1"/>
  <c r="O178" i="1" s="1"/>
  <c r="I178" i="1"/>
  <c r="G178" i="1"/>
  <c r="M177" i="1"/>
  <c r="N177" i="1" s="1"/>
  <c r="O177" i="1" s="1"/>
  <c r="I177" i="1"/>
  <c r="G177" i="1"/>
  <c r="I176" i="1"/>
  <c r="M176" i="1" s="1"/>
  <c r="N176" i="1" s="1"/>
  <c r="O176" i="1" s="1"/>
  <c r="G176" i="1"/>
  <c r="I175" i="1"/>
  <c r="M175" i="1" s="1"/>
  <c r="N175" i="1" s="1"/>
  <c r="O175" i="1" s="1"/>
  <c r="G175" i="1"/>
  <c r="I174" i="1"/>
  <c r="M174" i="1" s="1"/>
  <c r="N174" i="1" s="1"/>
  <c r="O174" i="1" s="1"/>
  <c r="G174" i="1"/>
  <c r="G173" i="1"/>
  <c r="I173" i="1" s="1"/>
  <c r="M173" i="1" s="1"/>
  <c r="N173" i="1" s="1"/>
  <c r="O173" i="1" s="1"/>
  <c r="G172" i="1"/>
  <c r="I172" i="1" s="1"/>
  <c r="M172" i="1" s="1"/>
  <c r="N172" i="1" s="1"/>
  <c r="O172" i="1" s="1"/>
  <c r="G171" i="1"/>
  <c r="I171" i="1" s="1"/>
  <c r="M171" i="1" s="1"/>
  <c r="N171" i="1" s="1"/>
  <c r="O171" i="1" s="1"/>
  <c r="M170" i="1"/>
  <c r="N170" i="1" s="1"/>
  <c r="O170" i="1" s="1"/>
  <c r="I170" i="1"/>
  <c r="G170" i="1"/>
  <c r="M169" i="1"/>
  <c r="N169" i="1" s="1"/>
  <c r="O169" i="1" s="1"/>
  <c r="I169" i="1"/>
  <c r="G169" i="1"/>
  <c r="I168" i="1"/>
  <c r="M168" i="1" s="1"/>
  <c r="N168" i="1" s="1"/>
  <c r="O168" i="1" s="1"/>
  <c r="G168" i="1"/>
  <c r="I167" i="1"/>
  <c r="M167" i="1" s="1"/>
  <c r="N167" i="1" s="1"/>
  <c r="O167" i="1" s="1"/>
  <c r="G167" i="1"/>
  <c r="I166" i="1"/>
  <c r="M166" i="1" s="1"/>
  <c r="N166" i="1" s="1"/>
  <c r="O166" i="1" s="1"/>
  <c r="G166" i="1"/>
  <c r="G165" i="1"/>
  <c r="I165" i="1" s="1"/>
  <c r="M165" i="1" s="1"/>
  <c r="N165" i="1" s="1"/>
  <c r="O165" i="1" s="1"/>
  <c r="G164" i="1"/>
  <c r="I164" i="1" s="1"/>
  <c r="M164" i="1" s="1"/>
  <c r="N164" i="1" s="1"/>
  <c r="O164" i="1" s="1"/>
  <c r="G163" i="1"/>
  <c r="I163" i="1" s="1"/>
  <c r="M163" i="1" s="1"/>
  <c r="N163" i="1" s="1"/>
  <c r="O163" i="1" s="1"/>
  <c r="M162" i="1"/>
  <c r="N162" i="1" s="1"/>
  <c r="O162" i="1" s="1"/>
  <c r="I162" i="1"/>
  <c r="G162" i="1"/>
  <c r="M161" i="1"/>
  <c r="N161" i="1" s="1"/>
  <c r="O161" i="1" s="1"/>
  <c r="I161" i="1"/>
  <c r="G161" i="1"/>
  <c r="I160" i="1"/>
  <c r="M160" i="1" s="1"/>
  <c r="N160" i="1" s="1"/>
  <c r="O160" i="1" s="1"/>
  <c r="G160" i="1"/>
  <c r="I159" i="1"/>
  <c r="M159" i="1" s="1"/>
  <c r="N159" i="1" s="1"/>
  <c r="O159" i="1" s="1"/>
  <c r="G159" i="1"/>
  <c r="I158" i="1"/>
  <c r="M158" i="1" s="1"/>
  <c r="N158" i="1" s="1"/>
  <c r="O158" i="1" s="1"/>
  <c r="G158" i="1"/>
  <c r="G157" i="1"/>
  <c r="I157" i="1" s="1"/>
  <c r="M157" i="1" s="1"/>
  <c r="N157" i="1" s="1"/>
  <c r="O157" i="1" s="1"/>
  <c r="G156" i="1"/>
  <c r="I156" i="1" s="1"/>
  <c r="M156" i="1" s="1"/>
  <c r="N156" i="1" s="1"/>
  <c r="O156" i="1" s="1"/>
  <c r="G155" i="1"/>
  <c r="I155" i="1" s="1"/>
  <c r="M155" i="1" s="1"/>
  <c r="N155" i="1" s="1"/>
  <c r="O155" i="1" s="1"/>
  <c r="M154" i="1"/>
  <c r="N154" i="1" s="1"/>
  <c r="O154" i="1" s="1"/>
  <c r="I154" i="1"/>
  <c r="G154" i="1"/>
  <c r="M153" i="1"/>
  <c r="N153" i="1" s="1"/>
  <c r="O153" i="1" s="1"/>
  <c r="I153" i="1"/>
  <c r="G153" i="1"/>
  <c r="I152" i="1"/>
  <c r="M152" i="1" s="1"/>
  <c r="N152" i="1" s="1"/>
  <c r="O152" i="1" s="1"/>
  <c r="G152" i="1"/>
  <c r="I151" i="1"/>
  <c r="M151" i="1" s="1"/>
  <c r="N151" i="1" s="1"/>
  <c r="O151" i="1" s="1"/>
  <c r="G151" i="1"/>
  <c r="I150" i="1"/>
  <c r="M150" i="1" s="1"/>
  <c r="N150" i="1" s="1"/>
  <c r="O150" i="1" s="1"/>
  <c r="G150" i="1"/>
  <c r="G149" i="1"/>
  <c r="I149" i="1" s="1"/>
  <c r="M149" i="1" s="1"/>
  <c r="N149" i="1" s="1"/>
  <c r="O149" i="1" s="1"/>
  <c r="G148" i="1"/>
  <c r="I148" i="1" s="1"/>
  <c r="M148" i="1" s="1"/>
  <c r="N148" i="1" s="1"/>
  <c r="O148" i="1" s="1"/>
  <c r="G147" i="1"/>
  <c r="I147" i="1" s="1"/>
  <c r="M147" i="1" s="1"/>
  <c r="N147" i="1" s="1"/>
  <c r="O147" i="1" s="1"/>
  <c r="M146" i="1"/>
  <c r="N146" i="1" s="1"/>
  <c r="O146" i="1" s="1"/>
  <c r="I146" i="1"/>
  <c r="G146" i="1"/>
  <c r="M145" i="1"/>
  <c r="N145" i="1" s="1"/>
  <c r="O145" i="1" s="1"/>
  <c r="I145" i="1"/>
  <c r="G145" i="1"/>
  <c r="I144" i="1"/>
  <c r="M144" i="1" s="1"/>
  <c r="N144" i="1" s="1"/>
  <c r="O144" i="1" s="1"/>
  <c r="G144" i="1"/>
  <c r="I143" i="1"/>
  <c r="M143" i="1" s="1"/>
  <c r="N143" i="1" s="1"/>
  <c r="O143" i="1" s="1"/>
  <c r="G143" i="1"/>
  <c r="I142" i="1"/>
  <c r="M142" i="1" s="1"/>
  <c r="N142" i="1" s="1"/>
  <c r="O142" i="1" s="1"/>
  <c r="G142" i="1"/>
  <c r="G141" i="1"/>
  <c r="I141" i="1" s="1"/>
  <c r="M141" i="1" s="1"/>
  <c r="N141" i="1" s="1"/>
  <c r="O141" i="1" s="1"/>
  <c r="G140" i="1"/>
  <c r="I140" i="1" s="1"/>
  <c r="M140" i="1" s="1"/>
  <c r="N140" i="1" s="1"/>
  <c r="O140" i="1" s="1"/>
  <c r="G139" i="1"/>
  <c r="I139" i="1" s="1"/>
  <c r="M139" i="1" s="1"/>
  <c r="N139" i="1" s="1"/>
  <c r="O139" i="1" s="1"/>
  <c r="M138" i="1"/>
  <c r="N138" i="1" s="1"/>
  <c r="O138" i="1" s="1"/>
  <c r="I138" i="1"/>
  <c r="G138" i="1"/>
  <c r="M137" i="1"/>
  <c r="N137" i="1" s="1"/>
  <c r="O137" i="1" s="1"/>
  <c r="I137" i="1"/>
  <c r="G137" i="1"/>
  <c r="I136" i="1"/>
  <c r="M136" i="1" s="1"/>
  <c r="N136" i="1" s="1"/>
  <c r="O136" i="1" s="1"/>
  <c r="G136" i="1"/>
  <c r="I135" i="1"/>
  <c r="M135" i="1" s="1"/>
  <c r="N135" i="1" s="1"/>
  <c r="O135" i="1" s="1"/>
  <c r="G135" i="1"/>
  <c r="I134" i="1"/>
  <c r="M134" i="1" s="1"/>
  <c r="N134" i="1" s="1"/>
  <c r="O134" i="1" s="1"/>
  <c r="G134" i="1"/>
  <c r="G133" i="1"/>
  <c r="I133" i="1" s="1"/>
  <c r="M133" i="1" s="1"/>
  <c r="N133" i="1" s="1"/>
  <c r="O133" i="1" s="1"/>
  <c r="G132" i="1"/>
  <c r="I132" i="1" s="1"/>
  <c r="M132" i="1" s="1"/>
  <c r="N132" i="1" s="1"/>
  <c r="O132" i="1" s="1"/>
  <c r="G131" i="1"/>
  <c r="I131" i="1" s="1"/>
  <c r="M131" i="1" s="1"/>
  <c r="N131" i="1" s="1"/>
  <c r="O131" i="1" s="1"/>
  <c r="M130" i="1"/>
  <c r="N130" i="1" s="1"/>
  <c r="O130" i="1" s="1"/>
  <c r="I130" i="1"/>
  <c r="G130" i="1"/>
  <c r="M129" i="1"/>
  <c r="N129" i="1" s="1"/>
  <c r="O129" i="1" s="1"/>
  <c r="I129" i="1"/>
  <c r="G129" i="1"/>
  <c r="I128" i="1"/>
  <c r="M128" i="1" s="1"/>
  <c r="N128" i="1" s="1"/>
  <c r="O128" i="1" s="1"/>
  <c r="G128" i="1"/>
  <c r="I127" i="1"/>
  <c r="M127" i="1" s="1"/>
  <c r="N127" i="1" s="1"/>
  <c r="O127" i="1" s="1"/>
  <c r="G127" i="1"/>
  <c r="I126" i="1"/>
  <c r="M126" i="1" s="1"/>
  <c r="N126" i="1" s="1"/>
  <c r="O126" i="1" s="1"/>
  <c r="G126" i="1"/>
  <c r="G125" i="1"/>
  <c r="I125" i="1" s="1"/>
  <c r="M125" i="1" s="1"/>
  <c r="N125" i="1" s="1"/>
  <c r="O125" i="1" s="1"/>
  <c r="G124" i="1"/>
  <c r="I124" i="1" s="1"/>
  <c r="M124" i="1" s="1"/>
  <c r="N124" i="1" s="1"/>
  <c r="O124" i="1" s="1"/>
  <c r="G123" i="1"/>
  <c r="I123" i="1" s="1"/>
  <c r="M123" i="1" s="1"/>
  <c r="N123" i="1" s="1"/>
  <c r="O123" i="1" s="1"/>
  <c r="M122" i="1"/>
  <c r="N122" i="1" s="1"/>
  <c r="O122" i="1" s="1"/>
  <c r="I122" i="1"/>
  <c r="G122" i="1"/>
  <c r="M121" i="1"/>
  <c r="N121" i="1" s="1"/>
  <c r="O121" i="1" s="1"/>
  <c r="I121" i="1"/>
  <c r="G121" i="1"/>
  <c r="I120" i="1"/>
  <c r="M120" i="1" s="1"/>
  <c r="N120" i="1" s="1"/>
  <c r="O120" i="1" s="1"/>
  <c r="G120" i="1"/>
  <c r="I119" i="1"/>
  <c r="M119" i="1" s="1"/>
  <c r="N119" i="1" s="1"/>
  <c r="O119" i="1" s="1"/>
  <c r="G119" i="1"/>
  <c r="I118" i="1"/>
  <c r="M118" i="1" s="1"/>
  <c r="N118" i="1" s="1"/>
  <c r="O118" i="1" s="1"/>
  <c r="G118" i="1"/>
  <c r="G117" i="1"/>
  <c r="I117" i="1" s="1"/>
  <c r="M117" i="1" s="1"/>
  <c r="N117" i="1" s="1"/>
  <c r="O117" i="1" s="1"/>
  <c r="G116" i="1"/>
  <c r="I116" i="1" s="1"/>
  <c r="M116" i="1" s="1"/>
  <c r="N116" i="1" s="1"/>
  <c r="O116" i="1" s="1"/>
  <c r="G115" i="1"/>
  <c r="I115" i="1" s="1"/>
  <c r="M115" i="1" s="1"/>
  <c r="N115" i="1" s="1"/>
  <c r="O115" i="1" s="1"/>
  <c r="M114" i="1"/>
  <c r="N114" i="1" s="1"/>
  <c r="O114" i="1" s="1"/>
  <c r="I114" i="1"/>
  <c r="G114" i="1"/>
  <c r="M113" i="1"/>
  <c r="N113" i="1" s="1"/>
  <c r="O113" i="1" s="1"/>
  <c r="I113" i="1"/>
  <c r="G113" i="1"/>
  <c r="I112" i="1"/>
  <c r="M112" i="1" s="1"/>
  <c r="N112" i="1" s="1"/>
  <c r="O112" i="1" s="1"/>
  <c r="G112" i="1"/>
  <c r="I111" i="1"/>
  <c r="M111" i="1" s="1"/>
  <c r="N111" i="1" s="1"/>
  <c r="O111" i="1" s="1"/>
  <c r="G111" i="1"/>
  <c r="I110" i="1"/>
  <c r="M110" i="1" s="1"/>
  <c r="N110" i="1" s="1"/>
  <c r="O110" i="1" s="1"/>
  <c r="G110" i="1"/>
  <c r="G109" i="1"/>
  <c r="I109" i="1" s="1"/>
  <c r="M109" i="1" s="1"/>
  <c r="N109" i="1" s="1"/>
  <c r="O109" i="1" s="1"/>
  <c r="G108" i="1"/>
  <c r="I108" i="1" s="1"/>
  <c r="M108" i="1" s="1"/>
  <c r="N108" i="1" s="1"/>
  <c r="O108" i="1" s="1"/>
  <c r="G107" i="1"/>
  <c r="I107" i="1" s="1"/>
  <c r="M107" i="1" s="1"/>
  <c r="N107" i="1" s="1"/>
  <c r="O107" i="1" s="1"/>
  <c r="M106" i="1"/>
  <c r="N106" i="1" s="1"/>
  <c r="O106" i="1" s="1"/>
  <c r="I106" i="1"/>
  <c r="G106" i="1"/>
  <c r="M105" i="1"/>
  <c r="N105" i="1" s="1"/>
  <c r="O105" i="1" s="1"/>
  <c r="I105" i="1"/>
  <c r="G105" i="1"/>
  <c r="I104" i="1"/>
  <c r="M104" i="1" s="1"/>
  <c r="N104" i="1" s="1"/>
  <c r="O104" i="1" s="1"/>
  <c r="G104" i="1"/>
  <c r="I103" i="1"/>
  <c r="M103" i="1" s="1"/>
  <c r="N103" i="1" s="1"/>
  <c r="O103" i="1" s="1"/>
  <c r="G103" i="1"/>
  <c r="I102" i="1"/>
  <c r="M102" i="1" s="1"/>
  <c r="N102" i="1" s="1"/>
  <c r="O102" i="1" s="1"/>
  <c r="G102" i="1"/>
  <c r="G101" i="1"/>
  <c r="I101" i="1" s="1"/>
  <c r="M101" i="1" s="1"/>
  <c r="N101" i="1" s="1"/>
  <c r="O101" i="1" s="1"/>
  <c r="G100" i="1"/>
  <c r="I100" i="1" s="1"/>
  <c r="M100" i="1" s="1"/>
  <c r="N100" i="1" s="1"/>
  <c r="O100" i="1" s="1"/>
  <c r="G99" i="1"/>
  <c r="I99" i="1" s="1"/>
  <c r="M99" i="1" s="1"/>
  <c r="N99" i="1" s="1"/>
  <c r="O99" i="1" s="1"/>
  <c r="M98" i="1"/>
  <c r="N98" i="1" s="1"/>
  <c r="O98" i="1" s="1"/>
  <c r="I98" i="1"/>
  <c r="G98" i="1"/>
  <c r="M97" i="1"/>
  <c r="N97" i="1" s="1"/>
  <c r="O97" i="1" s="1"/>
  <c r="I97" i="1"/>
  <c r="G97" i="1"/>
  <c r="I96" i="1"/>
  <c r="M96" i="1" s="1"/>
  <c r="N96" i="1" s="1"/>
  <c r="O96" i="1" s="1"/>
  <c r="G96" i="1"/>
  <c r="I95" i="1"/>
  <c r="M95" i="1" s="1"/>
  <c r="N95" i="1" s="1"/>
  <c r="O95" i="1" s="1"/>
  <c r="G95" i="1"/>
  <c r="I94" i="1"/>
  <c r="M94" i="1" s="1"/>
  <c r="N94" i="1" s="1"/>
  <c r="O94" i="1" s="1"/>
  <c r="G94" i="1"/>
  <c r="G93" i="1"/>
  <c r="I93" i="1" s="1"/>
  <c r="M93" i="1" s="1"/>
  <c r="N93" i="1" s="1"/>
  <c r="O93" i="1" s="1"/>
  <c r="G92" i="1"/>
  <c r="I92" i="1" s="1"/>
  <c r="M92" i="1" s="1"/>
  <c r="N92" i="1" s="1"/>
  <c r="O92" i="1" s="1"/>
  <c r="G91" i="1"/>
  <c r="I91" i="1" s="1"/>
  <c r="M91" i="1" s="1"/>
  <c r="N91" i="1" s="1"/>
  <c r="O91" i="1" s="1"/>
  <c r="M90" i="1"/>
  <c r="N90" i="1" s="1"/>
  <c r="O90" i="1" s="1"/>
  <c r="I90" i="1"/>
  <c r="G90" i="1"/>
  <c r="M89" i="1"/>
  <c r="N89" i="1" s="1"/>
  <c r="O89" i="1" s="1"/>
  <c r="I89" i="1"/>
  <c r="G89" i="1"/>
  <c r="I88" i="1"/>
  <c r="M88" i="1" s="1"/>
  <c r="N88" i="1" s="1"/>
  <c r="O88" i="1" s="1"/>
  <c r="G88" i="1"/>
  <c r="I87" i="1"/>
  <c r="M87" i="1" s="1"/>
  <c r="N87" i="1" s="1"/>
  <c r="O87" i="1" s="1"/>
  <c r="G87" i="1"/>
  <c r="I86" i="1"/>
  <c r="M86" i="1" s="1"/>
  <c r="N86" i="1" s="1"/>
  <c r="O86" i="1" s="1"/>
  <c r="G86" i="1"/>
  <c r="G85" i="1"/>
  <c r="I85" i="1" s="1"/>
  <c r="M85" i="1" s="1"/>
  <c r="N85" i="1" s="1"/>
  <c r="O85" i="1" s="1"/>
  <c r="G84" i="1"/>
  <c r="I84" i="1" s="1"/>
  <c r="M84" i="1" s="1"/>
  <c r="N84" i="1" s="1"/>
  <c r="O84" i="1" s="1"/>
  <c r="G83" i="1"/>
  <c r="I83" i="1" s="1"/>
  <c r="M83" i="1" s="1"/>
  <c r="N83" i="1" s="1"/>
  <c r="O83" i="1" s="1"/>
  <c r="M82" i="1"/>
  <c r="N82" i="1" s="1"/>
  <c r="O82" i="1" s="1"/>
  <c r="I82" i="1"/>
  <c r="G82" i="1"/>
  <c r="M81" i="1"/>
  <c r="N81" i="1" s="1"/>
  <c r="O81" i="1" s="1"/>
  <c r="I81" i="1"/>
  <c r="G81" i="1"/>
  <c r="I80" i="1"/>
  <c r="M80" i="1" s="1"/>
  <c r="N80" i="1" s="1"/>
  <c r="O80" i="1" s="1"/>
  <c r="G80" i="1"/>
  <c r="I79" i="1"/>
  <c r="M79" i="1" s="1"/>
  <c r="N79" i="1" s="1"/>
  <c r="O79" i="1" s="1"/>
  <c r="G79" i="1"/>
  <c r="I78" i="1"/>
  <c r="M78" i="1" s="1"/>
  <c r="N78" i="1" s="1"/>
  <c r="O78" i="1" s="1"/>
  <c r="G78" i="1"/>
  <c r="G77" i="1"/>
  <c r="I77" i="1" s="1"/>
  <c r="M77" i="1" s="1"/>
  <c r="N77" i="1" s="1"/>
  <c r="O77" i="1" s="1"/>
  <c r="G76" i="1"/>
  <c r="I76" i="1" s="1"/>
  <c r="M76" i="1" s="1"/>
  <c r="N76" i="1" s="1"/>
  <c r="O76" i="1" s="1"/>
  <c r="G75" i="1"/>
  <c r="I75" i="1" s="1"/>
  <c r="M75" i="1" s="1"/>
  <c r="N75" i="1" s="1"/>
  <c r="O75" i="1" s="1"/>
  <c r="M74" i="1"/>
  <c r="N74" i="1" s="1"/>
  <c r="O74" i="1" s="1"/>
  <c r="I74" i="1"/>
  <c r="G74" i="1"/>
  <c r="M73" i="1"/>
  <c r="N73" i="1" s="1"/>
  <c r="O73" i="1" s="1"/>
  <c r="I73" i="1"/>
  <c r="G73" i="1"/>
  <c r="I72" i="1"/>
  <c r="M72" i="1" s="1"/>
  <c r="N72" i="1" s="1"/>
  <c r="O72" i="1" s="1"/>
  <c r="G72" i="1"/>
  <c r="I71" i="1"/>
  <c r="M71" i="1" s="1"/>
  <c r="N71" i="1" s="1"/>
  <c r="O71" i="1" s="1"/>
  <c r="G71" i="1"/>
  <c r="I70" i="1"/>
  <c r="M70" i="1" s="1"/>
  <c r="N70" i="1" s="1"/>
  <c r="O70" i="1" s="1"/>
  <c r="G70" i="1"/>
  <c r="G69" i="1"/>
  <c r="I69" i="1" s="1"/>
  <c r="M69" i="1" s="1"/>
  <c r="N69" i="1" s="1"/>
  <c r="O69" i="1" s="1"/>
  <c r="G68" i="1"/>
  <c r="I68" i="1" s="1"/>
  <c r="M68" i="1" s="1"/>
  <c r="N68" i="1" s="1"/>
  <c r="O68" i="1" s="1"/>
  <c r="G67" i="1"/>
  <c r="I67" i="1" s="1"/>
  <c r="M67" i="1" s="1"/>
  <c r="N67" i="1" s="1"/>
  <c r="O67" i="1" s="1"/>
  <c r="M66" i="1"/>
  <c r="N66" i="1" s="1"/>
  <c r="O66" i="1" s="1"/>
  <c r="I66" i="1"/>
  <c r="G66" i="1"/>
  <c r="M65" i="1"/>
  <c r="N65" i="1" s="1"/>
  <c r="O65" i="1" s="1"/>
  <c r="I65" i="1"/>
  <c r="G65" i="1"/>
  <c r="I64" i="1"/>
  <c r="M64" i="1" s="1"/>
  <c r="N64" i="1" s="1"/>
  <c r="O64" i="1" s="1"/>
  <c r="G64" i="1"/>
  <c r="I63" i="1"/>
  <c r="M63" i="1" s="1"/>
  <c r="N63" i="1" s="1"/>
  <c r="O63" i="1" s="1"/>
  <c r="G63" i="1"/>
  <c r="I62" i="1"/>
  <c r="M62" i="1" s="1"/>
  <c r="N62" i="1" s="1"/>
  <c r="O62" i="1" s="1"/>
  <c r="G62" i="1"/>
  <c r="G61" i="1"/>
  <c r="I61" i="1" s="1"/>
  <c r="M61" i="1" s="1"/>
  <c r="N61" i="1" s="1"/>
  <c r="O61" i="1" s="1"/>
  <c r="G60" i="1"/>
  <c r="I60" i="1" s="1"/>
  <c r="M60" i="1" s="1"/>
  <c r="N60" i="1" s="1"/>
  <c r="O60" i="1" s="1"/>
  <c r="G59" i="1"/>
  <c r="I59" i="1" s="1"/>
  <c r="M59" i="1" s="1"/>
  <c r="N59" i="1" s="1"/>
  <c r="O59" i="1" s="1"/>
  <c r="M58" i="1"/>
  <c r="N58" i="1" s="1"/>
  <c r="O58" i="1" s="1"/>
  <c r="I58" i="1"/>
  <c r="G58" i="1"/>
  <c r="M57" i="1"/>
  <c r="N57" i="1" s="1"/>
  <c r="O57" i="1" s="1"/>
  <c r="I57" i="1"/>
  <c r="G57" i="1"/>
  <c r="I56" i="1"/>
  <c r="M56" i="1" s="1"/>
  <c r="N56" i="1" s="1"/>
  <c r="O56" i="1" s="1"/>
  <c r="G56" i="1"/>
  <c r="I55" i="1"/>
  <c r="M55" i="1" s="1"/>
  <c r="N55" i="1" s="1"/>
  <c r="O55" i="1" s="1"/>
  <c r="G55" i="1"/>
  <c r="I54" i="1"/>
  <c r="M54" i="1" s="1"/>
  <c r="N54" i="1" s="1"/>
  <c r="O54" i="1" s="1"/>
  <c r="G54" i="1"/>
  <c r="G53" i="1"/>
  <c r="I53" i="1" s="1"/>
  <c r="M53" i="1" s="1"/>
  <c r="N53" i="1" s="1"/>
  <c r="O53" i="1" s="1"/>
  <c r="G52" i="1"/>
  <c r="I52" i="1" s="1"/>
  <c r="M52" i="1" s="1"/>
  <c r="N52" i="1" s="1"/>
  <c r="O52" i="1" s="1"/>
  <c r="G51" i="1"/>
  <c r="I51" i="1" s="1"/>
  <c r="M51" i="1" s="1"/>
  <c r="N51" i="1" s="1"/>
  <c r="O51" i="1" s="1"/>
  <c r="M50" i="1"/>
  <c r="N50" i="1" s="1"/>
  <c r="O50" i="1" s="1"/>
  <c r="I50" i="1"/>
  <c r="G50" i="1"/>
  <c r="M49" i="1"/>
  <c r="N49" i="1" s="1"/>
  <c r="O49" i="1" s="1"/>
  <c r="I49" i="1"/>
  <c r="G49" i="1"/>
  <c r="I48" i="1"/>
  <c r="M48" i="1" s="1"/>
  <c r="N48" i="1" s="1"/>
  <c r="O48" i="1" s="1"/>
  <c r="G48" i="1"/>
  <c r="I47" i="1"/>
  <c r="M47" i="1" s="1"/>
  <c r="N47" i="1" s="1"/>
  <c r="O47" i="1" s="1"/>
  <c r="G47" i="1"/>
  <c r="I46" i="1"/>
  <c r="M46" i="1" s="1"/>
  <c r="N46" i="1" s="1"/>
  <c r="O46" i="1" s="1"/>
  <c r="G46" i="1"/>
  <c r="G45" i="1"/>
  <c r="I45" i="1" s="1"/>
  <c r="M45" i="1" s="1"/>
  <c r="N45" i="1" s="1"/>
  <c r="O45" i="1" s="1"/>
  <c r="G44" i="1"/>
  <c r="I44" i="1" s="1"/>
  <c r="M44" i="1" s="1"/>
  <c r="N44" i="1" s="1"/>
  <c r="O44" i="1" s="1"/>
  <c r="G43" i="1"/>
  <c r="I43" i="1" s="1"/>
  <c r="M43" i="1" s="1"/>
  <c r="N43" i="1" s="1"/>
  <c r="O43" i="1" s="1"/>
  <c r="M42" i="1"/>
  <c r="N42" i="1" s="1"/>
  <c r="O42" i="1" s="1"/>
  <c r="I42" i="1"/>
  <c r="G42" i="1"/>
  <c r="M41" i="1"/>
  <c r="N41" i="1" s="1"/>
  <c r="O41" i="1" s="1"/>
  <c r="I41" i="1"/>
  <c r="G41" i="1"/>
  <c r="I40" i="1"/>
  <c r="M40" i="1" s="1"/>
  <c r="N40" i="1" s="1"/>
  <c r="O40" i="1" s="1"/>
  <c r="G40" i="1"/>
  <c r="I39" i="1"/>
  <c r="M39" i="1" s="1"/>
  <c r="N39" i="1" s="1"/>
  <c r="O39" i="1" s="1"/>
  <c r="G39" i="1"/>
  <c r="I38" i="1"/>
  <c r="M38" i="1" s="1"/>
  <c r="N38" i="1" s="1"/>
  <c r="O38" i="1" s="1"/>
  <c r="G38" i="1"/>
  <c r="G37" i="1"/>
  <c r="I37" i="1" s="1"/>
  <c r="M37" i="1" s="1"/>
  <c r="N37" i="1" s="1"/>
  <c r="O37" i="1" s="1"/>
  <c r="G36" i="1"/>
  <c r="I36" i="1" s="1"/>
  <c r="M36" i="1" s="1"/>
  <c r="N36" i="1" s="1"/>
  <c r="O36" i="1" s="1"/>
  <c r="G35" i="1"/>
  <c r="I35" i="1" s="1"/>
  <c r="M35" i="1" s="1"/>
  <c r="N35" i="1" s="1"/>
  <c r="O35" i="1" s="1"/>
  <c r="G34" i="1"/>
  <c r="I34" i="1" s="1"/>
  <c r="M34" i="1" s="1"/>
  <c r="N34" i="1" s="1"/>
  <c r="O34" i="1" s="1"/>
  <c r="M33" i="1"/>
  <c r="N33" i="1" s="1"/>
  <c r="O33" i="1" s="1"/>
  <c r="I33" i="1"/>
  <c r="G33" i="1"/>
  <c r="I32" i="1"/>
  <c r="M32" i="1" s="1"/>
  <c r="N32" i="1" s="1"/>
  <c r="O32" i="1" s="1"/>
  <c r="G32" i="1"/>
  <c r="I31" i="1"/>
  <c r="M31" i="1" s="1"/>
  <c r="N31" i="1" s="1"/>
  <c r="O31" i="1" s="1"/>
  <c r="G31" i="1"/>
  <c r="I30" i="1"/>
  <c r="M30" i="1" s="1"/>
  <c r="N30" i="1" s="1"/>
  <c r="O30" i="1" s="1"/>
  <c r="G30" i="1"/>
  <c r="G29" i="1"/>
  <c r="I29" i="1" s="1"/>
  <c r="M29" i="1" s="1"/>
  <c r="N29" i="1" s="1"/>
  <c r="O29" i="1" s="1"/>
  <c r="G28" i="1"/>
  <c r="I28" i="1" s="1"/>
  <c r="M28" i="1" s="1"/>
  <c r="N28" i="1" s="1"/>
  <c r="O28" i="1" s="1"/>
  <c r="G27" i="1"/>
  <c r="I27" i="1" s="1"/>
  <c r="M27" i="1" s="1"/>
  <c r="N27" i="1" s="1"/>
  <c r="O27" i="1" s="1"/>
  <c r="G26" i="1"/>
  <c r="I26" i="1" s="1"/>
  <c r="M26" i="1" s="1"/>
  <c r="N26" i="1" s="1"/>
  <c r="O26" i="1" s="1"/>
  <c r="M25" i="1"/>
  <c r="N25" i="1" s="1"/>
  <c r="O25" i="1" s="1"/>
  <c r="I25" i="1"/>
  <c r="G25" i="1"/>
  <c r="I24" i="1"/>
  <c r="M24" i="1" s="1"/>
  <c r="N24" i="1" s="1"/>
  <c r="O24" i="1" s="1"/>
  <c r="G24" i="1"/>
  <c r="I23" i="1"/>
  <c r="M23" i="1" s="1"/>
  <c r="N23" i="1" s="1"/>
  <c r="O23" i="1" s="1"/>
  <c r="G23" i="1"/>
  <c r="I22" i="1"/>
  <c r="M22" i="1" s="1"/>
  <c r="N22" i="1" s="1"/>
  <c r="O22" i="1" s="1"/>
  <c r="G22" i="1"/>
  <c r="G21" i="1"/>
  <c r="I21" i="1" s="1"/>
  <c r="M21" i="1" s="1"/>
  <c r="N21" i="1" s="1"/>
  <c r="O21" i="1" s="1"/>
  <c r="G20" i="1"/>
  <c r="I20" i="1" s="1"/>
  <c r="M20" i="1" s="1"/>
  <c r="N20" i="1" s="1"/>
  <c r="O20" i="1" s="1"/>
  <c r="G19" i="1"/>
  <c r="I19" i="1" s="1"/>
  <c r="M19" i="1" s="1"/>
  <c r="N19" i="1" s="1"/>
  <c r="O19" i="1" s="1"/>
  <c r="G18" i="1"/>
  <c r="I18" i="1" s="1"/>
  <c r="M18" i="1" s="1"/>
  <c r="N18" i="1" s="1"/>
  <c r="O18" i="1" s="1"/>
  <c r="M17" i="1"/>
  <c r="N17" i="1" s="1"/>
  <c r="O17" i="1" s="1"/>
  <c r="I17" i="1"/>
  <c r="G17" i="1"/>
  <c r="I16" i="1"/>
  <c r="M16" i="1" s="1"/>
  <c r="N16" i="1" s="1"/>
  <c r="O16" i="1" s="1"/>
  <c r="G16" i="1"/>
  <c r="I15" i="1"/>
  <c r="M15" i="1" s="1"/>
  <c r="N15" i="1" s="1"/>
  <c r="O15" i="1" s="1"/>
  <c r="G15" i="1"/>
  <c r="I14" i="1"/>
  <c r="M14" i="1" s="1"/>
  <c r="N14" i="1" s="1"/>
  <c r="O14" i="1" s="1"/>
  <c r="G14" i="1"/>
  <c r="G13" i="1"/>
  <c r="I13" i="1" s="1"/>
  <c r="M13" i="1" s="1"/>
  <c r="N13" i="1" s="1"/>
  <c r="O13" i="1" s="1"/>
  <c r="G12" i="1"/>
  <c r="I12" i="1" s="1"/>
  <c r="M12" i="1" s="1"/>
  <c r="N12" i="1" s="1"/>
  <c r="O12" i="1" s="1"/>
  <c r="G11" i="1"/>
  <c r="I11" i="1" s="1"/>
  <c r="M11" i="1" s="1"/>
  <c r="N11" i="1" s="1"/>
  <c r="O11" i="1" s="1"/>
  <c r="G10" i="1"/>
  <c r="I10" i="1" s="1"/>
  <c r="M10" i="1" s="1"/>
  <c r="N10" i="1" s="1"/>
  <c r="O10" i="1" s="1"/>
  <c r="M9" i="1"/>
  <c r="N9" i="1" s="1"/>
  <c r="O9" i="1" s="1"/>
  <c r="I9" i="1"/>
  <c r="G9" i="1"/>
  <c r="I8" i="1"/>
  <c r="M8" i="1" s="1"/>
  <c r="N8" i="1" s="1"/>
  <c r="O8" i="1" s="1"/>
  <c r="G8" i="1"/>
  <c r="I7" i="1"/>
  <c r="M7" i="1" s="1"/>
  <c r="N7" i="1" s="1"/>
  <c r="O7" i="1" s="1"/>
  <c r="G7" i="1"/>
  <c r="I6" i="1"/>
  <c r="M6" i="1" s="1"/>
  <c r="N6" i="1" s="1"/>
  <c r="O6" i="1" s="1"/>
  <c r="G6" i="1"/>
  <c r="G5" i="1"/>
  <c r="I5" i="1" s="1"/>
  <c r="M5" i="1" s="1"/>
  <c r="N5" i="1" s="1"/>
  <c r="O5" i="1" s="1"/>
  <c r="G4" i="1"/>
  <c r="I4" i="1" s="1"/>
  <c r="M4" i="1" s="1"/>
  <c r="N4" i="1" s="1"/>
  <c r="O4" i="1" s="1"/>
  <c r="G3" i="1"/>
  <c r="I3" i="1" s="1"/>
  <c r="M3" i="1" s="1"/>
  <c r="N3" i="1" s="1"/>
  <c r="O3" i="1" s="1"/>
  <c r="G2" i="1"/>
  <c r="M55" i="4" l="1"/>
  <c r="N55" i="4" s="1"/>
  <c r="O55" i="4" s="1"/>
  <c r="N26" i="4"/>
  <c r="O26" i="4" s="1"/>
  <c r="G979" i="1"/>
  <c r="I2" i="1"/>
  <c r="I4" i="2"/>
  <c r="M4" i="2" s="1"/>
  <c r="N4" i="2" s="1"/>
  <c r="O4" i="2" s="1"/>
  <c r="O46" i="2" s="1"/>
  <c r="G46" i="2"/>
  <c r="I634" i="3"/>
  <c r="M2" i="3"/>
  <c r="N2" i="3" s="1"/>
  <c r="O2" i="3" s="1"/>
  <c r="O634" i="3" s="1"/>
  <c r="I46" i="2"/>
  <c r="G634" i="3"/>
  <c r="G303" i="4"/>
  <c r="I180" i="4"/>
  <c r="I303" i="4" l="1"/>
  <c r="M180" i="4"/>
  <c r="N180" i="4" s="1"/>
  <c r="O180" i="4" s="1"/>
  <c r="O303" i="4" s="1"/>
  <c r="I979" i="1"/>
  <c r="M2" i="1"/>
  <c r="N2" i="1" s="1"/>
  <c r="O2" i="1" s="1"/>
  <c r="O979" i="1" s="1"/>
</calcChain>
</file>

<file path=xl/sharedStrings.xml><?xml version="1.0" encoding="utf-8"?>
<sst xmlns="http://schemas.openxmlformats.org/spreadsheetml/2006/main" count="11729" uniqueCount="1962">
  <si>
    <t>№ брони</t>
  </si>
  <si>
    <t>Номеров</t>
  </si>
  <si>
    <t>Гость</t>
  </si>
  <si>
    <t>Стоимость без комиссии</t>
  </si>
  <si>
    <t>Комиссия %</t>
  </si>
  <si>
    <t>Агент</t>
  </si>
  <si>
    <t>Стоимость с комиссией</t>
  </si>
  <si>
    <t>Допуслуги</t>
  </si>
  <si>
    <t>Стоимость для налога</t>
  </si>
  <si>
    <t>Наименование допуслуг</t>
  </si>
  <si>
    <t>Заезд</t>
  </si>
  <si>
    <t>Ночей</t>
  </si>
  <si>
    <t>Сут.ставка</t>
  </si>
  <si>
    <t>Метод</t>
  </si>
  <si>
    <t>Налог</t>
  </si>
  <si>
    <t>Выезд</t>
  </si>
  <si>
    <t>Источник</t>
  </si>
  <si>
    <t>Категория номера</t>
  </si>
  <si>
    <t>№ комнаты</t>
  </si>
  <si>
    <t>корпус</t>
  </si>
  <si>
    <t>Примечание</t>
  </si>
  <si>
    <t>20260701-8186-446674393</t>
  </si>
  <si>
    <t>55 САВОЧКИН</t>
  </si>
  <si>
    <t>Прямые бронирования (стойка) [Чайковский]</t>
  </si>
  <si>
    <t>УЛУЧШЕННЫЙ ДВУХМЕСТНЫЙ НОМЕР</t>
  </si>
  <si>
    <t>20260720-8186-450480368</t>
  </si>
  <si>
    <t>ADAM GASTAN</t>
  </si>
  <si>
    <t>Завтрак "Шведский стол"</t>
  </si>
  <si>
    <t>20260825-8186-461137645</t>
  </si>
  <si>
    <t>ALEKSEJS VAZENINS</t>
  </si>
  <si>
    <t>20260807-8186-433561161</t>
  </si>
  <si>
    <t>ALEXANDER SCHNEIDER, Кристина Винтер</t>
  </si>
  <si>
    <t>Яндекс.Путешествия [Чайковский]</t>
  </si>
  <si>
    <t>СТАНДАРТНЫЙ ДВУХМЕСТНЫЙ НОМЕР (МАНСАРДА)</t>
  </si>
  <si>
    <t>20260717-8186-393996392</t>
  </si>
  <si>
    <t>Anastasiya Chumanova, Михаил Сагаев</t>
  </si>
  <si>
    <t>ООО "БРОНИРОВАНИЕ ГОСТИНИЦ" (OSTROVOK) [Чайковский]</t>
  </si>
  <si>
    <t>ЛЮКС</t>
  </si>
  <si>
    <t>20260708-8186-448665817</t>
  </si>
  <si>
    <t>Anastassiya Dobrovolskaya</t>
  </si>
  <si>
    <t>СТАНДАРТНЫЙ ДВУХМЕСТНЫЙ НОМЕР</t>
  </si>
  <si>
    <t>20260712-8186-449535323</t>
  </si>
  <si>
    <t>ANDREAS POPP</t>
  </si>
  <si>
    <t>20260724-8186-452456263</t>
  </si>
  <si>
    <t>Andrei Lukashenko</t>
  </si>
  <si>
    <t>ЛЮКС ВТОРОЙ КОРПУС</t>
  </si>
  <si>
    <t>20260823-8186-458773575</t>
  </si>
  <si>
    <t>ANDREJS ANOSKO, LUCIJA ANOSKO</t>
  </si>
  <si>
    <t>ООО "КОМПАНИЯ БРОНЕВИК" [Чайковский]</t>
  </si>
  <si>
    <t>ПОЛУЛЮКС</t>
  </si>
  <si>
    <t>20260702-8186-441737998</t>
  </si>
  <si>
    <t>ANDREJS VOLKOVS, Мария Волкова</t>
  </si>
  <si>
    <t>ООО Тинькофф Путешествия [Чайковский]</t>
  </si>
  <si>
    <t>20260924-8186-466763458</t>
  </si>
  <si>
    <t>Annerose HILDA DORA Bannach</t>
  </si>
  <si>
    <t>TravelLine Booking Engine [Чайковский]</t>
  </si>
  <si>
    <t>20260727-8186-452690380</t>
  </si>
  <si>
    <t>ARKADIUSZ PLEWA</t>
  </si>
  <si>
    <t>СТАНДАРТНЫЙ ОДНОМЕСТНЫЙ НОМЕР</t>
  </si>
  <si>
    <t>20260720-8186-451844710</t>
  </si>
  <si>
    <t>ARTUR SWIESZEK</t>
  </si>
  <si>
    <t>20260817-8186-453479249</t>
  </si>
  <si>
    <t>ARTUR WLODARCZYK</t>
  </si>
  <si>
    <t>20260715-8186-450135316</t>
  </si>
  <si>
    <t>BARIS OTYAKMAZ</t>
  </si>
  <si>
    <t>20260813-8186-458193673</t>
  </si>
  <si>
    <t>Dmitrij Serov</t>
  </si>
  <si>
    <t>20260929-8186-467430618</t>
  </si>
  <si>
    <t>Giovanni Peressoni</t>
  </si>
  <si>
    <t>20260706-8186-447611282</t>
  </si>
  <si>
    <t>GREGOIRE PIERRE ALAIN FOREST</t>
  </si>
  <si>
    <t>20260906-8186-464012359</t>
  </si>
  <si>
    <t>Hao Wang</t>
  </si>
  <si>
    <t>Trip.com Group [Чайковский]</t>
  </si>
  <si>
    <t>20260904-8186-462864579</t>
  </si>
  <si>
    <t>IRENE PREDIGER, EUGEN PREDIGER</t>
  </si>
  <si>
    <t>20260922-8186-467631558</t>
  </si>
  <si>
    <t>IRYNA KOZLOVA</t>
  </si>
  <si>
    <t>20260917-8186-463133098</t>
  </si>
  <si>
    <t>IRYNA KOZLOVA, MARYIA PECHKUROVA</t>
  </si>
  <si>
    <t>продление номера — 8 000,00 ₽; Завтрак "Шведский стол"</t>
  </si>
  <si>
    <t>20260905-8186-463904028</t>
  </si>
  <si>
    <t>JACOBUS SCHONEVELD, WIKANDA SCHONEVELD</t>
  </si>
  <si>
    <t>20260706-8186-438572019</t>
  </si>
  <si>
    <t>KANTEERA CHAINUAL, Евгений Ханнанов</t>
  </si>
  <si>
    <t>20260731-8186-454688935</t>
  </si>
  <si>
    <t>Kayoko Meguro, Jun Meguro</t>
  </si>
  <si>
    <t>СЕМЕЙНЫЙ НОМЕР КАТЕГОРИИ "СТАНДАРТ" ВТОРОЙ КОРПУС</t>
  </si>
  <si>
    <t>20260904-8186-462864511</t>
  </si>
  <si>
    <t>LARISSA PAVLENKO, ANDREJ SCHULEPOW</t>
  </si>
  <si>
    <t>20260708-8186-448570692</t>
  </si>
  <si>
    <t>Lian Li</t>
  </si>
  <si>
    <t>20260727-8186-453517212</t>
  </si>
  <si>
    <t>LIYA VINOGRADOVA</t>
  </si>
  <si>
    <t>20260726-8186-453460339</t>
  </si>
  <si>
    <t>20260715-8186-415978195</t>
  </si>
  <si>
    <t>Manfred Kemmer, Алла Мальгина</t>
  </si>
  <si>
    <t>20260712-8186-449646004</t>
  </si>
  <si>
    <t>ozon сухоруков штраф</t>
  </si>
  <si>
    <t>20260908-8186-463674253</t>
  </si>
  <si>
    <t>Piotr ANATOL Wilk</t>
  </si>
  <si>
    <t>20260716-8186-450486693</t>
  </si>
  <si>
    <t>SERGEI SALTYKOV</t>
  </si>
  <si>
    <t>ООО "ХБ-ПРО" [Чайковский]</t>
  </si>
  <si>
    <t>20260823-8186-408908207</t>
  </si>
  <si>
    <t>SIARHEI HRECHKA</t>
  </si>
  <si>
    <t>20260720-8186-450480260</t>
  </si>
  <si>
    <t>TELMAN MUSAYEV</t>
  </si>
  <si>
    <t>20260920-8186-464587353</t>
  </si>
  <si>
    <t>TOMASZ MIKOS</t>
  </si>
  <si>
    <t>ООО «СБО» (Ростелеком) [Чайковский]</t>
  </si>
  <si>
    <t>20260806-8186-448675183</t>
  </si>
  <si>
    <t>TOMASZ PIOTR TROJAK</t>
  </si>
  <si>
    <t>20260704-8186-447653921</t>
  </si>
  <si>
    <t>VADIM JOSAN, MARIANA JOSAN</t>
  </si>
  <si>
    <t>продление номера — 5 600,00 ₽; Завтрак "Шведский стол"</t>
  </si>
  <si>
    <t>20260906-8186-449903524</t>
  </si>
  <si>
    <t>YUrij Borisenko, Nataliya Burtseva</t>
  </si>
  <si>
    <t>20260703-8186-446990671</t>
  </si>
  <si>
    <t>а Аня от ольги Агеевой</t>
  </si>
  <si>
    <t>20260701-8186-429047315</t>
  </si>
  <si>
    <t>Аделя Каримова</t>
  </si>
  <si>
    <t>20260919-8186-463926515</t>
  </si>
  <si>
    <t>Аида Щетинина, Валерия Сурич</t>
  </si>
  <si>
    <t>20260805-8186-449311826</t>
  </si>
  <si>
    <t>Александр Березин, ВАЛЕНТИНА БЕРЕЗИНА</t>
  </si>
  <si>
    <t>20260919-8186-458495849</t>
  </si>
  <si>
    <t>Александр Большаков, ТАТЬЯНА БОЛЬШАКОВА</t>
  </si>
  <si>
    <t>20260709-8186-430393656</t>
  </si>
  <si>
    <t>Александр Бугарев, Татьяна Бугарева</t>
  </si>
  <si>
    <t>ООО «Интернет Трэвел» (OZON) [Чайковский]</t>
  </si>
  <si>
    <t>20260903-8186-463463667</t>
  </si>
  <si>
    <t>Александр Бухвалов</t>
  </si>
  <si>
    <t>20260806-8186-429215981</t>
  </si>
  <si>
    <t>Александр Веретенников, ГАЛИНА ОЖМЕГОВА</t>
  </si>
  <si>
    <t>20260818-8186-443503370</t>
  </si>
  <si>
    <t>АЛЕКСАНДР ВЕРЯСОВ, ЕЛИЗАВЕТА ФЕДОТОВА</t>
  </si>
  <si>
    <t>20260703-8186-447191732</t>
  </si>
  <si>
    <t>Александр Вилинчук, Татьяна Вилинчук</t>
  </si>
  <si>
    <t>20260728-8186-453732694</t>
  </si>
  <si>
    <t>АЛЕКСАНДР ВОЛЕГОВ, ЮЛИЯ ВОЛЕГОВА</t>
  </si>
  <si>
    <t>20260714-8186-450056814</t>
  </si>
  <si>
    <t>Александр Ганин, Ольга Ганина</t>
  </si>
  <si>
    <t>20260930-8186-467154926</t>
  </si>
  <si>
    <t>АЛЕКСАНДР ДЕДКОВ</t>
  </si>
  <si>
    <t>20260811-8186-456346255</t>
  </si>
  <si>
    <t>аЛЕКСАНДР Дмитрук</t>
  </si>
  <si>
    <t>ООО "Эй энд Эй" [Чайковский]</t>
  </si>
  <si>
    <t>20260714-8186-448626753</t>
  </si>
  <si>
    <t>Александр Долганов</t>
  </si>
  <si>
    <t>20260729-8186-454154680</t>
  </si>
  <si>
    <t>АЛЕКСАНДР ДОЛГОВ</t>
  </si>
  <si>
    <t>20260924-8186-454705739</t>
  </si>
  <si>
    <t>Александр Казанников, Ирина Петроченко</t>
  </si>
  <si>
    <t>20260716-8186-421435887</t>
  </si>
  <si>
    <t>Александр Клименков, ОЛЬГА ГАВРИЛЕНКО</t>
  </si>
  <si>
    <t>20260812-8186-451471645</t>
  </si>
  <si>
    <t>Александр Кочетов, Ирина Емельянова</t>
  </si>
  <si>
    <t>20260727-8186-453458144</t>
  </si>
  <si>
    <t>Александр Лобанов</t>
  </si>
  <si>
    <t>20260930-8186-469017708</t>
  </si>
  <si>
    <t>20260920-8186-467150358</t>
  </si>
  <si>
    <t>Александр Ломоносов</t>
  </si>
  <si>
    <t>продление номера — 5 675,00 ₽; Завтрак "Шведский стол"</t>
  </si>
  <si>
    <t>20260901-8186-458501210</t>
  </si>
  <si>
    <t>Александр Максимов</t>
  </si>
  <si>
    <t>20260719-8186-447014870</t>
  </si>
  <si>
    <t>АЛЕКСАНДР МЕЛИХОВ</t>
  </si>
  <si>
    <t>ООО "АКАДЕМ-ОНЛАЙН" [Чайковский]</t>
  </si>
  <si>
    <t>20260928-8186-464745297</t>
  </si>
  <si>
    <t>АЛЕКСАНДР НЕПОМЯЩИЙ</t>
  </si>
  <si>
    <t>20260802-8186-429074020</t>
  </si>
  <si>
    <t>АЛЕКСАНДР НИКОЛАЕВ, ИРИНА КРУПЧАТНИКОВА</t>
  </si>
  <si>
    <t>ООО «Дубль Гис» (OTELLO) [Чайковский]</t>
  </si>
  <si>
    <t>20260920-8186-431075302</t>
  </si>
  <si>
    <t>Александр Платицын</t>
  </si>
  <si>
    <t>20260831-8186-461884701</t>
  </si>
  <si>
    <t>Александр Преснецов, Елизавета Скрябикова</t>
  </si>
  <si>
    <t>20260802-8186-438830698</t>
  </si>
  <si>
    <t>АЛЕКСАНДР ПРОСКУРНИН, СЕРГЕЙ ПРОСКУРНИН</t>
  </si>
  <si>
    <t>ООО "АЛЕАН ОТДЫХ" [Чайковский]</t>
  </si>
  <si>
    <t>meal_bf_buffet_1; meal_bf_buffet_1; Завтрак "Шведский стол"</t>
  </si>
  <si>
    <t>20260805-8186-451886641</t>
  </si>
  <si>
    <t>Александр Семенов, Ирина Сергеева</t>
  </si>
  <si>
    <t>20260714-8186-449199681</t>
  </si>
  <si>
    <t>Александр Соломкин</t>
  </si>
  <si>
    <t>20260724-8186-412232961</t>
  </si>
  <si>
    <t>АЛЕКСАНДР СПИРИДОНОВ, МАРЬЯНА СПИРИДОНОВА</t>
  </si>
  <si>
    <t>20260827-8186-461925646</t>
  </si>
  <si>
    <t>Александр Утюжников, Инна Утюжникова</t>
  </si>
  <si>
    <t>20260801-8186-439320336</t>
  </si>
  <si>
    <t>АЛЕКСАНДР ЯСТРЕБОВ, Ирина Ястребова</t>
  </si>
  <si>
    <t>20260801-8186-432117189</t>
  </si>
  <si>
    <t>АЛЕКСАНДРА ЕМЕЛЬЯНЕНКО, ИЛЬЯ ФАДЕЕНКО</t>
  </si>
  <si>
    <t>20260711-8186-439345595</t>
  </si>
  <si>
    <t>Александра Заруднева</t>
  </si>
  <si>
    <t>20260714-8186-449058458</t>
  </si>
  <si>
    <t>Александра Краковская</t>
  </si>
  <si>
    <t>20260808-8186-449681859</t>
  </si>
  <si>
    <t>Александра Крафт</t>
  </si>
  <si>
    <t>20260801-8186-427298055</t>
  </si>
  <si>
    <t>Александра Пилипенко</t>
  </si>
  <si>
    <t>20260924-8186-468296119</t>
  </si>
  <si>
    <t>Александра Реброва</t>
  </si>
  <si>
    <t>20260725-8186-413407903</t>
  </si>
  <si>
    <t>Александра Шевелева</t>
  </si>
  <si>
    <t>20260909-8186-464877594</t>
  </si>
  <si>
    <t>Алексей Анисимов</t>
  </si>
  <si>
    <t>20260921-8186-446871466</t>
  </si>
  <si>
    <t>Алексей Бавтрукевич</t>
  </si>
  <si>
    <t>20260918-8186-411171666</t>
  </si>
  <si>
    <t>Алексей Бобров, Мария Боброва</t>
  </si>
  <si>
    <t>20260905-8186-463872786</t>
  </si>
  <si>
    <t>Алексей Буланцев, Алла Гейслер</t>
  </si>
  <si>
    <t>20260814-8186-445727724</t>
  </si>
  <si>
    <t>Алексей Быков</t>
  </si>
  <si>
    <t>20260928-8186-468491445</t>
  </si>
  <si>
    <t>Алексей Власов</t>
  </si>
  <si>
    <t>20260801-8186-451401822</t>
  </si>
  <si>
    <t>Алексей Гладков, ОЛЬГА Михальченко</t>
  </si>
  <si>
    <t>20260708-8186-445371668</t>
  </si>
  <si>
    <t>Алексей Грахов</t>
  </si>
  <si>
    <t>20260715-8186-450339541</t>
  </si>
  <si>
    <t>Алексей Дегтярёв, Екатерина Дегтярёва, Олеся Дегтярёва</t>
  </si>
  <si>
    <t>20260713-8186-448221235</t>
  </si>
  <si>
    <t>Алексей Косарев</t>
  </si>
  <si>
    <t>20260712-8186-449256550</t>
  </si>
  <si>
    <t>алексей красоцкий, ольга красоцкая</t>
  </si>
  <si>
    <t>20260720-8186-451892506</t>
  </si>
  <si>
    <t>Алексей Манин</t>
  </si>
  <si>
    <t>20260718-8186-451155669</t>
  </si>
  <si>
    <t>Алексей Манин, Наталья Манина</t>
  </si>
  <si>
    <t>20260718-8186-448944338</t>
  </si>
  <si>
    <t>Алексей Митрохин</t>
  </si>
  <si>
    <t>20260907-8186-463206260</t>
  </si>
  <si>
    <t>Алексей Моисеев</t>
  </si>
  <si>
    <t>20260823-8186-458220929</t>
  </si>
  <si>
    <t>АЛЕКСЕЙ МОСКВИН</t>
  </si>
  <si>
    <t>20260709-8186-415694395</t>
  </si>
  <si>
    <t>Алексей Остроумов</t>
  </si>
  <si>
    <t>20260720-8186-451788457</t>
  </si>
  <si>
    <t>Алексей Познокос, МАРИАННА ГНЕЗДИЛОВА</t>
  </si>
  <si>
    <t>Завтрак "Шведский стол"; Поздний выезд — 3 338,00 ₽</t>
  </si>
  <si>
    <t>20260807-8186-452013498</t>
  </si>
  <si>
    <t>Алексей Поминов, Екатерина Карчевская</t>
  </si>
  <si>
    <t>ООО «ХОМЛИН ЛЭНД» (ПЕГАС) [Чайковский]</t>
  </si>
  <si>
    <t>20260901-8186-460163932</t>
  </si>
  <si>
    <t>Алексей Редькин</t>
  </si>
  <si>
    <t>ООО "ТРИВИО СЕРВИС" [Чайковский]</t>
  </si>
  <si>
    <t>20260913-8186-465050972</t>
  </si>
  <si>
    <t>Алексей Свистунов, Анна Киселёва</t>
  </si>
  <si>
    <t>20260630-8186-444837610</t>
  </si>
  <si>
    <t>АЛЕКСЕЙ СПИТЧЕНКО</t>
  </si>
  <si>
    <t>20260708-8186-448591389</t>
  </si>
  <si>
    <t>АЛЕКСЕЙ ТАРАСЕНКО</t>
  </si>
  <si>
    <t>20260815-8186-445668091</t>
  </si>
  <si>
    <t>Алексей Теребилов, Илона Теребилова</t>
  </si>
  <si>
    <t>20260808-8186-437797250</t>
  </si>
  <si>
    <t>Алексей Тихонов, Александра Тихонова</t>
  </si>
  <si>
    <t>20260921-8186-459405487</t>
  </si>
  <si>
    <t>Алена Полосенко</t>
  </si>
  <si>
    <t>20260917-8186-447353486</t>
  </si>
  <si>
    <t>АЛИНА ХОМЕНКО</t>
  </si>
  <si>
    <t>20260828-8186-456087582</t>
  </si>
  <si>
    <t>Алиса Лосс</t>
  </si>
  <si>
    <t>20260910-8186-427551341</t>
  </si>
  <si>
    <t>АЛИЯ ПОПОВА, Оксана Евсейкина</t>
  </si>
  <si>
    <t>20260715-8186-410045902</t>
  </si>
  <si>
    <t>Алла Соловьева, Александра Хрусталева</t>
  </si>
  <si>
    <t>Алла Шмеркевич, Татьяна Хорошко</t>
  </si>
  <si>
    <t>20260805-8186-410783185</t>
  </si>
  <si>
    <t>АЛФИНА ШАЙГАЯНОВА, РУФИНА ШАКИРОВА</t>
  </si>
  <si>
    <t>20260924-8186-466578898</t>
  </si>
  <si>
    <t>Альберт Волошок</t>
  </si>
  <si>
    <t>20260925-8186-457986183</t>
  </si>
  <si>
    <t>Альберт Нургазизов, Гузель Нургазизова</t>
  </si>
  <si>
    <t>20260919-8186-466759616</t>
  </si>
  <si>
    <t>АЛЬБИНА ШКИРЕНКОВА</t>
  </si>
  <si>
    <t>20260718-8186-450568992</t>
  </si>
  <si>
    <t>Амина Каримова, Эльвир Каримов</t>
  </si>
  <si>
    <t>20260702-8186-413960920</t>
  </si>
  <si>
    <t>Анастасия Васильева, Владимир Благодеров</t>
  </si>
  <si>
    <t>20260707-8186-436726301</t>
  </si>
  <si>
    <t>Анастасия Дмитриева</t>
  </si>
  <si>
    <t>20260712-8186-436726626</t>
  </si>
  <si>
    <t>20260814-8186-457613719</t>
  </si>
  <si>
    <t>Анастасия Екушевская, Вячеслав Гольцов</t>
  </si>
  <si>
    <t>20260907-8186-417706325</t>
  </si>
  <si>
    <t>Анастасия Ковальчук</t>
  </si>
  <si>
    <t>20260904-8186-459337716</t>
  </si>
  <si>
    <t>Анастасия Корчинская</t>
  </si>
  <si>
    <t>20260915-8186-455448822</t>
  </si>
  <si>
    <t>Анастасия Коса</t>
  </si>
  <si>
    <t>ООО "УК ГЦБ и Т" [Чайковский]</t>
  </si>
  <si>
    <t>Завтрак; Завтрак "Шведский стол"</t>
  </si>
  <si>
    <t>20260805-8186-455054360</t>
  </si>
  <si>
    <t>Анастасия Крауялис</t>
  </si>
  <si>
    <t>20260828-8186-441887240</t>
  </si>
  <si>
    <t>Анастасия Крицкова</t>
  </si>
  <si>
    <t>20260829-8186-460805833</t>
  </si>
  <si>
    <t>Анастасия Левкина, Андрей Левкин</t>
  </si>
  <si>
    <t>20260810-8186-457560555</t>
  </si>
  <si>
    <t>Анастасия Миланская</t>
  </si>
  <si>
    <t>20260715-8186-423875318</t>
  </si>
  <si>
    <t>Анастасия Михайлова, Анна Юрчук</t>
  </si>
  <si>
    <t>20260811-8186-457781207</t>
  </si>
  <si>
    <t>Анастасия Можайская</t>
  </si>
  <si>
    <t>20260812-8186-457335221</t>
  </si>
  <si>
    <t>Анастасия Рочкус, Ирина Морозюк</t>
  </si>
  <si>
    <t>продление номера — 5 600,00 ₽; продление номера — 5 600,00 ₽; продление номера — 5 600,00 ₽; Завтрак "Шведский стол"</t>
  </si>
  <si>
    <t>20260731-8186-454546625</t>
  </si>
  <si>
    <t>Анастасия Черепанова, Владислав Гудимов</t>
  </si>
  <si>
    <t>20260728-8186-448905887</t>
  </si>
  <si>
    <t>20260802-8186-452836411</t>
  </si>
  <si>
    <t>АНАСТАСИЯ Чурилова</t>
  </si>
  <si>
    <t>20260712-8186-440208436</t>
  </si>
  <si>
    <t>Анастасия Шандра, Ярослав Доброцветов</t>
  </si>
  <si>
    <t>20260917-8186-464301061</t>
  </si>
  <si>
    <t>Анастасия Ювченко</t>
  </si>
  <si>
    <t>20260821-8186-458371765</t>
  </si>
  <si>
    <t>АНАСТАСИЯ ЯСЕВА</t>
  </si>
  <si>
    <t>20260719-8186-450656170</t>
  </si>
  <si>
    <t>АНАТОЛИЙ ВЕРЕВКИН</t>
  </si>
  <si>
    <t>20260909-8186-464665870</t>
  </si>
  <si>
    <t>АНАТОЛИЙ ДАНИЛОВИЧ, Анастасия Коневина</t>
  </si>
  <si>
    <t>продление номера — 3 360,00 ₽; Завтрак "Шведский стол"</t>
  </si>
  <si>
    <t>20260902-8186-457424866</t>
  </si>
  <si>
    <t>Анатолий Урюпов</t>
  </si>
  <si>
    <t>20260911-8186-464289251</t>
  </si>
  <si>
    <t>Андрей Беляев</t>
  </si>
  <si>
    <t>20260916-8186-466082253</t>
  </si>
  <si>
    <t>Андрей Бондарчук</t>
  </si>
  <si>
    <t>20260930-8186-468765445</t>
  </si>
  <si>
    <t>Андрей Внуков, Ольга Внукова</t>
  </si>
  <si>
    <t>20260729-8186-452721975</t>
  </si>
  <si>
    <t>АНДРЕЙ ВОРНОВСКИЙ</t>
  </si>
  <si>
    <t>20260928-8186-468298353</t>
  </si>
  <si>
    <t>20260930-8186-467523772</t>
  </si>
  <si>
    <t>Андрей Голубов, Дарья Коломыц</t>
  </si>
  <si>
    <t>20260913-8186-455450305</t>
  </si>
  <si>
    <t>Андрей Дайхес</t>
  </si>
  <si>
    <t>Завтрак "Шведский стол"; Поздний выезд — 5 675,00 ₽</t>
  </si>
  <si>
    <t>20260710-8186-449153360</t>
  </si>
  <si>
    <t>АНДРЕЙ ДОБРЯКОВ, Алина Жукова</t>
  </si>
  <si>
    <t>20260718-8186-451312706</t>
  </si>
  <si>
    <t>АНДРЕЙ ДОБРЯКОВ, АЛИНА ЖУКОВА</t>
  </si>
  <si>
    <t>20260710-8186-448524052</t>
  </si>
  <si>
    <t>Андрей Дьяков</t>
  </si>
  <si>
    <t>20260724-8186-452860606</t>
  </si>
  <si>
    <t>20260821-8186-459665197</t>
  </si>
  <si>
    <t>20260801-8186-417315012</t>
  </si>
  <si>
    <t>АНДРЕЙ ЕЛИСТРАТОВ, ЕЛИЗАВЕТА БРЫНЗА</t>
  </si>
  <si>
    <t>20260829-8186-455908212</t>
  </si>
  <si>
    <t>АНДРЕЙ ЖАРОВ, КСЕНИЯ ЖАРОВА</t>
  </si>
  <si>
    <t>20260729-8186-446530322</t>
  </si>
  <si>
    <t>АНДРЕЙ ЖУКОВ, ГЕОРГИЙ БУГЕЛЬСКИЙ</t>
  </si>
  <si>
    <t>20260701-8186-405717237</t>
  </si>
  <si>
    <t>Андрей Зайцев, Наталья Зайцева</t>
  </si>
  <si>
    <t>20260827-8186-451798611</t>
  </si>
  <si>
    <t>Андрей Капралов, Ксения Ким</t>
  </si>
  <si>
    <t>Завтрак; продление номера — 30 800,00 ₽; Завтрак "Шведский стол"</t>
  </si>
  <si>
    <t>20260807-8186-441275849</t>
  </si>
  <si>
    <t>Андрей Кирюхин, Анастасия Кирюхина</t>
  </si>
  <si>
    <t>20260817-8186-456950526</t>
  </si>
  <si>
    <t>Андрей Красавцев</t>
  </si>
  <si>
    <t>20260722-8186-452174809</t>
  </si>
  <si>
    <t>Андрей Лукашенко</t>
  </si>
  <si>
    <t>20260726-8186-453324720</t>
  </si>
  <si>
    <t>20260920-8186-466531471</t>
  </si>
  <si>
    <t>Андрей Машков</t>
  </si>
  <si>
    <t>20260720-8186-451695475</t>
  </si>
  <si>
    <t>АНДРЕЙ МОХНОВ</t>
  </si>
  <si>
    <t>20260727-8186-453604137</t>
  </si>
  <si>
    <t>Андрей Мохнов</t>
  </si>
  <si>
    <t>20260803-8186-454362212</t>
  </si>
  <si>
    <t>андрей мохнов</t>
  </si>
  <si>
    <t>20260810-8186-457354060</t>
  </si>
  <si>
    <t>20260817-8186-459203359</t>
  </si>
  <si>
    <t>20260903-8186-463391238</t>
  </si>
  <si>
    <t>20260907-8186-464277168</t>
  </si>
  <si>
    <t>20260914-8186-465856722</t>
  </si>
  <si>
    <t>Андрей МОХНОВ</t>
  </si>
  <si>
    <t>20260817-8186-454348210</t>
  </si>
  <si>
    <t>Андрей Назарьев</t>
  </si>
  <si>
    <t>Андрей Оклеев</t>
  </si>
  <si>
    <t>20260817-8186-436077872</t>
  </si>
  <si>
    <t>Андрей Полежаев, ТАТЬЯНА ПОЛЕЖАЕВА</t>
  </si>
  <si>
    <t>20260908-8186-456428265</t>
  </si>
  <si>
    <t>Андрей Ренжин</t>
  </si>
  <si>
    <t>продление номера — 800,00 ₽; продление номера — 500,00 ₽; Завтрак "Шведский стол"</t>
  </si>
  <si>
    <t>20260829-8186-457112567</t>
  </si>
  <si>
    <t>Андрей Садовский, Софья Садовская</t>
  </si>
  <si>
    <t>20260811-8186-423592923</t>
  </si>
  <si>
    <t>Андрей Соловьев, Ирина Соловьева</t>
  </si>
  <si>
    <t>ООО "ОНЛАЙН ИННОВАЦИИ" (101 Отель) [Чайковский]</t>
  </si>
  <si>
    <t>20260818-8186-443505889</t>
  </si>
  <si>
    <t>Андрей Федотов, Светлана Федотова</t>
  </si>
  <si>
    <t>20260822-8186-448832829</t>
  </si>
  <si>
    <t>Андрей Федянин, ОЛЬГА МИРОНЮК</t>
  </si>
  <si>
    <t>20260916-8186-466291736</t>
  </si>
  <si>
    <t>Андрей Феоктистов</t>
  </si>
  <si>
    <t>20260919-8186-466617844</t>
  </si>
  <si>
    <t>Андриан Куликов</t>
  </si>
  <si>
    <t>20260906-8186-459280210</t>
  </si>
  <si>
    <t>Анна Александровна Курносова</t>
  </si>
  <si>
    <t>20260817-8186-442297769</t>
  </si>
  <si>
    <t>Анна Андреева</t>
  </si>
  <si>
    <t>20260825-8186-440853437</t>
  </si>
  <si>
    <t>Анна Бродская, Михаил Шенбергер</t>
  </si>
  <si>
    <t>20260926-8186-463824819</t>
  </si>
  <si>
    <t>АННА БЫКОВА, ТАТЬЯНА НИКИФОРОВА</t>
  </si>
  <si>
    <t>ООО "Библио-Глобус Туроператор" [Чайковский]</t>
  </si>
  <si>
    <t>20260710-8186-443768768</t>
  </si>
  <si>
    <t>Анна Волхонская, Алиса Ситало</t>
  </si>
  <si>
    <t>20260811-8186-417991278</t>
  </si>
  <si>
    <t>Анна ГУБАРЕВА</t>
  </si>
  <si>
    <t>20260814-8186-418482615</t>
  </si>
  <si>
    <t>Анна Данченко, Гульнара Мяльдзина</t>
  </si>
  <si>
    <t>20260826-8186-461070085</t>
  </si>
  <si>
    <t>АННА ДЕМИДОВА</t>
  </si>
  <si>
    <t>20260820-8186-455185910</t>
  </si>
  <si>
    <t>Анна Дмитриева</t>
  </si>
  <si>
    <t>20260729-8186-446530199</t>
  </si>
  <si>
    <t>АННА ЖУКОВА, Мария Жукова</t>
  </si>
  <si>
    <t>20260713-8186-440314213</t>
  </si>
  <si>
    <t>АННА ЗАВИДОВА, ЗОЯ ЗАВИДОВА</t>
  </si>
  <si>
    <t>20260711-8186-449029236</t>
  </si>
  <si>
    <t>Анна Иохим</t>
  </si>
  <si>
    <t>продление номера — 500,00 ₽</t>
  </si>
  <si>
    <t>20260824-8186-427406859</t>
  </si>
  <si>
    <t>Анна Киташина, Ксения Киташина</t>
  </si>
  <si>
    <t>20260711-8186-428824372</t>
  </si>
  <si>
    <t>Анна Кубышкина, Татьяна Жукова</t>
  </si>
  <si>
    <t>20260825-8186-456275651</t>
  </si>
  <si>
    <t>Анна Курносова</t>
  </si>
  <si>
    <t>20260726-8186-434777679</t>
  </si>
  <si>
    <t>Анна Леер, Владимир Леер</t>
  </si>
  <si>
    <t>20260710-8186-441330666</t>
  </si>
  <si>
    <t>Анна Лейнер</t>
  </si>
  <si>
    <t>20260924-8186-458488381</t>
  </si>
  <si>
    <t>АННА МАНСУР</t>
  </si>
  <si>
    <t>20260925-8186-465097921</t>
  </si>
  <si>
    <t>Анна Милова, Георгий ТИМОФЕЕВ</t>
  </si>
  <si>
    <t>20260924-8186-464881072</t>
  </si>
  <si>
    <t>Анна Назаркина</t>
  </si>
  <si>
    <t>20260818-8186-448584820</t>
  </si>
  <si>
    <t>Анна Наумова, Кирилл Шокарев</t>
  </si>
  <si>
    <t>20260925-8186-464768138</t>
  </si>
  <si>
    <t>Анна Новикова</t>
  </si>
  <si>
    <t>20260730-8186-451556670</t>
  </si>
  <si>
    <t>Анна Огородникова</t>
  </si>
  <si>
    <t>20260813-8186-449476892</t>
  </si>
  <si>
    <t>Анна Поздеева</t>
  </si>
  <si>
    <t>20260921-8186-467014328</t>
  </si>
  <si>
    <t>Анна Резинько, Михаил Резинько</t>
  </si>
  <si>
    <t>20260723-8186-449951672</t>
  </si>
  <si>
    <t>Анна Семашко, Кирилл Михайлов</t>
  </si>
  <si>
    <t>продление номера — 3 560,00 ₽; Завтрак "Шведский стол"</t>
  </si>
  <si>
    <t>20260907-8186-434979957</t>
  </si>
  <si>
    <t>Анна Стом</t>
  </si>
  <si>
    <t>20260701-8186-445465297</t>
  </si>
  <si>
    <t>АННА ТЕЛЕГИНА</t>
  </si>
  <si>
    <t>20260817-8186-436203098</t>
  </si>
  <si>
    <t>Анна Третьякова</t>
  </si>
  <si>
    <t>продление номера — 4 500,00 ₽; Завтрак "Шведский стол"</t>
  </si>
  <si>
    <t>20260831-8186-454299326</t>
  </si>
  <si>
    <t>Анна Цыркова</t>
  </si>
  <si>
    <t>20260727-8186-452904323</t>
  </si>
  <si>
    <t>Анна Чернова</t>
  </si>
  <si>
    <t>20260902-8186-463008969</t>
  </si>
  <si>
    <t>АННА ЧЕРНОВА</t>
  </si>
  <si>
    <t>20260929-8186-469009651</t>
  </si>
  <si>
    <t>20260922-8186-467585284</t>
  </si>
  <si>
    <t>Антон Кальвинов</t>
  </si>
  <si>
    <t>20260807-8186-454714281</t>
  </si>
  <si>
    <t>Антон Климин</t>
  </si>
  <si>
    <t>20260922-8186-466199429</t>
  </si>
  <si>
    <t>АНТОН КУЗЬМИН</t>
  </si>
  <si>
    <t>Завтрак "Шведский стол"; Ранний заезд — 9 307,00 ₽</t>
  </si>
  <si>
    <t>20260712-8186-420926544</t>
  </si>
  <si>
    <t>Антон Левкович, ИРИНА ЛЕВКОВИЧ</t>
  </si>
  <si>
    <t>20260915-8186-462867776</t>
  </si>
  <si>
    <t>Антон Панарин, Елена Гущина</t>
  </si>
  <si>
    <t>20260713-8186-448881093</t>
  </si>
  <si>
    <t>Антон Порядин</t>
  </si>
  <si>
    <t>20260806-8186-450640950</t>
  </si>
  <si>
    <t>АНТОН СЕМЕНЦОВ</t>
  </si>
  <si>
    <t>ООО «12Т» (ранее ONE TWO TRIP) [Чайковский]</t>
  </si>
  <si>
    <t>20260728-8186-452928899</t>
  </si>
  <si>
    <t>Антон Тузов</t>
  </si>
  <si>
    <t>20260723-8186-439560864</t>
  </si>
  <si>
    <t>Антон Чуйко, Варвара Соловьева</t>
  </si>
  <si>
    <t>20260711-8186-447668511</t>
  </si>
  <si>
    <t>Ариадна Рокоссовская, Юрий Лепский</t>
  </si>
  <si>
    <t>20260904-8186-461720395</t>
  </si>
  <si>
    <t>Арина Глебова</t>
  </si>
  <si>
    <t>20260824-8186-408385125</t>
  </si>
  <si>
    <t>Арина Николаенкова</t>
  </si>
  <si>
    <t>20260929-8186-467723154</t>
  </si>
  <si>
    <t>Аркадий Лурье, Ангелина Лурье</t>
  </si>
  <si>
    <t>20260728-8186-453751353</t>
  </si>
  <si>
    <t>аркадий плява</t>
  </si>
  <si>
    <t>20260925-8186-468345543</t>
  </si>
  <si>
    <t>Арсен Силанян, Юлия Егорова</t>
  </si>
  <si>
    <t>20260807-8186-455506727</t>
  </si>
  <si>
    <t>Арсений Молотков, Екатерина Молоткова</t>
  </si>
  <si>
    <t>20260821-8186-445193379</t>
  </si>
  <si>
    <t>Артем Белоногов</t>
  </si>
  <si>
    <t>20260822-8186-445188441</t>
  </si>
  <si>
    <t>20260930-8186-466726157</t>
  </si>
  <si>
    <t>АРТЕМ ВОРОБЕЙ-РОМАНОВ</t>
  </si>
  <si>
    <t>20260922-8186-467596417</t>
  </si>
  <si>
    <t>Артем Дертев, Виринея Дертева</t>
  </si>
  <si>
    <t>20260727-8186-447561905</t>
  </si>
  <si>
    <t>Артём Зельдич, Анастасия Кондратьева</t>
  </si>
  <si>
    <t>20260803-8186-450274713</t>
  </si>
  <si>
    <t>Артем Кавалерян</t>
  </si>
  <si>
    <t>продление номера — 2 640,00 ₽; Завтрак "Шведский стол"</t>
  </si>
  <si>
    <t>20260828-8186-459849342</t>
  </si>
  <si>
    <t>Артём Калинин, Александра Конторина</t>
  </si>
  <si>
    <t>20260918-8186-466399590</t>
  </si>
  <si>
    <t>АРТЁМ КИРИЧЕНКО, Виолетта Хисамова</t>
  </si>
  <si>
    <t>20260727-8186-449472645</t>
  </si>
  <si>
    <t>Артем Лисичкин, Полина Григорьева</t>
  </si>
  <si>
    <t>20260829-8186-462311294</t>
  </si>
  <si>
    <t>Артем Соколовский, ЮЛИЯ СОКОЛОВСКАЯ</t>
  </si>
  <si>
    <t>20260717-8186-443674528</t>
  </si>
  <si>
    <t>АРТЕМ СПИВАКОВ, ЭММА СПИВАКОВА</t>
  </si>
  <si>
    <t>20260730-8186-451142955</t>
  </si>
  <si>
    <t>Артём Шкилёв</t>
  </si>
  <si>
    <t>20260911-8186-464717084</t>
  </si>
  <si>
    <t>Артур Абуляев</t>
  </si>
  <si>
    <t>20260830-8186-462320006</t>
  </si>
  <si>
    <t>АРХИП ЗАМОСКОВНЫЙ</t>
  </si>
  <si>
    <t>20260830-8186-462361686</t>
  </si>
  <si>
    <t>Ася Абрамова</t>
  </si>
  <si>
    <t>продление номера — 2 560,00 ₽; Завтрак "Шведский стол"</t>
  </si>
  <si>
    <t>20260816-8186-458968810</t>
  </si>
  <si>
    <t>Ахмед Гамзатов, Наталья Воробьёва</t>
  </si>
  <si>
    <t>20260703-8186-447441430</t>
  </si>
  <si>
    <t>Баатр Лиджиев, Виктория Лиджиева</t>
  </si>
  <si>
    <t>20260630-8186-444910095</t>
  </si>
  <si>
    <t>Булат Зарипов, САФИНА ЗАРИПОВА</t>
  </si>
  <si>
    <t>Завтрак; продление номера — 6 000,00 ₽; Завтрак "Шведский стол"</t>
  </si>
  <si>
    <t>20260903-8186-463232143</t>
  </si>
  <si>
    <t>Вадим Галий</t>
  </si>
  <si>
    <t>20260905-8186-462987029</t>
  </si>
  <si>
    <t>Вадим Заречный, Мария Заречная</t>
  </si>
  <si>
    <t>20260808-8186-430692839</t>
  </si>
  <si>
    <t>Вадим Кравков, Ольга Добродеева</t>
  </si>
  <si>
    <t>продление номера — 600,00 ₽; Завтрак "Шведский стол"</t>
  </si>
  <si>
    <t>20260710-8186-449282931</t>
  </si>
  <si>
    <t>вадим Макаренко</t>
  </si>
  <si>
    <t>20260731-8186-450013552</t>
  </si>
  <si>
    <t>Вадим Сосков, Кирилл Балуев</t>
  </si>
  <si>
    <t>20260717-8186-450249391</t>
  </si>
  <si>
    <t>Вадим Стародубов</t>
  </si>
  <si>
    <t>20260820-8186-429042947</t>
  </si>
  <si>
    <t>Валентин Классен, Светлана Классен</t>
  </si>
  <si>
    <t>20260907-8186-418353081</t>
  </si>
  <si>
    <t>Валентина Кустарева</t>
  </si>
  <si>
    <t>20260907-8186-452894032</t>
  </si>
  <si>
    <t>ВАЛЕНТИНА ХРОМОВА, ИРИНА ШАФИЕВА</t>
  </si>
  <si>
    <t>продление номера — 4 000,00 ₽; Завтрак "Шведский стол"</t>
  </si>
  <si>
    <t>20260807-8186-443876865</t>
  </si>
  <si>
    <t>ВАЛЕРИЙ ЖИЛИН, Марина Жилина</t>
  </si>
  <si>
    <t>20260629-8186-437245802</t>
  </si>
  <si>
    <t>Валерий Марунич</t>
  </si>
  <si>
    <t>20260827-8186-460711943</t>
  </si>
  <si>
    <t>Валерий Трач, Екатерина Можайская</t>
  </si>
  <si>
    <t>продление номера — 3 000,00 ₽</t>
  </si>
  <si>
    <t>20260910-8186-463566252</t>
  </si>
  <si>
    <t>ВАЛЕРИЙ ШАЛАЕВ, АЛЛА ШАЛАЕВА</t>
  </si>
  <si>
    <t>продление номера — 7 425,00 ₽; Завтрак "Шведский стол"</t>
  </si>
  <si>
    <t>20260901-8186-421880912</t>
  </si>
  <si>
    <t>ВАЛЕРИЯ ЛОГИНОВА, СОФИЯ ЛОГИНОВА</t>
  </si>
  <si>
    <t>20260824-8186-451489646</t>
  </si>
  <si>
    <t>Варвара Белоусова</t>
  </si>
  <si>
    <t>20260928-8186-468485371</t>
  </si>
  <si>
    <t>Вардан Есоян</t>
  </si>
  <si>
    <t>20260811-8186-455189264</t>
  </si>
  <si>
    <t>ВАсилий Козин, Марина Мицик</t>
  </si>
  <si>
    <t>20260811-8186-456721547</t>
  </si>
  <si>
    <t>Василий Лаптев, мария Лаптева</t>
  </si>
  <si>
    <t>20260716-8186-439058294</t>
  </si>
  <si>
    <t>ВАСИЛИЙ ЛИМАНСКИЙ, АЛЛА ЛИМАНСКАЯ, ЛЕОНИД ЛИМАНСКИЙ</t>
  </si>
  <si>
    <t>продление номера — 8 400,00 ₽; Завтрак "Шведский стол"</t>
  </si>
  <si>
    <t>20260815-8186-458848369</t>
  </si>
  <si>
    <t>Василий Федоров, Юлия Федорова</t>
  </si>
  <si>
    <t>20260907-8186-458413850</t>
  </si>
  <si>
    <t>ВЕНЕРА Мкртычян, ТАТЬЯНА Жидкова</t>
  </si>
  <si>
    <t>20260812-8186-457461972</t>
  </si>
  <si>
    <t>Вера Аксенова, Иван Васильев</t>
  </si>
  <si>
    <t>20260801-8186-431054708</t>
  </si>
  <si>
    <t>ВЕРА БАКШИЦКАЯ, АННА АНТОНОВА</t>
  </si>
  <si>
    <t>20260701-8186-445037030</t>
  </si>
  <si>
    <t>Вера Веселова</t>
  </si>
  <si>
    <t>20260925-8186-468362135</t>
  </si>
  <si>
    <t>Вера Голубь</t>
  </si>
  <si>
    <t>20260706-8186-447621903</t>
  </si>
  <si>
    <t>Вера Скитыба</t>
  </si>
  <si>
    <t>20260918-8186-461156942</t>
  </si>
  <si>
    <t>ВЕРОНИКА ВОЛКОВА, НИКОЛАЙ КАРАПЧЕЕВ</t>
  </si>
  <si>
    <t>продление номера — 4 000,00 ₽; Завтрак "Шведский стол"; Поздний выезд — 6 700,00 ₽</t>
  </si>
  <si>
    <t>20260901-8186-461814037</t>
  </si>
  <si>
    <t>Вероника Левина</t>
  </si>
  <si>
    <t>20260722-8186-423776337</t>
  </si>
  <si>
    <t>Вероника Новик, Роман Хвостов</t>
  </si>
  <si>
    <t>20260809-8186-453143190</t>
  </si>
  <si>
    <t>ВЕРОНИКА СЕРЕБРЯКОВА</t>
  </si>
  <si>
    <t>20260710-8186-449179588</t>
  </si>
  <si>
    <t>Виктор Дьяков</t>
  </si>
  <si>
    <t>20260822-8186-425651545</t>
  </si>
  <si>
    <t>Виктор Дюков, Лариса Дюкова</t>
  </si>
  <si>
    <t>20260810-8186-439226204</t>
  </si>
  <si>
    <t>ВИКТОР МАРТЫНОВ</t>
  </si>
  <si>
    <t>20260721-8186-448633630</t>
  </si>
  <si>
    <t>Виктор Распутин</t>
  </si>
  <si>
    <t>продление номера — 960,00 ₽; Завтрак "Шведский стол"</t>
  </si>
  <si>
    <t>20260712-8186-449238818</t>
  </si>
  <si>
    <t>ВИКТОР САЛИВОНЕНКО</t>
  </si>
  <si>
    <t>20260711-8186-431323267</t>
  </si>
  <si>
    <t>Виктор Соломенцев</t>
  </si>
  <si>
    <t>20260911-8186-427435236</t>
  </si>
  <si>
    <t>Виктория Ветренко, АНАСТАСИЯ ХАБАРОВА</t>
  </si>
  <si>
    <t>20260917-8186-465935315</t>
  </si>
  <si>
    <t>Виктория Гриценко</t>
  </si>
  <si>
    <t>20260729-8186-451492736</t>
  </si>
  <si>
    <t>Виктория Квинт</t>
  </si>
  <si>
    <t>20260818-8186-422878428</t>
  </si>
  <si>
    <t>ВИКТОРИЯ НИКОЛАЕВА, АНДРЕЙ НИКОЛАЕВ</t>
  </si>
  <si>
    <t>20260819-8186-452060793</t>
  </si>
  <si>
    <t>Виталий Быков, Алина Быкова</t>
  </si>
  <si>
    <t>20260727-8186-442199480</t>
  </si>
  <si>
    <t>Виталий Давыдов, Анастасия Королева</t>
  </si>
  <si>
    <t>20260919-8186-459516081</t>
  </si>
  <si>
    <t>Виталий Игумнов</t>
  </si>
  <si>
    <t>20260702-8186-445307388</t>
  </si>
  <si>
    <t>Виталина Никифоренко, Андрей Никифоренко</t>
  </si>
  <si>
    <t>20260708-8186-448546782</t>
  </si>
  <si>
    <t>ВИТАЛИЯ МИТРЯЕВА, ALEKSEJS VAZENINS</t>
  </si>
  <si>
    <t>20260823-8186-458774122</t>
  </si>
  <si>
    <t>Виталия Митряева, ALEKSEJS VAZENINS</t>
  </si>
  <si>
    <t>20260925-8186-468376304</t>
  </si>
  <si>
    <t>20260902-8186-458677364</t>
  </si>
  <si>
    <t>ВЛАДИМИР ГРИГОРЬЕВ, ВАСИЛИСА ГРИГОРЬЕВА</t>
  </si>
  <si>
    <t>20260705-8186-443519477</t>
  </si>
  <si>
    <t>Владимир Леляков, Людмила Лелякова</t>
  </si>
  <si>
    <t>20260802-8186-436566081</t>
  </si>
  <si>
    <t>Владимир Лысак, ЛАРИСА ЛЫСАК</t>
  </si>
  <si>
    <t>20260913-8186-455450648</t>
  </si>
  <si>
    <t>Владимир Мареев</t>
  </si>
  <si>
    <t>20260911-8186-429110332</t>
  </si>
  <si>
    <t>ВЛАДИМИР МОРОЗОВ, ИРИНА МОРОЗОВА</t>
  </si>
  <si>
    <t>20260723-8186-447820200</t>
  </si>
  <si>
    <t>Владимир Переверзев, Инна Переверзева</t>
  </si>
  <si>
    <t>20260921-8186-465754536</t>
  </si>
  <si>
    <t>Владимир Платонов</t>
  </si>
  <si>
    <t>20260716-8186-449844870</t>
  </si>
  <si>
    <t>Владимир Преображенский</t>
  </si>
  <si>
    <t>20260905-8186-456371079</t>
  </si>
  <si>
    <t>Владимир Сагадиев, Эльвира Идиятуллина</t>
  </si>
  <si>
    <t>20260809-8186-451108107</t>
  </si>
  <si>
    <t>Владимир Серебренный, Елена Серебренная</t>
  </si>
  <si>
    <t>20260809-8186-455020540</t>
  </si>
  <si>
    <t>Владимир Скрипкин, ОЛЕСЯ ГАЛАНОВА</t>
  </si>
  <si>
    <t>20260924-8186-466459177</t>
  </si>
  <si>
    <t>Владимир Туров</t>
  </si>
  <si>
    <t>20260820-8186-457770556</t>
  </si>
  <si>
    <t>ВЛАДИМИР ХРУСТАЛЕВ, АЛИНА ХРУСТАЛЕВА</t>
  </si>
  <si>
    <t>20260819-8186-459426235</t>
  </si>
  <si>
    <t>Владимир Чебан</t>
  </si>
  <si>
    <t>20260730-8186-453823911</t>
  </si>
  <si>
    <t>Владимир Чудинов, Татьяна Чудинова</t>
  </si>
  <si>
    <t>Завтрак "Шведский стол"; Поздний выезд — 2 960,00 ₽</t>
  </si>
  <si>
    <t>20260805-8186-456094227</t>
  </si>
  <si>
    <t>Владислав Догадин, ИННА ВАРГИНА</t>
  </si>
  <si>
    <t>20260821-8186-458016331</t>
  </si>
  <si>
    <t>ВЛАДИСЛАВ КОТЕНКО, ВИКТОРИЯ КОТЕНКО</t>
  </si>
  <si>
    <t>20260704-8186-442805120</t>
  </si>
  <si>
    <t>Владислав Фрол</t>
  </si>
  <si>
    <t>20260919-8186-461966803</t>
  </si>
  <si>
    <t>ВЛАДИСЛАВ ШУЛЯКОВСКИЙ, Анастасия Бальчюнайте</t>
  </si>
  <si>
    <t>20260728-8186-448644670</t>
  </si>
  <si>
    <t>Вячеслав Бойков, Юлия Бойкова</t>
  </si>
  <si>
    <t>20260817-8186-450378148</t>
  </si>
  <si>
    <t>Вячеслав Горбунов</t>
  </si>
  <si>
    <t>20260927-8186-462083511</t>
  </si>
  <si>
    <t>Вячеслав Жарников</t>
  </si>
  <si>
    <t>20260724-8186-452306866</t>
  </si>
  <si>
    <t>ВЯЧЕСЛАВ ЛАЗАРЕВ, АННА ЛАЗАРЕВА</t>
  </si>
  <si>
    <t>20260719-8186-446751193</t>
  </si>
  <si>
    <t>Вячеслав Осипов</t>
  </si>
  <si>
    <t>20260825-8186-444275504</t>
  </si>
  <si>
    <t>Вячеслав Смирнов, МАРИЯ УСТЕНКО</t>
  </si>
  <si>
    <t>дополнительное место для ребенка — 2 800,00 ₽; продление номера — 5 600,00 ₽; Завтрак "Шведский стол"</t>
  </si>
  <si>
    <t>20260704-8186-405164282</t>
  </si>
  <si>
    <t>ВЯЧЕСЛАВ СУНГУРОВ, Елена Сунгурова</t>
  </si>
  <si>
    <t>20260729-8186-400177380</t>
  </si>
  <si>
    <t>ВЯЧЕСЛАВ ТКАЧЕВ, ВЕРА Скворцова</t>
  </si>
  <si>
    <t>20260721-8186-426049066</t>
  </si>
  <si>
    <t>Галина Лещева</t>
  </si>
  <si>
    <t>20260821-8186-458221934</t>
  </si>
  <si>
    <t>ГАЛИНА ЛУКЬЯНОВА, ТИМОФЕЙ КОТАРЕВ</t>
  </si>
  <si>
    <t>20260820-8186-458200934</t>
  </si>
  <si>
    <t>Галуст Шахбазян</t>
  </si>
  <si>
    <t>20260719-8186-450387635</t>
  </si>
  <si>
    <t>Гельфида Хасаншина, Гусман Хасаншин</t>
  </si>
  <si>
    <t>20260918-8186-466778125</t>
  </si>
  <si>
    <t>Георги Гасиев, Айдар Иксанов</t>
  </si>
  <si>
    <t>20260927-8186-468595858</t>
  </si>
  <si>
    <t>ГЛЕБ КРЫЛОВ, ДАРЬЯ КРЫЛОВА</t>
  </si>
  <si>
    <t>20260811-8186-457781287</t>
  </si>
  <si>
    <t>ГЛЕБ УХАНОВ</t>
  </si>
  <si>
    <t>20260809-8186-447790512</t>
  </si>
  <si>
    <t>Гульнара Булавлёва, Антон Булавлёв</t>
  </si>
  <si>
    <t>20260726-8186-453190843</t>
  </si>
  <si>
    <t>Дамир Мерсаитов, Алиса Левина</t>
  </si>
  <si>
    <t>20260826-8186-461708579</t>
  </si>
  <si>
    <t>ДАНИИЛ КАПЛАН</t>
  </si>
  <si>
    <t>20260902-8186-455809317</t>
  </si>
  <si>
    <t>ДАНИИЛ НИКОЛАЕВ</t>
  </si>
  <si>
    <t>20260807-8186-414520274</t>
  </si>
  <si>
    <t>Даниил Чернышов, Анастасия Басанец</t>
  </si>
  <si>
    <t>20260831-8186-462238401</t>
  </si>
  <si>
    <t>Даниил Чугунов</t>
  </si>
  <si>
    <t>20260818-8186-458712643</t>
  </si>
  <si>
    <t>Дарья Адамович</t>
  </si>
  <si>
    <t>Дарья Гордеева, Дина Щербакова</t>
  </si>
  <si>
    <t>20260930-8186-461353021</t>
  </si>
  <si>
    <t>ДАРЬЯ ДЕМЧЕНКО</t>
  </si>
  <si>
    <t>20260802-8186-428643420</t>
  </si>
  <si>
    <t>Дарья Задорина, ДМИТРИЙ ЗАХАРОВ</t>
  </si>
  <si>
    <t>20260717-8186-433932355</t>
  </si>
  <si>
    <t>Дарья Кондрашина, ВЛАДИМИР ГУРИКОВ</t>
  </si>
  <si>
    <t>20260814-8186-430261857</t>
  </si>
  <si>
    <t>Дарья Кучуб, Виктор Кучуб</t>
  </si>
  <si>
    <t>20260728-8186-453096527</t>
  </si>
  <si>
    <t>Дарья Лихачева</t>
  </si>
  <si>
    <t>20260919-8186-466367569</t>
  </si>
  <si>
    <t>Дарья Сенникова, Никита Веселков</t>
  </si>
  <si>
    <t>20260703-8186-442896088</t>
  </si>
  <si>
    <t>Дарья Ханеева</t>
  </si>
  <si>
    <t>20260724-8186-448787264</t>
  </si>
  <si>
    <t>Дарья Цявук</t>
  </si>
  <si>
    <t>20260930-8186-466725363</t>
  </si>
  <si>
    <t>ДАРЬЯ ЩИГОЛЕВА</t>
  </si>
  <si>
    <t>20260906-8186-461460789</t>
  </si>
  <si>
    <t>ДЕНИС АФАНАСЬЕВ, Дарья Афанасьева</t>
  </si>
  <si>
    <t>20260905-8186-460958284</t>
  </si>
  <si>
    <t>Денис Борисов, Екатерина Полосухина</t>
  </si>
  <si>
    <t>20260723-8186-452699334</t>
  </si>
  <si>
    <t>Денис Грузинов</t>
  </si>
  <si>
    <t>20260724-8186-449406216</t>
  </si>
  <si>
    <t>Денис Дроздов</t>
  </si>
  <si>
    <t>20260707-8186-448228838</t>
  </si>
  <si>
    <t>Денис Евдокимов</t>
  </si>
  <si>
    <t>20260719-8186-450701107</t>
  </si>
  <si>
    <t>20260811-8186-457632332</t>
  </si>
  <si>
    <t>20260812-8186-458096485</t>
  </si>
  <si>
    <t>20260908-8186-464591169</t>
  </si>
  <si>
    <t>продление номера — 7 110,00 ₽; Завтрак "Шведский стол"</t>
  </si>
  <si>
    <t>20260914-8186-464859122</t>
  </si>
  <si>
    <t>20260915-8186-466067897</t>
  </si>
  <si>
    <t>20260726-8186-453457921</t>
  </si>
  <si>
    <t>Денис Зуев, Софья Артемьева</t>
  </si>
  <si>
    <t>20260826-8186-430091613</t>
  </si>
  <si>
    <t>Денис Клевцов, Екатерина Клевцова</t>
  </si>
  <si>
    <t>20260720-8186-450692954</t>
  </si>
  <si>
    <t>ДЕНИС ЛАЗУРЕНКО</t>
  </si>
  <si>
    <t>20260711-8186-410900231</t>
  </si>
  <si>
    <t>Денис НИКИТИН, Наталья Никитина, Георгий Никитин</t>
  </si>
  <si>
    <t>семейный номер категории "стандарт"</t>
  </si>
  <si>
    <t>20260901-8186-455767839</t>
  </si>
  <si>
    <t>Денис Петров</t>
  </si>
  <si>
    <t>Завтрак "Шведский стол"; Поздний выезд — 9 080,00 ₽</t>
  </si>
  <si>
    <t>20260810-8186-453530368</t>
  </si>
  <si>
    <t>Денис Рыбин</t>
  </si>
  <si>
    <t>20260708-8186-448169391</t>
  </si>
  <si>
    <t>Денис Янке, Ксения Гнатишина</t>
  </si>
  <si>
    <t>20260810-8186-438161193</t>
  </si>
  <si>
    <t>Диляра Газизова, Ралина Газизова</t>
  </si>
  <si>
    <t>20260720-8186-451489596</t>
  </si>
  <si>
    <t>Динара Гарипова, Наталья Зубкова</t>
  </si>
  <si>
    <t>20260808-8186-457026340</t>
  </si>
  <si>
    <t>Дмитрий Агеев</t>
  </si>
  <si>
    <t>20260715-8186-450097245</t>
  </si>
  <si>
    <t>ДМИТРИЙ АКСЕНОВ</t>
  </si>
  <si>
    <t>20260920-8186-467291466</t>
  </si>
  <si>
    <t>Дмитрий Алешков, Кристина аЛЕШКОВА</t>
  </si>
  <si>
    <t>20260713-8186-449918669</t>
  </si>
  <si>
    <t>Дмитрий Барменков</t>
  </si>
  <si>
    <t>20260722-8186-443640267</t>
  </si>
  <si>
    <t>Дмитрий Батюшенков</t>
  </si>
  <si>
    <t>20260706-8186-447671235</t>
  </si>
  <si>
    <t>Дмитрий Ермолин, Эллина Ермолина</t>
  </si>
  <si>
    <t>20260723-8186-449405536</t>
  </si>
  <si>
    <t>Дмитрий Козлов</t>
  </si>
  <si>
    <t>20260919-8186-465134993</t>
  </si>
  <si>
    <t>ДМИТРИЙ Козлов</t>
  </si>
  <si>
    <t>20260830-8186-441259447</t>
  </si>
  <si>
    <t>Дмитрий Куковенко, Оксана Патрова</t>
  </si>
  <si>
    <t>20260801-8186-441245788</t>
  </si>
  <si>
    <t>Дмитрий Кусков</t>
  </si>
  <si>
    <t>20260925-8186-467835315</t>
  </si>
  <si>
    <t>Дмитрий ЛЕБЕДЕВ, Анастасия Сирык</t>
  </si>
  <si>
    <t>20260826-8186-460136123</t>
  </si>
  <si>
    <t>Дмитрий Лемешов</t>
  </si>
  <si>
    <t>20260913-8186-455450232</t>
  </si>
  <si>
    <t>Дмитрий Липсон</t>
  </si>
  <si>
    <t>20260701-8186-446547107</t>
  </si>
  <si>
    <t>ДМИТРИЙ МАЛЫШЕВ, АЛЕКСАНДРА АШАПАТОВА</t>
  </si>
  <si>
    <t>20260706-8186-446293658</t>
  </si>
  <si>
    <t>Дмитрий Марченко</t>
  </si>
  <si>
    <t>20260720-8186-446146197</t>
  </si>
  <si>
    <t>ДМИТРИЙ МЕШКОВ, НАДЕЖДА ЕВДОКИМОВА</t>
  </si>
  <si>
    <t>20260723-8186-449919086</t>
  </si>
  <si>
    <t>Дмитрий Мещеряков</t>
  </si>
  <si>
    <t>20260907-8186-434979838</t>
  </si>
  <si>
    <t>Дмитрий Мироненков</t>
  </si>
  <si>
    <t>20260729-8186-454076275</t>
  </si>
  <si>
    <t>Дмитрий Мольский</t>
  </si>
  <si>
    <t>20260811-8186-457717969</t>
  </si>
  <si>
    <t>20260904-8186-463700480</t>
  </si>
  <si>
    <t>продление номера — 300,00 ₽</t>
  </si>
  <si>
    <t>20260809-8186-453699779</t>
  </si>
  <si>
    <t>ДМИТРИЙ Москвин</t>
  </si>
  <si>
    <t>20260728-8186-453942448</t>
  </si>
  <si>
    <t>ДМИТРИЙ МУРАНОВ</t>
  </si>
  <si>
    <t>20260911-8186-426784331</t>
  </si>
  <si>
    <t>ДМИТРИЙ МЯСНИКОВ, СОФЬЯ МЯСНИКОВА</t>
  </si>
  <si>
    <t>20260917-8186-463970139</t>
  </si>
  <si>
    <t>Дмитрий Неклюдов, Екатерина Бессонова</t>
  </si>
  <si>
    <t>20260905-8186-463933189</t>
  </si>
  <si>
    <t>Дмитрий Носков</t>
  </si>
  <si>
    <t>20260716-8186-440572559</t>
  </si>
  <si>
    <t>Дмитрий Самусевич, Эвелина Комарова</t>
  </si>
  <si>
    <t>20260710-8186-421541572</t>
  </si>
  <si>
    <t>Дмитрий Семенов, Татьяна Семенова</t>
  </si>
  <si>
    <t>20260708-8186-448548633</t>
  </si>
  <si>
    <t>ДМИТРИЙ СЕРОВ</t>
  </si>
  <si>
    <t>20260709-8186-448813635</t>
  </si>
  <si>
    <t>20260706-8186-448146879</t>
  </si>
  <si>
    <t>20260907-8186-464086254</t>
  </si>
  <si>
    <t>20260912-8186-465262841</t>
  </si>
  <si>
    <t>20260811-8186-457810096</t>
  </si>
  <si>
    <t>продление номера — 350,00 ₽; Завтрак "Шведский стол"</t>
  </si>
  <si>
    <t>20260812-8186-458120356</t>
  </si>
  <si>
    <t>20260902-8186-462738129</t>
  </si>
  <si>
    <t>Дмитрий Скрипальщиков, МАРИНА СКРИПАЛЬЩИКОВА</t>
  </si>
  <si>
    <t>Завтрак; продление номера — 6 000,00 ₽; Завтрак "Шведский стол"; Ранний заезд — 11 350,00 ₽</t>
  </si>
  <si>
    <t>20260916-8186-466040322</t>
  </si>
  <si>
    <t>Дмитрий Тихомиров</t>
  </si>
  <si>
    <t>20260728-8186-452916857</t>
  </si>
  <si>
    <t>Дмитрий Шкирдов</t>
  </si>
  <si>
    <t>20260811-8186-453519352</t>
  </si>
  <si>
    <t>Евгений Ванчик</t>
  </si>
  <si>
    <t>20260810-8186-456644582</t>
  </si>
  <si>
    <t>ЕВГЕНИЙ ВАХРАМЕЕВ</t>
  </si>
  <si>
    <t>20260728-8186-433948569</t>
  </si>
  <si>
    <t>Евгений Гололобов, ЮЛИЯ АНДРЕЕВА, ПЕЛАГЕЯ ГОЛОЛОБОВА</t>
  </si>
  <si>
    <t>20260722-8186-451992437</t>
  </si>
  <si>
    <t>Евгений Грошев</t>
  </si>
  <si>
    <t>20260720-8186-451630545</t>
  </si>
  <si>
    <t>Евгений Езеев</t>
  </si>
  <si>
    <t>20260827-8186-461586024</t>
  </si>
  <si>
    <t>20260906-8186-463599556</t>
  </si>
  <si>
    <t>20260723-8186-449923724</t>
  </si>
  <si>
    <t>Евгений МИХАЙЛОВ</t>
  </si>
  <si>
    <t>20260705-8186-444726111</t>
  </si>
  <si>
    <t>Евгений МИХАЙЛОВ, Надежда Матвеева</t>
  </si>
  <si>
    <t>20260814-8186-455467392</t>
  </si>
  <si>
    <t>Евгений Рафаилов, Вячеслав Рафаилов</t>
  </si>
  <si>
    <t>20260925-8186-467701142</t>
  </si>
  <si>
    <t>Евгений Родионов, Кристина Сокол</t>
  </si>
  <si>
    <t>20260710-8186-411189660</t>
  </si>
  <si>
    <t>Евгений Станчук, Татьяна Станчук</t>
  </si>
  <si>
    <t>20260922-8186-466786045</t>
  </si>
  <si>
    <t>Евгения Бердникова</t>
  </si>
  <si>
    <t>20260930-8186-462775980</t>
  </si>
  <si>
    <t>Евгения Каменщикова, Константин Попов</t>
  </si>
  <si>
    <t>20260709-8186-415694678</t>
  </si>
  <si>
    <t>Евгения Комарова</t>
  </si>
  <si>
    <t>20260823-8186-456417085</t>
  </si>
  <si>
    <t>Евгения Мельникова, Кирилл Мельников</t>
  </si>
  <si>
    <t>20260831-8186-449066045</t>
  </si>
  <si>
    <t>Евгения Михеева, Василий Михеев</t>
  </si>
  <si>
    <t>20260807-8186-456741568</t>
  </si>
  <si>
    <t>Егор Михайлов, Инна Михайлова</t>
  </si>
  <si>
    <t>20260723-8186-449878225</t>
  </si>
  <si>
    <t>Егор Пожидаев, Олеся Лидле</t>
  </si>
  <si>
    <t>20260905-8186-454296159</t>
  </si>
  <si>
    <t>Егор Яковлев, Дарья Мухина</t>
  </si>
  <si>
    <t>20260819-8186-459277807</t>
  </si>
  <si>
    <t>ЕКАТЕРИНА БАСАРАБЕЦ</t>
  </si>
  <si>
    <t>20260922-8186-459295837</t>
  </si>
  <si>
    <t>ЕКАТЕРИНА ЕВТУШЕНКО</t>
  </si>
  <si>
    <t>20260715-8186-423873505</t>
  </si>
  <si>
    <t>Екатерина Егорова</t>
  </si>
  <si>
    <t>20260829-8186-460256896</t>
  </si>
  <si>
    <t>ЕКАТЕРИНА ЕГОРОВА</t>
  </si>
  <si>
    <t>20260823-8186-457343418</t>
  </si>
  <si>
    <t>Екатерина Зайцева, Александр Демидов</t>
  </si>
  <si>
    <t>20260724-8186-452008771</t>
  </si>
  <si>
    <t>Екатерина Закревская</t>
  </si>
  <si>
    <t>20260707-8186-425680261</t>
  </si>
  <si>
    <t>Екатерина Лобанова</t>
  </si>
  <si>
    <t>20260829-8186-459139578</t>
  </si>
  <si>
    <t>Екатерина Лотова, константин лотов</t>
  </si>
  <si>
    <t>20260705-8186-445487488</t>
  </si>
  <si>
    <t>ЕКАТЕРИНА МАТУСЕВИЧ</t>
  </si>
  <si>
    <t>20260902-8186-461101023</t>
  </si>
  <si>
    <t>Екатерина Михалева</t>
  </si>
  <si>
    <t>20260914-8186-465905610</t>
  </si>
  <si>
    <t>ЕКАТЕРИНА МОЛОДЦОВА</t>
  </si>
  <si>
    <t>20260826-8186-459009003</t>
  </si>
  <si>
    <t>Екатерина Назарова</t>
  </si>
  <si>
    <t>20260710-8186-448939418</t>
  </si>
  <si>
    <t>Екатерина Привалова, Семен Лаврин</t>
  </si>
  <si>
    <t>20260704-8186-447564209</t>
  </si>
  <si>
    <t>ЕКАТЕРИНА ПРОВОЗИНА, ФЁДОР ПРОВОЗИН</t>
  </si>
  <si>
    <t>20260902-8186-463011978</t>
  </si>
  <si>
    <t>Екатерина Сабайда</t>
  </si>
  <si>
    <t>20260929-8186-468407727</t>
  </si>
  <si>
    <t>20260922-8186-466965314</t>
  </si>
  <si>
    <t>Екатерина Склярова</t>
  </si>
  <si>
    <t>20260930-8186-467222109</t>
  </si>
  <si>
    <t>ЕКАТЕРИНА СОКОЛОВА, АНДРЕЙ СОКОЛОВ</t>
  </si>
  <si>
    <t>20260729-8186-449842450</t>
  </si>
  <si>
    <t>ЕКАТЕРИНА ТИМОФЕЕВА, ДАРЬЯ ТИМОФЕЕВА</t>
  </si>
  <si>
    <t>20260918-8186-466279182</t>
  </si>
  <si>
    <t>ЕЛЕНА АНДРЕЕВА</t>
  </si>
  <si>
    <t>20260710-8186-443713905</t>
  </si>
  <si>
    <t>Елена Веретенина</t>
  </si>
  <si>
    <t>20260819-8186-409104448</t>
  </si>
  <si>
    <t>Елена Гончарова, Варвара Гонсарова</t>
  </si>
  <si>
    <t>20260711-8186-428820979</t>
  </si>
  <si>
    <t>Елена Губарева, Любовь Балинова</t>
  </si>
  <si>
    <t>20260912-8186-460335116</t>
  </si>
  <si>
    <t>Елена Денисова, Марина Сергиенко</t>
  </si>
  <si>
    <t>продление номера — 2 050,00 ₽; Завтрак "Шведский стол"</t>
  </si>
  <si>
    <t>20260830-8186-461554904</t>
  </si>
  <si>
    <t>Елена Додонова</t>
  </si>
  <si>
    <t>ЕЛЕНА ЖУЧКОВА</t>
  </si>
  <si>
    <t>20260916-8186-460139143</t>
  </si>
  <si>
    <t>ЕЛЕНА ЗАДНЕПРОВСКАЯ</t>
  </si>
  <si>
    <t>20260908-8186-461882753</t>
  </si>
  <si>
    <t>Елена Иготти, АНТОН БОРИСЕНКО</t>
  </si>
  <si>
    <t>20260717-8186-428675584</t>
  </si>
  <si>
    <t>Елена Казаченко, Вера Казаченко</t>
  </si>
  <si>
    <t>20260802-8186-452038545</t>
  </si>
  <si>
    <t>Елена Комова, МАРИЯ ДЬЯЧЕНКО</t>
  </si>
  <si>
    <t>20260922-8186-464443892</t>
  </si>
  <si>
    <t>ЕЛЕНА КОРНИЕНКО</t>
  </si>
  <si>
    <t>20260922-8186-444240000</t>
  </si>
  <si>
    <t>ЕЛЕНА КОСТРЫКИНА, Альбина Лоншакова</t>
  </si>
  <si>
    <t>20260913-8186-463968378</t>
  </si>
  <si>
    <t>Елена Котова, Сергей Котов</t>
  </si>
  <si>
    <t>20260922-8186-466727212</t>
  </si>
  <si>
    <t>ЕЛЕНА КРОТОВА</t>
  </si>
  <si>
    <t>20260926-8186-466754555</t>
  </si>
  <si>
    <t>Елена Маевских</t>
  </si>
  <si>
    <t>20260803-8186-414251130</t>
  </si>
  <si>
    <t>Елена Мастрюкова</t>
  </si>
  <si>
    <t>20260901-8186-432644424</t>
  </si>
  <si>
    <t>ЕЛЕНА МАХАЛЬСКАЯ, СВЕТЛАНА САВИНА</t>
  </si>
  <si>
    <t>20260804-8186-455712496</t>
  </si>
  <si>
    <t>Елена Милеева</t>
  </si>
  <si>
    <t>20260809-8186-434031511</t>
  </si>
  <si>
    <t>Елена Митина, ЕКАТЕРИНА МИТИНА</t>
  </si>
  <si>
    <t>20260713-8186-449269362</t>
  </si>
  <si>
    <t>Елена Мишина</t>
  </si>
  <si>
    <t>20260706-8186-446718602</t>
  </si>
  <si>
    <t>Елена Мороз</t>
  </si>
  <si>
    <t>20260829-8186-460361195</t>
  </si>
  <si>
    <t>ЕЛЕНА МУЛЛАНУРОВА</t>
  </si>
  <si>
    <t>продление номера — 2 240,00 ₽; Завтрак "Шведский стол"</t>
  </si>
  <si>
    <t>20260703-8186-445213205</t>
  </si>
  <si>
    <t>Елена Мухаметшина</t>
  </si>
  <si>
    <t>20260730-8186-451555879</t>
  </si>
  <si>
    <t>Елена Огородникова, Дарья Огородникова</t>
  </si>
  <si>
    <t>20260806-8186-454695826</t>
  </si>
  <si>
    <t>ЕЛЕНА ПЕРМЯКОВА</t>
  </si>
  <si>
    <t>20260727-8186-445278925</t>
  </si>
  <si>
    <t>Елена Петрова, Антон Прокофьев</t>
  </si>
  <si>
    <t>20260817-8186-455605495</t>
  </si>
  <si>
    <t>ЕЛЕНА РОДИОНОВА, ПОЛИНА ПОТАПОВА</t>
  </si>
  <si>
    <t>Елена Селина, Жанна Киташина</t>
  </si>
  <si>
    <t>Завтрак "Шведский стол"; Поздний выезд — 6 675,00 ₽</t>
  </si>
  <si>
    <t>20260917-8186-466532217</t>
  </si>
  <si>
    <t>Елена Соколова, Иван Соколов</t>
  </si>
  <si>
    <t>20260715-8186-449585741</t>
  </si>
  <si>
    <t>Елена Сорокина</t>
  </si>
  <si>
    <t>20260923-8186-410840730</t>
  </si>
  <si>
    <t>Елена Харисова, ДМИТРИЙ АЛЕКСЕЕВ</t>
  </si>
  <si>
    <t>20260925-8186-434543735</t>
  </si>
  <si>
    <t>ЕЛЕНА ХРАПУНОВА, АНАСТАСИЯ ДИЕСПЕРОВА</t>
  </si>
  <si>
    <t>20260818-8186-438764363</t>
  </si>
  <si>
    <t>Елена Шершикова</t>
  </si>
  <si>
    <t>20260817-8186-445978911</t>
  </si>
  <si>
    <t>ЕЛИЗАВЕТА ГОРБАЧ, АННА МАЛЬНЕВА</t>
  </si>
  <si>
    <t>20260910-8186-439466148</t>
  </si>
  <si>
    <t>Елизавета Сыщикова, АЛЕКСАНДР ВОЗНЮК</t>
  </si>
  <si>
    <t>20260913-8186-455450563</t>
  </si>
  <si>
    <t>Жанна Денисова</t>
  </si>
  <si>
    <t>20260921-8186-458585384</t>
  </si>
  <si>
    <t>Жанна Садовникова</t>
  </si>
  <si>
    <t>20260727-8186-414990787</t>
  </si>
  <si>
    <t>Зеки Мамутов, Светлана Мамутова</t>
  </si>
  <si>
    <t>20260730-8186-450690442</t>
  </si>
  <si>
    <t>Зиля Мазитова, Лейсан Садретдинова</t>
  </si>
  <si>
    <t>20260828-8186-461344488</t>
  </si>
  <si>
    <t>ЗОЯ КОВНАЦКАЯ, Илья Романов</t>
  </si>
  <si>
    <t>20260913-8186-465006249</t>
  </si>
  <si>
    <t>Зураб Кикалишвили, Ирина Черенкова</t>
  </si>
  <si>
    <t>20260903-8186-463379903</t>
  </si>
  <si>
    <t>и Грунтович</t>
  </si>
  <si>
    <t>20260724-8186-452688342</t>
  </si>
  <si>
    <t>и Картвелишвилли</t>
  </si>
  <si>
    <t>20260825-8186-461132014</t>
  </si>
  <si>
    <t>и Киташина</t>
  </si>
  <si>
    <t>20260805-8186-455800466</t>
  </si>
  <si>
    <t>и Кочин</t>
  </si>
  <si>
    <t>ИВАН АНДРЕЕВ</t>
  </si>
  <si>
    <t>20260902-8186-459355198</t>
  </si>
  <si>
    <t>ИВАН БУЛЬДЕНКОВ</t>
  </si>
  <si>
    <t>20260805-8186-450472293</t>
  </si>
  <si>
    <t>Игорь Белоусов, Елена Белоусова</t>
  </si>
  <si>
    <t>20260720-8186-440105980</t>
  </si>
  <si>
    <t>ИГОРЬ БОЙЦОВ, ИРИНА БОЙЦОВА</t>
  </si>
  <si>
    <t>20260901-8186-462846499</t>
  </si>
  <si>
    <t>игорь захаров</t>
  </si>
  <si>
    <t>20260830-8186-462432150</t>
  </si>
  <si>
    <t>Игорь Захаров, Анна Захарова</t>
  </si>
  <si>
    <t>продление номера — 1 260,00 ₽; Завтрак "Шведский стол"</t>
  </si>
  <si>
    <t>20260903-8186-461173385</t>
  </si>
  <si>
    <t>Игорь Карташев</t>
  </si>
  <si>
    <t>20260807-8186-456394511</t>
  </si>
  <si>
    <t>Игорь Козлов</t>
  </si>
  <si>
    <t>20260911-8186-464839871</t>
  </si>
  <si>
    <t>20260727-8186-451197084</t>
  </si>
  <si>
    <t>Игорь Краснов</t>
  </si>
  <si>
    <t>20260824-8186-459510208</t>
  </si>
  <si>
    <t>Игорь Кудрявцев</t>
  </si>
  <si>
    <t>20260910-8186-455920278</t>
  </si>
  <si>
    <t>ИГОРЬ МИРОШНИЧЕНКО, Татьяна Мирошниченко</t>
  </si>
  <si>
    <t>20260828-8186-442571726</t>
  </si>
  <si>
    <t>Игорь Мокан, Оксана Макеенко</t>
  </si>
  <si>
    <t>20260914-8186-465529596</t>
  </si>
  <si>
    <t>Игорь Новиков</t>
  </si>
  <si>
    <t>20260815-8186-441303646</t>
  </si>
  <si>
    <t>Игорь Паршин, Анна Хрулева</t>
  </si>
  <si>
    <t>20260906-8186-459333840</t>
  </si>
  <si>
    <t>Игорь Погодин</t>
  </si>
  <si>
    <t>Завтрак "Шведский стол"; Ранний заезд — 6 320,00 ₽</t>
  </si>
  <si>
    <t>20260923-8186-467719195</t>
  </si>
  <si>
    <t>Игорь Самохвалов</t>
  </si>
  <si>
    <t>20260929-8186-460774925</t>
  </si>
  <si>
    <t>Игорь Сапожников, Екатерина Франц</t>
  </si>
  <si>
    <t>20260707-8186-447992636</t>
  </si>
  <si>
    <t>Игорь Сафиуллин</t>
  </si>
  <si>
    <t>20260713-8186-449857736</t>
  </si>
  <si>
    <t>Игорь Смирнов</t>
  </si>
  <si>
    <t>20260709-8186-448314556</t>
  </si>
  <si>
    <t>ИГОРЬ ХОМУТОВСКИЙ, София Новосад</t>
  </si>
  <si>
    <t>Игорь Шведов, Виктория Максимова</t>
  </si>
  <si>
    <t>20260924-8186-468104031</t>
  </si>
  <si>
    <t>Игорь Широков, Дарья Гигина</t>
  </si>
  <si>
    <t>продление номера — 2 064,00 ₽; Завтрак "Шведский стол"</t>
  </si>
  <si>
    <t>20260910-8186-452434191</t>
  </si>
  <si>
    <t>Илона Замышляева</t>
  </si>
  <si>
    <t>20260729-8186-446839045</t>
  </si>
  <si>
    <t>ИЛЬНУР ВАЛИУЛЛИН, АЛИНА ФЕСЮН</t>
  </si>
  <si>
    <t>20260930-8186-468476975</t>
  </si>
  <si>
    <t>Илья Бобовников</t>
  </si>
  <si>
    <t>20260816-8186-459082892</t>
  </si>
  <si>
    <t>Илья Веселов, Наталья Панюшкина</t>
  </si>
  <si>
    <t>20260903-8186-463301767</t>
  </si>
  <si>
    <t>Илья Виленский</t>
  </si>
  <si>
    <t>20260907-8186-459655458</t>
  </si>
  <si>
    <t>Илья Воронич</t>
  </si>
  <si>
    <t>20260804-8186-454591056</t>
  </si>
  <si>
    <t>Илья Мартьянов, Екатерина Жукова</t>
  </si>
  <si>
    <t>20260917-8186-463151267</t>
  </si>
  <si>
    <t>Илья Тихонович, Анастасия Юдикс</t>
  </si>
  <si>
    <t>20260926-8186-468708384</t>
  </si>
  <si>
    <t>Инга Авалиани, Цотне Шалвашвили</t>
  </si>
  <si>
    <t>20260702-8186-439080625</t>
  </si>
  <si>
    <t>Инга Гогленкова, Алексей Гогленков</t>
  </si>
  <si>
    <t>20260819-8186-455524980</t>
  </si>
  <si>
    <t>ИННА АСТАШЕВА</t>
  </si>
  <si>
    <t>20260807-8186-454198481</t>
  </si>
  <si>
    <t>Инна Еремина, Матвей Еремин</t>
  </si>
  <si>
    <t>20260710-8186-442927054</t>
  </si>
  <si>
    <t>Инна Кондрахина</t>
  </si>
  <si>
    <t>20260821-8186-460553289</t>
  </si>
  <si>
    <t>ИННА КУЗНЕЦОВА</t>
  </si>
  <si>
    <t>20260716-8186-450105684</t>
  </si>
  <si>
    <t>ИННА ФИРСОВА</t>
  </si>
  <si>
    <t>20260818-8186-444575341</t>
  </si>
  <si>
    <t>Иннокентий Грибанов</t>
  </si>
  <si>
    <t>20260928-8186-467484877</t>
  </si>
  <si>
    <t>Ирина Балашова</t>
  </si>
  <si>
    <t>20260913-8186-464847619</t>
  </si>
  <si>
    <t>Ирина Карпова, Анна Чурилова</t>
  </si>
  <si>
    <t>20260810-8186-454830610</t>
  </si>
  <si>
    <t>Ирина Катаргина, ТИМОФЕЙ КАТАРГИН</t>
  </si>
  <si>
    <t>20260928-8186-463600860</t>
  </si>
  <si>
    <t>ИРИНА КИМ</t>
  </si>
  <si>
    <t>20260801-8186-455059774</t>
  </si>
  <si>
    <t>ИРИНА КИСЕЛЬ</t>
  </si>
  <si>
    <t>20260714-8186-449060920</t>
  </si>
  <si>
    <t>Ирина Колобродова</t>
  </si>
  <si>
    <t>20260919-8186-467095647</t>
  </si>
  <si>
    <t>Ирина Курандина, СЕРГЕЙ КУРАНДИН</t>
  </si>
  <si>
    <t>20260921-8186-448932640</t>
  </si>
  <si>
    <t>Ирина Лисицкая, Андрей Лисицкий</t>
  </si>
  <si>
    <t>20260905-8186-463074554</t>
  </si>
  <si>
    <t>Ирина Мазий, Антон Иванчиков</t>
  </si>
  <si>
    <t>20260817-8186-447959681</t>
  </si>
  <si>
    <t>ИРИНА МИЛОВА</t>
  </si>
  <si>
    <t>20260816-8186-449235439</t>
  </si>
  <si>
    <t>Ирина Николаева, Александр Николаев</t>
  </si>
  <si>
    <t>20260817-8186-455605492</t>
  </si>
  <si>
    <t>ИРИНА ПОТАПОВА, ВИКТОРИЯ ПОТАПОВА</t>
  </si>
  <si>
    <t>20260804-8186-450062345</t>
  </si>
  <si>
    <t>Ирина Скороходова</t>
  </si>
  <si>
    <t>продление номера — 100,00 ₽; продление номера — 310,00 ₽; продление номера — 300,00 ₽; продление номера — 150,00 ₽; Завтрак "Шведский стол"</t>
  </si>
  <si>
    <t>20260720-8186-410480708</t>
  </si>
  <si>
    <t>Ирина Уткина, ВСЕНИЯ УТКИНА</t>
  </si>
  <si>
    <t>20260915-8186-427846724</t>
  </si>
  <si>
    <t>ИРИНА ШАФИЕВА</t>
  </si>
  <si>
    <t>20260727-8186-412100558</t>
  </si>
  <si>
    <t>Ирина Шафиева, Мария Шафиева</t>
  </si>
  <si>
    <t>продление номера — 6 000,00 ₽; Завтрак "Шведский стол"</t>
  </si>
  <si>
    <t>20260708-8186-445371788</t>
  </si>
  <si>
    <t>Искандер Рафиков</t>
  </si>
  <si>
    <t>ИТОГО:</t>
  </si>
  <si>
    <t>20260719-8186-397290265</t>
  </si>
  <si>
    <t>Карина Унанян, Татьяна Васина</t>
  </si>
  <si>
    <t>20260718-8186-434302975</t>
  </si>
  <si>
    <t>Кахабер Картвелишвили, Виктория Поворова</t>
  </si>
  <si>
    <t>20260806-8186-453943194</t>
  </si>
  <si>
    <t>Кира Кудинова, Алексей Гордейчук</t>
  </si>
  <si>
    <t>продление номера — 3 440,00 ₽; Завтрак "Шведский стол"</t>
  </si>
  <si>
    <t>20260923-8186-468096029</t>
  </si>
  <si>
    <t>КИРИЛЛ ЛАРИН</t>
  </si>
  <si>
    <t>20260924-8186-468128264</t>
  </si>
  <si>
    <t>20260901-8186-462888828</t>
  </si>
  <si>
    <t>Кирилл Подволодских, Ксения Олифер</t>
  </si>
  <si>
    <t>20260812-8186-457852780</t>
  </si>
  <si>
    <t>Кирилл Семёнов, Жанна Семёнова</t>
  </si>
  <si>
    <t>20260714-8186-449199294</t>
  </si>
  <si>
    <t>Кирилл Солодков</t>
  </si>
  <si>
    <t>КИРИЛЛ СУНГУРОВ, МАТВЕЙ СУНГУРОВ</t>
  </si>
  <si>
    <t>20260730-8186-449191340</t>
  </si>
  <si>
    <t>Кирилл Черепков</t>
  </si>
  <si>
    <t>20260725-8186-443229095</t>
  </si>
  <si>
    <t>Кирилл Якименков, Даниэла Абрамова</t>
  </si>
  <si>
    <t>продление номера — 300,00 ₽; Завтрак "Шведский стол"</t>
  </si>
  <si>
    <t>20260711-8186-411331896</t>
  </si>
  <si>
    <t>Клара Гольдберг</t>
  </si>
  <si>
    <t>20260719-8186-451589711</t>
  </si>
  <si>
    <t>Константин Жар</t>
  </si>
  <si>
    <t>20260918-8186-460074365</t>
  </si>
  <si>
    <t>КОНСТАНТИН ПРОХОРОВ, СВЕТЛАНА ПРОХОРОВА</t>
  </si>
  <si>
    <t>20260916-8186-466008879</t>
  </si>
  <si>
    <t>Константин Якушев</t>
  </si>
  <si>
    <t>20260813-8186-457357141</t>
  </si>
  <si>
    <t>КСЕНИЯ БЯЛАЯ</t>
  </si>
  <si>
    <t>20260729-8186-448976597</t>
  </si>
  <si>
    <t>КСЕНИЯ Корчик-Янович</t>
  </si>
  <si>
    <t>20260822-8186-447387839</t>
  </si>
  <si>
    <t>Ксения Недорезова</t>
  </si>
  <si>
    <t>20260724-8186-446893476</t>
  </si>
  <si>
    <t>Ксения Новоселова</t>
  </si>
  <si>
    <t>20260915-8186-457386523</t>
  </si>
  <si>
    <t>КСЕНИЯ ЯКОВЕНКО</t>
  </si>
  <si>
    <t>20260819-8186-412191182</t>
  </si>
  <si>
    <t>ЛАРИСА БРИЛЛИАНТ</t>
  </si>
  <si>
    <t>20260727-8186-453467059</t>
  </si>
  <si>
    <t>Лариса Дубинчук, Виктория Казюра</t>
  </si>
  <si>
    <t>20260726-8186-440779552</t>
  </si>
  <si>
    <t>Лариса Матвеева, Яна Матвеева</t>
  </si>
  <si>
    <t>20260925-8186-460121814</t>
  </si>
  <si>
    <t>Лариса Хоменко, Мария Старкина</t>
  </si>
  <si>
    <t>20260807-8186-438685773</t>
  </si>
  <si>
    <t>Леонид Александров, Мария Александрова</t>
  </si>
  <si>
    <t>20260914-8186-463712958</t>
  </si>
  <si>
    <t>ЛЕОНИД ДУБОВ</t>
  </si>
  <si>
    <t>20260802-8186-451253781</t>
  </si>
  <si>
    <t>20260814-8186-456330345</t>
  </si>
  <si>
    <t>ЛЕОНИД СТЕПАНОВ, Кристэль Степанова</t>
  </si>
  <si>
    <t>20260830-8186-441265449</t>
  </si>
  <si>
    <t>Лидия Куковенко</t>
  </si>
  <si>
    <t>20260904-8186-419608255</t>
  </si>
  <si>
    <t>Лидия Рассказова, Анна Рассказова</t>
  </si>
  <si>
    <t>20260910-8186-449873466</t>
  </si>
  <si>
    <t>ЛИДИЯ СУРКОВА, ТАТЬЯНА СМИРНОВА</t>
  </si>
  <si>
    <t>20260918-8186-452114243</t>
  </si>
  <si>
    <t>Лилия Бойко</t>
  </si>
  <si>
    <t>20260713-8186-435959048</t>
  </si>
  <si>
    <t>ЛИЛИЯ САМОХВАЛОВА, ВАЛЕРИЙ САМОХВАЛОВ</t>
  </si>
  <si>
    <t>продление номера — 800,00 ₽; Завтрак "Шведский стол"</t>
  </si>
  <si>
    <t>20260728-8186-453831391</t>
  </si>
  <si>
    <t>лия виноградова</t>
  </si>
  <si>
    <t>20260824-8186-461183075</t>
  </si>
  <si>
    <t>Лора Покровина</t>
  </si>
  <si>
    <t>20260701-8186-446910186</t>
  </si>
  <si>
    <t>ЛУАНА АЛИЕВА</t>
  </si>
  <si>
    <t>ЛЮБОВЬ БОГДАНОВА, АНДРЕЙ БОГДАНОВ</t>
  </si>
  <si>
    <t>20260729-8186-446362300</t>
  </si>
  <si>
    <t>Любовь Дмитриева</t>
  </si>
  <si>
    <t>20260930-8186-465893776</t>
  </si>
  <si>
    <t>ЛЮБОВЬ ПУШКИНА</t>
  </si>
  <si>
    <t>20260928-8186-469185491</t>
  </si>
  <si>
    <t>ЛЮБОВЬ РЯБОВА, АРТЕМ ЗАВЬЯЛОВ</t>
  </si>
  <si>
    <t>20260717-8186-441668446</t>
  </si>
  <si>
    <t>Любовь Шубина, ГЛЕБ ТИМОЩЕНКО</t>
  </si>
  <si>
    <t>20260814-8186-452849702</t>
  </si>
  <si>
    <t>ЛЮДМИЛА БЕРЕСНЕВА, Екатерина Береснева</t>
  </si>
  <si>
    <t>20260711-8186-410900450</t>
  </si>
  <si>
    <t>Людмила Никитина, Фёдор Никитин</t>
  </si>
  <si>
    <t>20260725-8186-452845758</t>
  </si>
  <si>
    <t>Ляйсан Пушницына</t>
  </si>
  <si>
    <t>20260906-8186-464002736</t>
  </si>
  <si>
    <t>МАГОМЕД РАМАЗАНОВ, НАДИЯ ГАДЖИМАГОМЕДОВА</t>
  </si>
  <si>
    <t>20260826-8186-461708578</t>
  </si>
  <si>
    <t>МАКСИМ АБДУРАЗАКОВ</t>
  </si>
  <si>
    <t>20260812-8186-456611452</t>
  </si>
  <si>
    <t>Максим Акентьев</t>
  </si>
  <si>
    <t>20260828-8186-462043143</t>
  </si>
  <si>
    <t>Максим Бумагин, Екатерина Небогатова</t>
  </si>
  <si>
    <t>20260814-8186-435423092</t>
  </si>
  <si>
    <t>Максим Головенко, Анна Минакова</t>
  </si>
  <si>
    <t>20260808-8186-450140561</t>
  </si>
  <si>
    <t>Максим Густайтис, Анна Шинкаренко</t>
  </si>
  <si>
    <t>20260712-8186-429226347</t>
  </si>
  <si>
    <t>Максим Дербеденев, Юлия Папина</t>
  </si>
  <si>
    <t>20260927-8186-468959350</t>
  </si>
  <si>
    <t>МАКСИМ ДРОЗДОВИЧ</t>
  </si>
  <si>
    <t>20260727-8186-453507191</t>
  </si>
  <si>
    <t>Максим Залывский</t>
  </si>
  <si>
    <t>20260907-8186-463782784</t>
  </si>
  <si>
    <t>Максим Королев, Кристина Теркачева</t>
  </si>
  <si>
    <t>20260901-8186-427494727</t>
  </si>
  <si>
    <t>Максим Мусарин, Анастасия Михайлова</t>
  </si>
  <si>
    <t>20260822-8186-451850888</t>
  </si>
  <si>
    <t>МАКСИМ Панов, ЕКАТЕРИНА Панова</t>
  </si>
  <si>
    <t>продление номера — 720,00 ₽; Завтрак "Шведский стол"</t>
  </si>
  <si>
    <t>20260827-8186-457788846</t>
  </si>
  <si>
    <t>Максим Пономарев</t>
  </si>
  <si>
    <t>20260905-8186-463791547</t>
  </si>
  <si>
    <t>Максим Сачков</t>
  </si>
  <si>
    <t>20260802-8186-454751117</t>
  </si>
  <si>
    <t>Максим Серов, АННА СЕРОВА</t>
  </si>
  <si>
    <t>20260920-8186-467279770</t>
  </si>
  <si>
    <t>Максим Симоненко, Софья Курдяева</t>
  </si>
  <si>
    <t>20260919-8186-452147983</t>
  </si>
  <si>
    <t>Максим Ступин, АННА СТУПИНА</t>
  </si>
  <si>
    <t>20260715-8186-440834544</t>
  </si>
  <si>
    <t>Максим Трофимов, Анастасия Трофимова</t>
  </si>
  <si>
    <t>20260808-8186-455879576</t>
  </si>
  <si>
    <t>Максим Чиркин</t>
  </si>
  <si>
    <t>20260715-8186-448563252</t>
  </si>
  <si>
    <t>Марат Швайцер</t>
  </si>
  <si>
    <t>20260814-8186-458217555</t>
  </si>
  <si>
    <t>МАРГАРИТА АНИСИМОВА</t>
  </si>
  <si>
    <t>20260907-8186-434979583</t>
  </si>
  <si>
    <t>Маргарита Михина</t>
  </si>
  <si>
    <t>20260715-8186-425955806</t>
  </si>
  <si>
    <t>Маргарита Петрова</t>
  </si>
  <si>
    <t>20260706-8186-420338941</t>
  </si>
  <si>
    <t>Марина Бурова</t>
  </si>
  <si>
    <t>20260708-8186-420258045</t>
  </si>
  <si>
    <t>20260915-8186-465509331</t>
  </si>
  <si>
    <t>Марина Волкова, Александр Волков</t>
  </si>
  <si>
    <t>20260720-8186-434462277</t>
  </si>
  <si>
    <t>МАРИНА ГОНЧАРОВА</t>
  </si>
  <si>
    <t>20260718-8186-439204883</t>
  </si>
  <si>
    <t>Марина Невзорова, Наталья Гайдай</t>
  </si>
  <si>
    <t>20260730-8186-438491467</t>
  </si>
  <si>
    <t>Марина Немова, Лариса Немова</t>
  </si>
  <si>
    <t>20260721-8186-440916265</t>
  </si>
  <si>
    <t>Марина Непомнящая</t>
  </si>
  <si>
    <t>20260908-8186-464538528</t>
  </si>
  <si>
    <t>Марина Павшенко, Елена Павшенко</t>
  </si>
  <si>
    <t>20260908-8186-450576410</t>
  </si>
  <si>
    <t>Марина Пономаренко</t>
  </si>
  <si>
    <t>20260822-8186-412015169</t>
  </si>
  <si>
    <t>МАРИНА РОСТНИКОВА, Александр Попов</t>
  </si>
  <si>
    <t>20260803-8186-421031747</t>
  </si>
  <si>
    <t>Марина Хрусталева, Екатерина Хрусталева</t>
  </si>
  <si>
    <t>20260821-8186-448701128</t>
  </si>
  <si>
    <t>МАРИНА ШВЕЦОВА, ДАНИЛА ДРОЖЖИН</t>
  </si>
  <si>
    <t>20260928-8186-467819293</t>
  </si>
  <si>
    <t>МАРИЯ АВАНЕСОВА</t>
  </si>
  <si>
    <t>20260827-8186-438982348</t>
  </si>
  <si>
    <t>Мария Астахова</t>
  </si>
  <si>
    <t>20260925-8186-464901936</t>
  </si>
  <si>
    <t>Мария Ашихмина</t>
  </si>
  <si>
    <t>20260729-8186-400177699</t>
  </si>
  <si>
    <t>МАРИЯ БЕЛЕЕВСКАЯ, ЕВГЕНИЙ БЕЛЕЕВСКИЙ</t>
  </si>
  <si>
    <t>продление номера — 5 600,00 ₽; продление номера — 16 800,00 ₽; продление номера — 6 225,00 ₽; Завтрак "Шведский стол"</t>
  </si>
  <si>
    <t>20260711-8186-440445654</t>
  </si>
  <si>
    <t>Мария Евгенова</t>
  </si>
  <si>
    <t>20260702-8186-443240661</t>
  </si>
  <si>
    <t>Мария Еремеева, Альбина Зуева</t>
  </si>
  <si>
    <t>20260707-8186-427987036</t>
  </si>
  <si>
    <t>Мария Журина, Степан Ртищев</t>
  </si>
  <si>
    <t>20260927-8186-463737797</t>
  </si>
  <si>
    <t>МАРИЯ Исакова</t>
  </si>
  <si>
    <t>20260812-8186-454218570</t>
  </si>
  <si>
    <t>Мария Кондратьева</t>
  </si>
  <si>
    <t>20260806-8186-452608643</t>
  </si>
  <si>
    <t>Мария КОТОВА</t>
  </si>
  <si>
    <t>20260914-8186-463736656</t>
  </si>
  <si>
    <t>МАРИЯ КУТЕПОВА</t>
  </si>
  <si>
    <t>20260810-8186-395777109</t>
  </si>
  <si>
    <t>Мария Моллот</t>
  </si>
  <si>
    <t>20260920-8186-465332627</t>
  </si>
  <si>
    <t>Мария Москаленко</t>
  </si>
  <si>
    <t>20260930-8186-465412038</t>
  </si>
  <si>
    <t>Мария Новосельцева</t>
  </si>
  <si>
    <t>«ЖилиБыли» [Чайковский]</t>
  </si>
  <si>
    <t>20260914-8186-420584796</t>
  </si>
  <si>
    <t>МАРИЯ ПЕРЯТИНСКАЯ, АННА КАЗАНКОВА</t>
  </si>
  <si>
    <t>20260803-8186-453610722</t>
  </si>
  <si>
    <t>Мария Рознер</t>
  </si>
  <si>
    <t>20260927-8186-468805448</t>
  </si>
  <si>
    <t>Мария Сазонова</t>
  </si>
  <si>
    <t>20260813-8186-436955349</t>
  </si>
  <si>
    <t>МАРИЯ САММУТ КАБАНОВА, Аня САММУТ КАБАНОВА</t>
  </si>
  <si>
    <t>20260723-8186-448963382</t>
  </si>
  <si>
    <t>МАРИЯ СЕЛИВЕРСТОВА</t>
  </si>
  <si>
    <t>20260804-8186-455621888</t>
  </si>
  <si>
    <t>Мария Семенова</t>
  </si>
  <si>
    <t>20260701-8186-442331561</t>
  </si>
  <si>
    <t>МАРИЯ ХРОМОВА, ВИКТОРИЯ СЕМЕНОВА</t>
  </si>
  <si>
    <t>Мария Штыркина, Ольга Мулдашева</t>
  </si>
  <si>
    <t>20260813-8186-456350100</t>
  </si>
  <si>
    <t>Матвей Фролов, Мария Фролова</t>
  </si>
  <si>
    <t>20260810-8186-457515494</t>
  </si>
  <si>
    <t>Михаил Дворкин, Мария Леевик, Герман Дворкин</t>
  </si>
  <si>
    <t>20260731-8186-450039766</t>
  </si>
  <si>
    <t>Михаил Запальский</t>
  </si>
  <si>
    <t>20260721-8186-421839122</t>
  </si>
  <si>
    <t>МИХАИЛ ИНЯКИН, АЛЕКСАНДРА КОЗЛОВА</t>
  </si>
  <si>
    <t>20260824-8186-450244783</t>
  </si>
  <si>
    <t>Михаил Каюмов</t>
  </si>
  <si>
    <t>20260705-8186-420485306</t>
  </si>
  <si>
    <t>МИХАИЛ КОРСАКОВ, ЕЛЕНА Осипова</t>
  </si>
  <si>
    <t>20260707-8186-438267525</t>
  </si>
  <si>
    <t>МИХАИЛ МОРОЗОВ, Полина Морозова</t>
  </si>
  <si>
    <t>продление номера — 400,00 ₽; Завтрак "Шведский стол"</t>
  </si>
  <si>
    <t>20260817-8186-435147824</t>
  </si>
  <si>
    <t>Михаил Полежаев, МАРИЯ ПОЛЕЖАЕВА</t>
  </si>
  <si>
    <t>продление номера — 3 000,00 ₽; продление номера — 16 800,00 ₽; Завтрак "Шведский стол"</t>
  </si>
  <si>
    <t>20260817-8186-459136649</t>
  </si>
  <si>
    <t>МИХАИЛ ПРОНИН</t>
  </si>
  <si>
    <t>20260803-8186-429997810</t>
  </si>
  <si>
    <t>Михаил Селецкий, Анна Гордеева</t>
  </si>
  <si>
    <t>20260924-8186-447704409</t>
  </si>
  <si>
    <t>Михаил Терехов, Алена Терехова</t>
  </si>
  <si>
    <t>20260905-8186-460961015</t>
  </si>
  <si>
    <t>Михаил Фролов, Оксана Фролова</t>
  </si>
  <si>
    <t>20260720-8186-410208436</t>
  </si>
  <si>
    <t>Михаил Чистяков, Алексей Чистяков</t>
  </si>
  <si>
    <t>20260702-8186-446408397</t>
  </si>
  <si>
    <t>мохнов мохнов</t>
  </si>
  <si>
    <t>20260822-8186-427442163</t>
  </si>
  <si>
    <t>МУРАТ ГАНЕЕВ, ИРИНА АБРАМОВА</t>
  </si>
  <si>
    <t>20260730-8186-437645974</t>
  </si>
  <si>
    <t>Надежда Великанова</t>
  </si>
  <si>
    <t>20260630-8186-444909188</t>
  </si>
  <si>
    <t>Надежда Еремеева</t>
  </si>
  <si>
    <t>20260805-8186-436895950</t>
  </si>
  <si>
    <t>НАДЕЖДА ЛЕВЕНКОВА, Мария Гущина</t>
  </si>
  <si>
    <t>Надежда Шведова, Даниил Шведов</t>
  </si>
  <si>
    <t>20260813-8186-450552757</t>
  </si>
  <si>
    <t>Надежда Шевырина, Владимир Юмашев</t>
  </si>
  <si>
    <t>20260826-8186-447063291</t>
  </si>
  <si>
    <t>Наталия Золотарева</t>
  </si>
  <si>
    <t>20260908-8186-464310952</t>
  </si>
  <si>
    <t>Наталия Купцова</t>
  </si>
  <si>
    <t>20260809-8186-451680118</t>
  </si>
  <si>
    <t>НАТАЛИЯ СЛОБОДЯНЮК, ЕЛЕНА БЕЛОВА</t>
  </si>
  <si>
    <t>20260915-8186-456399111</t>
  </si>
  <si>
    <t>Наталия Титова</t>
  </si>
  <si>
    <t>20260726-8186-423278923</t>
  </si>
  <si>
    <t>Наталия Шлеёнкова, Сергей Щлеёнков</t>
  </si>
  <si>
    <t>НАТАЛИЯ ШТЕРКЕЛЬ, Екатерина Мигуля</t>
  </si>
  <si>
    <t>20260815-8186-458640858</t>
  </si>
  <si>
    <t>Наталия Элуашвили</t>
  </si>
  <si>
    <t>20260710-8186-442591146</t>
  </si>
  <si>
    <t>Наталья Анохина, Анна Анохина</t>
  </si>
  <si>
    <t>20260904-8186-459092255</t>
  </si>
  <si>
    <t>Наталья Бехтерева, Антон Бехтерев</t>
  </si>
  <si>
    <t>20260807-8186-402291252</t>
  </si>
  <si>
    <t>НАТАЛЬЯ БОРИСОВА</t>
  </si>
  <si>
    <t>20260906-8186-464058568</t>
  </si>
  <si>
    <t>Наталья Волнянская, ВИКТОР ПРОЦЕНКО</t>
  </si>
  <si>
    <t>продление номера — 1 520,00 ₽; Завтрак "Шведский стол"</t>
  </si>
  <si>
    <t>20260812-8186-432301165</t>
  </si>
  <si>
    <t>Наталья Гончарова, София Цугуй</t>
  </si>
  <si>
    <t>20260814-8186-443750002</t>
  </si>
  <si>
    <t>20260826-8186-453545439</t>
  </si>
  <si>
    <t>Наталья Горшкова, Илья Ивлев</t>
  </si>
  <si>
    <t>20260708-8186-426313855</t>
  </si>
  <si>
    <t>НАТАЛЬЯ ДЕРНОВА, Виталий Савельев</t>
  </si>
  <si>
    <t>продление номера — 1 600,00 ₽; продление номера — 300,00 ₽; Завтрак "Шведский стол"</t>
  </si>
  <si>
    <t>20260915-8186-459193237</t>
  </si>
  <si>
    <t>Наталья Жукова</t>
  </si>
  <si>
    <t>20260722-8186-452072624</t>
  </si>
  <si>
    <t>Наталья Жукова, Владимир Жуков</t>
  </si>
  <si>
    <t>продление номера — 240,00 ₽; Завтрак "Шведский стол"</t>
  </si>
  <si>
    <t>20260729-8186-446530257</t>
  </si>
  <si>
    <t>20260801-8186-453170442</t>
  </si>
  <si>
    <t>Наталья Зайковская</t>
  </si>
  <si>
    <t>20260721-8186-440916013</t>
  </si>
  <si>
    <t>Наталья Зайлер</t>
  </si>
  <si>
    <t>20260907-8186-464187956</t>
  </si>
  <si>
    <t>Наталья Зарубина</t>
  </si>
  <si>
    <t>20260831-8186-462545984</t>
  </si>
  <si>
    <t>Наталья Карасева, Елена Карасева</t>
  </si>
  <si>
    <t>20260907-8186-455643629</t>
  </si>
  <si>
    <t>Наталья Коноваленко, ВИКТОРИЯ ХРОМОВА</t>
  </si>
  <si>
    <t>20260811-8186-451623831</t>
  </si>
  <si>
    <t>Наталья Копейкина, Андрей Копейкин</t>
  </si>
  <si>
    <t>20260825-8186-460757995</t>
  </si>
  <si>
    <t>НАТАЛЬЯ КОРОЛЕВА</t>
  </si>
  <si>
    <t>20260701-8186-446759137</t>
  </si>
  <si>
    <t>НАТАЛЬЯ ЛЕОСКО</t>
  </si>
  <si>
    <t>20260809-8186-419208245</t>
  </si>
  <si>
    <t>НАТАЛЬЯ МАКАРОВА, АНДРЕЙ МИХАЛЕВ</t>
  </si>
  <si>
    <t>20260721-8186-450735881</t>
  </si>
  <si>
    <t>НАТАЛЬЯ НИКОНОВА, Яков Никонов</t>
  </si>
  <si>
    <t>20260721-8186-440916164</t>
  </si>
  <si>
    <t>Наталья Новикова</t>
  </si>
  <si>
    <t>20260929-8186-468991538</t>
  </si>
  <si>
    <t>Наталья Поночевная, RYOTARO MIYASHITA</t>
  </si>
  <si>
    <t>20260909-8186-463439312</t>
  </si>
  <si>
    <t>Наталья Пряхина</t>
  </si>
  <si>
    <t>20260730-8186-401372495</t>
  </si>
  <si>
    <t>Наталья Селина, Илья Задорин</t>
  </si>
  <si>
    <t>20260724-8186-452953731</t>
  </si>
  <si>
    <t>Наталья Сибирева, ВЛАДИМИР ТИХОНОВ</t>
  </si>
  <si>
    <t>20260910-8186-462995264</t>
  </si>
  <si>
    <t>Наталья Соболева, ЕВГЕНИЙ БЕКИН</t>
  </si>
  <si>
    <t>20260702-8186-447187422</t>
  </si>
  <si>
    <t>Наталья Фетисова</t>
  </si>
  <si>
    <t>20260904-8186-463350025</t>
  </si>
  <si>
    <t>Наталья Шиловская</t>
  </si>
  <si>
    <t>20260914-8186-463592253</t>
  </si>
  <si>
    <t>НАТТЕЛА ТКАВАДЗЕ</t>
  </si>
  <si>
    <t>20260808-8186-441380386</t>
  </si>
  <si>
    <t>Никита Войнов, Мария Муромова</t>
  </si>
  <si>
    <t>20260924-8186-467746202</t>
  </si>
  <si>
    <t>Никита Кривошеин, Алина Федорец</t>
  </si>
  <si>
    <t>20260930-8186-466735765</t>
  </si>
  <si>
    <t>НИКИТА СЕРГЕЕВ</t>
  </si>
  <si>
    <t>20260704-8186-442805250</t>
  </si>
  <si>
    <t>Никита Шалыгин</t>
  </si>
  <si>
    <t>20260630-8186-439700002</t>
  </si>
  <si>
    <t>Николай Богданов</t>
  </si>
  <si>
    <t>20260728-8186-451976578</t>
  </si>
  <si>
    <t>НИКОЛАЙ ГАВРИЛЬЧЕНКО, ГАЛИНА ГАВРИЛЬЧЕНКО</t>
  </si>
  <si>
    <t>20260809-8186-456961370</t>
  </si>
  <si>
    <t>НИКОЛАЙ Двугрошев</t>
  </si>
  <si>
    <t>20260723-8186-449405708</t>
  </si>
  <si>
    <t>Николай Семенов</t>
  </si>
  <si>
    <t>20260821-8186-459875156</t>
  </si>
  <si>
    <t>НИКОЛАЙ Соболев</t>
  </si>
  <si>
    <t>20260706-8186-446293718</t>
  </si>
  <si>
    <t>Николай Сорокин</t>
  </si>
  <si>
    <t>20260916-8186-460918498</t>
  </si>
  <si>
    <t>Николай Стовпец, ЛЮДМИЛА СТОВПЕЦ</t>
  </si>
  <si>
    <t>20260911-8186-459836145</t>
  </si>
  <si>
    <t>НИКОЛАЙ ШИНОВ, ТАТЬЯНА ЛЕВАЧЕВА</t>
  </si>
  <si>
    <t>20260627-8186-440220677</t>
  </si>
  <si>
    <t>НИКОЛАЙ ЯРОВОЙ, ЕЛЕНА ИСУПОВА</t>
  </si>
  <si>
    <t>продление номера — 2 200,00 ₽; Завтрак "Шведский стол"; Поздний выезд — 10 947,00 ₽</t>
  </si>
  <si>
    <t>20260806-8186-455738885</t>
  </si>
  <si>
    <t>Николай Яроцкий</t>
  </si>
  <si>
    <t>20260922-8186-466961418</t>
  </si>
  <si>
    <t>Нина Балаян</t>
  </si>
  <si>
    <t>20260919-8186-467166169</t>
  </si>
  <si>
    <t>НИНА ДАВЫДОВА, ИГОРЬ ТИЩЕНКО</t>
  </si>
  <si>
    <t>20260915-8186-465944203</t>
  </si>
  <si>
    <t>Нина Кравченко, Елизавета Смольская</t>
  </si>
  <si>
    <t>20260820-8186-416292777</t>
  </si>
  <si>
    <t>Нина Тарасова</t>
  </si>
  <si>
    <t>20260730-8186-412433351</t>
  </si>
  <si>
    <t>Нина Хохлова</t>
  </si>
  <si>
    <t>20260802-8186-455240119</t>
  </si>
  <si>
    <t>Нина Яроцкая, Иван Горбунчиков</t>
  </si>
  <si>
    <t>20260708-8186-447576976</t>
  </si>
  <si>
    <t>Оксана Дяденко</t>
  </si>
  <si>
    <t>20260814-8186-458393454</t>
  </si>
  <si>
    <t>Оксана Мисанец, ЭДУАРД АНТОНЯН</t>
  </si>
  <si>
    <t>20260818-8186-455916790</t>
  </si>
  <si>
    <t>Оксана Степаненко</t>
  </si>
  <si>
    <t>20260820-8186-455918537</t>
  </si>
  <si>
    <t>20260916-8186-464600077</t>
  </si>
  <si>
    <t>ОКСАНА СЫСУЕВА</t>
  </si>
  <si>
    <t>20260916-8186-461117504</t>
  </si>
  <si>
    <t>ОКТЯБРИНА КАЙСАНОВА</t>
  </si>
  <si>
    <t>20260725-8186-442138766</t>
  </si>
  <si>
    <t>Олег Веселов</t>
  </si>
  <si>
    <t>20260830-8186-462334439</t>
  </si>
  <si>
    <t>Олег Лисовский</t>
  </si>
  <si>
    <t>20260831-8186-462645979</t>
  </si>
  <si>
    <t>Олег Пашкин, ЮЛИЯ ПАШКИНА</t>
  </si>
  <si>
    <t>20260830-8186-461980619</t>
  </si>
  <si>
    <t>Олег Рассказов, Дмитрий Рассказов</t>
  </si>
  <si>
    <t>20260824-8186-435973741</t>
  </si>
  <si>
    <t>ОЛЕГ СОКОЛОВ, АННА ШИШКОВА</t>
  </si>
  <si>
    <t>20260831-8186-462574200</t>
  </si>
  <si>
    <t>Олег Худзиев</t>
  </si>
  <si>
    <t>20260930-8186-468529147</t>
  </si>
  <si>
    <t>ОЛЕСЯ ВЛАСЕНКО</t>
  </si>
  <si>
    <t>20260905-8186-441680792</t>
  </si>
  <si>
    <t>Олеся Долгополик</t>
  </si>
  <si>
    <t>20260728-8186-453872864</t>
  </si>
  <si>
    <t>Олеся Крохина</t>
  </si>
  <si>
    <t>20260630-8186-440656915</t>
  </si>
  <si>
    <t>Олеся Порхало</t>
  </si>
  <si>
    <t>20260825-8186-459972581</t>
  </si>
  <si>
    <t>Ольга Александрова, ИЛЬЯ ИВАНОВ</t>
  </si>
  <si>
    <t>20260702-8186-441025472</t>
  </si>
  <si>
    <t>Ольга Алимова</t>
  </si>
  <si>
    <t>20260921-8186-458690011</t>
  </si>
  <si>
    <t>Ольга Ахапкина, Дмитрий Ахапкин</t>
  </si>
  <si>
    <t>20260715-8186-450507435</t>
  </si>
  <si>
    <t>Ольга Беловол</t>
  </si>
  <si>
    <t>20260930-8186-469639188</t>
  </si>
  <si>
    <t>20260918-8186-452110660</t>
  </si>
  <si>
    <t>Ольга Беспалова</t>
  </si>
  <si>
    <t>20260908-8186-455933749</t>
  </si>
  <si>
    <t>Ольга Бобылева, Сергей Гайдук</t>
  </si>
  <si>
    <t>20260720-8186-421910187</t>
  </si>
  <si>
    <t>ОЛЬГА ВАХНЕНКО</t>
  </si>
  <si>
    <t>20260919-8186-464149509</t>
  </si>
  <si>
    <t>Ольга Верховцева</t>
  </si>
  <si>
    <t>20260901-8186-462400147</t>
  </si>
  <si>
    <t>Ольга Галатенко, Павел Ворник</t>
  </si>
  <si>
    <t>20260729-8186-414621062</t>
  </si>
  <si>
    <t>Ольга Егоренкова</t>
  </si>
  <si>
    <t>20260915-8186-459062307</t>
  </si>
  <si>
    <t>ОЛЬГА Запара, ВИКТОР ЗАПАРА</t>
  </si>
  <si>
    <t>20260809-8186-455980804</t>
  </si>
  <si>
    <t>ОЛЬГА ЗДОРИКОВА</t>
  </si>
  <si>
    <t>20260821-8186-458141920</t>
  </si>
  <si>
    <t>Ольга Каширина, Михаил Китаев</t>
  </si>
  <si>
    <t>20260819-8186-406343443</t>
  </si>
  <si>
    <t>Ольга Коростелева, Андрей Коростелев</t>
  </si>
  <si>
    <t>20260716-8186-448718425</t>
  </si>
  <si>
    <t>ОЛЬГА КОРШУНОВА</t>
  </si>
  <si>
    <t>20260713-8186-449799013</t>
  </si>
  <si>
    <t>Ольга Красоцкая, Ольга Красоцкая</t>
  </si>
  <si>
    <t>20260821-8186-460289458</t>
  </si>
  <si>
    <t>Ольга Ляшенко</t>
  </si>
  <si>
    <t>20260822-8186-435212432</t>
  </si>
  <si>
    <t>ОЛЬГА МАКСИМОВИЧ, ПАВЕЛ ГУРБИЧ</t>
  </si>
  <si>
    <t>20260929-8186-465328503</t>
  </si>
  <si>
    <t>Ольга Маурина</t>
  </si>
  <si>
    <t>20260707-8186-408949108</t>
  </si>
  <si>
    <t>Ольга Минченко, Станислав Сушков</t>
  </si>
  <si>
    <t>20260709-8186-448353253</t>
  </si>
  <si>
    <t>ОЛЬГА Мотовилова</t>
  </si>
  <si>
    <t>20260917-8186-466217197</t>
  </si>
  <si>
    <t>Ольга Пономарева</t>
  </si>
  <si>
    <t>20260802-8186-438830441</t>
  </si>
  <si>
    <t>ОЛЬГА ПРОСКУРНИНА, АЛЕНА ПРОСКУРНИНА</t>
  </si>
  <si>
    <t>20260923-8186-461586020</t>
  </si>
  <si>
    <t>Ольга Протопопова</t>
  </si>
  <si>
    <t>20260913-8186-465502302</t>
  </si>
  <si>
    <t>Ольга Савостьянова</t>
  </si>
  <si>
    <t>20260714-8186-448937681</t>
  </si>
  <si>
    <t>Ольга Самыгина</t>
  </si>
  <si>
    <t>20260702-8186-443610618</t>
  </si>
  <si>
    <t>Ольга Саппо, Александр Саппо</t>
  </si>
  <si>
    <t>20260914-8186-463592259</t>
  </si>
  <si>
    <t>ОЛЬГА САРАТОВА</t>
  </si>
  <si>
    <t>20260915-8186-462648104</t>
  </si>
  <si>
    <t>Ольга Свидинская</t>
  </si>
  <si>
    <t>ОЛЬГА СОЛДАТОВА</t>
  </si>
  <si>
    <t>20260803-8186-441315614</t>
  </si>
  <si>
    <t>ОЛЬГА УШАКОВА</t>
  </si>
  <si>
    <t>20260901-8186-425074158</t>
  </si>
  <si>
    <t>Ольга Федрунова, Ирина Федрунова</t>
  </si>
  <si>
    <t>Ольга Шашкина, Дарья Павлова</t>
  </si>
  <si>
    <t>20260716-8186-408701650</t>
  </si>
  <si>
    <t>ПАВЕЛ БЕЛИЧ, Кристина Углина</t>
  </si>
  <si>
    <t>20260821-8186-456404204</t>
  </si>
  <si>
    <t>Павел Воеводин</t>
  </si>
  <si>
    <t>20260710-8186-447566954</t>
  </si>
  <si>
    <t>Павел Глазов, Елена Глазова</t>
  </si>
  <si>
    <t>20260729-8186-435927071</t>
  </si>
  <si>
    <t>Павел Ефимов, АНАСТАСИЯ КУЗЬМИНА</t>
  </si>
  <si>
    <t>20260808-8186-407846139</t>
  </si>
  <si>
    <t>Павел Жуков, Анастасия Алёхина</t>
  </si>
  <si>
    <t>20260703-8186-447242080</t>
  </si>
  <si>
    <t>ПАВЕЛ Карпенко</t>
  </si>
  <si>
    <t>20260721-8186-451946348</t>
  </si>
  <si>
    <t>20260807-8186-456585118</t>
  </si>
  <si>
    <t>20260917-8186-466595912</t>
  </si>
  <si>
    <t>20260901-8186-421878685</t>
  </si>
  <si>
    <t>ПАВЕЛ ЛОГИНОВ, ФИЛИПП ЛОГИНОВ</t>
  </si>
  <si>
    <t>20260718-8186-433966251</t>
  </si>
  <si>
    <t>Павел Рыбальский, ОКСАНА РЫБАЛЬСКАЯ</t>
  </si>
  <si>
    <t>20260912-8186-460732993</t>
  </si>
  <si>
    <t>Павел Свобода, Софья Суродина</t>
  </si>
  <si>
    <t>20260720-8186-448843941</t>
  </si>
  <si>
    <t>Павел Субботин, ЛУИЗА СУББОТИНА, МИХАИЛ СУББОТИН</t>
  </si>
  <si>
    <t>20260810-8186-414060341</t>
  </si>
  <si>
    <t>Павел Токарев, Кристина Банникова</t>
  </si>
  <si>
    <t>20260708-8186-447095510</t>
  </si>
  <si>
    <t>ПАВЛЕ ЕЛИСЕЕВ, Ольга Елисеева</t>
  </si>
  <si>
    <t>20260711-8186-411332065</t>
  </si>
  <si>
    <t>Петр Качкаев, Олеся Громовая</t>
  </si>
  <si>
    <t>20260709-8186-448291072</t>
  </si>
  <si>
    <t>ПЛАМЕН ДОБЫЧИН</t>
  </si>
  <si>
    <t>20260904-8186-463419173</t>
  </si>
  <si>
    <t>Полина Аксиненко</t>
  </si>
  <si>
    <t>20260828-8186-461460335</t>
  </si>
  <si>
    <t>20260913-8186-464324763</t>
  </si>
  <si>
    <t>Рамазан Ибрагимов, Евгения Ибрагимова</t>
  </si>
  <si>
    <t>20260715-8186-403957014</t>
  </si>
  <si>
    <t>Раушания Камалова</t>
  </si>
  <si>
    <t>20260913-8186-458347426</t>
  </si>
  <si>
    <t>Регина Гирфанова</t>
  </si>
  <si>
    <t>20260820-8186-455722511</t>
  </si>
  <si>
    <t>РИНАТ ТЕМИРБУЛАТОВ</t>
  </si>
  <si>
    <t>20260930-8186-468223714</t>
  </si>
  <si>
    <t>Розалия Рыбина</t>
  </si>
  <si>
    <t>20260908-8186-464325070</t>
  </si>
  <si>
    <t>Роман Алеев</t>
  </si>
  <si>
    <t>20260909-8186-464775049</t>
  </si>
  <si>
    <t>20260729-8186-450751367</t>
  </si>
  <si>
    <t>Роман Крайнов</t>
  </si>
  <si>
    <t>20260913-8186-454223445</t>
  </si>
  <si>
    <t>Роман Кучерявый, Елена Калюжная</t>
  </si>
  <si>
    <t>20260922-8186-467755700</t>
  </si>
  <si>
    <t>Роман Маланичев</t>
  </si>
  <si>
    <t>20260827-8186-461645701</t>
  </si>
  <si>
    <t>Роман Новосельский, Анна Новосельская</t>
  </si>
  <si>
    <t>20260701-8186-442331632</t>
  </si>
  <si>
    <t>РОМАН СЕМЕНОВ, НАТАЛИЯ СЕМЕНЮК</t>
  </si>
  <si>
    <t>20260910-8186-464069556</t>
  </si>
  <si>
    <t>Роман Солодовник, НАТАЛЬЯ Солодовник</t>
  </si>
  <si>
    <t>Роман Федотов</t>
  </si>
  <si>
    <t>20260712-8186-444317307</t>
  </si>
  <si>
    <t>РОМАН ХРОМЦОВ, Анна Курносова</t>
  </si>
  <si>
    <t>продление номера — 2 000,00 ₽; Завтрак "Шведский стол"</t>
  </si>
  <si>
    <t>20260717-8186-434712508</t>
  </si>
  <si>
    <t>РОМАН ЧЕРНЫЙ, София Швеина</t>
  </si>
  <si>
    <t>20260811-8186-457112074</t>
  </si>
  <si>
    <t>Рузания Ильясова</t>
  </si>
  <si>
    <t>20260819-8186-459377986</t>
  </si>
  <si>
    <t>Руслан Балабушко, Марина Балабушко</t>
  </si>
  <si>
    <t>20260906-8186-464177351</t>
  </si>
  <si>
    <t>Руслан Мустафаев</t>
  </si>
  <si>
    <t>20260808-8186-453192486</t>
  </si>
  <si>
    <t>Руслан Хабибуллин, Марина Хабибуллина</t>
  </si>
  <si>
    <t>20260810-8186-457351716</t>
  </si>
  <si>
    <t>РУФИНА ШАКИРОВА</t>
  </si>
  <si>
    <t>20260710-8186-431599148</t>
  </si>
  <si>
    <t>Садик Алимов, Анна Алимова</t>
  </si>
  <si>
    <t>20260728-8186-454019745</t>
  </si>
  <si>
    <t>САМИР НАГИЕВ, ОЛЕСЯ САФРОНОВА</t>
  </si>
  <si>
    <t>20260805-8186-456086133</t>
  </si>
  <si>
    <t>Самир Нагиев, ОЛЕСЯ САФРОНОВА</t>
  </si>
  <si>
    <t>20260923-8186-464989668</t>
  </si>
  <si>
    <t>СВЕТЛАНА АНДРЕЕВА</t>
  </si>
  <si>
    <t>20260819-8186-412191327</t>
  </si>
  <si>
    <t>Светлана Гилёва, Людмила РОГОЖНЕВА</t>
  </si>
  <si>
    <t>20260831-8186-446583307</t>
  </si>
  <si>
    <t>Светлана Говорина</t>
  </si>
  <si>
    <t>20260914-8186-463592251</t>
  </si>
  <si>
    <t>СВЕТЛАНА КОРСУНСКАЯ</t>
  </si>
  <si>
    <t>20260812-8186-451725472</t>
  </si>
  <si>
    <t>Светлана Кривашапова, Анна Янчалкова</t>
  </si>
  <si>
    <t>20260812-8186-456358699</t>
  </si>
  <si>
    <t>Светлана Михалева, Анастасия Михалева</t>
  </si>
  <si>
    <t>20260914-8186-465267939</t>
  </si>
  <si>
    <t>Светлана Носницына, ВЯЧЕСЛАВ БОЧАРОВ</t>
  </si>
  <si>
    <t>20260817-8186-425895976</t>
  </si>
  <si>
    <t>СВЕТЛАНА РУДСКАЯ, СЕРГЕЙ ХАРЧЕНКО</t>
  </si>
  <si>
    <t>20260830-8186-455487869</t>
  </si>
  <si>
    <t>20260823-8186-427400890</t>
  </si>
  <si>
    <t>Светлана Серебрякова, Майя Серебрякова</t>
  </si>
  <si>
    <t>20260823-8186-458898583</t>
  </si>
  <si>
    <t>Светлана Слепцова</t>
  </si>
  <si>
    <t>20260927-8186-461038134</t>
  </si>
  <si>
    <t>20260808-8186-411825729</t>
  </si>
  <si>
    <t>Светлана Смирнова, Дмитрий Букатов</t>
  </si>
  <si>
    <t>20260928-8186-464218932</t>
  </si>
  <si>
    <t>Светлана Федорова, Лев Родин</t>
  </si>
  <si>
    <t>20260901-8186-461767094</t>
  </si>
  <si>
    <t>Светлана Четверткова, Ксения Четверткова</t>
  </si>
  <si>
    <t>20260718-8186-450585289</t>
  </si>
  <si>
    <t>Святослав Семенов</t>
  </si>
  <si>
    <t>20260720-8186-434464061</t>
  </si>
  <si>
    <t>СЕВДА МАМЕДОВА, РОМАН МЕЖОВ</t>
  </si>
  <si>
    <t>продление номера — 8 250,00 ₽; Завтрак "Шведский стол"</t>
  </si>
  <si>
    <t>20260816-8186-457807232</t>
  </si>
  <si>
    <t>Семен Влах, Екатерина Суханова</t>
  </si>
  <si>
    <t>20260915-8186-434150224</t>
  </si>
  <si>
    <t>Семен Гурьев</t>
  </si>
  <si>
    <t>Семен Клямкин, ЕЛЕНА МЕЩЕРЯКОВА</t>
  </si>
  <si>
    <t>Семён Новосельский</t>
  </si>
  <si>
    <t>20260711-8186-430006493</t>
  </si>
  <si>
    <t>Сергей Денисов, Юлия Денисова</t>
  </si>
  <si>
    <t>meal_bf_buffet_1; meal_bf_buffet_1; продление номера — 1 800,00 ₽; продление номера — 400,00 ₽; продление номера — 300,00 ₽; продление номера — 6 675,00 ₽; Завтрак "Шведский стол"</t>
  </si>
  <si>
    <t>20260922-8186-464618227</t>
  </si>
  <si>
    <t>Сергей Иванов, Юлия Иванова</t>
  </si>
  <si>
    <t>20260720-8186-450544842</t>
  </si>
  <si>
    <t>СЕРГЕЙ КИРИЛИХИН</t>
  </si>
  <si>
    <t>20260809-8186-457090858</t>
  </si>
  <si>
    <t>СЕРГЕЙ КОРЧИН</t>
  </si>
  <si>
    <t>20260810-8186-457337413</t>
  </si>
  <si>
    <t>20260801-8186-454949220</t>
  </si>
  <si>
    <t>20260807-8186-456681097</t>
  </si>
  <si>
    <t>продление номера — 200,00 ₽; Завтрак "Шведский стол"</t>
  </si>
  <si>
    <t>20260914-8186-463962780</t>
  </si>
  <si>
    <t>Сергей Котов, Елена Котова</t>
  </si>
  <si>
    <t>20260912-8186-465616787</t>
  </si>
  <si>
    <t>Сергей Краузе, Елена Мариевская</t>
  </si>
  <si>
    <t>20260702-8186-447117619</t>
  </si>
  <si>
    <t>сергей кривченко</t>
  </si>
  <si>
    <t>20260708-8186-448685660</t>
  </si>
  <si>
    <t>20260806-8186-456464200</t>
  </si>
  <si>
    <t>20260710-8186-449225976</t>
  </si>
  <si>
    <t>20260730-8186-454570903</t>
  </si>
  <si>
    <t>20260801-8186-455105013</t>
  </si>
  <si>
    <t>20260808-8186-457018634</t>
  </si>
  <si>
    <t>20260814-8186-458697730</t>
  </si>
  <si>
    <t>20260810-8186-457508617</t>
  </si>
  <si>
    <t>СЕРГЕЙ КУЛИКОВ</t>
  </si>
  <si>
    <t>20260901-8186-421882419</t>
  </si>
  <si>
    <t>СЕРГЕЙ ЛОГИНОВ, АЛИСА ЛОГИНОВА</t>
  </si>
  <si>
    <t>20260830-8186-456795871</t>
  </si>
  <si>
    <t>СЕРГЕЙ МАКАРОВ, Юлина Макарова</t>
  </si>
  <si>
    <t>20260727-8186-449971712</t>
  </si>
  <si>
    <t>Сергей Маловичко, Елена Зорина</t>
  </si>
  <si>
    <t>Сергей Манченков, Анастасия Лещева</t>
  </si>
  <si>
    <t>20260710-8186-448702042</t>
  </si>
  <si>
    <t>Сергей Митяев, ANASTASIYA TOROSYAN</t>
  </si>
  <si>
    <t>20260806-8186-456267629</t>
  </si>
  <si>
    <t>СЕРГЕЙ МИХЕЕВ, АМЕЛИЯ МИХЕЕВА</t>
  </si>
  <si>
    <t>20260924-8186-465190017</t>
  </si>
  <si>
    <t>СЕРГЕЙ МОКРИНСКИЙ, ИРИНА МОКРИНСКАЯ</t>
  </si>
  <si>
    <t>20260707-8186-444464400</t>
  </si>
  <si>
    <t>Сергей Морозов, Виктория Морозова</t>
  </si>
  <si>
    <t>20260716-8186-437389528</t>
  </si>
  <si>
    <t>СЕРГЕЙ ОСИПОВ, Эвелина Смыслина</t>
  </si>
  <si>
    <t>20260909-8186-464462558</t>
  </si>
  <si>
    <t>Сергей Полянский</t>
  </si>
  <si>
    <t>20260710-8186-449007541</t>
  </si>
  <si>
    <t>Сергей Реутов</t>
  </si>
  <si>
    <t>20260714-8186-450064455</t>
  </si>
  <si>
    <t>СЕРГЕЙ САЛТЫКОВ</t>
  </si>
  <si>
    <t>20260715-8186-450213608</t>
  </si>
  <si>
    <t>20260713-8186-449580597</t>
  </si>
  <si>
    <t>20260724-8186-452868322</t>
  </si>
  <si>
    <t>20260713-8186-448319484</t>
  </si>
  <si>
    <t>Сергей Сварник</t>
  </si>
  <si>
    <t>20260723-8186-449693468</t>
  </si>
  <si>
    <t>Сергей Семенишин, Евгения Ермишкина</t>
  </si>
  <si>
    <t>20260828-8186-462177609</t>
  </si>
  <si>
    <t>СЕРГЕЙ СЕРЕГИН</t>
  </si>
  <si>
    <t>20260911-8186-465366665</t>
  </si>
  <si>
    <t>20260801-8186-455110906</t>
  </si>
  <si>
    <t>СЕРГЕЙ СИВЕРИН</t>
  </si>
  <si>
    <t>20260717-8186-450533105</t>
  </si>
  <si>
    <t>СЕРГЕЙ Тимошенко</t>
  </si>
  <si>
    <t>20260828-8186-430964258</t>
  </si>
  <si>
    <t>Сергей Филяс, Виктория Хренова</t>
  </si>
  <si>
    <t>Сергей Хрусталев</t>
  </si>
  <si>
    <t>20260909-8186-464779928</t>
  </si>
  <si>
    <t>Сергей Чеканов</t>
  </si>
  <si>
    <t>20260919-8186-466902324</t>
  </si>
  <si>
    <t>Сергей Шаролапов</t>
  </si>
  <si>
    <t>20260704-8186-447496041</t>
  </si>
  <si>
    <t>Сергей Шпаков, ВАЛЕРИЯ ШПАКОВА</t>
  </si>
  <si>
    <t>продление номера — 2 752,00 ₽; продление номера — 688,00 ₽; Завтрак "Шведский стол"</t>
  </si>
  <si>
    <t>20260819-8186-457340079</t>
  </si>
  <si>
    <t>София Гапаева, Юлия Тыртычева</t>
  </si>
  <si>
    <t>20260810-8186-434605762</t>
  </si>
  <si>
    <t>СОФЬЯ МАКАРОВА, МАКСИМ САЛТЫКОВ</t>
  </si>
  <si>
    <t>20260806-8186-421013488</t>
  </si>
  <si>
    <t>Станислав Драпеза, Елена Жданович</t>
  </si>
  <si>
    <t>20260725-8186-451545829</t>
  </si>
  <si>
    <t>Станислав Ершов, Мария Мельникова</t>
  </si>
  <si>
    <t>продление номера — 8 900,00 ₽; Завтрак "Шведский стол"</t>
  </si>
  <si>
    <t>20260923-8186-467728893</t>
  </si>
  <si>
    <t>Станислав Николаев</t>
  </si>
  <si>
    <t>20260916-8186-461387202</t>
  </si>
  <si>
    <t>Станислав Шапырин</t>
  </si>
  <si>
    <t>20260812-8186-457353835</t>
  </si>
  <si>
    <t>Сурен Мусаелян</t>
  </si>
  <si>
    <t>20260725-8186-451752132</t>
  </si>
  <si>
    <t>Татьяна Августова, ПОЛИНА БУЛЛЕР</t>
  </si>
  <si>
    <t>20260920-8186-464686169</t>
  </si>
  <si>
    <t>Татьяна Аксиненко</t>
  </si>
  <si>
    <t>20260907-8186-462321664</t>
  </si>
  <si>
    <t>20260729-8186-454077989</t>
  </si>
  <si>
    <t>Татьяна Бельтюкова</t>
  </si>
  <si>
    <t>20260828-8186-461231604</t>
  </si>
  <si>
    <t>Татьяна Губанова, Андрей Губанов</t>
  </si>
  <si>
    <t>20260917-8186-465196900</t>
  </si>
  <si>
    <t>Татьяна Еремеева</t>
  </si>
  <si>
    <t>20260715-8186-440318690</t>
  </si>
  <si>
    <t>Татьяна Кагановская, Александра Кагановская</t>
  </si>
  <si>
    <t>20260907-8186-462098127</t>
  </si>
  <si>
    <t>Татьяна Казакова</t>
  </si>
  <si>
    <t>Завтрак "Шведский стол"; Ранний заезд — 9 080,00 ₽</t>
  </si>
  <si>
    <t>20260901-8186-461813683</t>
  </si>
  <si>
    <t>Татьяна Коржаева</t>
  </si>
  <si>
    <t>20260803-8186-453518058</t>
  </si>
  <si>
    <t>20260910-8186-461133023</t>
  </si>
  <si>
    <t>ТАТЬЯНА МЕРКУЛОВА</t>
  </si>
  <si>
    <t>20260823-8186-460513240</t>
  </si>
  <si>
    <t>Татьяна Мешкова</t>
  </si>
  <si>
    <t>20260817-8186-450392040</t>
  </si>
  <si>
    <t>20260817-8186-450380196</t>
  </si>
  <si>
    <t>Татьяна Мулинова</t>
  </si>
  <si>
    <t>20260721-8186-445148990</t>
  </si>
  <si>
    <t>Татьяна Парунова, Виталий Терехов</t>
  </si>
  <si>
    <t>20260807-8186-451684061</t>
  </si>
  <si>
    <t>ТАТЬЯНА ПЕТРОВА, ЕЛЕНА ВАЛЬТЕР</t>
  </si>
  <si>
    <t>20260829-8186-451483327</t>
  </si>
  <si>
    <t>Татьяна Познякова, Павел Синявский</t>
  </si>
  <si>
    <t>20260911-8186-457261694</t>
  </si>
  <si>
    <t>ТАТЬЯНА ПРУССАКОВА</t>
  </si>
  <si>
    <t>20260919-8186-459559612</t>
  </si>
  <si>
    <t>ТАТЬЯНА РИКАЛЕНКО</t>
  </si>
  <si>
    <t>20260804-8186-452574889</t>
  </si>
  <si>
    <t>Татьяна Слезко, Анна Максимова</t>
  </si>
  <si>
    <t>продление номера — 90,00 ₽; Завтрак "Шведский стол"</t>
  </si>
  <si>
    <t>20260724-8186-448711908</t>
  </si>
  <si>
    <t>ТАТЬЯНА СЛИВНИЦЫНА, МАЙЯ СЛИВНИЦЫНА</t>
  </si>
  <si>
    <t>продление номера — 1 300,00 ₽; Завтрак "Шведский стол"</t>
  </si>
  <si>
    <t>20260721-8186-429851742</t>
  </si>
  <si>
    <t>Татьяна СМирнова, НИКИТА БОРМОТКИН</t>
  </si>
  <si>
    <t>20260822-8186-438680558</t>
  </si>
  <si>
    <t>ТАТЬЯНА ТИМАКИНА, ЮЛИЯ ТИМАКИНА</t>
  </si>
  <si>
    <t>20260712-8186-449535687</t>
  </si>
  <si>
    <t>теймур алиев</t>
  </si>
  <si>
    <t>20260713-8186-448358432</t>
  </si>
  <si>
    <t>Тимофей Гладков</t>
  </si>
  <si>
    <t>Тимофей Чистяков, Ольга Чистякова</t>
  </si>
  <si>
    <t>20260926-8186-468560155</t>
  </si>
  <si>
    <t>Тимур Кукусов, Алина Алейникова</t>
  </si>
  <si>
    <t>20260807-8186-440649751</t>
  </si>
  <si>
    <t>Ульяна Вердельман, Никита Запольский</t>
  </si>
  <si>
    <t>20260819-8186-418481838</t>
  </si>
  <si>
    <t>Ульяна Главная, Никита Копылов</t>
  </si>
  <si>
    <t>20260915-8186-456118917</t>
  </si>
  <si>
    <t>УЛЬЯНА ЦОЙ</t>
  </si>
  <si>
    <t>20260630-8186-444852393</t>
  </si>
  <si>
    <t>УМАХАН САДЫКОВ</t>
  </si>
  <si>
    <t>20260911-8186-464105054</t>
  </si>
  <si>
    <t>Уфук Кырмызыгедик, Полина Кырмызыгедик</t>
  </si>
  <si>
    <t>20260714-8186-443685155</t>
  </si>
  <si>
    <t>Фарида Баширова, Гульнар Мингалиева</t>
  </si>
  <si>
    <t>20260715-8186-408690775</t>
  </si>
  <si>
    <t>20260718-8186-440294808</t>
  </si>
  <si>
    <t>Фарида Торубарова, Лилия Минкина</t>
  </si>
  <si>
    <t>Федор Кузичкин, Роман Рафаилов</t>
  </si>
  <si>
    <t>20260725-8186-453252891</t>
  </si>
  <si>
    <t>ФЛОРИАН ГИНТЕР, ДАРЬЯ БОЙКО</t>
  </si>
  <si>
    <t>20260930-8186-469709667</t>
  </si>
  <si>
    <t>ШАШИН ШАШИН</t>
  </si>
  <si>
    <t>20260718-8186-430280842</t>
  </si>
  <si>
    <t>Эдуард Дорожкин, Марина Дорожкина</t>
  </si>
  <si>
    <t>20260824-8186-458333110</t>
  </si>
  <si>
    <t>Эдуард Исаков</t>
  </si>
  <si>
    <t>20260926-8186-468485866</t>
  </si>
  <si>
    <t>Эка Шанава, Дарья Григорян</t>
  </si>
  <si>
    <t>20260917-8186-461649705</t>
  </si>
  <si>
    <t>Экатеринэ Лобжанидзе</t>
  </si>
  <si>
    <t>20260713-8186-447978413</t>
  </si>
  <si>
    <t>ЭЛЕН АКОПОВА</t>
  </si>
  <si>
    <t>20260713-8186-434449741</t>
  </si>
  <si>
    <t>ЭЛЬЗА ХАМЗИНА, НАФИСА КУЛУЕВА</t>
  </si>
  <si>
    <t>20260708-8186-448529248</t>
  </si>
  <si>
    <t>ЮЛИЯ БАКШЕЕВА, МАТВЕЙ ЗИМАЙЛО</t>
  </si>
  <si>
    <t>Завтрак "Шведский стол"; Поздний выезд — 3 445,00 ₽</t>
  </si>
  <si>
    <t>20260818-8186-459679856</t>
  </si>
  <si>
    <t>Юлия Болгова</t>
  </si>
  <si>
    <t>20260815-8186-458412797</t>
  </si>
  <si>
    <t>20260716-8186-438301820</t>
  </si>
  <si>
    <t>Юлия Вирц, СОФИЯ ЗАМИРАЛОВА</t>
  </si>
  <si>
    <t>20260929-8186-467455141</t>
  </si>
  <si>
    <t>Юлия Захарова</t>
  </si>
  <si>
    <t>20260706-8186-446293807</t>
  </si>
  <si>
    <t>Юлия Ковалева</t>
  </si>
  <si>
    <t>20260708-8186-447095529</t>
  </si>
  <si>
    <t>Юлия Корастелева</t>
  </si>
  <si>
    <t>20260729-8186-451924244</t>
  </si>
  <si>
    <t>ЮЛИЯ КУЗИЧЕВА, Александр Кузичев</t>
  </si>
  <si>
    <t>20260916-8186-460139139</t>
  </si>
  <si>
    <t>ЮЛИЯ КУЗНЕЦОВА</t>
  </si>
  <si>
    <t>20260717-8186-442283023</t>
  </si>
  <si>
    <t>Юлия Кускова, Павел Трегуб</t>
  </si>
  <si>
    <t>ЮЛИЯ ЛЕУТИНА, НИКИТА ЛЕУТИН</t>
  </si>
  <si>
    <t>20260725-8186-451524573</t>
  </si>
  <si>
    <t>Юлия Ликаренко</t>
  </si>
  <si>
    <t>продление номера — 2 480,00 ₽</t>
  </si>
  <si>
    <t>20260820-8186-454554202</t>
  </si>
  <si>
    <t>Юлия Любомирова</t>
  </si>
  <si>
    <t>20260705-8186-447705881</t>
  </si>
  <si>
    <t>ЮЛИЯ МЕДВЕДЕВА, МАРИЯ МЕДВЕДЕВА</t>
  </si>
  <si>
    <t>Юлия Митина, Сергей Митин</t>
  </si>
  <si>
    <t>20260814-8186-456123804</t>
  </si>
  <si>
    <t>ЮЛИЯ ПАЛИЙ, ВАЛЕРИЯ ПАЛИЙ</t>
  </si>
  <si>
    <t>20260906-8186-461883708</t>
  </si>
  <si>
    <t>ЮЛИЯ САЛАТА</t>
  </si>
  <si>
    <t>20260904-8186-461445761</t>
  </si>
  <si>
    <t>Юлия Чемакина, Андрей Мамаев</t>
  </si>
  <si>
    <t>20260918-8186-459511897</t>
  </si>
  <si>
    <t>Юлия Эмануэль</t>
  </si>
  <si>
    <t>20260925-8186-465181123</t>
  </si>
  <si>
    <t>Юния Сафронова</t>
  </si>
  <si>
    <t>20260903-8186-463521602</t>
  </si>
  <si>
    <t>ЮРИЙ БОРИСЕНКО, НАТАЛИЯ БУРЦЕВА</t>
  </si>
  <si>
    <t>20260904-8186-455342242</t>
  </si>
  <si>
    <t>Юрий Борисенко, Наталия Бурцева</t>
  </si>
  <si>
    <t>20260811-8186-417991409</t>
  </si>
  <si>
    <t>Юрий Губарев, СВЕТЛАНА ГУБАРЕВА</t>
  </si>
  <si>
    <t>20260818-8186-454003492</t>
  </si>
  <si>
    <t>Юрий Митюков, Анна Мекина</t>
  </si>
  <si>
    <t>20260802-8186-450372690</t>
  </si>
  <si>
    <t>Юрий Эпоев, Юстина Гусейнова</t>
  </si>
  <si>
    <t>20260727-8186-441733245</t>
  </si>
  <si>
    <t>Юрия Соколов, Валентина Соловьева</t>
  </si>
  <si>
    <t>20260825-8186-452662018</t>
  </si>
  <si>
    <t>Ядвига Кирсанова</t>
  </si>
  <si>
    <t>20260724-8186-451950013</t>
  </si>
  <si>
    <t>ЯКОВ НИКОНОВ</t>
  </si>
  <si>
    <t>20260707-8186-448033269</t>
  </si>
  <si>
    <t>Яков Никонов</t>
  </si>
  <si>
    <t>продление номера — 1 812,00 ₽; Завтрак "Шведский стол"</t>
  </si>
  <si>
    <t>20260813-8186-457325306</t>
  </si>
  <si>
    <t>Ян Метринский</t>
  </si>
  <si>
    <t>20260911-8186-429106837</t>
  </si>
  <si>
    <t>Ян Элксниньш, Лилия Элксниньш</t>
  </si>
  <si>
    <t>20260629-8186-440728066</t>
  </si>
  <si>
    <t>Яна ЛИБЕРМАН</t>
  </si>
  <si>
    <t>ЯНА МАКАРОВА, АЛЕКСАНДР МИХАЛЕВА</t>
  </si>
  <si>
    <t>20260813-8186-456022228</t>
  </si>
  <si>
    <t>ЯНИНА АНУЩЕНКОВА</t>
  </si>
  <si>
    <t>продление номера — 3 300,00 ₽; Завтрак "Шведский стол"</t>
  </si>
  <si>
    <t>20260705-8186-444990056</t>
  </si>
  <si>
    <t>ЯРОСЛАВ МОРОЗОВ, ЕВГЕНИЯ ШУБИНА</t>
  </si>
  <si>
    <t>20260701-8186-442331708</t>
  </si>
  <si>
    <t>ЯРОСЛАВ СЕМЕНОВ</t>
  </si>
  <si>
    <t>15161.30</t>
  </si>
  <si>
    <t>12682.50</t>
  </si>
  <si>
    <t xml:space="preserve">Завтрак "Шведский стол";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</si>
</sst>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dd\.mm\.yyyy\ hh:m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  <charset val="204"/>
    </font>
    <font>
      <sz val="11"/>
      <color rgb="FF364963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" fontId="0" fillId="3" borderId="0" xfId="0" applyNumberFormat="1" applyFill="1"/>
    <xf numFmtId="0" fontId="0" fillId="4" borderId="0" xfId="0" applyFill="1"/>
    <xf numFmtId="0" fontId="1" fillId="5" borderId="0" xfId="0" applyFont="1" applyFill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/>
    <xf numFmtId="0" fontId="2" fillId="0" borderId="1" xfId="0" applyFont="1" applyBorder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1" fillId="8" borderId="1" xfId="0" applyFont="1" applyFill="1" applyBorder="1" applyAlignment="1">
      <alignment wrapText="1"/>
    </xf>
    <xf numFmtId="4" fontId="0" fillId="6" borderId="0" xfId="0" applyNumberFormat="1" applyFill="1"/>
    <xf numFmtId="4" fontId="0" fillId="9" borderId="0" xfId="0" applyNumberFormat="1" applyFill="1"/>
    <xf numFmtId="0" fontId="3" fillId="0" borderId="0" xfId="0" applyFont="1"/>
    <xf numFmtId="164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9"/>
  <sheetViews>
    <sheetView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24" customWidth="1"/>
    <col min="2" max="2" width="9" customWidth="1"/>
    <col min="3" max="3" width="35" customWidth="1"/>
    <col min="4" max="4" width="18" customWidth="1"/>
    <col min="5" max="5" width="13.85546875" customWidth="1"/>
    <col min="6" max="6" width="36" customWidth="1"/>
    <col min="7" max="7" width="22.5703125" customWidth="1"/>
    <col min="8" max="8" width="16" customWidth="1"/>
    <col min="9" max="9" width="24" customWidth="1"/>
    <col min="10" max="10" width="48" customWidth="1"/>
    <col min="11" max="11" width="16.42578125" customWidth="1"/>
    <col min="12" max="12" width="10" customWidth="1"/>
    <col min="13" max="13" width="16" customWidth="1"/>
    <col min="14" max="16" width="12" customWidth="1"/>
    <col min="17" max="17" width="25" customWidth="1"/>
    <col min="18" max="18" width="30" customWidth="1"/>
    <col min="19" max="19" width="10" customWidth="1"/>
    <col min="20" max="20" width="8" customWidth="1"/>
    <col min="21" max="21" width="45" customWidth="1"/>
  </cols>
  <sheetData>
    <row r="1" spans="1:21" s="1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ht="30" x14ac:dyDescent="0.25">
      <c r="A2" t="s">
        <v>21</v>
      </c>
      <c r="B2">
        <v>1</v>
      </c>
      <c r="C2" s="2" t="s">
        <v>22</v>
      </c>
      <c r="D2" s="3">
        <v>10900</v>
      </c>
      <c r="E2" s="4">
        <v>0</v>
      </c>
      <c r="F2" t="s">
        <v>23</v>
      </c>
      <c r="G2" s="3">
        <f t="shared" ref="G2:G65" si="0">ROUND(D2/(100-E2)*100,2)</f>
        <v>10900</v>
      </c>
      <c r="H2" s="3">
        <v>0</v>
      </c>
      <c r="I2" s="3">
        <f t="shared" ref="I2:I65" si="1">ROUND(G2+H2,2)</f>
        <v>10900</v>
      </c>
      <c r="J2" s="2"/>
      <c r="K2" s="5">
        <v>46204.583333333343</v>
      </c>
      <c r="L2">
        <v>1</v>
      </c>
      <c r="M2" s="3">
        <f t="shared" ref="M2:M65" si="2">I2/L2</f>
        <v>10900</v>
      </c>
      <c r="N2" t="str">
        <f t="shared" ref="N2:N65" si="3">IF(M2&gt;=5100,"ставка","мин.ставка")</f>
        <v>ставка</v>
      </c>
      <c r="O2" s="3">
        <f t="shared" ref="O2:O65" si="4">ROUND(IF(N2="мин.ставка",L2*100,I2/102*2),2)</f>
        <v>213.73</v>
      </c>
      <c r="P2" s="5">
        <v>46205.5</v>
      </c>
      <c r="Q2" t="s">
        <v>23</v>
      </c>
      <c r="R2" s="2" t="s">
        <v>24</v>
      </c>
      <c r="S2">
        <v>59</v>
      </c>
      <c r="T2">
        <v>2</v>
      </c>
    </row>
    <row r="3" spans="1:21" ht="30" x14ac:dyDescent="0.25">
      <c r="A3" t="s">
        <v>25</v>
      </c>
      <c r="B3">
        <v>1</v>
      </c>
      <c r="C3" s="2" t="s">
        <v>26</v>
      </c>
      <c r="D3" s="3">
        <v>26800</v>
      </c>
      <c r="E3" s="4">
        <v>0</v>
      </c>
      <c r="F3" t="s">
        <v>23</v>
      </c>
      <c r="G3" s="3">
        <f t="shared" si="0"/>
        <v>26800</v>
      </c>
      <c r="H3" s="3">
        <v>0</v>
      </c>
      <c r="I3" s="3">
        <f t="shared" si="1"/>
        <v>26800</v>
      </c>
      <c r="J3" s="2" t="s">
        <v>27</v>
      </c>
      <c r="K3" s="5">
        <v>46223.583333333343</v>
      </c>
      <c r="L3">
        <v>2</v>
      </c>
      <c r="M3" s="3">
        <f t="shared" si="2"/>
        <v>13400</v>
      </c>
      <c r="N3" t="str">
        <f t="shared" si="3"/>
        <v>ставка</v>
      </c>
      <c r="O3" s="3">
        <f t="shared" si="4"/>
        <v>525.49</v>
      </c>
      <c r="P3" s="5">
        <v>46225.5</v>
      </c>
      <c r="Q3" t="s">
        <v>23</v>
      </c>
      <c r="R3" s="2" t="s">
        <v>24</v>
      </c>
      <c r="S3">
        <v>59</v>
      </c>
      <c r="T3">
        <v>2</v>
      </c>
    </row>
    <row r="4" spans="1:21" ht="30" x14ac:dyDescent="0.25">
      <c r="A4" t="s">
        <v>28</v>
      </c>
      <c r="B4">
        <v>1</v>
      </c>
      <c r="C4" s="2" t="s">
        <v>29</v>
      </c>
      <c r="D4" s="3">
        <v>13860</v>
      </c>
      <c r="E4" s="4">
        <v>0</v>
      </c>
      <c r="F4" t="s">
        <v>23</v>
      </c>
      <c r="G4" s="3">
        <f t="shared" si="0"/>
        <v>13860</v>
      </c>
      <c r="H4" s="3">
        <v>0</v>
      </c>
      <c r="I4" s="3">
        <f t="shared" si="1"/>
        <v>13860</v>
      </c>
      <c r="J4" s="2" t="s">
        <v>27</v>
      </c>
      <c r="K4" s="5">
        <v>46259.583333333343</v>
      </c>
      <c r="L4">
        <v>1</v>
      </c>
      <c r="M4" s="3">
        <f t="shared" si="2"/>
        <v>13860</v>
      </c>
      <c r="N4" t="str">
        <f t="shared" si="3"/>
        <v>ставка</v>
      </c>
      <c r="O4" s="3">
        <f t="shared" si="4"/>
        <v>271.76</v>
      </c>
      <c r="P4" s="5">
        <v>46260.5</v>
      </c>
      <c r="Q4" t="s">
        <v>23</v>
      </c>
      <c r="R4" s="2" t="s">
        <v>24</v>
      </c>
      <c r="S4">
        <v>21</v>
      </c>
      <c r="T4">
        <v>1</v>
      </c>
    </row>
    <row r="5" spans="1:21" ht="30" x14ac:dyDescent="0.25">
      <c r="A5" t="s">
        <v>30</v>
      </c>
      <c r="B5">
        <v>1</v>
      </c>
      <c r="C5" s="2" t="s">
        <v>31</v>
      </c>
      <c r="D5" s="3">
        <v>7920</v>
      </c>
      <c r="E5" s="4">
        <v>18</v>
      </c>
      <c r="F5" t="s">
        <v>32</v>
      </c>
      <c r="G5" s="3">
        <f t="shared" si="0"/>
        <v>9658.5400000000009</v>
      </c>
      <c r="H5" s="3">
        <v>0</v>
      </c>
      <c r="I5" s="3">
        <f t="shared" si="1"/>
        <v>9658.5400000000009</v>
      </c>
      <c r="J5" s="2" t="s">
        <v>27</v>
      </c>
      <c r="K5" s="5">
        <v>46241.583333333343</v>
      </c>
      <c r="L5">
        <v>1</v>
      </c>
      <c r="M5" s="3">
        <f t="shared" si="2"/>
        <v>9658.5400000000009</v>
      </c>
      <c r="N5" t="str">
        <f t="shared" si="3"/>
        <v>ставка</v>
      </c>
      <c r="O5" s="3">
        <f t="shared" si="4"/>
        <v>189.38</v>
      </c>
      <c r="P5" s="5">
        <v>46242.5</v>
      </c>
      <c r="Q5" t="s">
        <v>32</v>
      </c>
      <c r="R5" s="2" t="s">
        <v>33</v>
      </c>
      <c r="S5">
        <v>47</v>
      </c>
      <c r="T5">
        <v>1</v>
      </c>
    </row>
    <row r="6" spans="1:21" ht="30" x14ac:dyDescent="0.25">
      <c r="A6" t="s">
        <v>34</v>
      </c>
      <c r="B6">
        <v>1</v>
      </c>
      <c r="C6" s="2" t="s">
        <v>35</v>
      </c>
      <c r="D6" s="3">
        <v>15130</v>
      </c>
      <c r="E6" s="4">
        <v>15</v>
      </c>
      <c r="F6" t="s">
        <v>36</v>
      </c>
      <c r="G6" s="3">
        <f t="shared" si="0"/>
        <v>17800</v>
      </c>
      <c r="H6" s="3">
        <v>0</v>
      </c>
      <c r="I6" s="3">
        <f t="shared" si="1"/>
        <v>17800</v>
      </c>
      <c r="J6" s="2" t="s">
        <v>27</v>
      </c>
      <c r="K6" s="5">
        <v>46220.583333333343</v>
      </c>
      <c r="L6">
        <v>1</v>
      </c>
      <c r="M6" s="3">
        <f t="shared" si="2"/>
        <v>17800</v>
      </c>
      <c r="N6" t="str">
        <f t="shared" si="3"/>
        <v>ставка</v>
      </c>
      <c r="O6" s="3">
        <f t="shared" si="4"/>
        <v>349.02</v>
      </c>
      <c r="P6" s="5">
        <v>46221.5</v>
      </c>
      <c r="Q6" t="s">
        <v>36</v>
      </c>
      <c r="R6" s="2" t="s">
        <v>37</v>
      </c>
      <c r="S6">
        <v>53</v>
      </c>
      <c r="T6">
        <v>2</v>
      </c>
    </row>
    <row r="7" spans="1:21" ht="30" x14ac:dyDescent="0.25">
      <c r="A7" t="s">
        <v>38</v>
      </c>
      <c r="B7">
        <v>1</v>
      </c>
      <c r="C7" s="2" t="s">
        <v>39</v>
      </c>
      <c r="D7" s="3">
        <v>7866</v>
      </c>
      <c r="E7" s="4">
        <v>18</v>
      </c>
      <c r="F7" t="s">
        <v>32</v>
      </c>
      <c r="G7" s="3">
        <f t="shared" si="0"/>
        <v>9592.68</v>
      </c>
      <c r="H7" s="3">
        <v>0</v>
      </c>
      <c r="I7" s="3">
        <f t="shared" si="1"/>
        <v>9592.68</v>
      </c>
      <c r="J7" s="2" t="s">
        <v>27</v>
      </c>
      <c r="K7" s="5">
        <v>46211.583333333343</v>
      </c>
      <c r="L7">
        <v>1</v>
      </c>
      <c r="M7" s="3">
        <f t="shared" si="2"/>
        <v>9592.68</v>
      </c>
      <c r="N7" t="str">
        <f t="shared" si="3"/>
        <v>ставка</v>
      </c>
      <c r="O7" s="3">
        <f t="shared" si="4"/>
        <v>188.09</v>
      </c>
      <c r="P7" s="5">
        <v>46212.5</v>
      </c>
      <c r="Q7" t="s">
        <v>32</v>
      </c>
      <c r="R7" s="2" t="s">
        <v>40</v>
      </c>
      <c r="S7">
        <v>52</v>
      </c>
      <c r="T7">
        <v>2</v>
      </c>
    </row>
    <row r="8" spans="1:21" ht="30" x14ac:dyDescent="0.25">
      <c r="A8" t="s">
        <v>41</v>
      </c>
      <c r="B8">
        <v>1</v>
      </c>
      <c r="C8" s="2" t="s">
        <v>42</v>
      </c>
      <c r="D8" s="3">
        <v>6557</v>
      </c>
      <c r="E8" s="4">
        <v>0</v>
      </c>
      <c r="F8" t="s">
        <v>23</v>
      </c>
      <c r="G8" s="3">
        <f t="shared" si="0"/>
        <v>6557</v>
      </c>
      <c r="H8" s="3">
        <v>0</v>
      </c>
      <c r="I8" s="3">
        <f t="shared" si="1"/>
        <v>6557</v>
      </c>
      <c r="J8" s="2" t="s">
        <v>27</v>
      </c>
      <c r="K8" s="5">
        <v>46215.583333333343</v>
      </c>
      <c r="L8">
        <v>1</v>
      </c>
      <c r="M8" s="3">
        <f t="shared" si="2"/>
        <v>6557</v>
      </c>
      <c r="N8" t="str">
        <f t="shared" si="3"/>
        <v>ставка</v>
      </c>
      <c r="O8" s="3">
        <f t="shared" si="4"/>
        <v>128.57</v>
      </c>
      <c r="P8" s="5">
        <v>46216.5</v>
      </c>
      <c r="Q8" t="s">
        <v>23</v>
      </c>
      <c r="R8" s="2" t="s">
        <v>33</v>
      </c>
      <c r="S8">
        <v>45</v>
      </c>
      <c r="T8">
        <v>1</v>
      </c>
    </row>
    <row r="9" spans="1:21" x14ac:dyDescent="0.25">
      <c r="A9" t="s">
        <v>43</v>
      </c>
      <c r="B9">
        <v>1</v>
      </c>
      <c r="C9" s="2" t="s">
        <v>44</v>
      </c>
      <c r="D9" s="3">
        <v>24310</v>
      </c>
      <c r="E9" s="4">
        <v>15</v>
      </c>
      <c r="F9" t="s">
        <v>36</v>
      </c>
      <c r="G9" s="3">
        <f t="shared" si="0"/>
        <v>28600</v>
      </c>
      <c r="H9" s="3">
        <v>0</v>
      </c>
      <c r="I9" s="3">
        <f t="shared" si="1"/>
        <v>28600</v>
      </c>
      <c r="J9" s="2"/>
      <c r="K9" s="5">
        <v>46227.583333333343</v>
      </c>
      <c r="L9">
        <v>2</v>
      </c>
      <c r="M9" s="3">
        <f t="shared" si="2"/>
        <v>14300</v>
      </c>
      <c r="N9" t="str">
        <f t="shared" si="3"/>
        <v>ставка</v>
      </c>
      <c r="O9" s="3">
        <f t="shared" si="4"/>
        <v>560.78</v>
      </c>
      <c r="P9" s="5">
        <v>46229.5</v>
      </c>
      <c r="Q9" t="s">
        <v>36</v>
      </c>
      <c r="R9" s="2" t="s">
        <v>45</v>
      </c>
      <c r="S9">
        <v>54</v>
      </c>
      <c r="T9">
        <v>2</v>
      </c>
    </row>
    <row r="10" spans="1:21" x14ac:dyDescent="0.25">
      <c r="A10" t="s">
        <v>46</v>
      </c>
      <c r="B10">
        <v>1</v>
      </c>
      <c r="C10" s="2" t="s">
        <v>47</v>
      </c>
      <c r="D10" s="3">
        <v>39600</v>
      </c>
      <c r="E10" s="4">
        <v>20</v>
      </c>
      <c r="F10" t="s">
        <v>48</v>
      </c>
      <c r="G10" s="3">
        <f t="shared" si="0"/>
        <v>49500</v>
      </c>
      <c r="H10" s="3">
        <v>0</v>
      </c>
      <c r="I10" s="3">
        <f t="shared" si="1"/>
        <v>49500</v>
      </c>
      <c r="J10" s="2" t="s">
        <v>27</v>
      </c>
      <c r="K10" s="5">
        <v>46257.583333333343</v>
      </c>
      <c r="L10">
        <v>3</v>
      </c>
      <c r="M10" s="3">
        <f t="shared" si="2"/>
        <v>16500</v>
      </c>
      <c r="N10" t="str">
        <f t="shared" si="3"/>
        <v>ставка</v>
      </c>
      <c r="O10" s="3">
        <f t="shared" si="4"/>
        <v>970.59</v>
      </c>
      <c r="P10" s="5">
        <v>46260.5</v>
      </c>
      <c r="Q10" t="s">
        <v>48</v>
      </c>
      <c r="R10" s="2" t="s">
        <v>49</v>
      </c>
      <c r="S10">
        <v>35</v>
      </c>
      <c r="T10">
        <v>1</v>
      </c>
    </row>
    <row r="11" spans="1:21" ht="30" x14ac:dyDescent="0.25">
      <c r="A11" t="s">
        <v>50</v>
      </c>
      <c r="B11">
        <v>1</v>
      </c>
      <c r="C11" s="2" t="s">
        <v>51</v>
      </c>
      <c r="D11" s="3">
        <v>22695</v>
      </c>
      <c r="E11" s="4">
        <v>15</v>
      </c>
      <c r="F11" t="s">
        <v>52</v>
      </c>
      <c r="G11" s="3">
        <f t="shared" si="0"/>
        <v>26700</v>
      </c>
      <c r="H11" s="3">
        <v>0</v>
      </c>
      <c r="I11" s="3">
        <f t="shared" si="1"/>
        <v>26700</v>
      </c>
      <c r="J11" s="2" t="s">
        <v>27</v>
      </c>
      <c r="K11" s="5">
        <v>46205.583333333343</v>
      </c>
      <c r="L11">
        <v>2</v>
      </c>
      <c r="M11" s="3">
        <f t="shared" si="2"/>
        <v>13350</v>
      </c>
      <c r="N11" t="str">
        <f t="shared" si="3"/>
        <v>ставка</v>
      </c>
      <c r="O11" s="3">
        <f t="shared" si="4"/>
        <v>523.53</v>
      </c>
      <c r="P11" s="5">
        <v>46207.5</v>
      </c>
      <c r="Q11" t="s">
        <v>52</v>
      </c>
      <c r="R11" s="2" t="s">
        <v>40</v>
      </c>
      <c r="S11">
        <v>26</v>
      </c>
      <c r="T11">
        <v>1</v>
      </c>
    </row>
    <row r="12" spans="1:21" x14ac:dyDescent="0.25">
      <c r="A12" t="s">
        <v>53</v>
      </c>
      <c r="B12">
        <v>1</v>
      </c>
      <c r="C12" s="2" t="s">
        <v>54</v>
      </c>
      <c r="D12" s="3">
        <v>87112.5</v>
      </c>
      <c r="E12" s="4">
        <v>4</v>
      </c>
      <c r="F12" t="s">
        <v>55</v>
      </c>
      <c r="G12" s="3">
        <f t="shared" si="0"/>
        <v>90742.19</v>
      </c>
      <c r="H12" s="3">
        <v>0</v>
      </c>
      <c r="I12" s="3">
        <f t="shared" si="1"/>
        <v>90742.19</v>
      </c>
      <c r="J12" s="2"/>
      <c r="K12" s="5">
        <v>46289.583333333343</v>
      </c>
      <c r="L12">
        <v>7</v>
      </c>
      <c r="M12" s="3">
        <f t="shared" si="2"/>
        <v>12963.17</v>
      </c>
      <c r="N12" t="str">
        <f t="shared" si="3"/>
        <v>ставка</v>
      </c>
      <c r="O12" s="3">
        <f t="shared" si="4"/>
        <v>1779.26</v>
      </c>
      <c r="P12" s="5">
        <v>46296.5</v>
      </c>
      <c r="Q12" t="s">
        <v>55</v>
      </c>
      <c r="R12" s="2" t="s">
        <v>45</v>
      </c>
      <c r="S12">
        <v>57</v>
      </c>
      <c r="T12">
        <v>2</v>
      </c>
    </row>
    <row r="13" spans="1:21" ht="30" x14ac:dyDescent="0.25">
      <c r="A13" t="s">
        <v>56</v>
      </c>
      <c r="B13">
        <v>1</v>
      </c>
      <c r="C13" s="2" t="s">
        <v>57</v>
      </c>
      <c r="D13" s="3">
        <v>7700</v>
      </c>
      <c r="E13" s="4">
        <v>0</v>
      </c>
      <c r="F13" t="s">
        <v>23</v>
      </c>
      <c r="G13" s="3">
        <f t="shared" si="0"/>
        <v>7700</v>
      </c>
      <c r="H13" s="3">
        <v>0</v>
      </c>
      <c r="I13" s="3">
        <f t="shared" si="1"/>
        <v>7700</v>
      </c>
      <c r="J13" s="2" t="s">
        <v>27</v>
      </c>
      <c r="K13" s="5">
        <v>46230.583333333343</v>
      </c>
      <c r="L13">
        <v>1</v>
      </c>
      <c r="M13" s="3">
        <f t="shared" si="2"/>
        <v>7700</v>
      </c>
      <c r="N13" t="str">
        <f t="shared" si="3"/>
        <v>ставка</v>
      </c>
      <c r="O13" s="3">
        <f t="shared" si="4"/>
        <v>150.97999999999999</v>
      </c>
      <c r="P13" s="5">
        <v>46231.5</v>
      </c>
      <c r="Q13" t="s">
        <v>23</v>
      </c>
      <c r="R13" s="2" t="s">
        <v>58</v>
      </c>
      <c r="S13">
        <v>34</v>
      </c>
      <c r="T13">
        <v>1</v>
      </c>
    </row>
    <row r="14" spans="1:21" ht="30" x14ac:dyDescent="0.25">
      <c r="A14" t="s">
        <v>59</v>
      </c>
      <c r="B14">
        <v>1</v>
      </c>
      <c r="C14" s="2" t="s">
        <v>60</v>
      </c>
      <c r="D14" s="3">
        <v>7900</v>
      </c>
      <c r="E14" s="4">
        <v>0</v>
      </c>
      <c r="F14" t="s">
        <v>23</v>
      </c>
      <c r="G14" s="3">
        <f t="shared" si="0"/>
        <v>7900</v>
      </c>
      <c r="H14" s="3">
        <v>0</v>
      </c>
      <c r="I14" s="3">
        <f t="shared" si="1"/>
        <v>7900</v>
      </c>
      <c r="J14" s="2" t="s">
        <v>27</v>
      </c>
      <c r="K14" s="5">
        <v>46223.583333333343</v>
      </c>
      <c r="L14">
        <v>1</v>
      </c>
      <c r="M14" s="3">
        <f t="shared" si="2"/>
        <v>7900</v>
      </c>
      <c r="N14" t="str">
        <f t="shared" si="3"/>
        <v>ставка</v>
      </c>
      <c r="O14" s="3">
        <f t="shared" si="4"/>
        <v>154.9</v>
      </c>
      <c r="P14" s="5">
        <v>46224.5</v>
      </c>
      <c r="Q14" t="s">
        <v>23</v>
      </c>
      <c r="R14" s="2" t="s">
        <v>40</v>
      </c>
      <c r="S14">
        <v>36</v>
      </c>
      <c r="T14">
        <v>1</v>
      </c>
    </row>
    <row r="15" spans="1:21" ht="30" x14ac:dyDescent="0.25">
      <c r="A15" t="s">
        <v>61</v>
      </c>
      <c r="B15">
        <v>1</v>
      </c>
      <c r="C15" s="2" t="s">
        <v>62</v>
      </c>
      <c r="D15" s="3">
        <v>11350</v>
      </c>
      <c r="E15" s="4">
        <v>4</v>
      </c>
      <c r="F15" t="s">
        <v>55</v>
      </c>
      <c r="G15" s="3">
        <f t="shared" si="0"/>
        <v>11822.92</v>
      </c>
      <c r="H15" s="3">
        <v>0</v>
      </c>
      <c r="I15" s="3">
        <f t="shared" si="1"/>
        <v>11822.92</v>
      </c>
      <c r="J15" s="2" t="s">
        <v>27</v>
      </c>
      <c r="K15" s="5">
        <v>46251.583333333343</v>
      </c>
      <c r="L15">
        <v>1</v>
      </c>
      <c r="M15" s="3">
        <f t="shared" si="2"/>
        <v>11822.92</v>
      </c>
      <c r="N15" t="str">
        <f t="shared" si="3"/>
        <v>ставка</v>
      </c>
      <c r="O15" s="3">
        <f t="shared" si="4"/>
        <v>231.82</v>
      </c>
      <c r="P15" s="5">
        <v>46252.5</v>
      </c>
      <c r="Q15" t="s">
        <v>55</v>
      </c>
      <c r="R15" s="2" t="s">
        <v>40</v>
      </c>
      <c r="S15">
        <v>55</v>
      </c>
      <c r="T15">
        <v>2</v>
      </c>
    </row>
    <row r="16" spans="1:21" x14ac:dyDescent="0.25">
      <c r="A16" t="s">
        <v>63</v>
      </c>
      <c r="B16">
        <v>1</v>
      </c>
      <c r="C16" s="2" t="s">
        <v>64</v>
      </c>
      <c r="D16" s="3">
        <v>29000</v>
      </c>
      <c r="E16" s="4">
        <v>0</v>
      </c>
      <c r="F16" t="s">
        <v>23</v>
      </c>
      <c r="G16" s="3">
        <f t="shared" si="0"/>
        <v>29000</v>
      </c>
      <c r="H16" s="3">
        <v>0</v>
      </c>
      <c r="I16" s="3">
        <f t="shared" si="1"/>
        <v>29000</v>
      </c>
      <c r="J16" s="2" t="s">
        <v>27</v>
      </c>
      <c r="K16" s="5">
        <v>46218.583333333343</v>
      </c>
      <c r="L16">
        <v>2</v>
      </c>
      <c r="M16" s="3">
        <f t="shared" si="2"/>
        <v>14500</v>
      </c>
      <c r="N16" t="str">
        <f t="shared" si="3"/>
        <v>ставка</v>
      </c>
      <c r="O16" s="3">
        <f t="shared" si="4"/>
        <v>568.63</v>
      </c>
      <c r="P16" s="5">
        <v>46220.5</v>
      </c>
      <c r="Q16" t="s">
        <v>23</v>
      </c>
      <c r="R16" s="2" t="s">
        <v>49</v>
      </c>
      <c r="S16">
        <v>11</v>
      </c>
      <c r="T16">
        <v>1</v>
      </c>
    </row>
    <row r="17" spans="1:20" ht="30" x14ac:dyDescent="0.25">
      <c r="A17" t="s">
        <v>65</v>
      </c>
      <c r="B17">
        <v>1</v>
      </c>
      <c r="C17" s="2" t="s">
        <v>66</v>
      </c>
      <c r="D17" s="3">
        <v>9534</v>
      </c>
      <c r="E17" s="4">
        <v>16</v>
      </c>
      <c r="F17" t="s">
        <v>36</v>
      </c>
      <c r="G17" s="3">
        <f t="shared" si="0"/>
        <v>11350</v>
      </c>
      <c r="H17" s="3">
        <v>0</v>
      </c>
      <c r="I17" s="3">
        <f t="shared" si="1"/>
        <v>11350</v>
      </c>
      <c r="J17" s="2" t="s">
        <v>27</v>
      </c>
      <c r="K17" s="5">
        <v>46247.583333333343</v>
      </c>
      <c r="L17">
        <v>1</v>
      </c>
      <c r="M17" s="3">
        <f t="shared" si="2"/>
        <v>11350</v>
      </c>
      <c r="N17" t="str">
        <f t="shared" si="3"/>
        <v>ставка</v>
      </c>
      <c r="O17" s="3">
        <f t="shared" si="4"/>
        <v>222.55</v>
      </c>
      <c r="P17" s="5">
        <v>46248.5</v>
      </c>
      <c r="Q17" t="s">
        <v>36</v>
      </c>
      <c r="R17" s="2" t="s">
        <v>40</v>
      </c>
      <c r="S17">
        <v>36</v>
      </c>
      <c r="T17">
        <v>1</v>
      </c>
    </row>
    <row r="18" spans="1:20" ht="30" x14ac:dyDescent="0.25">
      <c r="A18" t="s">
        <v>67</v>
      </c>
      <c r="B18">
        <v>1</v>
      </c>
      <c r="C18" s="2" t="s">
        <v>68</v>
      </c>
      <c r="D18" s="3">
        <v>9080</v>
      </c>
      <c r="E18" s="4">
        <v>18</v>
      </c>
      <c r="F18" t="s">
        <v>32</v>
      </c>
      <c r="G18" s="3">
        <f t="shared" si="0"/>
        <v>11073.17</v>
      </c>
      <c r="H18" s="3">
        <v>0</v>
      </c>
      <c r="I18" s="3">
        <f t="shared" si="1"/>
        <v>11073.17</v>
      </c>
      <c r="J18" s="2" t="s">
        <v>27</v>
      </c>
      <c r="K18" s="5">
        <v>46294.583333333343</v>
      </c>
      <c r="L18">
        <v>1</v>
      </c>
      <c r="M18" s="3">
        <f t="shared" si="2"/>
        <v>11073.17</v>
      </c>
      <c r="N18" t="str">
        <f t="shared" si="3"/>
        <v>ставка</v>
      </c>
      <c r="O18" s="3">
        <f t="shared" si="4"/>
        <v>217.12</v>
      </c>
      <c r="P18" s="5">
        <v>46295.5</v>
      </c>
      <c r="Q18" t="s">
        <v>32</v>
      </c>
      <c r="R18" s="2" t="s">
        <v>40</v>
      </c>
      <c r="S18">
        <v>22</v>
      </c>
      <c r="T18">
        <v>1</v>
      </c>
    </row>
    <row r="19" spans="1:20" x14ac:dyDescent="0.25">
      <c r="A19" t="s">
        <v>69</v>
      </c>
      <c r="B19">
        <v>1</v>
      </c>
      <c r="C19" s="2" t="s">
        <v>70</v>
      </c>
      <c r="D19" s="3">
        <v>23035</v>
      </c>
      <c r="E19" s="4">
        <v>15</v>
      </c>
      <c r="F19" t="s">
        <v>36</v>
      </c>
      <c r="G19" s="3">
        <f t="shared" si="0"/>
        <v>27100</v>
      </c>
      <c r="H19" s="3">
        <v>0</v>
      </c>
      <c r="I19" s="3">
        <f t="shared" si="1"/>
        <v>27100</v>
      </c>
      <c r="J19" s="2" t="s">
        <v>27</v>
      </c>
      <c r="K19" s="5">
        <v>46209.583333333343</v>
      </c>
      <c r="L19">
        <v>2</v>
      </c>
      <c r="M19" s="3">
        <f t="shared" si="2"/>
        <v>13550</v>
      </c>
      <c r="N19" t="str">
        <f t="shared" si="3"/>
        <v>ставка</v>
      </c>
      <c r="O19" s="3">
        <f t="shared" si="4"/>
        <v>531.37</v>
      </c>
      <c r="P19" s="5">
        <v>46211.5</v>
      </c>
      <c r="Q19" t="s">
        <v>36</v>
      </c>
      <c r="R19" s="2" t="s">
        <v>49</v>
      </c>
      <c r="S19">
        <v>25</v>
      </c>
      <c r="T19">
        <v>1</v>
      </c>
    </row>
    <row r="20" spans="1:20" ht="30" x14ac:dyDescent="0.25">
      <c r="A20" t="s">
        <v>71</v>
      </c>
      <c r="B20">
        <v>1</v>
      </c>
      <c r="C20" s="2" t="s">
        <v>72</v>
      </c>
      <c r="D20" s="3">
        <v>6545</v>
      </c>
      <c r="E20" s="4">
        <v>15</v>
      </c>
      <c r="F20" t="s">
        <v>73</v>
      </c>
      <c r="G20" s="3">
        <f t="shared" si="0"/>
        <v>7700</v>
      </c>
      <c r="H20" s="3">
        <v>0</v>
      </c>
      <c r="I20" s="3">
        <f t="shared" si="1"/>
        <v>7700</v>
      </c>
      <c r="J20" s="2" t="s">
        <v>27</v>
      </c>
      <c r="K20" s="5">
        <v>46271.583333333343</v>
      </c>
      <c r="L20">
        <v>1</v>
      </c>
      <c r="M20" s="3">
        <f t="shared" si="2"/>
        <v>7700</v>
      </c>
      <c r="N20" t="str">
        <f t="shared" si="3"/>
        <v>ставка</v>
      </c>
      <c r="O20" s="3">
        <f t="shared" si="4"/>
        <v>150.97999999999999</v>
      </c>
      <c r="P20" s="5">
        <v>46272.5</v>
      </c>
      <c r="Q20" t="s">
        <v>73</v>
      </c>
      <c r="R20" s="2" t="s">
        <v>58</v>
      </c>
      <c r="S20">
        <v>24</v>
      </c>
      <c r="T20">
        <v>1</v>
      </c>
    </row>
    <row r="21" spans="1:20" ht="30" x14ac:dyDescent="0.25">
      <c r="A21" t="s">
        <v>74</v>
      </c>
      <c r="B21">
        <v>1</v>
      </c>
      <c r="C21" s="2" t="s">
        <v>75</v>
      </c>
      <c r="D21" s="3">
        <v>30800</v>
      </c>
      <c r="E21" s="4">
        <v>0</v>
      </c>
      <c r="F21" t="s">
        <v>23</v>
      </c>
      <c r="G21" s="3">
        <f t="shared" si="0"/>
        <v>30800</v>
      </c>
      <c r="H21" s="3">
        <v>0</v>
      </c>
      <c r="I21" s="3">
        <f t="shared" si="1"/>
        <v>30800</v>
      </c>
      <c r="J21" s="2" t="s">
        <v>27</v>
      </c>
      <c r="K21" s="5">
        <v>46269.583333333343</v>
      </c>
      <c r="L21">
        <v>2</v>
      </c>
      <c r="M21" s="3">
        <f t="shared" si="2"/>
        <v>15400</v>
      </c>
      <c r="N21" t="str">
        <f t="shared" si="3"/>
        <v>ставка</v>
      </c>
      <c r="O21" s="3">
        <f t="shared" si="4"/>
        <v>603.91999999999996</v>
      </c>
      <c r="P21" s="5">
        <v>46271.5</v>
      </c>
      <c r="Q21" t="s">
        <v>23</v>
      </c>
      <c r="R21" s="2" t="s">
        <v>24</v>
      </c>
      <c r="S21">
        <v>59</v>
      </c>
      <c r="T21">
        <v>2</v>
      </c>
    </row>
    <row r="22" spans="1:20" ht="30" x14ac:dyDescent="0.25">
      <c r="A22" t="s">
        <v>76</v>
      </c>
      <c r="B22">
        <v>1</v>
      </c>
      <c r="C22" s="2" t="s">
        <v>77</v>
      </c>
      <c r="D22" s="3">
        <v>10215</v>
      </c>
      <c r="E22" s="4">
        <v>0</v>
      </c>
      <c r="F22" t="s">
        <v>23</v>
      </c>
      <c r="G22" s="3">
        <f t="shared" si="0"/>
        <v>10215</v>
      </c>
      <c r="H22" s="3">
        <v>0</v>
      </c>
      <c r="I22" s="3">
        <f t="shared" si="1"/>
        <v>10215</v>
      </c>
      <c r="J22" s="2" t="s">
        <v>27</v>
      </c>
      <c r="K22" s="5">
        <v>46287.583333333343</v>
      </c>
      <c r="L22">
        <v>1</v>
      </c>
      <c r="M22" s="3">
        <f t="shared" si="2"/>
        <v>10215</v>
      </c>
      <c r="N22" t="str">
        <f t="shared" si="3"/>
        <v>ставка</v>
      </c>
      <c r="O22" s="3">
        <f t="shared" si="4"/>
        <v>200.29</v>
      </c>
      <c r="P22" s="5">
        <v>46288.5</v>
      </c>
      <c r="Q22" t="s">
        <v>23</v>
      </c>
      <c r="R22" s="2" t="s">
        <v>40</v>
      </c>
      <c r="S22">
        <v>36</v>
      </c>
      <c r="T22">
        <v>1</v>
      </c>
    </row>
    <row r="23" spans="1:20" ht="30" x14ac:dyDescent="0.25">
      <c r="A23" t="s">
        <v>78</v>
      </c>
      <c r="B23">
        <v>1</v>
      </c>
      <c r="C23" s="2" t="s">
        <v>79</v>
      </c>
      <c r="D23" s="3">
        <v>47670</v>
      </c>
      <c r="E23" s="4">
        <v>16</v>
      </c>
      <c r="F23" t="s">
        <v>36</v>
      </c>
      <c r="G23" s="3">
        <f t="shared" si="0"/>
        <v>56750</v>
      </c>
      <c r="H23" s="3">
        <v>8000</v>
      </c>
      <c r="I23" s="3">
        <f t="shared" si="1"/>
        <v>64750</v>
      </c>
      <c r="J23" s="2" t="s">
        <v>80</v>
      </c>
      <c r="K23" s="5">
        <v>46282.583333333343</v>
      </c>
      <c r="L23">
        <v>5</v>
      </c>
      <c r="M23" s="3">
        <f t="shared" si="2"/>
        <v>12950</v>
      </c>
      <c r="N23" t="str">
        <f t="shared" si="3"/>
        <v>ставка</v>
      </c>
      <c r="O23" s="3">
        <f t="shared" si="4"/>
        <v>1269.6099999999999</v>
      </c>
      <c r="P23" s="5">
        <v>46287.5</v>
      </c>
      <c r="Q23" t="s">
        <v>36</v>
      </c>
      <c r="R23" s="2" t="s">
        <v>40</v>
      </c>
      <c r="S23">
        <v>42</v>
      </c>
      <c r="T23">
        <v>1</v>
      </c>
    </row>
    <row r="24" spans="1:20" ht="30" x14ac:dyDescent="0.25">
      <c r="A24" t="s">
        <v>81</v>
      </c>
      <c r="B24">
        <v>1</v>
      </c>
      <c r="C24" s="2" t="s">
        <v>82</v>
      </c>
      <c r="D24" s="3">
        <v>32040</v>
      </c>
      <c r="E24" s="4">
        <v>0</v>
      </c>
      <c r="F24" t="s">
        <v>23</v>
      </c>
      <c r="G24" s="3">
        <f t="shared" si="0"/>
        <v>32040</v>
      </c>
      <c r="H24" s="3">
        <v>0</v>
      </c>
      <c r="I24" s="3">
        <f t="shared" si="1"/>
        <v>32040</v>
      </c>
      <c r="J24" s="2" t="s">
        <v>27</v>
      </c>
      <c r="K24" s="5">
        <v>46270.583333333343</v>
      </c>
      <c r="L24">
        <v>2</v>
      </c>
      <c r="M24" s="3">
        <f t="shared" si="2"/>
        <v>16020</v>
      </c>
      <c r="N24" t="str">
        <f t="shared" si="3"/>
        <v>ставка</v>
      </c>
      <c r="O24" s="3">
        <f t="shared" si="4"/>
        <v>628.24</v>
      </c>
      <c r="P24" s="5">
        <v>46272.5</v>
      </c>
      <c r="Q24" t="s">
        <v>23</v>
      </c>
      <c r="R24" s="2" t="s">
        <v>45</v>
      </c>
      <c r="S24">
        <v>53</v>
      </c>
      <c r="T24">
        <v>2</v>
      </c>
    </row>
    <row r="25" spans="1:20" ht="30" x14ac:dyDescent="0.25">
      <c r="A25" t="s">
        <v>83</v>
      </c>
      <c r="B25">
        <v>1</v>
      </c>
      <c r="C25" s="2" t="s">
        <v>84</v>
      </c>
      <c r="D25" s="3">
        <v>30322.6</v>
      </c>
      <c r="E25" s="4">
        <v>4</v>
      </c>
      <c r="F25" t="s">
        <v>55</v>
      </c>
      <c r="G25" s="3">
        <f t="shared" si="0"/>
        <v>31586.04</v>
      </c>
      <c r="H25" s="3">
        <v>0</v>
      </c>
      <c r="I25" s="3">
        <f t="shared" si="1"/>
        <v>31586.04</v>
      </c>
      <c r="J25" s="2" t="s">
        <v>27</v>
      </c>
      <c r="K25" s="5">
        <v>46209.583333333343</v>
      </c>
      <c r="L25">
        <v>2</v>
      </c>
      <c r="M25" s="3">
        <f t="shared" si="2"/>
        <v>15793.02</v>
      </c>
      <c r="N25" t="str">
        <f t="shared" si="3"/>
        <v>ставка</v>
      </c>
      <c r="O25" s="3">
        <f t="shared" si="4"/>
        <v>619.33000000000004</v>
      </c>
      <c r="P25" s="5">
        <v>46211.5</v>
      </c>
      <c r="Q25" t="s">
        <v>55</v>
      </c>
      <c r="R25" s="2" t="s">
        <v>24</v>
      </c>
      <c r="S25">
        <v>21</v>
      </c>
      <c r="T25">
        <v>1</v>
      </c>
    </row>
    <row r="26" spans="1:20" ht="45" x14ac:dyDescent="0.25">
      <c r="A26" t="s">
        <v>85</v>
      </c>
      <c r="B26">
        <v>1</v>
      </c>
      <c r="C26" s="2" t="s">
        <v>86</v>
      </c>
      <c r="D26" s="3">
        <v>43350</v>
      </c>
      <c r="E26" s="4">
        <v>0</v>
      </c>
      <c r="F26" t="s">
        <v>23</v>
      </c>
      <c r="G26" s="3">
        <f t="shared" si="0"/>
        <v>43350</v>
      </c>
      <c r="H26" s="3">
        <v>0</v>
      </c>
      <c r="I26" s="3">
        <f t="shared" si="1"/>
        <v>43350</v>
      </c>
      <c r="J26" s="2" t="s">
        <v>27</v>
      </c>
      <c r="K26" s="5">
        <v>46234.583333333343</v>
      </c>
      <c r="L26">
        <v>3</v>
      </c>
      <c r="M26" s="3">
        <f t="shared" si="2"/>
        <v>14450</v>
      </c>
      <c r="N26" t="str">
        <f t="shared" si="3"/>
        <v>ставка</v>
      </c>
      <c r="O26" s="3">
        <f t="shared" si="4"/>
        <v>850</v>
      </c>
      <c r="P26" s="5">
        <v>46237.5</v>
      </c>
      <c r="Q26" t="s">
        <v>23</v>
      </c>
      <c r="R26" s="2" t="s">
        <v>87</v>
      </c>
      <c r="S26">
        <v>50</v>
      </c>
      <c r="T26">
        <v>2</v>
      </c>
    </row>
    <row r="27" spans="1:20" ht="30" x14ac:dyDescent="0.25">
      <c r="A27" t="s">
        <v>88</v>
      </c>
      <c r="B27">
        <v>1</v>
      </c>
      <c r="C27" s="2" t="s">
        <v>89</v>
      </c>
      <c r="D27" s="3">
        <v>26700</v>
      </c>
      <c r="E27" s="4">
        <v>0</v>
      </c>
      <c r="F27" t="s">
        <v>23</v>
      </c>
      <c r="G27" s="3">
        <f t="shared" si="0"/>
        <v>26700</v>
      </c>
      <c r="H27" s="3">
        <v>0</v>
      </c>
      <c r="I27" s="3">
        <f t="shared" si="1"/>
        <v>26700</v>
      </c>
      <c r="J27" s="2" t="s">
        <v>27</v>
      </c>
      <c r="K27" s="5">
        <v>46269.583333333343</v>
      </c>
      <c r="L27">
        <v>2</v>
      </c>
      <c r="M27" s="3">
        <f t="shared" si="2"/>
        <v>13350</v>
      </c>
      <c r="N27" t="str">
        <f t="shared" si="3"/>
        <v>ставка</v>
      </c>
      <c r="O27" s="3">
        <f t="shared" si="4"/>
        <v>523.53</v>
      </c>
      <c r="P27" s="5">
        <v>46271.5</v>
      </c>
      <c r="Q27" t="s">
        <v>23</v>
      </c>
      <c r="R27" s="2" t="s">
        <v>40</v>
      </c>
      <c r="S27">
        <v>52</v>
      </c>
      <c r="T27">
        <v>2</v>
      </c>
    </row>
    <row r="28" spans="1:20" ht="30" x14ac:dyDescent="0.25">
      <c r="A28" t="s">
        <v>90</v>
      </c>
      <c r="B28">
        <v>1</v>
      </c>
      <c r="C28" s="2" t="s">
        <v>91</v>
      </c>
      <c r="D28" s="3">
        <v>28560</v>
      </c>
      <c r="E28" s="4">
        <v>18</v>
      </c>
      <c r="F28" t="s">
        <v>32</v>
      </c>
      <c r="G28" s="3">
        <f t="shared" si="0"/>
        <v>34829.269999999997</v>
      </c>
      <c r="H28" s="3">
        <v>0</v>
      </c>
      <c r="I28" s="3">
        <f t="shared" si="1"/>
        <v>34829.269999999997</v>
      </c>
      <c r="J28" s="2"/>
      <c r="K28" s="5">
        <v>46211.583333333343</v>
      </c>
      <c r="L28">
        <v>3</v>
      </c>
      <c r="M28" s="3">
        <f t="shared" si="2"/>
        <v>11609.756666666666</v>
      </c>
      <c r="N28" t="str">
        <f t="shared" si="3"/>
        <v>ставка</v>
      </c>
      <c r="O28" s="3">
        <f t="shared" si="4"/>
        <v>682.93</v>
      </c>
      <c r="P28" s="5">
        <v>46214.5</v>
      </c>
      <c r="Q28" t="s">
        <v>32</v>
      </c>
      <c r="R28" s="2" t="s">
        <v>24</v>
      </c>
      <c r="S28">
        <v>31</v>
      </c>
      <c r="T28">
        <v>1</v>
      </c>
    </row>
    <row r="29" spans="1:20" ht="30" x14ac:dyDescent="0.25">
      <c r="A29" t="s">
        <v>92</v>
      </c>
      <c r="B29">
        <v>1</v>
      </c>
      <c r="C29" s="2" t="s">
        <v>93</v>
      </c>
      <c r="D29" s="3">
        <v>8900</v>
      </c>
      <c r="E29" s="4">
        <v>0</v>
      </c>
      <c r="F29" t="s">
        <v>23</v>
      </c>
      <c r="G29" s="3">
        <f t="shared" si="0"/>
        <v>8900</v>
      </c>
      <c r="H29" s="3">
        <v>0</v>
      </c>
      <c r="I29" s="3">
        <f t="shared" si="1"/>
        <v>8900</v>
      </c>
      <c r="J29" s="2" t="s">
        <v>27</v>
      </c>
      <c r="K29" s="5">
        <v>46230.583333333343</v>
      </c>
      <c r="L29">
        <v>1</v>
      </c>
      <c r="M29" s="3">
        <f t="shared" si="2"/>
        <v>8900</v>
      </c>
      <c r="N29" t="str">
        <f t="shared" si="3"/>
        <v>ставка</v>
      </c>
      <c r="O29" s="3">
        <f t="shared" si="4"/>
        <v>174.51</v>
      </c>
      <c r="P29" s="5">
        <v>46231.5</v>
      </c>
      <c r="Q29" t="s">
        <v>23</v>
      </c>
      <c r="R29" s="2" t="s">
        <v>40</v>
      </c>
      <c r="S29">
        <v>52</v>
      </c>
      <c r="T29">
        <v>2</v>
      </c>
    </row>
    <row r="30" spans="1:20" ht="30" x14ac:dyDescent="0.25">
      <c r="A30" t="s">
        <v>94</v>
      </c>
      <c r="B30">
        <v>1</v>
      </c>
      <c r="C30" s="2" t="s">
        <v>93</v>
      </c>
      <c r="D30" s="3">
        <v>8900</v>
      </c>
      <c r="E30" s="4">
        <v>0</v>
      </c>
      <c r="F30" t="s">
        <v>23</v>
      </c>
      <c r="G30" s="3">
        <f t="shared" si="0"/>
        <v>8900</v>
      </c>
      <c r="H30" s="3">
        <v>0</v>
      </c>
      <c r="I30" s="3">
        <f t="shared" si="1"/>
        <v>8900</v>
      </c>
      <c r="J30" s="2" t="s">
        <v>27</v>
      </c>
      <c r="K30" s="5">
        <v>46229.583333333343</v>
      </c>
      <c r="L30">
        <v>1</v>
      </c>
      <c r="M30" s="3">
        <f t="shared" si="2"/>
        <v>8900</v>
      </c>
      <c r="N30" t="str">
        <f t="shared" si="3"/>
        <v>ставка</v>
      </c>
      <c r="O30" s="3">
        <f t="shared" si="4"/>
        <v>174.51</v>
      </c>
      <c r="P30" s="5">
        <v>46230.5</v>
      </c>
      <c r="Q30" t="s">
        <v>23</v>
      </c>
      <c r="R30" s="2" t="s">
        <v>40</v>
      </c>
      <c r="S30">
        <v>23</v>
      </c>
      <c r="T30">
        <v>1</v>
      </c>
    </row>
    <row r="31" spans="1:20" ht="30" x14ac:dyDescent="0.25">
      <c r="A31" t="s">
        <v>95</v>
      </c>
      <c r="B31">
        <v>1</v>
      </c>
      <c r="C31" s="2" t="s">
        <v>96</v>
      </c>
      <c r="D31" s="3">
        <v>45390</v>
      </c>
      <c r="E31" s="4">
        <v>15</v>
      </c>
      <c r="F31" t="s">
        <v>36</v>
      </c>
      <c r="G31" s="3">
        <f t="shared" si="0"/>
        <v>53400</v>
      </c>
      <c r="H31" s="3">
        <v>0</v>
      </c>
      <c r="I31" s="3">
        <f t="shared" si="1"/>
        <v>53400</v>
      </c>
      <c r="J31" s="2" t="s">
        <v>27</v>
      </c>
      <c r="K31" s="5">
        <v>46218.583333333343</v>
      </c>
      <c r="L31">
        <v>4</v>
      </c>
      <c r="M31" s="3">
        <f t="shared" si="2"/>
        <v>13350</v>
      </c>
      <c r="N31" t="str">
        <f t="shared" si="3"/>
        <v>ставка</v>
      </c>
      <c r="O31" s="3">
        <f t="shared" si="4"/>
        <v>1047.06</v>
      </c>
      <c r="P31" s="5">
        <v>46222.5</v>
      </c>
      <c r="Q31" t="s">
        <v>36</v>
      </c>
      <c r="R31" s="2" t="s">
        <v>40</v>
      </c>
      <c r="S31">
        <v>22</v>
      </c>
      <c r="T31">
        <v>1</v>
      </c>
    </row>
    <row r="32" spans="1:20" ht="45" x14ac:dyDescent="0.25">
      <c r="A32" t="s">
        <v>97</v>
      </c>
      <c r="B32">
        <v>1</v>
      </c>
      <c r="C32" s="2" t="s">
        <v>98</v>
      </c>
      <c r="D32" s="3">
        <v>11371</v>
      </c>
      <c r="E32" s="4">
        <v>0</v>
      </c>
      <c r="F32" t="s">
        <v>23</v>
      </c>
      <c r="G32" s="3">
        <f t="shared" si="0"/>
        <v>11371</v>
      </c>
      <c r="H32" s="3">
        <v>0</v>
      </c>
      <c r="I32" s="3">
        <f t="shared" si="1"/>
        <v>11371</v>
      </c>
      <c r="J32" s="2" t="s">
        <v>27</v>
      </c>
      <c r="K32" s="5">
        <v>46215.583333333343</v>
      </c>
      <c r="L32">
        <v>1</v>
      </c>
      <c r="M32" s="3">
        <f t="shared" si="2"/>
        <v>11371</v>
      </c>
      <c r="N32" t="str">
        <f t="shared" si="3"/>
        <v>ставка</v>
      </c>
      <c r="O32" s="3">
        <f t="shared" si="4"/>
        <v>222.96</v>
      </c>
      <c r="P32" s="5">
        <v>46216.5</v>
      </c>
      <c r="Q32" t="s">
        <v>23</v>
      </c>
      <c r="R32" s="2" t="s">
        <v>87</v>
      </c>
      <c r="S32">
        <v>51</v>
      </c>
      <c r="T32">
        <v>2</v>
      </c>
    </row>
    <row r="33" spans="1:20" ht="30" x14ac:dyDescent="0.25">
      <c r="A33" t="s">
        <v>99</v>
      </c>
      <c r="B33">
        <v>1</v>
      </c>
      <c r="C33" s="2" t="s">
        <v>100</v>
      </c>
      <c r="D33" s="3">
        <v>15800</v>
      </c>
      <c r="E33" s="4">
        <v>0</v>
      </c>
      <c r="F33" t="s">
        <v>23</v>
      </c>
      <c r="G33" s="3">
        <f t="shared" si="0"/>
        <v>15800</v>
      </c>
      <c r="H33" s="3">
        <v>0</v>
      </c>
      <c r="I33" s="3">
        <f t="shared" si="1"/>
        <v>15800</v>
      </c>
      <c r="J33" s="2" t="s">
        <v>27</v>
      </c>
      <c r="K33" s="5">
        <v>46273.583333333343</v>
      </c>
      <c r="L33">
        <v>2</v>
      </c>
      <c r="M33" s="3">
        <f t="shared" si="2"/>
        <v>7900</v>
      </c>
      <c r="N33" t="str">
        <f t="shared" si="3"/>
        <v>ставка</v>
      </c>
      <c r="O33" s="3">
        <f t="shared" si="4"/>
        <v>309.8</v>
      </c>
      <c r="P33" s="5">
        <v>46275.5</v>
      </c>
      <c r="Q33" t="s">
        <v>23</v>
      </c>
      <c r="R33" s="2" t="s">
        <v>33</v>
      </c>
      <c r="S33">
        <v>47</v>
      </c>
      <c r="T33">
        <v>1</v>
      </c>
    </row>
    <row r="34" spans="1:20" ht="30" x14ac:dyDescent="0.25">
      <c r="A34" t="s">
        <v>101</v>
      </c>
      <c r="B34">
        <v>1</v>
      </c>
      <c r="C34" s="2" t="s">
        <v>102</v>
      </c>
      <c r="D34" s="3">
        <v>9080</v>
      </c>
      <c r="E34" s="4">
        <v>20</v>
      </c>
      <c r="F34" t="s">
        <v>103</v>
      </c>
      <c r="G34" s="3">
        <f t="shared" si="0"/>
        <v>11350</v>
      </c>
      <c r="H34" s="3">
        <v>0</v>
      </c>
      <c r="I34" s="3">
        <f t="shared" si="1"/>
        <v>11350</v>
      </c>
      <c r="J34" s="2" t="s">
        <v>27</v>
      </c>
      <c r="K34" s="5">
        <v>46219.583333333343</v>
      </c>
      <c r="L34">
        <v>1</v>
      </c>
      <c r="M34" s="3">
        <f t="shared" si="2"/>
        <v>11350</v>
      </c>
      <c r="N34" t="str">
        <f t="shared" si="3"/>
        <v>ставка</v>
      </c>
      <c r="O34" s="3">
        <f t="shared" si="4"/>
        <v>222.55</v>
      </c>
      <c r="P34" s="5">
        <v>46220.5</v>
      </c>
      <c r="Q34" t="s">
        <v>103</v>
      </c>
      <c r="R34" s="2" t="s">
        <v>40</v>
      </c>
      <c r="S34">
        <v>46</v>
      </c>
      <c r="T34">
        <v>1</v>
      </c>
    </row>
    <row r="35" spans="1:20" ht="30" x14ac:dyDescent="0.25">
      <c r="A35" t="s">
        <v>104</v>
      </c>
      <c r="B35">
        <v>1</v>
      </c>
      <c r="C35" s="2" t="s">
        <v>105</v>
      </c>
      <c r="D35" s="3">
        <v>7110</v>
      </c>
      <c r="E35" s="4">
        <v>0</v>
      </c>
      <c r="F35" t="s">
        <v>23</v>
      </c>
      <c r="G35" s="3">
        <f t="shared" si="0"/>
        <v>7110</v>
      </c>
      <c r="H35" s="3">
        <v>0</v>
      </c>
      <c r="I35" s="3">
        <f t="shared" si="1"/>
        <v>7110</v>
      </c>
      <c r="J35" s="2" t="s">
        <v>27</v>
      </c>
      <c r="K35" s="5">
        <v>46257.583333333343</v>
      </c>
      <c r="L35">
        <v>1</v>
      </c>
      <c r="M35" s="3">
        <f t="shared" si="2"/>
        <v>7110</v>
      </c>
      <c r="N35" t="str">
        <f t="shared" si="3"/>
        <v>ставка</v>
      </c>
      <c r="O35" s="3">
        <f t="shared" si="4"/>
        <v>139.41</v>
      </c>
      <c r="P35" s="5">
        <v>46258.583333333343</v>
      </c>
      <c r="Q35" t="s">
        <v>23</v>
      </c>
      <c r="R35" s="2" t="s">
        <v>33</v>
      </c>
      <c r="S35">
        <v>45</v>
      </c>
      <c r="T35">
        <v>1</v>
      </c>
    </row>
    <row r="36" spans="1:20" ht="30" x14ac:dyDescent="0.25">
      <c r="A36" t="s">
        <v>104</v>
      </c>
      <c r="B36">
        <v>1</v>
      </c>
      <c r="C36" s="2" t="s">
        <v>105</v>
      </c>
      <c r="D36" s="3">
        <v>21330</v>
      </c>
      <c r="E36" s="4">
        <v>0</v>
      </c>
      <c r="F36" t="s">
        <v>23</v>
      </c>
      <c r="G36" s="3">
        <f t="shared" si="0"/>
        <v>21330</v>
      </c>
      <c r="H36" s="3">
        <v>0</v>
      </c>
      <c r="I36" s="3">
        <f t="shared" si="1"/>
        <v>21330</v>
      </c>
      <c r="J36" s="2" t="s">
        <v>27</v>
      </c>
      <c r="K36" s="5">
        <v>46258.583333333343</v>
      </c>
      <c r="L36">
        <v>3</v>
      </c>
      <c r="M36" s="3">
        <f t="shared" si="2"/>
        <v>7110</v>
      </c>
      <c r="N36" t="str">
        <f t="shared" si="3"/>
        <v>ставка</v>
      </c>
      <c r="O36" s="3">
        <f t="shared" si="4"/>
        <v>418.24</v>
      </c>
      <c r="P36" s="5">
        <v>46261.5</v>
      </c>
      <c r="Q36" t="s">
        <v>23</v>
      </c>
      <c r="R36" s="2" t="s">
        <v>24</v>
      </c>
      <c r="S36">
        <v>31</v>
      </c>
      <c r="T36">
        <v>1</v>
      </c>
    </row>
    <row r="37" spans="1:20" ht="30" x14ac:dyDescent="0.25">
      <c r="A37" t="s">
        <v>106</v>
      </c>
      <c r="B37">
        <v>1</v>
      </c>
      <c r="C37" s="2" t="s">
        <v>107</v>
      </c>
      <c r="D37" s="3">
        <v>22700</v>
      </c>
      <c r="E37" s="4">
        <v>0</v>
      </c>
      <c r="F37" t="s">
        <v>23</v>
      </c>
      <c r="G37" s="3">
        <f t="shared" si="0"/>
        <v>22700</v>
      </c>
      <c r="H37" s="3">
        <v>0</v>
      </c>
      <c r="I37" s="3">
        <f t="shared" si="1"/>
        <v>22700</v>
      </c>
      <c r="J37" s="2" t="s">
        <v>27</v>
      </c>
      <c r="K37" s="5">
        <v>46223.583333333343</v>
      </c>
      <c r="L37">
        <v>2</v>
      </c>
      <c r="M37" s="3">
        <f t="shared" si="2"/>
        <v>11350</v>
      </c>
      <c r="N37" t="str">
        <f t="shared" si="3"/>
        <v>ставка</v>
      </c>
      <c r="O37" s="3">
        <f t="shared" si="4"/>
        <v>445.1</v>
      </c>
      <c r="P37" s="5">
        <v>46225.5</v>
      </c>
      <c r="Q37" t="s">
        <v>23</v>
      </c>
      <c r="R37" s="2" t="s">
        <v>40</v>
      </c>
      <c r="S37">
        <v>55</v>
      </c>
      <c r="T37">
        <v>2</v>
      </c>
    </row>
    <row r="38" spans="1:20" x14ac:dyDescent="0.25">
      <c r="A38" t="s">
        <v>108</v>
      </c>
      <c r="B38">
        <v>1</v>
      </c>
      <c r="C38" s="2" t="s">
        <v>109</v>
      </c>
      <c r="D38" s="3">
        <v>12325</v>
      </c>
      <c r="E38" s="4">
        <v>15</v>
      </c>
      <c r="F38" t="s">
        <v>110</v>
      </c>
      <c r="G38" s="3">
        <f t="shared" si="0"/>
        <v>14500</v>
      </c>
      <c r="H38" s="3">
        <v>0</v>
      </c>
      <c r="I38" s="3">
        <f t="shared" si="1"/>
        <v>14500</v>
      </c>
      <c r="J38" s="2" t="s">
        <v>27</v>
      </c>
      <c r="K38" s="5">
        <v>46285.583333333343</v>
      </c>
      <c r="L38">
        <v>1</v>
      </c>
      <c r="M38" s="3">
        <f t="shared" si="2"/>
        <v>14500</v>
      </c>
      <c r="N38" t="str">
        <f t="shared" si="3"/>
        <v>ставка</v>
      </c>
      <c r="O38" s="3">
        <f t="shared" si="4"/>
        <v>284.31</v>
      </c>
      <c r="P38" s="5">
        <v>46286.5</v>
      </c>
      <c r="Q38" t="s">
        <v>110</v>
      </c>
      <c r="R38" s="2" t="s">
        <v>49</v>
      </c>
      <c r="S38">
        <v>25</v>
      </c>
      <c r="T38">
        <v>1</v>
      </c>
    </row>
    <row r="39" spans="1:20" ht="30" x14ac:dyDescent="0.25">
      <c r="A39" t="s">
        <v>111</v>
      </c>
      <c r="B39">
        <v>1</v>
      </c>
      <c r="C39" s="2" t="s">
        <v>112</v>
      </c>
      <c r="D39" s="3">
        <v>6160</v>
      </c>
      <c r="E39" s="4">
        <v>20</v>
      </c>
      <c r="F39" t="s">
        <v>103</v>
      </c>
      <c r="G39" s="3">
        <f t="shared" si="0"/>
        <v>7700</v>
      </c>
      <c r="H39" s="3">
        <v>0</v>
      </c>
      <c r="I39" s="3">
        <f t="shared" si="1"/>
        <v>7700</v>
      </c>
      <c r="J39" s="2" t="s">
        <v>27</v>
      </c>
      <c r="K39" s="5">
        <v>46240.583333333343</v>
      </c>
      <c r="L39">
        <v>1</v>
      </c>
      <c r="M39" s="3">
        <f t="shared" si="2"/>
        <v>7700</v>
      </c>
      <c r="N39" t="str">
        <f t="shared" si="3"/>
        <v>ставка</v>
      </c>
      <c r="O39" s="3">
        <f t="shared" si="4"/>
        <v>150.97999999999999</v>
      </c>
      <c r="P39" s="5">
        <v>46241.5</v>
      </c>
      <c r="Q39" t="s">
        <v>103</v>
      </c>
      <c r="R39" s="2" t="s">
        <v>58</v>
      </c>
      <c r="S39">
        <v>24</v>
      </c>
      <c r="T39">
        <v>1</v>
      </c>
    </row>
    <row r="40" spans="1:20" ht="45" x14ac:dyDescent="0.25">
      <c r="A40" t="s">
        <v>113</v>
      </c>
      <c r="B40">
        <v>1</v>
      </c>
      <c r="C40" s="2" t="s">
        <v>114</v>
      </c>
      <c r="D40" s="3">
        <v>10900</v>
      </c>
      <c r="E40" s="4">
        <v>0</v>
      </c>
      <c r="F40" t="s">
        <v>23</v>
      </c>
      <c r="G40" s="3">
        <f t="shared" si="0"/>
        <v>10900</v>
      </c>
      <c r="H40" s="3">
        <v>5600</v>
      </c>
      <c r="I40" s="3">
        <f t="shared" si="1"/>
        <v>16500</v>
      </c>
      <c r="J40" s="2" t="s">
        <v>115</v>
      </c>
      <c r="K40" s="5">
        <v>46207.583333333343</v>
      </c>
      <c r="L40">
        <v>1</v>
      </c>
      <c r="M40" s="3">
        <f t="shared" si="2"/>
        <v>16500</v>
      </c>
      <c r="N40" t="str">
        <f t="shared" si="3"/>
        <v>ставка</v>
      </c>
      <c r="O40" s="3">
        <f t="shared" si="4"/>
        <v>323.52999999999997</v>
      </c>
      <c r="P40" s="5">
        <v>46208.5</v>
      </c>
      <c r="Q40" t="s">
        <v>23</v>
      </c>
      <c r="R40" s="2" t="s">
        <v>87</v>
      </c>
      <c r="S40">
        <v>51</v>
      </c>
      <c r="T40">
        <v>2</v>
      </c>
    </row>
    <row r="41" spans="1:20" ht="30" x14ac:dyDescent="0.25">
      <c r="A41" t="s">
        <v>116</v>
      </c>
      <c r="B41">
        <v>1</v>
      </c>
      <c r="C41" s="2" t="s">
        <v>117</v>
      </c>
      <c r="D41" s="3">
        <v>22695</v>
      </c>
      <c r="E41" s="4">
        <v>16</v>
      </c>
      <c r="F41" t="s">
        <v>36</v>
      </c>
      <c r="G41" s="3">
        <f t="shared" si="0"/>
        <v>27017.86</v>
      </c>
      <c r="H41" s="3">
        <v>0</v>
      </c>
      <c r="I41" s="3">
        <f t="shared" si="1"/>
        <v>27017.86</v>
      </c>
      <c r="J41" s="2" t="s">
        <v>27</v>
      </c>
      <c r="K41" s="5">
        <v>46271.583333333343</v>
      </c>
      <c r="L41">
        <v>2</v>
      </c>
      <c r="M41" s="3">
        <f t="shared" si="2"/>
        <v>13508.93</v>
      </c>
      <c r="N41" t="str">
        <f t="shared" si="3"/>
        <v>ставка</v>
      </c>
      <c r="O41" s="3">
        <f t="shared" si="4"/>
        <v>529.76</v>
      </c>
      <c r="P41" s="5">
        <v>46273.5</v>
      </c>
      <c r="Q41" t="s">
        <v>36</v>
      </c>
      <c r="R41" s="2" t="s">
        <v>40</v>
      </c>
      <c r="S41">
        <v>32</v>
      </c>
      <c r="T41">
        <v>1</v>
      </c>
    </row>
    <row r="42" spans="1:20" x14ac:dyDescent="0.25">
      <c r="A42" t="s">
        <v>118</v>
      </c>
      <c r="B42">
        <v>1</v>
      </c>
      <c r="C42" s="2" t="s">
        <v>119</v>
      </c>
      <c r="D42" s="3">
        <v>7000</v>
      </c>
      <c r="E42" s="4">
        <v>0</v>
      </c>
      <c r="F42" t="s">
        <v>23</v>
      </c>
      <c r="G42" s="3">
        <f t="shared" si="0"/>
        <v>7000</v>
      </c>
      <c r="H42" s="3">
        <v>0</v>
      </c>
      <c r="I42" s="3">
        <f t="shared" si="1"/>
        <v>7000</v>
      </c>
      <c r="J42" s="2" t="s">
        <v>27</v>
      </c>
      <c r="K42" s="5">
        <v>46206.583333333343</v>
      </c>
      <c r="L42">
        <v>1</v>
      </c>
      <c r="M42" s="3">
        <f t="shared" si="2"/>
        <v>7000</v>
      </c>
      <c r="N42" t="str">
        <f t="shared" si="3"/>
        <v>ставка</v>
      </c>
      <c r="O42" s="3">
        <f t="shared" si="4"/>
        <v>137.25</v>
      </c>
      <c r="P42" s="5">
        <v>46207.5</v>
      </c>
      <c r="Q42" t="s">
        <v>23</v>
      </c>
      <c r="R42" s="2" t="s">
        <v>45</v>
      </c>
      <c r="S42">
        <v>53</v>
      </c>
      <c r="T42">
        <v>2</v>
      </c>
    </row>
    <row r="43" spans="1:20" ht="30" x14ac:dyDescent="0.25">
      <c r="A43" t="s">
        <v>120</v>
      </c>
      <c r="B43">
        <v>1</v>
      </c>
      <c r="C43" s="2" t="s">
        <v>121</v>
      </c>
      <c r="D43" s="3">
        <v>13149.75</v>
      </c>
      <c r="E43" s="4">
        <v>4</v>
      </c>
      <c r="F43" t="s">
        <v>55</v>
      </c>
      <c r="G43" s="3">
        <f t="shared" si="0"/>
        <v>13697.66</v>
      </c>
      <c r="H43" s="3">
        <v>0</v>
      </c>
      <c r="I43" s="3">
        <f t="shared" si="1"/>
        <v>13697.66</v>
      </c>
      <c r="J43" s="2" t="s">
        <v>27</v>
      </c>
      <c r="K43" s="5">
        <v>46204.583333333343</v>
      </c>
      <c r="L43">
        <v>1</v>
      </c>
      <c r="M43" s="3">
        <f t="shared" si="2"/>
        <v>13697.66</v>
      </c>
      <c r="N43" t="str">
        <f t="shared" si="3"/>
        <v>ставка</v>
      </c>
      <c r="O43" s="3">
        <f t="shared" si="4"/>
        <v>268.58</v>
      </c>
      <c r="P43" s="5">
        <v>46205.5</v>
      </c>
      <c r="Q43" t="s">
        <v>55</v>
      </c>
      <c r="R43" s="2" t="s">
        <v>40</v>
      </c>
      <c r="S43">
        <v>55</v>
      </c>
      <c r="T43">
        <v>2</v>
      </c>
    </row>
    <row r="44" spans="1:20" ht="30" x14ac:dyDescent="0.25">
      <c r="A44" t="s">
        <v>122</v>
      </c>
      <c r="B44">
        <v>1</v>
      </c>
      <c r="C44" s="2" t="s">
        <v>123</v>
      </c>
      <c r="D44" s="3">
        <v>39849.75</v>
      </c>
      <c r="E44" s="4">
        <v>4</v>
      </c>
      <c r="F44" t="s">
        <v>55</v>
      </c>
      <c r="G44" s="3">
        <f t="shared" si="0"/>
        <v>41510.160000000003</v>
      </c>
      <c r="H44" s="3">
        <v>0</v>
      </c>
      <c r="I44" s="3">
        <f t="shared" si="1"/>
        <v>41510.160000000003</v>
      </c>
      <c r="J44" s="2" t="s">
        <v>27</v>
      </c>
      <c r="K44" s="5">
        <v>46284.583333333343</v>
      </c>
      <c r="L44">
        <v>3</v>
      </c>
      <c r="M44" s="3">
        <f t="shared" si="2"/>
        <v>13836.720000000001</v>
      </c>
      <c r="N44" t="str">
        <f t="shared" si="3"/>
        <v>ставка</v>
      </c>
      <c r="O44" s="3">
        <f t="shared" si="4"/>
        <v>813.92</v>
      </c>
      <c r="P44" s="5">
        <v>46287.5</v>
      </c>
      <c r="Q44" t="s">
        <v>55</v>
      </c>
      <c r="R44" s="2" t="s">
        <v>40</v>
      </c>
      <c r="S44">
        <v>36</v>
      </c>
      <c r="T44">
        <v>1</v>
      </c>
    </row>
    <row r="45" spans="1:20" ht="30" x14ac:dyDescent="0.25">
      <c r="A45" t="s">
        <v>124</v>
      </c>
      <c r="B45">
        <v>1</v>
      </c>
      <c r="C45" s="2" t="s">
        <v>125</v>
      </c>
      <c r="D45" s="3">
        <v>26499.75</v>
      </c>
      <c r="E45" s="4">
        <v>4</v>
      </c>
      <c r="F45" t="s">
        <v>55</v>
      </c>
      <c r="G45" s="3">
        <f t="shared" si="0"/>
        <v>27603.91</v>
      </c>
      <c r="H45" s="3">
        <v>0</v>
      </c>
      <c r="I45" s="3">
        <f t="shared" si="1"/>
        <v>27603.91</v>
      </c>
      <c r="J45" s="2" t="s">
        <v>27</v>
      </c>
      <c r="K45" s="5">
        <v>46239.583333333343</v>
      </c>
      <c r="L45">
        <v>2</v>
      </c>
      <c r="M45" s="3">
        <f t="shared" si="2"/>
        <v>13801.955</v>
      </c>
      <c r="N45" t="str">
        <f t="shared" si="3"/>
        <v>ставка</v>
      </c>
      <c r="O45" s="3">
        <f t="shared" si="4"/>
        <v>541.25</v>
      </c>
      <c r="P45" s="5">
        <v>46241.5</v>
      </c>
      <c r="Q45" t="s">
        <v>55</v>
      </c>
      <c r="R45" s="2" t="s">
        <v>40</v>
      </c>
      <c r="S45">
        <v>58</v>
      </c>
      <c r="T45">
        <v>2</v>
      </c>
    </row>
    <row r="46" spans="1:20" ht="30" x14ac:dyDescent="0.25">
      <c r="A46" t="s">
        <v>126</v>
      </c>
      <c r="B46">
        <v>1</v>
      </c>
      <c r="C46" s="2" t="s">
        <v>127</v>
      </c>
      <c r="D46" s="3">
        <v>48060</v>
      </c>
      <c r="E46" s="4">
        <v>0</v>
      </c>
      <c r="F46" t="s">
        <v>23</v>
      </c>
      <c r="G46" s="3">
        <f t="shared" si="0"/>
        <v>48060</v>
      </c>
      <c r="H46" s="3">
        <v>0</v>
      </c>
      <c r="I46" s="3">
        <f t="shared" si="1"/>
        <v>48060</v>
      </c>
      <c r="J46" s="2" t="s">
        <v>27</v>
      </c>
      <c r="K46" s="5">
        <v>46284.583333333343</v>
      </c>
      <c r="L46">
        <v>3</v>
      </c>
      <c r="M46" s="3">
        <f t="shared" si="2"/>
        <v>16020</v>
      </c>
      <c r="N46" t="str">
        <f t="shared" si="3"/>
        <v>ставка</v>
      </c>
      <c r="O46" s="3">
        <f t="shared" si="4"/>
        <v>942.35</v>
      </c>
      <c r="P46" s="5">
        <v>46287.5</v>
      </c>
      <c r="Q46" t="s">
        <v>23</v>
      </c>
      <c r="R46" s="2" t="s">
        <v>45</v>
      </c>
      <c r="S46">
        <v>54</v>
      </c>
      <c r="T46">
        <v>2</v>
      </c>
    </row>
    <row r="47" spans="1:20" ht="30" x14ac:dyDescent="0.25">
      <c r="A47" t="s">
        <v>128</v>
      </c>
      <c r="B47">
        <v>1</v>
      </c>
      <c r="C47" s="2" t="s">
        <v>129</v>
      </c>
      <c r="D47" s="3">
        <v>63910</v>
      </c>
      <c r="E47" s="4">
        <v>17</v>
      </c>
      <c r="F47" t="s">
        <v>130</v>
      </c>
      <c r="G47" s="3">
        <f t="shared" si="0"/>
        <v>77000</v>
      </c>
      <c r="H47" s="3">
        <v>0</v>
      </c>
      <c r="I47" s="3">
        <f t="shared" si="1"/>
        <v>77000</v>
      </c>
      <c r="J47" s="2" t="s">
        <v>27</v>
      </c>
      <c r="K47" s="5">
        <v>46212.583333333343</v>
      </c>
      <c r="L47">
        <v>5</v>
      </c>
      <c r="M47" s="3">
        <f t="shared" si="2"/>
        <v>15400</v>
      </c>
      <c r="N47" t="str">
        <f t="shared" si="3"/>
        <v>ставка</v>
      </c>
      <c r="O47" s="3">
        <f t="shared" si="4"/>
        <v>1509.8</v>
      </c>
      <c r="P47" s="5">
        <v>46217.5</v>
      </c>
      <c r="Q47" t="s">
        <v>130</v>
      </c>
      <c r="R47" s="2" t="s">
        <v>24</v>
      </c>
      <c r="S47">
        <v>21</v>
      </c>
      <c r="T47">
        <v>1</v>
      </c>
    </row>
    <row r="48" spans="1:20" ht="30" x14ac:dyDescent="0.25">
      <c r="A48" t="s">
        <v>131</v>
      </c>
      <c r="B48">
        <v>1</v>
      </c>
      <c r="C48" s="2" t="s">
        <v>132</v>
      </c>
      <c r="D48" s="3">
        <v>11390</v>
      </c>
      <c r="E48" s="4">
        <v>0</v>
      </c>
      <c r="F48" t="s">
        <v>23</v>
      </c>
      <c r="G48" s="3">
        <f t="shared" si="0"/>
        <v>11390</v>
      </c>
      <c r="H48" s="3">
        <v>0</v>
      </c>
      <c r="I48" s="3">
        <f t="shared" si="1"/>
        <v>11390</v>
      </c>
      <c r="J48" s="2" t="s">
        <v>27</v>
      </c>
      <c r="K48" s="5">
        <v>46268.583333333343</v>
      </c>
      <c r="L48">
        <v>1</v>
      </c>
      <c r="M48" s="3">
        <f t="shared" si="2"/>
        <v>11390</v>
      </c>
      <c r="N48" t="str">
        <f t="shared" si="3"/>
        <v>ставка</v>
      </c>
      <c r="O48" s="3">
        <f t="shared" si="4"/>
        <v>223.33</v>
      </c>
      <c r="P48" s="5">
        <v>46269.5</v>
      </c>
      <c r="Q48" t="s">
        <v>23</v>
      </c>
      <c r="R48" s="2" t="s">
        <v>24</v>
      </c>
      <c r="S48">
        <v>56</v>
      </c>
      <c r="T48">
        <v>2</v>
      </c>
    </row>
    <row r="49" spans="1:20" ht="30" x14ac:dyDescent="0.25">
      <c r="A49" t="s">
        <v>133</v>
      </c>
      <c r="B49">
        <v>1</v>
      </c>
      <c r="C49" s="2" t="s">
        <v>134</v>
      </c>
      <c r="D49" s="3">
        <v>49280</v>
      </c>
      <c r="E49" s="4">
        <v>18</v>
      </c>
      <c r="F49" t="s">
        <v>32</v>
      </c>
      <c r="G49" s="3">
        <f t="shared" si="0"/>
        <v>60097.56</v>
      </c>
      <c r="H49" s="3">
        <v>0</v>
      </c>
      <c r="I49" s="3">
        <f t="shared" si="1"/>
        <v>60097.56</v>
      </c>
      <c r="J49" s="2" t="s">
        <v>27</v>
      </c>
      <c r="K49" s="5">
        <v>46240.583333333343</v>
      </c>
      <c r="L49">
        <v>4</v>
      </c>
      <c r="M49" s="3">
        <f t="shared" si="2"/>
        <v>15024.39</v>
      </c>
      <c r="N49" t="str">
        <f t="shared" si="3"/>
        <v>ставка</v>
      </c>
      <c r="O49" s="3">
        <f t="shared" si="4"/>
        <v>1178.3800000000001</v>
      </c>
      <c r="P49" s="5">
        <v>46244.5</v>
      </c>
      <c r="Q49" t="s">
        <v>32</v>
      </c>
      <c r="R49" s="2" t="s">
        <v>24</v>
      </c>
      <c r="S49">
        <v>56</v>
      </c>
      <c r="T49">
        <v>2</v>
      </c>
    </row>
    <row r="50" spans="1:20" ht="30" x14ac:dyDescent="0.25">
      <c r="A50" t="s">
        <v>135</v>
      </c>
      <c r="B50">
        <v>1</v>
      </c>
      <c r="C50" s="2" t="s">
        <v>136</v>
      </c>
      <c r="D50" s="3">
        <v>64080</v>
      </c>
      <c r="E50" s="4">
        <v>20</v>
      </c>
      <c r="F50" t="s">
        <v>103</v>
      </c>
      <c r="G50" s="3">
        <f t="shared" si="0"/>
        <v>80100</v>
      </c>
      <c r="H50" s="3">
        <v>0</v>
      </c>
      <c r="I50" s="3">
        <f t="shared" si="1"/>
        <v>80100</v>
      </c>
      <c r="J50" s="2" t="s">
        <v>27</v>
      </c>
      <c r="K50" s="5">
        <v>46252.583333333343</v>
      </c>
      <c r="L50">
        <v>6</v>
      </c>
      <c r="M50" s="3">
        <f t="shared" si="2"/>
        <v>13350</v>
      </c>
      <c r="N50" t="str">
        <f t="shared" si="3"/>
        <v>ставка</v>
      </c>
      <c r="O50" s="3">
        <f t="shared" si="4"/>
        <v>1570.59</v>
      </c>
      <c r="P50" s="5">
        <v>46258.5</v>
      </c>
      <c r="Q50" t="s">
        <v>103</v>
      </c>
      <c r="R50" s="2" t="s">
        <v>40</v>
      </c>
      <c r="S50">
        <v>58</v>
      </c>
      <c r="T50">
        <v>2</v>
      </c>
    </row>
    <row r="51" spans="1:20" ht="30" x14ac:dyDescent="0.25">
      <c r="A51" t="s">
        <v>137</v>
      </c>
      <c r="B51">
        <v>1</v>
      </c>
      <c r="C51" s="2" t="s">
        <v>138</v>
      </c>
      <c r="D51" s="3">
        <v>26286.15</v>
      </c>
      <c r="E51" s="4">
        <v>4</v>
      </c>
      <c r="F51" t="s">
        <v>55</v>
      </c>
      <c r="G51" s="3">
        <f t="shared" si="0"/>
        <v>27381.41</v>
      </c>
      <c r="H51" s="3">
        <v>0</v>
      </c>
      <c r="I51" s="3">
        <f t="shared" si="1"/>
        <v>27381.41</v>
      </c>
      <c r="J51" s="2" t="s">
        <v>27</v>
      </c>
      <c r="K51" s="5">
        <v>46206.583333333343</v>
      </c>
      <c r="L51">
        <v>2</v>
      </c>
      <c r="M51" s="3">
        <f t="shared" si="2"/>
        <v>13690.705</v>
      </c>
      <c r="N51" t="str">
        <f t="shared" si="3"/>
        <v>ставка</v>
      </c>
      <c r="O51" s="3">
        <f t="shared" si="4"/>
        <v>536.89</v>
      </c>
      <c r="P51" s="5">
        <v>46208.5</v>
      </c>
      <c r="Q51" t="s">
        <v>55</v>
      </c>
      <c r="R51" s="2" t="s">
        <v>40</v>
      </c>
      <c r="S51">
        <v>42</v>
      </c>
      <c r="T51">
        <v>1</v>
      </c>
    </row>
    <row r="52" spans="1:20" ht="30" x14ac:dyDescent="0.25">
      <c r="A52" t="s">
        <v>139</v>
      </c>
      <c r="B52">
        <v>1</v>
      </c>
      <c r="C52" s="2" t="s">
        <v>140</v>
      </c>
      <c r="D52" s="3">
        <v>9265</v>
      </c>
      <c r="E52" s="4">
        <v>15</v>
      </c>
      <c r="F52" t="s">
        <v>36</v>
      </c>
      <c r="G52" s="3">
        <f t="shared" si="0"/>
        <v>10900</v>
      </c>
      <c r="H52" s="3">
        <v>0</v>
      </c>
      <c r="I52" s="3">
        <f t="shared" si="1"/>
        <v>10900</v>
      </c>
      <c r="J52" s="2" t="s">
        <v>27</v>
      </c>
      <c r="K52" s="5">
        <v>46231.583333333343</v>
      </c>
      <c r="L52">
        <v>1</v>
      </c>
      <c r="M52" s="3">
        <f t="shared" si="2"/>
        <v>10900</v>
      </c>
      <c r="N52" t="str">
        <f t="shared" si="3"/>
        <v>ставка</v>
      </c>
      <c r="O52" s="3">
        <f t="shared" si="4"/>
        <v>213.73</v>
      </c>
      <c r="P52" s="5">
        <v>46232.5</v>
      </c>
      <c r="Q52" t="s">
        <v>36</v>
      </c>
      <c r="R52" s="2" t="s">
        <v>40</v>
      </c>
      <c r="S52">
        <v>55</v>
      </c>
      <c r="T52">
        <v>2</v>
      </c>
    </row>
    <row r="53" spans="1:20" ht="30" x14ac:dyDescent="0.25">
      <c r="A53" t="s">
        <v>141</v>
      </c>
      <c r="B53">
        <v>1</v>
      </c>
      <c r="C53" s="2" t="s">
        <v>142</v>
      </c>
      <c r="D53" s="3">
        <v>11347.5</v>
      </c>
      <c r="E53" s="4">
        <v>15</v>
      </c>
      <c r="F53" t="s">
        <v>36</v>
      </c>
      <c r="G53" s="3">
        <f t="shared" si="0"/>
        <v>13350</v>
      </c>
      <c r="H53" s="3">
        <v>0</v>
      </c>
      <c r="I53" s="3">
        <f t="shared" si="1"/>
        <v>13350</v>
      </c>
      <c r="J53" s="2" t="s">
        <v>27</v>
      </c>
      <c r="K53" s="5">
        <v>46217.583333333343</v>
      </c>
      <c r="L53">
        <v>1</v>
      </c>
      <c r="M53" s="3">
        <f t="shared" si="2"/>
        <v>13350</v>
      </c>
      <c r="N53" t="str">
        <f t="shared" si="3"/>
        <v>ставка</v>
      </c>
      <c r="O53" s="3">
        <f t="shared" si="4"/>
        <v>261.76</v>
      </c>
      <c r="P53" s="5">
        <v>46218.5</v>
      </c>
      <c r="Q53" t="s">
        <v>36</v>
      </c>
      <c r="R53" s="2" t="s">
        <v>40</v>
      </c>
      <c r="S53">
        <v>42</v>
      </c>
      <c r="T53">
        <v>1</v>
      </c>
    </row>
    <row r="54" spans="1:20" ht="30" x14ac:dyDescent="0.25">
      <c r="A54" t="s">
        <v>143</v>
      </c>
      <c r="B54">
        <v>1</v>
      </c>
      <c r="C54" s="2" t="s">
        <v>144</v>
      </c>
      <c r="D54" s="3">
        <v>17800</v>
      </c>
      <c r="E54" s="4">
        <v>0</v>
      </c>
      <c r="F54" t="s">
        <v>23</v>
      </c>
      <c r="G54" s="3">
        <f t="shared" si="0"/>
        <v>17800</v>
      </c>
      <c r="H54" s="3">
        <v>0</v>
      </c>
      <c r="I54" s="3">
        <f t="shared" si="1"/>
        <v>17800</v>
      </c>
      <c r="J54" s="2" t="s">
        <v>27</v>
      </c>
      <c r="K54" s="5">
        <v>46295.583333333343</v>
      </c>
      <c r="L54">
        <v>2</v>
      </c>
      <c r="M54" s="3">
        <f t="shared" si="2"/>
        <v>8900</v>
      </c>
      <c r="N54" t="str">
        <f t="shared" si="3"/>
        <v>ставка</v>
      </c>
      <c r="O54" s="3">
        <f t="shared" si="4"/>
        <v>349.02</v>
      </c>
      <c r="P54" s="5">
        <v>46297.5</v>
      </c>
      <c r="Q54" t="s">
        <v>23</v>
      </c>
      <c r="R54" s="2" t="s">
        <v>40</v>
      </c>
      <c r="S54">
        <v>55</v>
      </c>
      <c r="T54">
        <v>2</v>
      </c>
    </row>
    <row r="55" spans="1:20" ht="30" x14ac:dyDescent="0.25">
      <c r="A55" t="s">
        <v>145</v>
      </c>
      <c r="B55">
        <v>1</v>
      </c>
      <c r="C55" s="2" t="s">
        <v>146</v>
      </c>
      <c r="D55" s="3">
        <v>9307</v>
      </c>
      <c r="E55" s="4">
        <v>18</v>
      </c>
      <c r="F55" t="s">
        <v>147</v>
      </c>
      <c r="G55" s="3">
        <f t="shared" si="0"/>
        <v>11350</v>
      </c>
      <c r="H55" s="3">
        <v>0</v>
      </c>
      <c r="I55" s="3">
        <f t="shared" si="1"/>
        <v>11350</v>
      </c>
      <c r="J55" s="2" t="s">
        <v>27</v>
      </c>
      <c r="K55" s="5">
        <v>46245.583333333343</v>
      </c>
      <c r="L55">
        <v>1</v>
      </c>
      <c r="M55" s="3">
        <f t="shared" si="2"/>
        <v>11350</v>
      </c>
      <c r="N55" t="str">
        <f t="shared" si="3"/>
        <v>ставка</v>
      </c>
      <c r="O55" s="3">
        <f t="shared" si="4"/>
        <v>222.55</v>
      </c>
      <c r="P55" s="5">
        <v>46246.5</v>
      </c>
      <c r="Q55" t="s">
        <v>147</v>
      </c>
      <c r="R55" s="2" t="s">
        <v>40</v>
      </c>
      <c r="S55">
        <v>52</v>
      </c>
      <c r="T55">
        <v>2</v>
      </c>
    </row>
    <row r="56" spans="1:20" ht="30" x14ac:dyDescent="0.25">
      <c r="A56" t="s">
        <v>148</v>
      </c>
      <c r="B56">
        <v>1</v>
      </c>
      <c r="C56" s="2" t="s">
        <v>149</v>
      </c>
      <c r="D56" s="3">
        <v>6320</v>
      </c>
      <c r="E56" s="4">
        <v>18</v>
      </c>
      <c r="F56" t="s">
        <v>32</v>
      </c>
      <c r="G56" s="3">
        <f t="shared" si="0"/>
        <v>7707.32</v>
      </c>
      <c r="H56" s="3">
        <v>0</v>
      </c>
      <c r="I56" s="3">
        <f t="shared" si="1"/>
        <v>7707.32</v>
      </c>
      <c r="J56" s="2" t="s">
        <v>27</v>
      </c>
      <c r="K56" s="5">
        <v>46217.583333333343</v>
      </c>
      <c r="L56">
        <v>1</v>
      </c>
      <c r="M56" s="3">
        <f t="shared" si="2"/>
        <v>7707.32</v>
      </c>
      <c r="N56" t="str">
        <f t="shared" si="3"/>
        <v>ставка</v>
      </c>
      <c r="O56" s="3">
        <f t="shared" si="4"/>
        <v>151.12</v>
      </c>
      <c r="P56" s="5">
        <v>46218.5</v>
      </c>
      <c r="Q56" t="s">
        <v>32</v>
      </c>
      <c r="R56" s="2" t="s">
        <v>33</v>
      </c>
      <c r="S56">
        <v>43</v>
      </c>
      <c r="T56">
        <v>1</v>
      </c>
    </row>
    <row r="57" spans="1:20" ht="30" x14ac:dyDescent="0.25">
      <c r="A57" t="s">
        <v>150</v>
      </c>
      <c r="B57">
        <v>1</v>
      </c>
      <c r="C57" s="2" t="s">
        <v>151</v>
      </c>
      <c r="D57" s="3">
        <v>23760</v>
      </c>
      <c r="E57" s="4">
        <v>18</v>
      </c>
      <c r="F57" t="s">
        <v>32</v>
      </c>
      <c r="G57" s="3">
        <f t="shared" si="0"/>
        <v>28975.61</v>
      </c>
      <c r="H57" s="3">
        <v>0</v>
      </c>
      <c r="I57" s="3">
        <f t="shared" si="1"/>
        <v>28975.61</v>
      </c>
      <c r="J57" s="2" t="s">
        <v>27</v>
      </c>
      <c r="K57" s="5">
        <v>46232.583333333343</v>
      </c>
      <c r="L57">
        <v>3</v>
      </c>
      <c r="M57" s="3">
        <f t="shared" si="2"/>
        <v>9658.5366666666669</v>
      </c>
      <c r="N57" t="str">
        <f t="shared" si="3"/>
        <v>ставка</v>
      </c>
      <c r="O57" s="3">
        <f t="shared" si="4"/>
        <v>568.15</v>
      </c>
      <c r="P57" s="5">
        <v>46235.5</v>
      </c>
      <c r="Q57" t="s">
        <v>32</v>
      </c>
      <c r="R57" s="2" t="s">
        <v>33</v>
      </c>
      <c r="S57">
        <v>45</v>
      </c>
      <c r="T57">
        <v>1</v>
      </c>
    </row>
    <row r="58" spans="1:20" ht="30" x14ac:dyDescent="0.25">
      <c r="A58" t="s">
        <v>152</v>
      </c>
      <c r="B58">
        <v>1</v>
      </c>
      <c r="C58" s="2" t="s">
        <v>153</v>
      </c>
      <c r="D58" s="3">
        <v>24640</v>
      </c>
      <c r="E58" s="4">
        <v>18</v>
      </c>
      <c r="F58" t="s">
        <v>32</v>
      </c>
      <c r="G58" s="3">
        <f t="shared" si="0"/>
        <v>30048.78</v>
      </c>
      <c r="H58" s="3">
        <v>0</v>
      </c>
      <c r="I58" s="3">
        <f t="shared" si="1"/>
        <v>30048.78</v>
      </c>
      <c r="J58" s="2" t="s">
        <v>27</v>
      </c>
      <c r="K58" s="5">
        <v>46289.583333333343</v>
      </c>
      <c r="L58">
        <v>2</v>
      </c>
      <c r="M58" s="3">
        <f t="shared" si="2"/>
        <v>15024.39</v>
      </c>
      <c r="N58" t="str">
        <f t="shared" si="3"/>
        <v>ставка</v>
      </c>
      <c r="O58" s="3">
        <f t="shared" si="4"/>
        <v>589.19000000000005</v>
      </c>
      <c r="P58" s="5">
        <v>46291.5</v>
      </c>
      <c r="Q58" t="s">
        <v>32</v>
      </c>
      <c r="R58" s="2" t="s">
        <v>24</v>
      </c>
      <c r="S58">
        <v>21</v>
      </c>
      <c r="T58">
        <v>1</v>
      </c>
    </row>
    <row r="59" spans="1:20" ht="30" x14ac:dyDescent="0.25">
      <c r="A59" t="s">
        <v>154</v>
      </c>
      <c r="B59">
        <v>1</v>
      </c>
      <c r="C59" s="2" t="s">
        <v>155</v>
      </c>
      <c r="D59" s="3">
        <v>49193.1</v>
      </c>
      <c r="E59" s="4">
        <v>4</v>
      </c>
      <c r="F59" t="s">
        <v>55</v>
      </c>
      <c r="G59" s="3">
        <f t="shared" si="0"/>
        <v>51242.81</v>
      </c>
      <c r="H59" s="3">
        <v>0</v>
      </c>
      <c r="I59" s="3">
        <f t="shared" si="1"/>
        <v>51242.81</v>
      </c>
      <c r="J59" s="2" t="s">
        <v>27</v>
      </c>
      <c r="K59" s="5">
        <v>46219.583333333343</v>
      </c>
      <c r="L59">
        <v>5</v>
      </c>
      <c r="M59" s="3">
        <f t="shared" si="2"/>
        <v>10248.562</v>
      </c>
      <c r="N59" t="str">
        <f t="shared" si="3"/>
        <v>ставка</v>
      </c>
      <c r="O59" s="3">
        <f t="shared" si="4"/>
        <v>1004.76</v>
      </c>
      <c r="P59" s="5">
        <v>46224.5</v>
      </c>
      <c r="Q59" t="s">
        <v>55</v>
      </c>
      <c r="R59" s="2" t="s">
        <v>33</v>
      </c>
      <c r="S59">
        <v>41</v>
      </c>
      <c r="T59">
        <v>1</v>
      </c>
    </row>
    <row r="60" spans="1:20" ht="30" x14ac:dyDescent="0.25">
      <c r="A60" t="s">
        <v>156</v>
      </c>
      <c r="B60">
        <v>1</v>
      </c>
      <c r="C60" s="2" t="s">
        <v>157</v>
      </c>
      <c r="D60" s="3">
        <v>9751.5</v>
      </c>
      <c r="E60" s="4">
        <v>4</v>
      </c>
      <c r="F60" t="s">
        <v>55</v>
      </c>
      <c r="G60" s="3">
        <f t="shared" si="0"/>
        <v>10157.81</v>
      </c>
      <c r="H60" s="3">
        <v>0</v>
      </c>
      <c r="I60" s="3">
        <f t="shared" si="1"/>
        <v>10157.81</v>
      </c>
      <c r="J60" s="2" t="s">
        <v>27</v>
      </c>
      <c r="K60" s="5">
        <v>46246.583333333343</v>
      </c>
      <c r="L60">
        <v>1</v>
      </c>
      <c r="M60" s="3">
        <f t="shared" si="2"/>
        <v>10157.81</v>
      </c>
      <c r="N60" t="str">
        <f t="shared" si="3"/>
        <v>ставка</v>
      </c>
      <c r="O60" s="3">
        <f t="shared" si="4"/>
        <v>199.17</v>
      </c>
      <c r="P60" s="5">
        <v>46247.5</v>
      </c>
      <c r="Q60" t="s">
        <v>55</v>
      </c>
      <c r="R60" s="2" t="s">
        <v>33</v>
      </c>
      <c r="S60">
        <v>41</v>
      </c>
      <c r="T60">
        <v>1</v>
      </c>
    </row>
    <row r="61" spans="1:20" ht="30" x14ac:dyDescent="0.25">
      <c r="A61" t="s">
        <v>158</v>
      </c>
      <c r="B61">
        <v>1</v>
      </c>
      <c r="C61" s="2" t="s">
        <v>159</v>
      </c>
      <c r="D61" s="3">
        <v>8900</v>
      </c>
      <c r="E61" s="4">
        <v>0</v>
      </c>
      <c r="F61" t="s">
        <v>23</v>
      </c>
      <c r="G61" s="3">
        <f t="shared" si="0"/>
        <v>8900</v>
      </c>
      <c r="H61" s="3">
        <v>0</v>
      </c>
      <c r="I61" s="3">
        <f t="shared" si="1"/>
        <v>8900</v>
      </c>
      <c r="J61" s="2" t="s">
        <v>27</v>
      </c>
      <c r="K61" s="5">
        <v>46230.583333333343</v>
      </c>
      <c r="L61">
        <v>1</v>
      </c>
      <c r="M61" s="3">
        <f t="shared" si="2"/>
        <v>8900</v>
      </c>
      <c r="N61" t="str">
        <f t="shared" si="3"/>
        <v>ставка</v>
      </c>
      <c r="O61" s="3">
        <f t="shared" si="4"/>
        <v>174.51</v>
      </c>
      <c r="P61" s="5">
        <v>46231.5</v>
      </c>
      <c r="Q61" t="s">
        <v>23</v>
      </c>
      <c r="R61" s="2" t="s">
        <v>40</v>
      </c>
      <c r="S61">
        <v>22</v>
      </c>
      <c r="T61">
        <v>1</v>
      </c>
    </row>
    <row r="62" spans="1:20" ht="30" x14ac:dyDescent="0.25">
      <c r="A62" t="s">
        <v>160</v>
      </c>
      <c r="B62">
        <v>1</v>
      </c>
      <c r="C62" s="2" t="s">
        <v>159</v>
      </c>
      <c r="D62" s="3">
        <v>13400</v>
      </c>
      <c r="E62" s="4">
        <v>0</v>
      </c>
      <c r="F62" t="s">
        <v>23</v>
      </c>
      <c r="G62" s="3">
        <f t="shared" si="0"/>
        <v>13400</v>
      </c>
      <c r="H62" s="3">
        <v>0</v>
      </c>
      <c r="I62" s="3">
        <f t="shared" si="1"/>
        <v>13400</v>
      </c>
      <c r="J62" s="2" t="s">
        <v>27</v>
      </c>
      <c r="K62" s="5">
        <v>46295.583333333343</v>
      </c>
      <c r="L62">
        <v>1</v>
      </c>
      <c r="M62" s="3">
        <f t="shared" si="2"/>
        <v>13400</v>
      </c>
      <c r="N62" t="str">
        <f t="shared" si="3"/>
        <v>ставка</v>
      </c>
      <c r="O62" s="3">
        <f t="shared" si="4"/>
        <v>262.75</v>
      </c>
      <c r="P62" s="5">
        <v>46296.5</v>
      </c>
      <c r="Q62" t="s">
        <v>23</v>
      </c>
      <c r="R62" s="2" t="s">
        <v>24</v>
      </c>
      <c r="S62">
        <v>31</v>
      </c>
      <c r="T62">
        <v>1</v>
      </c>
    </row>
    <row r="63" spans="1:20" ht="30" x14ac:dyDescent="0.25">
      <c r="A63" t="s">
        <v>161</v>
      </c>
      <c r="B63">
        <v>1</v>
      </c>
      <c r="C63" s="2" t="s">
        <v>162</v>
      </c>
      <c r="D63" s="3">
        <v>9080</v>
      </c>
      <c r="E63" s="4">
        <v>20</v>
      </c>
      <c r="F63" t="s">
        <v>48</v>
      </c>
      <c r="G63" s="3">
        <f t="shared" si="0"/>
        <v>11350</v>
      </c>
      <c r="H63" s="3">
        <v>5675</v>
      </c>
      <c r="I63" s="3">
        <f t="shared" si="1"/>
        <v>17025</v>
      </c>
      <c r="J63" s="2" t="s">
        <v>163</v>
      </c>
      <c r="K63" s="5">
        <v>46285.583333333343</v>
      </c>
      <c r="L63">
        <v>1</v>
      </c>
      <c r="M63" s="3">
        <f t="shared" si="2"/>
        <v>17025</v>
      </c>
      <c r="N63" t="str">
        <f t="shared" si="3"/>
        <v>ставка</v>
      </c>
      <c r="O63" s="3">
        <f t="shared" si="4"/>
        <v>333.82</v>
      </c>
      <c r="P63" s="5">
        <v>46286.75</v>
      </c>
      <c r="Q63" t="s">
        <v>48</v>
      </c>
      <c r="R63" s="2" t="s">
        <v>40</v>
      </c>
      <c r="S63">
        <v>22</v>
      </c>
      <c r="T63">
        <v>1</v>
      </c>
    </row>
    <row r="64" spans="1:20" ht="30" x14ac:dyDescent="0.25">
      <c r="A64" t="s">
        <v>164</v>
      </c>
      <c r="B64">
        <v>1</v>
      </c>
      <c r="C64" s="2" t="s">
        <v>165</v>
      </c>
      <c r="D64" s="3">
        <v>27240</v>
      </c>
      <c r="E64" s="4">
        <v>20</v>
      </c>
      <c r="F64" t="s">
        <v>48</v>
      </c>
      <c r="G64" s="3">
        <f t="shared" si="0"/>
        <v>34050</v>
      </c>
      <c r="H64" s="3">
        <v>0</v>
      </c>
      <c r="I64" s="3">
        <f t="shared" si="1"/>
        <v>34050</v>
      </c>
      <c r="J64" s="2" t="s">
        <v>27</v>
      </c>
      <c r="K64" s="5">
        <v>46266.583333333343</v>
      </c>
      <c r="L64">
        <v>3</v>
      </c>
      <c r="M64" s="3">
        <f t="shared" si="2"/>
        <v>11350</v>
      </c>
      <c r="N64" t="str">
        <f t="shared" si="3"/>
        <v>ставка</v>
      </c>
      <c r="O64" s="3">
        <f t="shared" si="4"/>
        <v>667.65</v>
      </c>
      <c r="P64" s="5">
        <v>46269.5</v>
      </c>
      <c r="Q64" t="s">
        <v>48</v>
      </c>
      <c r="R64" s="2" t="s">
        <v>40</v>
      </c>
      <c r="S64">
        <v>52</v>
      </c>
      <c r="T64">
        <v>2</v>
      </c>
    </row>
    <row r="65" spans="1:20" ht="30" x14ac:dyDescent="0.25">
      <c r="A65" t="s">
        <v>166</v>
      </c>
      <c r="B65">
        <v>1</v>
      </c>
      <c r="C65" s="2" t="s">
        <v>167</v>
      </c>
      <c r="D65" s="3">
        <v>28942.5</v>
      </c>
      <c r="E65" s="4">
        <v>15</v>
      </c>
      <c r="F65" t="s">
        <v>168</v>
      </c>
      <c r="G65" s="3">
        <f t="shared" si="0"/>
        <v>34050</v>
      </c>
      <c r="H65" s="3">
        <v>0</v>
      </c>
      <c r="I65" s="3">
        <f t="shared" si="1"/>
        <v>34050</v>
      </c>
      <c r="J65" s="2" t="s">
        <v>27</v>
      </c>
      <c r="K65" s="5">
        <v>46222.583333333343</v>
      </c>
      <c r="L65">
        <v>3</v>
      </c>
      <c r="M65" s="3">
        <f t="shared" si="2"/>
        <v>11350</v>
      </c>
      <c r="N65" t="str">
        <f t="shared" si="3"/>
        <v>ставка</v>
      </c>
      <c r="O65" s="3">
        <f t="shared" si="4"/>
        <v>667.65</v>
      </c>
      <c r="P65" s="5">
        <v>46225.5</v>
      </c>
      <c r="Q65" t="s">
        <v>168</v>
      </c>
      <c r="R65" s="2" t="s">
        <v>40</v>
      </c>
      <c r="S65">
        <v>58</v>
      </c>
      <c r="T65">
        <v>2</v>
      </c>
    </row>
    <row r="66" spans="1:20" ht="45" x14ac:dyDescent="0.25">
      <c r="A66" t="s">
        <v>169</v>
      </c>
      <c r="B66">
        <v>1</v>
      </c>
      <c r="C66" s="2" t="s">
        <v>170</v>
      </c>
      <c r="D66" s="3">
        <v>77137.5</v>
      </c>
      <c r="E66" s="4">
        <v>15</v>
      </c>
      <c r="F66" t="s">
        <v>168</v>
      </c>
      <c r="G66" s="3">
        <f t="shared" ref="G66:G129" si="5">ROUND(D66/(100-E66)*100,2)</f>
        <v>90750</v>
      </c>
      <c r="H66" s="3">
        <v>0</v>
      </c>
      <c r="I66" s="3">
        <f t="shared" ref="I66:I129" si="6">ROUND(G66+H66,2)</f>
        <v>90750</v>
      </c>
      <c r="J66" s="2" t="s">
        <v>27</v>
      </c>
      <c r="K66" s="5">
        <v>46293.583333333343</v>
      </c>
      <c r="L66">
        <v>9</v>
      </c>
      <c r="M66" s="3">
        <f t="shared" ref="M66:M129" si="7">I66/L66</f>
        <v>10083.333333333334</v>
      </c>
      <c r="N66" t="str">
        <f t="shared" ref="N66:N129" si="8">IF(M66&gt;=5100,"ставка","мин.ставка")</f>
        <v>ставка</v>
      </c>
      <c r="O66" s="3">
        <f t="shared" ref="O66:O129" si="9">ROUND(IF(N66="мин.ставка",L66*100,I66/102*2),2)</f>
        <v>1779.41</v>
      </c>
      <c r="P66" s="5">
        <v>46302.5</v>
      </c>
      <c r="Q66" t="s">
        <v>168</v>
      </c>
      <c r="R66" s="2" t="s">
        <v>87</v>
      </c>
      <c r="S66">
        <v>50</v>
      </c>
      <c r="T66">
        <v>2</v>
      </c>
    </row>
    <row r="67" spans="1:20" ht="30" x14ac:dyDescent="0.25">
      <c r="A67" t="s">
        <v>171</v>
      </c>
      <c r="B67">
        <v>1</v>
      </c>
      <c r="C67" s="2" t="s">
        <v>172</v>
      </c>
      <c r="D67" s="3">
        <v>56737.5</v>
      </c>
      <c r="E67" s="4">
        <v>20</v>
      </c>
      <c r="F67" t="s">
        <v>173</v>
      </c>
      <c r="G67" s="3">
        <f t="shared" si="5"/>
        <v>70921.88</v>
      </c>
      <c r="H67" s="3">
        <v>0</v>
      </c>
      <c r="I67" s="3">
        <f t="shared" si="6"/>
        <v>70921.88</v>
      </c>
      <c r="J67" s="2" t="s">
        <v>27</v>
      </c>
      <c r="K67" s="5">
        <v>46236.583333333343</v>
      </c>
      <c r="L67">
        <v>5</v>
      </c>
      <c r="M67" s="3">
        <f t="shared" si="7"/>
        <v>14184.376</v>
      </c>
      <c r="N67" t="str">
        <f t="shared" si="8"/>
        <v>ставка</v>
      </c>
      <c r="O67" s="3">
        <f t="shared" si="9"/>
        <v>1390.63</v>
      </c>
      <c r="P67" s="5">
        <v>46241.5</v>
      </c>
      <c r="Q67" t="s">
        <v>173</v>
      </c>
      <c r="R67" s="2" t="s">
        <v>40</v>
      </c>
      <c r="S67" s="6"/>
    </row>
    <row r="68" spans="1:20" ht="30" x14ac:dyDescent="0.25">
      <c r="A68" t="s">
        <v>174</v>
      </c>
      <c r="B68">
        <v>1</v>
      </c>
      <c r="C68" s="2" t="s">
        <v>175</v>
      </c>
      <c r="D68" s="3">
        <v>30800</v>
      </c>
      <c r="E68" s="4">
        <v>18</v>
      </c>
      <c r="F68" t="s">
        <v>32</v>
      </c>
      <c r="G68" s="3">
        <f t="shared" si="5"/>
        <v>37560.980000000003</v>
      </c>
      <c r="H68" s="3">
        <v>0</v>
      </c>
      <c r="I68" s="3">
        <f t="shared" si="6"/>
        <v>37560.980000000003</v>
      </c>
      <c r="J68" s="2" t="s">
        <v>27</v>
      </c>
      <c r="K68" s="5">
        <v>46285.583333333343</v>
      </c>
      <c r="L68">
        <v>5</v>
      </c>
      <c r="M68" s="3">
        <f t="shared" si="7"/>
        <v>7512.1960000000008</v>
      </c>
      <c r="N68" t="str">
        <f t="shared" si="8"/>
        <v>ставка</v>
      </c>
      <c r="O68" s="3">
        <f t="shared" si="9"/>
        <v>736.49</v>
      </c>
      <c r="P68" s="5">
        <v>46290.5</v>
      </c>
      <c r="Q68" t="s">
        <v>32</v>
      </c>
      <c r="R68" s="2" t="s">
        <v>58</v>
      </c>
      <c r="S68">
        <v>24</v>
      </c>
      <c r="T68">
        <v>1</v>
      </c>
    </row>
    <row r="69" spans="1:20" ht="30" x14ac:dyDescent="0.25">
      <c r="A69" t="s">
        <v>176</v>
      </c>
      <c r="B69">
        <v>1</v>
      </c>
      <c r="C69" s="2" t="s">
        <v>177</v>
      </c>
      <c r="D69" s="3">
        <v>27556</v>
      </c>
      <c r="E69" s="4">
        <v>18</v>
      </c>
      <c r="F69" t="s">
        <v>32</v>
      </c>
      <c r="G69" s="3">
        <f t="shared" si="5"/>
        <v>33604.879999999997</v>
      </c>
      <c r="H69" s="3">
        <v>0</v>
      </c>
      <c r="I69" s="3">
        <f t="shared" si="6"/>
        <v>33604.879999999997</v>
      </c>
      <c r="J69" s="2" t="s">
        <v>27</v>
      </c>
      <c r="K69" s="5">
        <v>46265.583333333343</v>
      </c>
      <c r="L69">
        <v>2</v>
      </c>
      <c r="M69" s="3">
        <f t="shared" si="7"/>
        <v>16802.439999999999</v>
      </c>
      <c r="N69" t="str">
        <f t="shared" si="8"/>
        <v>ставка</v>
      </c>
      <c r="O69" s="3">
        <f t="shared" si="9"/>
        <v>658.92</v>
      </c>
      <c r="P69" s="5">
        <v>46267.5</v>
      </c>
      <c r="Q69" t="s">
        <v>32</v>
      </c>
      <c r="R69" s="2" t="s">
        <v>45</v>
      </c>
      <c r="S69">
        <v>57</v>
      </c>
      <c r="T69">
        <v>2</v>
      </c>
    </row>
    <row r="70" spans="1:20" ht="30" x14ac:dyDescent="0.25">
      <c r="A70" t="s">
        <v>178</v>
      </c>
      <c r="B70">
        <v>1</v>
      </c>
      <c r="C70" s="2" t="s">
        <v>179</v>
      </c>
      <c r="D70" s="3">
        <v>68085</v>
      </c>
      <c r="E70" s="4">
        <v>0</v>
      </c>
      <c r="F70" t="s">
        <v>180</v>
      </c>
      <c r="G70" s="3">
        <f t="shared" si="5"/>
        <v>68085</v>
      </c>
      <c r="H70" s="3">
        <v>0</v>
      </c>
      <c r="I70" s="3">
        <f t="shared" si="6"/>
        <v>68085</v>
      </c>
      <c r="J70" s="2" t="s">
        <v>181</v>
      </c>
      <c r="K70" s="5">
        <v>46236.583333333343</v>
      </c>
      <c r="L70">
        <v>6</v>
      </c>
      <c r="M70" s="3">
        <f t="shared" si="7"/>
        <v>11347.5</v>
      </c>
      <c r="N70" t="str">
        <f t="shared" si="8"/>
        <v>ставка</v>
      </c>
      <c r="O70" s="3">
        <f t="shared" si="9"/>
        <v>1335</v>
      </c>
      <c r="P70" s="5">
        <v>46242.5</v>
      </c>
      <c r="Q70" t="s">
        <v>180</v>
      </c>
      <c r="R70" s="2" t="s">
        <v>40</v>
      </c>
      <c r="S70">
        <v>44</v>
      </c>
      <c r="T70">
        <v>1</v>
      </c>
    </row>
    <row r="71" spans="1:20" ht="30" x14ac:dyDescent="0.25">
      <c r="A71" t="s">
        <v>182</v>
      </c>
      <c r="B71">
        <v>1</v>
      </c>
      <c r="C71" s="2" t="s">
        <v>183</v>
      </c>
      <c r="D71" s="3">
        <v>11120</v>
      </c>
      <c r="E71" s="4">
        <v>18</v>
      </c>
      <c r="F71" t="s">
        <v>32</v>
      </c>
      <c r="G71" s="3">
        <f t="shared" si="5"/>
        <v>13560.98</v>
      </c>
      <c r="H71" s="3">
        <v>0</v>
      </c>
      <c r="I71" s="3">
        <f t="shared" si="6"/>
        <v>13560.98</v>
      </c>
      <c r="J71" s="2"/>
      <c r="K71" s="5">
        <v>46239.583333333343</v>
      </c>
      <c r="L71">
        <v>1</v>
      </c>
      <c r="M71" s="3">
        <f t="shared" si="7"/>
        <v>13560.98</v>
      </c>
      <c r="N71" t="str">
        <f t="shared" si="8"/>
        <v>ставка</v>
      </c>
      <c r="O71" s="3">
        <f t="shared" si="9"/>
        <v>265.89999999999998</v>
      </c>
      <c r="P71" s="5">
        <v>46240.5</v>
      </c>
      <c r="Q71" t="s">
        <v>32</v>
      </c>
      <c r="R71" s="2" t="s">
        <v>24</v>
      </c>
      <c r="S71">
        <v>56</v>
      </c>
      <c r="T71">
        <v>2</v>
      </c>
    </row>
    <row r="72" spans="1:20" ht="45" x14ac:dyDescent="0.25">
      <c r="A72" t="s">
        <v>184</v>
      </c>
      <c r="B72">
        <v>1</v>
      </c>
      <c r="C72" s="2" t="s">
        <v>185</v>
      </c>
      <c r="D72" s="3">
        <v>18160</v>
      </c>
      <c r="E72" s="4">
        <v>20</v>
      </c>
      <c r="F72" t="s">
        <v>48</v>
      </c>
      <c r="G72" s="3">
        <f t="shared" si="5"/>
        <v>22700</v>
      </c>
      <c r="H72" s="3">
        <v>0</v>
      </c>
      <c r="I72" s="3">
        <f t="shared" si="6"/>
        <v>22700</v>
      </c>
      <c r="J72" s="2" t="s">
        <v>27</v>
      </c>
      <c r="K72" s="5">
        <v>46217.583333333343</v>
      </c>
      <c r="L72">
        <v>2</v>
      </c>
      <c r="M72" s="3">
        <f t="shared" si="7"/>
        <v>11350</v>
      </c>
      <c r="N72" t="str">
        <f t="shared" si="8"/>
        <v>ставка</v>
      </c>
      <c r="O72" s="3">
        <f t="shared" si="9"/>
        <v>445.1</v>
      </c>
      <c r="P72" s="5">
        <v>46219.5</v>
      </c>
      <c r="Q72" t="s">
        <v>48</v>
      </c>
      <c r="R72" s="2" t="s">
        <v>87</v>
      </c>
      <c r="S72">
        <v>50</v>
      </c>
      <c r="T72">
        <v>2</v>
      </c>
    </row>
    <row r="73" spans="1:20" ht="30" x14ac:dyDescent="0.25">
      <c r="A73" t="s">
        <v>186</v>
      </c>
      <c r="B73">
        <v>1</v>
      </c>
      <c r="C73" s="2" t="s">
        <v>187</v>
      </c>
      <c r="D73" s="3">
        <v>25245</v>
      </c>
      <c r="E73" s="4">
        <v>15</v>
      </c>
      <c r="F73" t="s">
        <v>168</v>
      </c>
      <c r="G73" s="3">
        <f t="shared" si="5"/>
        <v>29700</v>
      </c>
      <c r="H73" s="3">
        <v>0</v>
      </c>
      <c r="I73" s="3">
        <f t="shared" si="6"/>
        <v>29700</v>
      </c>
      <c r="J73" s="2" t="s">
        <v>27</v>
      </c>
      <c r="K73" s="5">
        <v>46227.583333333343</v>
      </c>
      <c r="L73">
        <v>3</v>
      </c>
      <c r="M73" s="3">
        <f t="shared" si="7"/>
        <v>9900</v>
      </c>
      <c r="N73" t="str">
        <f t="shared" si="8"/>
        <v>ставка</v>
      </c>
      <c r="O73" s="3">
        <f t="shared" si="9"/>
        <v>582.35</v>
      </c>
      <c r="P73" s="5">
        <v>46230.5</v>
      </c>
      <c r="Q73" t="s">
        <v>168</v>
      </c>
      <c r="R73" s="2" t="s">
        <v>33</v>
      </c>
      <c r="S73">
        <v>47</v>
      </c>
      <c r="T73">
        <v>1</v>
      </c>
    </row>
    <row r="74" spans="1:20" ht="30" x14ac:dyDescent="0.25">
      <c r="A74" t="s">
        <v>188</v>
      </c>
      <c r="B74">
        <v>1</v>
      </c>
      <c r="C74" s="2" t="s">
        <v>189</v>
      </c>
      <c r="D74" s="3">
        <v>11080.5</v>
      </c>
      <c r="E74" s="4">
        <v>17</v>
      </c>
      <c r="F74" t="s">
        <v>130</v>
      </c>
      <c r="G74" s="3">
        <f t="shared" si="5"/>
        <v>13350</v>
      </c>
      <c r="H74" s="3">
        <v>0</v>
      </c>
      <c r="I74" s="3">
        <f t="shared" si="6"/>
        <v>13350</v>
      </c>
      <c r="J74" s="2" t="s">
        <v>27</v>
      </c>
      <c r="K74" s="5">
        <v>46261.583333333343</v>
      </c>
      <c r="L74">
        <v>1</v>
      </c>
      <c r="M74" s="3">
        <f t="shared" si="7"/>
        <v>13350</v>
      </c>
      <c r="N74" t="str">
        <f t="shared" si="8"/>
        <v>ставка</v>
      </c>
      <c r="O74" s="3">
        <f t="shared" si="9"/>
        <v>261.76</v>
      </c>
      <c r="P74" s="5">
        <v>46262.5</v>
      </c>
      <c r="Q74" t="s">
        <v>130</v>
      </c>
      <c r="R74" s="2" t="s">
        <v>49</v>
      </c>
      <c r="S74">
        <v>25</v>
      </c>
      <c r="T74">
        <v>1</v>
      </c>
    </row>
    <row r="75" spans="1:20" ht="30" x14ac:dyDescent="0.25">
      <c r="A75" t="s">
        <v>190</v>
      </c>
      <c r="B75">
        <v>1</v>
      </c>
      <c r="C75" s="2" t="s">
        <v>191</v>
      </c>
      <c r="D75" s="3">
        <v>25564</v>
      </c>
      <c r="E75" s="4">
        <v>20</v>
      </c>
      <c r="F75" t="s">
        <v>173</v>
      </c>
      <c r="G75" s="3">
        <f t="shared" si="5"/>
        <v>31955</v>
      </c>
      <c r="H75" s="3">
        <v>0</v>
      </c>
      <c r="I75" s="3">
        <f t="shared" si="6"/>
        <v>31955</v>
      </c>
      <c r="J75" s="2" t="s">
        <v>27</v>
      </c>
      <c r="K75" s="5">
        <v>46235.583333333343</v>
      </c>
      <c r="L75">
        <v>2</v>
      </c>
      <c r="M75" s="3">
        <f t="shared" si="7"/>
        <v>15977.5</v>
      </c>
      <c r="N75" t="str">
        <f t="shared" si="8"/>
        <v>ставка</v>
      </c>
      <c r="O75" s="3">
        <f t="shared" si="9"/>
        <v>626.57000000000005</v>
      </c>
      <c r="P75" s="5">
        <v>46237.5</v>
      </c>
      <c r="Q75" t="s">
        <v>173</v>
      </c>
      <c r="R75" s="2" t="s">
        <v>24</v>
      </c>
      <c r="S75">
        <v>21</v>
      </c>
      <c r="T75">
        <v>1</v>
      </c>
    </row>
    <row r="76" spans="1:20" ht="30" x14ac:dyDescent="0.25">
      <c r="A76" t="s">
        <v>192</v>
      </c>
      <c r="B76">
        <v>1</v>
      </c>
      <c r="C76" s="2" t="s">
        <v>193</v>
      </c>
      <c r="D76" s="3">
        <v>16500</v>
      </c>
      <c r="E76" s="4">
        <v>0</v>
      </c>
      <c r="F76" t="s">
        <v>23</v>
      </c>
      <c r="G76" s="3">
        <f t="shared" si="5"/>
        <v>16500</v>
      </c>
      <c r="H76" s="3">
        <v>0</v>
      </c>
      <c r="I76" s="3">
        <f t="shared" si="6"/>
        <v>16500</v>
      </c>
      <c r="J76" s="2" t="s">
        <v>27</v>
      </c>
      <c r="K76" s="5">
        <v>46235.583333333343</v>
      </c>
      <c r="L76">
        <v>1</v>
      </c>
      <c r="M76" s="3">
        <f t="shared" si="7"/>
        <v>16500</v>
      </c>
      <c r="N76" t="str">
        <f t="shared" si="8"/>
        <v>ставка</v>
      </c>
      <c r="O76" s="3">
        <f t="shared" si="9"/>
        <v>323.52999999999997</v>
      </c>
      <c r="P76" s="5">
        <v>46236.5</v>
      </c>
      <c r="Q76" t="s">
        <v>23</v>
      </c>
      <c r="R76" s="2" t="s">
        <v>49</v>
      </c>
      <c r="S76">
        <v>35</v>
      </c>
      <c r="T76">
        <v>1</v>
      </c>
    </row>
    <row r="77" spans="1:20" x14ac:dyDescent="0.25">
      <c r="A77" t="s">
        <v>194</v>
      </c>
      <c r="B77">
        <v>1</v>
      </c>
      <c r="C77" s="2" t="s">
        <v>195</v>
      </c>
      <c r="D77" s="3">
        <v>32160</v>
      </c>
      <c r="E77" s="4">
        <v>18</v>
      </c>
      <c r="F77" t="s">
        <v>32</v>
      </c>
      <c r="G77" s="3">
        <f t="shared" si="5"/>
        <v>39219.51</v>
      </c>
      <c r="H77" s="3">
        <v>0</v>
      </c>
      <c r="I77" s="3">
        <f t="shared" si="6"/>
        <v>39219.51</v>
      </c>
      <c r="J77" s="2" t="s">
        <v>27</v>
      </c>
      <c r="K77" s="5">
        <v>46214.583333333343</v>
      </c>
      <c r="L77">
        <v>3</v>
      </c>
      <c r="M77" s="3">
        <f t="shared" si="7"/>
        <v>13073.17</v>
      </c>
      <c r="N77" t="str">
        <f t="shared" si="8"/>
        <v>ставка</v>
      </c>
      <c r="O77" s="3">
        <f t="shared" si="9"/>
        <v>769.01</v>
      </c>
      <c r="P77" s="5">
        <v>46217.5</v>
      </c>
      <c r="Q77" t="s">
        <v>32</v>
      </c>
      <c r="R77" s="2" t="s">
        <v>49</v>
      </c>
      <c r="S77">
        <v>11</v>
      </c>
      <c r="T77">
        <v>1</v>
      </c>
    </row>
    <row r="78" spans="1:20" ht="30" x14ac:dyDescent="0.25">
      <c r="A78" t="s">
        <v>196</v>
      </c>
      <c r="B78">
        <v>1</v>
      </c>
      <c r="C78" s="2" t="s">
        <v>197</v>
      </c>
      <c r="D78" s="3">
        <v>6160</v>
      </c>
      <c r="E78" s="4">
        <v>20</v>
      </c>
      <c r="F78" t="s">
        <v>48</v>
      </c>
      <c r="G78" s="3">
        <f t="shared" si="5"/>
        <v>7700</v>
      </c>
      <c r="H78" s="3">
        <v>0</v>
      </c>
      <c r="I78" s="3">
        <f t="shared" si="6"/>
        <v>7700</v>
      </c>
      <c r="J78" s="2" t="s">
        <v>27</v>
      </c>
      <c r="K78" s="5">
        <v>46217.583333333343</v>
      </c>
      <c r="L78">
        <v>1</v>
      </c>
      <c r="M78" s="3">
        <f t="shared" si="7"/>
        <v>7700</v>
      </c>
      <c r="N78" t="str">
        <f t="shared" si="8"/>
        <v>ставка</v>
      </c>
      <c r="O78" s="3">
        <f t="shared" si="9"/>
        <v>150.97999999999999</v>
      </c>
      <c r="P78" s="5">
        <v>46218.5</v>
      </c>
      <c r="Q78" t="s">
        <v>48</v>
      </c>
      <c r="R78" s="2" t="s">
        <v>58</v>
      </c>
      <c r="S78">
        <v>34</v>
      </c>
      <c r="T78">
        <v>1</v>
      </c>
    </row>
    <row r="79" spans="1:20" x14ac:dyDescent="0.25">
      <c r="A79" t="s">
        <v>198</v>
      </c>
      <c r="B79">
        <v>1</v>
      </c>
      <c r="C79" s="2" t="s">
        <v>199</v>
      </c>
      <c r="D79" s="3">
        <v>13430</v>
      </c>
      <c r="E79" s="4">
        <v>16</v>
      </c>
      <c r="F79" t="s">
        <v>36</v>
      </c>
      <c r="G79" s="3">
        <f t="shared" si="5"/>
        <v>15988.1</v>
      </c>
      <c r="H79" s="3">
        <v>0</v>
      </c>
      <c r="I79" s="3">
        <f t="shared" si="6"/>
        <v>15988.1</v>
      </c>
      <c r="J79" s="2" t="s">
        <v>27</v>
      </c>
      <c r="K79" s="5">
        <v>46242.583333333343</v>
      </c>
      <c r="L79">
        <v>1</v>
      </c>
      <c r="M79" s="3">
        <f t="shared" si="7"/>
        <v>15988.1</v>
      </c>
      <c r="N79" t="str">
        <f t="shared" si="8"/>
        <v>ставка</v>
      </c>
      <c r="O79" s="3">
        <f t="shared" si="9"/>
        <v>313.49</v>
      </c>
      <c r="P79" s="5">
        <v>46243.5</v>
      </c>
      <c r="Q79" t="s">
        <v>36</v>
      </c>
      <c r="R79" s="2" t="s">
        <v>45</v>
      </c>
      <c r="S79">
        <v>54</v>
      </c>
      <c r="T79">
        <v>2</v>
      </c>
    </row>
    <row r="80" spans="1:20" ht="30" x14ac:dyDescent="0.25">
      <c r="A80" t="s">
        <v>200</v>
      </c>
      <c r="B80">
        <v>1</v>
      </c>
      <c r="C80" s="2" t="s">
        <v>201</v>
      </c>
      <c r="D80" s="3">
        <v>79279.75</v>
      </c>
      <c r="E80" s="4">
        <v>4</v>
      </c>
      <c r="F80" t="s">
        <v>55</v>
      </c>
      <c r="G80" s="3">
        <f t="shared" si="5"/>
        <v>82583.070000000007</v>
      </c>
      <c r="H80" s="3">
        <v>0</v>
      </c>
      <c r="I80" s="3">
        <f t="shared" si="6"/>
        <v>82583.070000000007</v>
      </c>
      <c r="J80" s="2" t="s">
        <v>27</v>
      </c>
      <c r="K80" s="5">
        <v>46235.583333333343</v>
      </c>
      <c r="L80">
        <v>7</v>
      </c>
      <c r="M80" s="3">
        <f t="shared" si="7"/>
        <v>11797.58142857143</v>
      </c>
      <c r="N80" t="str">
        <f t="shared" si="8"/>
        <v>ставка</v>
      </c>
      <c r="O80" s="3">
        <f t="shared" si="9"/>
        <v>1619.28</v>
      </c>
      <c r="P80" s="5">
        <v>46242.5</v>
      </c>
      <c r="Q80" t="s">
        <v>55</v>
      </c>
      <c r="R80" s="2" t="s">
        <v>40</v>
      </c>
      <c r="S80">
        <v>26</v>
      </c>
      <c r="T80">
        <v>1</v>
      </c>
    </row>
    <row r="81" spans="1:20" ht="30" x14ac:dyDescent="0.25">
      <c r="A81" t="s">
        <v>202</v>
      </c>
      <c r="B81">
        <v>1</v>
      </c>
      <c r="C81" s="2" t="s">
        <v>203</v>
      </c>
      <c r="D81" s="3">
        <v>9702.25</v>
      </c>
      <c r="E81" s="4">
        <v>4</v>
      </c>
      <c r="F81" t="s">
        <v>55</v>
      </c>
      <c r="G81" s="3">
        <f t="shared" si="5"/>
        <v>10106.51</v>
      </c>
      <c r="H81" s="3">
        <v>0</v>
      </c>
      <c r="I81" s="3">
        <f t="shared" si="6"/>
        <v>10106.51</v>
      </c>
      <c r="J81" s="2"/>
      <c r="K81" s="5">
        <v>46289.666666666657</v>
      </c>
      <c r="L81">
        <v>1</v>
      </c>
      <c r="M81" s="3">
        <f t="shared" si="7"/>
        <v>10106.51</v>
      </c>
      <c r="N81" t="str">
        <f t="shared" si="8"/>
        <v>ставка</v>
      </c>
      <c r="O81" s="3">
        <f t="shared" si="9"/>
        <v>198.17</v>
      </c>
      <c r="P81" s="5">
        <v>46290.5</v>
      </c>
      <c r="Q81" t="s">
        <v>55</v>
      </c>
      <c r="R81" s="2" t="s">
        <v>40</v>
      </c>
      <c r="S81">
        <v>52</v>
      </c>
      <c r="T81">
        <v>2</v>
      </c>
    </row>
    <row r="82" spans="1:20" ht="30" x14ac:dyDescent="0.25">
      <c r="A82" t="s">
        <v>204</v>
      </c>
      <c r="B82">
        <v>1</v>
      </c>
      <c r="C82" s="2" t="s">
        <v>205</v>
      </c>
      <c r="D82" s="3">
        <v>53661.3</v>
      </c>
      <c r="E82" s="4">
        <v>4</v>
      </c>
      <c r="F82" t="s">
        <v>55</v>
      </c>
      <c r="G82" s="3">
        <f t="shared" si="5"/>
        <v>55897.19</v>
      </c>
      <c r="H82" s="3">
        <v>0</v>
      </c>
      <c r="I82" s="3">
        <f t="shared" si="6"/>
        <v>55897.19</v>
      </c>
      <c r="J82" s="2" t="s">
        <v>27</v>
      </c>
      <c r="K82" s="5">
        <v>46228.666666666657</v>
      </c>
      <c r="L82">
        <v>7</v>
      </c>
      <c r="M82" s="3">
        <f t="shared" si="7"/>
        <v>7985.3128571428579</v>
      </c>
      <c r="N82" t="str">
        <f t="shared" si="8"/>
        <v>ставка</v>
      </c>
      <c r="O82" s="3">
        <f t="shared" si="9"/>
        <v>1096.02</v>
      </c>
      <c r="P82" s="5">
        <v>46235.375</v>
      </c>
      <c r="Q82" t="s">
        <v>55</v>
      </c>
      <c r="R82" s="2" t="s">
        <v>58</v>
      </c>
      <c r="S82">
        <v>24</v>
      </c>
      <c r="T82">
        <v>1</v>
      </c>
    </row>
    <row r="83" spans="1:20" x14ac:dyDescent="0.25">
      <c r="A83" t="s">
        <v>206</v>
      </c>
      <c r="B83">
        <v>1</v>
      </c>
      <c r="C83" s="2" t="s">
        <v>207</v>
      </c>
      <c r="D83" s="3">
        <v>13050</v>
      </c>
      <c r="E83" s="4">
        <v>0</v>
      </c>
      <c r="F83" t="s">
        <v>23</v>
      </c>
      <c r="G83" s="3">
        <f t="shared" si="5"/>
        <v>13050</v>
      </c>
      <c r="H83" s="3">
        <v>0</v>
      </c>
      <c r="I83" s="3">
        <f t="shared" si="6"/>
        <v>13050</v>
      </c>
      <c r="J83" s="2" t="s">
        <v>27</v>
      </c>
      <c r="K83" s="5">
        <v>46274.583333333343</v>
      </c>
      <c r="L83">
        <v>1</v>
      </c>
      <c r="M83" s="3">
        <f t="shared" si="7"/>
        <v>13050</v>
      </c>
      <c r="N83" t="str">
        <f t="shared" si="8"/>
        <v>ставка</v>
      </c>
      <c r="O83" s="3">
        <f t="shared" si="9"/>
        <v>255.88</v>
      </c>
      <c r="P83" s="5">
        <v>46275.5</v>
      </c>
      <c r="Q83" t="s">
        <v>23</v>
      </c>
      <c r="R83" s="2" t="s">
        <v>49</v>
      </c>
      <c r="S83">
        <v>25</v>
      </c>
      <c r="T83">
        <v>1</v>
      </c>
    </row>
    <row r="84" spans="1:20" ht="30" x14ac:dyDescent="0.25">
      <c r="A84" t="s">
        <v>208</v>
      </c>
      <c r="B84">
        <v>1</v>
      </c>
      <c r="C84" s="2" t="s">
        <v>209</v>
      </c>
      <c r="D84" s="3">
        <v>31481.5</v>
      </c>
      <c r="E84" s="4">
        <v>4</v>
      </c>
      <c r="F84" t="s">
        <v>55</v>
      </c>
      <c r="G84" s="3">
        <f t="shared" si="5"/>
        <v>32793.230000000003</v>
      </c>
      <c r="H84" s="3">
        <v>0</v>
      </c>
      <c r="I84" s="3">
        <f t="shared" si="6"/>
        <v>32793.230000000003</v>
      </c>
      <c r="J84" s="2" t="s">
        <v>27</v>
      </c>
      <c r="K84" s="5">
        <v>46286.583333333343</v>
      </c>
      <c r="L84">
        <v>4</v>
      </c>
      <c r="M84" s="3">
        <f t="shared" si="7"/>
        <v>8198.3075000000008</v>
      </c>
      <c r="N84" t="str">
        <f t="shared" si="8"/>
        <v>ставка</v>
      </c>
      <c r="O84" s="3">
        <f t="shared" si="9"/>
        <v>643</v>
      </c>
      <c r="P84" s="5">
        <v>46290.5</v>
      </c>
      <c r="Q84" t="s">
        <v>55</v>
      </c>
      <c r="R84" s="2" t="s">
        <v>33</v>
      </c>
      <c r="S84">
        <v>45</v>
      </c>
      <c r="T84">
        <v>1</v>
      </c>
    </row>
    <row r="85" spans="1:20" ht="30" x14ac:dyDescent="0.25">
      <c r="A85" t="s">
        <v>210</v>
      </c>
      <c r="B85">
        <v>1</v>
      </c>
      <c r="C85" s="2" t="s">
        <v>211</v>
      </c>
      <c r="D85" s="3">
        <v>16830</v>
      </c>
      <c r="E85" s="4">
        <v>15</v>
      </c>
      <c r="F85" t="s">
        <v>52</v>
      </c>
      <c r="G85" s="3">
        <f t="shared" si="5"/>
        <v>19800</v>
      </c>
      <c r="H85" s="3">
        <v>0</v>
      </c>
      <c r="I85" s="3">
        <f t="shared" si="6"/>
        <v>19800</v>
      </c>
      <c r="J85" s="2" t="s">
        <v>27</v>
      </c>
      <c r="K85" s="5">
        <v>46283.916666666657</v>
      </c>
      <c r="L85">
        <v>2</v>
      </c>
      <c r="M85" s="3">
        <f t="shared" si="7"/>
        <v>9900</v>
      </c>
      <c r="N85" t="str">
        <f t="shared" si="8"/>
        <v>ставка</v>
      </c>
      <c r="O85" s="3">
        <f t="shared" si="9"/>
        <v>388.24</v>
      </c>
      <c r="P85" s="5">
        <v>46285.5</v>
      </c>
      <c r="Q85" t="s">
        <v>52</v>
      </c>
      <c r="R85" s="2" t="s">
        <v>33</v>
      </c>
      <c r="S85">
        <v>41</v>
      </c>
      <c r="T85">
        <v>1</v>
      </c>
    </row>
    <row r="86" spans="1:20" ht="30" x14ac:dyDescent="0.25">
      <c r="A86" t="s">
        <v>212</v>
      </c>
      <c r="B86">
        <v>1</v>
      </c>
      <c r="C86" s="2" t="s">
        <v>213</v>
      </c>
      <c r="D86" s="3">
        <v>10012.5</v>
      </c>
      <c r="E86" s="4">
        <v>18</v>
      </c>
      <c r="F86" t="s">
        <v>32</v>
      </c>
      <c r="G86" s="3">
        <f t="shared" si="5"/>
        <v>12210.37</v>
      </c>
      <c r="H86" s="3">
        <v>0</v>
      </c>
      <c r="I86" s="3">
        <f t="shared" si="6"/>
        <v>12210.37</v>
      </c>
      <c r="J86" s="2" t="s">
        <v>27</v>
      </c>
      <c r="K86" s="5">
        <v>46270.583333333343</v>
      </c>
      <c r="L86">
        <v>1</v>
      </c>
      <c r="M86" s="3">
        <f t="shared" si="7"/>
        <v>12210.37</v>
      </c>
      <c r="N86" t="str">
        <f t="shared" si="8"/>
        <v>ставка</v>
      </c>
      <c r="O86" s="3">
        <f t="shared" si="9"/>
        <v>239.42</v>
      </c>
      <c r="P86" s="5">
        <v>46271.5</v>
      </c>
      <c r="Q86" t="s">
        <v>32</v>
      </c>
      <c r="R86" s="2" t="s">
        <v>40</v>
      </c>
      <c r="S86">
        <v>26</v>
      </c>
      <c r="T86">
        <v>1</v>
      </c>
    </row>
    <row r="87" spans="1:20" ht="30" x14ac:dyDescent="0.25">
      <c r="A87" t="s">
        <v>214</v>
      </c>
      <c r="B87">
        <v>1</v>
      </c>
      <c r="C87" s="2" t="s">
        <v>215</v>
      </c>
      <c r="D87" s="3">
        <v>86827.5</v>
      </c>
      <c r="E87" s="4">
        <v>16</v>
      </c>
      <c r="F87" t="s">
        <v>36</v>
      </c>
      <c r="G87" s="3">
        <f t="shared" si="5"/>
        <v>103366.07</v>
      </c>
      <c r="H87" s="3">
        <v>0</v>
      </c>
      <c r="I87" s="3">
        <f t="shared" si="6"/>
        <v>103366.07</v>
      </c>
      <c r="J87" s="2" t="s">
        <v>27</v>
      </c>
      <c r="K87" s="5">
        <v>46249.583333333343</v>
      </c>
      <c r="L87">
        <v>9</v>
      </c>
      <c r="M87" s="3">
        <f t="shared" si="7"/>
        <v>11485.11888888889</v>
      </c>
      <c r="N87" t="str">
        <f t="shared" si="8"/>
        <v>ставка</v>
      </c>
      <c r="O87" s="3">
        <f t="shared" si="9"/>
        <v>2026.79</v>
      </c>
      <c r="P87" s="5">
        <v>46258.5</v>
      </c>
      <c r="Q87" t="s">
        <v>36</v>
      </c>
      <c r="R87" s="2" t="s">
        <v>40</v>
      </c>
      <c r="S87">
        <v>32</v>
      </c>
      <c r="T87">
        <v>1</v>
      </c>
    </row>
    <row r="88" spans="1:20" ht="30" x14ac:dyDescent="0.25">
      <c r="A88" t="s">
        <v>216</v>
      </c>
      <c r="B88">
        <v>1</v>
      </c>
      <c r="C88" s="2" t="s">
        <v>217</v>
      </c>
      <c r="D88" s="3">
        <v>27921</v>
      </c>
      <c r="E88" s="4">
        <v>18</v>
      </c>
      <c r="F88" t="s">
        <v>147</v>
      </c>
      <c r="G88" s="3">
        <f t="shared" si="5"/>
        <v>34050</v>
      </c>
      <c r="H88" s="3">
        <v>0</v>
      </c>
      <c r="I88" s="3">
        <f t="shared" si="6"/>
        <v>34050</v>
      </c>
      <c r="J88" s="2" t="s">
        <v>27</v>
      </c>
      <c r="K88" s="5">
        <v>46293.583333333343</v>
      </c>
      <c r="L88">
        <v>3</v>
      </c>
      <c r="M88" s="3">
        <f t="shared" si="7"/>
        <v>11350</v>
      </c>
      <c r="N88" t="str">
        <f t="shared" si="8"/>
        <v>ставка</v>
      </c>
      <c r="O88" s="3">
        <f t="shared" si="9"/>
        <v>667.65</v>
      </c>
      <c r="P88" s="5">
        <v>46296.5</v>
      </c>
      <c r="Q88" t="s">
        <v>147</v>
      </c>
      <c r="R88" s="2" t="s">
        <v>40</v>
      </c>
      <c r="S88">
        <v>58</v>
      </c>
      <c r="T88">
        <v>2</v>
      </c>
    </row>
    <row r="89" spans="1:20" ht="30" x14ac:dyDescent="0.25">
      <c r="A89" t="s">
        <v>218</v>
      </c>
      <c r="B89">
        <v>1</v>
      </c>
      <c r="C89" s="2" t="s">
        <v>219</v>
      </c>
      <c r="D89" s="3">
        <v>15840</v>
      </c>
      <c r="E89" s="4">
        <v>18</v>
      </c>
      <c r="F89" t="s">
        <v>32</v>
      </c>
      <c r="G89" s="3">
        <f t="shared" si="5"/>
        <v>19317.07</v>
      </c>
      <c r="H89" s="3">
        <v>0</v>
      </c>
      <c r="I89" s="3">
        <f t="shared" si="6"/>
        <v>19317.07</v>
      </c>
      <c r="J89" s="2" t="s">
        <v>27</v>
      </c>
      <c r="K89" s="5">
        <v>46235.583333333343</v>
      </c>
      <c r="L89">
        <v>2</v>
      </c>
      <c r="M89" s="3">
        <f t="shared" si="7"/>
        <v>9658.5349999999999</v>
      </c>
      <c r="N89" t="str">
        <f t="shared" si="8"/>
        <v>ставка</v>
      </c>
      <c r="O89" s="3">
        <f t="shared" si="9"/>
        <v>378.77</v>
      </c>
      <c r="P89" s="5">
        <v>46237.5</v>
      </c>
      <c r="Q89" t="s">
        <v>32</v>
      </c>
      <c r="R89" s="2" t="s">
        <v>33</v>
      </c>
      <c r="S89">
        <v>47</v>
      </c>
      <c r="T89">
        <v>1</v>
      </c>
    </row>
    <row r="90" spans="1:20" ht="30" x14ac:dyDescent="0.25">
      <c r="A90" t="s">
        <v>220</v>
      </c>
      <c r="B90">
        <v>1</v>
      </c>
      <c r="C90" s="2" t="s">
        <v>221</v>
      </c>
      <c r="D90" s="3">
        <v>19295</v>
      </c>
      <c r="E90" s="4">
        <v>15</v>
      </c>
      <c r="F90" t="s">
        <v>110</v>
      </c>
      <c r="G90" s="3">
        <f t="shared" si="5"/>
        <v>22700</v>
      </c>
      <c r="H90" s="3">
        <v>0</v>
      </c>
      <c r="I90" s="3">
        <f t="shared" si="6"/>
        <v>22700</v>
      </c>
      <c r="J90" s="2" t="s">
        <v>27</v>
      </c>
      <c r="K90" s="5">
        <v>46211.583333333343</v>
      </c>
      <c r="L90">
        <v>2</v>
      </c>
      <c r="M90" s="3">
        <f t="shared" si="7"/>
        <v>11350</v>
      </c>
      <c r="N90" t="str">
        <f t="shared" si="8"/>
        <v>ставка</v>
      </c>
      <c r="O90" s="3">
        <f t="shared" si="9"/>
        <v>445.1</v>
      </c>
      <c r="P90" s="5">
        <v>46213.5</v>
      </c>
      <c r="Q90" t="s">
        <v>110</v>
      </c>
      <c r="R90" s="2" t="s">
        <v>40</v>
      </c>
      <c r="S90">
        <v>36</v>
      </c>
      <c r="T90">
        <v>1</v>
      </c>
    </row>
    <row r="91" spans="1:20" ht="45" x14ac:dyDescent="0.25">
      <c r="A91" t="s">
        <v>222</v>
      </c>
      <c r="B91">
        <v>1</v>
      </c>
      <c r="C91" s="2" t="s">
        <v>223</v>
      </c>
      <c r="D91" s="3">
        <v>13275.3</v>
      </c>
      <c r="E91" s="4">
        <v>4</v>
      </c>
      <c r="F91" t="s">
        <v>55</v>
      </c>
      <c r="G91" s="3">
        <f t="shared" si="5"/>
        <v>13828.44</v>
      </c>
      <c r="H91" s="3">
        <v>0</v>
      </c>
      <c r="I91" s="3">
        <f t="shared" si="6"/>
        <v>13828.44</v>
      </c>
      <c r="J91" s="2" t="s">
        <v>27</v>
      </c>
      <c r="K91" s="5">
        <v>46218.833333333343</v>
      </c>
      <c r="L91">
        <v>1</v>
      </c>
      <c r="M91" s="3">
        <f t="shared" si="7"/>
        <v>13828.44</v>
      </c>
      <c r="N91" t="str">
        <f t="shared" si="8"/>
        <v>ставка</v>
      </c>
      <c r="O91" s="3">
        <f t="shared" si="9"/>
        <v>271.14999999999998</v>
      </c>
      <c r="P91" s="5">
        <v>46219.5</v>
      </c>
      <c r="Q91" t="s">
        <v>55</v>
      </c>
      <c r="R91" s="2" t="s">
        <v>87</v>
      </c>
      <c r="S91">
        <v>51</v>
      </c>
      <c r="T91">
        <v>2</v>
      </c>
    </row>
    <row r="92" spans="1:20" ht="30" x14ac:dyDescent="0.25">
      <c r="A92" t="s">
        <v>224</v>
      </c>
      <c r="B92">
        <v>1</v>
      </c>
      <c r="C92" s="2" t="s">
        <v>225</v>
      </c>
      <c r="D92" s="3">
        <v>45400</v>
      </c>
      <c r="E92" s="4">
        <v>4</v>
      </c>
      <c r="F92" t="s">
        <v>55</v>
      </c>
      <c r="G92" s="3">
        <f t="shared" si="5"/>
        <v>47291.67</v>
      </c>
      <c r="H92" s="3">
        <v>0</v>
      </c>
      <c r="I92" s="3">
        <f t="shared" si="6"/>
        <v>47291.67</v>
      </c>
      <c r="J92" s="2" t="s">
        <v>27</v>
      </c>
      <c r="K92" s="5">
        <v>46216.583333333343</v>
      </c>
      <c r="L92">
        <v>4</v>
      </c>
      <c r="M92" s="3">
        <f t="shared" si="7"/>
        <v>11822.9175</v>
      </c>
      <c r="N92" t="str">
        <f t="shared" si="8"/>
        <v>ставка</v>
      </c>
      <c r="O92" s="3">
        <f t="shared" si="9"/>
        <v>927.29</v>
      </c>
      <c r="P92" s="5">
        <v>46220.5</v>
      </c>
      <c r="Q92" t="s">
        <v>55</v>
      </c>
      <c r="R92" s="2" t="s">
        <v>40</v>
      </c>
      <c r="S92" s="6"/>
    </row>
    <row r="93" spans="1:20" ht="45" x14ac:dyDescent="0.25">
      <c r="A93" t="s">
        <v>226</v>
      </c>
      <c r="B93">
        <v>1</v>
      </c>
      <c r="C93" s="2" t="s">
        <v>227</v>
      </c>
      <c r="D93" s="3">
        <v>8720</v>
      </c>
      <c r="E93" s="4">
        <v>20</v>
      </c>
      <c r="F93" t="s">
        <v>48</v>
      </c>
      <c r="G93" s="3">
        <f t="shared" si="5"/>
        <v>10900</v>
      </c>
      <c r="H93" s="3">
        <v>0</v>
      </c>
      <c r="I93" s="3">
        <f t="shared" si="6"/>
        <v>10900</v>
      </c>
      <c r="J93" s="2" t="s">
        <v>27</v>
      </c>
      <c r="K93" s="5">
        <v>46215.583333333343</v>
      </c>
      <c r="L93">
        <v>1</v>
      </c>
      <c r="M93" s="3">
        <f t="shared" si="7"/>
        <v>10900</v>
      </c>
      <c r="N93" t="str">
        <f t="shared" si="8"/>
        <v>ставка</v>
      </c>
      <c r="O93" s="3">
        <f t="shared" si="9"/>
        <v>213.73</v>
      </c>
      <c r="P93" s="5">
        <v>46216.5</v>
      </c>
      <c r="Q93" t="s">
        <v>48</v>
      </c>
      <c r="R93" s="2" t="s">
        <v>87</v>
      </c>
      <c r="S93">
        <v>50</v>
      </c>
      <c r="T93">
        <v>2</v>
      </c>
    </row>
    <row r="94" spans="1:20" ht="30" x14ac:dyDescent="0.25">
      <c r="A94" t="s">
        <v>228</v>
      </c>
      <c r="B94">
        <v>1</v>
      </c>
      <c r="C94" s="2" t="s">
        <v>229</v>
      </c>
      <c r="D94" s="3">
        <v>8217</v>
      </c>
      <c r="E94" s="4">
        <v>17</v>
      </c>
      <c r="F94" t="s">
        <v>173</v>
      </c>
      <c r="G94" s="3">
        <f t="shared" si="5"/>
        <v>9900</v>
      </c>
      <c r="H94" s="3">
        <v>0</v>
      </c>
      <c r="I94" s="3">
        <f t="shared" si="6"/>
        <v>9900</v>
      </c>
      <c r="J94" s="2" t="s">
        <v>27</v>
      </c>
      <c r="K94" s="5">
        <v>46223.583333333343</v>
      </c>
      <c r="L94">
        <v>1</v>
      </c>
      <c r="M94" s="3">
        <f t="shared" si="7"/>
        <v>9900</v>
      </c>
      <c r="N94" t="str">
        <f t="shared" si="8"/>
        <v>ставка</v>
      </c>
      <c r="O94" s="3">
        <f t="shared" si="9"/>
        <v>194.12</v>
      </c>
      <c r="P94" s="5">
        <v>46224.5</v>
      </c>
      <c r="Q94" t="s">
        <v>173</v>
      </c>
      <c r="R94" s="2" t="s">
        <v>40</v>
      </c>
      <c r="S94">
        <v>44</v>
      </c>
      <c r="T94">
        <v>1</v>
      </c>
    </row>
    <row r="95" spans="1:20" ht="30" x14ac:dyDescent="0.25">
      <c r="A95" t="s">
        <v>230</v>
      </c>
      <c r="B95">
        <v>1</v>
      </c>
      <c r="C95" s="2" t="s">
        <v>231</v>
      </c>
      <c r="D95" s="3">
        <v>11080.5</v>
      </c>
      <c r="E95" s="4">
        <v>17</v>
      </c>
      <c r="F95" t="s">
        <v>173</v>
      </c>
      <c r="G95" s="3">
        <f t="shared" si="5"/>
        <v>13350</v>
      </c>
      <c r="H95" s="3">
        <v>0</v>
      </c>
      <c r="I95" s="3">
        <f t="shared" si="6"/>
        <v>13350</v>
      </c>
      <c r="J95" s="2" t="s">
        <v>27</v>
      </c>
      <c r="K95" s="5">
        <v>46221.583333333343</v>
      </c>
      <c r="L95">
        <v>1</v>
      </c>
      <c r="M95" s="3">
        <f t="shared" si="7"/>
        <v>13350</v>
      </c>
      <c r="N95" t="str">
        <f t="shared" si="8"/>
        <v>ставка</v>
      </c>
      <c r="O95" s="3">
        <f t="shared" si="9"/>
        <v>261.76</v>
      </c>
      <c r="P95" s="5">
        <v>46222.5</v>
      </c>
      <c r="Q95" t="s">
        <v>173</v>
      </c>
      <c r="R95" s="2" t="s">
        <v>24</v>
      </c>
      <c r="S95">
        <v>21</v>
      </c>
      <c r="T95">
        <v>1</v>
      </c>
    </row>
    <row r="96" spans="1:20" ht="45" x14ac:dyDescent="0.25">
      <c r="A96" t="s">
        <v>232</v>
      </c>
      <c r="B96">
        <v>1</v>
      </c>
      <c r="C96" s="2" t="s">
        <v>233</v>
      </c>
      <c r="D96" s="3">
        <v>56960</v>
      </c>
      <c r="E96" s="4">
        <v>20</v>
      </c>
      <c r="F96" t="s">
        <v>48</v>
      </c>
      <c r="G96" s="3">
        <f t="shared" si="5"/>
        <v>71200</v>
      </c>
      <c r="H96" s="3">
        <v>0</v>
      </c>
      <c r="I96" s="3">
        <f t="shared" si="6"/>
        <v>71200</v>
      </c>
      <c r="J96" s="2" t="s">
        <v>27</v>
      </c>
      <c r="K96" s="5">
        <v>46221.583333333343</v>
      </c>
      <c r="L96">
        <v>8</v>
      </c>
      <c r="M96" s="3">
        <f t="shared" si="7"/>
        <v>8900</v>
      </c>
      <c r="N96" t="str">
        <f t="shared" si="8"/>
        <v>ставка</v>
      </c>
      <c r="O96" s="3">
        <f t="shared" si="9"/>
        <v>1396.08</v>
      </c>
      <c r="P96" s="5">
        <v>46229.5</v>
      </c>
      <c r="Q96" t="s">
        <v>48</v>
      </c>
      <c r="R96" s="2" t="s">
        <v>87</v>
      </c>
      <c r="S96">
        <v>50</v>
      </c>
      <c r="T96">
        <v>2</v>
      </c>
    </row>
    <row r="97" spans="1:20" ht="30" x14ac:dyDescent="0.25">
      <c r="A97" t="s">
        <v>234</v>
      </c>
      <c r="B97">
        <v>1</v>
      </c>
      <c r="C97" s="2" t="s">
        <v>235</v>
      </c>
      <c r="D97" s="3">
        <v>18160</v>
      </c>
      <c r="E97" s="4">
        <v>20</v>
      </c>
      <c r="F97" t="s">
        <v>48</v>
      </c>
      <c r="G97" s="3">
        <f t="shared" si="5"/>
        <v>22700</v>
      </c>
      <c r="H97" s="3">
        <v>0</v>
      </c>
      <c r="I97" s="3">
        <f t="shared" si="6"/>
        <v>22700</v>
      </c>
      <c r="J97" s="2" t="s">
        <v>27</v>
      </c>
      <c r="K97" s="5">
        <v>46272.583333333343</v>
      </c>
      <c r="L97">
        <v>2</v>
      </c>
      <c r="M97" s="3">
        <f t="shared" si="7"/>
        <v>11350</v>
      </c>
      <c r="N97" t="str">
        <f t="shared" si="8"/>
        <v>ставка</v>
      </c>
      <c r="O97" s="3">
        <f t="shared" si="9"/>
        <v>445.1</v>
      </c>
      <c r="P97" s="5">
        <v>46274.5</v>
      </c>
      <c r="Q97" t="s">
        <v>48</v>
      </c>
      <c r="R97" s="2" t="s">
        <v>40</v>
      </c>
      <c r="S97">
        <v>22</v>
      </c>
      <c r="T97">
        <v>1</v>
      </c>
    </row>
    <row r="98" spans="1:20" ht="30" x14ac:dyDescent="0.25">
      <c r="A98" t="s">
        <v>236</v>
      </c>
      <c r="B98">
        <v>1</v>
      </c>
      <c r="C98" s="2" t="s">
        <v>237</v>
      </c>
      <c r="D98" s="3">
        <v>28942.5</v>
      </c>
      <c r="E98" s="4">
        <v>15</v>
      </c>
      <c r="F98" t="s">
        <v>168</v>
      </c>
      <c r="G98" s="3">
        <f t="shared" si="5"/>
        <v>34050</v>
      </c>
      <c r="H98" s="3">
        <v>0</v>
      </c>
      <c r="I98" s="3">
        <f t="shared" si="6"/>
        <v>34050</v>
      </c>
      <c r="J98" s="2" t="s">
        <v>27</v>
      </c>
      <c r="K98" s="5">
        <v>46257.583333333343</v>
      </c>
      <c r="L98">
        <v>3</v>
      </c>
      <c r="M98" s="3">
        <f t="shared" si="7"/>
        <v>11350</v>
      </c>
      <c r="N98" t="str">
        <f t="shared" si="8"/>
        <v>ставка</v>
      </c>
      <c r="O98" s="3">
        <f t="shared" si="9"/>
        <v>667.65</v>
      </c>
      <c r="P98" s="5">
        <v>46260.5</v>
      </c>
      <c r="Q98" t="s">
        <v>168</v>
      </c>
      <c r="R98" s="2" t="s">
        <v>40</v>
      </c>
      <c r="S98">
        <v>44</v>
      </c>
      <c r="T98">
        <v>1</v>
      </c>
    </row>
    <row r="99" spans="1:20" ht="30" x14ac:dyDescent="0.25">
      <c r="A99" t="s">
        <v>238</v>
      </c>
      <c r="B99">
        <v>1</v>
      </c>
      <c r="C99" s="2" t="s">
        <v>239</v>
      </c>
      <c r="D99" s="3">
        <v>25878</v>
      </c>
      <c r="E99" s="4">
        <v>18</v>
      </c>
      <c r="F99" t="s">
        <v>32</v>
      </c>
      <c r="G99" s="3">
        <f t="shared" si="5"/>
        <v>31558.54</v>
      </c>
      <c r="H99" s="3">
        <v>0</v>
      </c>
      <c r="I99" s="3">
        <f t="shared" si="6"/>
        <v>31558.54</v>
      </c>
      <c r="J99" s="2" t="s">
        <v>27</v>
      </c>
      <c r="K99" s="5">
        <v>46212.583333333343</v>
      </c>
      <c r="L99">
        <v>3</v>
      </c>
      <c r="M99" s="3">
        <f t="shared" si="7"/>
        <v>10519.513333333334</v>
      </c>
      <c r="N99" t="str">
        <f t="shared" si="8"/>
        <v>ставка</v>
      </c>
      <c r="O99" s="3">
        <f t="shared" si="9"/>
        <v>618.79</v>
      </c>
      <c r="P99" s="5">
        <v>46215.5</v>
      </c>
      <c r="Q99" t="s">
        <v>32</v>
      </c>
      <c r="R99" s="2" t="s">
        <v>40</v>
      </c>
      <c r="S99">
        <v>22</v>
      </c>
      <c r="T99">
        <v>1</v>
      </c>
    </row>
    <row r="100" spans="1:20" ht="30" x14ac:dyDescent="0.25">
      <c r="A100" t="s">
        <v>240</v>
      </c>
      <c r="B100">
        <v>1</v>
      </c>
      <c r="C100" s="2" t="s">
        <v>241</v>
      </c>
      <c r="D100" s="3">
        <v>16020</v>
      </c>
      <c r="E100" s="4">
        <v>0</v>
      </c>
      <c r="F100" t="s">
        <v>23</v>
      </c>
      <c r="G100" s="3">
        <f t="shared" si="5"/>
        <v>16020</v>
      </c>
      <c r="H100" s="3">
        <v>3338</v>
      </c>
      <c r="I100" s="3">
        <f t="shared" si="6"/>
        <v>19358</v>
      </c>
      <c r="J100" s="2" t="s">
        <v>242</v>
      </c>
      <c r="K100" s="5">
        <v>46223.666666666657</v>
      </c>
      <c r="L100">
        <v>1</v>
      </c>
      <c r="M100" s="3">
        <f t="shared" si="7"/>
        <v>19358</v>
      </c>
      <c r="N100" t="str">
        <f t="shared" si="8"/>
        <v>ставка</v>
      </c>
      <c r="O100" s="3">
        <f t="shared" si="9"/>
        <v>379.57</v>
      </c>
      <c r="P100" s="5">
        <v>46224.708333333343</v>
      </c>
      <c r="Q100" t="s">
        <v>23</v>
      </c>
      <c r="R100" s="2" t="s">
        <v>45</v>
      </c>
      <c r="S100">
        <v>54</v>
      </c>
      <c r="T100">
        <v>2</v>
      </c>
    </row>
    <row r="101" spans="1:20" ht="30" x14ac:dyDescent="0.25">
      <c r="A101" t="s">
        <v>243</v>
      </c>
      <c r="B101">
        <v>1</v>
      </c>
      <c r="C101" s="2" t="s">
        <v>244</v>
      </c>
      <c r="D101" s="3">
        <v>45390</v>
      </c>
      <c r="E101" s="4">
        <v>0</v>
      </c>
      <c r="F101" t="s">
        <v>245</v>
      </c>
      <c r="G101" s="3">
        <f t="shared" si="5"/>
        <v>45390</v>
      </c>
      <c r="H101" s="3">
        <v>0</v>
      </c>
      <c r="I101" s="3">
        <f t="shared" si="6"/>
        <v>45390</v>
      </c>
      <c r="J101" s="2" t="s">
        <v>27</v>
      </c>
      <c r="K101" s="5">
        <v>46241.583333333343</v>
      </c>
      <c r="L101">
        <v>4</v>
      </c>
      <c r="M101" s="3">
        <f t="shared" si="7"/>
        <v>11347.5</v>
      </c>
      <c r="N101" t="str">
        <f t="shared" si="8"/>
        <v>ставка</v>
      </c>
      <c r="O101" s="3">
        <f t="shared" si="9"/>
        <v>890</v>
      </c>
      <c r="P101" s="5">
        <v>46245.5</v>
      </c>
      <c r="Q101" t="s">
        <v>245</v>
      </c>
      <c r="R101" s="2" t="s">
        <v>40</v>
      </c>
      <c r="S101">
        <v>32</v>
      </c>
      <c r="T101">
        <v>1</v>
      </c>
    </row>
    <row r="102" spans="1:20" ht="30" x14ac:dyDescent="0.25">
      <c r="A102" t="s">
        <v>246</v>
      </c>
      <c r="B102">
        <v>1</v>
      </c>
      <c r="C102" s="2" t="s">
        <v>247</v>
      </c>
      <c r="D102" s="3">
        <v>9307</v>
      </c>
      <c r="E102" s="4">
        <v>18</v>
      </c>
      <c r="F102" t="s">
        <v>248</v>
      </c>
      <c r="G102" s="3">
        <f t="shared" si="5"/>
        <v>11350</v>
      </c>
      <c r="H102" s="3">
        <v>0</v>
      </c>
      <c r="I102" s="3">
        <f t="shared" si="6"/>
        <v>11350</v>
      </c>
      <c r="J102" s="2" t="s">
        <v>27</v>
      </c>
      <c r="K102" s="5">
        <v>46266.583333333343</v>
      </c>
      <c r="L102">
        <v>1</v>
      </c>
      <c r="M102" s="3">
        <f t="shared" si="7"/>
        <v>11350</v>
      </c>
      <c r="N102" t="str">
        <f t="shared" si="8"/>
        <v>ставка</v>
      </c>
      <c r="O102" s="3">
        <f t="shared" si="9"/>
        <v>222.55</v>
      </c>
      <c r="P102" s="5">
        <v>46267.5</v>
      </c>
      <c r="Q102" t="s">
        <v>248</v>
      </c>
      <c r="R102" s="2" t="s">
        <v>40</v>
      </c>
      <c r="S102">
        <v>32</v>
      </c>
      <c r="T102">
        <v>1</v>
      </c>
    </row>
    <row r="103" spans="1:20" ht="30" x14ac:dyDescent="0.25">
      <c r="A103" t="s">
        <v>249</v>
      </c>
      <c r="B103">
        <v>1</v>
      </c>
      <c r="C103" s="2" t="s">
        <v>250</v>
      </c>
      <c r="D103" s="3">
        <v>8415</v>
      </c>
      <c r="E103" s="4">
        <v>15</v>
      </c>
      <c r="F103" t="s">
        <v>52</v>
      </c>
      <c r="G103" s="3">
        <f t="shared" si="5"/>
        <v>9900</v>
      </c>
      <c r="H103" s="3">
        <v>0</v>
      </c>
      <c r="I103" s="3">
        <f t="shared" si="6"/>
        <v>9900</v>
      </c>
      <c r="J103" s="2" t="s">
        <v>27</v>
      </c>
      <c r="K103" s="5">
        <v>46278.583333333343</v>
      </c>
      <c r="L103">
        <v>1</v>
      </c>
      <c r="M103" s="3">
        <f t="shared" si="7"/>
        <v>9900</v>
      </c>
      <c r="N103" t="str">
        <f t="shared" si="8"/>
        <v>ставка</v>
      </c>
      <c r="O103" s="3">
        <f t="shared" si="9"/>
        <v>194.12</v>
      </c>
      <c r="P103" s="5">
        <v>46279.5</v>
      </c>
      <c r="Q103" t="s">
        <v>52</v>
      </c>
      <c r="R103" s="2" t="s">
        <v>33</v>
      </c>
      <c r="S103">
        <v>43</v>
      </c>
      <c r="T103">
        <v>1</v>
      </c>
    </row>
    <row r="104" spans="1:20" ht="30" x14ac:dyDescent="0.25">
      <c r="A104" t="s">
        <v>251</v>
      </c>
      <c r="B104">
        <v>1</v>
      </c>
      <c r="C104" s="2" t="s">
        <v>252</v>
      </c>
      <c r="D104" s="3">
        <v>19295</v>
      </c>
      <c r="E104" s="4">
        <v>15</v>
      </c>
      <c r="F104" t="s">
        <v>168</v>
      </c>
      <c r="G104" s="3">
        <f t="shared" si="5"/>
        <v>22700</v>
      </c>
      <c r="H104" s="3">
        <v>0</v>
      </c>
      <c r="I104" s="3">
        <f t="shared" si="6"/>
        <v>22700</v>
      </c>
      <c r="J104" s="2" t="s">
        <v>27</v>
      </c>
      <c r="K104" s="5">
        <v>46203.583333333343</v>
      </c>
      <c r="L104">
        <v>2</v>
      </c>
      <c r="M104" s="3">
        <f t="shared" si="7"/>
        <v>11350</v>
      </c>
      <c r="N104" t="str">
        <f t="shared" si="8"/>
        <v>ставка</v>
      </c>
      <c r="O104" s="3">
        <f t="shared" si="9"/>
        <v>445.1</v>
      </c>
      <c r="P104" s="5">
        <v>46205.5</v>
      </c>
      <c r="Q104" t="s">
        <v>168</v>
      </c>
      <c r="R104" s="2" t="s">
        <v>40</v>
      </c>
      <c r="S104">
        <v>23</v>
      </c>
      <c r="T104">
        <v>1</v>
      </c>
    </row>
    <row r="105" spans="1:20" ht="30" x14ac:dyDescent="0.25">
      <c r="A105" t="s">
        <v>253</v>
      </c>
      <c r="B105">
        <v>1</v>
      </c>
      <c r="C105" s="2" t="s">
        <v>254</v>
      </c>
      <c r="D105" s="3">
        <v>17181</v>
      </c>
      <c r="E105" s="4">
        <v>0</v>
      </c>
      <c r="F105" t="s">
        <v>23</v>
      </c>
      <c r="G105" s="3">
        <f t="shared" si="5"/>
        <v>17181</v>
      </c>
      <c r="H105" s="3">
        <v>0</v>
      </c>
      <c r="I105" s="3">
        <f t="shared" si="6"/>
        <v>17181</v>
      </c>
      <c r="J105" s="2" t="s">
        <v>27</v>
      </c>
      <c r="K105" s="5">
        <v>46211.583333333343</v>
      </c>
      <c r="L105">
        <v>2</v>
      </c>
      <c r="M105" s="3">
        <f t="shared" si="7"/>
        <v>8590.5</v>
      </c>
      <c r="N105" t="str">
        <f t="shared" si="8"/>
        <v>ставка</v>
      </c>
      <c r="O105" s="3">
        <f t="shared" si="9"/>
        <v>336.88</v>
      </c>
      <c r="P105" s="5">
        <v>46213.5</v>
      </c>
      <c r="Q105" t="s">
        <v>23</v>
      </c>
      <c r="R105" s="2" t="s">
        <v>40</v>
      </c>
      <c r="S105">
        <v>58</v>
      </c>
      <c r="T105">
        <v>2</v>
      </c>
    </row>
    <row r="106" spans="1:20" ht="30" x14ac:dyDescent="0.25">
      <c r="A106" t="s">
        <v>255</v>
      </c>
      <c r="B106">
        <v>1</v>
      </c>
      <c r="C106" s="2" t="s">
        <v>256</v>
      </c>
      <c r="D106" s="3">
        <v>68085</v>
      </c>
      <c r="E106" s="4">
        <v>15</v>
      </c>
      <c r="F106" t="s">
        <v>73</v>
      </c>
      <c r="G106" s="3">
        <f t="shared" si="5"/>
        <v>80100</v>
      </c>
      <c r="H106" s="3">
        <v>0</v>
      </c>
      <c r="I106" s="3">
        <f t="shared" si="6"/>
        <v>80100</v>
      </c>
      <c r="J106" s="2" t="s">
        <v>27</v>
      </c>
      <c r="K106" s="5">
        <v>46249.583333333343</v>
      </c>
      <c r="L106">
        <v>6</v>
      </c>
      <c r="M106" s="3">
        <f t="shared" si="7"/>
        <v>13350</v>
      </c>
      <c r="N106" t="str">
        <f t="shared" si="8"/>
        <v>ставка</v>
      </c>
      <c r="O106" s="3">
        <f t="shared" si="9"/>
        <v>1570.59</v>
      </c>
      <c r="P106" s="5">
        <v>46255.5</v>
      </c>
      <c r="Q106" t="s">
        <v>73</v>
      </c>
      <c r="R106" s="2" t="s">
        <v>40</v>
      </c>
      <c r="S106">
        <v>42</v>
      </c>
      <c r="T106">
        <v>1</v>
      </c>
    </row>
    <row r="107" spans="1:20" ht="30" x14ac:dyDescent="0.25">
      <c r="A107" t="s">
        <v>257</v>
      </c>
      <c r="B107">
        <v>1</v>
      </c>
      <c r="C107" s="2" t="s">
        <v>258</v>
      </c>
      <c r="D107" s="3">
        <v>53400</v>
      </c>
      <c r="E107" s="4">
        <v>20</v>
      </c>
      <c r="F107" t="s">
        <v>103</v>
      </c>
      <c r="G107" s="3">
        <f t="shared" si="5"/>
        <v>66750</v>
      </c>
      <c r="H107" s="3">
        <v>0</v>
      </c>
      <c r="I107" s="3">
        <f t="shared" si="6"/>
        <v>66750</v>
      </c>
      <c r="J107" s="2" t="s">
        <v>27</v>
      </c>
      <c r="K107" s="5">
        <v>46242.583333333343</v>
      </c>
      <c r="L107">
        <v>5</v>
      </c>
      <c r="M107" s="3">
        <f t="shared" si="7"/>
        <v>13350</v>
      </c>
      <c r="N107" t="str">
        <f t="shared" si="8"/>
        <v>ставка</v>
      </c>
      <c r="O107" s="3">
        <f t="shared" si="9"/>
        <v>1308.82</v>
      </c>
      <c r="P107" s="5">
        <v>46247.5</v>
      </c>
      <c r="Q107" t="s">
        <v>103</v>
      </c>
      <c r="R107" s="2" t="s">
        <v>40</v>
      </c>
      <c r="S107">
        <v>36</v>
      </c>
      <c r="T107">
        <v>1</v>
      </c>
    </row>
    <row r="108" spans="1:20" ht="30" x14ac:dyDescent="0.25">
      <c r="A108" t="s">
        <v>259</v>
      </c>
      <c r="B108">
        <v>1</v>
      </c>
      <c r="C108" s="2" t="s">
        <v>260</v>
      </c>
      <c r="D108" s="3">
        <v>13272</v>
      </c>
      <c r="E108" s="4">
        <v>16</v>
      </c>
      <c r="F108" t="s">
        <v>36</v>
      </c>
      <c r="G108" s="3">
        <f t="shared" si="5"/>
        <v>15800</v>
      </c>
      <c r="H108" s="3">
        <v>0</v>
      </c>
      <c r="I108" s="3">
        <f t="shared" si="6"/>
        <v>15800</v>
      </c>
      <c r="J108" s="2" t="s">
        <v>27</v>
      </c>
      <c r="K108" s="5">
        <v>46286.583333333343</v>
      </c>
      <c r="L108">
        <v>2</v>
      </c>
      <c r="M108" s="3">
        <f t="shared" si="7"/>
        <v>7900</v>
      </c>
      <c r="N108" t="str">
        <f t="shared" si="8"/>
        <v>ставка</v>
      </c>
      <c r="O108" s="3">
        <f t="shared" si="9"/>
        <v>309.8</v>
      </c>
      <c r="P108" s="5">
        <v>46288.5</v>
      </c>
      <c r="Q108" t="s">
        <v>36</v>
      </c>
      <c r="R108" s="2" t="s">
        <v>33</v>
      </c>
      <c r="S108">
        <v>41</v>
      </c>
      <c r="T108">
        <v>1</v>
      </c>
    </row>
    <row r="109" spans="1:20" ht="30" x14ac:dyDescent="0.25">
      <c r="A109" t="s">
        <v>261</v>
      </c>
      <c r="B109">
        <v>1</v>
      </c>
      <c r="C109" s="2" t="s">
        <v>262</v>
      </c>
      <c r="D109" s="3">
        <v>12008</v>
      </c>
      <c r="E109" s="4">
        <v>18</v>
      </c>
      <c r="F109" t="s">
        <v>32</v>
      </c>
      <c r="G109" s="3">
        <f t="shared" si="5"/>
        <v>14643.9</v>
      </c>
      <c r="H109" s="3">
        <v>0</v>
      </c>
      <c r="I109" s="3">
        <f t="shared" si="6"/>
        <v>14643.9</v>
      </c>
      <c r="J109" s="2" t="s">
        <v>27</v>
      </c>
      <c r="K109" s="5">
        <v>46282.583333333343</v>
      </c>
      <c r="L109">
        <v>2</v>
      </c>
      <c r="M109" s="3">
        <f t="shared" si="7"/>
        <v>7321.95</v>
      </c>
      <c r="N109" t="str">
        <f t="shared" si="8"/>
        <v>ставка</v>
      </c>
      <c r="O109" s="3">
        <f t="shared" si="9"/>
        <v>287.14</v>
      </c>
      <c r="P109" s="5">
        <v>46284.5</v>
      </c>
      <c r="Q109" t="s">
        <v>32</v>
      </c>
      <c r="R109" s="2" t="s">
        <v>33</v>
      </c>
      <c r="S109">
        <v>47</v>
      </c>
      <c r="T109">
        <v>1</v>
      </c>
    </row>
    <row r="110" spans="1:20" ht="30" x14ac:dyDescent="0.25">
      <c r="A110" t="s">
        <v>263</v>
      </c>
      <c r="B110">
        <v>1</v>
      </c>
      <c r="C110" s="2" t="s">
        <v>264</v>
      </c>
      <c r="D110" s="3">
        <v>10998.15</v>
      </c>
      <c r="E110" s="4">
        <v>4</v>
      </c>
      <c r="F110" t="s">
        <v>55</v>
      </c>
      <c r="G110" s="3">
        <f t="shared" si="5"/>
        <v>11456.41</v>
      </c>
      <c r="H110" s="3">
        <v>0</v>
      </c>
      <c r="I110" s="3">
        <f t="shared" si="6"/>
        <v>11456.41</v>
      </c>
      <c r="J110" s="2" t="s">
        <v>27</v>
      </c>
      <c r="K110" s="5">
        <v>46262.583333333343</v>
      </c>
      <c r="L110">
        <v>1</v>
      </c>
      <c r="M110" s="3">
        <f t="shared" si="7"/>
        <v>11456.41</v>
      </c>
      <c r="N110" t="str">
        <f t="shared" si="8"/>
        <v>ставка</v>
      </c>
      <c r="O110" s="3">
        <f t="shared" si="9"/>
        <v>224.64</v>
      </c>
      <c r="P110" s="5">
        <v>46263.5</v>
      </c>
      <c r="Q110" t="s">
        <v>55</v>
      </c>
      <c r="R110" s="2" t="s">
        <v>40</v>
      </c>
      <c r="S110">
        <v>23</v>
      </c>
      <c r="T110">
        <v>1</v>
      </c>
    </row>
    <row r="111" spans="1:20" ht="30" x14ac:dyDescent="0.25">
      <c r="A111" t="s">
        <v>265</v>
      </c>
      <c r="B111">
        <v>1</v>
      </c>
      <c r="C111" s="2" t="s">
        <v>266</v>
      </c>
      <c r="D111" s="3">
        <v>36045</v>
      </c>
      <c r="E111" s="4">
        <v>0</v>
      </c>
      <c r="F111" t="s">
        <v>23</v>
      </c>
      <c r="G111" s="3">
        <f t="shared" si="5"/>
        <v>36045</v>
      </c>
      <c r="H111" s="3">
        <v>0</v>
      </c>
      <c r="I111" s="3">
        <f t="shared" si="6"/>
        <v>36045</v>
      </c>
      <c r="J111" s="2" t="s">
        <v>27</v>
      </c>
      <c r="K111" s="5">
        <v>46275.583333333343</v>
      </c>
      <c r="L111">
        <v>3</v>
      </c>
      <c r="M111" s="3">
        <f t="shared" si="7"/>
        <v>12015</v>
      </c>
      <c r="N111" t="str">
        <f t="shared" si="8"/>
        <v>ставка</v>
      </c>
      <c r="O111" s="3">
        <f t="shared" si="9"/>
        <v>706.76</v>
      </c>
      <c r="P111" s="5">
        <v>46278.5</v>
      </c>
      <c r="Q111" t="s">
        <v>23</v>
      </c>
      <c r="R111" s="2" t="s">
        <v>40</v>
      </c>
      <c r="S111" s="6"/>
    </row>
    <row r="112" spans="1:20" ht="30" x14ac:dyDescent="0.25">
      <c r="A112" t="s">
        <v>267</v>
      </c>
      <c r="B112">
        <v>1</v>
      </c>
      <c r="C112" s="2" t="s">
        <v>268</v>
      </c>
      <c r="D112" s="3">
        <v>59400</v>
      </c>
      <c r="E112" s="4">
        <v>0</v>
      </c>
      <c r="F112" t="s">
        <v>23</v>
      </c>
      <c r="G112" s="3">
        <f t="shared" si="5"/>
        <v>59400</v>
      </c>
      <c r="H112" s="3">
        <v>0</v>
      </c>
      <c r="I112" s="3">
        <f t="shared" si="6"/>
        <v>59400</v>
      </c>
      <c r="J112" s="2" t="s">
        <v>27</v>
      </c>
      <c r="K112" s="5">
        <v>46218.583333333343</v>
      </c>
      <c r="L112">
        <v>4</v>
      </c>
      <c r="M112" s="3">
        <f t="shared" si="7"/>
        <v>14850</v>
      </c>
      <c r="N112" t="str">
        <f t="shared" si="8"/>
        <v>ставка</v>
      </c>
      <c r="O112" s="3">
        <f t="shared" si="9"/>
        <v>1164.71</v>
      </c>
      <c r="P112" s="5">
        <v>46222.5</v>
      </c>
      <c r="Q112" t="s">
        <v>23</v>
      </c>
      <c r="R112" s="2" t="s">
        <v>49</v>
      </c>
      <c r="S112">
        <v>25</v>
      </c>
      <c r="T112">
        <v>1</v>
      </c>
    </row>
    <row r="113" spans="1:20" ht="30" x14ac:dyDescent="0.25">
      <c r="A113" t="s">
        <v>265</v>
      </c>
      <c r="B113">
        <v>1</v>
      </c>
      <c r="C113" s="2" t="s">
        <v>269</v>
      </c>
      <c r="D113" s="3">
        <v>36045</v>
      </c>
      <c r="E113" s="4">
        <v>0</v>
      </c>
      <c r="F113" t="s">
        <v>23</v>
      </c>
      <c r="G113" s="3">
        <f t="shared" si="5"/>
        <v>36045</v>
      </c>
      <c r="H113" s="3">
        <v>0</v>
      </c>
      <c r="I113" s="3">
        <f t="shared" si="6"/>
        <v>36045</v>
      </c>
      <c r="J113" s="2" t="s">
        <v>27</v>
      </c>
      <c r="K113" s="5">
        <v>46275.583333333343</v>
      </c>
      <c r="L113">
        <v>3</v>
      </c>
      <c r="M113" s="3">
        <f t="shared" si="7"/>
        <v>12015</v>
      </c>
      <c r="N113" t="str">
        <f t="shared" si="8"/>
        <v>ставка</v>
      </c>
      <c r="O113" s="3">
        <f t="shared" si="9"/>
        <v>706.76</v>
      </c>
      <c r="P113" s="5">
        <v>46278.5</v>
      </c>
      <c r="Q113" t="s">
        <v>23</v>
      </c>
      <c r="R113" s="2" t="s">
        <v>40</v>
      </c>
      <c r="S113" s="6"/>
    </row>
    <row r="114" spans="1:20" ht="30" x14ac:dyDescent="0.25">
      <c r="A114" t="s">
        <v>270</v>
      </c>
      <c r="B114">
        <v>1</v>
      </c>
      <c r="C114" s="2" t="s">
        <v>271</v>
      </c>
      <c r="D114" s="3">
        <v>42075</v>
      </c>
      <c r="E114" s="4">
        <v>0</v>
      </c>
      <c r="F114" t="s">
        <v>245</v>
      </c>
      <c r="G114" s="3">
        <f t="shared" si="5"/>
        <v>42075</v>
      </c>
      <c r="H114" s="3">
        <v>0</v>
      </c>
      <c r="I114" s="3">
        <f t="shared" si="6"/>
        <v>42075</v>
      </c>
      <c r="J114" s="2" t="s">
        <v>27</v>
      </c>
      <c r="K114" s="5">
        <v>46239.583333333343</v>
      </c>
      <c r="L114">
        <v>5</v>
      </c>
      <c r="M114" s="3">
        <f t="shared" si="7"/>
        <v>8415</v>
      </c>
      <c r="N114" t="str">
        <f t="shared" si="8"/>
        <v>ставка</v>
      </c>
      <c r="O114" s="3">
        <f t="shared" si="9"/>
        <v>825</v>
      </c>
      <c r="P114" s="5">
        <v>46244.5</v>
      </c>
      <c r="Q114" t="s">
        <v>245</v>
      </c>
      <c r="R114" s="2" t="s">
        <v>33</v>
      </c>
      <c r="S114">
        <v>43</v>
      </c>
      <c r="T114">
        <v>1</v>
      </c>
    </row>
    <row r="115" spans="1:20" ht="30" x14ac:dyDescent="0.25">
      <c r="A115" t="s">
        <v>272</v>
      </c>
      <c r="B115">
        <v>1</v>
      </c>
      <c r="C115" s="2" t="s">
        <v>273</v>
      </c>
      <c r="D115" s="3">
        <v>18160</v>
      </c>
      <c r="E115" s="4">
        <v>20</v>
      </c>
      <c r="F115" t="s">
        <v>173</v>
      </c>
      <c r="G115" s="3">
        <f t="shared" si="5"/>
        <v>22700</v>
      </c>
      <c r="H115" s="3">
        <v>0</v>
      </c>
      <c r="I115" s="3">
        <f t="shared" si="6"/>
        <v>22700</v>
      </c>
      <c r="J115" s="2" t="s">
        <v>27</v>
      </c>
      <c r="K115" s="5">
        <v>46289.583333333343</v>
      </c>
      <c r="L115">
        <v>2</v>
      </c>
      <c r="M115" s="3">
        <f t="shared" si="7"/>
        <v>11350</v>
      </c>
      <c r="N115" t="str">
        <f t="shared" si="8"/>
        <v>ставка</v>
      </c>
      <c r="O115" s="3">
        <f t="shared" si="9"/>
        <v>445.1</v>
      </c>
      <c r="P115" s="5">
        <v>46291.5</v>
      </c>
      <c r="Q115" t="s">
        <v>173</v>
      </c>
      <c r="R115" s="2" t="s">
        <v>40</v>
      </c>
      <c r="S115" s="6"/>
    </row>
    <row r="116" spans="1:20" ht="30" x14ac:dyDescent="0.25">
      <c r="A116" t="s">
        <v>274</v>
      </c>
      <c r="B116">
        <v>1</v>
      </c>
      <c r="C116" s="2" t="s">
        <v>275</v>
      </c>
      <c r="D116" s="3">
        <v>60520</v>
      </c>
      <c r="E116" s="4">
        <v>0</v>
      </c>
      <c r="F116" t="s">
        <v>245</v>
      </c>
      <c r="G116" s="3">
        <f t="shared" si="5"/>
        <v>60520</v>
      </c>
      <c r="H116" s="3">
        <v>0</v>
      </c>
      <c r="I116" s="3">
        <f t="shared" si="6"/>
        <v>60520</v>
      </c>
      <c r="J116" s="2" t="s">
        <v>27</v>
      </c>
      <c r="K116" s="5">
        <v>46290.583333333343</v>
      </c>
      <c r="L116">
        <v>4</v>
      </c>
      <c r="M116" s="3">
        <f t="shared" si="7"/>
        <v>15130</v>
      </c>
      <c r="N116" t="str">
        <f t="shared" si="8"/>
        <v>ставка</v>
      </c>
      <c r="O116" s="3">
        <f t="shared" si="9"/>
        <v>1186.67</v>
      </c>
      <c r="P116" s="5">
        <v>46294.5</v>
      </c>
      <c r="Q116" t="s">
        <v>245</v>
      </c>
      <c r="R116" s="2" t="s">
        <v>45</v>
      </c>
      <c r="S116">
        <v>53</v>
      </c>
      <c r="T116">
        <v>2</v>
      </c>
    </row>
    <row r="117" spans="1:20" ht="30" x14ac:dyDescent="0.25">
      <c r="A117" t="s">
        <v>276</v>
      </c>
      <c r="B117">
        <v>1</v>
      </c>
      <c r="C117" s="2" t="s">
        <v>277</v>
      </c>
      <c r="D117" s="3">
        <v>9534</v>
      </c>
      <c r="E117" s="4">
        <v>16</v>
      </c>
      <c r="F117" t="s">
        <v>36</v>
      </c>
      <c r="G117" s="3">
        <f t="shared" si="5"/>
        <v>11350</v>
      </c>
      <c r="H117" s="3">
        <v>0</v>
      </c>
      <c r="I117" s="3">
        <f t="shared" si="6"/>
        <v>11350</v>
      </c>
      <c r="J117" s="2" t="s">
        <v>27</v>
      </c>
      <c r="K117" s="5">
        <v>46284.583333333343</v>
      </c>
      <c r="L117">
        <v>1</v>
      </c>
      <c r="M117" s="3">
        <f t="shared" si="7"/>
        <v>11350</v>
      </c>
      <c r="N117" t="str">
        <f t="shared" si="8"/>
        <v>ставка</v>
      </c>
      <c r="O117" s="3">
        <f t="shared" si="9"/>
        <v>222.55</v>
      </c>
      <c r="P117" s="5">
        <v>46285.5</v>
      </c>
      <c r="Q117" t="s">
        <v>36</v>
      </c>
      <c r="R117" s="2" t="s">
        <v>40</v>
      </c>
      <c r="S117" s="6"/>
    </row>
    <row r="118" spans="1:20" ht="30" x14ac:dyDescent="0.25">
      <c r="A118" t="s">
        <v>278</v>
      </c>
      <c r="B118">
        <v>1</v>
      </c>
      <c r="C118" s="2" t="s">
        <v>279</v>
      </c>
      <c r="D118" s="3">
        <v>22695</v>
      </c>
      <c r="E118" s="4">
        <v>15</v>
      </c>
      <c r="F118" t="s">
        <v>52</v>
      </c>
      <c r="G118" s="3">
        <f t="shared" si="5"/>
        <v>26700</v>
      </c>
      <c r="H118" s="3">
        <v>0</v>
      </c>
      <c r="I118" s="3">
        <f t="shared" si="6"/>
        <v>26700</v>
      </c>
      <c r="J118" s="2" t="s">
        <v>27</v>
      </c>
      <c r="K118" s="5">
        <v>46221.583333333343</v>
      </c>
      <c r="L118">
        <v>2</v>
      </c>
      <c r="M118" s="3">
        <f t="shared" si="7"/>
        <v>13350</v>
      </c>
      <c r="N118" t="str">
        <f t="shared" si="8"/>
        <v>ставка</v>
      </c>
      <c r="O118" s="3">
        <f t="shared" si="9"/>
        <v>523.53</v>
      </c>
      <c r="P118" s="5">
        <v>46223.5</v>
      </c>
      <c r="Q118" t="s">
        <v>52</v>
      </c>
      <c r="R118" s="2" t="s">
        <v>40</v>
      </c>
      <c r="S118">
        <v>26</v>
      </c>
      <c r="T118">
        <v>1</v>
      </c>
    </row>
    <row r="119" spans="1:20" ht="30" x14ac:dyDescent="0.25">
      <c r="A119" t="s">
        <v>280</v>
      </c>
      <c r="B119">
        <v>1</v>
      </c>
      <c r="C119" s="2" t="s">
        <v>281</v>
      </c>
      <c r="D119" s="3">
        <v>39636.15</v>
      </c>
      <c r="E119" s="4">
        <v>4</v>
      </c>
      <c r="F119" t="s">
        <v>55</v>
      </c>
      <c r="G119" s="3">
        <f t="shared" si="5"/>
        <v>41287.660000000003</v>
      </c>
      <c r="H119" s="3">
        <v>0</v>
      </c>
      <c r="I119" s="3">
        <f t="shared" si="6"/>
        <v>41287.660000000003</v>
      </c>
      <c r="J119" s="2" t="s">
        <v>27</v>
      </c>
      <c r="K119" s="5">
        <v>46205.583333333343</v>
      </c>
      <c r="L119">
        <v>3</v>
      </c>
      <c r="M119" s="3">
        <f t="shared" si="7"/>
        <v>13762.553333333335</v>
      </c>
      <c r="N119" t="str">
        <f t="shared" si="8"/>
        <v>ставка</v>
      </c>
      <c r="O119" s="3">
        <f t="shared" si="9"/>
        <v>809.56</v>
      </c>
      <c r="P119" s="5">
        <v>46208.5</v>
      </c>
      <c r="Q119" t="s">
        <v>55</v>
      </c>
      <c r="R119" s="2" t="s">
        <v>40</v>
      </c>
      <c r="S119">
        <v>22</v>
      </c>
      <c r="T119">
        <v>1</v>
      </c>
    </row>
    <row r="120" spans="1:20" ht="30" x14ac:dyDescent="0.25">
      <c r="A120" t="s">
        <v>282</v>
      </c>
      <c r="B120">
        <v>1</v>
      </c>
      <c r="C120" s="2" t="s">
        <v>283</v>
      </c>
      <c r="D120" s="3">
        <v>18160</v>
      </c>
      <c r="E120" s="4">
        <v>20</v>
      </c>
      <c r="F120" t="s">
        <v>48</v>
      </c>
      <c r="G120" s="3">
        <f t="shared" si="5"/>
        <v>22700</v>
      </c>
      <c r="H120" s="3">
        <v>0</v>
      </c>
      <c r="I120" s="3">
        <f t="shared" si="6"/>
        <v>22700</v>
      </c>
      <c r="J120" s="2" t="s">
        <v>27</v>
      </c>
      <c r="K120" s="5">
        <v>46210.583333333343</v>
      </c>
      <c r="L120">
        <v>2</v>
      </c>
      <c r="M120" s="3">
        <f t="shared" si="7"/>
        <v>11350</v>
      </c>
      <c r="N120" t="str">
        <f t="shared" si="8"/>
        <v>ставка</v>
      </c>
      <c r="O120" s="3">
        <f t="shared" si="9"/>
        <v>445.1</v>
      </c>
      <c r="P120" s="5">
        <v>46212.5</v>
      </c>
      <c r="Q120" t="s">
        <v>48</v>
      </c>
      <c r="R120" s="2" t="s">
        <v>40</v>
      </c>
      <c r="S120">
        <v>23</v>
      </c>
      <c r="T120">
        <v>1</v>
      </c>
    </row>
    <row r="121" spans="1:20" ht="30" x14ac:dyDescent="0.25">
      <c r="A121" t="s">
        <v>284</v>
      </c>
      <c r="B121">
        <v>1</v>
      </c>
      <c r="C121" s="2" t="s">
        <v>283</v>
      </c>
      <c r="D121" s="3">
        <v>12320</v>
      </c>
      <c r="E121" s="4">
        <v>20</v>
      </c>
      <c r="F121" t="s">
        <v>48</v>
      </c>
      <c r="G121" s="3">
        <f t="shared" si="5"/>
        <v>15400</v>
      </c>
      <c r="H121" s="3">
        <v>0</v>
      </c>
      <c r="I121" s="3">
        <f t="shared" si="6"/>
        <v>15400</v>
      </c>
      <c r="J121" s="2" t="s">
        <v>27</v>
      </c>
      <c r="K121" s="5">
        <v>46215.583333333343</v>
      </c>
      <c r="L121">
        <v>2</v>
      </c>
      <c r="M121" s="3">
        <f t="shared" si="7"/>
        <v>7700</v>
      </c>
      <c r="N121" t="str">
        <f t="shared" si="8"/>
        <v>ставка</v>
      </c>
      <c r="O121" s="3">
        <f t="shared" si="9"/>
        <v>301.95999999999998</v>
      </c>
      <c r="P121" s="5">
        <v>46217.5</v>
      </c>
      <c r="Q121" t="s">
        <v>48</v>
      </c>
      <c r="R121" s="2" t="s">
        <v>58</v>
      </c>
      <c r="S121">
        <v>34</v>
      </c>
      <c r="T121">
        <v>1</v>
      </c>
    </row>
    <row r="122" spans="1:20" ht="30" x14ac:dyDescent="0.25">
      <c r="A122" t="s">
        <v>285</v>
      </c>
      <c r="B122">
        <v>1</v>
      </c>
      <c r="C122" s="2" t="s">
        <v>286</v>
      </c>
      <c r="D122" s="3">
        <v>8217</v>
      </c>
      <c r="E122" s="4">
        <v>18</v>
      </c>
      <c r="F122" t="s">
        <v>32</v>
      </c>
      <c r="G122" s="3">
        <f t="shared" si="5"/>
        <v>10020.73</v>
      </c>
      <c r="H122" s="3">
        <v>0</v>
      </c>
      <c r="I122" s="3">
        <f t="shared" si="6"/>
        <v>10020.73</v>
      </c>
      <c r="J122" s="2" t="s">
        <v>27</v>
      </c>
      <c r="K122" s="5">
        <v>46248.583333333343</v>
      </c>
      <c r="L122">
        <v>1</v>
      </c>
      <c r="M122" s="3">
        <f t="shared" si="7"/>
        <v>10020.73</v>
      </c>
      <c r="N122" t="str">
        <f t="shared" si="8"/>
        <v>ставка</v>
      </c>
      <c r="O122" s="3">
        <f t="shared" si="9"/>
        <v>196.48</v>
      </c>
      <c r="P122" s="5">
        <v>46249.5</v>
      </c>
      <c r="Q122" t="s">
        <v>32</v>
      </c>
      <c r="R122" s="2" t="s">
        <v>33</v>
      </c>
      <c r="S122">
        <v>47</v>
      </c>
      <c r="T122">
        <v>1</v>
      </c>
    </row>
    <row r="123" spans="1:20" ht="30" x14ac:dyDescent="0.25">
      <c r="A123" t="s">
        <v>287</v>
      </c>
      <c r="B123">
        <v>1</v>
      </c>
      <c r="C123" s="2" t="s">
        <v>288</v>
      </c>
      <c r="D123" s="3">
        <v>38384.5</v>
      </c>
      <c r="E123" s="4">
        <v>4</v>
      </c>
      <c r="F123" t="s">
        <v>55</v>
      </c>
      <c r="G123" s="3">
        <f t="shared" si="5"/>
        <v>39983.85</v>
      </c>
      <c r="H123" s="3">
        <v>0</v>
      </c>
      <c r="I123" s="3">
        <f t="shared" si="6"/>
        <v>39983.85</v>
      </c>
      <c r="J123" s="2" t="s">
        <v>27</v>
      </c>
      <c r="K123" s="5">
        <v>46272.583333333343</v>
      </c>
      <c r="L123">
        <v>5</v>
      </c>
      <c r="M123" s="3">
        <f t="shared" si="7"/>
        <v>7996.7699999999995</v>
      </c>
      <c r="N123" t="str">
        <f t="shared" si="8"/>
        <v>ставка</v>
      </c>
      <c r="O123" s="3">
        <f t="shared" si="9"/>
        <v>784</v>
      </c>
      <c r="P123" s="5">
        <v>46277.5</v>
      </c>
      <c r="Q123" t="s">
        <v>55</v>
      </c>
      <c r="R123" s="2" t="s">
        <v>58</v>
      </c>
      <c r="S123">
        <v>24</v>
      </c>
      <c r="T123">
        <v>1</v>
      </c>
    </row>
    <row r="124" spans="1:20" ht="30" x14ac:dyDescent="0.25">
      <c r="A124" t="s">
        <v>289</v>
      </c>
      <c r="B124">
        <v>1</v>
      </c>
      <c r="C124" s="2" t="s">
        <v>290</v>
      </c>
      <c r="D124" s="3">
        <v>47102.5</v>
      </c>
      <c r="E124" s="4">
        <v>17</v>
      </c>
      <c r="F124" t="s">
        <v>130</v>
      </c>
      <c r="G124" s="3">
        <f t="shared" si="5"/>
        <v>56750</v>
      </c>
      <c r="H124" s="3">
        <v>0</v>
      </c>
      <c r="I124" s="3">
        <f t="shared" si="6"/>
        <v>56750</v>
      </c>
      <c r="J124" s="2" t="s">
        <v>27</v>
      </c>
      <c r="K124" s="5">
        <v>46269.583333333343</v>
      </c>
      <c r="L124">
        <v>5</v>
      </c>
      <c r="M124" s="3">
        <f t="shared" si="7"/>
        <v>11350</v>
      </c>
      <c r="N124" t="str">
        <f t="shared" si="8"/>
        <v>ставка</v>
      </c>
      <c r="O124" s="3">
        <f t="shared" si="9"/>
        <v>1112.75</v>
      </c>
      <c r="P124" s="5">
        <v>46274.5</v>
      </c>
      <c r="Q124" t="s">
        <v>130</v>
      </c>
      <c r="R124" s="2" t="s">
        <v>40</v>
      </c>
      <c r="S124">
        <v>42</v>
      </c>
      <c r="T124">
        <v>1</v>
      </c>
    </row>
    <row r="125" spans="1:20" ht="30" x14ac:dyDescent="0.25">
      <c r="A125" t="s">
        <v>291</v>
      </c>
      <c r="B125">
        <v>1</v>
      </c>
      <c r="C125" s="2" t="s">
        <v>292</v>
      </c>
      <c r="D125" s="3">
        <v>6160</v>
      </c>
      <c r="E125" s="4">
        <v>20</v>
      </c>
      <c r="F125" t="s">
        <v>293</v>
      </c>
      <c r="G125" s="3">
        <f t="shared" si="5"/>
        <v>7700</v>
      </c>
      <c r="H125" s="3">
        <v>0</v>
      </c>
      <c r="I125" s="3">
        <f t="shared" si="6"/>
        <v>7700</v>
      </c>
      <c r="J125" s="2" t="s">
        <v>294</v>
      </c>
      <c r="K125" s="5">
        <v>46280.583333333343</v>
      </c>
      <c r="L125">
        <v>1</v>
      </c>
      <c r="M125" s="3">
        <f t="shared" si="7"/>
        <v>7700</v>
      </c>
      <c r="N125" t="str">
        <f t="shared" si="8"/>
        <v>ставка</v>
      </c>
      <c r="O125" s="3">
        <f t="shared" si="9"/>
        <v>150.97999999999999</v>
      </c>
      <c r="P125" s="5">
        <v>46281.5</v>
      </c>
      <c r="Q125" t="s">
        <v>293</v>
      </c>
      <c r="R125" s="2" t="s">
        <v>58</v>
      </c>
      <c r="S125">
        <v>34</v>
      </c>
      <c r="T125">
        <v>1</v>
      </c>
    </row>
    <row r="126" spans="1:20" x14ac:dyDescent="0.25">
      <c r="A126" t="s">
        <v>295</v>
      </c>
      <c r="B126">
        <v>1</v>
      </c>
      <c r="C126" s="2" t="s">
        <v>296</v>
      </c>
      <c r="D126" s="3">
        <v>13050</v>
      </c>
      <c r="E126" s="4">
        <v>0</v>
      </c>
      <c r="F126" t="s">
        <v>23</v>
      </c>
      <c r="G126" s="3">
        <f t="shared" si="5"/>
        <v>13050</v>
      </c>
      <c r="H126" s="3">
        <v>0</v>
      </c>
      <c r="I126" s="3">
        <f t="shared" si="6"/>
        <v>13050</v>
      </c>
      <c r="J126" s="2" t="s">
        <v>27</v>
      </c>
      <c r="K126" s="5">
        <v>46239.583333333343</v>
      </c>
      <c r="L126">
        <v>1</v>
      </c>
      <c r="M126" s="3">
        <f t="shared" si="7"/>
        <v>13050</v>
      </c>
      <c r="N126" t="str">
        <f t="shared" si="8"/>
        <v>ставка</v>
      </c>
      <c r="O126" s="3">
        <f t="shared" si="9"/>
        <v>255.88</v>
      </c>
      <c r="P126" s="5">
        <v>46240.5</v>
      </c>
      <c r="Q126" t="s">
        <v>23</v>
      </c>
      <c r="R126" s="2" t="s">
        <v>49</v>
      </c>
      <c r="S126">
        <v>11</v>
      </c>
      <c r="T126">
        <v>1</v>
      </c>
    </row>
    <row r="127" spans="1:20" ht="30" x14ac:dyDescent="0.25">
      <c r="A127" t="s">
        <v>297</v>
      </c>
      <c r="B127">
        <v>1</v>
      </c>
      <c r="C127" s="2" t="s">
        <v>298</v>
      </c>
      <c r="D127" s="3">
        <v>6320</v>
      </c>
      <c r="E127" s="4">
        <v>20</v>
      </c>
      <c r="F127" t="s">
        <v>48</v>
      </c>
      <c r="G127" s="3">
        <f t="shared" si="5"/>
        <v>7900</v>
      </c>
      <c r="H127" s="3">
        <v>0</v>
      </c>
      <c r="I127" s="3">
        <f t="shared" si="6"/>
        <v>7900</v>
      </c>
      <c r="J127" s="2" t="s">
        <v>27</v>
      </c>
      <c r="K127" s="5">
        <v>46262.583333333343</v>
      </c>
      <c r="L127">
        <v>1</v>
      </c>
      <c r="M127" s="3">
        <f t="shared" si="7"/>
        <v>7900</v>
      </c>
      <c r="N127" t="str">
        <f t="shared" si="8"/>
        <v>ставка</v>
      </c>
      <c r="O127" s="3">
        <f t="shared" si="9"/>
        <v>154.9</v>
      </c>
      <c r="P127" s="5">
        <v>46263.5</v>
      </c>
      <c r="Q127" t="s">
        <v>48</v>
      </c>
      <c r="R127" s="2" t="s">
        <v>40</v>
      </c>
      <c r="S127">
        <v>42</v>
      </c>
      <c r="T127">
        <v>1</v>
      </c>
    </row>
    <row r="128" spans="1:20" ht="30" x14ac:dyDescent="0.25">
      <c r="A128" t="s">
        <v>299</v>
      </c>
      <c r="B128">
        <v>1</v>
      </c>
      <c r="C128" s="2" t="s">
        <v>300</v>
      </c>
      <c r="D128" s="3">
        <v>12782</v>
      </c>
      <c r="E128" s="4">
        <v>17</v>
      </c>
      <c r="F128" t="s">
        <v>130</v>
      </c>
      <c r="G128" s="3">
        <f t="shared" si="5"/>
        <v>15400</v>
      </c>
      <c r="H128" s="3">
        <v>0</v>
      </c>
      <c r="I128" s="3">
        <f t="shared" si="6"/>
        <v>15400</v>
      </c>
      <c r="J128" s="2" t="s">
        <v>27</v>
      </c>
      <c r="K128" s="5">
        <v>46263.583333333343</v>
      </c>
      <c r="L128">
        <v>1</v>
      </c>
      <c r="M128" s="3">
        <f t="shared" si="7"/>
        <v>15400</v>
      </c>
      <c r="N128" t="str">
        <f t="shared" si="8"/>
        <v>ставка</v>
      </c>
      <c r="O128" s="3">
        <f t="shared" si="9"/>
        <v>301.95999999999998</v>
      </c>
      <c r="P128" s="5">
        <v>46264.5</v>
      </c>
      <c r="Q128" t="s">
        <v>130</v>
      </c>
      <c r="R128" s="2" t="s">
        <v>24</v>
      </c>
      <c r="S128">
        <v>56</v>
      </c>
      <c r="T128">
        <v>2</v>
      </c>
    </row>
    <row r="129" spans="1:20" x14ac:dyDescent="0.25">
      <c r="A129" t="s">
        <v>301</v>
      </c>
      <c r="B129">
        <v>1</v>
      </c>
      <c r="C129" s="2" t="s">
        <v>302</v>
      </c>
      <c r="D129" s="3">
        <v>16252.5</v>
      </c>
      <c r="E129" s="4">
        <v>0</v>
      </c>
      <c r="F129" t="s">
        <v>23</v>
      </c>
      <c r="G129" s="3">
        <f t="shared" si="5"/>
        <v>16252.5</v>
      </c>
      <c r="H129" s="3">
        <v>0</v>
      </c>
      <c r="I129" s="3">
        <f t="shared" si="6"/>
        <v>16252.5</v>
      </c>
      <c r="J129" s="2" t="s">
        <v>27</v>
      </c>
      <c r="K129" s="5">
        <v>46244.583333333343</v>
      </c>
      <c r="L129">
        <v>1</v>
      </c>
      <c r="M129" s="3">
        <f t="shared" si="7"/>
        <v>16252.5</v>
      </c>
      <c r="N129" t="str">
        <f t="shared" si="8"/>
        <v>ставка</v>
      </c>
      <c r="O129" s="3">
        <f t="shared" si="9"/>
        <v>318.68</v>
      </c>
      <c r="P129" s="5">
        <v>46245.5</v>
      </c>
      <c r="Q129" t="s">
        <v>23</v>
      </c>
      <c r="R129" s="2" t="s">
        <v>49</v>
      </c>
      <c r="S129">
        <v>35</v>
      </c>
      <c r="T129">
        <v>1</v>
      </c>
    </row>
    <row r="130" spans="1:20" x14ac:dyDescent="0.25">
      <c r="A130" t="s">
        <v>303</v>
      </c>
      <c r="B130">
        <v>1</v>
      </c>
      <c r="C130" s="2" t="s">
        <v>304</v>
      </c>
      <c r="D130" s="3">
        <v>56960</v>
      </c>
      <c r="E130" s="4">
        <v>18</v>
      </c>
      <c r="F130" t="s">
        <v>32</v>
      </c>
      <c r="G130" s="3">
        <f t="shared" ref="G130:G193" si="10">ROUND(D130/(100-E130)*100,2)</f>
        <v>69463.41</v>
      </c>
      <c r="H130" s="3">
        <v>0</v>
      </c>
      <c r="I130" s="3">
        <f t="shared" ref="I130:I193" si="11">ROUND(G130+H130,2)</f>
        <v>69463.41</v>
      </c>
      <c r="J130" s="2" t="s">
        <v>27</v>
      </c>
      <c r="K130" s="5">
        <v>46218.583333333343</v>
      </c>
      <c r="L130">
        <v>4</v>
      </c>
      <c r="M130" s="3">
        <f t="shared" ref="M130:M193" si="12">I130/L130</f>
        <v>17365.852500000001</v>
      </c>
      <c r="N130" t="str">
        <f t="shared" ref="N130:N193" si="13">IF(M130&gt;=5100,"ставка","мин.ставка")</f>
        <v>ставка</v>
      </c>
      <c r="O130" s="3">
        <f t="shared" ref="O130:O193" si="14">ROUND(IF(N130="мин.ставка",L130*100,I130/102*2),2)</f>
        <v>1362.03</v>
      </c>
      <c r="P130" s="5">
        <v>46222.5</v>
      </c>
      <c r="Q130" t="s">
        <v>32</v>
      </c>
      <c r="R130" s="2" t="s">
        <v>37</v>
      </c>
      <c r="S130">
        <v>57</v>
      </c>
      <c r="T130">
        <v>2</v>
      </c>
    </row>
    <row r="131" spans="1:20" ht="45" x14ac:dyDescent="0.25">
      <c r="A131" t="s">
        <v>305</v>
      </c>
      <c r="B131">
        <v>1</v>
      </c>
      <c r="C131" s="2" t="s">
        <v>306</v>
      </c>
      <c r="D131" s="3">
        <v>12450</v>
      </c>
      <c r="E131" s="4">
        <v>0</v>
      </c>
      <c r="F131" t="s">
        <v>23</v>
      </c>
      <c r="G131" s="3">
        <f t="shared" si="10"/>
        <v>12450</v>
      </c>
      <c r="H131" s="3">
        <v>0</v>
      </c>
      <c r="I131" s="3">
        <f t="shared" si="11"/>
        <v>12450</v>
      </c>
      <c r="J131" s="2" t="s">
        <v>27</v>
      </c>
      <c r="K131" s="5">
        <v>46245.583333333343</v>
      </c>
      <c r="L131">
        <v>1</v>
      </c>
      <c r="M131" s="3">
        <f t="shared" si="12"/>
        <v>12450</v>
      </c>
      <c r="N131" t="str">
        <f t="shared" si="13"/>
        <v>ставка</v>
      </c>
      <c r="O131" s="3">
        <f t="shared" si="14"/>
        <v>244.12</v>
      </c>
      <c r="P131" s="5">
        <v>46246.5</v>
      </c>
      <c r="Q131" t="s">
        <v>23</v>
      </c>
      <c r="R131" s="2" t="s">
        <v>87</v>
      </c>
      <c r="S131">
        <v>51</v>
      </c>
      <c r="T131">
        <v>2</v>
      </c>
    </row>
    <row r="132" spans="1:20" ht="45" x14ac:dyDescent="0.25">
      <c r="A132" t="s">
        <v>307</v>
      </c>
      <c r="B132">
        <v>1</v>
      </c>
      <c r="C132" s="2" t="s">
        <v>308</v>
      </c>
      <c r="D132" s="3">
        <v>43350</v>
      </c>
      <c r="E132" s="4">
        <v>0</v>
      </c>
      <c r="F132" t="s">
        <v>23</v>
      </c>
      <c r="G132" s="3">
        <f t="shared" si="10"/>
        <v>43350</v>
      </c>
      <c r="H132" s="3">
        <v>16800</v>
      </c>
      <c r="I132" s="3">
        <f t="shared" si="11"/>
        <v>60150</v>
      </c>
      <c r="J132" s="2" t="s">
        <v>309</v>
      </c>
      <c r="K132" s="5">
        <v>46246.583333333343</v>
      </c>
      <c r="L132">
        <v>3</v>
      </c>
      <c r="M132" s="3">
        <f t="shared" si="12"/>
        <v>20050</v>
      </c>
      <c r="N132" t="str">
        <f t="shared" si="13"/>
        <v>ставка</v>
      </c>
      <c r="O132" s="3">
        <f t="shared" si="14"/>
        <v>1179.4100000000001</v>
      </c>
      <c r="P132" s="5">
        <v>46249.5</v>
      </c>
      <c r="Q132" t="s">
        <v>23</v>
      </c>
      <c r="R132" s="2" t="s">
        <v>87</v>
      </c>
      <c r="S132">
        <v>51</v>
      </c>
      <c r="T132">
        <v>2</v>
      </c>
    </row>
    <row r="133" spans="1:20" ht="30" x14ac:dyDescent="0.25">
      <c r="A133" t="s">
        <v>310</v>
      </c>
      <c r="B133">
        <v>1</v>
      </c>
      <c r="C133" s="2" t="s">
        <v>311</v>
      </c>
      <c r="D133" s="3">
        <v>13350</v>
      </c>
      <c r="E133" s="4">
        <v>0</v>
      </c>
      <c r="F133" t="s">
        <v>23</v>
      </c>
      <c r="G133" s="3">
        <f t="shared" si="10"/>
        <v>13350</v>
      </c>
      <c r="H133" s="3">
        <v>0</v>
      </c>
      <c r="I133" s="3">
        <f t="shared" si="11"/>
        <v>13350</v>
      </c>
      <c r="J133" s="2" t="s">
        <v>27</v>
      </c>
      <c r="K133" s="5">
        <v>46234.583333333343</v>
      </c>
      <c r="L133">
        <v>1</v>
      </c>
      <c r="M133" s="3">
        <f t="shared" si="12"/>
        <v>13350</v>
      </c>
      <c r="N133" t="str">
        <f t="shared" si="13"/>
        <v>ставка</v>
      </c>
      <c r="O133" s="3">
        <f t="shared" si="14"/>
        <v>261.76</v>
      </c>
      <c r="P133" s="5">
        <v>46235.5</v>
      </c>
      <c r="Q133" t="s">
        <v>23</v>
      </c>
      <c r="R133" s="2" t="s">
        <v>40</v>
      </c>
      <c r="S133">
        <v>36</v>
      </c>
      <c r="T133">
        <v>1</v>
      </c>
    </row>
    <row r="134" spans="1:20" ht="30" x14ac:dyDescent="0.25">
      <c r="A134" t="s">
        <v>312</v>
      </c>
      <c r="B134">
        <v>1</v>
      </c>
      <c r="C134" s="2" t="s">
        <v>311</v>
      </c>
      <c r="D134" s="3">
        <v>23760</v>
      </c>
      <c r="E134" s="4">
        <v>20</v>
      </c>
      <c r="F134" t="s">
        <v>48</v>
      </c>
      <c r="G134" s="3">
        <f t="shared" si="10"/>
        <v>29700</v>
      </c>
      <c r="H134" s="3">
        <v>0</v>
      </c>
      <c r="I134" s="3">
        <f t="shared" si="11"/>
        <v>29700</v>
      </c>
      <c r="J134" s="2" t="s">
        <v>27</v>
      </c>
      <c r="K134" s="5">
        <v>46231.583333333343</v>
      </c>
      <c r="L134">
        <v>3</v>
      </c>
      <c r="M134" s="3">
        <f t="shared" si="12"/>
        <v>9900</v>
      </c>
      <c r="N134" t="str">
        <f t="shared" si="13"/>
        <v>ставка</v>
      </c>
      <c r="O134" s="3">
        <f t="shared" si="14"/>
        <v>582.35</v>
      </c>
      <c r="P134" s="5">
        <v>46234.5</v>
      </c>
      <c r="Q134" t="s">
        <v>48</v>
      </c>
      <c r="R134" s="2" t="s">
        <v>33</v>
      </c>
      <c r="S134">
        <v>47</v>
      </c>
      <c r="T134">
        <v>1</v>
      </c>
    </row>
    <row r="135" spans="1:20" ht="30" x14ac:dyDescent="0.25">
      <c r="A135" t="s">
        <v>313</v>
      </c>
      <c r="B135">
        <v>1</v>
      </c>
      <c r="C135" s="2" t="s">
        <v>314</v>
      </c>
      <c r="D135" s="3">
        <v>9080</v>
      </c>
      <c r="E135" s="4">
        <v>20</v>
      </c>
      <c r="F135" t="s">
        <v>48</v>
      </c>
      <c r="G135" s="3">
        <f t="shared" si="10"/>
        <v>11350</v>
      </c>
      <c r="H135" s="3">
        <v>0</v>
      </c>
      <c r="I135" s="3">
        <f t="shared" si="11"/>
        <v>11350</v>
      </c>
      <c r="J135" s="2" t="s">
        <v>27</v>
      </c>
      <c r="K135" s="5">
        <v>46236.583333333343</v>
      </c>
      <c r="L135">
        <v>1</v>
      </c>
      <c r="M135" s="3">
        <f t="shared" si="12"/>
        <v>11350</v>
      </c>
      <c r="N135" t="str">
        <f t="shared" si="13"/>
        <v>ставка</v>
      </c>
      <c r="O135" s="3">
        <f t="shared" si="14"/>
        <v>222.55</v>
      </c>
      <c r="P135" s="5">
        <v>46237.5</v>
      </c>
      <c r="Q135" t="s">
        <v>48</v>
      </c>
      <c r="R135" s="2" t="s">
        <v>40</v>
      </c>
      <c r="S135">
        <v>42</v>
      </c>
      <c r="T135">
        <v>1</v>
      </c>
    </row>
    <row r="136" spans="1:20" ht="30" x14ac:dyDescent="0.25">
      <c r="A136" t="s">
        <v>315</v>
      </c>
      <c r="B136">
        <v>1</v>
      </c>
      <c r="C136" s="2" t="s">
        <v>316</v>
      </c>
      <c r="D136" s="3">
        <v>10146</v>
      </c>
      <c r="E136" s="4">
        <v>18</v>
      </c>
      <c r="F136" t="s">
        <v>32</v>
      </c>
      <c r="G136" s="3">
        <f t="shared" si="10"/>
        <v>12373.17</v>
      </c>
      <c r="H136" s="3">
        <v>0</v>
      </c>
      <c r="I136" s="3">
        <f t="shared" si="11"/>
        <v>12373.17</v>
      </c>
      <c r="J136" s="2" t="s">
        <v>27</v>
      </c>
      <c r="K136" s="5">
        <v>46215.583333333343</v>
      </c>
      <c r="L136">
        <v>1</v>
      </c>
      <c r="M136" s="3">
        <f t="shared" si="12"/>
        <v>12373.17</v>
      </c>
      <c r="N136" t="str">
        <f t="shared" si="13"/>
        <v>ставка</v>
      </c>
      <c r="O136" s="3">
        <f t="shared" si="14"/>
        <v>242.61</v>
      </c>
      <c r="P136" s="5">
        <v>46216.5</v>
      </c>
      <c r="Q136" t="s">
        <v>32</v>
      </c>
      <c r="R136" s="2" t="s">
        <v>40</v>
      </c>
      <c r="S136">
        <v>22</v>
      </c>
      <c r="T136">
        <v>1</v>
      </c>
    </row>
    <row r="137" spans="1:20" ht="30" x14ac:dyDescent="0.25">
      <c r="A137" t="s">
        <v>317</v>
      </c>
      <c r="B137">
        <v>1</v>
      </c>
      <c r="C137" s="2" t="s">
        <v>318</v>
      </c>
      <c r="D137" s="3">
        <v>21440</v>
      </c>
      <c r="E137" s="4">
        <v>20</v>
      </c>
      <c r="F137" t="s">
        <v>103</v>
      </c>
      <c r="G137" s="3">
        <f t="shared" si="10"/>
        <v>26800</v>
      </c>
      <c r="H137" s="3">
        <v>0</v>
      </c>
      <c r="I137" s="3">
        <f t="shared" si="11"/>
        <v>26800</v>
      </c>
      <c r="J137" s="2" t="s">
        <v>27</v>
      </c>
      <c r="K137" s="5">
        <v>46282.583333333343</v>
      </c>
      <c r="L137">
        <v>2</v>
      </c>
      <c r="M137" s="3">
        <f t="shared" si="12"/>
        <v>13400</v>
      </c>
      <c r="N137" t="str">
        <f t="shared" si="13"/>
        <v>ставка</v>
      </c>
      <c r="O137" s="3">
        <f t="shared" si="14"/>
        <v>525.49</v>
      </c>
      <c r="P137" s="5">
        <v>46284.5</v>
      </c>
      <c r="Q137" t="s">
        <v>103</v>
      </c>
      <c r="R137" s="2" t="s">
        <v>24</v>
      </c>
      <c r="S137">
        <v>59</v>
      </c>
      <c r="T137">
        <v>2</v>
      </c>
    </row>
    <row r="138" spans="1:20" ht="30" x14ac:dyDescent="0.25">
      <c r="A138" t="s">
        <v>319</v>
      </c>
      <c r="B138">
        <v>1</v>
      </c>
      <c r="C138" s="2" t="s">
        <v>320</v>
      </c>
      <c r="D138" s="3">
        <v>33366</v>
      </c>
      <c r="E138" s="4">
        <v>0</v>
      </c>
      <c r="F138" t="s">
        <v>23</v>
      </c>
      <c r="G138" s="3">
        <f t="shared" si="10"/>
        <v>33366</v>
      </c>
      <c r="H138" s="3">
        <v>0</v>
      </c>
      <c r="I138" s="3">
        <f t="shared" si="11"/>
        <v>33366</v>
      </c>
      <c r="J138" s="2" t="s">
        <v>27</v>
      </c>
      <c r="K138" s="5">
        <v>46255.583333333343</v>
      </c>
      <c r="L138">
        <v>3</v>
      </c>
      <c r="M138" s="3">
        <f t="shared" si="12"/>
        <v>11122</v>
      </c>
      <c r="N138" t="str">
        <f t="shared" si="13"/>
        <v>ставка</v>
      </c>
      <c r="O138" s="3">
        <f t="shared" si="14"/>
        <v>654.24</v>
      </c>
      <c r="P138" s="5">
        <v>46258.5</v>
      </c>
      <c r="Q138" t="s">
        <v>23</v>
      </c>
      <c r="R138" s="2" t="s">
        <v>24</v>
      </c>
      <c r="S138">
        <v>31</v>
      </c>
      <c r="T138">
        <v>1</v>
      </c>
    </row>
    <row r="139" spans="1:20" ht="30" x14ac:dyDescent="0.25">
      <c r="A139" t="s">
        <v>321</v>
      </c>
      <c r="B139">
        <v>1</v>
      </c>
      <c r="C139" s="2" t="s">
        <v>322</v>
      </c>
      <c r="D139" s="3">
        <v>7900</v>
      </c>
      <c r="E139" s="4">
        <v>0</v>
      </c>
      <c r="F139" t="s">
        <v>23</v>
      </c>
      <c r="G139" s="3">
        <f t="shared" si="10"/>
        <v>7900</v>
      </c>
      <c r="H139" s="3">
        <v>0</v>
      </c>
      <c r="I139" s="3">
        <f t="shared" si="11"/>
        <v>7900</v>
      </c>
      <c r="J139" s="2" t="s">
        <v>27</v>
      </c>
      <c r="K139" s="5">
        <v>46222.583333333343</v>
      </c>
      <c r="L139">
        <v>1</v>
      </c>
      <c r="M139" s="3">
        <f t="shared" si="12"/>
        <v>7900</v>
      </c>
      <c r="N139" t="str">
        <f t="shared" si="13"/>
        <v>ставка</v>
      </c>
      <c r="O139" s="3">
        <f t="shared" si="14"/>
        <v>154.9</v>
      </c>
      <c r="P139" s="5">
        <v>46223.5</v>
      </c>
      <c r="Q139" t="s">
        <v>23</v>
      </c>
      <c r="R139" s="2" t="s">
        <v>33</v>
      </c>
      <c r="S139">
        <v>45</v>
      </c>
      <c r="T139">
        <v>1</v>
      </c>
    </row>
    <row r="140" spans="1:20" ht="30" x14ac:dyDescent="0.25">
      <c r="A140" t="s">
        <v>323</v>
      </c>
      <c r="B140">
        <v>1</v>
      </c>
      <c r="C140" s="2" t="s">
        <v>324</v>
      </c>
      <c r="D140" s="3">
        <v>34042.5</v>
      </c>
      <c r="E140" s="4">
        <v>15</v>
      </c>
      <c r="F140" t="s">
        <v>168</v>
      </c>
      <c r="G140" s="3">
        <f t="shared" si="10"/>
        <v>40050</v>
      </c>
      <c r="H140" s="3">
        <v>3360</v>
      </c>
      <c r="I140" s="3">
        <f t="shared" si="11"/>
        <v>43410</v>
      </c>
      <c r="J140" s="2" t="s">
        <v>325</v>
      </c>
      <c r="K140" s="5">
        <v>46274.583333333343</v>
      </c>
      <c r="L140">
        <v>3</v>
      </c>
      <c r="M140" s="3">
        <f t="shared" si="12"/>
        <v>14470</v>
      </c>
      <c r="N140" t="str">
        <f t="shared" si="13"/>
        <v>ставка</v>
      </c>
      <c r="O140" s="3">
        <f t="shared" si="14"/>
        <v>851.18</v>
      </c>
      <c r="P140" s="5">
        <v>46277.75</v>
      </c>
      <c r="Q140" t="s">
        <v>168</v>
      </c>
      <c r="R140" s="2" t="s">
        <v>40</v>
      </c>
      <c r="S140">
        <v>52</v>
      </c>
      <c r="T140">
        <v>2</v>
      </c>
    </row>
    <row r="141" spans="1:20" ht="30" x14ac:dyDescent="0.25">
      <c r="A141" t="s">
        <v>326</v>
      </c>
      <c r="B141">
        <v>1</v>
      </c>
      <c r="C141" s="2" t="s">
        <v>327</v>
      </c>
      <c r="D141" s="3">
        <v>13400</v>
      </c>
      <c r="E141" s="4">
        <v>0</v>
      </c>
      <c r="F141" t="s">
        <v>23</v>
      </c>
      <c r="G141" s="3">
        <f t="shared" si="10"/>
        <v>13400</v>
      </c>
      <c r="H141" s="3">
        <v>0</v>
      </c>
      <c r="I141" s="3">
        <f t="shared" si="11"/>
        <v>13400</v>
      </c>
      <c r="J141" s="2" t="s">
        <v>27</v>
      </c>
      <c r="K141" s="5">
        <v>46267.583333333343</v>
      </c>
      <c r="L141">
        <v>1</v>
      </c>
      <c r="M141" s="3">
        <f t="shared" si="12"/>
        <v>13400</v>
      </c>
      <c r="N141" t="str">
        <f t="shared" si="13"/>
        <v>ставка</v>
      </c>
      <c r="O141" s="3">
        <f t="shared" si="14"/>
        <v>262.75</v>
      </c>
      <c r="P141" s="5">
        <v>46268.5</v>
      </c>
      <c r="Q141" t="s">
        <v>23</v>
      </c>
      <c r="R141" s="2" t="s">
        <v>24</v>
      </c>
      <c r="S141">
        <v>21</v>
      </c>
      <c r="T141">
        <v>1</v>
      </c>
    </row>
    <row r="142" spans="1:20" ht="30" x14ac:dyDescent="0.25">
      <c r="A142" t="s">
        <v>328</v>
      </c>
      <c r="B142">
        <v>1</v>
      </c>
      <c r="C142" s="2" t="s">
        <v>329</v>
      </c>
      <c r="D142" s="3">
        <v>10998.15</v>
      </c>
      <c r="E142" s="4">
        <v>4</v>
      </c>
      <c r="F142" t="s">
        <v>55</v>
      </c>
      <c r="G142" s="3">
        <f t="shared" si="10"/>
        <v>11456.41</v>
      </c>
      <c r="H142" s="3">
        <v>0</v>
      </c>
      <c r="I142" s="3">
        <f t="shared" si="11"/>
        <v>11456.41</v>
      </c>
      <c r="J142" s="2" t="s">
        <v>27</v>
      </c>
      <c r="K142" s="5">
        <v>46276.75</v>
      </c>
      <c r="L142">
        <v>1</v>
      </c>
      <c r="M142" s="3">
        <f t="shared" si="12"/>
        <v>11456.41</v>
      </c>
      <c r="N142" t="str">
        <f t="shared" si="13"/>
        <v>ставка</v>
      </c>
      <c r="O142" s="3">
        <f t="shared" si="14"/>
        <v>224.64</v>
      </c>
      <c r="P142" s="5">
        <v>46277.5</v>
      </c>
      <c r="Q142" t="s">
        <v>55</v>
      </c>
      <c r="R142" s="2" t="s">
        <v>40</v>
      </c>
      <c r="S142">
        <v>44</v>
      </c>
      <c r="T142">
        <v>1</v>
      </c>
    </row>
    <row r="143" spans="1:20" x14ac:dyDescent="0.25">
      <c r="A143" t="s">
        <v>330</v>
      </c>
      <c r="B143">
        <v>1</v>
      </c>
      <c r="C143" s="2" t="s">
        <v>331</v>
      </c>
      <c r="D143" s="3">
        <v>14050.5</v>
      </c>
      <c r="E143" s="4">
        <v>4</v>
      </c>
      <c r="F143" t="s">
        <v>55</v>
      </c>
      <c r="G143" s="3">
        <f t="shared" si="10"/>
        <v>14635.94</v>
      </c>
      <c r="H143" s="3">
        <v>0</v>
      </c>
      <c r="I143" s="3">
        <f t="shared" si="11"/>
        <v>14635.94</v>
      </c>
      <c r="J143" s="2" t="s">
        <v>27</v>
      </c>
      <c r="K143" s="5">
        <v>46281.791666666657</v>
      </c>
      <c r="L143">
        <v>1</v>
      </c>
      <c r="M143" s="3">
        <f t="shared" si="12"/>
        <v>14635.94</v>
      </c>
      <c r="N143" t="str">
        <f t="shared" si="13"/>
        <v>ставка</v>
      </c>
      <c r="O143" s="3">
        <f t="shared" si="14"/>
        <v>286.98</v>
      </c>
      <c r="P143" s="5">
        <v>46282.5</v>
      </c>
      <c r="Q143" t="s">
        <v>55</v>
      </c>
      <c r="R143" s="2" t="s">
        <v>49</v>
      </c>
      <c r="S143">
        <v>11</v>
      </c>
      <c r="T143">
        <v>1</v>
      </c>
    </row>
    <row r="144" spans="1:20" x14ac:dyDescent="0.25">
      <c r="A144" t="s">
        <v>332</v>
      </c>
      <c r="B144">
        <v>1</v>
      </c>
      <c r="C144" s="2" t="s">
        <v>333</v>
      </c>
      <c r="D144" s="3">
        <v>69600</v>
      </c>
      <c r="E144" s="4">
        <v>20</v>
      </c>
      <c r="F144" t="s">
        <v>173</v>
      </c>
      <c r="G144" s="3">
        <f t="shared" si="10"/>
        <v>87000</v>
      </c>
      <c r="H144" s="3">
        <v>0</v>
      </c>
      <c r="I144" s="3">
        <f t="shared" si="11"/>
        <v>87000</v>
      </c>
      <c r="J144" s="2" t="s">
        <v>27</v>
      </c>
      <c r="K144" s="5">
        <v>46295.583333333343</v>
      </c>
      <c r="L144">
        <v>6</v>
      </c>
      <c r="M144" s="3">
        <f t="shared" si="12"/>
        <v>14500</v>
      </c>
      <c r="N144" t="str">
        <f t="shared" si="13"/>
        <v>ставка</v>
      </c>
      <c r="O144" s="3">
        <f t="shared" si="14"/>
        <v>1705.88</v>
      </c>
      <c r="P144" s="5">
        <v>46301.5</v>
      </c>
      <c r="Q144" t="s">
        <v>173</v>
      </c>
      <c r="R144" s="2" t="s">
        <v>49</v>
      </c>
      <c r="S144" s="6"/>
    </row>
    <row r="145" spans="1:20" x14ac:dyDescent="0.25">
      <c r="A145" t="s">
        <v>334</v>
      </c>
      <c r="B145">
        <v>1</v>
      </c>
      <c r="C145" s="2" t="s">
        <v>335</v>
      </c>
      <c r="D145" s="3">
        <v>24650</v>
      </c>
      <c r="E145" s="4">
        <v>15</v>
      </c>
      <c r="F145" t="s">
        <v>36</v>
      </c>
      <c r="G145" s="3">
        <f t="shared" si="10"/>
        <v>29000</v>
      </c>
      <c r="H145" s="3">
        <v>0</v>
      </c>
      <c r="I145" s="3">
        <f t="shared" si="11"/>
        <v>29000</v>
      </c>
      <c r="J145" s="2" t="s">
        <v>27</v>
      </c>
      <c r="K145" s="5">
        <v>46232.583333333343</v>
      </c>
      <c r="L145">
        <v>2</v>
      </c>
      <c r="M145" s="3">
        <f t="shared" si="12"/>
        <v>14500</v>
      </c>
      <c r="N145" t="str">
        <f t="shared" si="13"/>
        <v>ставка</v>
      </c>
      <c r="O145" s="3">
        <f t="shared" si="14"/>
        <v>568.63</v>
      </c>
      <c r="P145" s="5">
        <v>46234.5</v>
      </c>
      <c r="Q145" t="s">
        <v>36</v>
      </c>
      <c r="R145" s="2" t="s">
        <v>49</v>
      </c>
      <c r="S145">
        <v>35</v>
      </c>
      <c r="T145">
        <v>1</v>
      </c>
    </row>
    <row r="146" spans="1:20" ht="45" x14ac:dyDescent="0.25">
      <c r="A146" t="s">
        <v>336</v>
      </c>
      <c r="B146">
        <v>1</v>
      </c>
      <c r="C146" s="2" t="s">
        <v>335</v>
      </c>
      <c r="D146" s="3">
        <v>39690</v>
      </c>
      <c r="E146" s="4">
        <v>16</v>
      </c>
      <c r="F146" t="s">
        <v>36</v>
      </c>
      <c r="G146" s="3">
        <f t="shared" si="10"/>
        <v>47250</v>
      </c>
      <c r="H146" s="3">
        <v>0</v>
      </c>
      <c r="I146" s="3">
        <f t="shared" si="11"/>
        <v>47250</v>
      </c>
      <c r="J146" s="2" t="s">
        <v>27</v>
      </c>
      <c r="K146" s="5">
        <v>46293.583333333343</v>
      </c>
      <c r="L146">
        <v>4</v>
      </c>
      <c r="M146" s="3">
        <f t="shared" si="12"/>
        <v>11812.5</v>
      </c>
      <c r="N146" t="str">
        <f t="shared" si="13"/>
        <v>ставка</v>
      </c>
      <c r="O146" s="3">
        <f t="shared" si="14"/>
        <v>926.47</v>
      </c>
      <c r="P146" s="5">
        <v>46297.5</v>
      </c>
      <c r="Q146" t="s">
        <v>36</v>
      </c>
      <c r="R146" s="2" t="s">
        <v>87</v>
      </c>
      <c r="S146">
        <v>51</v>
      </c>
      <c r="T146">
        <v>2</v>
      </c>
    </row>
    <row r="147" spans="1:20" ht="30" x14ac:dyDescent="0.25">
      <c r="A147" t="s">
        <v>337</v>
      </c>
      <c r="B147">
        <v>1</v>
      </c>
      <c r="C147" s="2" t="s">
        <v>338</v>
      </c>
      <c r="D147" s="3">
        <v>43280</v>
      </c>
      <c r="E147" s="4">
        <v>20</v>
      </c>
      <c r="F147" t="s">
        <v>48</v>
      </c>
      <c r="G147" s="3">
        <f t="shared" si="10"/>
        <v>54100</v>
      </c>
      <c r="H147" s="3">
        <v>0</v>
      </c>
      <c r="I147" s="3">
        <f t="shared" si="11"/>
        <v>54100</v>
      </c>
      <c r="J147" s="2"/>
      <c r="K147" s="5">
        <v>46295.583333333343</v>
      </c>
      <c r="L147">
        <v>6</v>
      </c>
      <c r="M147" s="3">
        <f t="shared" si="12"/>
        <v>9016.6666666666661</v>
      </c>
      <c r="N147" t="str">
        <f t="shared" si="13"/>
        <v>ставка</v>
      </c>
      <c r="O147" s="3">
        <f t="shared" si="14"/>
        <v>1060.78</v>
      </c>
      <c r="P147" s="5">
        <v>46301.5</v>
      </c>
      <c r="Q147" t="s">
        <v>48</v>
      </c>
      <c r="R147" s="2" t="s">
        <v>40</v>
      </c>
      <c r="S147">
        <v>32</v>
      </c>
      <c r="T147">
        <v>1</v>
      </c>
    </row>
    <row r="148" spans="1:20" ht="30" x14ac:dyDescent="0.25">
      <c r="A148" t="s">
        <v>339</v>
      </c>
      <c r="B148">
        <v>1</v>
      </c>
      <c r="C148" s="2" t="s">
        <v>340</v>
      </c>
      <c r="D148" s="3">
        <v>56750</v>
      </c>
      <c r="E148" s="4">
        <v>0</v>
      </c>
      <c r="F148" t="s">
        <v>23</v>
      </c>
      <c r="G148" s="3">
        <f t="shared" si="10"/>
        <v>56750</v>
      </c>
      <c r="H148" s="3">
        <v>5675</v>
      </c>
      <c r="I148" s="3">
        <f t="shared" si="11"/>
        <v>62425</v>
      </c>
      <c r="J148" s="2" t="s">
        <v>341</v>
      </c>
      <c r="K148" s="5">
        <v>46278.583333333343</v>
      </c>
      <c r="L148">
        <v>5</v>
      </c>
      <c r="M148" s="3">
        <f t="shared" si="12"/>
        <v>12485</v>
      </c>
      <c r="N148" t="str">
        <f t="shared" si="13"/>
        <v>ставка</v>
      </c>
      <c r="O148" s="3">
        <f t="shared" si="14"/>
        <v>1224.02</v>
      </c>
      <c r="P148" s="5">
        <v>46283.75</v>
      </c>
      <c r="Q148" t="s">
        <v>23</v>
      </c>
      <c r="R148" s="2" t="s">
        <v>40</v>
      </c>
      <c r="S148">
        <v>33</v>
      </c>
      <c r="T148">
        <v>1</v>
      </c>
    </row>
    <row r="149" spans="1:20" ht="30" x14ac:dyDescent="0.25">
      <c r="A149" t="s">
        <v>342</v>
      </c>
      <c r="B149">
        <v>1</v>
      </c>
      <c r="C149" s="2" t="s">
        <v>343</v>
      </c>
      <c r="D149" s="3">
        <v>9880</v>
      </c>
      <c r="E149" s="4">
        <v>18</v>
      </c>
      <c r="F149" t="s">
        <v>32</v>
      </c>
      <c r="G149" s="3">
        <f t="shared" si="10"/>
        <v>12048.78</v>
      </c>
      <c r="H149" s="3">
        <v>0</v>
      </c>
      <c r="I149" s="3">
        <f t="shared" si="11"/>
        <v>12048.78</v>
      </c>
      <c r="J149" s="2" t="s">
        <v>27</v>
      </c>
      <c r="K149" s="5">
        <v>46213.583333333343</v>
      </c>
      <c r="L149">
        <v>1</v>
      </c>
      <c r="M149" s="3">
        <f t="shared" si="12"/>
        <v>12048.78</v>
      </c>
      <c r="N149" t="str">
        <f t="shared" si="13"/>
        <v>ставка</v>
      </c>
      <c r="O149" s="3">
        <f t="shared" si="14"/>
        <v>236.25</v>
      </c>
      <c r="P149" s="5">
        <v>46214.5</v>
      </c>
      <c r="Q149" t="s">
        <v>32</v>
      </c>
      <c r="R149" s="2" t="s">
        <v>40</v>
      </c>
      <c r="S149">
        <v>36</v>
      </c>
      <c r="T149">
        <v>1</v>
      </c>
    </row>
    <row r="150" spans="1:20" ht="30" x14ac:dyDescent="0.25">
      <c r="A150" t="s">
        <v>344</v>
      </c>
      <c r="B150">
        <v>1</v>
      </c>
      <c r="C150" s="2" t="s">
        <v>345</v>
      </c>
      <c r="D150" s="3">
        <v>12320</v>
      </c>
      <c r="E150" s="4">
        <v>18</v>
      </c>
      <c r="F150" t="s">
        <v>32</v>
      </c>
      <c r="G150" s="3">
        <f t="shared" si="10"/>
        <v>15024.39</v>
      </c>
      <c r="H150" s="3">
        <v>0</v>
      </c>
      <c r="I150" s="3">
        <f t="shared" si="11"/>
        <v>15024.39</v>
      </c>
      <c r="J150" s="2" t="s">
        <v>27</v>
      </c>
      <c r="K150" s="5">
        <v>46221.583333333343</v>
      </c>
      <c r="L150">
        <v>1</v>
      </c>
      <c r="M150" s="3">
        <f t="shared" si="12"/>
        <v>15024.39</v>
      </c>
      <c r="N150" t="str">
        <f t="shared" si="13"/>
        <v>ставка</v>
      </c>
      <c r="O150" s="3">
        <f t="shared" si="14"/>
        <v>294.60000000000002</v>
      </c>
      <c r="P150" s="5">
        <v>46222.5</v>
      </c>
      <c r="Q150" t="s">
        <v>32</v>
      </c>
      <c r="R150" s="2" t="s">
        <v>24</v>
      </c>
      <c r="S150">
        <v>56</v>
      </c>
      <c r="T150">
        <v>2</v>
      </c>
    </row>
    <row r="151" spans="1:20" ht="45" x14ac:dyDescent="0.25">
      <c r="A151" t="s">
        <v>346</v>
      </c>
      <c r="B151">
        <v>1</v>
      </c>
      <c r="C151" s="2" t="s">
        <v>347</v>
      </c>
      <c r="D151" s="3">
        <v>11205</v>
      </c>
      <c r="E151" s="4">
        <v>0</v>
      </c>
      <c r="F151" t="s">
        <v>23</v>
      </c>
      <c r="G151" s="3">
        <f t="shared" si="10"/>
        <v>11205</v>
      </c>
      <c r="H151" s="3">
        <v>0</v>
      </c>
      <c r="I151" s="3">
        <f t="shared" si="11"/>
        <v>11205</v>
      </c>
      <c r="J151" s="2" t="s">
        <v>27</v>
      </c>
      <c r="K151" s="5">
        <v>46213.583333333343</v>
      </c>
      <c r="L151">
        <v>1</v>
      </c>
      <c r="M151" s="3">
        <f t="shared" si="12"/>
        <v>11205</v>
      </c>
      <c r="N151" t="str">
        <f t="shared" si="13"/>
        <v>ставка</v>
      </c>
      <c r="O151" s="3">
        <f t="shared" si="14"/>
        <v>219.71</v>
      </c>
      <c r="P151" s="5">
        <v>46214.5</v>
      </c>
      <c r="Q151" t="s">
        <v>23</v>
      </c>
      <c r="R151" s="2" t="s">
        <v>87</v>
      </c>
      <c r="S151">
        <v>50</v>
      </c>
      <c r="T151">
        <v>2</v>
      </c>
    </row>
    <row r="152" spans="1:20" x14ac:dyDescent="0.25">
      <c r="A152" t="s">
        <v>348</v>
      </c>
      <c r="B152">
        <v>1</v>
      </c>
      <c r="C152" s="2" t="s">
        <v>347</v>
      </c>
      <c r="D152" s="3">
        <v>13050</v>
      </c>
      <c r="E152" s="4">
        <v>0</v>
      </c>
      <c r="F152" t="s">
        <v>23</v>
      </c>
      <c r="G152" s="3">
        <f t="shared" si="10"/>
        <v>13050</v>
      </c>
      <c r="H152" s="3">
        <v>0</v>
      </c>
      <c r="I152" s="3">
        <f t="shared" si="11"/>
        <v>13050</v>
      </c>
      <c r="J152" s="2" t="s">
        <v>27</v>
      </c>
      <c r="K152" s="5">
        <v>46227.583333333343</v>
      </c>
      <c r="L152">
        <v>1</v>
      </c>
      <c r="M152" s="3">
        <f t="shared" si="12"/>
        <v>13050</v>
      </c>
      <c r="N152" t="str">
        <f t="shared" si="13"/>
        <v>ставка</v>
      </c>
      <c r="O152" s="3">
        <f t="shared" si="14"/>
        <v>255.88</v>
      </c>
      <c r="P152" s="5">
        <v>46228.5</v>
      </c>
      <c r="Q152" t="s">
        <v>23</v>
      </c>
      <c r="R152" s="2" t="s">
        <v>49</v>
      </c>
      <c r="S152">
        <v>25</v>
      </c>
      <c r="T152">
        <v>1</v>
      </c>
    </row>
    <row r="153" spans="1:20" ht="30" x14ac:dyDescent="0.25">
      <c r="A153" t="s">
        <v>349</v>
      </c>
      <c r="B153">
        <v>1</v>
      </c>
      <c r="C153" s="2" t="s">
        <v>347</v>
      </c>
      <c r="D153" s="3">
        <v>10215</v>
      </c>
      <c r="E153" s="4">
        <v>0</v>
      </c>
      <c r="F153" t="s">
        <v>23</v>
      </c>
      <c r="G153" s="3">
        <f t="shared" si="10"/>
        <v>10215</v>
      </c>
      <c r="H153" s="3">
        <v>0</v>
      </c>
      <c r="I153" s="3">
        <f t="shared" si="11"/>
        <v>10215</v>
      </c>
      <c r="J153" s="2" t="s">
        <v>27</v>
      </c>
      <c r="K153" s="5">
        <v>46255.583333333343</v>
      </c>
      <c r="L153">
        <v>1</v>
      </c>
      <c r="M153" s="3">
        <f t="shared" si="12"/>
        <v>10215</v>
      </c>
      <c r="N153" t="str">
        <f t="shared" si="13"/>
        <v>ставка</v>
      </c>
      <c r="O153" s="3">
        <f t="shared" si="14"/>
        <v>200.29</v>
      </c>
      <c r="P153" s="5">
        <v>46256.5</v>
      </c>
      <c r="Q153" t="s">
        <v>23</v>
      </c>
      <c r="R153" s="2" t="s">
        <v>40</v>
      </c>
      <c r="S153">
        <v>33</v>
      </c>
      <c r="T153">
        <v>1</v>
      </c>
    </row>
    <row r="154" spans="1:20" ht="30" x14ac:dyDescent="0.25">
      <c r="A154" t="s">
        <v>350</v>
      </c>
      <c r="B154">
        <v>1</v>
      </c>
      <c r="C154" s="2" t="s">
        <v>351</v>
      </c>
      <c r="D154" s="3">
        <v>16500</v>
      </c>
      <c r="E154" s="4">
        <v>0</v>
      </c>
      <c r="F154" t="s">
        <v>23</v>
      </c>
      <c r="G154" s="3">
        <f t="shared" si="10"/>
        <v>16500</v>
      </c>
      <c r="H154" s="3">
        <v>0</v>
      </c>
      <c r="I154" s="3">
        <f t="shared" si="11"/>
        <v>16500</v>
      </c>
      <c r="J154" s="2" t="s">
        <v>27</v>
      </c>
      <c r="K154" s="5">
        <v>46235.583333333343</v>
      </c>
      <c r="L154">
        <v>1</v>
      </c>
      <c r="M154" s="3">
        <f t="shared" si="12"/>
        <v>16500</v>
      </c>
      <c r="N154" t="str">
        <f t="shared" si="13"/>
        <v>ставка</v>
      </c>
      <c r="O154" s="3">
        <f t="shared" si="14"/>
        <v>323.52999999999997</v>
      </c>
      <c r="P154" s="5">
        <v>46236.5</v>
      </c>
      <c r="Q154" t="s">
        <v>23</v>
      </c>
      <c r="R154" s="2" t="s">
        <v>49</v>
      </c>
      <c r="S154">
        <v>25</v>
      </c>
      <c r="T154">
        <v>1</v>
      </c>
    </row>
    <row r="155" spans="1:20" ht="30" x14ac:dyDescent="0.25">
      <c r="A155" t="s">
        <v>352</v>
      </c>
      <c r="B155">
        <v>1</v>
      </c>
      <c r="C155" s="2" t="s">
        <v>353</v>
      </c>
      <c r="D155" s="3">
        <v>67284</v>
      </c>
      <c r="E155" s="4">
        <v>16</v>
      </c>
      <c r="F155" t="s">
        <v>36</v>
      </c>
      <c r="G155" s="3">
        <f t="shared" si="10"/>
        <v>80100</v>
      </c>
      <c r="H155" s="3">
        <v>0</v>
      </c>
      <c r="I155" s="3">
        <f t="shared" si="11"/>
        <v>80100</v>
      </c>
      <c r="J155" s="2" t="s">
        <v>27</v>
      </c>
      <c r="K155" s="5">
        <v>46263.583333333343</v>
      </c>
      <c r="L155">
        <v>6</v>
      </c>
      <c r="M155" s="3">
        <f t="shared" si="12"/>
        <v>13350</v>
      </c>
      <c r="N155" t="str">
        <f t="shared" si="13"/>
        <v>ставка</v>
      </c>
      <c r="O155" s="3">
        <f t="shared" si="14"/>
        <v>1570.59</v>
      </c>
      <c r="P155" s="5">
        <v>46269.5</v>
      </c>
      <c r="Q155" t="s">
        <v>36</v>
      </c>
      <c r="R155" s="2" t="s">
        <v>40</v>
      </c>
      <c r="S155">
        <v>42</v>
      </c>
      <c r="T155">
        <v>1</v>
      </c>
    </row>
    <row r="156" spans="1:20" ht="30" x14ac:dyDescent="0.25">
      <c r="A156" t="s">
        <v>354</v>
      </c>
      <c r="B156">
        <v>1</v>
      </c>
      <c r="C156" s="2" t="s">
        <v>355</v>
      </c>
      <c r="D156" s="3">
        <v>12015</v>
      </c>
      <c r="E156" s="4">
        <v>0</v>
      </c>
      <c r="F156" t="s">
        <v>23</v>
      </c>
      <c r="G156" s="3">
        <f t="shared" si="10"/>
        <v>12015</v>
      </c>
      <c r="H156" s="3">
        <v>0</v>
      </c>
      <c r="I156" s="3">
        <f t="shared" si="11"/>
        <v>12015</v>
      </c>
      <c r="J156" s="2" t="s">
        <v>27</v>
      </c>
      <c r="K156" s="5">
        <v>46232.583333333343</v>
      </c>
      <c r="L156">
        <v>1</v>
      </c>
      <c r="M156" s="3">
        <f t="shared" si="12"/>
        <v>12015</v>
      </c>
      <c r="N156" t="str">
        <f t="shared" si="13"/>
        <v>ставка</v>
      </c>
      <c r="O156" s="3">
        <f t="shared" si="14"/>
        <v>235.59</v>
      </c>
      <c r="P156" s="5">
        <v>46233.5</v>
      </c>
      <c r="Q156" t="s">
        <v>23</v>
      </c>
      <c r="R156" s="2" t="s">
        <v>40</v>
      </c>
      <c r="S156">
        <v>33</v>
      </c>
      <c r="T156">
        <v>1</v>
      </c>
    </row>
    <row r="157" spans="1:20" ht="30" x14ac:dyDescent="0.25">
      <c r="A157" t="s">
        <v>356</v>
      </c>
      <c r="B157">
        <v>1</v>
      </c>
      <c r="C157" s="2" t="s">
        <v>357</v>
      </c>
      <c r="D157" s="3">
        <v>56826</v>
      </c>
      <c r="E157" s="4">
        <v>18</v>
      </c>
      <c r="F157" t="s">
        <v>32</v>
      </c>
      <c r="G157" s="3">
        <f t="shared" si="10"/>
        <v>69300</v>
      </c>
      <c r="H157" s="3">
        <v>0</v>
      </c>
      <c r="I157" s="3">
        <f t="shared" si="11"/>
        <v>69300</v>
      </c>
      <c r="J157" s="2" t="s">
        <v>27</v>
      </c>
      <c r="K157" s="5">
        <v>46204.583333333343</v>
      </c>
      <c r="L157">
        <v>7</v>
      </c>
      <c r="M157" s="3">
        <f t="shared" si="12"/>
        <v>9900</v>
      </c>
      <c r="N157" t="str">
        <f t="shared" si="13"/>
        <v>ставка</v>
      </c>
      <c r="O157" s="3">
        <f t="shared" si="14"/>
        <v>1358.82</v>
      </c>
      <c r="P157" s="5">
        <v>46211.5</v>
      </c>
      <c r="Q157" t="s">
        <v>32</v>
      </c>
      <c r="R157" s="2" t="s">
        <v>33</v>
      </c>
      <c r="S157">
        <v>41</v>
      </c>
      <c r="T157">
        <v>1</v>
      </c>
    </row>
    <row r="158" spans="1:20" ht="30" x14ac:dyDescent="0.25">
      <c r="A158" t="s">
        <v>358</v>
      </c>
      <c r="B158">
        <v>1</v>
      </c>
      <c r="C158" s="2" t="s">
        <v>359</v>
      </c>
      <c r="D158" s="3">
        <v>24640</v>
      </c>
      <c r="E158" s="4">
        <v>20</v>
      </c>
      <c r="F158" t="s">
        <v>293</v>
      </c>
      <c r="G158" s="3">
        <f t="shared" si="10"/>
        <v>30800</v>
      </c>
      <c r="H158" s="3">
        <v>30800</v>
      </c>
      <c r="I158" s="3">
        <f t="shared" si="11"/>
        <v>61600</v>
      </c>
      <c r="J158" s="2" t="s">
        <v>360</v>
      </c>
      <c r="K158" s="5">
        <v>46261.583333333343</v>
      </c>
      <c r="L158">
        <v>4</v>
      </c>
      <c r="M158" s="3">
        <f t="shared" si="12"/>
        <v>15400</v>
      </c>
      <c r="N158" t="str">
        <f t="shared" si="13"/>
        <v>ставка</v>
      </c>
      <c r="O158" s="3">
        <f t="shared" si="14"/>
        <v>1207.8399999999999</v>
      </c>
      <c r="P158" s="5">
        <v>46265.5</v>
      </c>
      <c r="Q158" t="s">
        <v>293</v>
      </c>
      <c r="R158" s="2" t="s">
        <v>24</v>
      </c>
      <c r="S158">
        <v>21</v>
      </c>
      <c r="T158">
        <v>1</v>
      </c>
    </row>
    <row r="159" spans="1:20" ht="30" x14ac:dyDescent="0.25">
      <c r="A159" t="s">
        <v>361</v>
      </c>
      <c r="B159">
        <v>1</v>
      </c>
      <c r="C159" s="2" t="s">
        <v>362</v>
      </c>
      <c r="D159" s="3">
        <v>26499.75</v>
      </c>
      <c r="E159" s="4">
        <v>4</v>
      </c>
      <c r="F159" t="s">
        <v>55</v>
      </c>
      <c r="G159" s="3">
        <f t="shared" si="10"/>
        <v>27603.91</v>
      </c>
      <c r="H159" s="3">
        <v>0</v>
      </c>
      <c r="I159" s="3">
        <f t="shared" si="11"/>
        <v>27603.91</v>
      </c>
      <c r="J159" s="2" t="s">
        <v>27</v>
      </c>
      <c r="K159" s="5">
        <v>46241.583333333343</v>
      </c>
      <c r="L159">
        <v>2</v>
      </c>
      <c r="M159" s="3">
        <f t="shared" si="12"/>
        <v>13801.955</v>
      </c>
      <c r="N159" t="str">
        <f t="shared" si="13"/>
        <v>ставка</v>
      </c>
      <c r="O159" s="3">
        <f t="shared" si="14"/>
        <v>541.25</v>
      </c>
      <c r="P159" s="5">
        <v>46243.5</v>
      </c>
      <c r="Q159" t="s">
        <v>55</v>
      </c>
      <c r="R159" s="2" t="s">
        <v>40</v>
      </c>
      <c r="S159">
        <v>42</v>
      </c>
      <c r="T159">
        <v>1</v>
      </c>
    </row>
    <row r="160" spans="1:20" ht="30" x14ac:dyDescent="0.25">
      <c r="A160" t="s">
        <v>363</v>
      </c>
      <c r="B160">
        <v>1</v>
      </c>
      <c r="C160" s="2" t="s">
        <v>364</v>
      </c>
      <c r="D160" s="3">
        <v>11350</v>
      </c>
      <c r="E160" s="4">
        <v>0</v>
      </c>
      <c r="F160" t="s">
        <v>23</v>
      </c>
      <c r="G160" s="3">
        <f t="shared" si="10"/>
        <v>11350</v>
      </c>
      <c r="H160" s="3">
        <v>0</v>
      </c>
      <c r="I160" s="3">
        <f t="shared" si="11"/>
        <v>11350</v>
      </c>
      <c r="J160" s="2" t="s">
        <v>27</v>
      </c>
      <c r="K160" s="5">
        <v>46251.583333333343</v>
      </c>
      <c r="L160">
        <v>1</v>
      </c>
      <c r="M160" s="3">
        <f t="shared" si="12"/>
        <v>11350</v>
      </c>
      <c r="N160" t="str">
        <f t="shared" si="13"/>
        <v>ставка</v>
      </c>
      <c r="O160" s="3">
        <f t="shared" si="14"/>
        <v>222.55</v>
      </c>
      <c r="P160" s="5">
        <v>46252.5</v>
      </c>
      <c r="Q160" t="s">
        <v>23</v>
      </c>
      <c r="R160" s="2" t="s">
        <v>40</v>
      </c>
      <c r="S160">
        <v>23</v>
      </c>
      <c r="T160">
        <v>1</v>
      </c>
    </row>
    <row r="161" spans="1:20" x14ac:dyDescent="0.25">
      <c r="A161" t="s">
        <v>365</v>
      </c>
      <c r="B161">
        <v>1</v>
      </c>
      <c r="C161" s="2" t="s">
        <v>366</v>
      </c>
      <c r="D161" s="3">
        <v>24310</v>
      </c>
      <c r="E161" s="4">
        <v>15</v>
      </c>
      <c r="F161" t="s">
        <v>36</v>
      </c>
      <c r="G161" s="3">
        <f t="shared" si="10"/>
        <v>28600</v>
      </c>
      <c r="H161" s="3">
        <v>0</v>
      </c>
      <c r="I161" s="3">
        <f t="shared" si="11"/>
        <v>28600</v>
      </c>
      <c r="J161" s="2"/>
      <c r="K161" s="5">
        <v>46225.583333333343</v>
      </c>
      <c r="L161">
        <v>2</v>
      </c>
      <c r="M161" s="3">
        <f t="shared" si="12"/>
        <v>14300</v>
      </c>
      <c r="N161" t="str">
        <f t="shared" si="13"/>
        <v>ставка</v>
      </c>
      <c r="O161" s="3">
        <f t="shared" si="14"/>
        <v>560.78</v>
      </c>
      <c r="P161" s="5">
        <v>46227.5</v>
      </c>
      <c r="Q161" t="s">
        <v>36</v>
      </c>
      <c r="R161" s="2" t="s">
        <v>45</v>
      </c>
      <c r="S161">
        <v>54</v>
      </c>
      <c r="T161">
        <v>2</v>
      </c>
    </row>
    <row r="162" spans="1:20" x14ac:dyDescent="0.25">
      <c r="A162" t="s">
        <v>367</v>
      </c>
      <c r="B162">
        <v>1</v>
      </c>
      <c r="C162" s="2" t="s">
        <v>366</v>
      </c>
      <c r="D162" s="3">
        <v>28050</v>
      </c>
      <c r="E162" s="4">
        <v>15</v>
      </c>
      <c r="F162" t="s">
        <v>36</v>
      </c>
      <c r="G162" s="3">
        <f t="shared" si="10"/>
        <v>33000</v>
      </c>
      <c r="H162" s="3">
        <v>0</v>
      </c>
      <c r="I162" s="3">
        <f t="shared" si="11"/>
        <v>33000</v>
      </c>
      <c r="J162" s="2"/>
      <c r="K162" s="5">
        <v>46229.583333333343</v>
      </c>
      <c r="L162">
        <v>3</v>
      </c>
      <c r="M162" s="3">
        <f t="shared" si="12"/>
        <v>11000</v>
      </c>
      <c r="N162" t="str">
        <f t="shared" si="13"/>
        <v>ставка</v>
      </c>
      <c r="O162" s="3">
        <f t="shared" si="14"/>
        <v>647.05999999999995</v>
      </c>
      <c r="P162" s="5">
        <v>46232.5</v>
      </c>
      <c r="Q162" t="s">
        <v>36</v>
      </c>
      <c r="R162" s="2" t="s">
        <v>45</v>
      </c>
      <c r="S162">
        <v>54</v>
      </c>
      <c r="T162">
        <v>2</v>
      </c>
    </row>
    <row r="163" spans="1:20" ht="30" x14ac:dyDescent="0.25">
      <c r="A163" t="s">
        <v>368</v>
      </c>
      <c r="B163">
        <v>1</v>
      </c>
      <c r="C163" s="2" t="s">
        <v>369</v>
      </c>
      <c r="D163" s="3">
        <v>13090</v>
      </c>
      <c r="E163" s="4">
        <v>15</v>
      </c>
      <c r="F163" t="s">
        <v>52</v>
      </c>
      <c r="G163" s="3">
        <f t="shared" si="10"/>
        <v>15400</v>
      </c>
      <c r="H163" s="3">
        <v>0</v>
      </c>
      <c r="I163" s="3">
        <f t="shared" si="11"/>
        <v>15400</v>
      </c>
      <c r="J163" s="2" t="s">
        <v>27</v>
      </c>
      <c r="K163" s="5">
        <v>46285.75</v>
      </c>
      <c r="L163">
        <v>2</v>
      </c>
      <c r="M163" s="3">
        <f t="shared" si="12"/>
        <v>7700</v>
      </c>
      <c r="N163" t="str">
        <f t="shared" si="13"/>
        <v>ставка</v>
      </c>
      <c r="O163" s="3">
        <f t="shared" si="14"/>
        <v>301.95999999999998</v>
      </c>
      <c r="P163" s="5">
        <v>46287.5</v>
      </c>
      <c r="Q163" t="s">
        <v>52</v>
      </c>
      <c r="R163" s="2" t="s">
        <v>58</v>
      </c>
      <c r="S163">
        <v>34</v>
      </c>
      <c r="T163">
        <v>1</v>
      </c>
    </row>
    <row r="164" spans="1:20" x14ac:dyDescent="0.25">
      <c r="A164" t="s">
        <v>370</v>
      </c>
      <c r="B164">
        <v>1</v>
      </c>
      <c r="C164" s="2" t="s">
        <v>371</v>
      </c>
      <c r="D164" s="3">
        <v>14240</v>
      </c>
      <c r="E164" s="4">
        <v>0</v>
      </c>
      <c r="F164" t="s">
        <v>23</v>
      </c>
      <c r="G164" s="3">
        <f t="shared" si="10"/>
        <v>14240</v>
      </c>
      <c r="H164" s="3">
        <v>0</v>
      </c>
      <c r="I164" s="3">
        <f t="shared" si="11"/>
        <v>14240</v>
      </c>
      <c r="J164" s="2" t="s">
        <v>27</v>
      </c>
      <c r="K164" s="5">
        <v>46223.583333333343</v>
      </c>
      <c r="L164">
        <v>1</v>
      </c>
      <c r="M164" s="3">
        <f t="shared" si="12"/>
        <v>14240</v>
      </c>
      <c r="N164" t="str">
        <f t="shared" si="13"/>
        <v>ставка</v>
      </c>
      <c r="O164" s="3">
        <f t="shared" si="14"/>
        <v>279.22000000000003</v>
      </c>
      <c r="P164" s="5">
        <v>46224.5</v>
      </c>
      <c r="Q164" t="s">
        <v>23</v>
      </c>
      <c r="R164" s="2" t="s">
        <v>45</v>
      </c>
      <c r="S164">
        <v>57</v>
      </c>
      <c r="T164">
        <v>2</v>
      </c>
    </row>
    <row r="165" spans="1:20" x14ac:dyDescent="0.25">
      <c r="A165" t="s">
        <v>372</v>
      </c>
      <c r="B165">
        <v>1</v>
      </c>
      <c r="C165" s="2" t="s">
        <v>373</v>
      </c>
      <c r="D165" s="3">
        <v>14240</v>
      </c>
      <c r="E165" s="4">
        <v>0</v>
      </c>
      <c r="F165" t="s">
        <v>23</v>
      </c>
      <c r="G165" s="3">
        <f t="shared" si="10"/>
        <v>14240</v>
      </c>
      <c r="H165" s="3">
        <v>0</v>
      </c>
      <c r="I165" s="3">
        <f t="shared" si="11"/>
        <v>14240</v>
      </c>
      <c r="J165" s="2" t="s">
        <v>27</v>
      </c>
      <c r="K165" s="5">
        <v>46230.583333333343</v>
      </c>
      <c r="L165">
        <v>1</v>
      </c>
      <c r="M165" s="3">
        <f t="shared" si="12"/>
        <v>14240</v>
      </c>
      <c r="N165" t="str">
        <f t="shared" si="13"/>
        <v>ставка</v>
      </c>
      <c r="O165" s="3">
        <f t="shared" si="14"/>
        <v>279.22000000000003</v>
      </c>
      <c r="P165" s="5">
        <v>46231.5</v>
      </c>
      <c r="Q165" t="s">
        <v>23</v>
      </c>
      <c r="R165" s="2" t="s">
        <v>45</v>
      </c>
      <c r="S165">
        <v>53</v>
      </c>
      <c r="T165">
        <v>2</v>
      </c>
    </row>
    <row r="166" spans="1:20" x14ac:dyDescent="0.25">
      <c r="A166" t="s">
        <v>374</v>
      </c>
      <c r="B166">
        <v>1</v>
      </c>
      <c r="C166" s="2" t="s">
        <v>375</v>
      </c>
      <c r="D166" s="3">
        <v>14240</v>
      </c>
      <c r="E166" s="4">
        <v>0</v>
      </c>
      <c r="F166" t="s">
        <v>23</v>
      </c>
      <c r="G166" s="3">
        <f t="shared" si="10"/>
        <v>14240</v>
      </c>
      <c r="H166" s="3">
        <v>0</v>
      </c>
      <c r="I166" s="3">
        <f t="shared" si="11"/>
        <v>14240</v>
      </c>
      <c r="J166" s="2" t="s">
        <v>27</v>
      </c>
      <c r="K166" s="5">
        <v>46237.583333333343</v>
      </c>
      <c r="L166">
        <v>1</v>
      </c>
      <c r="M166" s="3">
        <f t="shared" si="12"/>
        <v>14240</v>
      </c>
      <c r="N166" t="str">
        <f t="shared" si="13"/>
        <v>ставка</v>
      </c>
      <c r="O166" s="3">
        <f t="shared" si="14"/>
        <v>279.22000000000003</v>
      </c>
      <c r="P166" s="5">
        <v>46238.5</v>
      </c>
      <c r="Q166" t="s">
        <v>23</v>
      </c>
      <c r="R166" s="2" t="s">
        <v>45</v>
      </c>
      <c r="S166">
        <v>53</v>
      </c>
      <c r="T166">
        <v>2</v>
      </c>
    </row>
    <row r="167" spans="1:20" x14ac:dyDescent="0.25">
      <c r="A167" t="s">
        <v>376</v>
      </c>
      <c r="B167">
        <v>1</v>
      </c>
      <c r="C167" s="2" t="s">
        <v>375</v>
      </c>
      <c r="D167" s="3">
        <v>14240</v>
      </c>
      <c r="E167" s="4">
        <v>0</v>
      </c>
      <c r="F167" t="s">
        <v>23</v>
      </c>
      <c r="G167" s="3">
        <f t="shared" si="10"/>
        <v>14240</v>
      </c>
      <c r="H167" s="3">
        <v>0</v>
      </c>
      <c r="I167" s="3">
        <f t="shared" si="11"/>
        <v>14240</v>
      </c>
      <c r="J167" s="2" t="s">
        <v>27</v>
      </c>
      <c r="K167" s="5">
        <v>46244.583333333343</v>
      </c>
      <c r="L167">
        <v>1</v>
      </c>
      <c r="M167" s="3">
        <f t="shared" si="12"/>
        <v>14240</v>
      </c>
      <c r="N167" t="str">
        <f t="shared" si="13"/>
        <v>ставка</v>
      </c>
      <c r="O167" s="3">
        <f t="shared" si="14"/>
        <v>279.22000000000003</v>
      </c>
      <c r="P167" s="5">
        <v>46245.5</v>
      </c>
      <c r="Q167" t="s">
        <v>23</v>
      </c>
      <c r="R167" s="2" t="s">
        <v>45</v>
      </c>
      <c r="S167">
        <v>53</v>
      </c>
      <c r="T167">
        <v>2</v>
      </c>
    </row>
    <row r="168" spans="1:20" ht="30" x14ac:dyDescent="0.25">
      <c r="A168" t="s">
        <v>377</v>
      </c>
      <c r="B168">
        <v>1</v>
      </c>
      <c r="C168" s="2" t="s">
        <v>373</v>
      </c>
      <c r="D168" s="3">
        <v>9080</v>
      </c>
      <c r="E168" s="4">
        <v>0</v>
      </c>
      <c r="F168" t="s">
        <v>23</v>
      </c>
      <c r="G168" s="3">
        <f t="shared" si="10"/>
        <v>9080</v>
      </c>
      <c r="H168" s="3">
        <v>0</v>
      </c>
      <c r="I168" s="3">
        <f t="shared" si="11"/>
        <v>9080</v>
      </c>
      <c r="J168" s="2" t="s">
        <v>27</v>
      </c>
      <c r="K168" s="5">
        <v>46251.583333333343</v>
      </c>
      <c r="L168">
        <v>1</v>
      </c>
      <c r="M168" s="3">
        <f t="shared" si="12"/>
        <v>9080</v>
      </c>
      <c r="N168" t="str">
        <f t="shared" si="13"/>
        <v>ставка</v>
      </c>
      <c r="O168" s="3">
        <f t="shared" si="14"/>
        <v>178.04</v>
      </c>
      <c r="P168" s="5">
        <v>46252.5</v>
      </c>
      <c r="Q168" t="s">
        <v>23</v>
      </c>
      <c r="R168" s="2" t="s">
        <v>40</v>
      </c>
      <c r="S168">
        <v>52</v>
      </c>
      <c r="T168">
        <v>2</v>
      </c>
    </row>
    <row r="169" spans="1:20" x14ac:dyDescent="0.25">
      <c r="A169" t="s">
        <v>378</v>
      </c>
      <c r="B169">
        <v>1</v>
      </c>
      <c r="C169" s="2" t="s">
        <v>375</v>
      </c>
      <c r="D169" s="3">
        <v>14240</v>
      </c>
      <c r="E169" s="4">
        <v>0</v>
      </c>
      <c r="F169" t="s">
        <v>23</v>
      </c>
      <c r="G169" s="3">
        <f t="shared" si="10"/>
        <v>14240</v>
      </c>
      <c r="H169" s="3">
        <v>0</v>
      </c>
      <c r="I169" s="3">
        <f t="shared" si="11"/>
        <v>14240</v>
      </c>
      <c r="J169" s="2" t="s">
        <v>27</v>
      </c>
      <c r="K169" s="5">
        <v>46268.583333333343</v>
      </c>
      <c r="L169">
        <v>1</v>
      </c>
      <c r="M169" s="3">
        <f t="shared" si="12"/>
        <v>14240</v>
      </c>
      <c r="N169" t="str">
        <f t="shared" si="13"/>
        <v>ставка</v>
      </c>
      <c r="O169" s="3">
        <f t="shared" si="14"/>
        <v>279.22000000000003</v>
      </c>
      <c r="P169" s="5">
        <v>46269.5</v>
      </c>
      <c r="Q169" t="s">
        <v>23</v>
      </c>
      <c r="R169" s="2" t="s">
        <v>45</v>
      </c>
      <c r="S169">
        <v>53</v>
      </c>
      <c r="T169">
        <v>2</v>
      </c>
    </row>
    <row r="170" spans="1:20" x14ac:dyDescent="0.25">
      <c r="A170" t="s">
        <v>379</v>
      </c>
      <c r="B170">
        <v>1</v>
      </c>
      <c r="C170" s="2" t="s">
        <v>375</v>
      </c>
      <c r="D170" s="3">
        <v>14240</v>
      </c>
      <c r="E170" s="4">
        <v>0</v>
      </c>
      <c r="F170" t="s">
        <v>23</v>
      </c>
      <c r="G170" s="3">
        <f t="shared" si="10"/>
        <v>14240</v>
      </c>
      <c r="H170" s="3">
        <v>0</v>
      </c>
      <c r="I170" s="3">
        <f t="shared" si="11"/>
        <v>14240</v>
      </c>
      <c r="J170" s="2" t="s">
        <v>27</v>
      </c>
      <c r="K170" s="5">
        <v>46272.583333333343</v>
      </c>
      <c r="L170">
        <v>1</v>
      </c>
      <c r="M170" s="3">
        <f t="shared" si="12"/>
        <v>14240</v>
      </c>
      <c r="N170" t="str">
        <f t="shared" si="13"/>
        <v>ставка</v>
      </c>
      <c r="O170" s="3">
        <f t="shared" si="14"/>
        <v>279.22000000000003</v>
      </c>
      <c r="P170" s="5">
        <v>46273.5</v>
      </c>
      <c r="Q170" t="s">
        <v>23</v>
      </c>
      <c r="R170" s="2" t="s">
        <v>45</v>
      </c>
      <c r="S170">
        <v>53</v>
      </c>
      <c r="T170">
        <v>2</v>
      </c>
    </row>
    <row r="171" spans="1:20" ht="45" x14ac:dyDescent="0.25">
      <c r="A171" t="s">
        <v>380</v>
      </c>
      <c r="B171">
        <v>1</v>
      </c>
      <c r="C171" s="2" t="s">
        <v>381</v>
      </c>
      <c r="D171" s="3">
        <v>9960</v>
      </c>
      <c r="E171" s="4">
        <v>0</v>
      </c>
      <c r="F171" t="s">
        <v>23</v>
      </c>
      <c r="G171" s="3">
        <f t="shared" si="10"/>
        <v>9960</v>
      </c>
      <c r="H171" s="3">
        <v>0</v>
      </c>
      <c r="I171" s="3">
        <f t="shared" si="11"/>
        <v>9960</v>
      </c>
      <c r="J171" s="2" t="s">
        <v>27</v>
      </c>
      <c r="K171" s="5">
        <v>46279.583333333343</v>
      </c>
      <c r="L171">
        <v>1</v>
      </c>
      <c r="M171" s="3">
        <f t="shared" si="12"/>
        <v>9960</v>
      </c>
      <c r="N171" t="str">
        <f t="shared" si="13"/>
        <v>ставка</v>
      </c>
      <c r="O171" s="3">
        <f t="shared" si="14"/>
        <v>195.29</v>
      </c>
      <c r="P171" s="5">
        <v>46280.5</v>
      </c>
      <c r="Q171" t="s">
        <v>23</v>
      </c>
      <c r="R171" s="2" t="s">
        <v>87</v>
      </c>
      <c r="S171">
        <v>51</v>
      </c>
      <c r="T171">
        <v>2</v>
      </c>
    </row>
    <row r="172" spans="1:20" x14ac:dyDescent="0.25">
      <c r="A172" t="s">
        <v>382</v>
      </c>
      <c r="B172">
        <v>1</v>
      </c>
      <c r="C172" s="2" t="s">
        <v>383</v>
      </c>
      <c r="D172" s="3">
        <v>47560</v>
      </c>
      <c r="E172" s="4">
        <v>18</v>
      </c>
      <c r="F172" t="s">
        <v>147</v>
      </c>
      <c r="G172" s="3">
        <f t="shared" si="10"/>
        <v>58000</v>
      </c>
      <c r="H172" s="3">
        <v>0</v>
      </c>
      <c r="I172" s="3">
        <f t="shared" si="11"/>
        <v>58000</v>
      </c>
      <c r="J172" s="2" t="s">
        <v>27</v>
      </c>
      <c r="K172" s="5">
        <v>46251.583333333343</v>
      </c>
      <c r="L172">
        <v>4</v>
      </c>
      <c r="M172" s="3">
        <f t="shared" si="12"/>
        <v>14500</v>
      </c>
      <c r="N172" t="str">
        <f t="shared" si="13"/>
        <v>ставка</v>
      </c>
      <c r="O172" s="3">
        <f t="shared" si="14"/>
        <v>1137.25</v>
      </c>
      <c r="P172" s="5">
        <v>46255.5</v>
      </c>
      <c r="Q172" t="s">
        <v>147</v>
      </c>
      <c r="R172" s="2" t="s">
        <v>49</v>
      </c>
      <c r="S172">
        <v>11</v>
      </c>
      <c r="T172">
        <v>1</v>
      </c>
    </row>
    <row r="173" spans="1:20" ht="30" x14ac:dyDescent="0.25">
      <c r="A173" t="s">
        <v>224</v>
      </c>
      <c r="B173">
        <v>1</v>
      </c>
      <c r="C173" s="2" t="s">
        <v>384</v>
      </c>
      <c r="D173" s="3">
        <v>45400</v>
      </c>
      <c r="E173" s="4">
        <v>4</v>
      </c>
      <c r="F173" t="s">
        <v>55</v>
      </c>
      <c r="G173" s="3">
        <f t="shared" si="10"/>
        <v>47291.67</v>
      </c>
      <c r="H173" s="3">
        <v>0</v>
      </c>
      <c r="I173" s="3">
        <f t="shared" si="11"/>
        <v>47291.67</v>
      </c>
      <c r="J173" s="2" t="s">
        <v>27</v>
      </c>
      <c r="K173" s="5">
        <v>46216.583333333343</v>
      </c>
      <c r="L173">
        <v>4</v>
      </c>
      <c r="M173" s="3">
        <f t="shared" si="12"/>
        <v>11822.9175</v>
      </c>
      <c r="N173" t="str">
        <f t="shared" si="13"/>
        <v>ставка</v>
      </c>
      <c r="O173" s="3">
        <f t="shared" si="14"/>
        <v>927.29</v>
      </c>
      <c r="P173" s="5">
        <v>46220.5</v>
      </c>
      <c r="Q173" t="s">
        <v>55</v>
      </c>
      <c r="R173" s="2" t="s">
        <v>40</v>
      </c>
      <c r="S173" s="6"/>
    </row>
    <row r="174" spans="1:20" ht="30" x14ac:dyDescent="0.25">
      <c r="A174" t="s">
        <v>385</v>
      </c>
      <c r="B174">
        <v>1</v>
      </c>
      <c r="C174" s="2" t="s">
        <v>386</v>
      </c>
      <c r="D174" s="3">
        <v>9593.1</v>
      </c>
      <c r="E174" s="4">
        <v>4</v>
      </c>
      <c r="F174" t="s">
        <v>55</v>
      </c>
      <c r="G174" s="3">
        <f t="shared" si="10"/>
        <v>9992.81</v>
      </c>
      <c r="H174" s="3">
        <v>0</v>
      </c>
      <c r="I174" s="3">
        <f t="shared" si="11"/>
        <v>9992.81</v>
      </c>
      <c r="J174" s="2" t="s">
        <v>27</v>
      </c>
      <c r="K174" s="5">
        <v>46251.583333333343</v>
      </c>
      <c r="L174">
        <v>1</v>
      </c>
      <c r="M174" s="3">
        <f t="shared" si="12"/>
        <v>9992.81</v>
      </c>
      <c r="N174" t="str">
        <f t="shared" si="13"/>
        <v>ставка</v>
      </c>
      <c r="O174" s="3">
        <f t="shared" si="14"/>
        <v>195.94</v>
      </c>
      <c r="P174" s="5">
        <v>46252.5</v>
      </c>
      <c r="Q174" t="s">
        <v>55</v>
      </c>
      <c r="R174" s="2" t="s">
        <v>33</v>
      </c>
      <c r="S174">
        <v>43</v>
      </c>
      <c r="T174">
        <v>1</v>
      </c>
    </row>
    <row r="175" spans="1:20" ht="30" x14ac:dyDescent="0.25">
      <c r="A175" t="s">
        <v>387</v>
      </c>
      <c r="B175">
        <v>1</v>
      </c>
      <c r="C175" s="2" t="s">
        <v>388</v>
      </c>
      <c r="D175" s="3">
        <v>67000</v>
      </c>
      <c r="E175" s="4">
        <v>0</v>
      </c>
      <c r="F175" t="s">
        <v>23</v>
      </c>
      <c r="G175" s="3">
        <f t="shared" si="10"/>
        <v>67000</v>
      </c>
      <c r="H175" s="3">
        <v>1300</v>
      </c>
      <c r="I175" s="3">
        <f t="shared" si="11"/>
        <v>68300</v>
      </c>
      <c r="J175" s="2" t="s">
        <v>389</v>
      </c>
      <c r="K175" s="5">
        <v>46273.583333333343</v>
      </c>
      <c r="L175">
        <v>5</v>
      </c>
      <c r="M175" s="3">
        <f t="shared" si="12"/>
        <v>13660</v>
      </c>
      <c r="N175" t="str">
        <f t="shared" si="13"/>
        <v>ставка</v>
      </c>
      <c r="O175" s="3">
        <f t="shared" si="14"/>
        <v>1339.22</v>
      </c>
      <c r="P175" s="5">
        <v>46278.5</v>
      </c>
      <c r="Q175" t="s">
        <v>23</v>
      </c>
      <c r="R175" s="2" t="s">
        <v>24</v>
      </c>
      <c r="S175">
        <v>21</v>
      </c>
      <c r="T175">
        <v>1</v>
      </c>
    </row>
    <row r="176" spans="1:20" ht="30" x14ac:dyDescent="0.25">
      <c r="A176" t="s">
        <v>390</v>
      </c>
      <c r="B176">
        <v>1</v>
      </c>
      <c r="C176" s="2" t="s">
        <v>391</v>
      </c>
      <c r="D176" s="3">
        <v>22161</v>
      </c>
      <c r="E176" s="4">
        <v>18</v>
      </c>
      <c r="F176" t="s">
        <v>32</v>
      </c>
      <c r="G176" s="3">
        <f t="shared" si="10"/>
        <v>27025.61</v>
      </c>
      <c r="H176" s="3">
        <v>0</v>
      </c>
      <c r="I176" s="3">
        <f t="shared" si="11"/>
        <v>27025.61</v>
      </c>
      <c r="J176" s="2" t="s">
        <v>27</v>
      </c>
      <c r="K176" s="5">
        <v>46263.583333333343</v>
      </c>
      <c r="L176">
        <v>2</v>
      </c>
      <c r="M176" s="3">
        <f t="shared" si="12"/>
        <v>13512.805</v>
      </c>
      <c r="N176" t="str">
        <f t="shared" si="13"/>
        <v>ставка</v>
      </c>
      <c r="O176" s="3">
        <f t="shared" si="14"/>
        <v>529.91</v>
      </c>
      <c r="P176" s="5">
        <v>46265.5</v>
      </c>
      <c r="Q176" t="s">
        <v>32</v>
      </c>
      <c r="R176" s="2" t="s">
        <v>40</v>
      </c>
      <c r="S176">
        <v>23</v>
      </c>
      <c r="T176">
        <v>1</v>
      </c>
    </row>
    <row r="177" spans="1:20" ht="30" x14ac:dyDescent="0.25">
      <c r="A177" t="s">
        <v>392</v>
      </c>
      <c r="B177">
        <v>1</v>
      </c>
      <c r="C177" s="2" t="s">
        <v>393</v>
      </c>
      <c r="D177" s="3">
        <v>28182</v>
      </c>
      <c r="E177" s="4">
        <v>17</v>
      </c>
      <c r="F177" t="s">
        <v>394</v>
      </c>
      <c r="G177" s="3">
        <f t="shared" si="10"/>
        <v>33954.22</v>
      </c>
      <c r="H177" s="3">
        <v>0</v>
      </c>
      <c r="I177" s="3">
        <f t="shared" si="11"/>
        <v>33954.22</v>
      </c>
      <c r="J177" s="2" t="s">
        <v>27</v>
      </c>
      <c r="K177" s="5">
        <v>46245.583333333343</v>
      </c>
      <c r="L177">
        <v>2</v>
      </c>
      <c r="M177" s="3">
        <f t="shared" si="12"/>
        <v>16977.11</v>
      </c>
      <c r="N177" t="str">
        <f t="shared" si="13"/>
        <v>ставка</v>
      </c>
      <c r="O177" s="3">
        <f t="shared" si="14"/>
        <v>665.77</v>
      </c>
      <c r="P177" s="5">
        <v>46247.5</v>
      </c>
      <c r="Q177" t="s">
        <v>394</v>
      </c>
      <c r="R177" s="2" t="s">
        <v>24</v>
      </c>
      <c r="S177">
        <v>31</v>
      </c>
      <c r="T177">
        <v>1</v>
      </c>
    </row>
    <row r="178" spans="1:20" ht="30" x14ac:dyDescent="0.25">
      <c r="A178" t="s">
        <v>395</v>
      </c>
      <c r="B178">
        <v>1</v>
      </c>
      <c r="C178" s="2" t="s">
        <v>396</v>
      </c>
      <c r="D178" s="3">
        <v>54480</v>
      </c>
      <c r="E178" s="4">
        <v>18</v>
      </c>
      <c r="F178" t="s">
        <v>32</v>
      </c>
      <c r="G178" s="3">
        <f t="shared" si="10"/>
        <v>66439.02</v>
      </c>
      <c r="H178" s="3">
        <v>0</v>
      </c>
      <c r="I178" s="3">
        <f t="shared" si="11"/>
        <v>66439.02</v>
      </c>
      <c r="J178" s="2" t="s">
        <v>27</v>
      </c>
      <c r="K178" s="5">
        <v>46252.583333333343</v>
      </c>
      <c r="L178">
        <v>6</v>
      </c>
      <c r="M178" s="3">
        <f t="shared" si="12"/>
        <v>11073.17</v>
      </c>
      <c r="N178" t="str">
        <f t="shared" si="13"/>
        <v>ставка</v>
      </c>
      <c r="O178" s="3">
        <f t="shared" si="14"/>
        <v>1302.73</v>
      </c>
      <c r="P178" s="5">
        <v>46258.5</v>
      </c>
      <c r="Q178" t="s">
        <v>32</v>
      </c>
      <c r="R178" s="2" t="s">
        <v>40</v>
      </c>
      <c r="S178" s="6"/>
    </row>
    <row r="179" spans="1:20" x14ac:dyDescent="0.25">
      <c r="A179" t="s">
        <v>397</v>
      </c>
      <c r="B179">
        <v>1</v>
      </c>
      <c r="C179" s="2" t="s">
        <v>398</v>
      </c>
      <c r="D179" s="3">
        <v>88448.2</v>
      </c>
      <c r="E179" s="4">
        <v>4</v>
      </c>
      <c r="F179" t="s">
        <v>55</v>
      </c>
      <c r="G179" s="3">
        <f t="shared" si="10"/>
        <v>92133.54</v>
      </c>
      <c r="H179" s="3">
        <v>0</v>
      </c>
      <c r="I179" s="3">
        <f t="shared" si="11"/>
        <v>92133.54</v>
      </c>
      <c r="J179" s="2" t="s">
        <v>27</v>
      </c>
      <c r="K179" s="5">
        <v>46256.583333333343</v>
      </c>
      <c r="L179">
        <v>5</v>
      </c>
      <c r="M179" s="3">
        <f t="shared" si="12"/>
        <v>18426.707999999999</v>
      </c>
      <c r="N179" t="str">
        <f t="shared" si="13"/>
        <v>ставка</v>
      </c>
      <c r="O179" s="3">
        <f t="shared" si="14"/>
        <v>1806.54</v>
      </c>
      <c r="P179" s="5">
        <v>46261.5</v>
      </c>
      <c r="Q179" t="s">
        <v>55</v>
      </c>
      <c r="R179" s="2" t="s">
        <v>45</v>
      </c>
      <c r="S179">
        <v>54</v>
      </c>
      <c r="T179">
        <v>2</v>
      </c>
    </row>
    <row r="180" spans="1:20" x14ac:dyDescent="0.25">
      <c r="A180" t="s">
        <v>399</v>
      </c>
      <c r="B180">
        <v>1</v>
      </c>
      <c r="C180" s="2" t="s">
        <v>400</v>
      </c>
      <c r="D180" s="3">
        <v>12312.5</v>
      </c>
      <c r="E180" s="4">
        <v>4</v>
      </c>
      <c r="F180" t="s">
        <v>55</v>
      </c>
      <c r="G180" s="3">
        <f t="shared" si="10"/>
        <v>12825.52</v>
      </c>
      <c r="H180" s="3">
        <v>0</v>
      </c>
      <c r="I180" s="3">
        <f t="shared" si="11"/>
        <v>12825.52</v>
      </c>
      <c r="J180" s="2"/>
      <c r="K180" s="5">
        <v>46281.583333333343</v>
      </c>
      <c r="L180">
        <v>1</v>
      </c>
      <c r="M180" s="3">
        <f t="shared" si="12"/>
        <v>12825.52</v>
      </c>
      <c r="N180" t="str">
        <f t="shared" si="13"/>
        <v>ставка</v>
      </c>
      <c r="O180" s="3">
        <f t="shared" si="14"/>
        <v>251.48</v>
      </c>
      <c r="P180" s="5">
        <v>46282.5</v>
      </c>
      <c r="Q180" t="s">
        <v>55</v>
      </c>
      <c r="R180" s="2" t="s">
        <v>45</v>
      </c>
      <c r="S180">
        <v>54</v>
      </c>
      <c r="T180">
        <v>2</v>
      </c>
    </row>
    <row r="181" spans="1:20" ht="30" x14ac:dyDescent="0.25">
      <c r="A181" t="s">
        <v>401</v>
      </c>
      <c r="B181">
        <v>1</v>
      </c>
      <c r="C181" s="2" t="s">
        <v>402</v>
      </c>
      <c r="D181" s="3">
        <v>11122</v>
      </c>
      <c r="E181" s="4">
        <v>17</v>
      </c>
      <c r="F181" t="s">
        <v>130</v>
      </c>
      <c r="G181" s="3">
        <f t="shared" si="10"/>
        <v>13400</v>
      </c>
      <c r="H181" s="3">
        <v>0</v>
      </c>
      <c r="I181" s="3">
        <f t="shared" si="11"/>
        <v>13400</v>
      </c>
      <c r="J181" s="2" t="s">
        <v>27</v>
      </c>
      <c r="K181" s="5">
        <v>46284.583333333343</v>
      </c>
      <c r="L181">
        <v>1</v>
      </c>
      <c r="M181" s="3">
        <f t="shared" si="12"/>
        <v>13400</v>
      </c>
      <c r="N181" t="str">
        <f t="shared" si="13"/>
        <v>ставка</v>
      </c>
      <c r="O181" s="3">
        <f t="shared" si="14"/>
        <v>262.75</v>
      </c>
      <c r="P181" s="5">
        <v>46285.5</v>
      </c>
      <c r="Q181" t="s">
        <v>130</v>
      </c>
      <c r="R181" s="2" t="s">
        <v>24</v>
      </c>
      <c r="S181">
        <v>59</v>
      </c>
      <c r="T181">
        <v>2</v>
      </c>
    </row>
    <row r="182" spans="1:20" ht="30" x14ac:dyDescent="0.25">
      <c r="A182" t="s">
        <v>403</v>
      </c>
      <c r="B182">
        <v>1</v>
      </c>
      <c r="C182" s="2" t="s">
        <v>404</v>
      </c>
      <c r="D182" s="3">
        <v>9080</v>
      </c>
      <c r="E182" s="4">
        <v>20</v>
      </c>
      <c r="F182" t="s">
        <v>48</v>
      </c>
      <c r="G182" s="3">
        <f t="shared" si="10"/>
        <v>11350</v>
      </c>
      <c r="H182" s="3">
        <v>0</v>
      </c>
      <c r="I182" s="3">
        <f t="shared" si="11"/>
        <v>11350</v>
      </c>
      <c r="J182" s="2" t="s">
        <v>27</v>
      </c>
      <c r="K182" s="5">
        <v>46271.583333333343</v>
      </c>
      <c r="L182">
        <v>1</v>
      </c>
      <c r="M182" s="3">
        <f t="shared" si="12"/>
        <v>11350</v>
      </c>
      <c r="N182" t="str">
        <f t="shared" si="13"/>
        <v>ставка</v>
      </c>
      <c r="O182" s="3">
        <f t="shared" si="14"/>
        <v>222.55</v>
      </c>
      <c r="P182" s="5">
        <v>46272.5</v>
      </c>
      <c r="Q182" t="s">
        <v>48</v>
      </c>
      <c r="R182" s="2" t="s">
        <v>40</v>
      </c>
      <c r="S182">
        <v>26</v>
      </c>
      <c r="T182">
        <v>1</v>
      </c>
    </row>
    <row r="183" spans="1:20" ht="30" x14ac:dyDescent="0.25">
      <c r="A183" t="s">
        <v>405</v>
      </c>
      <c r="B183">
        <v>1</v>
      </c>
      <c r="C183" s="2" t="s">
        <v>406</v>
      </c>
      <c r="D183" s="3">
        <v>53399</v>
      </c>
      <c r="E183" s="4">
        <v>4</v>
      </c>
      <c r="F183" t="s">
        <v>55</v>
      </c>
      <c r="G183" s="3">
        <f t="shared" si="10"/>
        <v>55623.96</v>
      </c>
      <c r="H183" s="3">
        <v>0</v>
      </c>
      <c r="I183" s="3">
        <f t="shared" si="11"/>
        <v>55623.96</v>
      </c>
      <c r="J183" s="2" t="s">
        <v>27</v>
      </c>
      <c r="K183" s="5">
        <v>46251.583333333343</v>
      </c>
      <c r="L183">
        <v>4</v>
      </c>
      <c r="M183" s="3">
        <f t="shared" si="12"/>
        <v>13905.99</v>
      </c>
      <c r="N183" t="str">
        <f t="shared" si="13"/>
        <v>ставка</v>
      </c>
      <c r="O183" s="3">
        <f t="shared" si="14"/>
        <v>1090.67</v>
      </c>
      <c r="P183" s="5">
        <v>46255.5</v>
      </c>
      <c r="Q183" t="s">
        <v>55</v>
      </c>
      <c r="R183" s="2" t="s">
        <v>24</v>
      </c>
      <c r="S183" s="6"/>
    </row>
    <row r="184" spans="1:20" ht="30" x14ac:dyDescent="0.25">
      <c r="A184" t="s">
        <v>407</v>
      </c>
      <c r="B184">
        <v>1</v>
      </c>
      <c r="C184" s="2" t="s">
        <v>408</v>
      </c>
      <c r="D184" s="3">
        <v>33660</v>
      </c>
      <c r="E184" s="4">
        <v>15</v>
      </c>
      <c r="F184" t="s">
        <v>52</v>
      </c>
      <c r="G184" s="3">
        <f t="shared" si="10"/>
        <v>39600</v>
      </c>
      <c r="H184" s="3">
        <v>0</v>
      </c>
      <c r="I184" s="3">
        <f t="shared" si="11"/>
        <v>39600</v>
      </c>
      <c r="J184" s="2" t="s">
        <v>27</v>
      </c>
      <c r="K184" s="5">
        <v>46259.583333333343</v>
      </c>
      <c r="L184">
        <v>4</v>
      </c>
      <c r="M184" s="3">
        <f t="shared" si="12"/>
        <v>9900</v>
      </c>
      <c r="N184" t="str">
        <f t="shared" si="13"/>
        <v>ставка</v>
      </c>
      <c r="O184" s="3">
        <f t="shared" si="14"/>
        <v>776.47</v>
      </c>
      <c r="P184" s="5">
        <v>46263.5</v>
      </c>
      <c r="Q184" t="s">
        <v>52</v>
      </c>
      <c r="R184" s="2" t="s">
        <v>33</v>
      </c>
      <c r="S184">
        <v>47</v>
      </c>
      <c r="T184">
        <v>1</v>
      </c>
    </row>
    <row r="185" spans="1:20" ht="30" x14ac:dyDescent="0.25">
      <c r="A185" t="s">
        <v>409</v>
      </c>
      <c r="B185">
        <v>1</v>
      </c>
      <c r="C185" s="2" t="s">
        <v>410</v>
      </c>
      <c r="D185" s="3">
        <v>34042.5</v>
      </c>
      <c r="E185" s="4">
        <v>15</v>
      </c>
      <c r="F185" t="s">
        <v>411</v>
      </c>
      <c r="G185" s="3">
        <f t="shared" si="10"/>
        <v>40050</v>
      </c>
      <c r="H185" s="3">
        <v>0</v>
      </c>
      <c r="I185" s="3">
        <f t="shared" si="11"/>
        <v>40050</v>
      </c>
      <c r="J185" s="2" t="s">
        <v>27</v>
      </c>
      <c r="K185" s="5">
        <v>46291.583333333343</v>
      </c>
      <c r="L185">
        <v>3</v>
      </c>
      <c r="M185" s="3">
        <f t="shared" si="12"/>
        <v>13350</v>
      </c>
      <c r="N185" t="str">
        <f t="shared" si="13"/>
        <v>ставка</v>
      </c>
      <c r="O185" s="3">
        <f t="shared" si="14"/>
        <v>785.29</v>
      </c>
      <c r="P185" s="5">
        <v>46294.5</v>
      </c>
      <c r="Q185" t="s">
        <v>411</v>
      </c>
      <c r="R185" s="2" t="s">
        <v>40</v>
      </c>
      <c r="S185">
        <v>42</v>
      </c>
      <c r="T185">
        <v>1</v>
      </c>
    </row>
    <row r="186" spans="1:20" x14ac:dyDescent="0.25">
      <c r="A186" t="s">
        <v>412</v>
      </c>
      <c r="B186">
        <v>1</v>
      </c>
      <c r="C186" s="2" t="s">
        <v>413</v>
      </c>
      <c r="D186" s="3">
        <v>35048.199999999997</v>
      </c>
      <c r="E186" s="4">
        <v>4</v>
      </c>
      <c r="F186" t="s">
        <v>55</v>
      </c>
      <c r="G186" s="3">
        <f t="shared" si="10"/>
        <v>36508.54</v>
      </c>
      <c r="H186" s="3">
        <v>0</v>
      </c>
      <c r="I186" s="3">
        <f t="shared" si="11"/>
        <v>36508.54</v>
      </c>
      <c r="J186" s="2" t="s">
        <v>27</v>
      </c>
      <c r="K186" s="5">
        <v>46213.583333333343</v>
      </c>
      <c r="L186">
        <v>2</v>
      </c>
      <c r="M186" s="3">
        <f t="shared" si="12"/>
        <v>18254.27</v>
      </c>
      <c r="N186" t="str">
        <f t="shared" si="13"/>
        <v>ставка</v>
      </c>
      <c r="O186" s="3">
        <f t="shared" si="14"/>
        <v>715.85</v>
      </c>
      <c r="P186" s="5">
        <v>46215.5</v>
      </c>
      <c r="Q186" t="s">
        <v>55</v>
      </c>
      <c r="R186" s="2" t="s">
        <v>45</v>
      </c>
      <c r="S186">
        <v>53</v>
      </c>
      <c r="T186">
        <v>2</v>
      </c>
    </row>
    <row r="187" spans="1:20" ht="30" x14ac:dyDescent="0.25">
      <c r="A187" t="s">
        <v>414</v>
      </c>
      <c r="B187">
        <v>1</v>
      </c>
      <c r="C187" s="2" t="s">
        <v>415</v>
      </c>
      <c r="D187" s="3">
        <v>108960</v>
      </c>
      <c r="E187" s="4">
        <v>0</v>
      </c>
      <c r="F187" t="s">
        <v>23</v>
      </c>
      <c r="G187" s="3">
        <f t="shared" si="10"/>
        <v>108960</v>
      </c>
      <c r="H187" s="3">
        <v>0</v>
      </c>
      <c r="I187" s="3">
        <f t="shared" si="11"/>
        <v>108960</v>
      </c>
      <c r="J187" s="2" t="s">
        <v>27</v>
      </c>
      <c r="K187" s="5">
        <v>46245.583333333343</v>
      </c>
      <c r="L187">
        <v>12</v>
      </c>
      <c r="M187" s="3">
        <f t="shared" si="12"/>
        <v>9080</v>
      </c>
      <c r="N187" t="str">
        <f t="shared" si="13"/>
        <v>ставка</v>
      </c>
      <c r="O187" s="3">
        <f t="shared" si="14"/>
        <v>2136.4699999999998</v>
      </c>
      <c r="P187" s="5">
        <v>46257.5</v>
      </c>
      <c r="Q187" t="s">
        <v>23</v>
      </c>
      <c r="R187" s="2" t="s">
        <v>40</v>
      </c>
      <c r="S187">
        <v>22</v>
      </c>
      <c r="T187">
        <v>1</v>
      </c>
    </row>
    <row r="188" spans="1:20" ht="30" x14ac:dyDescent="0.25">
      <c r="A188" t="s">
        <v>416</v>
      </c>
      <c r="B188">
        <v>1</v>
      </c>
      <c r="C188" s="2" t="s">
        <v>417</v>
      </c>
      <c r="D188" s="3">
        <v>24640</v>
      </c>
      <c r="E188" s="4">
        <v>18</v>
      </c>
      <c r="F188" t="s">
        <v>32</v>
      </c>
      <c r="G188" s="3">
        <f t="shared" si="10"/>
        <v>30048.78</v>
      </c>
      <c r="H188" s="3">
        <v>0</v>
      </c>
      <c r="I188" s="3">
        <f t="shared" si="11"/>
        <v>30048.78</v>
      </c>
      <c r="J188" s="2" t="s">
        <v>27</v>
      </c>
      <c r="K188" s="5">
        <v>46248.583333333343</v>
      </c>
      <c r="L188">
        <v>2</v>
      </c>
      <c r="M188" s="3">
        <f t="shared" si="12"/>
        <v>15024.39</v>
      </c>
      <c r="N188" t="str">
        <f t="shared" si="13"/>
        <v>ставка</v>
      </c>
      <c r="O188" s="3">
        <f t="shared" si="14"/>
        <v>589.19000000000005</v>
      </c>
      <c r="P188" s="5">
        <v>46250.5</v>
      </c>
      <c r="Q188" t="s">
        <v>32</v>
      </c>
      <c r="R188" s="2" t="s">
        <v>24</v>
      </c>
      <c r="S188">
        <v>21</v>
      </c>
      <c r="T188">
        <v>1</v>
      </c>
    </row>
    <row r="189" spans="1:20" ht="30" x14ac:dyDescent="0.25">
      <c r="A189" t="s">
        <v>418</v>
      </c>
      <c r="B189">
        <v>1</v>
      </c>
      <c r="C189" s="2" t="s">
        <v>419</v>
      </c>
      <c r="D189" s="3">
        <v>28942.5</v>
      </c>
      <c r="E189" s="4">
        <v>15</v>
      </c>
      <c r="F189" t="s">
        <v>168</v>
      </c>
      <c r="G189" s="3">
        <f t="shared" si="10"/>
        <v>34050</v>
      </c>
      <c r="H189" s="3">
        <v>0</v>
      </c>
      <c r="I189" s="3">
        <f t="shared" si="11"/>
        <v>34050</v>
      </c>
      <c r="J189" s="2" t="s">
        <v>27</v>
      </c>
      <c r="K189" s="5">
        <v>46260.583333333343</v>
      </c>
      <c r="L189">
        <v>3</v>
      </c>
      <c r="M189" s="3">
        <f t="shared" si="12"/>
        <v>11350</v>
      </c>
      <c r="N189" t="str">
        <f t="shared" si="13"/>
        <v>ставка</v>
      </c>
      <c r="O189" s="3">
        <f t="shared" si="14"/>
        <v>667.65</v>
      </c>
      <c r="P189" s="5">
        <v>46263.5</v>
      </c>
      <c r="Q189" t="s">
        <v>168</v>
      </c>
      <c r="R189" s="2" t="s">
        <v>40</v>
      </c>
      <c r="S189">
        <v>58</v>
      </c>
      <c r="T189">
        <v>2</v>
      </c>
    </row>
    <row r="190" spans="1:20" ht="30" x14ac:dyDescent="0.25">
      <c r="A190" t="s">
        <v>420</v>
      </c>
      <c r="B190">
        <v>1</v>
      </c>
      <c r="C190" s="2" t="s">
        <v>421</v>
      </c>
      <c r="D190" s="3">
        <v>6320</v>
      </c>
      <c r="E190" s="4">
        <v>20</v>
      </c>
      <c r="F190" t="s">
        <v>173</v>
      </c>
      <c r="G190" s="3">
        <f t="shared" si="10"/>
        <v>7900</v>
      </c>
      <c r="H190" s="3">
        <v>0</v>
      </c>
      <c r="I190" s="3">
        <f t="shared" si="11"/>
        <v>7900</v>
      </c>
      <c r="J190" s="2" t="s">
        <v>27</v>
      </c>
      <c r="K190" s="5">
        <v>46254.583333333343</v>
      </c>
      <c r="L190">
        <v>1</v>
      </c>
      <c r="M190" s="3">
        <f t="shared" si="12"/>
        <v>7900</v>
      </c>
      <c r="N190" t="str">
        <f t="shared" si="13"/>
        <v>ставка</v>
      </c>
      <c r="O190" s="3">
        <f t="shared" si="14"/>
        <v>154.9</v>
      </c>
      <c r="P190" s="5">
        <v>46255.5</v>
      </c>
      <c r="Q190" t="s">
        <v>173</v>
      </c>
      <c r="R190" s="2" t="s">
        <v>33</v>
      </c>
      <c r="S190">
        <v>41</v>
      </c>
      <c r="T190">
        <v>1</v>
      </c>
    </row>
    <row r="191" spans="1:20" ht="30" x14ac:dyDescent="0.25">
      <c r="A191" t="s">
        <v>422</v>
      </c>
      <c r="B191">
        <v>1</v>
      </c>
      <c r="C191" s="2" t="s">
        <v>423</v>
      </c>
      <c r="D191" s="3">
        <v>12015</v>
      </c>
      <c r="E191" s="4">
        <v>0</v>
      </c>
      <c r="F191" t="s">
        <v>23</v>
      </c>
      <c r="G191" s="3">
        <f t="shared" si="10"/>
        <v>12015</v>
      </c>
      <c r="H191" s="3">
        <v>0</v>
      </c>
      <c r="I191" s="3">
        <f t="shared" si="11"/>
        <v>12015</v>
      </c>
      <c r="J191" s="2" t="s">
        <v>27</v>
      </c>
      <c r="K191" s="5">
        <v>46232.583333333343</v>
      </c>
      <c r="L191">
        <v>1</v>
      </c>
      <c r="M191" s="3">
        <f t="shared" si="12"/>
        <v>12015</v>
      </c>
      <c r="N191" t="str">
        <f t="shared" si="13"/>
        <v>ставка</v>
      </c>
      <c r="O191" s="3">
        <f t="shared" si="14"/>
        <v>235.59</v>
      </c>
      <c r="P191" s="5">
        <v>46233.5</v>
      </c>
      <c r="Q191" t="s">
        <v>23</v>
      </c>
      <c r="R191" s="2" t="s">
        <v>40</v>
      </c>
      <c r="S191">
        <v>22</v>
      </c>
      <c r="T191">
        <v>1</v>
      </c>
    </row>
    <row r="192" spans="1:20" ht="30" x14ac:dyDescent="0.25">
      <c r="A192" t="s">
        <v>424</v>
      </c>
      <c r="B192">
        <v>1</v>
      </c>
      <c r="C192" s="2" t="s">
        <v>425</v>
      </c>
      <c r="D192" s="3">
        <v>68085</v>
      </c>
      <c r="E192" s="4">
        <v>0</v>
      </c>
      <c r="F192" t="s">
        <v>180</v>
      </c>
      <c r="G192" s="3">
        <f t="shared" si="10"/>
        <v>68085</v>
      </c>
      <c r="H192" s="3">
        <v>0</v>
      </c>
      <c r="I192" s="3">
        <f t="shared" si="11"/>
        <v>68085</v>
      </c>
      <c r="J192" s="2" t="s">
        <v>181</v>
      </c>
      <c r="K192" s="5">
        <v>46216.583333333343</v>
      </c>
      <c r="L192">
        <v>6</v>
      </c>
      <c r="M192" s="3">
        <f t="shared" si="12"/>
        <v>11347.5</v>
      </c>
      <c r="N192" t="str">
        <f t="shared" si="13"/>
        <v>ставка</v>
      </c>
      <c r="O192" s="3">
        <f t="shared" si="14"/>
        <v>1335</v>
      </c>
      <c r="P192" s="5">
        <v>46222.5</v>
      </c>
      <c r="Q192" t="s">
        <v>180</v>
      </c>
      <c r="R192" s="2" t="s">
        <v>40</v>
      </c>
      <c r="S192">
        <v>44</v>
      </c>
      <c r="T192">
        <v>1</v>
      </c>
    </row>
    <row r="193" spans="1:20" x14ac:dyDescent="0.25">
      <c r="A193" t="s">
        <v>426</v>
      </c>
      <c r="B193">
        <v>1</v>
      </c>
      <c r="C193" s="2" t="s">
        <v>427</v>
      </c>
      <c r="D193" s="3">
        <v>14085.5</v>
      </c>
      <c r="E193" s="4">
        <v>4</v>
      </c>
      <c r="F193" t="s">
        <v>55</v>
      </c>
      <c r="G193" s="3">
        <f t="shared" si="10"/>
        <v>14672.4</v>
      </c>
      <c r="H193" s="3">
        <v>500</v>
      </c>
      <c r="I193" s="3">
        <f t="shared" si="11"/>
        <v>15172.4</v>
      </c>
      <c r="J193" s="2" t="s">
        <v>428</v>
      </c>
      <c r="K193" s="5">
        <v>46214.583333333343</v>
      </c>
      <c r="L193">
        <v>1</v>
      </c>
      <c r="M193" s="3">
        <f t="shared" si="12"/>
        <v>15172.4</v>
      </c>
      <c r="N193" t="str">
        <f t="shared" si="13"/>
        <v>ставка</v>
      </c>
      <c r="O193" s="3">
        <f t="shared" si="14"/>
        <v>297.5</v>
      </c>
      <c r="P193" s="5">
        <v>46215.5</v>
      </c>
      <c r="Q193" t="s">
        <v>55</v>
      </c>
      <c r="R193" s="2" t="s">
        <v>45</v>
      </c>
      <c r="S193">
        <v>57</v>
      </c>
      <c r="T193">
        <v>2</v>
      </c>
    </row>
    <row r="194" spans="1:20" ht="30" x14ac:dyDescent="0.25">
      <c r="A194" t="s">
        <v>429</v>
      </c>
      <c r="B194">
        <v>1</v>
      </c>
      <c r="C194" s="2" t="s">
        <v>430</v>
      </c>
      <c r="D194" s="3">
        <v>59661.15</v>
      </c>
      <c r="E194" s="4">
        <v>4</v>
      </c>
      <c r="F194" t="s">
        <v>55</v>
      </c>
      <c r="G194" s="3">
        <f t="shared" ref="G194:G257" si="15">ROUND(D194/(100-E194)*100,2)</f>
        <v>62147.03</v>
      </c>
      <c r="H194" s="3">
        <v>0</v>
      </c>
      <c r="I194" s="3">
        <f t="shared" ref="I194:I257" si="16">ROUND(G194+H194,2)</f>
        <v>62147.03</v>
      </c>
      <c r="J194" s="2" t="s">
        <v>27</v>
      </c>
      <c r="K194" s="5">
        <v>46258.583333333343</v>
      </c>
      <c r="L194">
        <v>4</v>
      </c>
      <c r="M194" s="3">
        <f t="shared" ref="M194:M257" si="17">I194/L194</f>
        <v>15536.7575</v>
      </c>
      <c r="N194" t="str">
        <f t="shared" ref="N194:N257" si="18">IF(M194&gt;=5100,"ставка","мин.ставка")</f>
        <v>ставка</v>
      </c>
      <c r="O194" s="3">
        <f t="shared" ref="O194:O257" si="19">ROUND(IF(N194="мин.ставка",L194*100,I194/102*2),2)</f>
        <v>1218.57</v>
      </c>
      <c r="P194" s="5">
        <v>46262.791666666657</v>
      </c>
      <c r="Q194" t="s">
        <v>55</v>
      </c>
      <c r="R194" s="2" t="s">
        <v>40</v>
      </c>
      <c r="S194">
        <v>46</v>
      </c>
      <c r="T194">
        <v>1</v>
      </c>
    </row>
    <row r="195" spans="1:20" ht="30" x14ac:dyDescent="0.25">
      <c r="A195" t="s">
        <v>431</v>
      </c>
      <c r="B195">
        <v>1</v>
      </c>
      <c r="C195" s="2" t="s">
        <v>432</v>
      </c>
      <c r="D195" s="3">
        <v>10680</v>
      </c>
      <c r="E195" s="4">
        <v>18</v>
      </c>
      <c r="F195" t="s">
        <v>32</v>
      </c>
      <c r="G195" s="3">
        <f t="shared" si="15"/>
        <v>13024.39</v>
      </c>
      <c r="H195" s="3">
        <v>0</v>
      </c>
      <c r="I195" s="3">
        <f t="shared" si="16"/>
        <v>13024.39</v>
      </c>
      <c r="J195" s="2" t="s">
        <v>27</v>
      </c>
      <c r="K195" s="5">
        <v>46214.583333333343</v>
      </c>
      <c r="L195">
        <v>1</v>
      </c>
      <c r="M195" s="3">
        <f t="shared" si="17"/>
        <v>13024.39</v>
      </c>
      <c r="N195" t="str">
        <f t="shared" si="18"/>
        <v>ставка</v>
      </c>
      <c r="O195" s="3">
        <f t="shared" si="19"/>
        <v>255.38</v>
      </c>
      <c r="P195" s="5">
        <v>46215.5</v>
      </c>
      <c r="Q195" t="s">
        <v>32</v>
      </c>
      <c r="R195" s="2" t="s">
        <v>40</v>
      </c>
      <c r="S195">
        <v>42</v>
      </c>
      <c r="T195">
        <v>1</v>
      </c>
    </row>
    <row r="196" spans="1:20" ht="30" x14ac:dyDescent="0.25">
      <c r="A196" t="s">
        <v>433</v>
      </c>
      <c r="B196">
        <v>1</v>
      </c>
      <c r="C196" s="2" t="s">
        <v>434</v>
      </c>
      <c r="D196" s="3">
        <v>6320</v>
      </c>
      <c r="E196" s="4">
        <v>20</v>
      </c>
      <c r="F196" t="s">
        <v>48</v>
      </c>
      <c r="G196" s="3">
        <f t="shared" si="15"/>
        <v>7900</v>
      </c>
      <c r="H196" s="3">
        <v>0</v>
      </c>
      <c r="I196" s="3">
        <f t="shared" si="16"/>
        <v>7900</v>
      </c>
      <c r="J196" s="2" t="s">
        <v>27</v>
      </c>
      <c r="K196" s="5">
        <v>46259.583333333343</v>
      </c>
      <c r="L196">
        <v>1</v>
      </c>
      <c r="M196" s="3">
        <f t="shared" si="17"/>
        <v>7900</v>
      </c>
      <c r="N196" t="str">
        <f t="shared" si="18"/>
        <v>ставка</v>
      </c>
      <c r="O196" s="3">
        <f t="shared" si="19"/>
        <v>154.9</v>
      </c>
      <c r="P196" s="5">
        <v>46260.5</v>
      </c>
      <c r="Q196" t="s">
        <v>48</v>
      </c>
      <c r="R196" s="2" t="s">
        <v>33</v>
      </c>
      <c r="S196">
        <v>41</v>
      </c>
      <c r="T196">
        <v>1</v>
      </c>
    </row>
    <row r="197" spans="1:20" ht="45" x14ac:dyDescent="0.25">
      <c r="A197" t="s">
        <v>435</v>
      </c>
      <c r="B197">
        <v>1</v>
      </c>
      <c r="C197" s="2" t="s">
        <v>436</v>
      </c>
      <c r="D197" s="3">
        <v>14002.05</v>
      </c>
      <c r="E197" s="4">
        <v>4</v>
      </c>
      <c r="F197" t="s">
        <v>55</v>
      </c>
      <c r="G197" s="3">
        <f t="shared" si="15"/>
        <v>14585.47</v>
      </c>
      <c r="H197" s="3">
        <v>0</v>
      </c>
      <c r="I197" s="3">
        <f t="shared" si="16"/>
        <v>14585.47</v>
      </c>
      <c r="J197" s="2"/>
      <c r="K197" s="5">
        <v>46229.583333333343</v>
      </c>
      <c r="L197">
        <v>1</v>
      </c>
      <c r="M197" s="3">
        <f t="shared" si="17"/>
        <v>14585.47</v>
      </c>
      <c r="N197" t="str">
        <f t="shared" si="18"/>
        <v>ставка</v>
      </c>
      <c r="O197" s="3">
        <f t="shared" si="19"/>
        <v>285.99</v>
      </c>
      <c r="P197" s="5">
        <v>46230.5</v>
      </c>
      <c r="Q197" t="s">
        <v>55</v>
      </c>
      <c r="R197" s="2" t="s">
        <v>87</v>
      </c>
      <c r="S197">
        <v>50</v>
      </c>
      <c r="T197">
        <v>2</v>
      </c>
    </row>
    <row r="198" spans="1:20" ht="30" x14ac:dyDescent="0.25">
      <c r="A198" t="s">
        <v>437</v>
      </c>
      <c r="B198">
        <v>1</v>
      </c>
      <c r="C198" s="2" t="s">
        <v>438</v>
      </c>
      <c r="D198" s="3">
        <v>12782</v>
      </c>
      <c r="E198" s="4">
        <v>17</v>
      </c>
      <c r="F198" t="s">
        <v>394</v>
      </c>
      <c r="G198" s="3">
        <f t="shared" si="15"/>
        <v>15400</v>
      </c>
      <c r="H198" s="3">
        <v>0</v>
      </c>
      <c r="I198" s="3">
        <f t="shared" si="16"/>
        <v>15400</v>
      </c>
      <c r="J198" s="2" t="s">
        <v>27</v>
      </c>
      <c r="K198" s="5">
        <v>46213.583333333343</v>
      </c>
      <c r="L198">
        <v>2</v>
      </c>
      <c r="M198" s="3">
        <f t="shared" si="17"/>
        <v>7700</v>
      </c>
      <c r="N198" t="str">
        <f t="shared" si="18"/>
        <v>ставка</v>
      </c>
      <c r="O198" s="3">
        <f t="shared" si="19"/>
        <v>301.95999999999998</v>
      </c>
      <c r="P198" s="5">
        <v>46215.5</v>
      </c>
      <c r="Q198" t="s">
        <v>394</v>
      </c>
      <c r="R198" s="2" t="s">
        <v>58</v>
      </c>
      <c r="S198">
        <v>34</v>
      </c>
      <c r="T198">
        <v>1</v>
      </c>
    </row>
    <row r="199" spans="1:20" ht="30" x14ac:dyDescent="0.25">
      <c r="A199" t="s">
        <v>439</v>
      </c>
      <c r="B199">
        <v>1</v>
      </c>
      <c r="C199" s="2" t="s">
        <v>440</v>
      </c>
      <c r="D199" s="3">
        <v>17252</v>
      </c>
      <c r="E199" s="4">
        <v>18</v>
      </c>
      <c r="F199" t="s">
        <v>32</v>
      </c>
      <c r="G199" s="3">
        <f t="shared" si="15"/>
        <v>21039.02</v>
      </c>
      <c r="H199" s="3">
        <v>0</v>
      </c>
      <c r="I199" s="3">
        <f t="shared" si="16"/>
        <v>21039.02</v>
      </c>
      <c r="J199" s="2" t="s">
        <v>27</v>
      </c>
      <c r="K199" s="5">
        <v>46289.583333333343</v>
      </c>
      <c r="L199">
        <v>2</v>
      </c>
      <c r="M199" s="3">
        <f t="shared" si="17"/>
        <v>10519.51</v>
      </c>
      <c r="N199" t="str">
        <f t="shared" si="18"/>
        <v>ставка</v>
      </c>
      <c r="O199" s="3">
        <f t="shared" si="19"/>
        <v>412.53</v>
      </c>
      <c r="P199" s="5">
        <v>46291.5</v>
      </c>
      <c r="Q199" t="s">
        <v>32</v>
      </c>
      <c r="R199" s="2" t="s">
        <v>40</v>
      </c>
      <c r="S199">
        <v>32</v>
      </c>
      <c r="T199">
        <v>1</v>
      </c>
    </row>
    <row r="200" spans="1:20" ht="30" x14ac:dyDescent="0.25">
      <c r="A200" t="s">
        <v>441</v>
      </c>
      <c r="B200">
        <v>1</v>
      </c>
      <c r="C200" s="2" t="s">
        <v>442</v>
      </c>
      <c r="D200" s="3">
        <v>32040</v>
      </c>
      <c r="E200" s="4">
        <v>0</v>
      </c>
      <c r="F200" t="s">
        <v>23</v>
      </c>
      <c r="G200" s="3">
        <f t="shared" si="15"/>
        <v>32040</v>
      </c>
      <c r="H200" s="3">
        <v>0</v>
      </c>
      <c r="I200" s="3">
        <f t="shared" si="16"/>
        <v>32040</v>
      </c>
      <c r="J200" s="2" t="s">
        <v>27</v>
      </c>
      <c r="K200" s="5">
        <v>46290.583333333343</v>
      </c>
      <c r="L200">
        <v>3</v>
      </c>
      <c r="M200" s="3">
        <f t="shared" si="17"/>
        <v>10680</v>
      </c>
      <c r="N200" t="str">
        <f t="shared" si="18"/>
        <v>ставка</v>
      </c>
      <c r="O200" s="3">
        <f t="shared" si="19"/>
        <v>628.24</v>
      </c>
      <c r="P200" s="5">
        <v>46293.5</v>
      </c>
      <c r="Q200" t="s">
        <v>23</v>
      </c>
      <c r="R200" s="2" t="s">
        <v>40</v>
      </c>
      <c r="S200">
        <v>36</v>
      </c>
      <c r="T200">
        <v>1</v>
      </c>
    </row>
    <row r="201" spans="1:20" ht="30" x14ac:dyDescent="0.25">
      <c r="A201" t="s">
        <v>443</v>
      </c>
      <c r="B201">
        <v>1</v>
      </c>
      <c r="C201" s="2" t="s">
        <v>444</v>
      </c>
      <c r="D201" s="3">
        <v>17025</v>
      </c>
      <c r="E201" s="4">
        <v>18</v>
      </c>
      <c r="F201" t="s">
        <v>32</v>
      </c>
      <c r="G201" s="3">
        <f t="shared" si="15"/>
        <v>20762.2</v>
      </c>
      <c r="H201" s="3">
        <v>0</v>
      </c>
      <c r="I201" s="3">
        <f t="shared" si="16"/>
        <v>20762.2</v>
      </c>
      <c r="J201" s="2" t="s">
        <v>27</v>
      </c>
      <c r="K201" s="5">
        <v>46289.583333333343</v>
      </c>
      <c r="L201">
        <v>2</v>
      </c>
      <c r="M201" s="3">
        <f t="shared" si="17"/>
        <v>10381.1</v>
      </c>
      <c r="N201" t="str">
        <f t="shared" si="18"/>
        <v>ставка</v>
      </c>
      <c r="O201" s="3">
        <f t="shared" si="19"/>
        <v>407.1</v>
      </c>
      <c r="P201" s="5">
        <v>46291.5</v>
      </c>
      <c r="Q201" t="s">
        <v>32</v>
      </c>
      <c r="R201" s="2" t="s">
        <v>40</v>
      </c>
      <c r="S201">
        <v>26</v>
      </c>
      <c r="T201">
        <v>1</v>
      </c>
    </row>
    <row r="202" spans="1:20" ht="30" x14ac:dyDescent="0.25">
      <c r="A202" t="s">
        <v>445</v>
      </c>
      <c r="B202">
        <v>1</v>
      </c>
      <c r="C202" s="2" t="s">
        <v>446</v>
      </c>
      <c r="D202" s="3">
        <v>8415</v>
      </c>
      <c r="E202" s="4">
        <v>15</v>
      </c>
      <c r="F202" t="s">
        <v>52</v>
      </c>
      <c r="G202" s="3">
        <f t="shared" si="15"/>
        <v>9900</v>
      </c>
      <c r="H202" s="3">
        <v>0</v>
      </c>
      <c r="I202" s="3">
        <f t="shared" si="16"/>
        <v>9900</v>
      </c>
      <c r="J202" s="2" t="s">
        <v>27</v>
      </c>
      <c r="K202" s="5">
        <v>46252.583333333343</v>
      </c>
      <c r="L202">
        <v>1</v>
      </c>
      <c r="M202" s="3">
        <f t="shared" si="17"/>
        <v>9900</v>
      </c>
      <c r="N202" t="str">
        <f t="shared" si="18"/>
        <v>ставка</v>
      </c>
      <c r="O202" s="3">
        <f t="shared" si="19"/>
        <v>194.12</v>
      </c>
      <c r="P202" s="5">
        <v>46253.5</v>
      </c>
      <c r="Q202" t="s">
        <v>52</v>
      </c>
      <c r="R202" s="2" t="s">
        <v>33</v>
      </c>
      <c r="S202">
        <v>45</v>
      </c>
      <c r="T202">
        <v>1</v>
      </c>
    </row>
    <row r="203" spans="1:20" ht="30" x14ac:dyDescent="0.25">
      <c r="A203" t="s">
        <v>447</v>
      </c>
      <c r="B203">
        <v>1</v>
      </c>
      <c r="C203" s="2" t="s">
        <v>448</v>
      </c>
      <c r="D203" s="3">
        <v>6468</v>
      </c>
      <c r="E203" s="4">
        <v>16</v>
      </c>
      <c r="F203" t="s">
        <v>36</v>
      </c>
      <c r="G203" s="3">
        <f t="shared" si="15"/>
        <v>7700</v>
      </c>
      <c r="H203" s="3">
        <v>0</v>
      </c>
      <c r="I203" s="3">
        <f t="shared" si="16"/>
        <v>7700</v>
      </c>
      <c r="J203" s="2" t="s">
        <v>27</v>
      </c>
      <c r="K203" s="5">
        <v>46290.583333333343</v>
      </c>
      <c r="L203">
        <v>1</v>
      </c>
      <c r="M203" s="3">
        <f t="shared" si="17"/>
        <v>7700</v>
      </c>
      <c r="N203" t="str">
        <f t="shared" si="18"/>
        <v>ставка</v>
      </c>
      <c r="O203" s="3">
        <f t="shared" si="19"/>
        <v>150.97999999999999</v>
      </c>
      <c r="P203" s="5">
        <v>46291.5</v>
      </c>
      <c r="Q203" t="s">
        <v>36</v>
      </c>
      <c r="R203" s="2" t="s">
        <v>58</v>
      </c>
      <c r="S203">
        <v>24</v>
      </c>
      <c r="T203">
        <v>1</v>
      </c>
    </row>
    <row r="204" spans="1:20" ht="30" x14ac:dyDescent="0.25">
      <c r="A204" t="s">
        <v>449</v>
      </c>
      <c r="B204">
        <v>1</v>
      </c>
      <c r="C204" s="2" t="s">
        <v>450</v>
      </c>
      <c r="D204" s="3">
        <v>22348.15</v>
      </c>
      <c r="E204" s="4">
        <v>4</v>
      </c>
      <c r="F204" t="s">
        <v>55</v>
      </c>
      <c r="G204" s="3">
        <f t="shared" si="15"/>
        <v>23279.32</v>
      </c>
      <c r="H204" s="3">
        <v>0</v>
      </c>
      <c r="I204" s="3">
        <f t="shared" si="16"/>
        <v>23279.32</v>
      </c>
      <c r="J204" s="2" t="s">
        <v>27</v>
      </c>
      <c r="K204" s="5">
        <v>46233.583333333343</v>
      </c>
      <c r="L204">
        <v>2</v>
      </c>
      <c r="M204" s="3">
        <f t="shared" si="17"/>
        <v>11639.66</v>
      </c>
      <c r="N204" t="str">
        <f t="shared" si="18"/>
        <v>ставка</v>
      </c>
      <c r="O204" s="3">
        <f t="shared" si="19"/>
        <v>456.46</v>
      </c>
      <c r="P204" s="5">
        <v>46235.5</v>
      </c>
      <c r="Q204" t="s">
        <v>55</v>
      </c>
      <c r="R204" s="2" t="s">
        <v>40</v>
      </c>
      <c r="S204">
        <v>44</v>
      </c>
      <c r="T204">
        <v>1</v>
      </c>
    </row>
    <row r="205" spans="1:20" ht="30" x14ac:dyDescent="0.25">
      <c r="A205" t="s">
        <v>451</v>
      </c>
      <c r="B205">
        <v>1</v>
      </c>
      <c r="C205" s="2" t="s">
        <v>452</v>
      </c>
      <c r="D205" s="3">
        <v>24640</v>
      </c>
      <c r="E205" s="4">
        <v>18</v>
      </c>
      <c r="F205" t="s">
        <v>32</v>
      </c>
      <c r="G205" s="3">
        <f t="shared" si="15"/>
        <v>30048.78</v>
      </c>
      <c r="H205" s="3">
        <v>0</v>
      </c>
      <c r="I205" s="3">
        <f t="shared" si="16"/>
        <v>30048.78</v>
      </c>
      <c r="J205" s="2" t="s">
        <v>27</v>
      </c>
      <c r="K205" s="5">
        <v>46247.583333333343</v>
      </c>
      <c r="L205">
        <v>4</v>
      </c>
      <c r="M205" s="3">
        <f t="shared" si="17"/>
        <v>7512.1949999999997</v>
      </c>
      <c r="N205" t="str">
        <f t="shared" si="18"/>
        <v>ставка</v>
      </c>
      <c r="O205" s="3">
        <f t="shared" si="19"/>
        <v>589.19000000000005</v>
      </c>
      <c r="P205" s="5">
        <v>46251.5</v>
      </c>
      <c r="Q205" t="s">
        <v>32</v>
      </c>
      <c r="R205" s="2" t="s">
        <v>58</v>
      </c>
      <c r="S205">
        <v>34</v>
      </c>
      <c r="T205">
        <v>1</v>
      </c>
    </row>
    <row r="206" spans="1:20" ht="30" x14ac:dyDescent="0.25">
      <c r="A206" t="s">
        <v>453</v>
      </c>
      <c r="B206">
        <v>1</v>
      </c>
      <c r="C206" s="2" t="s">
        <v>454</v>
      </c>
      <c r="D206" s="3">
        <v>11550</v>
      </c>
      <c r="E206" s="4">
        <v>18</v>
      </c>
      <c r="F206" t="s">
        <v>32</v>
      </c>
      <c r="G206" s="3">
        <f t="shared" si="15"/>
        <v>14085.37</v>
      </c>
      <c r="H206" s="3">
        <v>0</v>
      </c>
      <c r="I206" s="3">
        <f t="shared" si="16"/>
        <v>14085.37</v>
      </c>
      <c r="J206" s="2" t="s">
        <v>27</v>
      </c>
      <c r="K206" s="5">
        <v>46286.583333333343</v>
      </c>
      <c r="L206">
        <v>1</v>
      </c>
      <c r="M206" s="3">
        <f t="shared" si="17"/>
        <v>14085.37</v>
      </c>
      <c r="N206" t="str">
        <f t="shared" si="18"/>
        <v>ставка</v>
      </c>
      <c r="O206" s="3">
        <f t="shared" si="19"/>
        <v>276.18</v>
      </c>
      <c r="P206" s="5">
        <v>46287.5</v>
      </c>
      <c r="Q206" t="s">
        <v>32</v>
      </c>
      <c r="R206" s="2" t="s">
        <v>24</v>
      </c>
      <c r="S206">
        <v>31</v>
      </c>
      <c r="T206">
        <v>1</v>
      </c>
    </row>
    <row r="207" spans="1:20" ht="30" x14ac:dyDescent="0.25">
      <c r="A207" t="s">
        <v>455</v>
      </c>
      <c r="B207">
        <v>1</v>
      </c>
      <c r="C207" s="2" t="s">
        <v>456</v>
      </c>
      <c r="D207" s="3">
        <v>49252.5</v>
      </c>
      <c r="E207" s="4">
        <v>4</v>
      </c>
      <c r="F207" t="s">
        <v>55</v>
      </c>
      <c r="G207" s="3">
        <f t="shared" si="15"/>
        <v>51304.69</v>
      </c>
      <c r="H207" s="3">
        <v>3560</v>
      </c>
      <c r="I207" s="3">
        <f t="shared" si="16"/>
        <v>54864.69</v>
      </c>
      <c r="J207" s="2" t="s">
        <v>457</v>
      </c>
      <c r="K207" s="5">
        <v>46226.583333333343</v>
      </c>
      <c r="L207">
        <v>3</v>
      </c>
      <c r="M207" s="3">
        <f t="shared" si="17"/>
        <v>18288.23</v>
      </c>
      <c r="N207" t="str">
        <f t="shared" si="18"/>
        <v>ставка</v>
      </c>
      <c r="O207" s="3">
        <f t="shared" si="19"/>
        <v>1075.78</v>
      </c>
      <c r="P207" s="5">
        <v>46229.5</v>
      </c>
      <c r="Q207" t="s">
        <v>55</v>
      </c>
      <c r="R207" s="2" t="s">
        <v>49</v>
      </c>
      <c r="S207">
        <v>11</v>
      </c>
      <c r="T207">
        <v>1</v>
      </c>
    </row>
    <row r="208" spans="1:20" ht="30" x14ac:dyDescent="0.25">
      <c r="A208" t="s">
        <v>458</v>
      </c>
      <c r="B208">
        <v>1</v>
      </c>
      <c r="C208" s="2" t="s">
        <v>459</v>
      </c>
      <c r="D208" s="3">
        <v>31600</v>
      </c>
      <c r="E208" s="4">
        <v>0</v>
      </c>
      <c r="F208" t="s">
        <v>23</v>
      </c>
      <c r="G208" s="3">
        <f t="shared" si="15"/>
        <v>31600</v>
      </c>
      <c r="H208" s="3">
        <v>0</v>
      </c>
      <c r="I208" s="3">
        <f t="shared" si="16"/>
        <v>31600</v>
      </c>
      <c r="J208" s="2" t="s">
        <v>27</v>
      </c>
      <c r="K208" s="5">
        <v>46272.583333333343</v>
      </c>
      <c r="L208">
        <v>4</v>
      </c>
      <c r="M208" s="3">
        <f t="shared" si="17"/>
        <v>7900</v>
      </c>
      <c r="N208" t="str">
        <f t="shared" si="18"/>
        <v>ставка</v>
      </c>
      <c r="O208" s="3">
        <f t="shared" si="19"/>
        <v>619.61</v>
      </c>
      <c r="P208" s="5">
        <v>46276.5</v>
      </c>
      <c r="Q208" t="s">
        <v>23</v>
      </c>
      <c r="R208" s="2" t="s">
        <v>40</v>
      </c>
      <c r="S208">
        <v>44</v>
      </c>
      <c r="T208">
        <v>1</v>
      </c>
    </row>
    <row r="209" spans="1:20" x14ac:dyDescent="0.25">
      <c r="A209" t="s">
        <v>460</v>
      </c>
      <c r="B209">
        <v>1</v>
      </c>
      <c r="C209" s="2" t="s">
        <v>461</v>
      </c>
      <c r="D209" s="3">
        <v>23200</v>
      </c>
      <c r="E209" s="4">
        <v>20</v>
      </c>
      <c r="F209" t="s">
        <v>103</v>
      </c>
      <c r="G209" s="3">
        <f t="shared" si="15"/>
        <v>29000</v>
      </c>
      <c r="H209" s="3">
        <v>0</v>
      </c>
      <c r="I209" s="3">
        <f t="shared" si="16"/>
        <v>29000</v>
      </c>
      <c r="J209" s="2" t="s">
        <v>27</v>
      </c>
      <c r="K209" s="5">
        <v>46204.583333333343</v>
      </c>
      <c r="L209">
        <v>2</v>
      </c>
      <c r="M209" s="3">
        <f t="shared" si="17"/>
        <v>14500</v>
      </c>
      <c r="N209" t="str">
        <f t="shared" si="18"/>
        <v>ставка</v>
      </c>
      <c r="O209" s="3">
        <f t="shared" si="19"/>
        <v>568.63</v>
      </c>
      <c r="P209" s="5">
        <v>46206.5</v>
      </c>
      <c r="Q209" t="s">
        <v>103</v>
      </c>
      <c r="R209" s="2" t="s">
        <v>49</v>
      </c>
      <c r="S209">
        <v>35</v>
      </c>
      <c r="T209">
        <v>1</v>
      </c>
    </row>
    <row r="210" spans="1:20" ht="30" x14ac:dyDescent="0.25">
      <c r="A210" t="s">
        <v>462</v>
      </c>
      <c r="B210">
        <v>1</v>
      </c>
      <c r="C210" s="2" t="s">
        <v>463</v>
      </c>
      <c r="D210" s="3">
        <v>25245</v>
      </c>
      <c r="E210" s="4">
        <v>15</v>
      </c>
      <c r="F210" t="s">
        <v>52</v>
      </c>
      <c r="G210" s="3">
        <f t="shared" si="15"/>
        <v>29700</v>
      </c>
      <c r="H210" s="3">
        <v>4500</v>
      </c>
      <c r="I210" s="3">
        <f t="shared" si="16"/>
        <v>34200</v>
      </c>
      <c r="J210" s="2" t="s">
        <v>464</v>
      </c>
      <c r="K210" s="5">
        <v>46251.583333333343</v>
      </c>
      <c r="L210">
        <v>3</v>
      </c>
      <c r="M210" s="3">
        <f t="shared" si="17"/>
        <v>11400</v>
      </c>
      <c r="N210" t="str">
        <f t="shared" si="18"/>
        <v>ставка</v>
      </c>
      <c r="O210" s="3">
        <f t="shared" si="19"/>
        <v>670.59</v>
      </c>
      <c r="P210" s="5">
        <v>46254.5</v>
      </c>
      <c r="Q210" t="s">
        <v>52</v>
      </c>
      <c r="R210" s="2" t="s">
        <v>33</v>
      </c>
      <c r="S210">
        <v>41</v>
      </c>
      <c r="T210">
        <v>1</v>
      </c>
    </row>
    <row r="211" spans="1:20" ht="30" x14ac:dyDescent="0.25">
      <c r="A211" t="s">
        <v>465</v>
      </c>
      <c r="B211">
        <v>1</v>
      </c>
      <c r="C211" s="2" t="s">
        <v>466</v>
      </c>
      <c r="D211" s="3">
        <v>12320</v>
      </c>
      <c r="E211" s="4">
        <v>18</v>
      </c>
      <c r="F211" t="s">
        <v>32</v>
      </c>
      <c r="G211" s="3">
        <f t="shared" si="15"/>
        <v>15024.39</v>
      </c>
      <c r="H211" s="3">
        <v>0</v>
      </c>
      <c r="I211" s="3">
        <f t="shared" si="16"/>
        <v>15024.39</v>
      </c>
      <c r="J211" s="2" t="s">
        <v>27</v>
      </c>
      <c r="K211" s="5">
        <v>46265.583333333343</v>
      </c>
      <c r="L211">
        <v>2</v>
      </c>
      <c r="M211" s="3">
        <f t="shared" si="17"/>
        <v>7512.1949999999997</v>
      </c>
      <c r="N211" t="str">
        <f t="shared" si="18"/>
        <v>ставка</v>
      </c>
      <c r="O211" s="3">
        <f t="shared" si="19"/>
        <v>294.60000000000002</v>
      </c>
      <c r="P211" s="5">
        <v>46267.5</v>
      </c>
      <c r="Q211" t="s">
        <v>32</v>
      </c>
      <c r="R211" s="2" t="s">
        <v>58</v>
      </c>
      <c r="S211">
        <v>24</v>
      </c>
      <c r="T211">
        <v>1</v>
      </c>
    </row>
    <row r="212" spans="1:20" ht="30" x14ac:dyDescent="0.25">
      <c r="A212" t="s">
        <v>467</v>
      </c>
      <c r="B212">
        <v>1</v>
      </c>
      <c r="C212" s="2" t="s">
        <v>468</v>
      </c>
      <c r="D212" s="3">
        <v>6320</v>
      </c>
      <c r="E212" s="4">
        <v>18</v>
      </c>
      <c r="F212" t="s">
        <v>32</v>
      </c>
      <c r="G212" s="3">
        <f t="shared" si="15"/>
        <v>7707.32</v>
      </c>
      <c r="H212" s="3">
        <v>0</v>
      </c>
      <c r="I212" s="3">
        <f t="shared" si="16"/>
        <v>7707.32</v>
      </c>
      <c r="J212" s="2" t="s">
        <v>27</v>
      </c>
      <c r="K212" s="5">
        <v>46230.583333333343</v>
      </c>
      <c r="L212">
        <v>1</v>
      </c>
      <c r="M212" s="3">
        <f t="shared" si="17"/>
        <v>7707.32</v>
      </c>
      <c r="N212" t="str">
        <f t="shared" si="18"/>
        <v>ставка</v>
      </c>
      <c r="O212" s="3">
        <f t="shared" si="19"/>
        <v>151.12</v>
      </c>
      <c r="P212" s="5">
        <v>46231.5</v>
      </c>
      <c r="Q212" t="s">
        <v>32</v>
      </c>
      <c r="R212" s="2" t="s">
        <v>33</v>
      </c>
      <c r="S212">
        <v>47</v>
      </c>
      <c r="T212">
        <v>1</v>
      </c>
    </row>
    <row r="213" spans="1:20" ht="45" x14ac:dyDescent="0.25">
      <c r="A213" t="s">
        <v>469</v>
      </c>
      <c r="B213">
        <v>1</v>
      </c>
      <c r="C213" s="2" t="s">
        <v>470</v>
      </c>
      <c r="D213" s="3">
        <v>9960</v>
      </c>
      <c r="E213" s="4">
        <v>18</v>
      </c>
      <c r="F213" t="s">
        <v>32</v>
      </c>
      <c r="G213" s="3">
        <f t="shared" si="15"/>
        <v>12146.34</v>
      </c>
      <c r="H213" s="3">
        <v>0</v>
      </c>
      <c r="I213" s="3">
        <f t="shared" si="16"/>
        <v>12146.34</v>
      </c>
      <c r="J213" s="2" t="s">
        <v>27</v>
      </c>
      <c r="K213" s="5">
        <v>46267.583333333343</v>
      </c>
      <c r="L213">
        <v>1</v>
      </c>
      <c r="M213" s="3">
        <f t="shared" si="17"/>
        <v>12146.34</v>
      </c>
      <c r="N213" t="str">
        <f t="shared" si="18"/>
        <v>ставка</v>
      </c>
      <c r="O213" s="3">
        <f t="shared" si="19"/>
        <v>238.16</v>
      </c>
      <c r="P213" s="5">
        <v>46268.5</v>
      </c>
      <c r="Q213" t="s">
        <v>32</v>
      </c>
      <c r="R213" s="2" t="s">
        <v>87</v>
      </c>
      <c r="S213">
        <v>51</v>
      </c>
      <c r="T213">
        <v>2</v>
      </c>
    </row>
    <row r="214" spans="1:20" ht="30" x14ac:dyDescent="0.25">
      <c r="A214" t="s">
        <v>471</v>
      </c>
      <c r="B214">
        <v>1</v>
      </c>
      <c r="C214" s="2" t="s">
        <v>470</v>
      </c>
      <c r="D214" s="3">
        <v>10720</v>
      </c>
      <c r="E214" s="4">
        <v>18</v>
      </c>
      <c r="F214" t="s">
        <v>32</v>
      </c>
      <c r="G214" s="3">
        <f t="shared" si="15"/>
        <v>13073.17</v>
      </c>
      <c r="H214" s="3">
        <v>0</v>
      </c>
      <c r="I214" s="3">
        <f t="shared" si="16"/>
        <v>13073.17</v>
      </c>
      <c r="J214" s="2" t="s">
        <v>27</v>
      </c>
      <c r="K214" s="5">
        <v>46294.583333333343</v>
      </c>
      <c r="L214">
        <v>1</v>
      </c>
      <c r="M214" s="3">
        <f t="shared" si="17"/>
        <v>13073.17</v>
      </c>
      <c r="N214" t="str">
        <f t="shared" si="18"/>
        <v>ставка</v>
      </c>
      <c r="O214" s="3">
        <f t="shared" si="19"/>
        <v>256.33999999999997</v>
      </c>
      <c r="P214" s="5">
        <v>46295.5</v>
      </c>
      <c r="Q214" t="s">
        <v>32</v>
      </c>
      <c r="R214" s="2" t="s">
        <v>24</v>
      </c>
      <c r="S214">
        <v>21</v>
      </c>
      <c r="T214">
        <v>1</v>
      </c>
    </row>
    <row r="215" spans="1:20" ht="30" x14ac:dyDescent="0.25">
      <c r="A215" t="s">
        <v>472</v>
      </c>
      <c r="B215">
        <v>1</v>
      </c>
      <c r="C215" s="2" t="s">
        <v>473</v>
      </c>
      <c r="D215" s="3">
        <v>18160</v>
      </c>
      <c r="E215" s="4">
        <v>20</v>
      </c>
      <c r="F215" t="s">
        <v>48</v>
      </c>
      <c r="G215" s="3">
        <f t="shared" si="15"/>
        <v>22700</v>
      </c>
      <c r="H215" s="3">
        <v>0</v>
      </c>
      <c r="I215" s="3">
        <f t="shared" si="16"/>
        <v>22700</v>
      </c>
      <c r="J215" s="2" t="s">
        <v>27</v>
      </c>
      <c r="K215" s="5">
        <v>46287.583333333343</v>
      </c>
      <c r="L215">
        <v>2</v>
      </c>
      <c r="M215" s="3">
        <f t="shared" si="17"/>
        <v>11350</v>
      </c>
      <c r="N215" t="str">
        <f t="shared" si="18"/>
        <v>ставка</v>
      </c>
      <c r="O215" s="3">
        <f t="shared" si="19"/>
        <v>445.1</v>
      </c>
      <c r="P215" s="5">
        <v>46289.5</v>
      </c>
      <c r="Q215" t="s">
        <v>48</v>
      </c>
      <c r="R215" s="2" t="s">
        <v>40</v>
      </c>
      <c r="S215">
        <v>52</v>
      </c>
      <c r="T215">
        <v>2</v>
      </c>
    </row>
    <row r="216" spans="1:20" ht="30" x14ac:dyDescent="0.25">
      <c r="A216" t="s">
        <v>474</v>
      </c>
      <c r="B216">
        <v>1</v>
      </c>
      <c r="C216" s="2" t="s">
        <v>475</v>
      </c>
      <c r="D216" s="3">
        <v>12782</v>
      </c>
      <c r="E216" s="4">
        <v>0</v>
      </c>
      <c r="F216" t="s">
        <v>23</v>
      </c>
      <c r="G216" s="3">
        <f t="shared" si="15"/>
        <v>12782</v>
      </c>
      <c r="H216" s="3">
        <v>0</v>
      </c>
      <c r="I216" s="3">
        <f t="shared" si="16"/>
        <v>12782</v>
      </c>
      <c r="J216" s="2" t="s">
        <v>27</v>
      </c>
      <c r="K216" s="5">
        <v>46241.583333333343</v>
      </c>
      <c r="L216">
        <v>2</v>
      </c>
      <c r="M216" s="3">
        <f t="shared" si="17"/>
        <v>6391</v>
      </c>
      <c r="N216" t="str">
        <f t="shared" si="18"/>
        <v>ставка</v>
      </c>
      <c r="O216" s="3">
        <f t="shared" si="19"/>
        <v>250.63</v>
      </c>
      <c r="P216" s="5">
        <v>46243.5</v>
      </c>
      <c r="Q216" t="s">
        <v>23</v>
      </c>
      <c r="R216" s="2" t="s">
        <v>58</v>
      </c>
      <c r="S216">
        <v>34</v>
      </c>
      <c r="T216">
        <v>1</v>
      </c>
    </row>
    <row r="217" spans="1:20" ht="30" x14ac:dyDescent="0.25">
      <c r="A217" t="s">
        <v>476</v>
      </c>
      <c r="B217">
        <v>1</v>
      </c>
      <c r="C217" s="2" t="s">
        <v>477</v>
      </c>
      <c r="D217" s="3">
        <v>27921</v>
      </c>
      <c r="E217" s="4">
        <v>18</v>
      </c>
      <c r="F217" t="s">
        <v>248</v>
      </c>
      <c r="G217" s="3">
        <f t="shared" si="15"/>
        <v>34050</v>
      </c>
      <c r="H217" s="3">
        <v>9307</v>
      </c>
      <c r="I217" s="3">
        <f t="shared" si="16"/>
        <v>43357</v>
      </c>
      <c r="J217" s="2" t="s">
        <v>478</v>
      </c>
      <c r="K217" s="5">
        <v>46287.291666666657</v>
      </c>
      <c r="L217">
        <v>3</v>
      </c>
      <c r="M217" s="3">
        <f t="shared" si="17"/>
        <v>14452.333333333334</v>
      </c>
      <c r="N217" t="str">
        <f t="shared" si="18"/>
        <v>ставка</v>
      </c>
      <c r="O217" s="3">
        <f t="shared" si="19"/>
        <v>850.14</v>
      </c>
      <c r="P217" s="5">
        <v>46290.5</v>
      </c>
      <c r="Q217" t="s">
        <v>248</v>
      </c>
      <c r="R217" s="2" t="s">
        <v>40</v>
      </c>
      <c r="S217">
        <v>46</v>
      </c>
      <c r="T217">
        <v>1</v>
      </c>
    </row>
    <row r="218" spans="1:20" ht="30" x14ac:dyDescent="0.25">
      <c r="A218" t="s">
        <v>479</v>
      </c>
      <c r="B218">
        <v>1</v>
      </c>
      <c r="C218" s="2" t="s">
        <v>480</v>
      </c>
      <c r="D218" s="3">
        <v>64080</v>
      </c>
      <c r="E218" s="4">
        <v>18</v>
      </c>
      <c r="F218" t="s">
        <v>32</v>
      </c>
      <c r="G218" s="3">
        <f t="shared" si="15"/>
        <v>78146.34</v>
      </c>
      <c r="H218" s="3">
        <v>0</v>
      </c>
      <c r="I218" s="3">
        <f t="shared" si="16"/>
        <v>78146.34</v>
      </c>
      <c r="J218" s="2" t="s">
        <v>27</v>
      </c>
      <c r="K218" s="5">
        <v>46215.583333333343</v>
      </c>
      <c r="L218">
        <v>6</v>
      </c>
      <c r="M218" s="3">
        <f t="shared" si="17"/>
        <v>13024.39</v>
      </c>
      <c r="N218" t="str">
        <f t="shared" si="18"/>
        <v>ставка</v>
      </c>
      <c r="O218" s="3">
        <f t="shared" si="19"/>
        <v>1532.28</v>
      </c>
      <c r="P218" s="5">
        <v>46221.5</v>
      </c>
      <c r="Q218" t="s">
        <v>32</v>
      </c>
      <c r="R218" s="2" t="s">
        <v>40</v>
      </c>
      <c r="S218">
        <v>32</v>
      </c>
      <c r="T218">
        <v>1</v>
      </c>
    </row>
    <row r="219" spans="1:20" ht="30" x14ac:dyDescent="0.25">
      <c r="A219" t="s">
        <v>481</v>
      </c>
      <c r="B219">
        <v>1</v>
      </c>
      <c r="C219" s="2" t="s">
        <v>482</v>
      </c>
      <c r="D219" s="3">
        <v>26180</v>
      </c>
      <c r="E219" s="4">
        <v>15</v>
      </c>
      <c r="F219" t="s">
        <v>52</v>
      </c>
      <c r="G219" s="3">
        <f t="shared" si="15"/>
        <v>30800</v>
      </c>
      <c r="H219" s="3">
        <v>0</v>
      </c>
      <c r="I219" s="3">
        <f t="shared" si="16"/>
        <v>30800</v>
      </c>
      <c r="J219" s="2" t="s">
        <v>27</v>
      </c>
      <c r="K219" s="5">
        <v>46280.916666666657</v>
      </c>
      <c r="L219">
        <v>2</v>
      </c>
      <c r="M219" s="3">
        <f t="shared" si="17"/>
        <v>15400</v>
      </c>
      <c r="N219" t="str">
        <f t="shared" si="18"/>
        <v>ставка</v>
      </c>
      <c r="O219" s="3">
        <f t="shared" si="19"/>
        <v>603.91999999999996</v>
      </c>
      <c r="P219" s="5">
        <v>46282.5</v>
      </c>
      <c r="Q219" t="s">
        <v>52</v>
      </c>
      <c r="R219" s="2" t="s">
        <v>24</v>
      </c>
      <c r="S219">
        <v>31</v>
      </c>
      <c r="T219">
        <v>1</v>
      </c>
    </row>
    <row r="220" spans="1:20" ht="30" x14ac:dyDescent="0.25">
      <c r="A220" t="s">
        <v>483</v>
      </c>
      <c r="B220">
        <v>1</v>
      </c>
      <c r="C220" s="2" t="s">
        <v>484</v>
      </c>
      <c r="D220" s="3">
        <v>6478</v>
      </c>
      <c r="E220" s="4">
        <v>18</v>
      </c>
      <c r="F220" t="s">
        <v>147</v>
      </c>
      <c r="G220" s="3">
        <f t="shared" si="15"/>
        <v>7900</v>
      </c>
      <c r="H220" s="3">
        <v>0</v>
      </c>
      <c r="I220" s="3">
        <f t="shared" si="16"/>
        <v>7900</v>
      </c>
      <c r="J220" s="2" t="s">
        <v>27</v>
      </c>
      <c r="K220" s="5">
        <v>46216.583333333343</v>
      </c>
      <c r="L220">
        <v>1</v>
      </c>
      <c r="M220" s="3">
        <f t="shared" si="17"/>
        <v>7900</v>
      </c>
      <c r="N220" t="str">
        <f t="shared" si="18"/>
        <v>ставка</v>
      </c>
      <c r="O220" s="3">
        <f t="shared" si="19"/>
        <v>154.9</v>
      </c>
      <c r="P220" s="5">
        <v>46217.5</v>
      </c>
      <c r="Q220" t="s">
        <v>147</v>
      </c>
      <c r="R220" s="2" t="s">
        <v>33</v>
      </c>
      <c r="S220">
        <v>47</v>
      </c>
      <c r="T220">
        <v>1</v>
      </c>
    </row>
    <row r="221" spans="1:20" ht="30" x14ac:dyDescent="0.25">
      <c r="A221" t="s">
        <v>485</v>
      </c>
      <c r="B221">
        <v>1</v>
      </c>
      <c r="C221" s="2" t="s">
        <v>486</v>
      </c>
      <c r="D221" s="3">
        <v>28942.5</v>
      </c>
      <c r="E221" s="4">
        <v>15</v>
      </c>
      <c r="F221" t="s">
        <v>487</v>
      </c>
      <c r="G221" s="3">
        <f t="shared" si="15"/>
        <v>34050</v>
      </c>
      <c r="H221" s="3">
        <v>0</v>
      </c>
      <c r="I221" s="3">
        <f t="shared" si="16"/>
        <v>34050</v>
      </c>
      <c r="J221" s="2" t="s">
        <v>27</v>
      </c>
      <c r="K221" s="5">
        <v>46240.583333333343</v>
      </c>
      <c r="L221">
        <v>3</v>
      </c>
      <c r="M221" s="3">
        <f t="shared" si="17"/>
        <v>11350</v>
      </c>
      <c r="N221" t="str">
        <f t="shared" si="18"/>
        <v>ставка</v>
      </c>
      <c r="O221" s="3">
        <f t="shared" si="19"/>
        <v>667.65</v>
      </c>
      <c r="P221" s="5">
        <v>46243.5</v>
      </c>
      <c r="Q221" t="s">
        <v>487</v>
      </c>
      <c r="R221" s="2" t="s">
        <v>40</v>
      </c>
      <c r="S221" s="6"/>
    </row>
    <row r="222" spans="1:20" ht="30" x14ac:dyDescent="0.25">
      <c r="A222" t="s">
        <v>488</v>
      </c>
      <c r="B222">
        <v>1</v>
      </c>
      <c r="C222" s="2" t="s">
        <v>489</v>
      </c>
      <c r="D222" s="3">
        <v>6320</v>
      </c>
      <c r="E222" s="4">
        <v>20</v>
      </c>
      <c r="F222" t="s">
        <v>293</v>
      </c>
      <c r="G222" s="3">
        <f t="shared" si="15"/>
        <v>7900</v>
      </c>
      <c r="H222" s="3">
        <v>0</v>
      </c>
      <c r="I222" s="3">
        <f t="shared" si="16"/>
        <v>7900</v>
      </c>
      <c r="J222" s="2" t="s">
        <v>294</v>
      </c>
      <c r="K222" s="5">
        <v>46231.583333333343</v>
      </c>
      <c r="L222">
        <v>1</v>
      </c>
      <c r="M222" s="3">
        <f t="shared" si="17"/>
        <v>7900</v>
      </c>
      <c r="N222" t="str">
        <f t="shared" si="18"/>
        <v>ставка</v>
      </c>
      <c r="O222" s="3">
        <f t="shared" si="19"/>
        <v>154.9</v>
      </c>
      <c r="P222" s="5">
        <v>46232.5</v>
      </c>
      <c r="Q222" t="s">
        <v>293</v>
      </c>
      <c r="R222" s="2" t="s">
        <v>33</v>
      </c>
      <c r="S222">
        <v>41</v>
      </c>
      <c r="T222">
        <v>1</v>
      </c>
    </row>
    <row r="223" spans="1:20" ht="30" x14ac:dyDescent="0.25">
      <c r="A223" t="s">
        <v>490</v>
      </c>
      <c r="B223">
        <v>1</v>
      </c>
      <c r="C223" s="2" t="s">
        <v>491</v>
      </c>
      <c r="D223" s="3">
        <v>22695</v>
      </c>
      <c r="E223" s="4">
        <v>15</v>
      </c>
      <c r="F223" t="s">
        <v>36</v>
      </c>
      <c r="G223" s="3">
        <f t="shared" si="15"/>
        <v>26700</v>
      </c>
      <c r="H223" s="3">
        <v>0</v>
      </c>
      <c r="I223" s="3">
        <f t="shared" si="16"/>
        <v>26700</v>
      </c>
      <c r="J223" s="2" t="s">
        <v>27</v>
      </c>
      <c r="K223" s="5">
        <v>46226.583333333343</v>
      </c>
      <c r="L223">
        <v>2</v>
      </c>
      <c r="M223" s="3">
        <f t="shared" si="17"/>
        <v>13350</v>
      </c>
      <c r="N223" t="str">
        <f t="shared" si="18"/>
        <v>ставка</v>
      </c>
      <c r="O223" s="3">
        <f t="shared" si="19"/>
        <v>523.53</v>
      </c>
      <c r="P223" s="5">
        <v>46228.5</v>
      </c>
      <c r="Q223" t="s">
        <v>36</v>
      </c>
      <c r="R223" s="2" t="s">
        <v>40</v>
      </c>
      <c r="S223">
        <v>42</v>
      </c>
      <c r="T223">
        <v>1</v>
      </c>
    </row>
    <row r="224" spans="1:20" ht="45" x14ac:dyDescent="0.25">
      <c r="A224" t="s">
        <v>492</v>
      </c>
      <c r="B224">
        <v>1</v>
      </c>
      <c r="C224" s="2" t="s">
        <v>493</v>
      </c>
      <c r="D224" s="3">
        <v>12282.5</v>
      </c>
      <c r="E224" s="4">
        <v>15</v>
      </c>
      <c r="F224" t="s">
        <v>36</v>
      </c>
      <c r="G224" s="3">
        <f t="shared" si="15"/>
        <v>14450</v>
      </c>
      <c r="H224" s="3">
        <v>0</v>
      </c>
      <c r="I224" s="3">
        <f t="shared" si="16"/>
        <v>14450</v>
      </c>
      <c r="J224" s="2" t="s">
        <v>27</v>
      </c>
      <c r="K224" s="5">
        <v>46214.583333333343</v>
      </c>
      <c r="L224">
        <v>1</v>
      </c>
      <c r="M224" s="3">
        <f t="shared" si="17"/>
        <v>14450</v>
      </c>
      <c r="N224" t="str">
        <f t="shared" si="18"/>
        <v>ставка</v>
      </c>
      <c r="O224" s="3">
        <f t="shared" si="19"/>
        <v>283.33</v>
      </c>
      <c r="P224" s="5">
        <v>46215.5</v>
      </c>
      <c r="Q224" t="s">
        <v>36</v>
      </c>
      <c r="R224" s="2" t="s">
        <v>87</v>
      </c>
      <c r="S224">
        <v>50</v>
      </c>
      <c r="T224">
        <v>2</v>
      </c>
    </row>
    <row r="225" spans="1:20" ht="30" x14ac:dyDescent="0.25">
      <c r="A225" t="s">
        <v>494</v>
      </c>
      <c r="B225">
        <v>1</v>
      </c>
      <c r="C225" s="2" t="s">
        <v>495</v>
      </c>
      <c r="D225" s="3">
        <v>36320</v>
      </c>
      <c r="E225" s="4">
        <v>20</v>
      </c>
      <c r="F225" t="s">
        <v>48</v>
      </c>
      <c r="G225" s="3">
        <f t="shared" si="15"/>
        <v>45400</v>
      </c>
      <c r="H225" s="3">
        <v>0</v>
      </c>
      <c r="I225" s="3">
        <f t="shared" si="16"/>
        <v>45400</v>
      </c>
      <c r="J225" s="2" t="s">
        <v>27</v>
      </c>
      <c r="K225" s="5">
        <v>46269.583333333343</v>
      </c>
      <c r="L225">
        <v>4</v>
      </c>
      <c r="M225" s="3">
        <f t="shared" si="17"/>
        <v>11350</v>
      </c>
      <c r="N225" t="str">
        <f t="shared" si="18"/>
        <v>ставка</v>
      </c>
      <c r="O225" s="3">
        <f t="shared" si="19"/>
        <v>890.2</v>
      </c>
      <c r="P225" s="5">
        <v>46273.5</v>
      </c>
      <c r="Q225" t="s">
        <v>48</v>
      </c>
      <c r="R225" s="2" t="s">
        <v>40</v>
      </c>
      <c r="S225">
        <v>58</v>
      </c>
      <c r="T225">
        <v>2</v>
      </c>
    </row>
    <row r="226" spans="1:20" ht="30" x14ac:dyDescent="0.25">
      <c r="A226" t="s">
        <v>496</v>
      </c>
      <c r="B226">
        <v>1</v>
      </c>
      <c r="C226" s="2" t="s">
        <v>497</v>
      </c>
      <c r="D226" s="3">
        <v>47281.5</v>
      </c>
      <c r="E226" s="4">
        <v>4</v>
      </c>
      <c r="F226" t="s">
        <v>55</v>
      </c>
      <c r="G226" s="3">
        <f t="shared" si="15"/>
        <v>49251.56</v>
      </c>
      <c r="H226" s="3">
        <v>0</v>
      </c>
      <c r="I226" s="3">
        <f t="shared" si="16"/>
        <v>49251.56</v>
      </c>
      <c r="J226" s="2" t="s">
        <v>27</v>
      </c>
      <c r="K226" s="5">
        <v>46258.583333333343</v>
      </c>
      <c r="L226">
        <v>6</v>
      </c>
      <c r="M226" s="3">
        <f t="shared" si="17"/>
        <v>8208.5933333333323</v>
      </c>
      <c r="N226" t="str">
        <f t="shared" si="18"/>
        <v>ставка</v>
      </c>
      <c r="O226" s="3">
        <f t="shared" si="19"/>
        <v>965.72</v>
      </c>
      <c r="P226" s="5">
        <v>46264.5</v>
      </c>
      <c r="Q226" t="s">
        <v>55</v>
      </c>
      <c r="R226" s="2" t="s">
        <v>33</v>
      </c>
      <c r="S226">
        <v>43</v>
      </c>
      <c r="T226">
        <v>1</v>
      </c>
    </row>
    <row r="227" spans="1:20" ht="30" x14ac:dyDescent="0.25">
      <c r="A227" t="s">
        <v>498</v>
      </c>
      <c r="B227">
        <v>1</v>
      </c>
      <c r="C227" s="2" t="s">
        <v>499</v>
      </c>
      <c r="D227" s="3">
        <v>61625</v>
      </c>
      <c r="E227" s="4">
        <v>0</v>
      </c>
      <c r="F227" t="s">
        <v>180</v>
      </c>
      <c r="G227" s="3">
        <f t="shared" si="15"/>
        <v>61625</v>
      </c>
      <c r="H227" s="3">
        <v>0</v>
      </c>
      <c r="I227" s="3">
        <f t="shared" si="16"/>
        <v>61625</v>
      </c>
      <c r="J227" s="2" t="s">
        <v>181</v>
      </c>
      <c r="K227" s="5">
        <v>46294.583333333343</v>
      </c>
      <c r="L227">
        <v>6</v>
      </c>
      <c r="M227" s="3">
        <f t="shared" si="17"/>
        <v>10270.833333333334</v>
      </c>
      <c r="N227" t="str">
        <f t="shared" si="18"/>
        <v>ставка</v>
      </c>
      <c r="O227" s="3">
        <f t="shared" si="19"/>
        <v>1208.33</v>
      </c>
      <c r="P227" s="5">
        <v>46300.5</v>
      </c>
      <c r="Q227" t="s">
        <v>180</v>
      </c>
      <c r="R227" s="2" t="s">
        <v>40</v>
      </c>
      <c r="S227">
        <v>52</v>
      </c>
      <c r="T227">
        <v>2</v>
      </c>
    </row>
    <row r="228" spans="1:20" ht="30" x14ac:dyDescent="0.25">
      <c r="A228" t="s">
        <v>500</v>
      </c>
      <c r="B228">
        <v>1</v>
      </c>
      <c r="C228" s="2" t="s">
        <v>501</v>
      </c>
      <c r="D228" s="3">
        <v>8900</v>
      </c>
      <c r="E228" s="4">
        <v>0</v>
      </c>
      <c r="F228" t="s">
        <v>23</v>
      </c>
      <c r="G228" s="3">
        <f t="shared" si="15"/>
        <v>8900</v>
      </c>
      <c r="H228" s="3">
        <v>0</v>
      </c>
      <c r="I228" s="3">
        <f t="shared" si="16"/>
        <v>8900</v>
      </c>
      <c r="J228" s="2" t="s">
        <v>27</v>
      </c>
      <c r="K228" s="5">
        <v>46231.583333333343</v>
      </c>
      <c r="L228">
        <v>1</v>
      </c>
      <c r="M228" s="3">
        <f t="shared" si="17"/>
        <v>8900</v>
      </c>
      <c r="N228" t="str">
        <f t="shared" si="18"/>
        <v>ставка</v>
      </c>
      <c r="O228" s="3">
        <f t="shared" si="19"/>
        <v>174.51</v>
      </c>
      <c r="P228" s="5">
        <v>46232.5</v>
      </c>
      <c r="Q228" t="s">
        <v>23</v>
      </c>
      <c r="R228" s="2" t="s">
        <v>40</v>
      </c>
      <c r="S228">
        <v>23</v>
      </c>
      <c r="T228">
        <v>1</v>
      </c>
    </row>
    <row r="229" spans="1:20" ht="45" x14ac:dyDescent="0.25">
      <c r="A229" t="s">
        <v>502</v>
      </c>
      <c r="B229">
        <v>1</v>
      </c>
      <c r="C229" s="2" t="s">
        <v>503</v>
      </c>
      <c r="D229" s="3">
        <v>14002.05</v>
      </c>
      <c r="E229" s="4">
        <v>4</v>
      </c>
      <c r="F229" t="s">
        <v>55</v>
      </c>
      <c r="G229" s="3">
        <f t="shared" si="15"/>
        <v>14585.47</v>
      </c>
      <c r="H229" s="3">
        <v>0</v>
      </c>
      <c r="I229" s="3">
        <f t="shared" si="16"/>
        <v>14585.47</v>
      </c>
      <c r="J229" s="2" t="s">
        <v>27</v>
      </c>
      <c r="K229" s="5">
        <v>46290.583333333343</v>
      </c>
      <c r="L229">
        <v>1</v>
      </c>
      <c r="M229" s="3">
        <f t="shared" si="17"/>
        <v>14585.47</v>
      </c>
      <c r="N229" t="str">
        <f t="shared" si="18"/>
        <v>ставка</v>
      </c>
      <c r="O229" s="3">
        <f t="shared" si="19"/>
        <v>285.99</v>
      </c>
      <c r="P229" s="5">
        <v>46291.5</v>
      </c>
      <c r="Q229" t="s">
        <v>55</v>
      </c>
      <c r="R229" s="2" t="s">
        <v>87</v>
      </c>
      <c r="S229">
        <v>51</v>
      </c>
      <c r="T229">
        <v>2</v>
      </c>
    </row>
    <row r="230" spans="1:20" ht="30" x14ac:dyDescent="0.25">
      <c r="A230" t="s">
        <v>504</v>
      </c>
      <c r="B230">
        <v>1</v>
      </c>
      <c r="C230" s="2" t="s">
        <v>505</v>
      </c>
      <c r="D230" s="3">
        <v>8217</v>
      </c>
      <c r="E230" s="4">
        <v>18</v>
      </c>
      <c r="F230" t="s">
        <v>32</v>
      </c>
      <c r="G230" s="3">
        <f t="shared" si="15"/>
        <v>10020.73</v>
      </c>
      <c r="H230" s="3">
        <v>0</v>
      </c>
      <c r="I230" s="3">
        <f t="shared" si="16"/>
        <v>10020.73</v>
      </c>
      <c r="J230" s="2" t="s">
        <v>27</v>
      </c>
      <c r="K230" s="5">
        <v>46241.583333333343</v>
      </c>
      <c r="L230">
        <v>1</v>
      </c>
      <c r="M230" s="3">
        <f t="shared" si="17"/>
        <v>10020.73</v>
      </c>
      <c r="N230" t="str">
        <f t="shared" si="18"/>
        <v>ставка</v>
      </c>
      <c r="O230" s="3">
        <f t="shared" si="19"/>
        <v>196.48</v>
      </c>
      <c r="P230" s="5">
        <v>46242.5</v>
      </c>
      <c r="Q230" t="s">
        <v>32</v>
      </c>
      <c r="R230" s="2" t="s">
        <v>33</v>
      </c>
      <c r="S230">
        <v>41</v>
      </c>
      <c r="T230">
        <v>1</v>
      </c>
    </row>
    <row r="231" spans="1:20" ht="30" x14ac:dyDescent="0.25">
      <c r="A231" t="s">
        <v>506</v>
      </c>
      <c r="B231">
        <v>1</v>
      </c>
      <c r="C231" s="2" t="s">
        <v>507</v>
      </c>
      <c r="D231" s="3">
        <v>6764</v>
      </c>
      <c r="E231" s="4">
        <v>17</v>
      </c>
      <c r="F231" t="s">
        <v>130</v>
      </c>
      <c r="G231" s="3">
        <f t="shared" si="15"/>
        <v>8149.4</v>
      </c>
      <c r="H231" s="3">
        <v>0</v>
      </c>
      <c r="I231" s="3">
        <f t="shared" si="16"/>
        <v>8149.4</v>
      </c>
      <c r="J231" s="2" t="s">
        <v>27</v>
      </c>
      <c r="K231" s="5">
        <v>46255.583333333343</v>
      </c>
      <c r="L231">
        <v>1</v>
      </c>
      <c r="M231" s="3">
        <f t="shared" si="17"/>
        <v>8149.4</v>
      </c>
      <c r="N231" t="str">
        <f t="shared" si="18"/>
        <v>ставка</v>
      </c>
      <c r="O231" s="3">
        <f t="shared" si="19"/>
        <v>159.79</v>
      </c>
      <c r="P231" s="5">
        <v>46256.5</v>
      </c>
      <c r="Q231" t="s">
        <v>130</v>
      </c>
      <c r="R231" s="2" t="s">
        <v>33</v>
      </c>
      <c r="S231">
        <v>43</v>
      </c>
      <c r="T231">
        <v>1</v>
      </c>
    </row>
    <row r="232" spans="1:20" ht="30" x14ac:dyDescent="0.25">
      <c r="A232" t="s">
        <v>508</v>
      </c>
      <c r="B232">
        <v>1</v>
      </c>
      <c r="C232" s="2" t="s">
        <v>507</v>
      </c>
      <c r="D232" s="3">
        <v>6557</v>
      </c>
      <c r="E232" s="4">
        <v>17</v>
      </c>
      <c r="F232" t="s">
        <v>130</v>
      </c>
      <c r="G232" s="3">
        <f t="shared" si="15"/>
        <v>7900</v>
      </c>
      <c r="H232" s="3">
        <v>0</v>
      </c>
      <c r="I232" s="3">
        <f t="shared" si="16"/>
        <v>7900</v>
      </c>
      <c r="J232" s="2" t="s">
        <v>27</v>
      </c>
      <c r="K232" s="5">
        <v>46256.583333333343</v>
      </c>
      <c r="L232">
        <v>1</v>
      </c>
      <c r="M232" s="3">
        <f t="shared" si="17"/>
        <v>7900</v>
      </c>
      <c r="N232" t="str">
        <f t="shared" si="18"/>
        <v>ставка</v>
      </c>
      <c r="O232" s="3">
        <f t="shared" si="19"/>
        <v>154.9</v>
      </c>
      <c r="P232" s="5">
        <v>46257.5</v>
      </c>
      <c r="Q232" t="s">
        <v>130</v>
      </c>
      <c r="R232" s="2" t="s">
        <v>33</v>
      </c>
      <c r="S232">
        <v>43</v>
      </c>
      <c r="T232">
        <v>1</v>
      </c>
    </row>
    <row r="233" spans="1:20" ht="30" x14ac:dyDescent="0.25">
      <c r="A233" t="s">
        <v>509</v>
      </c>
      <c r="B233">
        <v>1</v>
      </c>
      <c r="C233" s="2" t="s">
        <v>510</v>
      </c>
      <c r="D233" s="3">
        <v>11680</v>
      </c>
      <c r="E233" s="4">
        <v>20</v>
      </c>
      <c r="F233" t="s">
        <v>103</v>
      </c>
      <c r="G233" s="3">
        <f t="shared" si="15"/>
        <v>14600</v>
      </c>
      <c r="H233" s="3">
        <v>0</v>
      </c>
      <c r="I233" s="3">
        <f t="shared" si="16"/>
        <v>14600</v>
      </c>
      <c r="J233" s="2" t="s">
        <v>27</v>
      </c>
      <c r="K233" s="5">
        <v>46295.583333333343</v>
      </c>
      <c r="L233">
        <v>2</v>
      </c>
      <c r="M233" s="3">
        <f t="shared" si="17"/>
        <v>7300</v>
      </c>
      <c r="N233" t="str">
        <f t="shared" si="18"/>
        <v>ставка</v>
      </c>
      <c r="O233" s="3">
        <f t="shared" si="19"/>
        <v>286.27</v>
      </c>
      <c r="P233" s="5">
        <v>46297.5</v>
      </c>
      <c r="Q233" t="s">
        <v>103</v>
      </c>
      <c r="R233" s="2" t="s">
        <v>58</v>
      </c>
      <c r="S233">
        <v>34</v>
      </c>
      <c r="T233">
        <v>1</v>
      </c>
    </row>
    <row r="234" spans="1:20" ht="30" x14ac:dyDescent="0.25">
      <c r="A234" t="s">
        <v>511</v>
      </c>
      <c r="B234">
        <v>1</v>
      </c>
      <c r="C234" s="2" t="s">
        <v>512</v>
      </c>
      <c r="D234" s="3">
        <v>21945</v>
      </c>
      <c r="E234" s="4">
        <v>18</v>
      </c>
      <c r="F234" t="s">
        <v>32</v>
      </c>
      <c r="G234" s="3">
        <f t="shared" si="15"/>
        <v>26762.2</v>
      </c>
      <c r="H234" s="3">
        <v>0</v>
      </c>
      <c r="I234" s="3">
        <f t="shared" si="16"/>
        <v>26762.2</v>
      </c>
      <c r="J234" s="2" t="s">
        <v>27</v>
      </c>
      <c r="K234" s="5">
        <v>46287.583333333343</v>
      </c>
      <c r="L234">
        <v>2</v>
      </c>
      <c r="M234" s="3">
        <f t="shared" si="17"/>
        <v>13381.1</v>
      </c>
      <c r="N234" t="str">
        <f t="shared" si="18"/>
        <v>ставка</v>
      </c>
      <c r="O234" s="3">
        <f t="shared" si="19"/>
        <v>524.75</v>
      </c>
      <c r="P234" s="5">
        <v>46289.5</v>
      </c>
      <c r="Q234" t="s">
        <v>32</v>
      </c>
      <c r="R234" s="2" t="s">
        <v>24</v>
      </c>
      <c r="S234">
        <v>21</v>
      </c>
      <c r="T234">
        <v>1</v>
      </c>
    </row>
    <row r="235" spans="1:20" ht="30" x14ac:dyDescent="0.25">
      <c r="A235" t="s">
        <v>513</v>
      </c>
      <c r="B235">
        <v>1</v>
      </c>
      <c r="C235" s="2" t="s">
        <v>514</v>
      </c>
      <c r="D235" s="3">
        <v>40584</v>
      </c>
      <c r="E235" s="4">
        <v>18</v>
      </c>
      <c r="F235" t="s">
        <v>32</v>
      </c>
      <c r="G235" s="3">
        <f t="shared" si="15"/>
        <v>49492.68</v>
      </c>
      <c r="H235" s="3">
        <v>0</v>
      </c>
      <c r="I235" s="3">
        <f t="shared" si="16"/>
        <v>49492.68</v>
      </c>
      <c r="J235" s="2" t="s">
        <v>27</v>
      </c>
      <c r="K235" s="5">
        <v>46230.583333333343</v>
      </c>
      <c r="L235">
        <v>4</v>
      </c>
      <c r="M235" s="3">
        <f t="shared" si="17"/>
        <v>12373.17</v>
      </c>
      <c r="N235" t="str">
        <f t="shared" si="18"/>
        <v>ставка</v>
      </c>
      <c r="O235" s="3">
        <f t="shared" si="19"/>
        <v>970.44</v>
      </c>
      <c r="P235" s="5">
        <v>46234.5</v>
      </c>
      <c r="Q235" t="s">
        <v>32</v>
      </c>
      <c r="R235" s="2" t="s">
        <v>40</v>
      </c>
      <c r="S235">
        <v>36</v>
      </c>
      <c r="T235">
        <v>1</v>
      </c>
    </row>
    <row r="236" spans="1:20" ht="30" x14ac:dyDescent="0.25">
      <c r="A236" t="s">
        <v>515</v>
      </c>
      <c r="B236">
        <v>1</v>
      </c>
      <c r="C236" s="2" t="s">
        <v>516</v>
      </c>
      <c r="D236" s="3">
        <v>124679.75</v>
      </c>
      <c r="E236" s="4">
        <v>4</v>
      </c>
      <c r="F236" t="s">
        <v>55</v>
      </c>
      <c r="G236" s="3">
        <f t="shared" si="15"/>
        <v>129874.74</v>
      </c>
      <c r="H236" s="3">
        <v>2640</v>
      </c>
      <c r="I236" s="3">
        <f t="shared" si="16"/>
        <v>132514.74</v>
      </c>
      <c r="J236" s="2" t="s">
        <v>517</v>
      </c>
      <c r="K236" s="5">
        <v>46237.583333333343</v>
      </c>
      <c r="L236">
        <v>11</v>
      </c>
      <c r="M236" s="3">
        <f t="shared" si="17"/>
        <v>12046.794545454544</v>
      </c>
      <c r="N236" t="str">
        <f t="shared" si="18"/>
        <v>ставка</v>
      </c>
      <c r="O236" s="3">
        <f t="shared" si="19"/>
        <v>2598.33</v>
      </c>
      <c r="P236" s="5">
        <v>46248.5</v>
      </c>
      <c r="Q236" t="s">
        <v>55</v>
      </c>
      <c r="R236" s="2" t="s">
        <v>40</v>
      </c>
      <c r="S236">
        <v>55</v>
      </c>
      <c r="T236">
        <v>2</v>
      </c>
    </row>
    <row r="237" spans="1:20" ht="30" x14ac:dyDescent="0.25">
      <c r="A237" t="s">
        <v>518</v>
      </c>
      <c r="B237">
        <v>1</v>
      </c>
      <c r="C237" s="2" t="s">
        <v>519</v>
      </c>
      <c r="D237" s="3">
        <v>21360</v>
      </c>
      <c r="E237" s="4">
        <v>20</v>
      </c>
      <c r="F237" t="s">
        <v>48</v>
      </c>
      <c r="G237" s="3">
        <f t="shared" si="15"/>
        <v>26700</v>
      </c>
      <c r="H237" s="3">
        <v>0</v>
      </c>
      <c r="I237" s="3">
        <f t="shared" si="16"/>
        <v>26700</v>
      </c>
      <c r="J237" s="2" t="s">
        <v>27</v>
      </c>
      <c r="K237" s="5">
        <v>46262.583333333343</v>
      </c>
      <c r="L237">
        <v>2</v>
      </c>
      <c r="M237" s="3">
        <f t="shared" si="17"/>
        <v>13350</v>
      </c>
      <c r="N237" t="str">
        <f t="shared" si="18"/>
        <v>ставка</v>
      </c>
      <c r="O237" s="3">
        <f t="shared" si="19"/>
        <v>523.53</v>
      </c>
      <c r="P237" s="5">
        <v>46264.5</v>
      </c>
      <c r="Q237" t="s">
        <v>48</v>
      </c>
      <c r="R237" s="2" t="s">
        <v>40</v>
      </c>
      <c r="S237">
        <v>22</v>
      </c>
      <c r="T237">
        <v>1</v>
      </c>
    </row>
    <row r="238" spans="1:20" ht="30" x14ac:dyDescent="0.25">
      <c r="A238" t="s">
        <v>520</v>
      </c>
      <c r="B238">
        <v>1</v>
      </c>
      <c r="C238" s="2" t="s">
        <v>521</v>
      </c>
      <c r="D238" s="3">
        <v>17248.2</v>
      </c>
      <c r="E238" s="4">
        <v>4</v>
      </c>
      <c r="F238" t="s">
        <v>55</v>
      </c>
      <c r="G238" s="3">
        <f t="shared" si="15"/>
        <v>17966.88</v>
      </c>
      <c r="H238" s="3">
        <v>0</v>
      </c>
      <c r="I238" s="3">
        <f t="shared" si="16"/>
        <v>17966.88</v>
      </c>
      <c r="J238" s="2" t="s">
        <v>27</v>
      </c>
      <c r="K238" s="5">
        <v>46283.583333333343</v>
      </c>
      <c r="L238">
        <v>1</v>
      </c>
      <c r="M238" s="3">
        <f t="shared" si="17"/>
        <v>17966.88</v>
      </c>
      <c r="N238" t="str">
        <f t="shared" si="18"/>
        <v>ставка</v>
      </c>
      <c r="O238" s="3">
        <f t="shared" si="19"/>
        <v>352.29</v>
      </c>
      <c r="P238" s="5">
        <v>46284.5</v>
      </c>
      <c r="Q238" t="s">
        <v>55</v>
      </c>
      <c r="R238" s="2" t="s">
        <v>45</v>
      </c>
      <c r="S238">
        <v>53</v>
      </c>
      <c r="T238">
        <v>2</v>
      </c>
    </row>
    <row r="239" spans="1:20" ht="30" x14ac:dyDescent="0.25">
      <c r="A239" t="s">
        <v>522</v>
      </c>
      <c r="B239">
        <v>1</v>
      </c>
      <c r="C239" s="2" t="s">
        <v>523</v>
      </c>
      <c r="D239" s="3">
        <v>8217</v>
      </c>
      <c r="E239" s="4">
        <v>17</v>
      </c>
      <c r="F239" t="s">
        <v>173</v>
      </c>
      <c r="G239" s="3">
        <f t="shared" si="15"/>
        <v>9900</v>
      </c>
      <c r="H239" s="3">
        <v>0</v>
      </c>
      <c r="I239" s="3">
        <f t="shared" si="16"/>
        <v>9900</v>
      </c>
      <c r="J239" s="2" t="s">
        <v>27</v>
      </c>
      <c r="K239" s="5">
        <v>46230.583333333343</v>
      </c>
      <c r="L239">
        <v>1</v>
      </c>
      <c r="M239" s="3">
        <f t="shared" si="17"/>
        <v>9900</v>
      </c>
      <c r="N239" t="str">
        <f t="shared" si="18"/>
        <v>ставка</v>
      </c>
      <c r="O239" s="3">
        <f t="shared" si="19"/>
        <v>194.12</v>
      </c>
      <c r="P239" s="5">
        <v>46231.5</v>
      </c>
      <c r="Q239" t="s">
        <v>173</v>
      </c>
      <c r="R239" s="2" t="s">
        <v>33</v>
      </c>
      <c r="S239">
        <v>41</v>
      </c>
      <c r="T239">
        <v>1</v>
      </c>
    </row>
    <row r="240" spans="1:20" ht="30" x14ac:dyDescent="0.25">
      <c r="A240" t="s">
        <v>524</v>
      </c>
      <c r="B240">
        <v>1</v>
      </c>
      <c r="C240" s="2" t="s">
        <v>525</v>
      </c>
      <c r="D240" s="3">
        <v>12015</v>
      </c>
      <c r="E240" s="4">
        <v>0</v>
      </c>
      <c r="F240" t="s">
        <v>23</v>
      </c>
      <c r="G240" s="3">
        <f t="shared" si="15"/>
        <v>12015</v>
      </c>
      <c r="H240" s="3">
        <v>0</v>
      </c>
      <c r="I240" s="3">
        <f t="shared" si="16"/>
        <v>12015</v>
      </c>
      <c r="J240" s="2" t="s">
        <v>27</v>
      </c>
      <c r="K240" s="5">
        <v>46263.583333333343</v>
      </c>
      <c r="L240">
        <v>1</v>
      </c>
      <c r="M240" s="3">
        <f t="shared" si="17"/>
        <v>12015</v>
      </c>
      <c r="N240" t="str">
        <f t="shared" si="18"/>
        <v>ставка</v>
      </c>
      <c r="O240" s="3">
        <f t="shared" si="19"/>
        <v>235.59</v>
      </c>
      <c r="P240" s="5">
        <v>46264.5</v>
      </c>
      <c r="Q240" t="s">
        <v>23</v>
      </c>
      <c r="R240" s="2" t="s">
        <v>40</v>
      </c>
      <c r="S240">
        <v>36</v>
      </c>
      <c r="T240">
        <v>1</v>
      </c>
    </row>
    <row r="241" spans="1:20" ht="30" x14ac:dyDescent="0.25">
      <c r="A241" t="s">
        <v>526</v>
      </c>
      <c r="B241">
        <v>1</v>
      </c>
      <c r="C241" s="2" t="s">
        <v>527</v>
      </c>
      <c r="D241" s="3">
        <v>21360</v>
      </c>
      <c r="E241" s="4">
        <v>18</v>
      </c>
      <c r="F241" t="s">
        <v>32</v>
      </c>
      <c r="G241" s="3">
        <f t="shared" si="15"/>
        <v>26048.78</v>
      </c>
      <c r="H241" s="3">
        <v>0</v>
      </c>
      <c r="I241" s="3">
        <f t="shared" si="16"/>
        <v>26048.78</v>
      </c>
      <c r="J241" s="2" t="s">
        <v>27</v>
      </c>
      <c r="K241" s="5">
        <v>46220.583333333343</v>
      </c>
      <c r="L241">
        <v>2</v>
      </c>
      <c r="M241" s="3">
        <f t="shared" si="17"/>
        <v>13024.39</v>
      </c>
      <c r="N241" t="str">
        <f t="shared" si="18"/>
        <v>ставка</v>
      </c>
      <c r="O241" s="3">
        <f t="shared" si="19"/>
        <v>510.76</v>
      </c>
      <c r="P241" s="5">
        <v>46222.5</v>
      </c>
      <c r="Q241" t="s">
        <v>32</v>
      </c>
      <c r="R241" s="2" t="s">
        <v>40</v>
      </c>
      <c r="S241">
        <v>58</v>
      </c>
      <c r="T241">
        <v>2</v>
      </c>
    </row>
    <row r="242" spans="1:20" x14ac:dyDescent="0.25">
      <c r="A242" t="s">
        <v>528</v>
      </c>
      <c r="B242">
        <v>1</v>
      </c>
      <c r="C242" s="2" t="s">
        <v>529</v>
      </c>
      <c r="D242" s="3">
        <v>33000</v>
      </c>
      <c r="E242" s="4">
        <v>0</v>
      </c>
      <c r="F242" t="s">
        <v>23</v>
      </c>
      <c r="G242" s="3">
        <f t="shared" si="15"/>
        <v>33000</v>
      </c>
      <c r="H242" s="3">
        <v>0</v>
      </c>
      <c r="I242" s="3">
        <f t="shared" si="16"/>
        <v>33000</v>
      </c>
      <c r="J242" s="2" t="s">
        <v>27</v>
      </c>
      <c r="K242" s="5">
        <v>46233.583333333343</v>
      </c>
      <c r="L242">
        <v>2</v>
      </c>
      <c r="M242" s="3">
        <f t="shared" si="17"/>
        <v>16500</v>
      </c>
      <c r="N242" t="str">
        <f t="shared" si="18"/>
        <v>ставка</v>
      </c>
      <c r="O242" s="3">
        <f t="shared" si="19"/>
        <v>647.05999999999995</v>
      </c>
      <c r="P242" s="5">
        <v>46235.5</v>
      </c>
      <c r="Q242" t="s">
        <v>23</v>
      </c>
      <c r="R242" s="2" t="s">
        <v>49</v>
      </c>
      <c r="S242">
        <v>25</v>
      </c>
      <c r="T242">
        <v>1</v>
      </c>
    </row>
    <row r="243" spans="1:20" x14ac:dyDescent="0.25">
      <c r="A243" t="s">
        <v>530</v>
      </c>
      <c r="B243">
        <v>1</v>
      </c>
      <c r="C243" s="2" t="s">
        <v>531</v>
      </c>
      <c r="D243" s="3">
        <v>20000</v>
      </c>
      <c r="E243" s="4">
        <v>20</v>
      </c>
      <c r="F243" t="s">
        <v>173</v>
      </c>
      <c r="G243" s="3">
        <f t="shared" si="15"/>
        <v>25000</v>
      </c>
      <c r="H243" s="3">
        <v>0</v>
      </c>
      <c r="I243" s="3">
        <f t="shared" si="16"/>
        <v>25000</v>
      </c>
      <c r="J243" s="2"/>
      <c r="K243" s="5">
        <v>46276.583333333343</v>
      </c>
      <c r="L243">
        <v>2</v>
      </c>
      <c r="M243" s="3">
        <f t="shared" si="17"/>
        <v>12500</v>
      </c>
      <c r="N243" t="str">
        <f t="shared" si="18"/>
        <v>ставка</v>
      </c>
      <c r="O243" s="3">
        <f t="shared" si="19"/>
        <v>490.2</v>
      </c>
      <c r="P243" s="5">
        <v>46278.5</v>
      </c>
      <c r="Q243" t="s">
        <v>173</v>
      </c>
      <c r="R243" s="2" t="s">
        <v>45</v>
      </c>
      <c r="S243">
        <v>57</v>
      </c>
      <c r="T243">
        <v>2</v>
      </c>
    </row>
    <row r="244" spans="1:20" ht="30" x14ac:dyDescent="0.25">
      <c r="A244" t="s">
        <v>532</v>
      </c>
      <c r="B244">
        <v>1</v>
      </c>
      <c r="C244" s="2" t="s">
        <v>533</v>
      </c>
      <c r="D244" s="3">
        <v>6636</v>
      </c>
      <c r="E244" s="4">
        <v>16</v>
      </c>
      <c r="F244" t="s">
        <v>36</v>
      </c>
      <c r="G244" s="3">
        <f t="shared" si="15"/>
        <v>7900</v>
      </c>
      <c r="H244" s="3">
        <v>0</v>
      </c>
      <c r="I244" s="3">
        <f t="shared" si="16"/>
        <v>7900</v>
      </c>
      <c r="J244" s="2" t="s">
        <v>27</v>
      </c>
      <c r="K244" s="5">
        <v>46264.583333333343</v>
      </c>
      <c r="L244">
        <v>1</v>
      </c>
      <c r="M244" s="3">
        <f t="shared" si="17"/>
        <v>7900</v>
      </c>
      <c r="N244" t="str">
        <f t="shared" si="18"/>
        <v>ставка</v>
      </c>
      <c r="O244" s="3">
        <f t="shared" si="19"/>
        <v>154.9</v>
      </c>
      <c r="P244" s="5">
        <v>46265.5</v>
      </c>
      <c r="Q244" t="s">
        <v>36</v>
      </c>
      <c r="R244" s="2" t="s">
        <v>40</v>
      </c>
      <c r="S244">
        <v>36</v>
      </c>
      <c r="T244">
        <v>1</v>
      </c>
    </row>
    <row r="245" spans="1:20" ht="30" x14ac:dyDescent="0.25">
      <c r="A245" t="s">
        <v>534</v>
      </c>
      <c r="B245">
        <v>1</v>
      </c>
      <c r="C245" s="2" t="s">
        <v>535</v>
      </c>
      <c r="D245" s="3">
        <v>11122</v>
      </c>
      <c r="E245" s="4">
        <v>18</v>
      </c>
      <c r="F245" t="s">
        <v>32</v>
      </c>
      <c r="G245" s="3">
        <f t="shared" si="15"/>
        <v>13563.41</v>
      </c>
      <c r="H245" s="3">
        <v>2560</v>
      </c>
      <c r="I245" s="3">
        <f t="shared" si="16"/>
        <v>16123.41</v>
      </c>
      <c r="J245" s="2" t="s">
        <v>536</v>
      </c>
      <c r="K245" s="5">
        <v>46264.583333333343</v>
      </c>
      <c r="L245">
        <v>1</v>
      </c>
      <c r="M245" s="3">
        <f t="shared" si="17"/>
        <v>16123.41</v>
      </c>
      <c r="N245" t="str">
        <f t="shared" si="18"/>
        <v>ставка</v>
      </c>
      <c r="O245" s="3">
        <f t="shared" si="19"/>
        <v>316.14999999999998</v>
      </c>
      <c r="P245" s="5">
        <v>46265.666666666657</v>
      </c>
      <c r="Q245" t="s">
        <v>32</v>
      </c>
      <c r="R245" s="2" t="s">
        <v>45</v>
      </c>
      <c r="S245">
        <v>53</v>
      </c>
      <c r="T245">
        <v>2</v>
      </c>
    </row>
    <row r="246" spans="1:20" x14ac:dyDescent="0.25">
      <c r="A246" t="s">
        <v>537</v>
      </c>
      <c r="B246">
        <v>1</v>
      </c>
      <c r="C246" s="2" t="s">
        <v>538</v>
      </c>
      <c r="D246" s="3">
        <v>32752.5</v>
      </c>
      <c r="E246" s="4">
        <v>4</v>
      </c>
      <c r="F246" t="s">
        <v>55</v>
      </c>
      <c r="G246" s="3">
        <f t="shared" si="15"/>
        <v>34117.19</v>
      </c>
      <c r="H246" s="3">
        <v>0</v>
      </c>
      <c r="I246" s="3">
        <f t="shared" si="16"/>
        <v>34117.19</v>
      </c>
      <c r="J246" s="2" t="s">
        <v>27</v>
      </c>
      <c r="K246" s="5">
        <v>46250.583333333343</v>
      </c>
      <c r="L246">
        <v>2</v>
      </c>
      <c r="M246" s="3">
        <f t="shared" si="17"/>
        <v>17058.595000000001</v>
      </c>
      <c r="N246" t="str">
        <f t="shared" si="18"/>
        <v>ставка</v>
      </c>
      <c r="O246" s="3">
        <f t="shared" si="19"/>
        <v>668.96</v>
      </c>
      <c r="P246" s="5">
        <v>46252.5</v>
      </c>
      <c r="Q246" t="s">
        <v>55</v>
      </c>
      <c r="R246" s="2" t="s">
        <v>49</v>
      </c>
      <c r="S246">
        <v>25</v>
      </c>
      <c r="T246">
        <v>1</v>
      </c>
    </row>
    <row r="247" spans="1:20" ht="45" x14ac:dyDescent="0.25">
      <c r="A247" t="s">
        <v>539</v>
      </c>
      <c r="B247">
        <v>1</v>
      </c>
      <c r="C247" s="2" t="s">
        <v>540</v>
      </c>
      <c r="D247" s="3">
        <v>5880</v>
      </c>
      <c r="E247" s="4">
        <v>18</v>
      </c>
      <c r="F247" t="s">
        <v>32</v>
      </c>
      <c r="G247" s="3">
        <f t="shared" si="15"/>
        <v>7170.73</v>
      </c>
      <c r="H247" s="3">
        <v>0</v>
      </c>
      <c r="I247" s="3">
        <f t="shared" si="16"/>
        <v>7170.73</v>
      </c>
      <c r="J247" s="2"/>
      <c r="K247" s="5">
        <v>46206.583333333343</v>
      </c>
      <c r="L247">
        <v>1</v>
      </c>
      <c r="M247" s="3">
        <f t="shared" si="17"/>
        <v>7170.73</v>
      </c>
      <c r="N247" t="str">
        <f t="shared" si="18"/>
        <v>ставка</v>
      </c>
      <c r="O247" s="3">
        <f t="shared" si="19"/>
        <v>140.6</v>
      </c>
      <c r="P247" s="5">
        <v>46207.5</v>
      </c>
      <c r="Q247" t="s">
        <v>32</v>
      </c>
      <c r="R247" s="2" t="s">
        <v>87</v>
      </c>
      <c r="S247">
        <v>51</v>
      </c>
      <c r="T247">
        <v>2</v>
      </c>
    </row>
    <row r="248" spans="1:20" ht="30" x14ac:dyDescent="0.25">
      <c r="A248" t="s">
        <v>541</v>
      </c>
      <c r="B248">
        <v>1</v>
      </c>
      <c r="C248" s="2" t="s">
        <v>542</v>
      </c>
      <c r="D248" s="3">
        <v>32160</v>
      </c>
      <c r="E248" s="4">
        <v>20</v>
      </c>
      <c r="F248" t="s">
        <v>293</v>
      </c>
      <c r="G248" s="3">
        <f t="shared" si="15"/>
        <v>40200</v>
      </c>
      <c r="H248" s="3">
        <v>6000</v>
      </c>
      <c r="I248" s="3">
        <f t="shared" si="16"/>
        <v>46200</v>
      </c>
      <c r="J248" s="2" t="s">
        <v>543</v>
      </c>
      <c r="K248" s="5">
        <v>46203.583333333343</v>
      </c>
      <c r="L248">
        <v>3</v>
      </c>
      <c r="M248" s="3">
        <f t="shared" si="17"/>
        <v>15400</v>
      </c>
      <c r="N248" t="str">
        <f t="shared" si="18"/>
        <v>ставка</v>
      </c>
      <c r="O248" s="3">
        <f t="shared" si="19"/>
        <v>905.88</v>
      </c>
      <c r="P248" s="5">
        <v>46206.5</v>
      </c>
      <c r="Q248" t="s">
        <v>293</v>
      </c>
      <c r="R248" s="2" t="s">
        <v>49</v>
      </c>
      <c r="S248">
        <v>11</v>
      </c>
      <c r="T248">
        <v>1</v>
      </c>
    </row>
    <row r="249" spans="1:20" ht="30" x14ac:dyDescent="0.25">
      <c r="A249" t="s">
        <v>544</v>
      </c>
      <c r="B249">
        <v>1</v>
      </c>
      <c r="C249" s="2" t="s">
        <v>545</v>
      </c>
      <c r="D249" s="3">
        <v>9080</v>
      </c>
      <c r="E249" s="4">
        <v>20</v>
      </c>
      <c r="F249" t="s">
        <v>48</v>
      </c>
      <c r="G249" s="3">
        <f t="shared" si="15"/>
        <v>11350</v>
      </c>
      <c r="H249" s="3">
        <v>0</v>
      </c>
      <c r="I249" s="3">
        <f t="shared" si="16"/>
        <v>11350</v>
      </c>
      <c r="J249" s="2" t="s">
        <v>27</v>
      </c>
      <c r="K249" s="5">
        <v>46268.583333333343</v>
      </c>
      <c r="L249">
        <v>1</v>
      </c>
      <c r="M249" s="3">
        <f t="shared" si="17"/>
        <v>11350</v>
      </c>
      <c r="N249" t="str">
        <f t="shared" si="18"/>
        <v>ставка</v>
      </c>
      <c r="O249" s="3">
        <f t="shared" si="19"/>
        <v>222.55</v>
      </c>
      <c r="P249" s="5">
        <v>46269.5</v>
      </c>
      <c r="Q249" t="s">
        <v>48</v>
      </c>
      <c r="R249" s="2" t="s">
        <v>40</v>
      </c>
      <c r="S249">
        <v>33</v>
      </c>
      <c r="T249">
        <v>1</v>
      </c>
    </row>
    <row r="250" spans="1:20" x14ac:dyDescent="0.25">
      <c r="A250" t="s">
        <v>546</v>
      </c>
      <c r="B250">
        <v>1</v>
      </c>
      <c r="C250" s="2" t="s">
        <v>547</v>
      </c>
      <c r="D250" s="3">
        <v>13200</v>
      </c>
      <c r="E250" s="4">
        <v>18</v>
      </c>
      <c r="F250" t="s">
        <v>32</v>
      </c>
      <c r="G250" s="3">
        <f t="shared" si="15"/>
        <v>16097.56</v>
      </c>
      <c r="H250" s="3">
        <v>0</v>
      </c>
      <c r="I250" s="3">
        <f t="shared" si="16"/>
        <v>16097.56</v>
      </c>
      <c r="J250" s="2" t="s">
        <v>27</v>
      </c>
      <c r="K250" s="5">
        <v>46270.583333333343</v>
      </c>
      <c r="L250">
        <v>1</v>
      </c>
      <c r="M250" s="3">
        <f t="shared" si="17"/>
        <v>16097.56</v>
      </c>
      <c r="N250" t="str">
        <f t="shared" si="18"/>
        <v>ставка</v>
      </c>
      <c r="O250" s="3">
        <f t="shared" si="19"/>
        <v>315.64</v>
      </c>
      <c r="P250" s="5">
        <v>46271.5</v>
      </c>
      <c r="Q250" t="s">
        <v>32</v>
      </c>
      <c r="R250" s="2" t="s">
        <v>49</v>
      </c>
      <c r="S250">
        <v>35</v>
      </c>
      <c r="T250">
        <v>1</v>
      </c>
    </row>
    <row r="251" spans="1:20" ht="30" x14ac:dyDescent="0.25">
      <c r="A251" t="s">
        <v>548</v>
      </c>
      <c r="B251">
        <v>1</v>
      </c>
      <c r="C251" s="2" t="s">
        <v>549</v>
      </c>
      <c r="D251" s="3">
        <v>55402.5</v>
      </c>
      <c r="E251" s="4">
        <v>17</v>
      </c>
      <c r="F251" t="s">
        <v>130</v>
      </c>
      <c r="G251" s="3">
        <f t="shared" si="15"/>
        <v>66750</v>
      </c>
      <c r="H251" s="3">
        <v>600</v>
      </c>
      <c r="I251" s="3">
        <f t="shared" si="16"/>
        <v>67350</v>
      </c>
      <c r="J251" s="2" t="s">
        <v>550</v>
      </c>
      <c r="K251" s="5">
        <v>46242.583333333343</v>
      </c>
      <c r="L251">
        <v>5</v>
      </c>
      <c r="M251" s="3">
        <f t="shared" si="17"/>
        <v>13470</v>
      </c>
      <c r="N251" t="str">
        <f t="shared" si="18"/>
        <v>ставка</v>
      </c>
      <c r="O251" s="3">
        <f t="shared" si="19"/>
        <v>1320.59</v>
      </c>
      <c r="P251" s="5">
        <v>46247.5</v>
      </c>
      <c r="Q251" t="s">
        <v>130</v>
      </c>
      <c r="R251" s="2" t="s">
        <v>40</v>
      </c>
      <c r="S251">
        <v>26</v>
      </c>
      <c r="T251">
        <v>1</v>
      </c>
    </row>
    <row r="252" spans="1:20" ht="30" x14ac:dyDescent="0.25">
      <c r="A252" t="s">
        <v>551</v>
      </c>
      <c r="B252">
        <v>1</v>
      </c>
      <c r="C252" s="2" t="s">
        <v>552</v>
      </c>
      <c r="D252" s="3">
        <v>12350</v>
      </c>
      <c r="E252" s="4">
        <v>0</v>
      </c>
      <c r="F252" t="s">
        <v>23</v>
      </c>
      <c r="G252" s="3">
        <f t="shared" si="15"/>
        <v>12350</v>
      </c>
      <c r="H252" s="3">
        <v>0</v>
      </c>
      <c r="I252" s="3">
        <f t="shared" si="16"/>
        <v>12350</v>
      </c>
      <c r="J252" s="2" t="s">
        <v>27</v>
      </c>
      <c r="K252" s="5">
        <v>46213.583333333343</v>
      </c>
      <c r="L252">
        <v>1</v>
      </c>
      <c r="M252" s="3">
        <f t="shared" si="17"/>
        <v>12350</v>
      </c>
      <c r="N252" t="str">
        <f t="shared" si="18"/>
        <v>ставка</v>
      </c>
      <c r="O252" s="3">
        <f t="shared" si="19"/>
        <v>242.16</v>
      </c>
      <c r="P252" s="5">
        <v>46214.5</v>
      </c>
      <c r="Q252" t="s">
        <v>23</v>
      </c>
      <c r="R252" s="2" t="s">
        <v>40</v>
      </c>
      <c r="S252">
        <v>46</v>
      </c>
      <c r="T252">
        <v>1</v>
      </c>
    </row>
    <row r="253" spans="1:20" ht="30" x14ac:dyDescent="0.25">
      <c r="A253" t="s">
        <v>553</v>
      </c>
      <c r="B253">
        <v>1</v>
      </c>
      <c r="C253" s="2" t="s">
        <v>554</v>
      </c>
      <c r="D253" s="3">
        <v>7920</v>
      </c>
      <c r="E253" s="4">
        <v>18</v>
      </c>
      <c r="F253" t="s">
        <v>32</v>
      </c>
      <c r="G253" s="3">
        <f t="shared" si="15"/>
        <v>9658.5400000000009</v>
      </c>
      <c r="H253" s="3">
        <v>0</v>
      </c>
      <c r="I253" s="3">
        <f t="shared" si="16"/>
        <v>9658.5400000000009</v>
      </c>
      <c r="J253" s="2" t="s">
        <v>27</v>
      </c>
      <c r="K253" s="5">
        <v>46234.583333333343</v>
      </c>
      <c r="L253">
        <v>1</v>
      </c>
      <c r="M253" s="3">
        <f t="shared" si="17"/>
        <v>9658.5400000000009</v>
      </c>
      <c r="N253" t="str">
        <f t="shared" si="18"/>
        <v>ставка</v>
      </c>
      <c r="O253" s="3">
        <f t="shared" si="19"/>
        <v>189.38</v>
      </c>
      <c r="P253" s="5">
        <v>46235.5</v>
      </c>
      <c r="Q253" t="s">
        <v>32</v>
      </c>
      <c r="R253" s="2" t="s">
        <v>33</v>
      </c>
      <c r="S253">
        <v>47</v>
      </c>
      <c r="T253">
        <v>1</v>
      </c>
    </row>
    <row r="254" spans="1:20" ht="45" x14ac:dyDescent="0.25">
      <c r="A254" t="s">
        <v>555</v>
      </c>
      <c r="B254">
        <v>1</v>
      </c>
      <c r="C254" s="2" t="s">
        <v>556</v>
      </c>
      <c r="D254" s="3">
        <v>8624.1</v>
      </c>
      <c r="E254" s="4">
        <v>4</v>
      </c>
      <c r="F254" t="s">
        <v>55</v>
      </c>
      <c r="G254" s="3">
        <f t="shared" si="15"/>
        <v>8983.44</v>
      </c>
      <c r="H254" s="3">
        <v>0</v>
      </c>
      <c r="I254" s="3">
        <f t="shared" si="16"/>
        <v>8983.44</v>
      </c>
      <c r="J254" s="2" t="s">
        <v>27</v>
      </c>
      <c r="K254" s="5">
        <v>46220.895833333343</v>
      </c>
      <c r="L254">
        <v>1</v>
      </c>
      <c r="M254" s="3">
        <f t="shared" si="17"/>
        <v>8983.44</v>
      </c>
      <c r="N254" t="str">
        <f t="shared" si="18"/>
        <v>ставка</v>
      </c>
      <c r="O254" s="3">
        <f t="shared" si="19"/>
        <v>176.15</v>
      </c>
      <c r="P254" s="5">
        <v>46221.5</v>
      </c>
      <c r="Q254" t="s">
        <v>55</v>
      </c>
      <c r="R254" s="2" t="s">
        <v>87</v>
      </c>
      <c r="S254">
        <v>50</v>
      </c>
      <c r="T254">
        <v>2</v>
      </c>
    </row>
    <row r="255" spans="1:20" ht="30" x14ac:dyDescent="0.25">
      <c r="A255" t="s">
        <v>555</v>
      </c>
      <c r="B255">
        <v>1</v>
      </c>
      <c r="C255" s="2" t="s">
        <v>556</v>
      </c>
      <c r="D255" s="3">
        <v>7700</v>
      </c>
      <c r="E255" s="4">
        <v>4</v>
      </c>
      <c r="F255" t="s">
        <v>55</v>
      </c>
      <c r="G255" s="3">
        <f t="shared" si="15"/>
        <v>8020.83</v>
      </c>
      <c r="H255" s="3">
        <v>0</v>
      </c>
      <c r="I255" s="3">
        <f t="shared" si="16"/>
        <v>8020.83</v>
      </c>
      <c r="J255" s="2" t="s">
        <v>27</v>
      </c>
      <c r="K255" s="5">
        <v>46221.895833333343</v>
      </c>
      <c r="L255">
        <v>1</v>
      </c>
      <c r="M255" s="3">
        <f t="shared" si="17"/>
        <v>8020.83</v>
      </c>
      <c r="N255" t="str">
        <f t="shared" si="18"/>
        <v>ставка</v>
      </c>
      <c r="O255" s="3">
        <f t="shared" si="19"/>
        <v>157.27000000000001</v>
      </c>
      <c r="P255" s="5">
        <v>46222.5</v>
      </c>
      <c r="Q255" t="s">
        <v>55</v>
      </c>
      <c r="R255" s="2" t="s">
        <v>58</v>
      </c>
      <c r="S255">
        <v>34</v>
      </c>
      <c r="T255">
        <v>1</v>
      </c>
    </row>
    <row r="256" spans="1:20" ht="30" x14ac:dyDescent="0.25">
      <c r="A256" t="s">
        <v>557</v>
      </c>
      <c r="B256">
        <v>1</v>
      </c>
      <c r="C256" s="2" t="s">
        <v>558</v>
      </c>
      <c r="D256" s="3">
        <v>11347.5</v>
      </c>
      <c r="E256" s="4">
        <v>20</v>
      </c>
      <c r="F256" t="s">
        <v>173</v>
      </c>
      <c r="G256" s="3">
        <f t="shared" si="15"/>
        <v>14184.38</v>
      </c>
      <c r="H256" s="3">
        <v>0</v>
      </c>
      <c r="I256" s="3">
        <f t="shared" si="16"/>
        <v>14184.38</v>
      </c>
      <c r="J256" s="2" t="s">
        <v>27</v>
      </c>
      <c r="K256" s="5">
        <v>46254.583333333343</v>
      </c>
      <c r="L256">
        <v>1</v>
      </c>
      <c r="M256" s="3">
        <f t="shared" si="17"/>
        <v>14184.38</v>
      </c>
      <c r="N256" t="str">
        <f t="shared" si="18"/>
        <v>ставка</v>
      </c>
      <c r="O256" s="3">
        <f t="shared" si="19"/>
        <v>278.13</v>
      </c>
      <c r="P256" s="5">
        <v>46255.5</v>
      </c>
      <c r="Q256" t="s">
        <v>173</v>
      </c>
      <c r="R256" s="2" t="s">
        <v>40</v>
      </c>
      <c r="S256">
        <v>23</v>
      </c>
      <c r="T256">
        <v>1</v>
      </c>
    </row>
    <row r="257" spans="1:20" ht="30" x14ac:dyDescent="0.25">
      <c r="A257" t="s">
        <v>559</v>
      </c>
      <c r="B257">
        <v>1</v>
      </c>
      <c r="C257" s="2" t="s">
        <v>560</v>
      </c>
      <c r="D257" s="3">
        <v>26180</v>
      </c>
      <c r="E257" s="4">
        <v>15</v>
      </c>
      <c r="F257" t="s">
        <v>52</v>
      </c>
      <c r="G257" s="3">
        <f t="shared" si="15"/>
        <v>30800</v>
      </c>
      <c r="H257" s="3">
        <v>0</v>
      </c>
      <c r="I257" s="3">
        <f t="shared" si="16"/>
        <v>30800</v>
      </c>
      <c r="J257" s="2" t="s">
        <v>27</v>
      </c>
      <c r="K257" s="5">
        <v>46272.583333333343</v>
      </c>
      <c r="L257">
        <v>4</v>
      </c>
      <c r="M257" s="3">
        <f t="shared" si="17"/>
        <v>7700</v>
      </c>
      <c r="N257" t="str">
        <f t="shared" si="18"/>
        <v>ставка</v>
      </c>
      <c r="O257" s="3">
        <f t="shared" si="19"/>
        <v>603.91999999999996</v>
      </c>
      <c r="P257" s="5">
        <v>46276.5</v>
      </c>
      <c r="Q257" t="s">
        <v>52</v>
      </c>
      <c r="R257" s="2" t="s">
        <v>58</v>
      </c>
      <c r="S257">
        <v>34</v>
      </c>
      <c r="T257">
        <v>1</v>
      </c>
    </row>
    <row r="258" spans="1:20" ht="30" x14ac:dyDescent="0.25">
      <c r="A258" t="s">
        <v>561</v>
      </c>
      <c r="B258">
        <v>1</v>
      </c>
      <c r="C258" s="2" t="s">
        <v>562</v>
      </c>
      <c r="D258" s="3">
        <v>18160</v>
      </c>
      <c r="E258" s="4">
        <v>20</v>
      </c>
      <c r="F258" t="s">
        <v>103</v>
      </c>
      <c r="G258" s="3">
        <f t="shared" ref="G258:G321" si="20">ROUND(D258/(100-E258)*100,2)</f>
        <v>22700</v>
      </c>
      <c r="H258" s="3">
        <v>4000</v>
      </c>
      <c r="I258" s="3">
        <f t="shared" ref="I258:I321" si="21">ROUND(G258+H258,2)</f>
        <v>26700</v>
      </c>
      <c r="J258" s="2" t="s">
        <v>563</v>
      </c>
      <c r="K258" s="5">
        <v>46272.583333333343</v>
      </c>
      <c r="L258">
        <v>2</v>
      </c>
      <c r="M258" s="3">
        <f t="shared" ref="M258:M321" si="22">I258/L258</f>
        <v>13350</v>
      </c>
      <c r="N258" t="str">
        <f t="shared" ref="N258:N321" si="23">IF(M258&gt;=5100,"ставка","мин.ставка")</f>
        <v>ставка</v>
      </c>
      <c r="O258" s="3">
        <f t="shared" ref="O258:O321" si="24">ROUND(IF(N258="мин.ставка",L258*100,I258/102*2),2)</f>
        <v>523.53</v>
      </c>
      <c r="P258" s="5">
        <v>46274.5</v>
      </c>
      <c r="Q258" t="s">
        <v>103</v>
      </c>
      <c r="R258" s="2" t="s">
        <v>40</v>
      </c>
      <c r="S258">
        <v>26</v>
      </c>
      <c r="T258">
        <v>1</v>
      </c>
    </row>
    <row r="259" spans="1:20" ht="30" x14ac:dyDescent="0.25">
      <c r="A259" t="s">
        <v>564</v>
      </c>
      <c r="B259">
        <v>1</v>
      </c>
      <c r="C259" s="2" t="s">
        <v>565</v>
      </c>
      <c r="D259" s="3">
        <v>26700</v>
      </c>
      <c r="E259" s="4">
        <v>0</v>
      </c>
      <c r="F259" t="s">
        <v>23</v>
      </c>
      <c r="G259" s="3">
        <f t="shared" si="20"/>
        <v>26700</v>
      </c>
      <c r="H259" s="3">
        <v>0</v>
      </c>
      <c r="I259" s="3">
        <f t="shared" si="21"/>
        <v>26700</v>
      </c>
      <c r="J259" s="2" t="s">
        <v>27</v>
      </c>
      <c r="K259" s="5">
        <v>46241.583333333343</v>
      </c>
      <c r="L259">
        <v>2</v>
      </c>
      <c r="M259" s="3">
        <f t="shared" si="22"/>
        <v>13350</v>
      </c>
      <c r="N259" t="str">
        <f t="shared" si="23"/>
        <v>ставка</v>
      </c>
      <c r="O259" s="3">
        <f t="shared" si="24"/>
        <v>523.53</v>
      </c>
      <c r="P259" s="5">
        <v>46243.5</v>
      </c>
      <c r="Q259" t="s">
        <v>23</v>
      </c>
      <c r="R259" s="2" t="s">
        <v>40</v>
      </c>
      <c r="S259">
        <v>52</v>
      </c>
      <c r="T259">
        <v>2</v>
      </c>
    </row>
    <row r="260" spans="1:20" ht="30" x14ac:dyDescent="0.25">
      <c r="A260" t="s">
        <v>566</v>
      </c>
      <c r="B260">
        <v>1</v>
      </c>
      <c r="C260" s="2" t="s">
        <v>567</v>
      </c>
      <c r="D260" s="3">
        <v>36320</v>
      </c>
      <c r="E260" s="4">
        <v>20</v>
      </c>
      <c r="F260" t="s">
        <v>293</v>
      </c>
      <c r="G260" s="3">
        <f t="shared" si="20"/>
        <v>45400</v>
      </c>
      <c r="H260" s="3">
        <v>0</v>
      </c>
      <c r="I260" s="3">
        <f t="shared" si="21"/>
        <v>45400</v>
      </c>
      <c r="J260" s="2" t="s">
        <v>294</v>
      </c>
      <c r="K260" s="5">
        <v>46202.583333333343</v>
      </c>
      <c r="L260">
        <v>4</v>
      </c>
      <c r="M260" s="3">
        <f t="shared" si="22"/>
        <v>11350</v>
      </c>
      <c r="N260" t="str">
        <f t="shared" si="23"/>
        <v>ставка</v>
      </c>
      <c r="O260" s="3">
        <f t="shared" si="24"/>
        <v>890.2</v>
      </c>
      <c r="P260" s="5">
        <v>46206.5</v>
      </c>
      <c r="Q260" t="s">
        <v>293</v>
      </c>
      <c r="R260" s="2" t="s">
        <v>40</v>
      </c>
      <c r="S260">
        <v>58</v>
      </c>
      <c r="T260">
        <v>2</v>
      </c>
    </row>
    <row r="261" spans="1:20" ht="30" x14ac:dyDescent="0.25">
      <c r="A261" t="s">
        <v>568</v>
      </c>
      <c r="B261">
        <v>1</v>
      </c>
      <c r="C261" s="2" t="s">
        <v>569</v>
      </c>
      <c r="D261" s="3">
        <v>35028</v>
      </c>
      <c r="E261" s="4">
        <v>16</v>
      </c>
      <c r="F261" t="s">
        <v>36</v>
      </c>
      <c r="G261" s="3">
        <f t="shared" si="20"/>
        <v>41700</v>
      </c>
      <c r="H261" s="3">
        <v>3000</v>
      </c>
      <c r="I261" s="3">
        <f t="shared" si="21"/>
        <v>44700</v>
      </c>
      <c r="J261" s="2" t="s">
        <v>570</v>
      </c>
      <c r="K261" s="5">
        <v>46261.583333333343</v>
      </c>
      <c r="L261">
        <v>3</v>
      </c>
      <c r="M261" s="3">
        <f t="shared" si="22"/>
        <v>14900</v>
      </c>
      <c r="N261" t="str">
        <f t="shared" si="23"/>
        <v>ставка</v>
      </c>
      <c r="O261" s="3">
        <f t="shared" si="24"/>
        <v>876.47</v>
      </c>
      <c r="P261" s="5">
        <v>46264.5</v>
      </c>
      <c r="Q261" t="s">
        <v>36</v>
      </c>
      <c r="R261" s="2" t="s">
        <v>24</v>
      </c>
      <c r="S261">
        <v>31</v>
      </c>
      <c r="T261">
        <v>1</v>
      </c>
    </row>
    <row r="262" spans="1:20" ht="30" x14ac:dyDescent="0.25">
      <c r="A262" t="s">
        <v>571</v>
      </c>
      <c r="B262">
        <v>1</v>
      </c>
      <c r="C262" s="2" t="s">
        <v>572</v>
      </c>
      <c r="D262" s="3">
        <v>11347.5</v>
      </c>
      <c r="E262" s="4">
        <v>15</v>
      </c>
      <c r="F262" t="s">
        <v>168</v>
      </c>
      <c r="G262" s="3">
        <f t="shared" si="20"/>
        <v>13350</v>
      </c>
      <c r="H262" s="3">
        <v>0</v>
      </c>
      <c r="I262" s="3">
        <f t="shared" si="21"/>
        <v>13350</v>
      </c>
      <c r="J262" s="2" t="s">
        <v>27</v>
      </c>
      <c r="K262" s="5">
        <v>46275.583333333343</v>
      </c>
      <c r="L262">
        <v>1</v>
      </c>
      <c r="M262" s="3">
        <f t="shared" si="22"/>
        <v>13350</v>
      </c>
      <c r="N262" t="str">
        <f t="shared" si="23"/>
        <v>ставка</v>
      </c>
      <c r="O262" s="3">
        <f t="shared" si="24"/>
        <v>261.76</v>
      </c>
      <c r="P262" s="5">
        <v>46276.583333333343</v>
      </c>
      <c r="Q262" t="s">
        <v>168</v>
      </c>
      <c r="R262" s="2" t="s">
        <v>40</v>
      </c>
      <c r="S262">
        <v>46</v>
      </c>
      <c r="T262">
        <v>1</v>
      </c>
    </row>
    <row r="263" spans="1:20" ht="30" x14ac:dyDescent="0.25">
      <c r="A263" t="s">
        <v>571</v>
      </c>
      <c r="B263">
        <v>1</v>
      </c>
      <c r="C263" s="2" t="s">
        <v>572</v>
      </c>
      <c r="D263" s="3">
        <v>34042.5</v>
      </c>
      <c r="E263" s="4">
        <v>15</v>
      </c>
      <c r="F263" t="s">
        <v>168</v>
      </c>
      <c r="G263" s="3">
        <f t="shared" si="20"/>
        <v>40050</v>
      </c>
      <c r="H263" s="3">
        <v>7425</v>
      </c>
      <c r="I263" s="3">
        <f t="shared" si="21"/>
        <v>47475</v>
      </c>
      <c r="J263" s="2" t="s">
        <v>573</v>
      </c>
      <c r="K263" s="5">
        <v>46276.583333333343</v>
      </c>
      <c r="L263">
        <v>3</v>
      </c>
      <c r="M263" s="3">
        <f t="shared" si="22"/>
        <v>15825</v>
      </c>
      <c r="N263" t="str">
        <f t="shared" si="23"/>
        <v>ставка</v>
      </c>
      <c r="O263" s="3">
        <f t="shared" si="24"/>
        <v>930.88</v>
      </c>
      <c r="P263" s="5">
        <v>46279.791666666657</v>
      </c>
      <c r="Q263" t="s">
        <v>168</v>
      </c>
      <c r="R263" s="2" t="s">
        <v>49</v>
      </c>
      <c r="S263">
        <v>11</v>
      </c>
      <c r="T263">
        <v>1</v>
      </c>
    </row>
    <row r="264" spans="1:20" ht="30" x14ac:dyDescent="0.25">
      <c r="A264" t="s">
        <v>574</v>
      </c>
      <c r="B264">
        <v>1</v>
      </c>
      <c r="C264" s="2" t="s">
        <v>575</v>
      </c>
      <c r="D264" s="3">
        <v>45390</v>
      </c>
      <c r="E264" s="4">
        <v>0</v>
      </c>
      <c r="F264" t="s">
        <v>180</v>
      </c>
      <c r="G264" s="3">
        <f t="shared" si="20"/>
        <v>45390</v>
      </c>
      <c r="H264" s="3">
        <v>0</v>
      </c>
      <c r="I264" s="3">
        <f t="shared" si="21"/>
        <v>45390</v>
      </c>
      <c r="J264" s="2" t="s">
        <v>181</v>
      </c>
      <c r="K264" s="5">
        <v>46266.583333333343</v>
      </c>
      <c r="L264">
        <v>4</v>
      </c>
      <c r="M264" s="3">
        <f t="shared" si="22"/>
        <v>11347.5</v>
      </c>
      <c r="N264" t="str">
        <f t="shared" si="23"/>
        <v>ставка</v>
      </c>
      <c r="O264" s="3">
        <f t="shared" si="24"/>
        <v>890</v>
      </c>
      <c r="P264" s="5">
        <v>46270.5</v>
      </c>
      <c r="Q264" t="s">
        <v>180</v>
      </c>
      <c r="R264" s="2" t="s">
        <v>40</v>
      </c>
      <c r="S264">
        <v>23</v>
      </c>
      <c r="T264">
        <v>1</v>
      </c>
    </row>
    <row r="265" spans="1:20" ht="30" x14ac:dyDescent="0.25">
      <c r="A265" t="s">
        <v>576</v>
      </c>
      <c r="B265">
        <v>1</v>
      </c>
      <c r="C265" s="2" t="s">
        <v>577</v>
      </c>
      <c r="D265" s="3">
        <v>7655.1</v>
      </c>
      <c r="E265" s="4">
        <v>4</v>
      </c>
      <c r="F265" t="s">
        <v>55</v>
      </c>
      <c r="G265" s="3">
        <f t="shared" si="20"/>
        <v>7974.06</v>
      </c>
      <c r="H265" s="3">
        <v>0</v>
      </c>
      <c r="I265" s="3">
        <f t="shared" si="21"/>
        <v>7974.06</v>
      </c>
      <c r="J265" s="2" t="s">
        <v>27</v>
      </c>
      <c r="K265" s="5">
        <v>46258.583333333343</v>
      </c>
      <c r="L265">
        <v>1</v>
      </c>
      <c r="M265" s="3">
        <f t="shared" si="22"/>
        <v>7974.06</v>
      </c>
      <c r="N265" t="str">
        <f t="shared" si="23"/>
        <v>ставка</v>
      </c>
      <c r="O265" s="3">
        <f t="shared" si="24"/>
        <v>156.35</v>
      </c>
      <c r="P265" s="5">
        <v>46259.5</v>
      </c>
      <c r="Q265" t="s">
        <v>55</v>
      </c>
      <c r="R265" s="2" t="s">
        <v>33</v>
      </c>
      <c r="S265" s="6"/>
    </row>
    <row r="266" spans="1:20" ht="30" x14ac:dyDescent="0.25">
      <c r="A266" t="s">
        <v>578</v>
      </c>
      <c r="B266">
        <v>1</v>
      </c>
      <c r="C266" s="2" t="s">
        <v>579</v>
      </c>
      <c r="D266" s="3">
        <v>27921</v>
      </c>
      <c r="E266" s="4">
        <v>18</v>
      </c>
      <c r="F266" t="s">
        <v>147</v>
      </c>
      <c r="G266" s="3">
        <f t="shared" si="20"/>
        <v>34050</v>
      </c>
      <c r="H266" s="3">
        <v>0</v>
      </c>
      <c r="I266" s="3">
        <f t="shared" si="21"/>
        <v>34050</v>
      </c>
      <c r="J266" s="2" t="s">
        <v>27</v>
      </c>
      <c r="K266" s="5">
        <v>46293.583333333343</v>
      </c>
      <c r="L266">
        <v>3</v>
      </c>
      <c r="M266" s="3">
        <f t="shared" si="22"/>
        <v>11350</v>
      </c>
      <c r="N266" t="str">
        <f t="shared" si="23"/>
        <v>ставка</v>
      </c>
      <c r="O266" s="3">
        <f t="shared" si="24"/>
        <v>667.65</v>
      </c>
      <c r="P266" s="5">
        <v>46296.5</v>
      </c>
      <c r="Q266" t="s">
        <v>147</v>
      </c>
      <c r="R266" s="2" t="s">
        <v>40</v>
      </c>
      <c r="S266">
        <v>33</v>
      </c>
      <c r="T266">
        <v>1</v>
      </c>
    </row>
    <row r="267" spans="1:20" ht="30" x14ac:dyDescent="0.25">
      <c r="A267" t="s">
        <v>580</v>
      </c>
      <c r="B267">
        <v>1</v>
      </c>
      <c r="C267" s="2" t="s">
        <v>581</v>
      </c>
      <c r="D267" s="3">
        <v>39636.15</v>
      </c>
      <c r="E267" s="4">
        <v>4</v>
      </c>
      <c r="F267" t="s">
        <v>55</v>
      </c>
      <c r="G267" s="3">
        <f t="shared" si="20"/>
        <v>41287.660000000003</v>
      </c>
      <c r="H267" s="3">
        <v>0</v>
      </c>
      <c r="I267" s="3">
        <f t="shared" si="21"/>
        <v>41287.660000000003</v>
      </c>
      <c r="J267" s="2" t="s">
        <v>27</v>
      </c>
      <c r="K267" s="5">
        <v>46245.583333333343</v>
      </c>
      <c r="L267">
        <v>3</v>
      </c>
      <c r="M267" s="3">
        <f t="shared" si="22"/>
        <v>13762.553333333335</v>
      </c>
      <c r="N267" t="str">
        <f t="shared" si="23"/>
        <v>ставка</v>
      </c>
      <c r="O267" s="3">
        <f t="shared" si="24"/>
        <v>809.56</v>
      </c>
      <c r="P267" s="5">
        <v>46248.5</v>
      </c>
      <c r="Q267" t="s">
        <v>55</v>
      </c>
      <c r="R267" s="2" t="s">
        <v>40</v>
      </c>
      <c r="S267">
        <v>32</v>
      </c>
      <c r="T267">
        <v>1</v>
      </c>
    </row>
    <row r="268" spans="1:20" x14ac:dyDescent="0.25">
      <c r="A268" t="s">
        <v>582</v>
      </c>
      <c r="B268">
        <v>1</v>
      </c>
      <c r="C268" s="2" t="s">
        <v>583</v>
      </c>
      <c r="D268" s="3">
        <v>89000</v>
      </c>
      <c r="E268" s="4">
        <v>0</v>
      </c>
      <c r="F268" t="s">
        <v>23</v>
      </c>
      <c r="G268" s="3">
        <f t="shared" si="20"/>
        <v>89000</v>
      </c>
      <c r="H268" s="3">
        <v>0</v>
      </c>
      <c r="I268" s="3">
        <f t="shared" si="21"/>
        <v>89000</v>
      </c>
      <c r="J268" s="2" t="s">
        <v>27</v>
      </c>
      <c r="K268" s="5">
        <v>46245.583333333343</v>
      </c>
      <c r="L268">
        <v>5</v>
      </c>
      <c r="M268" s="3">
        <f t="shared" si="22"/>
        <v>17800</v>
      </c>
      <c r="N268" t="str">
        <f t="shared" si="23"/>
        <v>ставка</v>
      </c>
      <c r="O268" s="3">
        <f t="shared" si="24"/>
        <v>1745.1</v>
      </c>
      <c r="P268" s="5">
        <v>46250.5</v>
      </c>
      <c r="Q268" t="s">
        <v>23</v>
      </c>
      <c r="R268" s="2" t="s">
        <v>45</v>
      </c>
      <c r="S268">
        <v>54</v>
      </c>
      <c r="T268">
        <v>2</v>
      </c>
    </row>
    <row r="269" spans="1:20" ht="45" x14ac:dyDescent="0.25">
      <c r="A269" t="s">
        <v>584</v>
      </c>
      <c r="B269">
        <v>1</v>
      </c>
      <c r="C269" s="2" t="s">
        <v>585</v>
      </c>
      <c r="D269" s="3">
        <v>34042.5</v>
      </c>
      <c r="E269" s="4">
        <v>15</v>
      </c>
      <c r="F269" t="s">
        <v>36</v>
      </c>
      <c r="G269" s="3">
        <f t="shared" si="20"/>
        <v>40050</v>
      </c>
      <c r="H269" s="3">
        <v>8400</v>
      </c>
      <c r="I269" s="3">
        <f t="shared" si="21"/>
        <v>48450</v>
      </c>
      <c r="J269" s="2" t="s">
        <v>586</v>
      </c>
      <c r="K269" s="5">
        <v>46219.583333333343</v>
      </c>
      <c r="L269">
        <v>3</v>
      </c>
      <c r="M269" s="3">
        <f t="shared" si="22"/>
        <v>16150</v>
      </c>
      <c r="N269" t="str">
        <f t="shared" si="23"/>
        <v>ставка</v>
      </c>
      <c r="O269" s="3">
        <f t="shared" si="24"/>
        <v>950</v>
      </c>
      <c r="P269" s="5">
        <v>46222.5</v>
      </c>
      <c r="Q269" t="s">
        <v>36</v>
      </c>
      <c r="R269" s="2" t="s">
        <v>87</v>
      </c>
      <c r="S269">
        <v>51</v>
      </c>
      <c r="T269">
        <v>2</v>
      </c>
    </row>
    <row r="270" spans="1:20" ht="30" x14ac:dyDescent="0.25">
      <c r="A270" t="s">
        <v>587</v>
      </c>
      <c r="B270">
        <v>1</v>
      </c>
      <c r="C270" s="2" t="s">
        <v>588</v>
      </c>
      <c r="D270" s="3">
        <v>13860</v>
      </c>
      <c r="E270" s="4">
        <v>0</v>
      </c>
      <c r="F270" t="s">
        <v>23</v>
      </c>
      <c r="G270" s="3">
        <f t="shared" si="20"/>
        <v>13860</v>
      </c>
      <c r="H270" s="3">
        <v>0</v>
      </c>
      <c r="I270" s="3">
        <f t="shared" si="21"/>
        <v>13860</v>
      </c>
      <c r="J270" s="2" t="s">
        <v>27</v>
      </c>
      <c r="K270" s="5">
        <v>46249.583333333343</v>
      </c>
      <c r="L270">
        <v>1</v>
      </c>
      <c r="M270" s="3">
        <f t="shared" si="22"/>
        <v>13860</v>
      </c>
      <c r="N270" t="str">
        <f t="shared" si="23"/>
        <v>ставка</v>
      </c>
      <c r="O270" s="3">
        <f t="shared" si="24"/>
        <v>271.76</v>
      </c>
      <c r="P270" s="5">
        <v>46250.5</v>
      </c>
      <c r="Q270" t="s">
        <v>23</v>
      </c>
      <c r="R270" s="2" t="s">
        <v>24</v>
      </c>
      <c r="S270">
        <v>31</v>
      </c>
      <c r="T270">
        <v>1</v>
      </c>
    </row>
    <row r="271" spans="1:20" ht="30" x14ac:dyDescent="0.25">
      <c r="A271" t="s">
        <v>589</v>
      </c>
      <c r="B271">
        <v>1</v>
      </c>
      <c r="C271" s="2" t="s">
        <v>590</v>
      </c>
      <c r="D271" s="3">
        <v>53400</v>
      </c>
      <c r="E271" s="4">
        <v>20</v>
      </c>
      <c r="F271" t="s">
        <v>48</v>
      </c>
      <c r="G271" s="3">
        <f t="shared" si="20"/>
        <v>66750</v>
      </c>
      <c r="H271" s="3">
        <v>0</v>
      </c>
      <c r="I271" s="3">
        <f t="shared" si="21"/>
        <v>66750</v>
      </c>
      <c r="J271" s="2" t="s">
        <v>27</v>
      </c>
      <c r="K271" s="5">
        <v>46272.583333333343</v>
      </c>
      <c r="L271">
        <v>5</v>
      </c>
      <c r="M271" s="3">
        <f t="shared" si="22"/>
        <v>13350</v>
      </c>
      <c r="N271" t="str">
        <f t="shared" si="23"/>
        <v>ставка</v>
      </c>
      <c r="O271" s="3">
        <f t="shared" si="24"/>
        <v>1308.82</v>
      </c>
      <c r="P271" s="5">
        <v>46277.5</v>
      </c>
      <c r="Q271" t="s">
        <v>48</v>
      </c>
      <c r="R271" s="2" t="s">
        <v>24</v>
      </c>
      <c r="S271">
        <v>59</v>
      </c>
      <c r="T271">
        <v>2</v>
      </c>
    </row>
    <row r="272" spans="1:20" ht="45" x14ac:dyDescent="0.25">
      <c r="A272" t="s">
        <v>591</v>
      </c>
      <c r="B272">
        <v>1</v>
      </c>
      <c r="C272" s="2" t="s">
        <v>592</v>
      </c>
      <c r="D272" s="3">
        <v>57352.05</v>
      </c>
      <c r="E272" s="4">
        <v>4</v>
      </c>
      <c r="F272" t="s">
        <v>55</v>
      </c>
      <c r="G272" s="3">
        <f t="shared" si="20"/>
        <v>59741.72</v>
      </c>
      <c r="H272" s="3">
        <v>0</v>
      </c>
      <c r="I272" s="3">
        <f t="shared" si="21"/>
        <v>59741.72</v>
      </c>
      <c r="J272" s="2" t="s">
        <v>27</v>
      </c>
      <c r="K272" s="5">
        <v>46246.583333333343</v>
      </c>
      <c r="L272">
        <v>4</v>
      </c>
      <c r="M272" s="3">
        <f t="shared" si="22"/>
        <v>14935.43</v>
      </c>
      <c r="N272" t="str">
        <f t="shared" si="23"/>
        <v>ставка</v>
      </c>
      <c r="O272" s="3">
        <f t="shared" si="24"/>
        <v>1171.4100000000001</v>
      </c>
      <c r="P272" s="5">
        <v>46250.5</v>
      </c>
      <c r="Q272" t="s">
        <v>55</v>
      </c>
      <c r="R272" s="2" t="s">
        <v>87</v>
      </c>
      <c r="S272">
        <v>50</v>
      </c>
      <c r="T272">
        <v>2</v>
      </c>
    </row>
    <row r="273" spans="1:20" ht="30" x14ac:dyDescent="0.25">
      <c r="A273" t="s">
        <v>593</v>
      </c>
      <c r="B273">
        <v>1</v>
      </c>
      <c r="C273" s="2" t="s">
        <v>594</v>
      </c>
      <c r="D273" s="3">
        <v>55440</v>
      </c>
      <c r="E273" s="4">
        <v>0</v>
      </c>
      <c r="F273" t="s">
        <v>23</v>
      </c>
      <c r="G273" s="3">
        <f t="shared" si="20"/>
        <v>55440</v>
      </c>
      <c r="H273" s="3">
        <v>0</v>
      </c>
      <c r="I273" s="3">
        <f t="shared" si="21"/>
        <v>55440</v>
      </c>
      <c r="J273" s="2" t="s">
        <v>27</v>
      </c>
      <c r="K273" s="5">
        <v>46235.583333333343</v>
      </c>
      <c r="L273">
        <v>7</v>
      </c>
      <c r="M273" s="3">
        <f t="shared" si="22"/>
        <v>7920</v>
      </c>
      <c r="N273" t="str">
        <f t="shared" si="23"/>
        <v>ставка</v>
      </c>
      <c r="O273" s="3">
        <f t="shared" si="24"/>
        <v>1087.06</v>
      </c>
      <c r="P273" s="5">
        <v>46242.5</v>
      </c>
      <c r="Q273" t="s">
        <v>23</v>
      </c>
      <c r="R273" s="2" t="s">
        <v>33</v>
      </c>
      <c r="S273">
        <v>45</v>
      </c>
      <c r="T273">
        <v>1</v>
      </c>
    </row>
    <row r="274" spans="1:20" x14ac:dyDescent="0.25">
      <c r="A274" t="s">
        <v>595</v>
      </c>
      <c r="B274">
        <v>1</v>
      </c>
      <c r="C274" s="2" t="s">
        <v>596</v>
      </c>
      <c r="D274" s="3">
        <v>46400</v>
      </c>
      <c r="E274" s="4">
        <v>18</v>
      </c>
      <c r="F274" t="s">
        <v>32</v>
      </c>
      <c r="G274" s="3">
        <f t="shared" si="20"/>
        <v>56585.37</v>
      </c>
      <c r="H274" s="3">
        <v>0</v>
      </c>
      <c r="I274" s="3">
        <f t="shared" si="21"/>
        <v>56585.37</v>
      </c>
      <c r="J274" s="2" t="s">
        <v>27</v>
      </c>
      <c r="K274" s="5">
        <v>46204.583333333343</v>
      </c>
      <c r="L274">
        <v>4</v>
      </c>
      <c r="M274" s="3">
        <f t="shared" si="22"/>
        <v>14146.342500000001</v>
      </c>
      <c r="N274" t="str">
        <f t="shared" si="23"/>
        <v>ставка</v>
      </c>
      <c r="O274" s="3">
        <f t="shared" si="24"/>
        <v>1109.52</v>
      </c>
      <c r="P274" s="5">
        <v>46208.5</v>
      </c>
      <c r="Q274" t="s">
        <v>32</v>
      </c>
      <c r="R274" s="2" t="s">
        <v>49</v>
      </c>
      <c r="S274">
        <v>25</v>
      </c>
      <c r="T274">
        <v>1</v>
      </c>
    </row>
    <row r="275" spans="1:20" ht="30" x14ac:dyDescent="0.25">
      <c r="A275" t="s">
        <v>597</v>
      </c>
      <c r="B275">
        <v>1</v>
      </c>
      <c r="C275" s="2" t="s">
        <v>598</v>
      </c>
      <c r="D275" s="3">
        <v>9534</v>
      </c>
      <c r="E275" s="4">
        <v>16</v>
      </c>
      <c r="F275" t="s">
        <v>36</v>
      </c>
      <c r="G275" s="3">
        <f t="shared" si="20"/>
        <v>11350</v>
      </c>
      <c r="H275" s="3">
        <v>0</v>
      </c>
      <c r="I275" s="3">
        <f t="shared" si="21"/>
        <v>11350</v>
      </c>
      <c r="J275" s="2" t="s">
        <v>27</v>
      </c>
      <c r="K275" s="5">
        <v>46290.583333333343</v>
      </c>
      <c r="L275">
        <v>1</v>
      </c>
      <c r="M275" s="3">
        <f t="shared" si="22"/>
        <v>11350</v>
      </c>
      <c r="N275" t="str">
        <f t="shared" si="23"/>
        <v>ставка</v>
      </c>
      <c r="O275" s="3">
        <f t="shared" si="24"/>
        <v>222.55</v>
      </c>
      <c r="P275" s="5">
        <v>46291.5</v>
      </c>
      <c r="Q275" t="s">
        <v>36</v>
      </c>
      <c r="R275" s="2" t="s">
        <v>40</v>
      </c>
      <c r="S275">
        <v>46</v>
      </c>
      <c r="T275">
        <v>1</v>
      </c>
    </row>
    <row r="276" spans="1:20" ht="30" x14ac:dyDescent="0.25">
      <c r="A276" t="s">
        <v>599</v>
      </c>
      <c r="B276">
        <v>1</v>
      </c>
      <c r="C276" s="2" t="s">
        <v>600</v>
      </c>
      <c r="D276" s="3">
        <v>19805</v>
      </c>
      <c r="E276" s="4">
        <v>15</v>
      </c>
      <c r="F276" t="s">
        <v>52</v>
      </c>
      <c r="G276" s="3">
        <f t="shared" si="20"/>
        <v>23300</v>
      </c>
      <c r="H276" s="3">
        <v>0</v>
      </c>
      <c r="I276" s="3">
        <f t="shared" si="21"/>
        <v>23300</v>
      </c>
      <c r="J276" s="2" t="s">
        <v>27</v>
      </c>
      <c r="K276" s="5">
        <v>46209.583333333343</v>
      </c>
      <c r="L276">
        <v>2</v>
      </c>
      <c r="M276" s="3">
        <f t="shared" si="22"/>
        <v>11650</v>
      </c>
      <c r="N276" t="str">
        <f t="shared" si="23"/>
        <v>ставка</v>
      </c>
      <c r="O276" s="3">
        <f t="shared" si="24"/>
        <v>456.86</v>
      </c>
      <c r="P276" s="5">
        <v>46211.5</v>
      </c>
      <c r="Q276" t="s">
        <v>52</v>
      </c>
      <c r="R276" s="2" t="s">
        <v>24</v>
      </c>
      <c r="S276">
        <v>31</v>
      </c>
      <c r="T276">
        <v>1</v>
      </c>
    </row>
    <row r="277" spans="1:20" ht="30" x14ac:dyDescent="0.25">
      <c r="A277" t="s">
        <v>601</v>
      </c>
      <c r="B277">
        <v>1</v>
      </c>
      <c r="C277" s="2" t="s">
        <v>602</v>
      </c>
      <c r="D277" s="3">
        <v>22780</v>
      </c>
      <c r="E277" s="4">
        <v>15</v>
      </c>
      <c r="F277" t="s">
        <v>168</v>
      </c>
      <c r="G277" s="3">
        <f t="shared" si="20"/>
        <v>26800</v>
      </c>
      <c r="H277" s="3">
        <v>10700</v>
      </c>
      <c r="I277" s="3">
        <f t="shared" si="21"/>
        <v>37500</v>
      </c>
      <c r="J277" s="2" t="s">
        <v>603</v>
      </c>
      <c r="K277" s="5">
        <v>46283.583333333343</v>
      </c>
      <c r="L277">
        <v>2</v>
      </c>
      <c r="M277" s="3">
        <f t="shared" si="22"/>
        <v>18750</v>
      </c>
      <c r="N277" t="str">
        <f t="shared" si="23"/>
        <v>ставка</v>
      </c>
      <c r="O277" s="3">
        <f t="shared" si="24"/>
        <v>735.29</v>
      </c>
      <c r="P277" s="5">
        <v>46285.875</v>
      </c>
      <c r="Q277" t="s">
        <v>168</v>
      </c>
      <c r="R277" s="2" t="s">
        <v>24</v>
      </c>
      <c r="S277">
        <v>21</v>
      </c>
      <c r="T277">
        <v>1</v>
      </c>
    </row>
    <row r="278" spans="1:20" ht="30" x14ac:dyDescent="0.25">
      <c r="A278" t="s">
        <v>604</v>
      </c>
      <c r="B278">
        <v>1</v>
      </c>
      <c r="C278" s="2" t="s">
        <v>605</v>
      </c>
      <c r="D278" s="3">
        <v>19295</v>
      </c>
      <c r="E278" s="4">
        <v>15</v>
      </c>
      <c r="F278" t="s">
        <v>487</v>
      </c>
      <c r="G278" s="3">
        <f t="shared" si="20"/>
        <v>22700</v>
      </c>
      <c r="H278" s="3">
        <v>0</v>
      </c>
      <c r="I278" s="3">
        <f t="shared" si="21"/>
        <v>22700</v>
      </c>
      <c r="J278" s="2" t="s">
        <v>27</v>
      </c>
      <c r="K278" s="5">
        <v>46266.583333333343</v>
      </c>
      <c r="L278">
        <v>2</v>
      </c>
      <c r="M278" s="3">
        <f t="shared" si="22"/>
        <v>11350</v>
      </c>
      <c r="N278" t="str">
        <f t="shared" si="23"/>
        <v>ставка</v>
      </c>
      <c r="O278" s="3">
        <f t="shared" si="24"/>
        <v>445.1</v>
      </c>
      <c r="P278" s="5">
        <v>46268.5</v>
      </c>
      <c r="Q278" t="s">
        <v>487</v>
      </c>
      <c r="R278" s="2" t="s">
        <v>40</v>
      </c>
      <c r="S278">
        <v>33</v>
      </c>
      <c r="T278">
        <v>1</v>
      </c>
    </row>
    <row r="279" spans="1:20" ht="30" x14ac:dyDescent="0.25">
      <c r="A279" t="s">
        <v>606</v>
      </c>
      <c r="B279">
        <v>1</v>
      </c>
      <c r="C279" s="2" t="s">
        <v>607</v>
      </c>
      <c r="D279" s="3">
        <v>74760</v>
      </c>
      <c r="E279" s="4">
        <v>18</v>
      </c>
      <c r="F279" t="s">
        <v>32</v>
      </c>
      <c r="G279" s="3">
        <f t="shared" si="20"/>
        <v>91170.73</v>
      </c>
      <c r="H279" s="3">
        <v>0</v>
      </c>
      <c r="I279" s="3">
        <f t="shared" si="21"/>
        <v>91170.73</v>
      </c>
      <c r="J279" s="2" t="s">
        <v>27</v>
      </c>
      <c r="K279" s="5">
        <v>46225.583333333343</v>
      </c>
      <c r="L279">
        <v>7</v>
      </c>
      <c r="M279" s="3">
        <f t="shared" si="22"/>
        <v>13024.39</v>
      </c>
      <c r="N279" t="str">
        <f t="shared" si="23"/>
        <v>ставка</v>
      </c>
      <c r="O279" s="3">
        <f t="shared" si="24"/>
        <v>1787.66</v>
      </c>
      <c r="P279" s="5">
        <v>46232.5</v>
      </c>
      <c r="Q279" t="s">
        <v>32</v>
      </c>
      <c r="R279" s="2" t="s">
        <v>40</v>
      </c>
      <c r="S279">
        <v>33</v>
      </c>
      <c r="T279">
        <v>1</v>
      </c>
    </row>
    <row r="280" spans="1:20" ht="30" x14ac:dyDescent="0.25">
      <c r="A280" t="s">
        <v>608</v>
      </c>
      <c r="B280">
        <v>1</v>
      </c>
      <c r="C280" s="2" t="s">
        <v>609</v>
      </c>
      <c r="D280" s="3">
        <v>18160</v>
      </c>
      <c r="E280" s="4">
        <v>18</v>
      </c>
      <c r="F280" t="s">
        <v>32</v>
      </c>
      <c r="G280" s="3">
        <f t="shared" si="20"/>
        <v>22146.34</v>
      </c>
      <c r="H280" s="3">
        <v>0</v>
      </c>
      <c r="I280" s="3">
        <f t="shared" si="21"/>
        <v>22146.34</v>
      </c>
      <c r="J280" s="2" t="s">
        <v>27</v>
      </c>
      <c r="K280" s="5">
        <v>46243.583333333343</v>
      </c>
      <c r="L280">
        <v>2</v>
      </c>
      <c r="M280" s="3">
        <f t="shared" si="22"/>
        <v>11073.17</v>
      </c>
      <c r="N280" t="str">
        <f t="shared" si="23"/>
        <v>ставка</v>
      </c>
      <c r="O280" s="3">
        <f t="shared" si="24"/>
        <v>434.24</v>
      </c>
      <c r="P280" s="5">
        <v>46245.5</v>
      </c>
      <c r="Q280" t="s">
        <v>32</v>
      </c>
      <c r="R280" s="2" t="s">
        <v>40</v>
      </c>
      <c r="S280">
        <v>46</v>
      </c>
      <c r="T280">
        <v>1</v>
      </c>
    </row>
    <row r="281" spans="1:20" ht="30" x14ac:dyDescent="0.25">
      <c r="A281" t="s">
        <v>610</v>
      </c>
      <c r="B281">
        <v>1</v>
      </c>
      <c r="C281" s="2" t="s">
        <v>611</v>
      </c>
      <c r="D281" s="3">
        <v>9315</v>
      </c>
      <c r="E281" s="4">
        <v>0</v>
      </c>
      <c r="F281" t="s">
        <v>23</v>
      </c>
      <c r="G281" s="3">
        <f t="shared" si="20"/>
        <v>9315</v>
      </c>
      <c r="H281" s="3">
        <v>0</v>
      </c>
      <c r="I281" s="3">
        <f t="shared" si="21"/>
        <v>9315</v>
      </c>
      <c r="J281" s="2" t="s">
        <v>27</v>
      </c>
      <c r="K281" s="5">
        <v>46213.583333333343</v>
      </c>
      <c r="L281">
        <v>1</v>
      </c>
      <c r="M281" s="3">
        <f t="shared" si="22"/>
        <v>9315</v>
      </c>
      <c r="N281" t="str">
        <f t="shared" si="23"/>
        <v>ставка</v>
      </c>
      <c r="O281" s="3">
        <f t="shared" si="24"/>
        <v>182.65</v>
      </c>
      <c r="P281" s="5">
        <v>46214.5</v>
      </c>
      <c r="Q281" t="s">
        <v>23</v>
      </c>
      <c r="R281" s="2" t="s">
        <v>40</v>
      </c>
      <c r="S281">
        <v>52</v>
      </c>
      <c r="T281">
        <v>2</v>
      </c>
    </row>
    <row r="282" spans="1:20" ht="30" x14ac:dyDescent="0.25">
      <c r="A282" t="s">
        <v>612</v>
      </c>
      <c r="B282">
        <v>1</v>
      </c>
      <c r="C282" s="2" t="s">
        <v>613</v>
      </c>
      <c r="D282" s="3">
        <v>60876</v>
      </c>
      <c r="E282" s="4">
        <v>18</v>
      </c>
      <c r="F282" t="s">
        <v>32</v>
      </c>
      <c r="G282" s="3">
        <f t="shared" si="20"/>
        <v>74239.02</v>
      </c>
      <c r="H282" s="3">
        <v>0</v>
      </c>
      <c r="I282" s="3">
        <f t="shared" si="21"/>
        <v>74239.02</v>
      </c>
      <c r="J282" s="2" t="s">
        <v>27</v>
      </c>
      <c r="K282" s="5">
        <v>46256.583333333343</v>
      </c>
      <c r="L282">
        <v>6</v>
      </c>
      <c r="M282" s="3">
        <f t="shared" si="22"/>
        <v>12373.17</v>
      </c>
      <c r="N282" t="str">
        <f t="shared" si="23"/>
        <v>ставка</v>
      </c>
      <c r="O282" s="3">
        <f t="shared" si="24"/>
        <v>1455.67</v>
      </c>
      <c r="P282" s="5">
        <v>46262.5</v>
      </c>
      <c r="Q282" t="s">
        <v>32</v>
      </c>
      <c r="R282" s="2" t="s">
        <v>40</v>
      </c>
      <c r="S282" s="6"/>
    </row>
    <row r="283" spans="1:20" ht="30" x14ac:dyDescent="0.25">
      <c r="A283" t="s">
        <v>614</v>
      </c>
      <c r="B283">
        <v>1</v>
      </c>
      <c r="C283" s="2" t="s">
        <v>615</v>
      </c>
      <c r="D283" s="3">
        <v>21440</v>
      </c>
      <c r="E283" s="4">
        <v>20</v>
      </c>
      <c r="F283" t="s">
        <v>103</v>
      </c>
      <c r="G283" s="3">
        <f t="shared" si="20"/>
        <v>26800</v>
      </c>
      <c r="H283" s="3">
        <v>0</v>
      </c>
      <c r="I283" s="3">
        <f t="shared" si="21"/>
        <v>26800</v>
      </c>
      <c r="J283" s="2" t="s">
        <v>27</v>
      </c>
      <c r="K283" s="5">
        <v>46244.583333333343</v>
      </c>
      <c r="L283">
        <v>2</v>
      </c>
      <c r="M283" s="3">
        <f t="shared" si="22"/>
        <v>13400</v>
      </c>
      <c r="N283" t="str">
        <f t="shared" si="23"/>
        <v>ставка</v>
      </c>
      <c r="O283" s="3">
        <f t="shared" si="24"/>
        <v>525.49</v>
      </c>
      <c r="P283" s="5">
        <v>46246.5</v>
      </c>
      <c r="Q283" t="s">
        <v>103</v>
      </c>
      <c r="R283" s="2" t="s">
        <v>24</v>
      </c>
      <c r="S283">
        <v>56</v>
      </c>
      <c r="T283">
        <v>2</v>
      </c>
    </row>
    <row r="284" spans="1:20" ht="30" x14ac:dyDescent="0.25">
      <c r="A284" t="s">
        <v>616</v>
      </c>
      <c r="B284">
        <v>1</v>
      </c>
      <c r="C284" s="2" t="s">
        <v>617</v>
      </c>
      <c r="D284" s="3">
        <v>27240</v>
      </c>
      <c r="E284" s="4">
        <v>18</v>
      </c>
      <c r="F284" t="s">
        <v>32</v>
      </c>
      <c r="G284" s="3">
        <f t="shared" si="20"/>
        <v>33219.51</v>
      </c>
      <c r="H284" s="3">
        <v>960</v>
      </c>
      <c r="I284" s="3">
        <f t="shared" si="21"/>
        <v>34179.51</v>
      </c>
      <c r="J284" s="2" t="s">
        <v>618</v>
      </c>
      <c r="K284" s="5">
        <v>46224.583333333343</v>
      </c>
      <c r="L284">
        <v>3</v>
      </c>
      <c r="M284" s="3">
        <f t="shared" si="22"/>
        <v>11393.17</v>
      </c>
      <c r="N284" t="str">
        <f t="shared" si="23"/>
        <v>ставка</v>
      </c>
      <c r="O284" s="3">
        <f t="shared" si="24"/>
        <v>670.19</v>
      </c>
      <c r="P284" s="5">
        <v>46227.5</v>
      </c>
      <c r="Q284" t="s">
        <v>32</v>
      </c>
      <c r="R284" s="2" t="s">
        <v>40</v>
      </c>
      <c r="S284">
        <v>52</v>
      </c>
      <c r="T284">
        <v>2</v>
      </c>
    </row>
    <row r="285" spans="1:20" ht="30" x14ac:dyDescent="0.25">
      <c r="A285" t="s">
        <v>619</v>
      </c>
      <c r="B285">
        <v>1</v>
      </c>
      <c r="C285" s="2" t="s">
        <v>620</v>
      </c>
      <c r="D285" s="3">
        <v>13114</v>
      </c>
      <c r="E285" s="4">
        <v>0</v>
      </c>
      <c r="F285" t="s">
        <v>23</v>
      </c>
      <c r="G285" s="3">
        <f t="shared" si="20"/>
        <v>13114</v>
      </c>
      <c r="H285" s="3">
        <v>0</v>
      </c>
      <c r="I285" s="3">
        <f t="shared" si="21"/>
        <v>13114</v>
      </c>
      <c r="J285" s="2" t="s">
        <v>27</v>
      </c>
      <c r="K285" s="5">
        <v>46215.583333333343</v>
      </c>
      <c r="L285">
        <v>2</v>
      </c>
      <c r="M285" s="3">
        <f t="shared" si="22"/>
        <v>6557</v>
      </c>
      <c r="N285" t="str">
        <f t="shared" si="23"/>
        <v>ставка</v>
      </c>
      <c r="O285" s="3">
        <f t="shared" si="24"/>
        <v>257.14</v>
      </c>
      <c r="P285" s="5">
        <v>46217.5</v>
      </c>
      <c r="Q285" t="s">
        <v>23</v>
      </c>
      <c r="R285" s="2" t="s">
        <v>33</v>
      </c>
      <c r="S285">
        <v>41</v>
      </c>
      <c r="T285">
        <v>1</v>
      </c>
    </row>
    <row r="286" spans="1:20" ht="30" x14ac:dyDescent="0.25">
      <c r="A286" t="s">
        <v>621</v>
      </c>
      <c r="B286">
        <v>1</v>
      </c>
      <c r="C286" s="2" t="s">
        <v>622</v>
      </c>
      <c r="D286" s="3">
        <v>37682</v>
      </c>
      <c r="E286" s="4">
        <v>17</v>
      </c>
      <c r="F286" t="s">
        <v>173</v>
      </c>
      <c r="G286" s="3">
        <f t="shared" si="20"/>
        <v>45400</v>
      </c>
      <c r="H286" s="3">
        <v>0</v>
      </c>
      <c r="I286" s="3">
        <f t="shared" si="21"/>
        <v>45400</v>
      </c>
      <c r="J286" s="2" t="s">
        <v>27</v>
      </c>
      <c r="K286" s="5">
        <v>46214.583333333343</v>
      </c>
      <c r="L286">
        <v>4</v>
      </c>
      <c r="M286" s="3">
        <f t="shared" si="22"/>
        <v>11350</v>
      </c>
      <c r="N286" t="str">
        <f t="shared" si="23"/>
        <v>ставка</v>
      </c>
      <c r="O286" s="3">
        <f t="shared" si="24"/>
        <v>890.2</v>
      </c>
      <c r="P286" s="5">
        <v>46218.5</v>
      </c>
      <c r="Q286" t="s">
        <v>173</v>
      </c>
      <c r="R286" s="2" t="s">
        <v>40</v>
      </c>
      <c r="S286">
        <v>46</v>
      </c>
      <c r="T286">
        <v>1</v>
      </c>
    </row>
    <row r="287" spans="1:20" ht="30" x14ac:dyDescent="0.25">
      <c r="A287" t="s">
        <v>623</v>
      </c>
      <c r="B287">
        <v>1</v>
      </c>
      <c r="C287" s="2" t="s">
        <v>624</v>
      </c>
      <c r="D287" s="3">
        <v>19651.5</v>
      </c>
      <c r="E287" s="4">
        <v>4</v>
      </c>
      <c r="F287" t="s">
        <v>55</v>
      </c>
      <c r="G287" s="3">
        <f t="shared" si="20"/>
        <v>20470.310000000001</v>
      </c>
      <c r="H287" s="3">
        <v>0</v>
      </c>
      <c r="I287" s="3">
        <f t="shared" si="21"/>
        <v>20470.310000000001</v>
      </c>
      <c r="J287" s="2" t="s">
        <v>27</v>
      </c>
      <c r="K287" s="5">
        <v>46276.583333333343</v>
      </c>
      <c r="L287">
        <v>2</v>
      </c>
      <c r="M287" s="3">
        <f t="shared" si="22"/>
        <v>10235.155000000001</v>
      </c>
      <c r="N287" t="str">
        <f t="shared" si="23"/>
        <v>ставка</v>
      </c>
      <c r="O287" s="3">
        <f t="shared" si="24"/>
        <v>401.38</v>
      </c>
      <c r="P287" s="5">
        <v>46278.5</v>
      </c>
      <c r="Q287" t="s">
        <v>55</v>
      </c>
      <c r="R287" s="2" t="s">
        <v>33</v>
      </c>
      <c r="S287">
        <v>43</v>
      </c>
      <c r="T287">
        <v>1</v>
      </c>
    </row>
    <row r="288" spans="1:20" ht="30" x14ac:dyDescent="0.25">
      <c r="A288" t="s">
        <v>625</v>
      </c>
      <c r="B288">
        <v>1</v>
      </c>
      <c r="C288" s="2" t="s">
        <v>626</v>
      </c>
      <c r="D288" s="3">
        <v>9534</v>
      </c>
      <c r="E288" s="4">
        <v>16</v>
      </c>
      <c r="F288" t="s">
        <v>36</v>
      </c>
      <c r="G288" s="3">
        <f t="shared" si="20"/>
        <v>11350</v>
      </c>
      <c r="H288" s="3">
        <v>0</v>
      </c>
      <c r="I288" s="3">
        <f t="shared" si="21"/>
        <v>11350</v>
      </c>
      <c r="J288" s="2" t="s">
        <v>27</v>
      </c>
      <c r="K288" s="5">
        <v>46282.583333333343</v>
      </c>
      <c r="L288">
        <v>1</v>
      </c>
      <c r="M288" s="3">
        <f t="shared" si="22"/>
        <v>11350</v>
      </c>
      <c r="N288" t="str">
        <f t="shared" si="23"/>
        <v>ставка</v>
      </c>
      <c r="O288" s="3">
        <f t="shared" si="24"/>
        <v>222.55</v>
      </c>
      <c r="P288" s="5">
        <v>46283.5</v>
      </c>
      <c r="Q288" t="s">
        <v>36</v>
      </c>
      <c r="R288" s="2" t="s">
        <v>40</v>
      </c>
      <c r="S288">
        <v>22</v>
      </c>
      <c r="T288">
        <v>1</v>
      </c>
    </row>
    <row r="289" spans="1:20" ht="30" x14ac:dyDescent="0.25">
      <c r="A289" t="s">
        <v>627</v>
      </c>
      <c r="B289">
        <v>1</v>
      </c>
      <c r="C289" s="2" t="s">
        <v>628</v>
      </c>
      <c r="D289" s="3">
        <v>10215</v>
      </c>
      <c r="E289" s="4">
        <v>0</v>
      </c>
      <c r="F289" t="s">
        <v>23</v>
      </c>
      <c r="G289" s="3">
        <f t="shared" si="20"/>
        <v>10215</v>
      </c>
      <c r="H289" s="3">
        <v>0</v>
      </c>
      <c r="I289" s="3">
        <f t="shared" si="21"/>
        <v>10215</v>
      </c>
      <c r="J289" s="2" t="s">
        <v>27</v>
      </c>
      <c r="K289" s="5">
        <v>46232.583333333343</v>
      </c>
      <c r="L289">
        <v>1</v>
      </c>
      <c r="M289" s="3">
        <f t="shared" si="22"/>
        <v>10215</v>
      </c>
      <c r="N289" t="str">
        <f t="shared" si="23"/>
        <v>ставка</v>
      </c>
      <c r="O289" s="3">
        <f t="shared" si="24"/>
        <v>200.29</v>
      </c>
      <c r="P289" s="5">
        <v>46233.5</v>
      </c>
      <c r="Q289" t="s">
        <v>23</v>
      </c>
      <c r="R289" s="2" t="s">
        <v>40</v>
      </c>
      <c r="S289">
        <v>52</v>
      </c>
      <c r="T289">
        <v>2</v>
      </c>
    </row>
    <row r="290" spans="1:20" ht="30" x14ac:dyDescent="0.25">
      <c r="A290" t="s">
        <v>629</v>
      </c>
      <c r="B290">
        <v>1</v>
      </c>
      <c r="C290" s="2" t="s">
        <v>630</v>
      </c>
      <c r="D290" s="3">
        <v>23760</v>
      </c>
      <c r="E290" s="4">
        <v>0</v>
      </c>
      <c r="F290" t="s">
        <v>23</v>
      </c>
      <c r="G290" s="3">
        <f t="shared" si="20"/>
        <v>23760</v>
      </c>
      <c r="H290" s="3">
        <v>0</v>
      </c>
      <c r="I290" s="3">
        <f t="shared" si="21"/>
        <v>23760</v>
      </c>
      <c r="J290" s="2" t="s">
        <v>27</v>
      </c>
      <c r="K290" s="5">
        <v>46252.583333333343</v>
      </c>
      <c r="L290">
        <v>3</v>
      </c>
      <c r="M290" s="3">
        <f t="shared" si="22"/>
        <v>7920</v>
      </c>
      <c r="N290" t="str">
        <f t="shared" si="23"/>
        <v>ставка</v>
      </c>
      <c r="O290" s="3">
        <f t="shared" si="24"/>
        <v>465.88</v>
      </c>
      <c r="P290" s="5">
        <v>46255.5</v>
      </c>
      <c r="Q290" t="s">
        <v>23</v>
      </c>
      <c r="R290" s="2" t="s">
        <v>33</v>
      </c>
      <c r="S290">
        <v>43</v>
      </c>
      <c r="T290">
        <v>1</v>
      </c>
    </row>
    <row r="291" spans="1:20" x14ac:dyDescent="0.25">
      <c r="A291" t="s">
        <v>631</v>
      </c>
      <c r="B291">
        <v>1</v>
      </c>
      <c r="C291" s="2" t="s">
        <v>632</v>
      </c>
      <c r="D291" s="3">
        <v>79200</v>
      </c>
      <c r="E291" s="4">
        <v>20</v>
      </c>
      <c r="F291" t="s">
        <v>48</v>
      </c>
      <c r="G291" s="3">
        <f t="shared" si="20"/>
        <v>99000</v>
      </c>
      <c r="H291" s="3">
        <v>0</v>
      </c>
      <c r="I291" s="3">
        <f t="shared" si="21"/>
        <v>99000</v>
      </c>
      <c r="J291" s="2" t="s">
        <v>27</v>
      </c>
      <c r="K291" s="5">
        <v>46253.583333333343</v>
      </c>
      <c r="L291">
        <v>6</v>
      </c>
      <c r="M291" s="3">
        <f t="shared" si="22"/>
        <v>16500</v>
      </c>
      <c r="N291" t="str">
        <f t="shared" si="23"/>
        <v>ставка</v>
      </c>
      <c r="O291" s="3">
        <f t="shared" si="24"/>
        <v>1941.18</v>
      </c>
      <c r="P291" s="5">
        <v>46259.5</v>
      </c>
      <c r="Q291" t="s">
        <v>48</v>
      </c>
      <c r="R291" s="2" t="s">
        <v>49</v>
      </c>
      <c r="S291">
        <v>25</v>
      </c>
      <c r="T291">
        <v>1</v>
      </c>
    </row>
    <row r="292" spans="1:20" ht="30" x14ac:dyDescent="0.25">
      <c r="A292" t="s">
        <v>633</v>
      </c>
      <c r="B292">
        <v>1</v>
      </c>
      <c r="C292" s="2" t="s">
        <v>634</v>
      </c>
      <c r="D292" s="3">
        <v>34042.5</v>
      </c>
      <c r="E292" s="4">
        <v>15</v>
      </c>
      <c r="F292" t="s">
        <v>52</v>
      </c>
      <c r="G292" s="3">
        <f t="shared" si="20"/>
        <v>40050</v>
      </c>
      <c r="H292" s="3">
        <v>0</v>
      </c>
      <c r="I292" s="3">
        <f t="shared" si="21"/>
        <v>40050</v>
      </c>
      <c r="J292" s="2" t="s">
        <v>27</v>
      </c>
      <c r="K292" s="5">
        <v>46230.666666666657</v>
      </c>
      <c r="L292">
        <v>3</v>
      </c>
      <c r="M292" s="3">
        <f t="shared" si="22"/>
        <v>13350</v>
      </c>
      <c r="N292" t="str">
        <f t="shared" si="23"/>
        <v>ставка</v>
      </c>
      <c r="O292" s="3">
        <f t="shared" si="24"/>
        <v>785.29</v>
      </c>
      <c r="P292" s="5">
        <v>46233.5</v>
      </c>
      <c r="Q292" t="s">
        <v>52</v>
      </c>
      <c r="R292" s="2" t="s">
        <v>40</v>
      </c>
      <c r="S292">
        <v>44</v>
      </c>
      <c r="T292">
        <v>1</v>
      </c>
    </row>
    <row r="293" spans="1:20" ht="30" x14ac:dyDescent="0.25">
      <c r="A293" t="s">
        <v>635</v>
      </c>
      <c r="B293">
        <v>1</v>
      </c>
      <c r="C293" s="2" t="s">
        <v>636</v>
      </c>
      <c r="D293" s="3">
        <v>10215</v>
      </c>
      <c r="E293" s="4">
        <v>0</v>
      </c>
      <c r="F293" t="s">
        <v>23</v>
      </c>
      <c r="G293" s="3">
        <f t="shared" si="20"/>
        <v>10215</v>
      </c>
      <c r="H293" s="3">
        <v>0</v>
      </c>
      <c r="I293" s="3">
        <f t="shared" si="21"/>
        <v>10215</v>
      </c>
      <c r="J293" s="2" t="s">
        <v>27</v>
      </c>
      <c r="K293" s="5">
        <v>46284.583333333343</v>
      </c>
      <c r="L293">
        <v>1</v>
      </c>
      <c r="M293" s="3">
        <f t="shared" si="22"/>
        <v>10215</v>
      </c>
      <c r="N293" t="str">
        <f t="shared" si="23"/>
        <v>ставка</v>
      </c>
      <c r="O293" s="3">
        <f t="shared" si="24"/>
        <v>200.29</v>
      </c>
      <c r="P293" s="5">
        <v>46285.5</v>
      </c>
      <c r="Q293" t="s">
        <v>23</v>
      </c>
      <c r="R293" s="2" t="s">
        <v>40</v>
      </c>
      <c r="S293">
        <v>23</v>
      </c>
      <c r="T293">
        <v>1</v>
      </c>
    </row>
    <row r="294" spans="1:20" ht="30" x14ac:dyDescent="0.25">
      <c r="A294" t="s">
        <v>637</v>
      </c>
      <c r="B294">
        <v>1</v>
      </c>
      <c r="C294" s="2" t="s">
        <v>638</v>
      </c>
      <c r="D294" s="3">
        <v>21360</v>
      </c>
      <c r="E294" s="4">
        <v>20</v>
      </c>
      <c r="F294" t="s">
        <v>48</v>
      </c>
      <c r="G294" s="3">
        <f t="shared" si="20"/>
        <v>26700</v>
      </c>
      <c r="H294" s="3">
        <v>0</v>
      </c>
      <c r="I294" s="3">
        <f t="shared" si="21"/>
        <v>26700</v>
      </c>
      <c r="J294" s="2" t="s">
        <v>27</v>
      </c>
      <c r="K294" s="5">
        <v>46205.583333333343</v>
      </c>
      <c r="L294">
        <v>2</v>
      </c>
      <c r="M294" s="3">
        <f t="shared" si="22"/>
        <v>13350</v>
      </c>
      <c r="N294" t="str">
        <f t="shared" si="23"/>
        <v>ставка</v>
      </c>
      <c r="O294" s="3">
        <f t="shared" si="24"/>
        <v>523.53</v>
      </c>
      <c r="P294" s="5">
        <v>46207.5</v>
      </c>
      <c r="Q294" t="s">
        <v>48</v>
      </c>
      <c r="R294" s="2" t="s">
        <v>40</v>
      </c>
      <c r="S294">
        <v>36</v>
      </c>
      <c r="T294">
        <v>1</v>
      </c>
    </row>
    <row r="295" spans="1:20" ht="30" x14ac:dyDescent="0.25">
      <c r="A295" t="s">
        <v>639</v>
      </c>
      <c r="B295">
        <v>1</v>
      </c>
      <c r="C295" s="2" t="s">
        <v>640</v>
      </c>
      <c r="D295" s="3">
        <v>8415</v>
      </c>
      <c r="E295" s="4">
        <v>15</v>
      </c>
      <c r="F295" t="s">
        <v>52</v>
      </c>
      <c r="G295" s="3">
        <f t="shared" si="20"/>
        <v>9900</v>
      </c>
      <c r="H295" s="3">
        <v>0</v>
      </c>
      <c r="I295" s="3">
        <f t="shared" si="21"/>
        <v>9900</v>
      </c>
      <c r="J295" s="2" t="s">
        <v>27</v>
      </c>
      <c r="K295" s="5">
        <v>46211.75</v>
      </c>
      <c r="L295">
        <v>1</v>
      </c>
      <c r="M295" s="3">
        <f t="shared" si="22"/>
        <v>9900</v>
      </c>
      <c r="N295" t="str">
        <f t="shared" si="23"/>
        <v>ставка</v>
      </c>
      <c r="O295" s="3">
        <f t="shared" si="24"/>
        <v>194.12</v>
      </c>
      <c r="P295" s="5">
        <v>46212.5</v>
      </c>
      <c r="Q295" t="s">
        <v>52</v>
      </c>
      <c r="R295" s="2" t="s">
        <v>33</v>
      </c>
      <c r="S295">
        <v>41</v>
      </c>
      <c r="T295">
        <v>1</v>
      </c>
    </row>
    <row r="296" spans="1:20" ht="30" x14ac:dyDescent="0.25">
      <c r="A296" t="s">
        <v>641</v>
      </c>
      <c r="B296">
        <v>1</v>
      </c>
      <c r="C296" s="2" t="s">
        <v>642</v>
      </c>
      <c r="D296" s="3">
        <v>26180</v>
      </c>
      <c r="E296" s="4">
        <v>15</v>
      </c>
      <c r="F296" t="s">
        <v>52</v>
      </c>
      <c r="G296" s="3">
        <f t="shared" si="20"/>
        <v>30800</v>
      </c>
      <c r="H296" s="3">
        <v>0</v>
      </c>
      <c r="I296" s="3">
        <f t="shared" si="21"/>
        <v>30800</v>
      </c>
      <c r="J296" s="2" t="s">
        <v>27</v>
      </c>
      <c r="K296" s="5">
        <v>46257.583333333343</v>
      </c>
      <c r="L296">
        <v>2</v>
      </c>
      <c r="M296" s="3">
        <f t="shared" si="22"/>
        <v>15400</v>
      </c>
      <c r="N296" t="str">
        <f t="shared" si="23"/>
        <v>ставка</v>
      </c>
      <c r="O296" s="3">
        <f t="shared" si="24"/>
        <v>603.91999999999996</v>
      </c>
      <c r="P296" s="5">
        <v>46259.5</v>
      </c>
      <c r="Q296" t="s">
        <v>52</v>
      </c>
      <c r="R296" s="2" t="s">
        <v>24</v>
      </c>
      <c r="S296">
        <v>21</v>
      </c>
      <c r="T296">
        <v>1</v>
      </c>
    </row>
    <row r="297" spans="1:20" ht="30" x14ac:dyDescent="0.25">
      <c r="A297" t="s">
        <v>643</v>
      </c>
      <c r="B297">
        <v>1</v>
      </c>
      <c r="C297" s="2" t="s">
        <v>642</v>
      </c>
      <c r="D297" s="3">
        <v>12015</v>
      </c>
      <c r="E297" s="4">
        <v>0</v>
      </c>
      <c r="F297" t="s">
        <v>23</v>
      </c>
      <c r="G297" s="3">
        <f t="shared" si="20"/>
        <v>12015</v>
      </c>
      <c r="H297" s="3">
        <v>0</v>
      </c>
      <c r="I297" s="3">
        <f t="shared" si="21"/>
        <v>12015</v>
      </c>
      <c r="J297" s="2" t="s">
        <v>27</v>
      </c>
      <c r="K297" s="5">
        <v>46290.583333333343</v>
      </c>
      <c r="L297">
        <v>1</v>
      </c>
      <c r="M297" s="3">
        <f t="shared" si="22"/>
        <v>12015</v>
      </c>
      <c r="N297" t="str">
        <f t="shared" si="23"/>
        <v>ставка</v>
      </c>
      <c r="O297" s="3">
        <f t="shared" si="24"/>
        <v>235.59</v>
      </c>
      <c r="P297" s="5">
        <v>46291.5</v>
      </c>
      <c r="Q297" t="s">
        <v>23</v>
      </c>
      <c r="R297" s="2" t="s">
        <v>40</v>
      </c>
      <c r="S297">
        <v>52</v>
      </c>
      <c r="T297">
        <v>2</v>
      </c>
    </row>
    <row r="298" spans="1:20" ht="30" x14ac:dyDescent="0.25">
      <c r="A298" t="s">
        <v>644</v>
      </c>
      <c r="B298">
        <v>1</v>
      </c>
      <c r="C298" s="2" t="s">
        <v>645</v>
      </c>
      <c r="D298" s="3">
        <v>11214</v>
      </c>
      <c r="E298" s="4">
        <v>16</v>
      </c>
      <c r="F298" t="s">
        <v>36</v>
      </c>
      <c r="G298" s="3">
        <f t="shared" si="20"/>
        <v>13350</v>
      </c>
      <c r="H298" s="3">
        <v>0</v>
      </c>
      <c r="I298" s="3">
        <f t="shared" si="21"/>
        <v>13350</v>
      </c>
      <c r="J298" s="2" t="s">
        <v>27</v>
      </c>
      <c r="K298" s="5">
        <v>46267.583333333343</v>
      </c>
      <c r="L298">
        <v>1</v>
      </c>
      <c r="M298" s="3">
        <f t="shared" si="22"/>
        <v>13350</v>
      </c>
      <c r="N298" t="str">
        <f t="shared" si="23"/>
        <v>ставка</v>
      </c>
      <c r="O298" s="3">
        <f t="shared" si="24"/>
        <v>261.76</v>
      </c>
      <c r="P298" s="5">
        <v>46268.5</v>
      </c>
      <c r="Q298" t="s">
        <v>36</v>
      </c>
      <c r="R298" s="2" t="s">
        <v>40</v>
      </c>
      <c r="S298">
        <v>44</v>
      </c>
      <c r="T298">
        <v>1</v>
      </c>
    </row>
    <row r="299" spans="1:20" ht="30" x14ac:dyDescent="0.25">
      <c r="A299" t="s">
        <v>646</v>
      </c>
      <c r="B299">
        <v>1</v>
      </c>
      <c r="C299" s="2" t="s">
        <v>647</v>
      </c>
      <c r="D299" s="3">
        <v>42720</v>
      </c>
      <c r="E299" s="4">
        <v>18</v>
      </c>
      <c r="F299" t="s">
        <v>32</v>
      </c>
      <c r="G299" s="3">
        <f t="shared" si="20"/>
        <v>52097.56</v>
      </c>
      <c r="H299" s="3">
        <v>0</v>
      </c>
      <c r="I299" s="3">
        <f t="shared" si="21"/>
        <v>52097.56</v>
      </c>
      <c r="J299" s="2" t="s">
        <v>27</v>
      </c>
      <c r="K299" s="5">
        <v>46208.583333333343</v>
      </c>
      <c r="L299">
        <v>4</v>
      </c>
      <c r="M299" s="3">
        <f t="shared" si="22"/>
        <v>13024.39</v>
      </c>
      <c r="N299" t="str">
        <f t="shared" si="23"/>
        <v>ставка</v>
      </c>
      <c r="O299" s="3">
        <f t="shared" si="24"/>
        <v>1021.52</v>
      </c>
      <c r="P299" s="5">
        <v>46212.5</v>
      </c>
      <c r="Q299" t="s">
        <v>32</v>
      </c>
      <c r="R299" s="2" t="s">
        <v>40</v>
      </c>
      <c r="S299">
        <v>33</v>
      </c>
      <c r="T299">
        <v>1</v>
      </c>
    </row>
    <row r="300" spans="1:20" ht="30" x14ac:dyDescent="0.25">
      <c r="A300" t="s">
        <v>648</v>
      </c>
      <c r="B300">
        <v>1</v>
      </c>
      <c r="C300" s="2" t="s">
        <v>649</v>
      </c>
      <c r="D300" s="3">
        <v>45722.6</v>
      </c>
      <c r="E300" s="4">
        <v>4</v>
      </c>
      <c r="F300" t="s">
        <v>55</v>
      </c>
      <c r="G300" s="3">
        <f t="shared" si="20"/>
        <v>47627.71</v>
      </c>
      <c r="H300" s="3">
        <v>0</v>
      </c>
      <c r="I300" s="3">
        <f t="shared" si="21"/>
        <v>47627.71</v>
      </c>
      <c r="J300" s="2" t="s">
        <v>27</v>
      </c>
      <c r="K300" s="5">
        <v>46236.583333333343</v>
      </c>
      <c r="L300">
        <v>3</v>
      </c>
      <c r="M300" s="3">
        <f t="shared" si="22"/>
        <v>15875.903333333334</v>
      </c>
      <c r="N300" t="str">
        <f t="shared" si="23"/>
        <v>ставка</v>
      </c>
      <c r="O300" s="3">
        <f t="shared" si="24"/>
        <v>933.88</v>
      </c>
      <c r="P300" s="5">
        <v>46239.5</v>
      </c>
      <c r="Q300" t="s">
        <v>55</v>
      </c>
      <c r="R300" s="2" t="s">
        <v>24</v>
      </c>
      <c r="S300">
        <v>56</v>
      </c>
      <c r="T300">
        <v>2</v>
      </c>
    </row>
    <row r="301" spans="1:20" ht="30" x14ac:dyDescent="0.25">
      <c r="A301" t="s">
        <v>650</v>
      </c>
      <c r="B301">
        <v>1</v>
      </c>
      <c r="C301" s="2" t="s">
        <v>651</v>
      </c>
      <c r="D301" s="3">
        <v>56750</v>
      </c>
      <c r="E301" s="4">
        <v>0</v>
      </c>
      <c r="F301" t="s">
        <v>23</v>
      </c>
      <c r="G301" s="3">
        <f t="shared" si="20"/>
        <v>56750</v>
      </c>
      <c r="H301" s="3">
        <v>5675</v>
      </c>
      <c r="I301" s="3">
        <f t="shared" si="21"/>
        <v>62425</v>
      </c>
      <c r="J301" s="2" t="s">
        <v>341</v>
      </c>
      <c r="K301" s="5">
        <v>46278.583333333343</v>
      </c>
      <c r="L301">
        <v>5</v>
      </c>
      <c r="M301" s="3">
        <f t="shared" si="22"/>
        <v>12485</v>
      </c>
      <c r="N301" t="str">
        <f t="shared" si="23"/>
        <v>ставка</v>
      </c>
      <c r="O301" s="3">
        <f t="shared" si="24"/>
        <v>1224.02</v>
      </c>
      <c r="P301" s="5">
        <v>46283.75</v>
      </c>
      <c r="Q301" t="s">
        <v>23</v>
      </c>
      <c r="R301" s="2" t="s">
        <v>40</v>
      </c>
      <c r="S301">
        <v>44</v>
      </c>
      <c r="T301">
        <v>1</v>
      </c>
    </row>
    <row r="302" spans="1:20" ht="30" x14ac:dyDescent="0.25">
      <c r="A302" t="s">
        <v>652</v>
      </c>
      <c r="B302">
        <v>1</v>
      </c>
      <c r="C302" s="2" t="s">
        <v>653</v>
      </c>
      <c r="D302" s="3">
        <v>47520</v>
      </c>
      <c r="E302" s="4">
        <v>20</v>
      </c>
      <c r="F302" t="s">
        <v>48</v>
      </c>
      <c r="G302" s="3">
        <f t="shared" si="20"/>
        <v>59400</v>
      </c>
      <c r="H302" s="3">
        <v>600</v>
      </c>
      <c r="I302" s="3">
        <f t="shared" si="21"/>
        <v>60000</v>
      </c>
      <c r="J302" s="2" t="s">
        <v>550</v>
      </c>
      <c r="K302" s="5">
        <v>46276.583333333343</v>
      </c>
      <c r="L302">
        <v>6</v>
      </c>
      <c r="M302" s="3">
        <f t="shared" si="22"/>
        <v>10000</v>
      </c>
      <c r="N302" t="str">
        <f t="shared" si="23"/>
        <v>ставка</v>
      </c>
      <c r="O302" s="3">
        <f t="shared" si="24"/>
        <v>1176.47</v>
      </c>
      <c r="P302" s="5">
        <v>46282.5</v>
      </c>
      <c r="Q302" t="s">
        <v>48</v>
      </c>
      <c r="R302" s="2" t="s">
        <v>33</v>
      </c>
      <c r="S302">
        <v>41</v>
      </c>
      <c r="T302">
        <v>1</v>
      </c>
    </row>
    <row r="303" spans="1:20" ht="30" x14ac:dyDescent="0.25">
      <c r="A303" t="s">
        <v>654</v>
      </c>
      <c r="B303">
        <v>1</v>
      </c>
      <c r="C303" s="2" t="s">
        <v>655</v>
      </c>
      <c r="D303" s="3">
        <v>15840</v>
      </c>
      <c r="E303" s="4">
        <v>18</v>
      </c>
      <c r="F303" t="s">
        <v>32</v>
      </c>
      <c r="G303" s="3">
        <f t="shared" si="20"/>
        <v>19317.07</v>
      </c>
      <c r="H303" s="3">
        <v>0</v>
      </c>
      <c r="I303" s="3">
        <f t="shared" si="21"/>
        <v>19317.07</v>
      </c>
      <c r="J303" s="2" t="s">
        <v>27</v>
      </c>
      <c r="K303" s="5">
        <v>46226.583333333343</v>
      </c>
      <c r="L303">
        <v>2</v>
      </c>
      <c r="M303" s="3">
        <f t="shared" si="22"/>
        <v>9658.5349999999999</v>
      </c>
      <c r="N303" t="str">
        <f t="shared" si="23"/>
        <v>ставка</v>
      </c>
      <c r="O303" s="3">
        <f t="shared" si="24"/>
        <v>378.77</v>
      </c>
      <c r="P303" s="5">
        <v>46228.5</v>
      </c>
      <c r="Q303" t="s">
        <v>32</v>
      </c>
      <c r="R303" s="2" t="s">
        <v>33</v>
      </c>
      <c r="S303">
        <v>41</v>
      </c>
      <c r="T303">
        <v>1</v>
      </c>
    </row>
    <row r="304" spans="1:20" ht="30" x14ac:dyDescent="0.25">
      <c r="A304" t="s">
        <v>656</v>
      </c>
      <c r="B304">
        <v>1</v>
      </c>
      <c r="C304" s="2" t="s">
        <v>657</v>
      </c>
      <c r="D304" s="3">
        <v>27240</v>
      </c>
      <c r="E304" s="4">
        <v>20</v>
      </c>
      <c r="F304" t="s">
        <v>173</v>
      </c>
      <c r="G304" s="3">
        <f t="shared" si="20"/>
        <v>34050</v>
      </c>
      <c r="H304" s="3">
        <v>5675</v>
      </c>
      <c r="I304" s="3">
        <f t="shared" si="21"/>
        <v>39725</v>
      </c>
      <c r="J304" s="2" t="s">
        <v>163</v>
      </c>
      <c r="K304" s="5">
        <v>46286.583333333343</v>
      </c>
      <c r="L304">
        <v>3</v>
      </c>
      <c r="M304" s="3">
        <f t="shared" si="22"/>
        <v>13241.666666666666</v>
      </c>
      <c r="N304" t="str">
        <f t="shared" si="23"/>
        <v>ставка</v>
      </c>
      <c r="O304" s="3">
        <f t="shared" si="24"/>
        <v>778.92</v>
      </c>
      <c r="P304" s="5">
        <v>46289.833333333343</v>
      </c>
      <c r="Q304" t="s">
        <v>173</v>
      </c>
      <c r="R304" s="2" t="s">
        <v>40</v>
      </c>
      <c r="S304">
        <v>23</v>
      </c>
      <c r="T304">
        <v>1</v>
      </c>
    </row>
    <row r="305" spans="1:20" ht="45" x14ac:dyDescent="0.25">
      <c r="A305" t="s">
        <v>658</v>
      </c>
      <c r="B305">
        <v>1</v>
      </c>
      <c r="C305" s="2" t="s">
        <v>659</v>
      </c>
      <c r="D305" s="3">
        <v>8900</v>
      </c>
      <c r="E305" s="4">
        <v>0</v>
      </c>
      <c r="F305" t="s">
        <v>23</v>
      </c>
      <c r="G305" s="3">
        <f t="shared" si="20"/>
        <v>8900</v>
      </c>
      <c r="H305" s="3">
        <v>0</v>
      </c>
      <c r="I305" s="3">
        <f t="shared" si="21"/>
        <v>8900</v>
      </c>
      <c r="J305" s="2" t="s">
        <v>27</v>
      </c>
      <c r="K305" s="5">
        <v>46219.583333333343</v>
      </c>
      <c r="L305">
        <v>1</v>
      </c>
      <c r="M305" s="3">
        <f t="shared" si="22"/>
        <v>8900</v>
      </c>
      <c r="N305" t="str">
        <f t="shared" si="23"/>
        <v>ставка</v>
      </c>
      <c r="O305" s="3">
        <f t="shared" si="24"/>
        <v>174.51</v>
      </c>
      <c r="P305" s="5">
        <v>46220.5</v>
      </c>
      <c r="Q305" t="s">
        <v>23</v>
      </c>
      <c r="R305" s="2" t="s">
        <v>87</v>
      </c>
      <c r="S305">
        <v>50</v>
      </c>
      <c r="T305">
        <v>2</v>
      </c>
    </row>
    <row r="306" spans="1:20" ht="30" x14ac:dyDescent="0.25">
      <c r="A306" t="s">
        <v>660</v>
      </c>
      <c r="B306">
        <v>1</v>
      </c>
      <c r="C306" s="2" t="s">
        <v>661</v>
      </c>
      <c r="D306" s="3">
        <v>7920</v>
      </c>
      <c r="E306" s="4">
        <v>20</v>
      </c>
      <c r="F306" t="s">
        <v>48</v>
      </c>
      <c r="G306" s="3">
        <f t="shared" si="20"/>
        <v>9900</v>
      </c>
      <c r="H306" s="3">
        <v>0</v>
      </c>
      <c r="I306" s="3">
        <f t="shared" si="21"/>
        <v>9900</v>
      </c>
      <c r="J306" s="2" t="s">
        <v>27</v>
      </c>
      <c r="K306" s="5">
        <v>46270.583333333343</v>
      </c>
      <c r="L306">
        <v>1</v>
      </c>
      <c r="M306" s="3">
        <f t="shared" si="22"/>
        <v>9900</v>
      </c>
      <c r="N306" t="str">
        <f t="shared" si="23"/>
        <v>ставка</v>
      </c>
      <c r="O306" s="3">
        <f t="shared" si="24"/>
        <v>194.12</v>
      </c>
      <c r="P306" s="5">
        <v>46271.5</v>
      </c>
      <c r="Q306" t="s">
        <v>48</v>
      </c>
      <c r="R306" s="2" t="s">
        <v>33</v>
      </c>
      <c r="S306">
        <v>47</v>
      </c>
      <c r="T306">
        <v>1</v>
      </c>
    </row>
    <row r="307" spans="1:20" ht="30" x14ac:dyDescent="0.25">
      <c r="A307" t="s">
        <v>662</v>
      </c>
      <c r="B307">
        <v>1</v>
      </c>
      <c r="C307" s="2" t="s">
        <v>663</v>
      </c>
      <c r="D307" s="3">
        <v>55402.5</v>
      </c>
      <c r="E307" s="4">
        <v>17</v>
      </c>
      <c r="F307" t="s">
        <v>130</v>
      </c>
      <c r="G307" s="3">
        <f t="shared" si="20"/>
        <v>66750</v>
      </c>
      <c r="H307" s="3">
        <v>0</v>
      </c>
      <c r="I307" s="3">
        <f t="shared" si="21"/>
        <v>66750</v>
      </c>
      <c r="J307" s="2" t="s">
        <v>27</v>
      </c>
      <c r="K307" s="5">
        <v>46243.583333333343</v>
      </c>
      <c r="L307">
        <v>5</v>
      </c>
      <c r="M307" s="3">
        <f t="shared" si="22"/>
        <v>13350</v>
      </c>
      <c r="N307" t="str">
        <f t="shared" si="23"/>
        <v>ставка</v>
      </c>
      <c r="O307" s="3">
        <f t="shared" si="24"/>
        <v>1308.82</v>
      </c>
      <c r="P307" s="5">
        <v>46248.5</v>
      </c>
      <c r="Q307" t="s">
        <v>130</v>
      </c>
      <c r="R307" s="2" t="s">
        <v>40</v>
      </c>
      <c r="S307">
        <v>23</v>
      </c>
      <c r="T307">
        <v>1</v>
      </c>
    </row>
    <row r="308" spans="1:20" ht="30" x14ac:dyDescent="0.25">
      <c r="A308" t="s">
        <v>664</v>
      </c>
      <c r="B308">
        <v>1</v>
      </c>
      <c r="C308" s="2" t="s">
        <v>665</v>
      </c>
      <c r="D308" s="3">
        <v>35048.199999999997</v>
      </c>
      <c r="E308" s="4">
        <v>4</v>
      </c>
      <c r="F308" t="s">
        <v>55</v>
      </c>
      <c r="G308" s="3">
        <f t="shared" si="20"/>
        <v>36508.54</v>
      </c>
      <c r="H308" s="3">
        <v>0</v>
      </c>
      <c r="I308" s="3">
        <f t="shared" si="21"/>
        <v>36508.54</v>
      </c>
      <c r="J308" s="2" t="s">
        <v>27</v>
      </c>
      <c r="K308" s="5">
        <v>46243.583333333343</v>
      </c>
      <c r="L308">
        <v>2</v>
      </c>
      <c r="M308" s="3">
        <f t="shared" si="22"/>
        <v>18254.27</v>
      </c>
      <c r="N308" t="str">
        <f t="shared" si="23"/>
        <v>ставка</v>
      </c>
      <c r="O308" s="3">
        <f t="shared" si="24"/>
        <v>715.85</v>
      </c>
      <c r="P308" s="5">
        <v>46245.5</v>
      </c>
      <c r="Q308" t="s">
        <v>55</v>
      </c>
      <c r="R308" s="2" t="s">
        <v>45</v>
      </c>
      <c r="S308">
        <v>57</v>
      </c>
      <c r="T308">
        <v>2</v>
      </c>
    </row>
    <row r="309" spans="1:20" ht="30" x14ac:dyDescent="0.25">
      <c r="A309" t="s">
        <v>666</v>
      </c>
      <c r="B309">
        <v>1</v>
      </c>
      <c r="C309" s="2" t="s">
        <v>667</v>
      </c>
      <c r="D309" s="3">
        <v>12320</v>
      </c>
      <c r="E309" s="4">
        <v>20</v>
      </c>
      <c r="F309" t="s">
        <v>173</v>
      </c>
      <c r="G309" s="3">
        <f t="shared" si="20"/>
        <v>15400</v>
      </c>
      <c r="H309" s="3">
        <v>0</v>
      </c>
      <c r="I309" s="3">
        <f t="shared" si="21"/>
        <v>15400</v>
      </c>
      <c r="J309" s="2" t="s">
        <v>27</v>
      </c>
      <c r="K309" s="5">
        <v>46289.583333333343</v>
      </c>
      <c r="L309">
        <v>2</v>
      </c>
      <c r="M309" s="3">
        <f t="shared" si="22"/>
        <v>7700</v>
      </c>
      <c r="N309" t="str">
        <f t="shared" si="23"/>
        <v>ставка</v>
      </c>
      <c r="O309" s="3">
        <f t="shared" si="24"/>
        <v>301.95999999999998</v>
      </c>
      <c r="P309" s="5">
        <v>46291.5</v>
      </c>
      <c r="Q309" t="s">
        <v>173</v>
      </c>
      <c r="R309" s="2" t="s">
        <v>58</v>
      </c>
      <c r="S309">
        <v>34</v>
      </c>
      <c r="T309">
        <v>1</v>
      </c>
    </row>
    <row r="310" spans="1:20" ht="45" x14ac:dyDescent="0.25">
      <c r="A310" t="s">
        <v>668</v>
      </c>
      <c r="B310">
        <v>1</v>
      </c>
      <c r="C310" s="2" t="s">
        <v>669</v>
      </c>
      <c r="D310" s="3">
        <v>49130</v>
      </c>
      <c r="E310" s="4">
        <v>15</v>
      </c>
      <c r="F310" t="s">
        <v>168</v>
      </c>
      <c r="G310" s="3">
        <f t="shared" si="20"/>
        <v>57800</v>
      </c>
      <c r="H310" s="3">
        <v>0</v>
      </c>
      <c r="I310" s="3">
        <f t="shared" si="21"/>
        <v>57800</v>
      </c>
      <c r="J310" s="2" t="s">
        <v>27</v>
      </c>
      <c r="K310" s="5">
        <v>46254.583333333343</v>
      </c>
      <c r="L310">
        <v>4</v>
      </c>
      <c r="M310" s="3">
        <f t="shared" si="22"/>
        <v>14450</v>
      </c>
      <c r="N310" t="str">
        <f t="shared" si="23"/>
        <v>ставка</v>
      </c>
      <c r="O310" s="3">
        <f t="shared" si="24"/>
        <v>1133.33</v>
      </c>
      <c r="P310" s="5">
        <v>46258.5</v>
      </c>
      <c r="Q310" t="s">
        <v>168</v>
      </c>
      <c r="R310" s="2" t="s">
        <v>87</v>
      </c>
      <c r="S310">
        <v>51</v>
      </c>
      <c r="T310">
        <v>2</v>
      </c>
    </row>
    <row r="311" spans="1:20" x14ac:dyDescent="0.25">
      <c r="A311" t="s">
        <v>670</v>
      </c>
      <c r="B311">
        <v>1</v>
      </c>
      <c r="C311" s="2" t="s">
        <v>671</v>
      </c>
      <c r="D311" s="3">
        <v>10375</v>
      </c>
      <c r="E311" s="4">
        <v>18</v>
      </c>
      <c r="F311" t="s">
        <v>32</v>
      </c>
      <c r="G311" s="3">
        <f t="shared" si="20"/>
        <v>12652.44</v>
      </c>
      <c r="H311" s="3">
        <v>0</v>
      </c>
      <c r="I311" s="3">
        <f t="shared" si="21"/>
        <v>12652.44</v>
      </c>
      <c r="J311" s="2"/>
      <c r="K311" s="5">
        <v>46253.583333333343</v>
      </c>
      <c r="L311">
        <v>1</v>
      </c>
      <c r="M311" s="3">
        <f t="shared" si="22"/>
        <v>12652.44</v>
      </c>
      <c r="N311" t="str">
        <f t="shared" si="23"/>
        <v>ставка</v>
      </c>
      <c r="O311" s="3">
        <f t="shared" si="24"/>
        <v>248.09</v>
      </c>
      <c r="P311" s="5">
        <v>46254.5</v>
      </c>
      <c r="Q311" t="s">
        <v>32</v>
      </c>
      <c r="R311" s="2" t="s">
        <v>45</v>
      </c>
      <c r="S311">
        <v>53</v>
      </c>
      <c r="T311">
        <v>2</v>
      </c>
    </row>
    <row r="312" spans="1:20" ht="30" x14ac:dyDescent="0.25">
      <c r="A312" t="s">
        <v>672</v>
      </c>
      <c r="B312">
        <v>1</v>
      </c>
      <c r="C312" s="2" t="s">
        <v>673</v>
      </c>
      <c r="D312" s="3">
        <v>71200</v>
      </c>
      <c r="E312" s="4">
        <v>0</v>
      </c>
      <c r="F312" t="s">
        <v>23</v>
      </c>
      <c r="G312" s="3">
        <f t="shared" si="20"/>
        <v>71200</v>
      </c>
      <c r="H312" s="3">
        <v>2960</v>
      </c>
      <c r="I312" s="3">
        <f t="shared" si="21"/>
        <v>74160</v>
      </c>
      <c r="J312" s="2" t="s">
        <v>674</v>
      </c>
      <c r="K312" s="5">
        <v>46233.583333333343</v>
      </c>
      <c r="L312">
        <v>4</v>
      </c>
      <c r="M312" s="3">
        <f t="shared" si="22"/>
        <v>18540</v>
      </c>
      <c r="N312" t="str">
        <f t="shared" si="23"/>
        <v>ставка</v>
      </c>
      <c r="O312" s="3">
        <f t="shared" si="24"/>
        <v>1454.12</v>
      </c>
      <c r="P312" s="5">
        <v>46237.666666666657</v>
      </c>
      <c r="Q312" t="s">
        <v>23</v>
      </c>
      <c r="R312" s="2" t="s">
        <v>45</v>
      </c>
      <c r="S312">
        <v>57</v>
      </c>
      <c r="T312">
        <v>2</v>
      </c>
    </row>
    <row r="313" spans="1:20" x14ac:dyDescent="0.25">
      <c r="A313" t="s">
        <v>675</v>
      </c>
      <c r="B313">
        <v>1</v>
      </c>
      <c r="C313" s="2" t="s">
        <v>676</v>
      </c>
      <c r="D313" s="3">
        <v>14774</v>
      </c>
      <c r="E313" s="4">
        <v>18</v>
      </c>
      <c r="F313" t="s">
        <v>32</v>
      </c>
      <c r="G313" s="3">
        <f t="shared" si="20"/>
        <v>18017.07</v>
      </c>
      <c r="H313" s="3">
        <v>0</v>
      </c>
      <c r="I313" s="3">
        <f t="shared" si="21"/>
        <v>18017.07</v>
      </c>
      <c r="J313" s="2" t="s">
        <v>27</v>
      </c>
      <c r="K313" s="5">
        <v>46239.583333333343</v>
      </c>
      <c r="L313">
        <v>1</v>
      </c>
      <c r="M313" s="3">
        <f t="shared" si="22"/>
        <v>18017.07</v>
      </c>
      <c r="N313" t="str">
        <f t="shared" si="23"/>
        <v>ставка</v>
      </c>
      <c r="O313" s="3">
        <f t="shared" si="24"/>
        <v>353.28</v>
      </c>
      <c r="P313" s="5">
        <v>46240.5</v>
      </c>
      <c r="Q313" t="s">
        <v>32</v>
      </c>
      <c r="R313" s="2" t="s">
        <v>45</v>
      </c>
      <c r="S313">
        <v>57</v>
      </c>
      <c r="T313">
        <v>2</v>
      </c>
    </row>
    <row r="314" spans="1:20" ht="30" x14ac:dyDescent="0.25">
      <c r="A314" t="s">
        <v>677</v>
      </c>
      <c r="B314">
        <v>1</v>
      </c>
      <c r="C314" s="2" t="s">
        <v>678</v>
      </c>
      <c r="D314" s="3">
        <v>11214</v>
      </c>
      <c r="E314" s="4">
        <v>16</v>
      </c>
      <c r="F314" t="s">
        <v>36</v>
      </c>
      <c r="G314" s="3">
        <f t="shared" si="20"/>
        <v>13350</v>
      </c>
      <c r="H314" s="3">
        <v>0</v>
      </c>
      <c r="I314" s="3">
        <f t="shared" si="21"/>
        <v>13350</v>
      </c>
      <c r="J314" s="2" t="s">
        <v>27</v>
      </c>
      <c r="K314" s="5">
        <v>46255.583333333343</v>
      </c>
      <c r="L314">
        <v>1</v>
      </c>
      <c r="M314" s="3">
        <f t="shared" si="22"/>
        <v>13350</v>
      </c>
      <c r="N314" t="str">
        <f t="shared" si="23"/>
        <v>ставка</v>
      </c>
      <c r="O314" s="3">
        <f t="shared" si="24"/>
        <v>261.76</v>
      </c>
      <c r="P314" s="5">
        <v>46256.5</v>
      </c>
      <c r="Q314" t="s">
        <v>36</v>
      </c>
      <c r="R314" s="2" t="s">
        <v>40</v>
      </c>
      <c r="S314">
        <v>23</v>
      </c>
      <c r="T314">
        <v>1</v>
      </c>
    </row>
    <row r="315" spans="1:20" ht="30" x14ac:dyDescent="0.25">
      <c r="A315" t="s">
        <v>679</v>
      </c>
      <c r="B315">
        <v>1</v>
      </c>
      <c r="C315" s="2" t="s">
        <v>680</v>
      </c>
      <c r="D315" s="3">
        <v>34050</v>
      </c>
      <c r="E315" s="4">
        <v>0</v>
      </c>
      <c r="F315" t="s">
        <v>23</v>
      </c>
      <c r="G315" s="3">
        <f t="shared" si="20"/>
        <v>34050</v>
      </c>
      <c r="H315" s="3">
        <v>0</v>
      </c>
      <c r="I315" s="3">
        <f t="shared" si="21"/>
        <v>34050</v>
      </c>
      <c r="J315" s="2" t="s">
        <v>27</v>
      </c>
      <c r="K315" s="5">
        <v>46207.583333333343</v>
      </c>
      <c r="L315">
        <v>3</v>
      </c>
      <c r="M315" s="3">
        <f t="shared" si="22"/>
        <v>11350</v>
      </c>
      <c r="N315" t="str">
        <f t="shared" si="23"/>
        <v>ставка</v>
      </c>
      <c r="O315" s="3">
        <f t="shared" si="24"/>
        <v>667.65</v>
      </c>
      <c r="P315" s="5">
        <v>46210.5</v>
      </c>
      <c r="Q315" t="s">
        <v>23</v>
      </c>
      <c r="R315" s="2" t="s">
        <v>40</v>
      </c>
      <c r="S315">
        <v>36</v>
      </c>
      <c r="T315">
        <v>1</v>
      </c>
    </row>
    <row r="316" spans="1:20" ht="30" x14ac:dyDescent="0.25">
      <c r="A316" t="s">
        <v>681</v>
      </c>
      <c r="B316">
        <v>1</v>
      </c>
      <c r="C316" s="2" t="s">
        <v>682</v>
      </c>
      <c r="D316" s="3">
        <v>29700</v>
      </c>
      <c r="E316" s="4">
        <v>0</v>
      </c>
      <c r="F316" t="s">
        <v>23</v>
      </c>
      <c r="G316" s="3">
        <f t="shared" si="20"/>
        <v>29700</v>
      </c>
      <c r="H316" s="3">
        <v>0</v>
      </c>
      <c r="I316" s="3">
        <f t="shared" si="21"/>
        <v>29700</v>
      </c>
      <c r="J316" s="2" t="s">
        <v>27</v>
      </c>
      <c r="K316" s="5">
        <v>46283.583333333343</v>
      </c>
      <c r="L316">
        <v>2</v>
      </c>
      <c r="M316" s="3">
        <f t="shared" si="22"/>
        <v>14850</v>
      </c>
      <c r="N316" t="str">
        <f t="shared" si="23"/>
        <v>ставка</v>
      </c>
      <c r="O316" s="3">
        <f t="shared" si="24"/>
        <v>582.35</v>
      </c>
      <c r="P316" s="5">
        <v>46285.5</v>
      </c>
      <c r="Q316" t="s">
        <v>23</v>
      </c>
      <c r="R316" s="2" t="s">
        <v>49</v>
      </c>
      <c r="S316">
        <v>35</v>
      </c>
      <c r="T316">
        <v>1</v>
      </c>
    </row>
    <row r="317" spans="1:20" ht="30" x14ac:dyDescent="0.25">
      <c r="A317" t="s">
        <v>683</v>
      </c>
      <c r="B317">
        <v>1</v>
      </c>
      <c r="C317" s="2" t="s">
        <v>684</v>
      </c>
      <c r="D317" s="3">
        <v>9593.1</v>
      </c>
      <c r="E317" s="4">
        <v>4</v>
      </c>
      <c r="F317" t="s">
        <v>55</v>
      </c>
      <c r="G317" s="3">
        <f t="shared" si="20"/>
        <v>9992.81</v>
      </c>
      <c r="H317" s="3">
        <v>0</v>
      </c>
      <c r="I317" s="3">
        <f t="shared" si="21"/>
        <v>9992.81</v>
      </c>
      <c r="J317" s="2" t="s">
        <v>27</v>
      </c>
      <c r="K317" s="5">
        <v>46231.583333333343</v>
      </c>
      <c r="L317">
        <v>1</v>
      </c>
      <c r="M317" s="3">
        <f t="shared" si="22"/>
        <v>9992.81</v>
      </c>
      <c r="N317" t="str">
        <f t="shared" si="23"/>
        <v>ставка</v>
      </c>
      <c r="O317" s="3">
        <f t="shared" si="24"/>
        <v>195.94</v>
      </c>
      <c r="P317" s="5">
        <v>46232.5</v>
      </c>
      <c r="Q317" t="s">
        <v>55</v>
      </c>
      <c r="R317" s="2" t="s">
        <v>33</v>
      </c>
      <c r="S317">
        <v>45</v>
      </c>
      <c r="T317">
        <v>1</v>
      </c>
    </row>
    <row r="318" spans="1:20" ht="30" x14ac:dyDescent="0.25">
      <c r="A318" t="s">
        <v>685</v>
      </c>
      <c r="B318">
        <v>1</v>
      </c>
      <c r="C318" s="2" t="s">
        <v>686</v>
      </c>
      <c r="D318" s="3">
        <v>66732</v>
      </c>
      <c r="E318" s="4">
        <v>20</v>
      </c>
      <c r="F318" t="s">
        <v>173</v>
      </c>
      <c r="G318" s="3">
        <f t="shared" si="20"/>
        <v>83415</v>
      </c>
      <c r="H318" s="3">
        <v>0</v>
      </c>
      <c r="I318" s="3">
        <f t="shared" si="21"/>
        <v>83415</v>
      </c>
      <c r="J318" s="2" t="s">
        <v>27</v>
      </c>
      <c r="K318" s="5">
        <v>46251.583333333343</v>
      </c>
      <c r="L318">
        <v>6</v>
      </c>
      <c r="M318" s="3">
        <f t="shared" si="22"/>
        <v>13902.5</v>
      </c>
      <c r="N318" t="str">
        <f t="shared" si="23"/>
        <v>ставка</v>
      </c>
      <c r="O318" s="3">
        <f t="shared" si="24"/>
        <v>1635.59</v>
      </c>
      <c r="P318" s="5">
        <v>46257.5</v>
      </c>
      <c r="Q318" t="s">
        <v>173</v>
      </c>
      <c r="R318" s="2" t="s">
        <v>24</v>
      </c>
      <c r="S318">
        <v>21</v>
      </c>
      <c r="T318">
        <v>1</v>
      </c>
    </row>
    <row r="319" spans="1:20" ht="30" x14ac:dyDescent="0.25">
      <c r="A319" t="s">
        <v>687</v>
      </c>
      <c r="B319">
        <v>1</v>
      </c>
      <c r="C319" s="2" t="s">
        <v>688</v>
      </c>
      <c r="D319" s="3">
        <v>31440</v>
      </c>
      <c r="E319" s="4">
        <v>18</v>
      </c>
      <c r="F319" t="s">
        <v>32</v>
      </c>
      <c r="G319" s="3">
        <f t="shared" si="20"/>
        <v>38341.46</v>
      </c>
      <c r="H319" s="3">
        <v>0</v>
      </c>
      <c r="I319" s="3">
        <f t="shared" si="21"/>
        <v>38341.46</v>
      </c>
      <c r="J319" s="2" t="s">
        <v>27</v>
      </c>
      <c r="K319" s="5">
        <v>46292.583333333343</v>
      </c>
      <c r="L319">
        <v>5</v>
      </c>
      <c r="M319" s="3">
        <f t="shared" si="22"/>
        <v>7668.2919999999995</v>
      </c>
      <c r="N319" t="str">
        <f t="shared" si="23"/>
        <v>ставка</v>
      </c>
      <c r="O319" s="3">
        <f t="shared" si="24"/>
        <v>751.79</v>
      </c>
      <c r="P319" s="5">
        <v>46297.5</v>
      </c>
      <c r="Q319" t="s">
        <v>32</v>
      </c>
      <c r="R319" s="2" t="s">
        <v>33</v>
      </c>
      <c r="S319">
        <v>45</v>
      </c>
      <c r="T319">
        <v>1</v>
      </c>
    </row>
    <row r="320" spans="1:20" ht="30" x14ac:dyDescent="0.25">
      <c r="A320" t="s">
        <v>689</v>
      </c>
      <c r="B320">
        <v>1</v>
      </c>
      <c r="C320" s="2" t="s">
        <v>690</v>
      </c>
      <c r="D320" s="3">
        <v>13090</v>
      </c>
      <c r="E320" s="4">
        <v>15</v>
      </c>
      <c r="F320" t="s">
        <v>36</v>
      </c>
      <c r="G320" s="3">
        <f t="shared" si="20"/>
        <v>15400</v>
      </c>
      <c r="H320" s="3">
        <v>0</v>
      </c>
      <c r="I320" s="3">
        <f t="shared" si="21"/>
        <v>15400</v>
      </c>
      <c r="J320" s="2" t="s">
        <v>27</v>
      </c>
      <c r="K320" s="5">
        <v>46227.583333333343</v>
      </c>
      <c r="L320">
        <v>1</v>
      </c>
      <c r="M320" s="3">
        <f t="shared" si="22"/>
        <v>15400</v>
      </c>
      <c r="N320" t="str">
        <f t="shared" si="23"/>
        <v>ставка</v>
      </c>
      <c r="O320" s="3">
        <f t="shared" si="24"/>
        <v>301.95999999999998</v>
      </c>
      <c r="P320" s="5">
        <v>46228.5</v>
      </c>
      <c r="Q320" t="s">
        <v>36</v>
      </c>
      <c r="R320" s="2" t="s">
        <v>24</v>
      </c>
      <c r="S320">
        <v>31</v>
      </c>
      <c r="T320">
        <v>1</v>
      </c>
    </row>
    <row r="321" spans="1:20" ht="30" x14ac:dyDescent="0.25">
      <c r="A321" t="s">
        <v>691</v>
      </c>
      <c r="B321">
        <v>1</v>
      </c>
      <c r="C321" s="2" t="s">
        <v>692</v>
      </c>
      <c r="D321" s="3">
        <v>34050</v>
      </c>
      <c r="E321" s="4">
        <v>0</v>
      </c>
      <c r="F321" t="s">
        <v>23</v>
      </c>
      <c r="G321" s="3">
        <f t="shared" si="20"/>
        <v>34050</v>
      </c>
      <c r="H321" s="3">
        <v>0</v>
      </c>
      <c r="I321" s="3">
        <f t="shared" si="21"/>
        <v>34050</v>
      </c>
      <c r="J321" s="2" t="s">
        <v>27</v>
      </c>
      <c r="K321" s="5">
        <v>46222.583333333343</v>
      </c>
      <c r="L321">
        <v>3</v>
      </c>
      <c r="M321" s="3">
        <f t="shared" si="22"/>
        <v>11350</v>
      </c>
      <c r="N321" t="str">
        <f t="shared" si="23"/>
        <v>ставка</v>
      </c>
      <c r="O321" s="3">
        <f t="shared" si="24"/>
        <v>667.65</v>
      </c>
      <c r="P321" s="5">
        <v>46225.5</v>
      </c>
      <c r="Q321" t="s">
        <v>23</v>
      </c>
      <c r="R321" s="2" t="s">
        <v>40</v>
      </c>
      <c r="S321">
        <v>33</v>
      </c>
      <c r="T321">
        <v>1</v>
      </c>
    </row>
    <row r="322" spans="1:20" ht="45" x14ac:dyDescent="0.25">
      <c r="A322" t="s">
        <v>693</v>
      </c>
      <c r="B322">
        <v>1</v>
      </c>
      <c r="C322" s="2" t="s">
        <v>694</v>
      </c>
      <c r="D322" s="3">
        <v>51750</v>
      </c>
      <c r="E322" s="4">
        <v>4</v>
      </c>
      <c r="F322" t="s">
        <v>55</v>
      </c>
      <c r="G322" s="3">
        <f t="shared" ref="G322:G385" si="25">ROUND(D322/(100-E322)*100,2)</f>
        <v>53906.25</v>
      </c>
      <c r="H322" s="3">
        <v>8400</v>
      </c>
      <c r="I322" s="3">
        <f t="shared" ref="I322:I385" si="26">ROUND(G322+H322,2)</f>
        <v>62306.25</v>
      </c>
      <c r="J322" s="2" t="s">
        <v>695</v>
      </c>
      <c r="K322" s="5">
        <v>46259.583333333343</v>
      </c>
      <c r="L322">
        <v>3</v>
      </c>
      <c r="M322" s="3">
        <f t="shared" ref="M322:M385" si="27">I322/L322</f>
        <v>20768.75</v>
      </c>
      <c r="N322" t="str">
        <f t="shared" ref="N322:N385" si="28">IF(M322&gt;=5100,"ставка","мин.ставка")</f>
        <v>ставка</v>
      </c>
      <c r="O322" s="3">
        <f t="shared" ref="O322:O385" si="29">ROUND(IF(N322="мин.ставка",L322*100,I322/102*2),2)</f>
        <v>1221.69</v>
      </c>
      <c r="P322" s="5">
        <v>46262.5</v>
      </c>
      <c r="Q322" t="s">
        <v>55</v>
      </c>
      <c r="R322" s="2" t="s">
        <v>87</v>
      </c>
      <c r="S322">
        <v>51</v>
      </c>
      <c r="T322">
        <v>2</v>
      </c>
    </row>
    <row r="323" spans="1:20" ht="30" x14ac:dyDescent="0.25">
      <c r="A323" t="s">
        <v>696</v>
      </c>
      <c r="B323">
        <v>1</v>
      </c>
      <c r="C323" s="2" t="s">
        <v>697</v>
      </c>
      <c r="D323" s="3">
        <v>97515</v>
      </c>
      <c r="E323" s="4">
        <v>17</v>
      </c>
      <c r="F323" t="s">
        <v>394</v>
      </c>
      <c r="G323" s="3">
        <f t="shared" si="25"/>
        <v>117487.95</v>
      </c>
      <c r="H323" s="3">
        <v>0</v>
      </c>
      <c r="I323" s="3">
        <f t="shared" si="26"/>
        <v>117487.95</v>
      </c>
      <c r="J323" s="2" t="s">
        <v>27</v>
      </c>
      <c r="K323" s="5">
        <v>46204.583333333343</v>
      </c>
      <c r="L323">
        <v>10</v>
      </c>
      <c r="M323" s="3">
        <f t="shared" si="27"/>
        <v>11748.795</v>
      </c>
      <c r="N323" t="str">
        <f t="shared" si="28"/>
        <v>ставка</v>
      </c>
      <c r="O323" s="3">
        <f t="shared" si="29"/>
        <v>2303.69</v>
      </c>
      <c r="P323" s="5">
        <v>46214.5</v>
      </c>
      <c r="Q323" t="s">
        <v>394</v>
      </c>
      <c r="R323" s="2" t="s">
        <v>33</v>
      </c>
      <c r="S323" s="6"/>
    </row>
    <row r="324" spans="1:20" x14ac:dyDescent="0.25">
      <c r="A324" t="s">
        <v>698</v>
      </c>
      <c r="B324">
        <v>1</v>
      </c>
      <c r="C324" s="2" t="s">
        <v>699</v>
      </c>
      <c r="D324" s="3">
        <v>59400</v>
      </c>
      <c r="E324" s="4">
        <v>0</v>
      </c>
      <c r="F324" t="s">
        <v>23</v>
      </c>
      <c r="G324" s="3">
        <f t="shared" si="25"/>
        <v>59400</v>
      </c>
      <c r="H324" s="3">
        <v>0</v>
      </c>
      <c r="I324" s="3">
        <f t="shared" si="26"/>
        <v>59400</v>
      </c>
      <c r="J324" s="2" t="s">
        <v>27</v>
      </c>
      <c r="K324" s="5">
        <v>46232.583333333343</v>
      </c>
      <c r="L324">
        <v>4</v>
      </c>
      <c r="M324" s="3">
        <f t="shared" si="27"/>
        <v>14850</v>
      </c>
      <c r="N324" t="str">
        <f t="shared" si="28"/>
        <v>ставка</v>
      </c>
      <c r="O324" s="3">
        <f t="shared" si="29"/>
        <v>1164.71</v>
      </c>
      <c r="P324" s="5">
        <v>46236.5</v>
      </c>
      <c r="Q324" t="s">
        <v>23</v>
      </c>
      <c r="R324" s="2" t="s">
        <v>49</v>
      </c>
      <c r="S324">
        <v>11</v>
      </c>
      <c r="T324">
        <v>1</v>
      </c>
    </row>
    <row r="325" spans="1:20" x14ac:dyDescent="0.25">
      <c r="A325" t="s">
        <v>700</v>
      </c>
      <c r="B325">
        <v>1</v>
      </c>
      <c r="C325" s="2" t="s">
        <v>701</v>
      </c>
      <c r="D325" s="3">
        <v>20368</v>
      </c>
      <c r="E325" s="4">
        <v>18</v>
      </c>
      <c r="F325" t="s">
        <v>32</v>
      </c>
      <c r="G325" s="3">
        <f t="shared" si="25"/>
        <v>24839.02</v>
      </c>
      <c r="H325" s="3">
        <v>0</v>
      </c>
      <c r="I325" s="3">
        <f t="shared" si="26"/>
        <v>24839.02</v>
      </c>
      <c r="J325" s="2" t="s">
        <v>27</v>
      </c>
      <c r="K325" s="5">
        <v>46224.583333333343</v>
      </c>
      <c r="L325">
        <v>2</v>
      </c>
      <c r="M325" s="3">
        <f t="shared" si="27"/>
        <v>12419.51</v>
      </c>
      <c r="N325" t="str">
        <f t="shared" si="28"/>
        <v>ставка</v>
      </c>
      <c r="O325" s="3">
        <f t="shared" si="29"/>
        <v>487.04</v>
      </c>
      <c r="P325" s="5">
        <v>46226.583333333343</v>
      </c>
      <c r="Q325" t="s">
        <v>32</v>
      </c>
      <c r="R325" s="2" t="s">
        <v>49</v>
      </c>
      <c r="S325">
        <v>11</v>
      </c>
      <c r="T325">
        <v>1</v>
      </c>
    </row>
    <row r="326" spans="1:20" ht="30" x14ac:dyDescent="0.25">
      <c r="A326" t="s">
        <v>700</v>
      </c>
      <c r="B326">
        <v>1</v>
      </c>
      <c r="C326" s="2" t="s">
        <v>701</v>
      </c>
      <c r="D326" s="3">
        <v>10184</v>
      </c>
      <c r="E326" s="4">
        <v>18</v>
      </c>
      <c r="F326" t="s">
        <v>32</v>
      </c>
      <c r="G326" s="3">
        <f t="shared" si="25"/>
        <v>12419.51</v>
      </c>
      <c r="H326" s="3">
        <v>0</v>
      </c>
      <c r="I326" s="3">
        <f t="shared" si="26"/>
        <v>12419.51</v>
      </c>
      <c r="J326" s="2" t="s">
        <v>27</v>
      </c>
      <c r="K326" s="5">
        <v>46226.583333333343</v>
      </c>
      <c r="L326">
        <v>1</v>
      </c>
      <c r="M326" s="3">
        <f t="shared" si="27"/>
        <v>12419.51</v>
      </c>
      <c r="N326" t="str">
        <f t="shared" si="28"/>
        <v>ставка</v>
      </c>
      <c r="O326" s="3">
        <f t="shared" si="29"/>
        <v>243.52</v>
      </c>
      <c r="P326" s="5">
        <v>46227.5</v>
      </c>
      <c r="Q326" t="s">
        <v>32</v>
      </c>
      <c r="R326" s="2" t="s">
        <v>24</v>
      </c>
      <c r="S326">
        <v>21</v>
      </c>
      <c r="T326">
        <v>1</v>
      </c>
    </row>
    <row r="327" spans="1:20" ht="30" x14ac:dyDescent="0.25">
      <c r="A327" t="s">
        <v>702</v>
      </c>
      <c r="B327">
        <v>1</v>
      </c>
      <c r="C327" s="2" t="s">
        <v>703</v>
      </c>
      <c r="D327" s="3">
        <v>39270</v>
      </c>
      <c r="E327" s="4">
        <v>15</v>
      </c>
      <c r="F327" t="s">
        <v>411</v>
      </c>
      <c r="G327" s="3">
        <f t="shared" si="25"/>
        <v>46200</v>
      </c>
      <c r="H327" s="3">
        <v>0</v>
      </c>
      <c r="I327" s="3">
        <f t="shared" si="26"/>
        <v>46200</v>
      </c>
      <c r="J327" s="2" t="s">
        <v>27</v>
      </c>
      <c r="K327" s="5">
        <v>46255.583333333343</v>
      </c>
      <c r="L327">
        <v>3</v>
      </c>
      <c r="M327" s="3">
        <f t="shared" si="27"/>
        <v>15400</v>
      </c>
      <c r="N327" t="str">
        <f t="shared" si="28"/>
        <v>ставка</v>
      </c>
      <c r="O327" s="3">
        <f t="shared" si="29"/>
        <v>905.88</v>
      </c>
      <c r="P327" s="5">
        <v>46258.5</v>
      </c>
      <c r="Q327" t="s">
        <v>411</v>
      </c>
      <c r="R327" s="2" t="s">
        <v>24</v>
      </c>
      <c r="S327">
        <v>56</v>
      </c>
      <c r="T327">
        <v>2</v>
      </c>
    </row>
    <row r="328" spans="1:20" ht="30" x14ac:dyDescent="0.25">
      <c r="A328" t="s">
        <v>704</v>
      </c>
      <c r="B328">
        <v>1</v>
      </c>
      <c r="C328" s="2" t="s">
        <v>705</v>
      </c>
      <c r="D328" s="3">
        <v>6160</v>
      </c>
      <c r="E328" s="4">
        <v>20</v>
      </c>
      <c r="F328" t="s">
        <v>48</v>
      </c>
      <c r="G328" s="3">
        <f t="shared" si="25"/>
        <v>7700</v>
      </c>
      <c r="H328" s="3">
        <v>0</v>
      </c>
      <c r="I328" s="3">
        <f t="shared" si="26"/>
        <v>7700</v>
      </c>
      <c r="J328" s="2" t="s">
        <v>27</v>
      </c>
      <c r="K328" s="5">
        <v>46254.583333333343</v>
      </c>
      <c r="L328">
        <v>1</v>
      </c>
      <c r="M328" s="3">
        <f t="shared" si="27"/>
        <v>7700</v>
      </c>
      <c r="N328" t="str">
        <f t="shared" si="28"/>
        <v>ставка</v>
      </c>
      <c r="O328" s="3">
        <f t="shared" si="29"/>
        <v>150.97999999999999</v>
      </c>
      <c r="P328" s="5">
        <v>46255.5</v>
      </c>
      <c r="Q328" t="s">
        <v>48</v>
      </c>
      <c r="R328" s="2" t="s">
        <v>58</v>
      </c>
      <c r="S328">
        <v>34</v>
      </c>
      <c r="T328">
        <v>1</v>
      </c>
    </row>
    <row r="329" spans="1:20" ht="30" x14ac:dyDescent="0.25">
      <c r="A329" t="s">
        <v>706</v>
      </c>
      <c r="B329">
        <v>1</v>
      </c>
      <c r="C329" s="2" t="s">
        <v>707</v>
      </c>
      <c r="D329" s="3">
        <v>7920</v>
      </c>
      <c r="E329" s="4">
        <v>18</v>
      </c>
      <c r="F329" t="s">
        <v>32</v>
      </c>
      <c r="G329" s="3">
        <f t="shared" si="25"/>
        <v>9658.5400000000009</v>
      </c>
      <c r="H329" s="3">
        <v>0</v>
      </c>
      <c r="I329" s="3">
        <f t="shared" si="26"/>
        <v>9658.5400000000009</v>
      </c>
      <c r="J329" s="2" t="s">
        <v>27</v>
      </c>
      <c r="K329" s="5">
        <v>46222.583333333343</v>
      </c>
      <c r="L329">
        <v>1</v>
      </c>
      <c r="M329" s="3">
        <f t="shared" si="27"/>
        <v>9658.5400000000009</v>
      </c>
      <c r="N329" t="str">
        <f t="shared" si="28"/>
        <v>ставка</v>
      </c>
      <c r="O329" s="3">
        <f t="shared" si="29"/>
        <v>189.38</v>
      </c>
      <c r="P329" s="5">
        <v>46223.5</v>
      </c>
      <c r="Q329" t="s">
        <v>32</v>
      </c>
      <c r="R329" s="2" t="s">
        <v>33</v>
      </c>
      <c r="S329">
        <v>43</v>
      </c>
      <c r="T329">
        <v>1</v>
      </c>
    </row>
    <row r="330" spans="1:20" ht="45" x14ac:dyDescent="0.25">
      <c r="A330" t="s">
        <v>708</v>
      </c>
      <c r="B330">
        <v>1</v>
      </c>
      <c r="C330" s="2" t="s">
        <v>709</v>
      </c>
      <c r="D330" s="3">
        <v>9375</v>
      </c>
      <c r="E330" s="4">
        <v>18</v>
      </c>
      <c r="F330" t="s">
        <v>32</v>
      </c>
      <c r="G330" s="3">
        <f t="shared" si="25"/>
        <v>11432.93</v>
      </c>
      <c r="H330" s="3">
        <v>0</v>
      </c>
      <c r="I330" s="3">
        <f t="shared" si="26"/>
        <v>11432.93</v>
      </c>
      <c r="J330" s="2"/>
      <c r="K330" s="5">
        <v>46283.583333333343</v>
      </c>
      <c r="L330">
        <v>1</v>
      </c>
      <c r="M330" s="3">
        <f t="shared" si="27"/>
        <v>11432.93</v>
      </c>
      <c r="N330" t="str">
        <f t="shared" si="28"/>
        <v>ставка</v>
      </c>
      <c r="O330" s="3">
        <f t="shared" si="29"/>
        <v>224.18</v>
      </c>
      <c r="P330" s="5">
        <v>46284.5</v>
      </c>
      <c r="Q330" t="s">
        <v>32</v>
      </c>
      <c r="R330" s="2" t="s">
        <v>87</v>
      </c>
      <c r="S330">
        <v>51</v>
      </c>
      <c r="T330">
        <v>2</v>
      </c>
    </row>
    <row r="331" spans="1:20" x14ac:dyDescent="0.25">
      <c r="A331" t="s">
        <v>710</v>
      </c>
      <c r="B331">
        <v>1</v>
      </c>
      <c r="C331" s="2" t="s">
        <v>711</v>
      </c>
      <c r="D331" s="3">
        <v>55440</v>
      </c>
      <c r="E331" s="4">
        <v>16</v>
      </c>
      <c r="F331" t="s">
        <v>36</v>
      </c>
      <c r="G331" s="3">
        <f t="shared" si="25"/>
        <v>66000</v>
      </c>
      <c r="H331" s="3">
        <v>0</v>
      </c>
      <c r="I331" s="3">
        <f t="shared" si="26"/>
        <v>66000</v>
      </c>
      <c r="J331" s="2" t="s">
        <v>27</v>
      </c>
      <c r="K331" s="5">
        <v>46292.583333333343</v>
      </c>
      <c r="L331">
        <v>4</v>
      </c>
      <c r="M331" s="3">
        <f t="shared" si="27"/>
        <v>16500</v>
      </c>
      <c r="N331" t="str">
        <f t="shared" si="28"/>
        <v>ставка</v>
      </c>
      <c r="O331" s="3">
        <f t="shared" si="29"/>
        <v>1294.1199999999999</v>
      </c>
      <c r="P331" s="5">
        <v>46296.5</v>
      </c>
      <c r="Q331" t="s">
        <v>36</v>
      </c>
      <c r="R331" s="2" t="s">
        <v>49</v>
      </c>
      <c r="S331">
        <v>11</v>
      </c>
      <c r="T331">
        <v>1</v>
      </c>
    </row>
    <row r="332" spans="1:20" x14ac:dyDescent="0.25">
      <c r="A332" t="s">
        <v>712</v>
      </c>
      <c r="B332">
        <v>1</v>
      </c>
      <c r="C332" s="2" t="s">
        <v>713</v>
      </c>
      <c r="D332" s="3">
        <v>12035</v>
      </c>
      <c r="E332" s="4">
        <v>0</v>
      </c>
      <c r="F332" t="s">
        <v>23</v>
      </c>
      <c r="G332" s="3">
        <f t="shared" si="25"/>
        <v>12035</v>
      </c>
      <c r="H332" s="3">
        <v>0</v>
      </c>
      <c r="I332" s="3">
        <f t="shared" si="26"/>
        <v>12035</v>
      </c>
      <c r="J332" s="2" t="s">
        <v>27</v>
      </c>
      <c r="K332" s="5">
        <v>46245.583333333343</v>
      </c>
      <c r="L332">
        <v>1</v>
      </c>
      <c r="M332" s="3">
        <f t="shared" si="27"/>
        <v>12035</v>
      </c>
      <c r="N332" t="str">
        <f t="shared" si="28"/>
        <v>ставка</v>
      </c>
      <c r="O332" s="3">
        <f t="shared" si="29"/>
        <v>235.98</v>
      </c>
      <c r="P332" s="5">
        <v>46246.5</v>
      </c>
      <c r="Q332" t="s">
        <v>23</v>
      </c>
      <c r="R332" s="2" t="s">
        <v>49</v>
      </c>
      <c r="S332">
        <v>25</v>
      </c>
      <c r="T332">
        <v>1</v>
      </c>
    </row>
    <row r="333" spans="1:20" ht="30" x14ac:dyDescent="0.25">
      <c r="A333" t="s">
        <v>714</v>
      </c>
      <c r="B333">
        <v>1</v>
      </c>
      <c r="C333" s="2" t="s">
        <v>715</v>
      </c>
      <c r="D333" s="3">
        <v>22695</v>
      </c>
      <c r="E333" s="4">
        <v>15</v>
      </c>
      <c r="F333" t="s">
        <v>52</v>
      </c>
      <c r="G333" s="3">
        <f t="shared" si="25"/>
        <v>26700</v>
      </c>
      <c r="H333" s="3">
        <v>0</v>
      </c>
      <c r="I333" s="3">
        <f t="shared" si="26"/>
        <v>26700</v>
      </c>
      <c r="J333" s="2" t="s">
        <v>27</v>
      </c>
      <c r="K333" s="5">
        <v>46243.583333333343</v>
      </c>
      <c r="L333">
        <v>2</v>
      </c>
      <c r="M333" s="3">
        <f t="shared" si="27"/>
        <v>13350</v>
      </c>
      <c r="N333" t="str">
        <f t="shared" si="28"/>
        <v>ставка</v>
      </c>
      <c r="O333" s="3">
        <f t="shared" si="29"/>
        <v>523.53</v>
      </c>
      <c r="P333" s="5">
        <v>46245.5</v>
      </c>
      <c r="Q333" t="s">
        <v>52</v>
      </c>
      <c r="R333" s="2" t="s">
        <v>40</v>
      </c>
      <c r="S333">
        <v>22</v>
      </c>
      <c r="T333">
        <v>1</v>
      </c>
    </row>
    <row r="334" spans="1:20" ht="30" x14ac:dyDescent="0.25">
      <c r="A334" t="s">
        <v>716</v>
      </c>
      <c r="B334">
        <v>1</v>
      </c>
      <c r="C334" s="2" t="s">
        <v>717</v>
      </c>
      <c r="D334" s="3">
        <v>9265</v>
      </c>
      <c r="E334" s="4">
        <v>15</v>
      </c>
      <c r="F334" t="s">
        <v>36</v>
      </c>
      <c r="G334" s="3">
        <f t="shared" si="25"/>
        <v>10900</v>
      </c>
      <c r="H334" s="3">
        <v>0</v>
      </c>
      <c r="I334" s="3">
        <f t="shared" si="26"/>
        <v>10900</v>
      </c>
      <c r="J334" s="2" t="s">
        <v>27</v>
      </c>
      <c r="K334" s="5">
        <v>46229.583333333343</v>
      </c>
      <c r="L334">
        <v>1</v>
      </c>
      <c r="M334" s="3">
        <f t="shared" si="27"/>
        <v>10900</v>
      </c>
      <c r="N334" t="str">
        <f t="shared" si="28"/>
        <v>ставка</v>
      </c>
      <c r="O334" s="3">
        <f t="shared" si="29"/>
        <v>213.73</v>
      </c>
      <c r="P334" s="5">
        <v>46230.5</v>
      </c>
      <c r="Q334" t="s">
        <v>36</v>
      </c>
      <c r="R334" s="2" t="s">
        <v>40</v>
      </c>
      <c r="S334">
        <v>22</v>
      </c>
      <c r="T334">
        <v>1</v>
      </c>
    </row>
    <row r="335" spans="1:20" x14ac:dyDescent="0.25">
      <c r="A335" t="s">
        <v>718</v>
      </c>
      <c r="B335">
        <v>1</v>
      </c>
      <c r="C335" s="2" t="s">
        <v>719</v>
      </c>
      <c r="D335" s="3">
        <v>9080</v>
      </c>
      <c r="E335" s="4">
        <v>20</v>
      </c>
      <c r="F335" t="s">
        <v>103</v>
      </c>
      <c r="G335" s="3">
        <f t="shared" si="25"/>
        <v>11350</v>
      </c>
      <c r="H335" s="3">
        <v>0</v>
      </c>
      <c r="I335" s="3">
        <f t="shared" si="26"/>
        <v>11350</v>
      </c>
      <c r="J335" s="2" t="s">
        <v>27</v>
      </c>
      <c r="K335" s="5">
        <v>46260.583333333343</v>
      </c>
      <c r="L335">
        <v>1</v>
      </c>
      <c r="M335" s="3">
        <f t="shared" si="27"/>
        <v>11350</v>
      </c>
      <c r="N335" t="str">
        <f t="shared" si="28"/>
        <v>ставка</v>
      </c>
      <c r="O335" s="3">
        <f t="shared" si="29"/>
        <v>222.55</v>
      </c>
      <c r="P335" s="5">
        <v>46261.5</v>
      </c>
      <c r="Q335" t="s">
        <v>103</v>
      </c>
      <c r="R335" s="2" t="s">
        <v>49</v>
      </c>
      <c r="S335">
        <v>11</v>
      </c>
      <c r="T335">
        <v>1</v>
      </c>
    </row>
    <row r="336" spans="1:20" ht="30" x14ac:dyDescent="0.25">
      <c r="A336" t="s">
        <v>720</v>
      </c>
      <c r="B336">
        <v>1</v>
      </c>
      <c r="C336" s="2" t="s">
        <v>721</v>
      </c>
      <c r="D336" s="3">
        <v>18160</v>
      </c>
      <c r="E336" s="4">
        <v>20</v>
      </c>
      <c r="F336" t="s">
        <v>103</v>
      </c>
      <c r="G336" s="3">
        <f t="shared" si="25"/>
        <v>22700</v>
      </c>
      <c r="H336" s="3">
        <v>0</v>
      </c>
      <c r="I336" s="3">
        <f t="shared" si="26"/>
        <v>22700</v>
      </c>
      <c r="J336" s="2" t="s">
        <v>27</v>
      </c>
      <c r="K336" s="5">
        <v>46267.583333333343</v>
      </c>
      <c r="L336">
        <v>2</v>
      </c>
      <c r="M336" s="3">
        <f t="shared" si="27"/>
        <v>11350</v>
      </c>
      <c r="N336" t="str">
        <f t="shared" si="28"/>
        <v>ставка</v>
      </c>
      <c r="O336" s="3">
        <f t="shared" si="29"/>
        <v>445.1</v>
      </c>
      <c r="P336" s="5">
        <v>46269.5</v>
      </c>
      <c r="Q336" t="s">
        <v>103</v>
      </c>
      <c r="R336" s="2" t="s">
        <v>40</v>
      </c>
      <c r="S336">
        <v>32</v>
      </c>
      <c r="T336">
        <v>1</v>
      </c>
    </row>
    <row r="337" spans="1:20" ht="30" x14ac:dyDescent="0.25">
      <c r="A337" t="s">
        <v>722</v>
      </c>
      <c r="B337">
        <v>1</v>
      </c>
      <c r="C337" s="2" t="s">
        <v>723</v>
      </c>
      <c r="D337" s="3">
        <v>29548</v>
      </c>
      <c r="E337" s="4">
        <v>17</v>
      </c>
      <c r="F337" t="s">
        <v>130</v>
      </c>
      <c r="G337" s="3">
        <f t="shared" si="25"/>
        <v>35600</v>
      </c>
      <c r="H337" s="3">
        <v>0</v>
      </c>
      <c r="I337" s="3">
        <f t="shared" si="26"/>
        <v>35600</v>
      </c>
      <c r="J337" s="2" t="s">
        <v>27</v>
      </c>
      <c r="K337" s="5">
        <v>46241.583333333343</v>
      </c>
      <c r="L337">
        <v>2</v>
      </c>
      <c r="M337" s="3">
        <f t="shared" si="27"/>
        <v>17800</v>
      </c>
      <c r="N337" t="str">
        <f t="shared" si="28"/>
        <v>ставка</v>
      </c>
      <c r="O337" s="3">
        <f t="shared" si="29"/>
        <v>698.04</v>
      </c>
      <c r="P337" s="5">
        <v>46243.5</v>
      </c>
      <c r="Q337" t="s">
        <v>130</v>
      </c>
      <c r="R337" s="2" t="s">
        <v>37</v>
      </c>
      <c r="S337">
        <v>57</v>
      </c>
      <c r="T337">
        <v>2</v>
      </c>
    </row>
    <row r="338" spans="1:20" ht="30" x14ac:dyDescent="0.25">
      <c r="A338" t="s">
        <v>724</v>
      </c>
      <c r="B338">
        <v>1</v>
      </c>
      <c r="C338" s="2" t="s">
        <v>725</v>
      </c>
      <c r="D338" s="3">
        <v>5687.99</v>
      </c>
      <c r="E338" s="4">
        <v>17</v>
      </c>
      <c r="F338" t="s">
        <v>130</v>
      </c>
      <c r="G338" s="3">
        <f t="shared" si="25"/>
        <v>6853</v>
      </c>
      <c r="H338" s="3">
        <v>0</v>
      </c>
      <c r="I338" s="3">
        <f t="shared" si="26"/>
        <v>6853</v>
      </c>
      <c r="J338" s="2" t="s">
        <v>27</v>
      </c>
      <c r="K338" s="5">
        <v>46265.583333333343</v>
      </c>
      <c r="L338">
        <v>1</v>
      </c>
      <c r="M338" s="3">
        <f t="shared" si="27"/>
        <v>6853</v>
      </c>
      <c r="N338" t="str">
        <f t="shared" si="28"/>
        <v>ставка</v>
      </c>
      <c r="O338" s="3">
        <f t="shared" si="29"/>
        <v>134.37</v>
      </c>
      <c r="P338" s="5">
        <v>46266.5</v>
      </c>
      <c r="Q338" t="s">
        <v>130</v>
      </c>
      <c r="R338" s="2" t="s">
        <v>40</v>
      </c>
      <c r="S338">
        <v>36</v>
      </c>
      <c r="T338">
        <v>1</v>
      </c>
    </row>
    <row r="339" spans="1:20" x14ac:dyDescent="0.25">
      <c r="A339" t="s">
        <v>726</v>
      </c>
      <c r="B339">
        <v>1</v>
      </c>
      <c r="C339" s="2" t="s">
        <v>727</v>
      </c>
      <c r="D339" s="3">
        <v>11020</v>
      </c>
      <c r="E339" s="4">
        <v>18</v>
      </c>
      <c r="F339" t="s">
        <v>32</v>
      </c>
      <c r="G339" s="3">
        <f t="shared" si="25"/>
        <v>13439.02</v>
      </c>
      <c r="H339" s="3">
        <v>0</v>
      </c>
      <c r="I339" s="3">
        <f t="shared" si="26"/>
        <v>13439.02</v>
      </c>
      <c r="J339" s="2" t="s">
        <v>27</v>
      </c>
      <c r="K339" s="5">
        <v>46252.583333333343</v>
      </c>
      <c r="L339">
        <v>1</v>
      </c>
      <c r="M339" s="3">
        <f t="shared" si="27"/>
        <v>13439.02</v>
      </c>
      <c r="N339" t="str">
        <f t="shared" si="28"/>
        <v>ставка</v>
      </c>
      <c r="O339" s="3">
        <f t="shared" si="29"/>
        <v>263.51</v>
      </c>
      <c r="P339" s="5">
        <v>46253.5</v>
      </c>
      <c r="Q339" t="s">
        <v>32</v>
      </c>
      <c r="R339" s="2" t="s">
        <v>49</v>
      </c>
      <c r="S339">
        <v>25</v>
      </c>
      <c r="T339">
        <v>1</v>
      </c>
    </row>
    <row r="340" spans="1:20" ht="30" x14ac:dyDescent="0.25">
      <c r="A340" t="s">
        <v>265</v>
      </c>
      <c r="B340">
        <v>1</v>
      </c>
      <c r="C340" s="2" t="s">
        <v>728</v>
      </c>
      <c r="D340" s="3">
        <v>36045</v>
      </c>
      <c r="E340" s="4">
        <v>0</v>
      </c>
      <c r="F340" t="s">
        <v>23</v>
      </c>
      <c r="G340" s="3">
        <f t="shared" si="25"/>
        <v>36045</v>
      </c>
      <c r="H340" s="3">
        <v>0</v>
      </c>
      <c r="I340" s="3">
        <f t="shared" si="26"/>
        <v>36045</v>
      </c>
      <c r="J340" s="2" t="s">
        <v>27</v>
      </c>
      <c r="K340" s="5">
        <v>46275.583333333343</v>
      </c>
      <c r="L340">
        <v>3</v>
      </c>
      <c r="M340" s="3">
        <f t="shared" si="27"/>
        <v>12015</v>
      </c>
      <c r="N340" t="str">
        <f t="shared" si="28"/>
        <v>ставка</v>
      </c>
      <c r="O340" s="3">
        <f t="shared" si="29"/>
        <v>706.76</v>
      </c>
      <c r="P340" s="5">
        <v>46278.5</v>
      </c>
      <c r="Q340" t="s">
        <v>23</v>
      </c>
      <c r="R340" s="2" t="s">
        <v>40</v>
      </c>
      <c r="S340" s="6"/>
    </row>
    <row r="341" spans="1:20" ht="30" x14ac:dyDescent="0.25">
      <c r="A341" t="s">
        <v>729</v>
      </c>
      <c r="B341">
        <v>1</v>
      </c>
      <c r="C341" s="2" t="s">
        <v>730</v>
      </c>
      <c r="D341" s="3">
        <v>12264</v>
      </c>
      <c r="E341" s="4">
        <v>16</v>
      </c>
      <c r="F341" t="s">
        <v>36</v>
      </c>
      <c r="G341" s="3">
        <f t="shared" si="25"/>
        <v>14600</v>
      </c>
      <c r="H341" s="3">
        <v>0</v>
      </c>
      <c r="I341" s="3">
        <f t="shared" si="26"/>
        <v>14600</v>
      </c>
      <c r="J341" s="2" t="s">
        <v>27</v>
      </c>
      <c r="K341" s="5">
        <v>46295.583333333343</v>
      </c>
      <c r="L341">
        <v>2</v>
      </c>
      <c r="M341" s="3">
        <f t="shared" si="27"/>
        <v>7300</v>
      </c>
      <c r="N341" t="str">
        <f t="shared" si="28"/>
        <v>ставка</v>
      </c>
      <c r="O341" s="3">
        <f t="shared" si="29"/>
        <v>286.27</v>
      </c>
      <c r="P341" s="5">
        <v>46297.5</v>
      </c>
      <c r="Q341" t="s">
        <v>36</v>
      </c>
      <c r="R341" s="2" t="s">
        <v>58</v>
      </c>
      <c r="S341">
        <v>24</v>
      </c>
      <c r="T341">
        <v>1</v>
      </c>
    </row>
    <row r="342" spans="1:20" ht="30" x14ac:dyDescent="0.25">
      <c r="A342" t="s">
        <v>731</v>
      </c>
      <c r="B342">
        <v>1</v>
      </c>
      <c r="C342" s="2" t="s">
        <v>732</v>
      </c>
      <c r="D342" s="3">
        <v>91922.6</v>
      </c>
      <c r="E342" s="4">
        <v>4</v>
      </c>
      <c r="F342" t="s">
        <v>55</v>
      </c>
      <c r="G342" s="3">
        <f t="shared" si="25"/>
        <v>95752.71</v>
      </c>
      <c r="H342" s="3">
        <v>0</v>
      </c>
      <c r="I342" s="3">
        <f t="shared" si="26"/>
        <v>95752.71</v>
      </c>
      <c r="J342" s="2" t="s">
        <v>27</v>
      </c>
      <c r="K342" s="5">
        <v>46236.729166666657</v>
      </c>
      <c r="L342">
        <v>6</v>
      </c>
      <c r="M342" s="3">
        <f t="shared" si="27"/>
        <v>15958.785000000002</v>
      </c>
      <c r="N342" t="str">
        <f t="shared" si="28"/>
        <v>ставка</v>
      </c>
      <c r="O342" s="3">
        <f t="shared" si="29"/>
        <v>1877.5</v>
      </c>
      <c r="P342" s="5">
        <v>46242.5</v>
      </c>
      <c r="Q342" t="s">
        <v>55</v>
      </c>
      <c r="R342" s="2" t="s">
        <v>24</v>
      </c>
      <c r="S342">
        <v>31</v>
      </c>
      <c r="T342">
        <v>1</v>
      </c>
    </row>
    <row r="343" spans="1:20" ht="30" x14ac:dyDescent="0.25">
      <c r="A343" t="s">
        <v>733</v>
      </c>
      <c r="B343">
        <v>1</v>
      </c>
      <c r="C343" s="2" t="s">
        <v>734</v>
      </c>
      <c r="D343" s="3">
        <v>22161</v>
      </c>
      <c r="E343" s="4">
        <v>17</v>
      </c>
      <c r="F343" t="s">
        <v>173</v>
      </c>
      <c r="G343" s="3">
        <f t="shared" si="25"/>
        <v>26700</v>
      </c>
      <c r="H343" s="3">
        <v>0</v>
      </c>
      <c r="I343" s="3">
        <f t="shared" si="26"/>
        <v>26700</v>
      </c>
      <c r="J343" s="2" t="s">
        <v>27</v>
      </c>
      <c r="K343" s="5">
        <v>46220.583333333343</v>
      </c>
      <c r="L343">
        <v>2</v>
      </c>
      <c r="M343" s="3">
        <f t="shared" si="27"/>
        <v>13350</v>
      </c>
      <c r="N343" t="str">
        <f t="shared" si="28"/>
        <v>ставка</v>
      </c>
      <c r="O343" s="3">
        <f t="shared" si="29"/>
        <v>523.53</v>
      </c>
      <c r="P343" s="5">
        <v>46222.5</v>
      </c>
      <c r="Q343" t="s">
        <v>173</v>
      </c>
      <c r="R343" s="2" t="s">
        <v>40</v>
      </c>
      <c r="S343">
        <v>23</v>
      </c>
      <c r="T343">
        <v>1</v>
      </c>
    </row>
    <row r="344" spans="1:20" ht="30" x14ac:dyDescent="0.25">
      <c r="A344" t="s">
        <v>735</v>
      </c>
      <c r="B344">
        <v>1</v>
      </c>
      <c r="C344" s="2" t="s">
        <v>736</v>
      </c>
      <c r="D344" s="3">
        <v>22695</v>
      </c>
      <c r="E344" s="4">
        <v>15</v>
      </c>
      <c r="F344" t="s">
        <v>52</v>
      </c>
      <c r="G344" s="3">
        <f t="shared" si="25"/>
        <v>26700</v>
      </c>
      <c r="H344" s="3">
        <v>0</v>
      </c>
      <c r="I344" s="3">
        <f t="shared" si="26"/>
        <v>26700</v>
      </c>
      <c r="J344" s="2" t="s">
        <v>27</v>
      </c>
      <c r="K344" s="5">
        <v>46248.916666666657</v>
      </c>
      <c r="L344">
        <v>2</v>
      </c>
      <c r="M344" s="3">
        <f t="shared" si="27"/>
        <v>13350</v>
      </c>
      <c r="N344" t="str">
        <f t="shared" si="28"/>
        <v>ставка</v>
      </c>
      <c r="O344" s="3">
        <f t="shared" si="29"/>
        <v>523.53</v>
      </c>
      <c r="P344" s="5">
        <v>46250.5</v>
      </c>
      <c r="Q344" t="s">
        <v>52</v>
      </c>
      <c r="R344" s="2" t="s">
        <v>40</v>
      </c>
      <c r="S344">
        <v>58</v>
      </c>
      <c r="T344">
        <v>2</v>
      </c>
    </row>
    <row r="345" spans="1:20" ht="30" x14ac:dyDescent="0.25">
      <c r="A345" t="s">
        <v>737</v>
      </c>
      <c r="B345">
        <v>1</v>
      </c>
      <c r="C345" s="2" t="s">
        <v>738</v>
      </c>
      <c r="D345" s="3">
        <v>7120</v>
      </c>
      <c r="E345" s="4">
        <v>20</v>
      </c>
      <c r="F345" t="s">
        <v>293</v>
      </c>
      <c r="G345" s="3">
        <f t="shared" si="25"/>
        <v>8900</v>
      </c>
      <c r="H345" s="3">
        <v>0</v>
      </c>
      <c r="I345" s="3">
        <f t="shared" si="26"/>
        <v>8900</v>
      </c>
      <c r="J345" s="2" t="s">
        <v>294</v>
      </c>
      <c r="K345" s="5">
        <v>46231.583333333343</v>
      </c>
      <c r="L345">
        <v>1</v>
      </c>
      <c r="M345" s="3">
        <f t="shared" si="27"/>
        <v>8900</v>
      </c>
      <c r="N345" t="str">
        <f t="shared" si="28"/>
        <v>ставка</v>
      </c>
      <c r="O345" s="3">
        <f t="shared" si="29"/>
        <v>174.51</v>
      </c>
      <c r="P345" s="5">
        <v>46232.5</v>
      </c>
      <c r="Q345" t="s">
        <v>293</v>
      </c>
      <c r="R345" s="2" t="s">
        <v>40</v>
      </c>
      <c r="S345">
        <v>22</v>
      </c>
      <c r="T345">
        <v>1</v>
      </c>
    </row>
    <row r="346" spans="1:20" ht="30" x14ac:dyDescent="0.25">
      <c r="A346" t="s">
        <v>739</v>
      </c>
      <c r="B346">
        <v>1</v>
      </c>
      <c r="C346" s="2" t="s">
        <v>740</v>
      </c>
      <c r="D346" s="3">
        <v>14850</v>
      </c>
      <c r="E346" s="4">
        <v>18</v>
      </c>
      <c r="F346" t="s">
        <v>32</v>
      </c>
      <c r="G346" s="3">
        <f t="shared" si="25"/>
        <v>18109.759999999998</v>
      </c>
      <c r="H346" s="3">
        <v>0</v>
      </c>
      <c r="I346" s="3">
        <f t="shared" si="26"/>
        <v>18109.759999999998</v>
      </c>
      <c r="J346" s="2" t="s">
        <v>27</v>
      </c>
      <c r="K346" s="5">
        <v>46284.583333333343</v>
      </c>
      <c r="L346">
        <v>2</v>
      </c>
      <c r="M346" s="3">
        <f t="shared" si="27"/>
        <v>9054.8799999999992</v>
      </c>
      <c r="N346" t="str">
        <f t="shared" si="28"/>
        <v>ставка</v>
      </c>
      <c r="O346" s="3">
        <f t="shared" si="29"/>
        <v>355.09</v>
      </c>
      <c r="P346" s="5">
        <v>46286.5</v>
      </c>
      <c r="Q346" t="s">
        <v>32</v>
      </c>
      <c r="R346" s="2" t="s">
        <v>33</v>
      </c>
      <c r="S346">
        <v>45</v>
      </c>
      <c r="T346">
        <v>1</v>
      </c>
    </row>
    <row r="347" spans="1:20" ht="30" x14ac:dyDescent="0.25">
      <c r="A347" t="s">
        <v>741</v>
      </c>
      <c r="B347">
        <v>1</v>
      </c>
      <c r="C347" s="2" t="s">
        <v>742</v>
      </c>
      <c r="D347" s="3">
        <v>45400</v>
      </c>
      <c r="E347" s="4">
        <v>20</v>
      </c>
      <c r="F347" t="s">
        <v>48</v>
      </c>
      <c r="G347" s="3">
        <f t="shared" si="25"/>
        <v>56750</v>
      </c>
      <c r="H347" s="3">
        <v>0</v>
      </c>
      <c r="I347" s="3">
        <f t="shared" si="26"/>
        <v>56750</v>
      </c>
      <c r="J347" s="2" t="s">
        <v>27</v>
      </c>
      <c r="K347" s="5">
        <v>46206.583333333343</v>
      </c>
      <c r="L347">
        <v>5</v>
      </c>
      <c r="M347" s="3">
        <f t="shared" si="27"/>
        <v>11350</v>
      </c>
      <c r="N347" t="str">
        <f t="shared" si="28"/>
        <v>ставка</v>
      </c>
      <c r="O347" s="3">
        <f t="shared" si="29"/>
        <v>1112.75</v>
      </c>
      <c r="P347" s="5">
        <v>46211.5</v>
      </c>
      <c r="Q347" t="s">
        <v>48</v>
      </c>
      <c r="R347" s="2" t="s">
        <v>40</v>
      </c>
      <c r="S347">
        <v>44</v>
      </c>
      <c r="T347">
        <v>1</v>
      </c>
    </row>
    <row r="348" spans="1:20" ht="30" x14ac:dyDescent="0.25">
      <c r="A348" t="s">
        <v>743</v>
      </c>
      <c r="B348">
        <v>1</v>
      </c>
      <c r="C348" s="2" t="s">
        <v>744</v>
      </c>
      <c r="D348" s="3">
        <v>27240</v>
      </c>
      <c r="E348" s="4">
        <v>18</v>
      </c>
      <c r="F348" t="s">
        <v>32</v>
      </c>
      <c r="G348" s="3">
        <f t="shared" si="25"/>
        <v>33219.51</v>
      </c>
      <c r="H348" s="3">
        <v>0</v>
      </c>
      <c r="I348" s="3">
        <f t="shared" si="26"/>
        <v>33219.51</v>
      </c>
      <c r="J348" s="2" t="s">
        <v>27</v>
      </c>
      <c r="K348" s="5">
        <v>46227.583333333343</v>
      </c>
      <c r="L348">
        <v>3</v>
      </c>
      <c r="M348" s="3">
        <f t="shared" si="27"/>
        <v>11073.17</v>
      </c>
      <c r="N348" t="str">
        <f t="shared" si="28"/>
        <v>ставка</v>
      </c>
      <c r="O348" s="3">
        <f t="shared" si="29"/>
        <v>651.36</v>
      </c>
      <c r="P348" s="5">
        <v>46230.5</v>
      </c>
      <c r="Q348" t="s">
        <v>32</v>
      </c>
      <c r="R348" s="2" t="s">
        <v>40</v>
      </c>
      <c r="S348">
        <v>46</v>
      </c>
      <c r="T348">
        <v>1</v>
      </c>
    </row>
    <row r="349" spans="1:20" ht="30" x14ac:dyDescent="0.25">
      <c r="A349" t="s">
        <v>745</v>
      </c>
      <c r="B349">
        <v>1</v>
      </c>
      <c r="C349" s="2" t="s">
        <v>746</v>
      </c>
      <c r="D349" s="3">
        <v>11115</v>
      </c>
      <c r="E349" s="4">
        <v>18</v>
      </c>
      <c r="F349" t="s">
        <v>32</v>
      </c>
      <c r="G349" s="3">
        <f t="shared" si="25"/>
        <v>13554.88</v>
      </c>
      <c r="H349" s="3">
        <v>0</v>
      </c>
      <c r="I349" s="3">
        <f t="shared" si="26"/>
        <v>13554.88</v>
      </c>
      <c r="J349" s="2" t="s">
        <v>27</v>
      </c>
      <c r="K349" s="5">
        <v>46295.583333333343</v>
      </c>
      <c r="L349">
        <v>2</v>
      </c>
      <c r="M349" s="3">
        <f t="shared" si="27"/>
        <v>6777.44</v>
      </c>
      <c r="N349" t="str">
        <f t="shared" si="28"/>
        <v>ставка</v>
      </c>
      <c r="O349" s="3">
        <f t="shared" si="29"/>
        <v>265.77999999999997</v>
      </c>
      <c r="P349" s="5">
        <v>46297.5</v>
      </c>
      <c r="Q349" t="s">
        <v>32</v>
      </c>
      <c r="R349" s="2" t="s">
        <v>33</v>
      </c>
      <c r="S349">
        <v>43</v>
      </c>
      <c r="T349">
        <v>1</v>
      </c>
    </row>
    <row r="350" spans="1:20" ht="30" x14ac:dyDescent="0.25">
      <c r="A350" t="s">
        <v>747</v>
      </c>
      <c r="B350">
        <v>1</v>
      </c>
      <c r="C350" s="2" t="s">
        <v>748</v>
      </c>
      <c r="D350" s="3">
        <v>9751.5</v>
      </c>
      <c r="E350" s="4">
        <v>4</v>
      </c>
      <c r="F350" t="s">
        <v>55</v>
      </c>
      <c r="G350" s="3">
        <f t="shared" si="25"/>
        <v>10157.81</v>
      </c>
      <c r="H350" s="3">
        <v>0</v>
      </c>
      <c r="I350" s="3">
        <f t="shared" si="26"/>
        <v>10157.81</v>
      </c>
      <c r="J350" s="2" t="s">
        <v>27</v>
      </c>
      <c r="K350" s="5">
        <v>46271.583333333343</v>
      </c>
      <c r="L350">
        <v>1</v>
      </c>
      <c r="M350" s="3">
        <f t="shared" si="27"/>
        <v>10157.81</v>
      </c>
      <c r="N350" t="str">
        <f t="shared" si="28"/>
        <v>ставка</v>
      </c>
      <c r="O350" s="3">
        <f t="shared" si="29"/>
        <v>199.17</v>
      </c>
      <c r="P350" s="5">
        <v>46272.5</v>
      </c>
      <c r="Q350" t="s">
        <v>55</v>
      </c>
      <c r="R350" s="2" t="s">
        <v>40</v>
      </c>
      <c r="S350">
        <v>44</v>
      </c>
      <c r="T350">
        <v>1</v>
      </c>
    </row>
    <row r="351" spans="1:20" ht="30" x14ac:dyDescent="0.25">
      <c r="A351" t="s">
        <v>749</v>
      </c>
      <c r="B351">
        <v>1</v>
      </c>
      <c r="C351" s="2" t="s">
        <v>750</v>
      </c>
      <c r="D351" s="3">
        <v>21360</v>
      </c>
      <c r="E351" s="4">
        <v>17</v>
      </c>
      <c r="F351" t="s">
        <v>130</v>
      </c>
      <c r="G351" s="3">
        <f t="shared" si="25"/>
        <v>25734.94</v>
      </c>
      <c r="H351" s="3">
        <v>0</v>
      </c>
      <c r="I351" s="3">
        <f t="shared" si="26"/>
        <v>25734.94</v>
      </c>
      <c r="J351" s="2" t="s">
        <v>27</v>
      </c>
      <c r="K351" s="5">
        <v>46270.583333333343</v>
      </c>
      <c r="L351">
        <v>2</v>
      </c>
      <c r="M351" s="3">
        <f t="shared" si="27"/>
        <v>12867.47</v>
      </c>
      <c r="N351" t="str">
        <f t="shared" si="28"/>
        <v>ставка</v>
      </c>
      <c r="O351" s="3">
        <f t="shared" si="29"/>
        <v>504.61</v>
      </c>
      <c r="P351" s="5">
        <v>46272.5</v>
      </c>
      <c r="Q351" t="s">
        <v>130</v>
      </c>
      <c r="R351" s="2" t="s">
        <v>40</v>
      </c>
      <c r="S351">
        <v>22</v>
      </c>
      <c r="T351">
        <v>1</v>
      </c>
    </row>
    <row r="352" spans="1:20" ht="30" x14ac:dyDescent="0.25">
      <c r="A352" t="s">
        <v>751</v>
      </c>
      <c r="B352">
        <v>1</v>
      </c>
      <c r="C352" s="2" t="s">
        <v>752</v>
      </c>
      <c r="D352" s="3">
        <v>10215</v>
      </c>
      <c r="E352" s="4">
        <v>0</v>
      </c>
      <c r="F352" t="s">
        <v>23</v>
      </c>
      <c r="G352" s="3">
        <f t="shared" si="25"/>
        <v>10215</v>
      </c>
      <c r="H352" s="3">
        <v>0</v>
      </c>
      <c r="I352" s="3">
        <f t="shared" si="26"/>
        <v>10215</v>
      </c>
      <c r="J352" s="2" t="s">
        <v>27</v>
      </c>
      <c r="K352" s="5">
        <v>46226.583333333343</v>
      </c>
      <c r="L352">
        <v>1</v>
      </c>
      <c r="M352" s="3">
        <f t="shared" si="27"/>
        <v>10215</v>
      </c>
      <c r="N352" t="str">
        <f t="shared" si="28"/>
        <v>ставка</v>
      </c>
      <c r="O352" s="3">
        <f t="shared" si="29"/>
        <v>200.29</v>
      </c>
      <c r="P352" s="5">
        <v>46227.5</v>
      </c>
      <c r="Q352" t="s">
        <v>23</v>
      </c>
      <c r="R352" s="2" t="s">
        <v>40</v>
      </c>
      <c r="S352">
        <v>55</v>
      </c>
      <c r="T352">
        <v>2</v>
      </c>
    </row>
    <row r="353" spans="1:20" ht="30" x14ac:dyDescent="0.25">
      <c r="A353" t="s">
        <v>753</v>
      </c>
      <c r="B353">
        <v>1</v>
      </c>
      <c r="C353" s="2" t="s">
        <v>752</v>
      </c>
      <c r="D353" s="3">
        <v>20430</v>
      </c>
      <c r="E353" s="4">
        <v>0</v>
      </c>
      <c r="F353" t="s">
        <v>23</v>
      </c>
      <c r="G353" s="3">
        <f t="shared" si="25"/>
        <v>20430</v>
      </c>
      <c r="H353" s="3">
        <v>0</v>
      </c>
      <c r="I353" s="3">
        <f t="shared" si="26"/>
        <v>20430</v>
      </c>
      <c r="J353" s="2" t="s">
        <v>27</v>
      </c>
      <c r="K353" s="5">
        <v>46227.583333333343</v>
      </c>
      <c r="L353">
        <v>2</v>
      </c>
      <c r="M353" s="3">
        <f t="shared" si="27"/>
        <v>10215</v>
      </c>
      <c r="N353" t="str">
        <f t="shared" si="28"/>
        <v>ставка</v>
      </c>
      <c r="O353" s="3">
        <f t="shared" si="29"/>
        <v>400.59</v>
      </c>
      <c r="P353" s="5">
        <v>46229.5</v>
      </c>
      <c r="Q353" t="s">
        <v>23</v>
      </c>
      <c r="R353" s="2" t="s">
        <v>40</v>
      </c>
      <c r="S353">
        <v>23</v>
      </c>
      <c r="T353">
        <v>1</v>
      </c>
    </row>
    <row r="354" spans="1:20" ht="30" x14ac:dyDescent="0.25">
      <c r="A354" t="s">
        <v>272</v>
      </c>
      <c r="B354">
        <v>1</v>
      </c>
      <c r="C354" s="2" t="s">
        <v>754</v>
      </c>
      <c r="D354" s="3">
        <v>18160</v>
      </c>
      <c r="E354" s="4">
        <v>20</v>
      </c>
      <c r="F354" t="s">
        <v>173</v>
      </c>
      <c r="G354" s="3">
        <f t="shared" si="25"/>
        <v>22700</v>
      </c>
      <c r="H354" s="3">
        <v>0</v>
      </c>
      <c r="I354" s="3">
        <f t="shared" si="26"/>
        <v>22700</v>
      </c>
      <c r="J354" s="2" t="s">
        <v>27</v>
      </c>
      <c r="K354" s="5">
        <v>46289.583333333343</v>
      </c>
      <c r="L354">
        <v>2</v>
      </c>
      <c r="M354" s="3">
        <f t="shared" si="27"/>
        <v>11350</v>
      </c>
      <c r="N354" t="str">
        <f t="shared" si="28"/>
        <v>ставка</v>
      </c>
      <c r="O354" s="3">
        <f t="shared" si="29"/>
        <v>445.1</v>
      </c>
      <c r="P354" s="5">
        <v>46291.5</v>
      </c>
      <c r="Q354" t="s">
        <v>173</v>
      </c>
      <c r="R354" s="2" t="s">
        <v>40</v>
      </c>
      <c r="S354" s="6"/>
    </row>
    <row r="355" spans="1:20" x14ac:dyDescent="0.25">
      <c r="A355" t="s">
        <v>755</v>
      </c>
      <c r="B355">
        <v>1</v>
      </c>
      <c r="C355" s="2" t="s">
        <v>756</v>
      </c>
      <c r="D355" s="3">
        <v>26100</v>
      </c>
      <c r="E355" s="4">
        <v>0</v>
      </c>
      <c r="F355" t="s">
        <v>23</v>
      </c>
      <c r="G355" s="3">
        <f t="shared" si="25"/>
        <v>26100</v>
      </c>
      <c r="H355" s="3">
        <v>0</v>
      </c>
      <c r="I355" s="3">
        <f t="shared" si="26"/>
        <v>26100</v>
      </c>
      <c r="J355" s="2" t="s">
        <v>27</v>
      </c>
      <c r="K355" s="5">
        <v>46210.583333333343</v>
      </c>
      <c r="L355">
        <v>2</v>
      </c>
      <c r="M355" s="3">
        <f t="shared" si="27"/>
        <v>13050</v>
      </c>
      <c r="N355" t="str">
        <f t="shared" si="28"/>
        <v>ставка</v>
      </c>
      <c r="O355" s="3">
        <f t="shared" si="29"/>
        <v>511.76</v>
      </c>
      <c r="P355" s="5">
        <v>46212.5</v>
      </c>
      <c r="Q355" t="s">
        <v>23</v>
      </c>
      <c r="R355" s="2" t="s">
        <v>45</v>
      </c>
      <c r="S355">
        <v>57</v>
      </c>
      <c r="T355">
        <v>2</v>
      </c>
    </row>
    <row r="356" spans="1:20" x14ac:dyDescent="0.25">
      <c r="A356" t="s">
        <v>757</v>
      </c>
      <c r="B356">
        <v>1</v>
      </c>
      <c r="C356" s="2" t="s">
        <v>756</v>
      </c>
      <c r="D356" s="3">
        <v>56880</v>
      </c>
      <c r="E356" s="4">
        <v>0</v>
      </c>
      <c r="F356" t="s">
        <v>23</v>
      </c>
      <c r="G356" s="3">
        <f t="shared" si="25"/>
        <v>56880</v>
      </c>
      <c r="H356" s="3">
        <v>0</v>
      </c>
      <c r="I356" s="3">
        <f t="shared" si="26"/>
        <v>56880</v>
      </c>
      <c r="J356" s="2" t="s">
        <v>27</v>
      </c>
      <c r="K356" s="5">
        <v>46222.583333333343</v>
      </c>
      <c r="L356">
        <v>4</v>
      </c>
      <c r="M356" s="3">
        <f t="shared" si="27"/>
        <v>14220</v>
      </c>
      <c r="N356" t="str">
        <f t="shared" si="28"/>
        <v>ставка</v>
      </c>
      <c r="O356" s="3">
        <f t="shared" si="29"/>
        <v>1115.29</v>
      </c>
      <c r="P356" s="5">
        <v>46226.5</v>
      </c>
      <c r="Q356" t="s">
        <v>23</v>
      </c>
      <c r="R356" s="2" t="s">
        <v>45</v>
      </c>
      <c r="S356">
        <v>53</v>
      </c>
      <c r="T356">
        <v>2</v>
      </c>
    </row>
    <row r="357" spans="1:20" x14ac:dyDescent="0.25">
      <c r="A357" t="s">
        <v>758</v>
      </c>
      <c r="B357">
        <v>1</v>
      </c>
      <c r="C357" s="2" t="s">
        <v>756</v>
      </c>
      <c r="D357" s="3">
        <v>13050</v>
      </c>
      <c r="E357" s="4">
        <v>0</v>
      </c>
      <c r="F357" t="s">
        <v>23</v>
      </c>
      <c r="G357" s="3">
        <f t="shared" si="25"/>
        <v>13050</v>
      </c>
      <c r="H357" s="3">
        <v>0</v>
      </c>
      <c r="I357" s="3">
        <f t="shared" si="26"/>
        <v>13050</v>
      </c>
      <c r="J357" s="2" t="s">
        <v>27</v>
      </c>
      <c r="K357" s="5">
        <v>46245.583333333343</v>
      </c>
      <c r="L357">
        <v>1</v>
      </c>
      <c r="M357" s="3">
        <f t="shared" si="27"/>
        <v>13050</v>
      </c>
      <c r="N357" t="str">
        <f t="shared" si="28"/>
        <v>ставка</v>
      </c>
      <c r="O357" s="3">
        <f t="shared" si="29"/>
        <v>255.88</v>
      </c>
      <c r="P357" s="5">
        <v>46246.5</v>
      </c>
      <c r="Q357" t="s">
        <v>23</v>
      </c>
      <c r="R357" s="2" t="s">
        <v>49</v>
      </c>
      <c r="S357">
        <v>35</v>
      </c>
      <c r="T357">
        <v>1</v>
      </c>
    </row>
    <row r="358" spans="1:20" x14ac:dyDescent="0.25">
      <c r="A358" t="s">
        <v>759</v>
      </c>
      <c r="B358">
        <v>1</v>
      </c>
      <c r="C358" s="2" t="s">
        <v>756</v>
      </c>
      <c r="D358" s="3">
        <v>13050</v>
      </c>
      <c r="E358" s="4">
        <v>0</v>
      </c>
      <c r="F358" t="s">
        <v>23</v>
      </c>
      <c r="G358" s="3">
        <f t="shared" si="25"/>
        <v>13050</v>
      </c>
      <c r="H358" s="3">
        <v>0</v>
      </c>
      <c r="I358" s="3">
        <f t="shared" si="26"/>
        <v>13050</v>
      </c>
      <c r="J358" s="2" t="s">
        <v>27</v>
      </c>
      <c r="K358" s="5">
        <v>46246.583333333343</v>
      </c>
      <c r="L358">
        <v>1</v>
      </c>
      <c r="M358" s="3">
        <f t="shared" si="27"/>
        <v>13050</v>
      </c>
      <c r="N358" t="str">
        <f t="shared" si="28"/>
        <v>ставка</v>
      </c>
      <c r="O358" s="3">
        <f t="shared" si="29"/>
        <v>255.88</v>
      </c>
      <c r="P358" s="5">
        <v>46247.5</v>
      </c>
      <c r="Q358" t="s">
        <v>23</v>
      </c>
      <c r="R358" s="2" t="s">
        <v>49</v>
      </c>
      <c r="S358">
        <v>35</v>
      </c>
      <c r="T358">
        <v>1</v>
      </c>
    </row>
    <row r="359" spans="1:20" ht="30" x14ac:dyDescent="0.25">
      <c r="A359" t="s">
        <v>760</v>
      </c>
      <c r="B359">
        <v>1</v>
      </c>
      <c r="C359" s="2" t="s">
        <v>756</v>
      </c>
      <c r="D359" s="3">
        <v>14220</v>
      </c>
      <c r="E359" s="4">
        <v>0</v>
      </c>
      <c r="F359" t="s">
        <v>23</v>
      </c>
      <c r="G359" s="3">
        <f t="shared" si="25"/>
        <v>14220</v>
      </c>
      <c r="H359" s="3">
        <v>7110</v>
      </c>
      <c r="I359" s="3">
        <f t="shared" si="26"/>
        <v>21330</v>
      </c>
      <c r="J359" s="2" t="s">
        <v>761</v>
      </c>
      <c r="K359" s="5">
        <v>46273.583333333343</v>
      </c>
      <c r="L359">
        <v>1</v>
      </c>
      <c r="M359" s="3">
        <f t="shared" si="27"/>
        <v>21330</v>
      </c>
      <c r="N359" t="str">
        <f t="shared" si="28"/>
        <v>ставка</v>
      </c>
      <c r="O359" s="3">
        <f t="shared" si="29"/>
        <v>418.24</v>
      </c>
      <c r="P359" s="5">
        <v>46274.75</v>
      </c>
      <c r="Q359" t="s">
        <v>23</v>
      </c>
      <c r="R359" s="2" t="s">
        <v>45</v>
      </c>
      <c r="S359">
        <v>54</v>
      </c>
      <c r="T359">
        <v>2</v>
      </c>
    </row>
    <row r="360" spans="1:20" x14ac:dyDescent="0.25">
      <c r="A360" t="s">
        <v>762</v>
      </c>
      <c r="B360">
        <v>1</v>
      </c>
      <c r="C360" s="2" t="s">
        <v>756</v>
      </c>
      <c r="D360" s="3">
        <v>14220</v>
      </c>
      <c r="E360" s="4">
        <v>0</v>
      </c>
      <c r="F360" t="s">
        <v>23</v>
      </c>
      <c r="G360" s="3">
        <f t="shared" si="25"/>
        <v>14220</v>
      </c>
      <c r="H360" s="3">
        <v>0</v>
      </c>
      <c r="I360" s="3">
        <f t="shared" si="26"/>
        <v>14220</v>
      </c>
      <c r="J360" s="2" t="s">
        <v>27</v>
      </c>
      <c r="K360" s="5">
        <v>46279.583333333343</v>
      </c>
      <c r="L360">
        <v>1</v>
      </c>
      <c r="M360" s="3">
        <f t="shared" si="27"/>
        <v>14220</v>
      </c>
      <c r="N360" t="str">
        <f t="shared" si="28"/>
        <v>ставка</v>
      </c>
      <c r="O360" s="3">
        <f t="shared" si="29"/>
        <v>278.82</v>
      </c>
      <c r="P360" s="5">
        <v>46280.5</v>
      </c>
      <c r="Q360" t="s">
        <v>23</v>
      </c>
      <c r="R360" s="2" t="s">
        <v>45</v>
      </c>
      <c r="S360">
        <v>57</v>
      </c>
      <c r="T360">
        <v>2</v>
      </c>
    </row>
    <row r="361" spans="1:20" x14ac:dyDescent="0.25">
      <c r="A361" t="s">
        <v>763</v>
      </c>
      <c r="B361">
        <v>1</v>
      </c>
      <c r="C361" s="2" t="s">
        <v>756</v>
      </c>
      <c r="D361" s="3">
        <v>13050</v>
      </c>
      <c r="E361" s="4">
        <v>0</v>
      </c>
      <c r="F361" t="s">
        <v>23</v>
      </c>
      <c r="G361" s="3">
        <f t="shared" si="25"/>
        <v>13050</v>
      </c>
      <c r="H361" s="3">
        <v>0</v>
      </c>
      <c r="I361" s="3">
        <f t="shared" si="26"/>
        <v>13050</v>
      </c>
      <c r="J361" s="2" t="s">
        <v>27</v>
      </c>
      <c r="K361" s="5">
        <v>46280.583333333343</v>
      </c>
      <c r="L361">
        <v>1</v>
      </c>
      <c r="M361" s="3">
        <f t="shared" si="27"/>
        <v>13050</v>
      </c>
      <c r="N361" t="str">
        <f t="shared" si="28"/>
        <v>ставка</v>
      </c>
      <c r="O361" s="3">
        <f t="shared" si="29"/>
        <v>255.88</v>
      </c>
      <c r="P361" s="5">
        <v>46281.5</v>
      </c>
      <c r="Q361" t="s">
        <v>23</v>
      </c>
      <c r="R361" s="2" t="s">
        <v>49</v>
      </c>
      <c r="S361">
        <v>11</v>
      </c>
      <c r="T361">
        <v>1</v>
      </c>
    </row>
    <row r="362" spans="1:20" ht="30" x14ac:dyDescent="0.25">
      <c r="A362" t="s">
        <v>764</v>
      </c>
      <c r="B362">
        <v>1</v>
      </c>
      <c r="C362" s="2" t="s">
        <v>765</v>
      </c>
      <c r="D362" s="3">
        <v>10900</v>
      </c>
      <c r="E362" s="4">
        <v>0</v>
      </c>
      <c r="F362" t="s">
        <v>23</v>
      </c>
      <c r="G362" s="3">
        <f t="shared" si="25"/>
        <v>10900</v>
      </c>
      <c r="H362" s="3">
        <v>0</v>
      </c>
      <c r="I362" s="3">
        <f t="shared" si="26"/>
        <v>10900</v>
      </c>
      <c r="J362" s="2" t="s">
        <v>27</v>
      </c>
      <c r="K362" s="5">
        <v>46229.583333333343</v>
      </c>
      <c r="L362">
        <v>1</v>
      </c>
      <c r="M362" s="3">
        <f t="shared" si="27"/>
        <v>10900</v>
      </c>
      <c r="N362" t="str">
        <f t="shared" si="28"/>
        <v>ставка</v>
      </c>
      <c r="O362" s="3">
        <f t="shared" si="29"/>
        <v>213.73</v>
      </c>
      <c r="P362" s="5">
        <v>46230.5</v>
      </c>
      <c r="Q362" t="s">
        <v>23</v>
      </c>
      <c r="R362" s="2" t="s">
        <v>40</v>
      </c>
      <c r="S362">
        <v>36</v>
      </c>
      <c r="T362">
        <v>1</v>
      </c>
    </row>
    <row r="363" spans="1:20" ht="30" x14ac:dyDescent="0.25">
      <c r="A363" t="s">
        <v>766</v>
      </c>
      <c r="B363">
        <v>1</v>
      </c>
      <c r="C363" s="2" t="s">
        <v>767</v>
      </c>
      <c r="D363" s="3">
        <v>13200</v>
      </c>
      <c r="E363" s="4">
        <v>18</v>
      </c>
      <c r="F363" t="s">
        <v>32</v>
      </c>
      <c r="G363" s="3">
        <f t="shared" si="25"/>
        <v>16097.56</v>
      </c>
      <c r="H363" s="3">
        <v>0</v>
      </c>
      <c r="I363" s="3">
        <f t="shared" si="26"/>
        <v>16097.56</v>
      </c>
      <c r="J363" s="2" t="s">
        <v>27</v>
      </c>
      <c r="K363" s="5">
        <v>46260.583333333343</v>
      </c>
      <c r="L363">
        <v>1</v>
      </c>
      <c r="M363" s="3">
        <f t="shared" si="27"/>
        <v>16097.56</v>
      </c>
      <c r="N363" t="str">
        <f t="shared" si="28"/>
        <v>ставка</v>
      </c>
      <c r="O363" s="3">
        <f t="shared" si="29"/>
        <v>315.64</v>
      </c>
      <c r="P363" s="5">
        <v>46261.5</v>
      </c>
      <c r="Q363" t="s">
        <v>32</v>
      </c>
      <c r="R363" s="2" t="s">
        <v>49</v>
      </c>
      <c r="S363">
        <v>25</v>
      </c>
      <c r="T363">
        <v>1</v>
      </c>
    </row>
    <row r="364" spans="1:20" ht="30" x14ac:dyDescent="0.25">
      <c r="A364" t="s">
        <v>768</v>
      </c>
      <c r="B364">
        <v>1</v>
      </c>
      <c r="C364" s="2" t="s">
        <v>769</v>
      </c>
      <c r="D364" s="3">
        <v>11390</v>
      </c>
      <c r="E364" s="4">
        <v>15</v>
      </c>
      <c r="F364" t="s">
        <v>36</v>
      </c>
      <c r="G364" s="3">
        <f t="shared" si="25"/>
        <v>13400</v>
      </c>
      <c r="H364" s="3">
        <v>0</v>
      </c>
      <c r="I364" s="3">
        <f t="shared" si="26"/>
        <v>13400</v>
      </c>
      <c r="J364" s="2" t="s">
        <v>27</v>
      </c>
      <c r="K364" s="5">
        <v>46223.583333333343</v>
      </c>
      <c r="L364">
        <v>1</v>
      </c>
      <c r="M364" s="3">
        <f t="shared" si="27"/>
        <v>13400</v>
      </c>
      <c r="N364" t="str">
        <f t="shared" si="28"/>
        <v>ставка</v>
      </c>
      <c r="O364" s="3">
        <f t="shared" si="29"/>
        <v>262.75</v>
      </c>
      <c r="P364" s="5">
        <v>46224.5</v>
      </c>
      <c r="Q364" t="s">
        <v>36</v>
      </c>
      <c r="R364" s="2" t="s">
        <v>24</v>
      </c>
      <c r="S364">
        <v>31</v>
      </c>
      <c r="T364">
        <v>1</v>
      </c>
    </row>
    <row r="365" spans="1:20" ht="30" x14ac:dyDescent="0.25">
      <c r="A365" t="s">
        <v>770</v>
      </c>
      <c r="B365">
        <v>1</v>
      </c>
      <c r="C365" s="2" t="s">
        <v>771</v>
      </c>
      <c r="D365" s="3">
        <v>17250</v>
      </c>
      <c r="E365" s="4">
        <v>0</v>
      </c>
      <c r="F365" t="s">
        <v>23</v>
      </c>
      <c r="G365" s="3">
        <f t="shared" si="25"/>
        <v>17250</v>
      </c>
      <c r="H365" s="3">
        <v>0</v>
      </c>
      <c r="I365" s="3">
        <f t="shared" si="26"/>
        <v>17250</v>
      </c>
      <c r="J365" s="2" t="s">
        <v>27</v>
      </c>
      <c r="K365" s="5">
        <v>46214.583333333343</v>
      </c>
      <c r="L365">
        <v>1</v>
      </c>
      <c r="M365" s="3">
        <f t="shared" si="27"/>
        <v>17250</v>
      </c>
      <c r="N365" t="str">
        <f t="shared" si="28"/>
        <v>ставка</v>
      </c>
      <c r="O365" s="3">
        <f t="shared" si="29"/>
        <v>338.24</v>
      </c>
      <c r="P365" s="5">
        <v>46215.5</v>
      </c>
      <c r="Q365" t="s">
        <v>23</v>
      </c>
      <c r="R365" s="2" t="s">
        <v>772</v>
      </c>
      <c r="S365">
        <v>51</v>
      </c>
      <c r="T365">
        <v>2</v>
      </c>
    </row>
    <row r="366" spans="1:20" ht="30" x14ac:dyDescent="0.25">
      <c r="A366" t="s">
        <v>773</v>
      </c>
      <c r="B366">
        <v>1</v>
      </c>
      <c r="C366" s="2" t="s">
        <v>774</v>
      </c>
      <c r="D366" s="3">
        <v>27240</v>
      </c>
      <c r="E366" s="4">
        <v>20</v>
      </c>
      <c r="F366" t="s">
        <v>48</v>
      </c>
      <c r="G366" s="3">
        <f t="shared" si="25"/>
        <v>34050</v>
      </c>
      <c r="H366" s="3">
        <v>9080</v>
      </c>
      <c r="I366" s="3">
        <f t="shared" si="26"/>
        <v>43130</v>
      </c>
      <c r="J366" s="2" t="s">
        <v>775</v>
      </c>
      <c r="K366" s="5">
        <v>46266.583333333343</v>
      </c>
      <c r="L366">
        <v>3</v>
      </c>
      <c r="M366" s="3">
        <f t="shared" si="27"/>
        <v>14376.666666666666</v>
      </c>
      <c r="N366" t="str">
        <f t="shared" si="28"/>
        <v>ставка</v>
      </c>
      <c r="O366" s="3">
        <f t="shared" si="29"/>
        <v>845.69</v>
      </c>
      <c r="P366" s="5">
        <v>46269.875</v>
      </c>
      <c r="Q366" t="s">
        <v>48</v>
      </c>
      <c r="R366" s="2" t="s">
        <v>40</v>
      </c>
      <c r="S366">
        <v>36</v>
      </c>
      <c r="T366">
        <v>1</v>
      </c>
    </row>
    <row r="367" spans="1:20" ht="30" x14ac:dyDescent="0.25">
      <c r="A367" t="s">
        <v>776</v>
      </c>
      <c r="B367">
        <v>1</v>
      </c>
      <c r="C367" s="2" t="s">
        <v>777</v>
      </c>
      <c r="D367" s="3">
        <v>6314</v>
      </c>
      <c r="E367" s="4">
        <v>18</v>
      </c>
      <c r="F367" t="s">
        <v>248</v>
      </c>
      <c r="G367" s="3">
        <f t="shared" si="25"/>
        <v>7700</v>
      </c>
      <c r="H367" s="3">
        <v>0</v>
      </c>
      <c r="I367" s="3">
        <f t="shared" si="26"/>
        <v>7700</v>
      </c>
      <c r="J367" s="2" t="s">
        <v>27</v>
      </c>
      <c r="K367" s="5">
        <v>46245.583333333343</v>
      </c>
      <c r="L367">
        <v>1</v>
      </c>
      <c r="M367" s="3">
        <f t="shared" si="27"/>
        <v>7700</v>
      </c>
      <c r="N367" t="str">
        <f t="shared" si="28"/>
        <v>ставка</v>
      </c>
      <c r="O367" s="3">
        <f t="shared" si="29"/>
        <v>150.97999999999999</v>
      </c>
      <c r="P367" s="5">
        <v>46246.5</v>
      </c>
      <c r="Q367" t="s">
        <v>248</v>
      </c>
      <c r="R367" s="2" t="s">
        <v>58</v>
      </c>
      <c r="S367">
        <v>34</v>
      </c>
      <c r="T367">
        <v>1</v>
      </c>
    </row>
    <row r="368" spans="1:20" x14ac:dyDescent="0.25">
      <c r="A368" t="s">
        <v>778</v>
      </c>
      <c r="B368">
        <v>1</v>
      </c>
      <c r="C368" s="2" t="s">
        <v>779</v>
      </c>
      <c r="D368" s="3">
        <v>13695</v>
      </c>
      <c r="E368" s="4">
        <v>17</v>
      </c>
      <c r="F368" t="s">
        <v>130</v>
      </c>
      <c r="G368" s="3">
        <f t="shared" si="25"/>
        <v>16500</v>
      </c>
      <c r="H368" s="3">
        <v>0</v>
      </c>
      <c r="I368" s="3">
        <f t="shared" si="26"/>
        <v>16500</v>
      </c>
      <c r="J368" s="2" t="s">
        <v>27</v>
      </c>
      <c r="K368" s="5">
        <v>46211.583333333343</v>
      </c>
      <c r="L368">
        <v>1</v>
      </c>
      <c r="M368" s="3">
        <f t="shared" si="27"/>
        <v>16500</v>
      </c>
      <c r="N368" t="str">
        <f t="shared" si="28"/>
        <v>ставка</v>
      </c>
      <c r="O368" s="3">
        <f t="shared" si="29"/>
        <v>323.52999999999997</v>
      </c>
      <c r="P368" s="5">
        <v>46212.5</v>
      </c>
      <c r="Q368" t="s">
        <v>130</v>
      </c>
      <c r="R368" s="2" t="s">
        <v>49</v>
      </c>
      <c r="S368">
        <v>25</v>
      </c>
      <c r="T368">
        <v>1</v>
      </c>
    </row>
    <row r="369" spans="1:20" ht="30" x14ac:dyDescent="0.25">
      <c r="A369" t="s">
        <v>780</v>
      </c>
      <c r="B369">
        <v>1</v>
      </c>
      <c r="C369" s="2" t="s">
        <v>781</v>
      </c>
      <c r="D369" s="3">
        <v>42075</v>
      </c>
      <c r="E369" s="4">
        <v>0</v>
      </c>
      <c r="F369" t="s">
        <v>245</v>
      </c>
      <c r="G369" s="3">
        <f t="shared" si="25"/>
        <v>42075</v>
      </c>
      <c r="H369" s="3">
        <v>0</v>
      </c>
      <c r="I369" s="3">
        <f t="shared" si="26"/>
        <v>42075</v>
      </c>
      <c r="J369" s="2" t="s">
        <v>27</v>
      </c>
      <c r="K369" s="5">
        <v>46244.583333333343</v>
      </c>
      <c r="L369">
        <v>5</v>
      </c>
      <c r="M369" s="3">
        <f t="shared" si="27"/>
        <v>8415</v>
      </c>
      <c r="N369" t="str">
        <f t="shared" si="28"/>
        <v>ставка</v>
      </c>
      <c r="O369" s="3">
        <f t="shared" si="29"/>
        <v>825</v>
      </c>
      <c r="P369" s="5">
        <v>46249.5</v>
      </c>
      <c r="Q369" t="s">
        <v>245</v>
      </c>
      <c r="R369" s="2" t="s">
        <v>33</v>
      </c>
      <c r="S369">
        <v>45</v>
      </c>
      <c r="T369">
        <v>1</v>
      </c>
    </row>
    <row r="370" spans="1:20" ht="30" x14ac:dyDescent="0.25">
      <c r="A370" t="s">
        <v>782</v>
      </c>
      <c r="B370">
        <v>1</v>
      </c>
      <c r="C370" s="2" t="s">
        <v>783</v>
      </c>
      <c r="D370" s="3">
        <v>10680</v>
      </c>
      <c r="E370" s="4">
        <v>18</v>
      </c>
      <c r="F370" t="s">
        <v>32</v>
      </c>
      <c r="G370" s="3">
        <f t="shared" si="25"/>
        <v>13024.39</v>
      </c>
      <c r="H370" s="3">
        <v>0</v>
      </c>
      <c r="I370" s="3">
        <f t="shared" si="26"/>
        <v>13024.39</v>
      </c>
      <c r="J370" s="2" t="s">
        <v>27</v>
      </c>
      <c r="K370" s="5">
        <v>46223.583333333343</v>
      </c>
      <c r="L370">
        <v>1</v>
      </c>
      <c r="M370" s="3">
        <f t="shared" si="27"/>
        <v>13024.39</v>
      </c>
      <c r="N370" t="str">
        <f t="shared" si="28"/>
        <v>ставка</v>
      </c>
      <c r="O370" s="3">
        <f t="shared" si="29"/>
        <v>255.38</v>
      </c>
      <c r="P370" s="5">
        <v>46224.5</v>
      </c>
      <c r="Q370" t="s">
        <v>32</v>
      </c>
      <c r="R370" s="2" t="s">
        <v>40</v>
      </c>
      <c r="S370">
        <v>26</v>
      </c>
      <c r="T370">
        <v>1</v>
      </c>
    </row>
    <row r="371" spans="1:20" ht="30" x14ac:dyDescent="0.25">
      <c r="A371" t="s">
        <v>784</v>
      </c>
      <c r="B371">
        <v>1</v>
      </c>
      <c r="C371" s="2" t="s">
        <v>785</v>
      </c>
      <c r="D371" s="3">
        <v>13350</v>
      </c>
      <c r="E371" s="4">
        <v>0</v>
      </c>
      <c r="F371" t="s">
        <v>23</v>
      </c>
      <c r="G371" s="3">
        <f t="shared" si="25"/>
        <v>13350</v>
      </c>
      <c r="H371" s="3">
        <v>0</v>
      </c>
      <c r="I371" s="3">
        <f t="shared" si="26"/>
        <v>13350</v>
      </c>
      <c r="J371" s="2" t="s">
        <v>27</v>
      </c>
      <c r="K371" s="5">
        <v>46242.583333333343</v>
      </c>
      <c r="L371">
        <v>1</v>
      </c>
      <c r="M371" s="3">
        <f t="shared" si="27"/>
        <v>13350</v>
      </c>
      <c r="N371" t="str">
        <f t="shared" si="28"/>
        <v>ставка</v>
      </c>
      <c r="O371" s="3">
        <f t="shared" si="29"/>
        <v>261.76</v>
      </c>
      <c r="P371" s="5">
        <v>46243.5</v>
      </c>
      <c r="Q371" t="s">
        <v>23</v>
      </c>
      <c r="R371" s="2" t="s">
        <v>40</v>
      </c>
      <c r="S371">
        <v>44</v>
      </c>
      <c r="T371">
        <v>1</v>
      </c>
    </row>
    <row r="372" spans="1:20" x14ac:dyDescent="0.25">
      <c r="A372" t="s">
        <v>786</v>
      </c>
      <c r="B372">
        <v>1</v>
      </c>
      <c r="C372" s="2" t="s">
        <v>787</v>
      </c>
      <c r="D372" s="3">
        <v>28440</v>
      </c>
      <c r="E372" s="4">
        <v>0</v>
      </c>
      <c r="F372" t="s">
        <v>23</v>
      </c>
      <c r="G372" s="3">
        <f t="shared" si="25"/>
        <v>28440</v>
      </c>
      <c r="H372" s="3">
        <v>0</v>
      </c>
      <c r="I372" s="3">
        <f t="shared" si="26"/>
        <v>28440</v>
      </c>
      <c r="J372" s="2" t="s">
        <v>27</v>
      </c>
      <c r="K372" s="5">
        <v>46218.583333333343</v>
      </c>
      <c r="L372">
        <v>2</v>
      </c>
      <c r="M372" s="3">
        <f t="shared" si="27"/>
        <v>14220</v>
      </c>
      <c r="N372" t="str">
        <f t="shared" si="28"/>
        <v>ставка</v>
      </c>
      <c r="O372" s="3">
        <f t="shared" si="29"/>
        <v>557.65</v>
      </c>
      <c r="P372" s="5">
        <v>46220.5</v>
      </c>
      <c r="Q372" t="s">
        <v>23</v>
      </c>
      <c r="R372" s="2" t="s">
        <v>45</v>
      </c>
      <c r="S372">
        <v>53</v>
      </c>
      <c r="T372">
        <v>2</v>
      </c>
    </row>
    <row r="373" spans="1:20" ht="30" x14ac:dyDescent="0.25">
      <c r="A373" t="s">
        <v>788</v>
      </c>
      <c r="B373">
        <v>1</v>
      </c>
      <c r="C373" s="2" t="s">
        <v>789</v>
      </c>
      <c r="D373" s="3">
        <v>9900</v>
      </c>
      <c r="E373" s="4">
        <v>0</v>
      </c>
      <c r="F373" t="s">
        <v>23</v>
      </c>
      <c r="G373" s="3">
        <f t="shared" si="25"/>
        <v>9900</v>
      </c>
      <c r="H373" s="3">
        <v>0</v>
      </c>
      <c r="I373" s="3">
        <f t="shared" si="26"/>
        <v>9900</v>
      </c>
      <c r="J373" s="2" t="s">
        <v>27</v>
      </c>
      <c r="K373" s="5">
        <v>46285.583333333343</v>
      </c>
      <c r="L373">
        <v>1</v>
      </c>
      <c r="M373" s="3">
        <f t="shared" si="27"/>
        <v>9900</v>
      </c>
      <c r="N373" t="str">
        <f t="shared" si="28"/>
        <v>ставка</v>
      </c>
      <c r="O373" s="3">
        <f t="shared" si="29"/>
        <v>194.12</v>
      </c>
      <c r="P373" s="5">
        <v>46286.5</v>
      </c>
      <c r="Q373" t="s">
        <v>23</v>
      </c>
      <c r="R373" s="2" t="s">
        <v>33</v>
      </c>
      <c r="S373">
        <v>43</v>
      </c>
      <c r="T373">
        <v>1</v>
      </c>
    </row>
    <row r="374" spans="1:20" ht="30" x14ac:dyDescent="0.25">
      <c r="A374" t="s">
        <v>790</v>
      </c>
      <c r="B374">
        <v>1</v>
      </c>
      <c r="C374" s="2" t="s">
        <v>791</v>
      </c>
      <c r="D374" s="3">
        <v>9647.5</v>
      </c>
      <c r="E374" s="4">
        <v>15</v>
      </c>
      <c r="F374" t="s">
        <v>36</v>
      </c>
      <c r="G374" s="3">
        <f t="shared" si="25"/>
        <v>11350</v>
      </c>
      <c r="H374" s="3">
        <v>0</v>
      </c>
      <c r="I374" s="3">
        <f t="shared" si="26"/>
        <v>11350</v>
      </c>
      <c r="J374" s="2" t="s">
        <v>27</v>
      </c>
      <c r="K374" s="5">
        <v>46216.583333333343</v>
      </c>
      <c r="L374">
        <v>1</v>
      </c>
      <c r="M374" s="3">
        <f t="shared" si="27"/>
        <v>11350</v>
      </c>
      <c r="N374" t="str">
        <f t="shared" si="28"/>
        <v>ставка</v>
      </c>
      <c r="O374" s="3">
        <f t="shared" si="29"/>
        <v>222.55</v>
      </c>
      <c r="P374" s="5">
        <v>46217.5</v>
      </c>
      <c r="Q374" t="s">
        <v>36</v>
      </c>
      <c r="R374" s="2" t="s">
        <v>40</v>
      </c>
      <c r="S374">
        <v>42</v>
      </c>
      <c r="T374">
        <v>1</v>
      </c>
    </row>
    <row r="375" spans="1:20" ht="30" x14ac:dyDescent="0.25">
      <c r="A375" t="s">
        <v>792</v>
      </c>
      <c r="B375">
        <v>1</v>
      </c>
      <c r="C375" s="2" t="s">
        <v>793</v>
      </c>
      <c r="D375" s="3">
        <v>18160</v>
      </c>
      <c r="E375" s="4">
        <v>20</v>
      </c>
      <c r="F375" t="s">
        <v>103</v>
      </c>
      <c r="G375" s="3">
        <f t="shared" si="25"/>
        <v>22700</v>
      </c>
      <c r="H375" s="3">
        <v>0</v>
      </c>
      <c r="I375" s="3">
        <f t="shared" si="26"/>
        <v>22700</v>
      </c>
      <c r="J375" s="2" t="s">
        <v>27</v>
      </c>
      <c r="K375" s="5">
        <v>46225.583333333343</v>
      </c>
      <c r="L375">
        <v>2</v>
      </c>
      <c r="M375" s="3">
        <f t="shared" si="27"/>
        <v>11350</v>
      </c>
      <c r="N375" t="str">
        <f t="shared" si="28"/>
        <v>ставка</v>
      </c>
      <c r="O375" s="3">
        <f t="shared" si="29"/>
        <v>445.1</v>
      </c>
      <c r="P375" s="5">
        <v>46227.5</v>
      </c>
      <c r="Q375" t="s">
        <v>103</v>
      </c>
      <c r="R375" s="2" t="s">
        <v>40</v>
      </c>
      <c r="S375">
        <v>23</v>
      </c>
      <c r="T375">
        <v>1</v>
      </c>
    </row>
    <row r="376" spans="1:20" ht="30" x14ac:dyDescent="0.25">
      <c r="A376" t="s">
        <v>794</v>
      </c>
      <c r="B376">
        <v>1</v>
      </c>
      <c r="C376" s="2" t="s">
        <v>795</v>
      </c>
      <c r="D376" s="3">
        <v>13346.75</v>
      </c>
      <c r="E376" s="4">
        <v>4</v>
      </c>
      <c r="F376" t="s">
        <v>55</v>
      </c>
      <c r="G376" s="3">
        <f t="shared" si="25"/>
        <v>13902.86</v>
      </c>
      <c r="H376" s="3">
        <v>0</v>
      </c>
      <c r="I376" s="3">
        <f t="shared" si="26"/>
        <v>13902.86</v>
      </c>
      <c r="J376" s="2" t="s">
        <v>27</v>
      </c>
      <c r="K376" s="5">
        <v>46209.583333333343</v>
      </c>
      <c r="L376">
        <v>1</v>
      </c>
      <c r="M376" s="3">
        <f t="shared" si="27"/>
        <v>13902.86</v>
      </c>
      <c r="N376" t="str">
        <f t="shared" si="28"/>
        <v>ставка</v>
      </c>
      <c r="O376" s="3">
        <f t="shared" si="29"/>
        <v>272.61</v>
      </c>
      <c r="P376" s="5">
        <v>46210.5</v>
      </c>
      <c r="Q376" t="s">
        <v>55</v>
      </c>
      <c r="R376" s="2" t="s">
        <v>49</v>
      </c>
      <c r="S376">
        <v>35</v>
      </c>
      <c r="T376">
        <v>1</v>
      </c>
    </row>
    <row r="377" spans="1:20" ht="30" x14ac:dyDescent="0.25">
      <c r="A377" t="s">
        <v>796</v>
      </c>
      <c r="B377">
        <v>1</v>
      </c>
      <c r="C377" s="2" t="s">
        <v>797</v>
      </c>
      <c r="D377" s="3">
        <v>20430</v>
      </c>
      <c r="E377" s="4">
        <v>0</v>
      </c>
      <c r="F377" t="s">
        <v>23</v>
      </c>
      <c r="G377" s="3">
        <f t="shared" si="25"/>
        <v>20430</v>
      </c>
      <c r="H377" s="3">
        <v>0</v>
      </c>
      <c r="I377" s="3">
        <f t="shared" si="26"/>
        <v>20430</v>
      </c>
      <c r="J377" s="2" t="s">
        <v>27</v>
      </c>
      <c r="K377" s="5">
        <v>46227.583333333343</v>
      </c>
      <c r="L377">
        <v>2</v>
      </c>
      <c r="M377" s="3">
        <f t="shared" si="27"/>
        <v>10215</v>
      </c>
      <c r="N377" t="str">
        <f t="shared" si="28"/>
        <v>ставка</v>
      </c>
      <c r="O377" s="3">
        <f t="shared" si="29"/>
        <v>400.59</v>
      </c>
      <c r="P377" s="5">
        <v>46229.5</v>
      </c>
      <c r="Q377" t="s">
        <v>23</v>
      </c>
      <c r="R377" s="2" t="s">
        <v>40</v>
      </c>
      <c r="S377">
        <v>55</v>
      </c>
      <c r="T377">
        <v>2</v>
      </c>
    </row>
    <row r="378" spans="1:20" ht="30" x14ac:dyDescent="0.25">
      <c r="A378" t="s">
        <v>798</v>
      </c>
      <c r="B378">
        <v>1</v>
      </c>
      <c r="C378" s="2" t="s">
        <v>799</v>
      </c>
      <c r="D378" s="3">
        <v>11850</v>
      </c>
      <c r="E378" s="4">
        <v>18</v>
      </c>
      <c r="F378" t="s">
        <v>32</v>
      </c>
      <c r="G378" s="3">
        <f t="shared" si="25"/>
        <v>14451.22</v>
      </c>
      <c r="H378" s="3">
        <v>0</v>
      </c>
      <c r="I378" s="3">
        <f t="shared" si="26"/>
        <v>14451.22</v>
      </c>
      <c r="J378" s="2" t="s">
        <v>27</v>
      </c>
      <c r="K378" s="5">
        <v>46284.583333333343</v>
      </c>
      <c r="L378">
        <v>2</v>
      </c>
      <c r="M378" s="3">
        <f t="shared" si="27"/>
        <v>7225.61</v>
      </c>
      <c r="N378" t="str">
        <f t="shared" si="28"/>
        <v>ставка</v>
      </c>
      <c r="O378" s="3">
        <f t="shared" si="29"/>
        <v>283.36</v>
      </c>
      <c r="P378" s="5">
        <v>46286.5</v>
      </c>
      <c r="Q378" t="s">
        <v>32</v>
      </c>
      <c r="R378" s="2" t="s">
        <v>33</v>
      </c>
      <c r="S378">
        <v>47</v>
      </c>
      <c r="T378">
        <v>1</v>
      </c>
    </row>
    <row r="379" spans="1:20" ht="30" x14ac:dyDescent="0.25">
      <c r="A379" t="s">
        <v>800</v>
      </c>
      <c r="B379">
        <v>1</v>
      </c>
      <c r="C379" s="2" t="s">
        <v>801</v>
      </c>
      <c r="D379" s="3">
        <v>16434</v>
      </c>
      <c r="E379" s="4">
        <v>17</v>
      </c>
      <c r="F379" t="s">
        <v>130</v>
      </c>
      <c r="G379" s="3">
        <f t="shared" si="25"/>
        <v>19800</v>
      </c>
      <c r="H379" s="3">
        <v>0</v>
      </c>
      <c r="I379" s="3">
        <f t="shared" si="26"/>
        <v>19800</v>
      </c>
      <c r="J379" s="2" t="s">
        <v>27</v>
      </c>
      <c r="K379" s="5">
        <v>46264.583333333343</v>
      </c>
      <c r="L379">
        <v>2</v>
      </c>
      <c r="M379" s="3">
        <f t="shared" si="27"/>
        <v>9900</v>
      </c>
      <c r="N379" t="str">
        <f t="shared" si="28"/>
        <v>ставка</v>
      </c>
      <c r="O379" s="3">
        <f t="shared" si="29"/>
        <v>388.24</v>
      </c>
      <c r="P379" s="5">
        <v>46266.5</v>
      </c>
      <c r="Q379" t="s">
        <v>130</v>
      </c>
      <c r="R379" s="2" t="s">
        <v>40</v>
      </c>
      <c r="S379">
        <v>46</v>
      </c>
      <c r="T379">
        <v>1</v>
      </c>
    </row>
    <row r="380" spans="1:20" ht="30" x14ac:dyDescent="0.25">
      <c r="A380" t="s">
        <v>802</v>
      </c>
      <c r="B380">
        <v>1</v>
      </c>
      <c r="C380" s="2" t="s">
        <v>803</v>
      </c>
      <c r="D380" s="3">
        <v>7461.3</v>
      </c>
      <c r="E380" s="4">
        <v>4</v>
      </c>
      <c r="F380" t="s">
        <v>55</v>
      </c>
      <c r="G380" s="3">
        <f t="shared" si="25"/>
        <v>7772.19</v>
      </c>
      <c r="H380" s="3">
        <v>0</v>
      </c>
      <c r="I380" s="3">
        <f t="shared" si="26"/>
        <v>7772.19</v>
      </c>
      <c r="J380" s="2" t="s">
        <v>27</v>
      </c>
      <c r="K380" s="5">
        <v>46235.583333333343</v>
      </c>
      <c r="L380">
        <v>1</v>
      </c>
      <c r="M380" s="3">
        <f t="shared" si="27"/>
        <v>7772.19</v>
      </c>
      <c r="N380" t="str">
        <f t="shared" si="28"/>
        <v>ставка</v>
      </c>
      <c r="O380" s="3">
        <f t="shared" si="29"/>
        <v>152.4</v>
      </c>
      <c r="P380" s="5">
        <v>46236.5</v>
      </c>
      <c r="Q380" t="s">
        <v>55</v>
      </c>
      <c r="R380" s="2" t="s">
        <v>58</v>
      </c>
      <c r="S380">
        <v>24</v>
      </c>
      <c r="T380">
        <v>1</v>
      </c>
    </row>
    <row r="381" spans="1:20" x14ac:dyDescent="0.25">
      <c r="A381" t="s">
        <v>804</v>
      </c>
      <c r="B381">
        <v>1</v>
      </c>
      <c r="C381" s="2" t="s">
        <v>805</v>
      </c>
      <c r="D381" s="3">
        <v>33000</v>
      </c>
      <c r="E381" s="4">
        <v>0</v>
      </c>
      <c r="F381" t="s">
        <v>23</v>
      </c>
      <c r="G381" s="3">
        <f t="shared" si="25"/>
        <v>33000</v>
      </c>
      <c r="H381" s="3">
        <v>0</v>
      </c>
      <c r="I381" s="3">
        <f t="shared" si="26"/>
        <v>33000</v>
      </c>
      <c r="J381" s="2" t="s">
        <v>27</v>
      </c>
      <c r="K381" s="5">
        <v>46290.645833333343</v>
      </c>
      <c r="L381">
        <v>2</v>
      </c>
      <c r="M381" s="3">
        <f t="shared" si="27"/>
        <v>16500</v>
      </c>
      <c r="N381" t="str">
        <f t="shared" si="28"/>
        <v>ставка</v>
      </c>
      <c r="O381" s="3">
        <f t="shared" si="29"/>
        <v>647.05999999999995</v>
      </c>
      <c r="P381" s="5">
        <v>46292.5</v>
      </c>
      <c r="Q381" t="s">
        <v>23</v>
      </c>
      <c r="R381" s="2" t="s">
        <v>49</v>
      </c>
      <c r="S381">
        <v>25</v>
      </c>
      <c r="T381">
        <v>1</v>
      </c>
    </row>
    <row r="382" spans="1:20" ht="30" x14ac:dyDescent="0.25">
      <c r="A382" t="s">
        <v>806</v>
      </c>
      <c r="B382">
        <v>1</v>
      </c>
      <c r="C382" s="2" t="s">
        <v>807</v>
      </c>
      <c r="D382" s="3">
        <v>18614</v>
      </c>
      <c r="E382" s="4">
        <v>18</v>
      </c>
      <c r="F382" t="s">
        <v>147</v>
      </c>
      <c r="G382" s="3">
        <f t="shared" si="25"/>
        <v>22700</v>
      </c>
      <c r="H382" s="3">
        <v>0</v>
      </c>
      <c r="I382" s="3">
        <f t="shared" si="26"/>
        <v>22700</v>
      </c>
      <c r="J382" s="2" t="s">
        <v>27</v>
      </c>
      <c r="K382" s="5">
        <v>46260.583333333343</v>
      </c>
      <c r="L382">
        <v>2</v>
      </c>
      <c r="M382" s="3">
        <f t="shared" si="27"/>
        <v>11350</v>
      </c>
      <c r="N382" t="str">
        <f t="shared" si="28"/>
        <v>ставка</v>
      </c>
      <c r="O382" s="3">
        <f t="shared" si="29"/>
        <v>445.1</v>
      </c>
      <c r="P382" s="5">
        <v>46262.5</v>
      </c>
      <c r="Q382" t="s">
        <v>147</v>
      </c>
      <c r="R382" s="2" t="s">
        <v>40</v>
      </c>
      <c r="S382">
        <v>42</v>
      </c>
      <c r="T382">
        <v>1</v>
      </c>
    </row>
    <row r="383" spans="1:20" ht="30" x14ac:dyDescent="0.25">
      <c r="A383" t="s">
        <v>808</v>
      </c>
      <c r="B383">
        <v>1</v>
      </c>
      <c r="C383" s="2" t="s">
        <v>809</v>
      </c>
      <c r="D383" s="3">
        <v>56750</v>
      </c>
      <c r="E383" s="4">
        <v>0</v>
      </c>
      <c r="F383" t="s">
        <v>23</v>
      </c>
      <c r="G383" s="3">
        <f t="shared" si="25"/>
        <v>56750</v>
      </c>
      <c r="H383" s="3">
        <v>5675</v>
      </c>
      <c r="I383" s="3">
        <f t="shared" si="26"/>
        <v>62425</v>
      </c>
      <c r="J383" s="2" t="s">
        <v>341</v>
      </c>
      <c r="K383" s="5">
        <v>46278.583333333343</v>
      </c>
      <c r="L383">
        <v>5</v>
      </c>
      <c r="M383" s="3">
        <f t="shared" si="27"/>
        <v>12485</v>
      </c>
      <c r="N383" t="str">
        <f t="shared" si="28"/>
        <v>ставка</v>
      </c>
      <c r="O383" s="3">
        <f t="shared" si="29"/>
        <v>1224.02</v>
      </c>
      <c r="P383" s="5">
        <v>46283.75</v>
      </c>
      <c r="Q383" t="s">
        <v>23</v>
      </c>
      <c r="R383" s="2" t="s">
        <v>40</v>
      </c>
      <c r="S383">
        <v>32</v>
      </c>
      <c r="T383">
        <v>1</v>
      </c>
    </row>
    <row r="384" spans="1:20" ht="30" x14ac:dyDescent="0.25">
      <c r="A384" t="s">
        <v>810</v>
      </c>
      <c r="B384">
        <v>1</v>
      </c>
      <c r="C384" s="2" t="s">
        <v>811</v>
      </c>
      <c r="D384" s="3">
        <v>49300</v>
      </c>
      <c r="E384" s="4">
        <v>15</v>
      </c>
      <c r="F384" t="s">
        <v>36</v>
      </c>
      <c r="G384" s="3">
        <f t="shared" si="25"/>
        <v>58000</v>
      </c>
      <c r="H384" s="3">
        <v>0</v>
      </c>
      <c r="I384" s="3">
        <f t="shared" si="26"/>
        <v>58000</v>
      </c>
      <c r="J384" s="2"/>
      <c r="K384" s="5">
        <v>46204.583333333343</v>
      </c>
      <c r="L384">
        <v>4</v>
      </c>
      <c r="M384" s="3">
        <f t="shared" si="27"/>
        <v>14500</v>
      </c>
      <c r="N384" t="str">
        <f t="shared" si="28"/>
        <v>ставка</v>
      </c>
      <c r="O384" s="3">
        <f t="shared" si="29"/>
        <v>1137.25</v>
      </c>
      <c r="P384" s="5">
        <v>46208.5</v>
      </c>
      <c r="Q384" t="s">
        <v>36</v>
      </c>
      <c r="R384" s="2" t="s">
        <v>45</v>
      </c>
      <c r="S384">
        <v>57</v>
      </c>
      <c r="T384">
        <v>2</v>
      </c>
    </row>
    <row r="385" spans="1:20" ht="30" x14ac:dyDescent="0.25">
      <c r="A385" t="s">
        <v>812</v>
      </c>
      <c r="B385">
        <v>1</v>
      </c>
      <c r="C385" s="2" t="s">
        <v>813</v>
      </c>
      <c r="D385" s="3">
        <v>30000</v>
      </c>
      <c r="E385" s="4">
        <v>0</v>
      </c>
      <c r="F385" t="s">
        <v>23</v>
      </c>
      <c r="G385" s="3">
        <f t="shared" si="25"/>
        <v>30000</v>
      </c>
      <c r="H385" s="3">
        <v>0</v>
      </c>
      <c r="I385" s="3">
        <f t="shared" si="26"/>
        <v>30000</v>
      </c>
      <c r="J385" s="2" t="s">
        <v>27</v>
      </c>
      <c r="K385" s="5">
        <v>46209.583333333343</v>
      </c>
      <c r="L385">
        <v>2</v>
      </c>
      <c r="M385" s="3">
        <f t="shared" si="27"/>
        <v>15000</v>
      </c>
      <c r="N385" t="str">
        <f t="shared" si="28"/>
        <v>ставка</v>
      </c>
      <c r="O385" s="3">
        <f t="shared" si="29"/>
        <v>588.24</v>
      </c>
      <c r="P385" s="5">
        <v>46211.5</v>
      </c>
      <c r="Q385" t="s">
        <v>23</v>
      </c>
      <c r="R385" s="2" t="s">
        <v>40</v>
      </c>
      <c r="S385">
        <v>46</v>
      </c>
      <c r="T385">
        <v>1</v>
      </c>
    </row>
    <row r="386" spans="1:20" ht="30" x14ac:dyDescent="0.25">
      <c r="A386" t="s">
        <v>814</v>
      </c>
      <c r="B386">
        <v>1</v>
      </c>
      <c r="C386" s="2" t="s">
        <v>815</v>
      </c>
      <c r="D386" s="3">
        <v>21360</v>
      </c>
      <c r="E386" s="4">
        <v>20</v>
      </c>
      <c r="F386" t="s">
        <v>48</v>
      </c>
      <c r="G386" s="3">
        <f t="shared" ref="G386:G449" si="30">ROUND(D386/(100-E386)*100,2)</f>
        <v>26700</v>
      </c>
      <c r="H386" s="3">
        <v>0</v>
      </c>
      <c r="I386" s="3">
        <f t="shared" ref="I386:I449" si="31">ROUND(G386+H386,2)</f>
        <v>26700</v>
      </c>
      <c r="J386" s="2" t="s">
        <v>27</v>
      </c>
      <c r="K386" s="5">
        <v>46223.583333333343</v>
      </c>
      <c r="L386">
        <v>2</v>
      </c>
      <c r="M386" s="3">
        <f t="shared" ref="M386:M449" si="32">I386/L386</f>
        <v>13350</v>
      </c>
      <c r="N386" t="str">
        <f t="shared" ref="N386:N449" si="33">IF(M386&gt;=5100,"ставка","мин.ставка")</f>
        <v>ставка</v>
      </c>
      <c r="O386" s="3">
        <f t="shared" ref="O386:O449" si="34">ROUND(IF(N386="мин.ставка",L386*100,I386/102*2),2)</f>
        <v>523.53</v>
      </c>
      <c r="P386" s="5">
        <v>46225.5</v>
      </c>
      <c r="Q386" t="s">
        <v>48</v>
      </c>
      <c r="R386" s="2" t="s">
        <v>40</v>
      </c>
      <c r="S386">
        <v>23</v>
      </c>
      <c r="T386">
        <v>1</v>
      </c>
    </row>
    <row r="387" spans="1:20" ht="45" x14ac:dyDescent="0.25">
      <c r="A387" t="s">
        <v>816</v>
      </c>
      <c r="B387">
        <v>1</v>
      </c>
      <c r="C387" s="2" t="s">
        <v>817</v>
      </c>
      <c r="D387" s="3">
        <v>6764</v>
      </c>
      <c r="E387" s="4">
        <v>18</v>
      </c>
      <c r="F387" t="s">
        <v>32</v>
      </c>
      <c r="G387" s="3">
        <f t="shared" si="30"/>
        <v>8248.7800000000007</v>
      </c>
      <c r="H387" s="3">
        <v>0</v>
      </c>
      <c r="I387" s="3">
        <f t="shared" si="31"/>
        <v>8248.7800000000007</v>
      </c>
      <c r="J387" s="2" t="s">
        <v>27</v>
      </c>
      <c r="K387" s="5">
        <v>46226.583333333343</v>
      </c>
      <c r="L387">
        <v>1</v>
      </c>
      <c r="M387" s="3">
        <f t="shared" si="32"/>
        <v>8248.7800000000007</v>
      </c>
      <c r="N387" t="str">
        <f t="shared" si="33"/>
        <v>ставка</v>
      </c>
      <c r="O387" s="3">
        <f t="shared" si="34"/>
        <v>161.74</v>
      </c>
      <c r="P387" s="5">
        <v>46227.5</v>
      </c>
      <c r="Q387" t="s">
        <v>32</v>
      </c>
      <c r="R387" s="2" t="s">
        <v>87</v>
      </c>
      <c r="S387">
        <v>51</v>
      </c>
      <c r="T387">
        <v>2</v>
      </c>
    </row>
    <row r="388" spans="1:20" ht="30" x14ac:dyDescent="0.25">
      <c r="A388" t="s">
        <v>818</v>
      </c>
      <c r="B388">
        <v>1</v>
      </c>
      <c r="C388" s="2" t="s">
        <v>819</v>
      </c>
      <c r="D388" s="3">
        <v>31600</v>
      </c>
      <c r="E388" s="4">
        <v>0</v>
      </c>
      <c r="F388" t="s">
        <v>23</v>
      </c>
      <c r="G388" s="3">
        <f t="shared" si="30"/>
        <v>31600</v>
      </c>
      <c r="H388" s="3">
        <v>0</v>
      </c>
      <c r="I388" s="3">
        <f t="shared" si="31"/>
        <v>31600</v>
      </c>
      <c r="J388" s="2" t="s">
        <v>27</v>
      </c>
      <c r="K388" s="5">
        <v>46272.583333333343</v>
      </c>
      <c r="L388">
        <v>4</v>
      </c>
      <c r="M388" s="3">
        <f t="shared" si="32"/>
        <v>7900</v>
      </c>
      <c r="N388" t="str">
        <f t="shared" si="33"/>
        <v>ставка</v>
      </c>
      <c r="O388" s="3">
        <f t="shared" si="34"/>
        <v>619.61</v>
      </c>
      <c r="P388" s="5">
        <v>46276.5</v>
      </c>
      <c r="Q388" t="s">
        <v>23</v>
      </c>
      <c r="R388" s="2" t="s">
        <v>33</v>
      </c>
      <c r="S388">
        <v>43</v>
      </c>
      <c r="T388">
        <v>1</v>
      </c>
    </row>
    <row r="389" spans="1:20" x14ac:dyDescent="0.25">
      <c r="A389" t="s">
        <v>820</v>
      </c>
      <c r="B389">
        <v>1</v>
      </c>
      <c r="C389" s="2" t="s">
        <v>821</v>
      </c>
      <c r="D389" s="3">
        <v>14220</v>
      </c>
      <c r="E389" s="4">
        <v>0</v>
      </c>
      <c r="F389" t="s">
        <v>23</v>
      </c>
      <c r="G389" s="3">
        <f t="shared" si="30"/>
        <v>14220</v>
      </c>
      <c r="H389" s="3">
        <v>0</v>
      </c>
      <c r="I389" s="3">
        <f t="shared" si="31"/>
        <v>14220</v>
      </c>
      <c r="J389" s="2" t="s">
        <v>27</v>
      </c>
      <c r="K389" s="5">
        <v>46232.583333333343</v>
      </c>
      <c r="L389">
        <v>1</v>
      </c>
      <c r="M389" s="3">
        <f t="shared" si="32"/>
        <v>14220</v>
      </c>
      <c r="N389" t="str">
        <f t="shared" si="33"/>
        <v>ставка</v>
      </c>
      <c r="O389" s="3">
        <f t="shared" si="34"/>
        <v>278.82</v>
      </c>
      <c r="P389" s="5">
        <v>46233.5</v>
      </c>
      <c r="Q389" t="s">
        <v>23</v>
      </c>
      <c r="R389" s="2" t="s">
        <v>45</v>
      </c>
      <c r="S389">
        <v>54</v>
      </c>
      <c r="T389">
        <v>2</v>
      </c>
    </row>
    <row r="390" spans="1:20" ht="45" x14ac:dyDescent="0.25">
      <c r="A390" t="s">
        <v>822</v>
      </c>
      <c r="B390">
        <v>1</v>
      </c>
      <c r="C390" s="2" t="s">
        <v>821</v>
      </c>
      <c r="D390" s="3">
        <v>11205</v>
      </c>
      <c r="E390" s="4">
        <v>0</v>
      </c>
      <c r="F390" t="s">
        <v>23</v>
      </c>
      <c r="G390" s="3">
        <f t="shared" si="30"/>
        <v>11205</v>
      </c>
      <c r="H390" s="3">
        <v>0</v>
      </c>
      <c r="I390" s="3">
        <f t="shared" si="31"/>
        <v>11205</v>
      </c>
      <c r="J390" s="2" t="s">
        <v>27</v>
      </c>
      <c r="K390" s="5">
        <v>46245.583333333343</v>
      </c>
      <c r="L390">
        <v>1</v>
      </c>
      <c r="M390" s="3">
        <f t="shared" si="32"/>
        <v>11205</v>
      </c>
      <c r="N390" t="str">
        <f t="shared" si="33"/>
        <v>ставка</v>
      </c>
      <c r="O390" s="3">
        <f t="shared" si="34"/>
        <v>219.71</v>
      </c>
      <c r="P390" s="5">
        <v>46246.5</v>
      </c>
      <c r="Q390" t="s">
        <v>23</v>
      </c>
      <c r="R390" s="2" t="s">
        <v>87</v>
      </c>
      <c r="S390">
        <v>50</v>
      </c>
      <c r="T390">
        <v>2</v>
      </c>
    </row>
    <row r="391" spans="1:20" x14ac:dyDescent="0.25">
      <c r="A391" t="s">
        <v>823</v>
      </c>
      <c r="B391">
        <v>1</v>
      </c>
      <c r="C391" s="2" t="s">
        <v>821</v>
      </c>
      <c r="D391" s="3">
        <v>14240</v>
      </c>
      <c r="E391" s="4">
        <v>0</v>
      </c>
      <c r="F391" t="s">
        <v>23</v>
      </c>
      <c r="G391" s="3">
        <f t="shared" si="30"/>
        <v>14240</v>
      </c>
      <c r="H391" s="3">
        <v>300</v>
      </c>
      <c r="I391" s="3">
        <f t="shared" si="31"/>
        <v>14540</v>
      </c>
      <c r="J391" s="2" t="s">
        <v>824</v>
      </c>
      <c r="K391" s="5">
        <v>46269.583333333343</v>
      </c>
      <c r="L391">
        <v>1</v>
      </c>
      <c r="M391" s="3">
        <f t="shared" si="32"/>
        <v>14540</v>
      </c>
      <c r="N391" t="str">
        <f t="shared" si="33"/>
        <v>ставка</v>
      </c>
      <c r="O391" s="3">
        <f t="shared" si="34"/>
        <v>285.10000000000002</v>
      </c>
      <c r="P391" s="5">
        <v>46270.5</v>
      </c>
      <c r="Q391" t="s">
        <v>23</v>
      </c>
      <c r="R391" s="2" t="s">
        <v>45</v>
      </c>
      <c r="S391">
        <v>53</v>
      </c>
      <c r="T391">
        <v>2</v>
      </c>
    </row>
    <row r="392" spans="1:20" ht="30" x14ac:dyDescent="0.25">
      <c r="A392" t="s">
        <v>825</v>
      </c>
      <c r="B392">
        <v>1</v>
      </c>
      <c r="C392" s="2" t="s">
        <v>826</v>
      </c>
      <c r="D392" s="3">
        <v>27240</v>
      </c>
      <c r="E392" s="4">
        <v>20</v>
      </c>
      <c r="F392" t="s">
        <v>48</v>
      </c>
      <c r="G392" s="3">
        <f t="shared" si="30"/>
        <v>34050</v>
      </c>
      <c r="H392" s="3">
        <v>0</v>
      </c>
      <c r="I392" s="3">
        <f t="shared" si="31"/>
        <v>34050</v>
      </c>
      <c r="J392" s="2" t="s">
        <v>27</v>
      </c>
      <c r="K392" s="5">
        <v>46243.583333333343</v>
      </c>
      <c r="L392">
        <v>3</v>
      </c>
      <c r="M392" s="3">
        <f t="shared" si="32"/>
        <v>11350</v>
      </c>
      <c r="N392" t="str">
        <f t="shared" si="33"/>
        <v>ставка</v>
      </c>
      <c r="O392" s="3">
        <f t="shared" si="34"/>
        <v>667.65</v>
      </c>
      <c r="P392" s="5">
        <v>46246.5</v>
      </c>
      <c r="Q392" t="s">
        <v>48</v>
      </c>
      <c r="R392" s="2" t="s">
        <v>40</v>
      </c>
      <c r="S392">
        <v>58</v>
      </c>
      <c r="T392">
        <v>2</v>
      </c>
    </row>
    <row r="393" spans="1:20" ht="30" x14ac:dyDescent="0.25">
      <c r="A393" t="s">
        <v>827</v>
      </c>
      <c r="B393">
        <v>1</v>
      </c>
      <c r="C393" s="2" t="s">
        <v>828</v>
      </c>
      <c r="D393" s="3">
        <v>13400</v>
      </c>
      <c r="E393" s="4">
        <v>0</v>
      </c>
      <c r="F393" t="s">
        <v>23</v>
      </c>
      <c r="G393" s="3">
        <f t="shared" si="30"/>
        <v>13400</v>
      </c>
      <c r="H393" s="3">
        <v>0</v>
      </c>
      <c r="I393" s="3">
        <f t="shared" si="31"/>
        <v>13400</v>
      </c>
      <c r="J393" s="2" t="s">
        <v>27</v>
      </c>
      <c r="K393" s="5">
        <v>46231.583333333343</v>
      </c>
      <c r="L393">
        <v>1</v>
      </c>
      <c r="M393" s="3">
        <f t="shared" si="32"/>
        <v>13400</v>
      </c>
      <c r="N393" t="str">
        <f t="shared" si="33"/>
        <v>ставка</v>
      </c>
      <c r="O393" s="3">
        <f t="shared" si="34"/>
        <v>262.75</v>
      </c>
      <c r="P393" s="5">
        <v>46232.5</v>
      </c>
      <c r="Q393" t="s">
        <v>23</v>
      </c>
      <c r="R393" s="2" t="s">
        <v>24</v>
      </c>
      <c r="S393">
        <v>31</v>
      </c>
      <c r="T393">
        <v>1</v>
      </c>
    </row>
    <row r="394" spans="1:20" ht="30" x14ac:dyDescent="0.25">
      <c r="A394" t="s">
        <v>829</v>
      </c>
      <c r="B394">
        <v>1</v>
      </c>
      <c r="C394" s="2" t="s">
        <v>830</v>
      </c>
      <c r="D394" s="3">
        <v>45390</v>
      </c>
      <c r="E394" s="4">
        <v>0</v>
      </c>
      <c r="F394" t="s">
        <v>180</v>
      </c>
      <c r="G394" s="3">
        <f t="shared" si="30"/>
        <v>45390</v>
      </c>
      <c r="H394" s="3">
        <v>0</v>
      </c>
      <c r="I394" s="3">
        <f t="shared" si="31"/>
        <v>45390</v>
      </c>
      <c r="J394" s="2" t="s">
        <v>181</v>
      </c>
      <c r="K394" s="5">
        <v>46276.583333333343</v>
      </c>
      <c r="L394">
        <v>4</v>
      </c>
      <c r="M394" s="3">
        <f t="shared" si="32"/>
        <v>11347.5</v>
      </c>
      <c r="N394" t="str">
        <f t="shared" si="33"/>
        <v>ставка</v>
      </c>
      <c r="O394" s="3">
        <f t="shared" si="34"/>
        <v>890</v>
      </c>
      <c r="P394" s="5">
        <v>46280.5</v>
      </c>
      <c r="Q394" t="s">
        <v>180</v>
      </c>
      <c r="R394" s="2" t="s">
        <v>24</v>
      </c>
      <c r="S394">
        <v>31</v>
      </c>
      <c r="T394">
        <v>1</v>
      </c>
    </row>
    <row r="395" spans="1:20" ht="30" x14ac:dyDescent="0.25">
      <c r="A395" t="s">
        <v>831</v>
      </c>
      <c r="B395">
        <v>1</v>
      </c>
      <c r="C395" s="2" t="s">
        <v>832</v>
      </c>
      <c r="D395" s="3">
        <v>30260</v>
      </c>
      <c r="E395" s="4">
        <v>15</v>
      </c>
      <c r="F395" t="s">
        <v>52</v>
      </c>
      <c r="G395" s="3">
        <f t="shared" si="30"/>
        <v>35600</v>
      </c>
      <c r="H395" s="3">
        <v>0</v>
      </c>
      <c r="I395" s="3">
        <f t="shared" si="31"/>
        <v>35600</v>
      </c>
      <c r="J395" s="2" t="s">
        <v>27</v>
      </c>
      <c r="K395" s="5">
        <v>46282.583333333343</v>
      </c>
      <c r="L395">
        <v>2</v>
      </c>
      <c r="M395" s="3">
        <f t="shared" si="32"/>
        <v>17800</v>
      </c>
      <c r="N395" t="str">
        <f t="shared" si="33"/>
        <v>ставка</v>
      </c>
      <c r="O395" s="3">
        <f t="shared" si="34"/>
        <v>698.04</v>
      </c>
      <c r="P395" s="5">
        <v>46284.5</v>
      </c>
      <c r="Q395" t="s">
        <v>52</v>
      </c>
      <c r="R395" s="2" t="s">
        <v>45</v>
      </c>
      <c r="S395">
        <v>54</v>
      </c>
      <c r="T395">
        <v>2</v>
      </c>
    </row>
    <row r="396" spans="1:20" x14ac:dyDescent="0.25">
      <c r="A396" t="s">
        <v>833</v>
      </c>
      <c r="B396">
        <v>1</v>
      </c>
      <c r="C396" s="2" t="s">
        <v>834</v>
      </c>
      <c r="D396" s="3">
        <v>40050</v>
      </c>
      <c r="E396" s="4">
        <v>18</v>
      </c>
      <c r="F396" t="s">
        <v>32</v>
      </c>
      <c r="G396" s="3">
        <f t="shared" si="30"/>
        <v>48841.46</v>
      </c>
      <c r="H396" s="3">
        <v>0</v>
      </c>
      <c r="I396" s="3">
        <f t="shared" si="31"/>
        <v>48841.46</v>
      </c>
      <c r="J396" s="2" t="s">
        <v>27</v>
      </c>
      <c r="K396" s="5">
        <v>46270.583333333343</v>
      </c>
      <c r="L396">
        <v>3</v>
      </c>
      <c r="M396" s="3">
        <f t="shared" si="32"/>
        <v>16280.486666666666</v>
      </c>
      <c r="N396" t="str">
        <f t="shared" si="33"/>
        <v>ставка</v>
      </c>
      <c r="O396" s="3">
        <f t="shared" si="34"/>
        <v>957.68</v>
      </c>
      <c r="P396" s="5">
        <v>46273.5</v>
      </c>
      <c r="Q396" t="s">
        <v>32</v>
      </c>
      <c r="R396" s="2" t="s">
        <v>45</v>
      </c>
      <c r="S396">
        <v>54</v>
      </c>
      <c r="T396">
        <v>2</v>
      </c>
    </row>
    <row r="397" spans="1:20" ht="30" x14ac:dyDescent="0.25">
      <c r="A397" t="s">
        <v>835</v>
      </c>
      <c r="B397">
        <v>1</v>
      </c>
      <c r="C397" s="2" t="s">
        <v>836</v>
      </c>
      <c r="D397" s="3">
        <v>25564</v>
      </c>
      <c r="E397" s="4">
        <v>17</v>
      </c>
      <c r="F397" t="s">
        <v>130</v>
      </c>
      <c r="G397" s="3">
        <f t="shared" si="30"/>
        <v>30800</v>
      </c>
      <c r="H397" s="3">
        <v>0</v>
      </c>
      <c r="I397" s="3">
        <f t="shared" si="31"/>
        <v>30800</v>
      </c>
      <c r="J397" s="2" t="s">
        <v>27</v>
      </c>
      <c r="K397" s="5">
        <v>46219.583333333343</v>
      </c>
      <c r="L397">
        <v>2</v>
      </c>
      <c r="M397" s="3">
        <f t="shared" si="32"/>
        <v>15400</v>
      </c>
      <c r="N397" t="str">
        <f t="shared" si="33"/>
        <v>ставка</v>
      </c>
      <c r="O397" s="3">
        <f t="shared" si="34"/>
        <v>603.91999999999996</v>
      </c>
      <c r="P397" s="5">
        <v>46221.5</v>
      </c>
      <c r="Q397" t="s">
        <v>130</v>
      </c>
      <c r="R397" s="2" t="s">
        <v>24</v>
      </c>
      <c r="S397">
        <v>56</v>
      </c>
      <c r="T397">
        <v>2</v>
      </c>
    </row>
    <row r="398" spans="1:20" ht="30" x14ac:dyDescent="0.25">
      <c r="A398" t="s">
        <v>837</v>
      </c>
      <c r="B398">
        <v>1</v>
      </c>
      <c r="C398" s="2" t="s">
        <v>838</v>
      </c>
      <c r="D398" s="3">
        <v>26286.15</v>
      </c>
      <c r="E398" s="4">
        <v>4</v>
      </c>
      <c r="F398" t="s">
        <v>55</v>
      </c>
      <c r="G398" s="3">
        <f t="shared" si="30"/>
        <v>27381.41</v>
      </c>
      <c r="H398" s="3">
        <v>0</v>
      </c>
      <c r="I398" s="3">
        <f t="shared" si="31"/>
        <v>27381.41</v>
      </c>
      <c r="J398" s="2" t="s">
        <v>27</v>
      </c>
      <c r="K398" s="5">
        <v>46213.583333333343</v>
      </c>
      <c r="L398">
        <v>2</v>
      </c>
      <c r="M398" s="3">
        <f t="shared" si="32"/>
        <v>13690.705</v>
      </c>
      <c r="N398" t="str">
        <f t="shared" si="33"/>
        <v>ставка</v>
      </c>
      <c r="O398" s="3">
        <f t="shared" si="34"/>
        <v>536.89</v>
      </c>
      <c r="P398" s="5">
        <v>46215.5</v>
      </c>
      <c r="Q398" t="s">
        <v>55</v>
      </c>
      <c r="R398" s="2" t="s">
        <v>40</v>
      </c>
      <c r="S398">
        <v>44</v>
      </c>
      <c r="T398">
        <v>1</v>
      </c>
    </row>
    <row r="399" spans="1:20" ht="30" x14ac:dyDescent="0.25">
      <c r="A399" t="s">
        <v>839</v>
      </c>
      <c r="B399">
        <v>1</v>
      </c>
      <c r="C399" s="2" t="s">
        <v>840</v>
      </c>
      <c r="D399" s="3">
        <v>7900</v>
      </c>
      <c r="E399" s="4">
        <v>0</v>
      </c>
      <c r="F399" t="s">
        <v>23</v>
      </c>
      <c r="G399" s="3">
        <f t="shared" si="30"/>
        <v>7900</v>
      </c>
      <c r="H399" s="3">
        <v>0</v>
      </c>
      <c r="I399" s="3">
        <f t="shared" si="31"/>
        <v>7900</v>
      </c>
      <c r="J399" s="2" t="s">
        <v>27</v>
      </c>
      <c r="K399" s="5">
        <v>46211.583333333343</v>
      </c>
      <c r="L399">
        <v>1</v>
      </c>
      <c r="M399" s="3">
        <f t="shared" si="32"/>
        <v>7900</v>
      </c>
      <c r="N399" t="str">
        <f t="shared" si="33"/>
        <v>ставка</v>
      </c>
      <c r="O399" s="3">
        <f t="shared" si="34"/>
        <v>154.9</v>
      </c>
      <c r="P399" s="5">
        <v>46212.5</v>
      </c>
      <c r="Q399" t="s">
        <v>23</v>
      </c>
      <c r="R399" s="2" t="s">
        <v>24</v>
      </c>
      <c r="S399">
        <v>59</v>
      </c>
      <c r="T399">
        <v>2</v>
      </c>
    </row>
    <row r="400" spans="1:20" ht="30" x14ac:dyDescent="0.25">
      <c r="A400" t="s">
        <v>841</v>
      </c>
      <c r="B400">
        <v>1</v>
      </c>
      <c r="C400" s="2" t="s">
        <v>840</v>
      </c>
      <c r="D400" s="3">
        <v>7900</v>
      </c>
      <c r="E400" s="4">
        <v>0</v>
      </c>
      <c r="F400" t="s">
        <v>23</v>
      </c>
      <c r="G400" s="3">
        <f t="shared" si="30"/>
        <v>7900</v>
      </c>
      <c r="H400" s="3">
        <v>0</v>
      </c>
      <c r="I400" s="3">
        <f t="shared" si="31"/>
        <v>7900</v>
      </c>
      <c r="J400" s="2" t="s">
        <v>27</v>
      </c>
      <c r="K400" s="5">
        <v>46212.583333333343</v>
      </c>
      <c r="L400">
        <v>1</v>
      </c>
      <c r="M400" s="3">
        <f t="shared" si="32"/>
        <v>7900</v>
      </c>
      <c r="N400" t="str">
        <f t="shared" si="33"/>
        <v>ставка</v>
      </c>
      <c r="O400" s="3">
        <f t="shared" si="34"/>
        <v>154.9</v>
      </c>
      <c r="P400" s="5">
        <v>46213.5</v>
      </c>
      <c r="Q400" t="s">
        <v>23</v>
      </c>
      <c r="R400" s="2" t="s">
        <v>24</v>
      </c>
      <c r="S400">
        <v>59</v>
      </c>
      <c r="T400">
        <v>2</v>
      </c>
    </row>
    <row r="401" spans="1:20" ht="30" x14ac:dyDescent="0.25">
      <c r="A401" t="s">
        <v>842</v>
      </c>
      <c r="B401">
        <v>1</v>
      </c>
      <c r="C401" s="2" t="s">
        <v>840</v>
      </c>
      <c r="D401" s="3">
        <v>19805</v>
      </c>
      <c r="E401" s="4">
        <v>15</v>
      </c>
      <c r="F401" t="s">
        <v>36</v>
      </c>
      <c r="G401" s="3">
        <f t="shared" si="30"/>
        <v>23300</v>
      </c>
      <c r="H401" s="3">
        <v>0</v>
      </c>
      <c r="I401" s="3">
        <f t="shared" si="31"/>
        <v>23300</v>
      </c>
      <c r="J401" s="2" t="s">
        <v>27</v>
      </c>
      <c r="K401" s="5">
        <v>46209.583333333343</v>
      </c>
      <c r="L401">
        <v>2</v>
      </c>
      <c r="M401" s="3">
        <f t="shared" si="32"/>
        <v>11650</v>
      </c>
      <c r="N401" t="str">
        <f t="shared" si="33"/>
        <v>ставка</v>
      </c>
      <c r="O401" s="3">
        <f t="shared" si="34"/>
        <v>456.86</v>
      </c>
      <c r="P401" s="5">
        <v>46211.5</v>
      </c>
      <c r="Q401" t="s">
        <v>36</v>
      </c>
      <c r="R401" s="2" t="s">
        <v>24</v>
      </c>
      <c r="S401">
        <v>59</v>
      </c>
      <c r="T401">
        <v>2</v>
      </c>
    </row>
    <row r="402" spans="1:20" ht="30" x14ac:dyDescent="0.25">
      <c r="A402" t="s">
        <v>843</v>
      </c>
      <c r="B402">
        <v>1</v>
      </c>
      <c r="C402" s="2" t="s">
        <v>840</v>
      </c>
      <c r="D402" s="3">
        <v>9534</v>
      </c>
      <c r="E402" s="4">
        <v>16</v>
      </c>
      <c r="F402" t="s">
        <v>36</v>
      </c>
      <c r="G402" s="3">
        <f t="shared" si="30"/>
        <v>11350</v>
      </c>
      <c r="H402" s="3">
        <v>0</v>
      </c>
      <c r="I402" s="3">
        <f t="shared" si="31"/>
        <v>11350</v>
      </c>
      <c r="J402" s="2" t="s">
        <v>27</v>
      </c>
      <c r="K402" s="5">
        <v>46272.583333333343</v>
      </c>
      <c r="L402">
        <v>1</v>
      </c>
      <c r="M402" s="3">
        <f t="shared" si="32"/>
        <v>11350</v>
      </c>
      <c r="N402" t="str">
        <f t="shared" si="33"/>
        <v>ставка</v>
      </c>
      <c r="O402" s="3">
        <f t="shared" si="34"/>
        <v>222.55</v>
      </c>
      <c r="P402" s="5">
        <v>46273.583333333343</v>
      </c>
      <c r="Q402" t="s">
        <v>36</v>
      </c>
      <c r="R402" s="2" t="s">
        <v>40</v>
      </c>
      <c r="S402">
        <v>52</v>
      </c>
      <c r="T402">
        <v>2</v>
      </c>
    </row>
    <row r="403" spans="1:20" ht="30" x14ac:dyDescent="0.25">
      <c r="A403" t="s">
        <v>843</v>
      </c>
      <c r="B403">
        <v>1</v>
      </c>
      <c r="C403" s="2" t="s">
        <v>840</v>
      </c>
      <c r="D403" s="3">
        <v>38136</v>
      </c>
      <c r="E403" s="4">
        <v>16</v>
      </c>
      <c r="F403" t="s">
        <v>36</v>
      </c>
      <c r="G403" s="3">
        <f t="shared" si="30"/>
        <v>45400</v>
      </c>
      <c r="H403" s="3">
        <v>0</v>
      </c>
      <c r="I403" s="3">
        <f t="shared" si="31"/>
        <v>45400</v>
      </c>
      <c r="J403" s="2" t="s">
        <v>27</v>
      </c>
      <c r="K403" s="5">
        <v>46273.583333333343</v>
      </c>
      <c r="L403">
        <v>4</v>
      </c>
      <c r="M403" s="3">
        <f t="shared" si="32"/>
        <v>11350</v>
      </c>
      <c r="N403" t="str">
        <f t="shared" si="33"/>
        <v>ставка</v>
      </c>
      <c r="O403" s="3">
        <f t="shared" si="34"/>
        <v>890.2</v>
      </c>
      <c r="P403" s="5">
        <v>46277.5</v>
      </c>
      <c r="Q403" t="s">
        <v>36</v>
      </c>
      <c r="R403" s="2" t="s">
        <v>40</v>
      </c>
      <c r="S403">
        <v>23</v>
      </c>
      <c r="T403">
        <v>1</v>
      </c>
    </row>
    <row r="404" spans="1:20" ht="30" x14ac:dyDescent="0.25">
      <c r="A404" t="s">
        <v>844</v>
      </c>
      <c r="B404">
        <v>1</v>
      </c>
      <c r="C404" s="2" t="s">
        <v>840</v>
      </c>
      <c r="D404" s="3">
        <v>34050</v>
      </c>
      <c r="E404" s="4">
        <v>0</v>
      </c>
      <c r="F404" t="s">
        <v>23</v>
      </c>
      <c r="G404" s="3">
        <f t="shared" si="30"/>
        <v>34050</v>
      </c>
      <c r="H404" s="3">
        <v>0</v>
      </c>
      <c r="I404" s="3">
        <f t="shared" si="31"/>
        <v>34050</v>
      </c>
      <c r="J404" s="2" t="s">
        <v>27</v>
      </c>
      <c r="K404" s="5">
        <v>46277.583333333343</v>
      </c>
      <c r="L404">
        <v>3</v>
      </c>
      <c r="M404" s="3">
        <f t="shared" si="32"/>
        <v>11350</v>
      </c>
      <c r="N404" t="str">
        <f t="shared" si="33"/>
        <v>ставка</v>
      </c>
      <c r="O404" s="3">
        <f t="shared" si="34"/>
        <v>667.65</v>
      </c>
      <c r="P404" s="5">
        <v>46280.5</v>
      </c>
      <c r="Q404" t="s">
        <v>23</v>
      </c>
      <c r="R404" s="2" t="s">
        <v>40</v>
      </c>
      <c r="S404">
        <v>23</v>
      </c>
      <c r="T404">
        <v>1</v>
      </c>
    </row>
    <row r="405" spans="1:20" ht="30" x14ac:dyDescent="0.25">
      <c r="A405" t="s">
        <v>845</v>
      </c>
      <c r="B405">
        <v>1</v>
      </c>
      <c r="C405" s="2" t="s">
        <v>840</v>
      </c>
      <c r="D405" s="3">
        <v>12180</v>
      </c>
      <c r="E405" s="4">
        <v>16</v>
      </c>
      <c r="F405" t="s">
        <v>36</v>
      </c>
      <c r="G405" s="3">
        <f t="shared" si="30"/>
        <v>14500</v>
      </c>
      <c r="H405" s="3">
        <v>350</v>
      </c>
      <c r="I405" s="3">
        <f t="shared" si="31"/>
        <v>14850</v>
      </c>
      <c r="J405" s="2" t="s">
        <v>846</v>
      </c>
      <c r="K405" s="5">
        <v>46245.583333333343</v>
      </c>
      <c r="L405">
        <v>1</v>
      </c>
      <c r="M405" s="3">
        <f t="shared" si="32"/>
        <v>14850</v>
      </c>
      <c r="N405" t="str">
        <f t="shared" si="33"/>
        <v>ставка</v>
      </c>
      <c r="O405" s="3">
        <f t="shared" si="34"/>
        <v>291.18</v>
      </c>
      <c r="P405" s="5">
        <v>46246.5</v>
      </c>
      <c r="Q405" t="s">
        <v>36</v>
      </c>
      <c r="R405" s="2" t="s">
        <v>49</v>
      </c>
      <c r="S405">
        <v>11</v>
      </c>
      <c r="T405">
        <v>1</v>
      </c>
    </row>
    <row r="406" spans="1:20" x14ac:dyDescent="0.25">
      <c r="A406" t="s">
        <v>847</v>
      </c>
      <c r="B406">
        <v>1</v>
      </c>
      <c r="C406" s="2" t="s">
        <v>840</v>
      </c>
      <c r="D406" s="3">
        <v>12180</v>
      </c>
      <c r="E406" s="4">
        <v>16</v>
      </c>
      <c r="F406" t="s">
        <v>36</v>
      </c>
      <c r="G406" s="3">
        <f t="shared" si="30"/>
        <v>14500</v>
      </c>
      <c r="H406" s="3">
        <v>0</v>
      </c>
      <c r="I406" s="3">
        <f t="shared" si="31"/>
        <v>14500</v>
      </c>
      <c r="J406" s="2" t="s">
        <v>27</v>
      </c>
      <c r="K406" s="5">
        <v>46246.583333333343</v>
      </c>
      <c r="L406">
        <v>1</v>
      </c>
      <c r="M406" s="3">
        <f t="shared" si="32"/>
        <v>14500</v>
      </c>
      <c r="N406" t="str">
        <f t="shared" si="33"/>
        <v>ставка</v>
      </c>
      <c r="O406" s="3">
        <f t="shared" si="34"/>
        <v>284.31</v>
      </c>
      <c r="P406" s="5">
        <v>46247.5</v>
      </c>
      <c r="Q406" t="s">
        <v>36</v>
      </c>
      <c r="R406" s="2" t="s">
        <v>49</v>
      </c>
      <c r="S406">
        <v>11</v>
      </c>
      <c r="T406">
        <v>1</v>
      </c>
    </row>
    <row r="407" spans="1:20" ht="30" x14ac:dyDescent="0.25">
      <c r="A407" t="s">
        <v>848</v>
      </c>
      <c r="B407">
        <v>1</v>
      </c>
      <c r="C407" s="2" t="s">
        <v>849</v>
      </c>
      <c r="D407" s="3">
        <v>15890</v>
      </c>
      <c r="E407" s="4">
        <v>20</v>
      </c>
      <c r="F407" t="s">
        <v>293</v>
      </c>
      <c r="G407" s="3">
        <f t="shared" si="30"/>
        <v>19862.5</v>
      </c>
      <c r="H407" s="3">
        <v>17350</v>
      </c>
      <c r="I407" s="3">
        <f t="shared" si="31"/>
        <v>37212.5</v>
      </c>
      <c r="J407" s="2" t="s">
        <v>850</v>
      </c>
      <c r="K407" s="5">
        <v>46267.375</v>
      </c>
      <c r="L407">
        <v>2</v>
      </c>
      <c r="M407" s="3">
        <f t="shared" si="32"/>
        <v>18606.25</v>
      </c>
      <c r="N407" t="str">
        <f t="shared" si="33"/>
        <v>ставка</v>
      </c>
      <c r="O407" s="3">
        <f t="shared" si="34"/>
        <v>729.66</v>
      </c>
      <c r="P407" s="5">
        <v>46269.5</v>
      </c>
      <c r="Q407" t="s">
        <v>293</v>
      </c>
      <c r="R407" s="2" t="s">
        <v>40</v>
      </c>
      <c r="S407">
        <v>58</v>
      </c>
      <c r="T407">
        <v>2</v>
      </c>
    </row>
    <row r="408" spans="1:20" ht="45" x14ac:dyDescent="0.25">
      <c r="A408" t="s">
        <v>851</v>
      </c>
      <c r="B408">
        <v>1</v>
      </c>
      <c r="C408" s="2" t="s">
        <v>852</v>
      </c>
      <c r="D408" s="3">
        <v>19920</v>
      </c>
      <c r="E408" s="4">
        <v>20</v>
      </c>
      <c r="F408" t="s">
        <v>48</v>
      </c>
      <c r="G408" s="3">
        <f t="shared" si="30"/>
        <v>24900</v>
      </c>
      <c r="H408" s="3">
        <v>0</v>
      </c>
      <c r="I408" s="3">
        <f t="shared" si="31"/>
        <v>24900</v>
      </c>
      <c r="J408" s="2" t="s">
        <v>27</v>
      </c>
      <c r="K408" s="5">
        <v>46281.583333333343</v>
      </c>
      <c r="L408">
        <v>2</v>
      </c>
      <c r="M408" s="3">
        <f t="shared" si="32"/>
        <v>12450</v>
      </c>
      <c r="N408" t="str">
        <f t="shared" si="33"/>
        <v>ставка</v>
      </c>
      <c r="O408" s="3">
        <f t="shared" si="34"/>
        <v>488.24</v>
      </c>
      <c r="P408" s="5">
        <v>46283.5</v>
      </c>
      <c r="Q408" t="s">
        <v>48</v>
      </c>
      <c r="R408" s="2" t="s">
        <v>87</v>
      </c>
      <c r="S408">
        <v>50</v>
      </c>
      <c r="T408">
        <v>2</v>
      </c>
    </row>
    <row r="409" spans="1:20" ht="30" x14ac:dyDescent="0.25">
      <c r="A409" t="s">
        <v>853</v>
      </c>
      <c r="B409">
        <v>1</v>
      </c>
      <c r="C409" s="2" t="s">
        <v>854</v>
      </c>
      <c r="D409" s="3">
        <v>6160</v>
      </c>
      <c r="E409" s="4">
        <v>20</v>
      </c>
      <c r="F409" t="s">
        <v>293</v>
      </c>
      <c r="G409" s="3">
        <f t="shared" si="30"/>
        <v>7700</v>
      </c>
      <c r="H409" s="3">
        <v>0</v>
      </c>
      <c r="I409" s="3">
        <f t="shared" si="31"/>
        <v>7700</v>
      </c>
      <c r="J409" s="2" t="s">
        <v>294</v>
      </c>
      <c r="K409" s="5">
        <v>46231.583333333343</v>
      </c>
      <c r="L409">
        <v>1</v>
      </c>
      <c r="M409" s="3">
        <f t="shared" si="32"/>
        <v>7700</v>
      </c>
      <c r="N409" t="str">
        <f t="shared" si="33"/>
        <v>ставка</v>
      </c>
      <c r="O409" s="3">
        <f t="shared" si="34"/>
        <v>150.97999999999999</v>
      </c>
      <c r="P409" s="5">
        <v>46232.5</v>
      </c>
      <c r="Q409" t="s">
        <v>293</v>
      </c>
      <c r="R409" s="2" t="s">
        <v>58</v>
      </c>
      <c r="S409">
        <v>34</v>
      </c>
      <c r="T409">
        <v>1</v>
      </c>
    </row>
    <row r="410" spans="1:20" ht="30" x14ac:dyDescent="0.25">
      <c r="A410" t="s">
        <v>855</v>
      </c>
      <c r="B410">
        <v>1</v>
      </c>
      <c r="C410" s="2" t="s">
        <v>856</v>
      </c>
      <c r="D410" s="3">
        <v>18614</v>
      </c>
      <c r="E410" s="4">
        <v>18</v>
      </c>
      <c r="F410" t="s">
        <v>248</v>
      </c>
      <c r="G410" s="3">
        <f t="shared" si="30"/>
        <v>22700</v>
      </c>
      <c r="H410" s="3">
        <v>0</v>
      </c>
      <c r="I410" s="3">
        <f t="shared" si="31"/>
        <v>22700</v>
      </c>
      <c r="J410" s="2" t="s">
        <v>27</v>
      </c>
      <c r="K410" s="5">
        <v>46245.583333333343</v>
      </c>
      <c r="L410">
        <v>2</v>
      </c>
      <c r="M410" s="3">
        <f t="shared" si="32"/>
        <v>11350</v>
      </c>
      <c r="N410" t="str">
        <f t="shared" si="33"/>
        <v>ставка</v>
      </c>
      <c r="O410" s="3">
        <f t="shared" si="34"/>
        <v>445.1</v>
      </c>
      <c r="P410" s="5">
        <v>46247.5</v>
      </c>
      <c r="Q410" t="s">
        <v>248</v>
      </c>
      <c r="R410" s="2" t="s">
        <v>40</v>
      </c>
      <c r="S410">
        <v>46</v>
      </c>
      <c r="T410">
        <v>1</v>
      </c>
    </row>
    <row r="411" spans="1:20" x14ac:dyDescent="0.25">
      <c r="A411" t="s">
        <v>857</v>
      </c>
      <c r="B411">
        <v>1</v>
      </c>
      <c r="C411" s="2" t="s">
        <v>858</v>
      </c>
      <c r="D411" s="3">
        <v>11600</v>
      </c>
      <c r="E411" s="4">
        <v>20</v>
      </c>
      <c r="F411" t="s">
        <v>48</v>
      </c>
      <c r="G411" s="3">
        <f t="shared" si="30"/>
        <v>14500</v>
      </c>
      <c r="H411" s="3">
        <v>0</v>
      </c>
      <c r="I411" s="3">
        <f t="shared" si="31"/>
        <v>14500</v>
      </c>
      <c r="J411" s="2" t="s">
        <v>27</v>
      </c>
      <c r="K411" s="5">
        <v>46244.583333333343</v>
      </c>
      <c r="L411">
        <v>1</v>
      </c>
      <c r="M411" s="3">
        <f t="shared" si="32"/>
        <v>14500</v>
      </c>
      <c r="N411" t="str">
        <f t="shared" si="33"/>
        <v>ставка</v>
      </c>
      <c r="O411" s="3">
        <f t="shared" si="34"/>
        <v>284.31</v>
      </c>
      <c r="P411" s="5">
        <v>46245.5</v>
      </c>
      <c r="Q411" t="s">
        <v>48</v>
      </c>
      <c r="R411" s="2" t="s">
        <v>49</v>
      </c>
      <c r="S411">
        <v>25</v>
      </c>
      <c r="T411">
        <v>1</v>
      </c>
    </row>
    <row r="412" spans="1:20" ht="30" x14ac:dyDescent="0.25">
      <c r="A412" t="s">
        <v>859</v>
      </c>
      <c r="B412">
        <v>1</v>
      </c>
      <c r="C412" s="2" t="s">
        <v>860</v>
      </c>
      <c r="D412" s="3">
        <v>16991.25</v>
      </c>
      <c r="E412" s="4">
        <v>4</v>
      </c>
      <c r="F412" t="s">
        <v>55</v>
      </c>
      <c r="G412" s="3">
        <f t="shared" si="30"/>
        <v>17699.22</v>
      </c>
      <c r="H412" s="3">
        <v>0</v>
      </c>
      <c r="I412" s="3">
        <f t="shared" si="31"/>
        <v>17699.22</v>
      </c>
      <c r="J412" s="2" t="s">
        <v>27</v>
      </c>
      <c r="K412" s="5">
        <v>46231.583333333343</v>
      </c>
      <c r="L412">
        <v>1</v>
      </c>
      <c r="M412" s="3">
        <f t="shared" si="32"/>
        <v>17699.22</v>
      </c>
      <c r="N412" t="str">
        <f t="shared" si="33"/>
        <v>ставка</v>
      </c>
      <c r="O412" s="3">
        <f t="shared" si="34"/>
        <v>347.04</v>
      </c>
      <c r="P412" s="5">
        <v>46232.5</v>
      </c>
      <c r="Q412" t="s">
        <v>55</v>
      </c>
      <c r="R412" s="2" t="s">
        <v>772</v>
      </c>
      <c r="S412">
        <v>51</v>
      </c>
      <c r="T412">
        <v>2</v>
      </c>
    </row>
    <row r="413" spans="1:20" ht="45" x14ac:dyDescent="0.25">
      <c r="A413" t="s">
        <v>861</v>
      </c>
      <c r="B413">
        <v>1</v>
      </c>
      <c r="C413" s="2" t="s">
        <v>862</v>
      </c>
      <c r="D413" s="3">
        <v>7298</v>
      </c>
      <c r="E413" s="4">
        <v>18</v>
      </c>
      <c r="F413" t="s">
        <v>147</v>
      </c>
      <c r="G413" s="3">
        <f t="shared" si="30"/>
        <v>8900</v>
      </c>
      <c r="H413" s="3">
        <v>0</v>
      </c>
      <c r="I413" s="3">
        <f t="shared" si="31"/>
        <v>8900</v>
      </c>
      <c r="J413" s="2" t="s">
        <v>27</v>
      </c>
      <c r="K413" s="5">
        <v>46225.583333333343</v>
      </c>
      <c r="L413">
        <v>1</v>
      </c>
      <c r="M413" s="3">
        <f t="shared" si="32"/>
        <v>8900</v>
      </c>
      <c r="N413" t="str">
        <f t="shared" si="33"/>
        <v>ставка</v>
      </c>
      <c r="O413" s="3">
        <f t="shared" si="34"/>
        <v>174.51</v>
      </c>
      <c r="P413" s="5">
        <v>46226.5</v>
      </c>
      <c r="Q413" t="s">
        <v>147</v>
      </c>
      <c r="R413" s="2" t="s">
        <v>87</v>
      </c>
      <c r="S413">
        <v>51</v>
      </c>
      <c r="T413">
        <v>2</v>
      </c>
    </row>
    <row r="414" spans="1:20" ht="30" x14ac:dyDescent="0.25">
      <c r="A414" t="s">
        <v>863</v>
      </c>
      <c r="B414">
        <v>1</v>
      </c>
      <c r="C414" s="2" t="s">
        <v>864</v>
      </c>
      <c r="D414" s="3">
        <v>15400</v>
      </c>
      <c r="E414" s="4">
        <v>0</v>
      </c>
      <c r="F414" t="s">
        <v>23</v>
      </c>
      <c r="G414" s="3">
        <f t="shared" si="30"/>
        <v>15400</v>
      </c>
      <c r="H414" s="3">
        <v>0</v>
      </c>
      <c r="I414" s="3">
        <f t="shared" si="31"/>
        <v>15400</v>
      </c>
      <c r="J414" s="2" t="s">
        <v>27</v>
      </c>
      <c r="K414" s="5">
        <v>46223.583333333343</v>
      </c>
      <c r="L414">
        <v>2</v>
      </c>
      <c r="M414" s="3">
        <f t="shared" si="32"/>
        <v>7700</v>
      </c>
      <c r="N414" t="str">
        <f t="shared" si="33"/>
        <v>ставка</v>
      </c>
      <c r="O414" s="3">
        <f t="shared" si="34"/>
        <v>301.95999999999998</v>
      </c>
      <c r="P414" s="5">
        <v>46225.5</v>
      </c>
      <c r="Q414" t="s">
        <v>23</v>
      </c>
      <c r="R414" s="2" t="s">
        <v>58</v>
      </c>
      <c r="S414">
        <v>24</v>
      </c>
      <c r="T414">
        <v>1</v>
      </c>
    </row>
    <row r="415" spans="1:20" ht="30" x14ac:dyDescent="0.25">
      <c r="A415" t="s">
        <v>865</v>
      </c>
      <c r="B415">
        <v>1</v>
      </c>
      <c r="C415" s="2" t="s">
        <v>864</v>
      </c>
      <c r="D415" s="3">
        <v>56750</v>
      </c>
      <c r="E415" s="4">
        <v>0</v>
      </c>
      <c r="F415" t="s">
        <v>23</v>
      </c>
      <c r="G415" s="3">
        <f t="shared" si="30"/>
        <v>56750</v>
      </c>
      <c r="H415" s="3">
        <v>0</v>
      </c>
      <c r="I415" s="3">
        <f t="shared" si="31"/>
        <v>56750</v>
      </c>
      <c r="J415" s="2" t="s">
        <v>27</v>
      </c>
      <c r="K415" s="5">
        <v>46261.583333333343</v>
      </c>
      <c r="L415">
        <v>5</v>
      </c>
      <c r="M415" s="3">
        <f t="shared" si="32"/>
        <v>11350</v>
      </c>
      <c r="N415" t="str">
        <f t="shared" si="33"/>
        <v>ставка</v>
      </c>
      <c r="O415" s="3">
        <f t="shared" si="34"/>
        <v>1112.75</v>
      </c>
      <c r="P415" s="5">
        <v>46266.5</v>
      </c>
      <c r="Q415" t="s">
        <v>23</v>
      </c>
      <c r="R415" s="2" t="s">
        <v>40</v>
      </c>
      <c r="S415">
        <v>52</v>
      </c>
      <c r="T415">
        <v>2</v>
      </c>
    </row>
    <row r="416" spans="1:20" ht="30" x14ac:dyDescent="0.25">
      <c r="A416" t="s">
        <v>866</v>
      </c>
      <c r="B416">
        <v>1</v>
      </c>
      <c r="C416" s="2" t="s">
        <v>864</v>
      </c>
      <c r="D416" s="3">
        <v>15800</v>
      </c>
      <c r="E416" s="4">
        <v>0</v>
      </c>
      <c r="F416" t="s">
        <v>23</v>
      </c>
      <c r="G416" s="3">
        <f t="shared" si="30"/>
        <v>15800</v>
      </c>
      <c r="H416" s="3">
        <v>0</v>
      </c>
      <c r="I416" s="3">
        <f t="shared" si="31"/>
        <v>15800</v>
      </c>
      <c r="J416" s="2" t="s">
        <v>27</v>
      </c>
      <c r="K416" s="5">
        <v>46271.583333333343</v>
      </c>
      <c r="L416">
        <v>2</v>
      </c>
      <c r="M416" s="3">
        <f t="shared" si="32"/>
        <v>7900</v>
      </c>
      <c r="N416" t="str">
        <f t="shared" si="33"/>
        <v>ставка</v>
      </c>
      <c r="O416" s="3">
        <f t="shared" si="34"/>
        <v>309.8</v>
      </c>
      <c r="P416" s="5">
        <v>46273.5</v>
      </c>
      <c r="Q416" t="s">
        <v>23</v>
      </c>
      <c r="R416" s="2" t="s">
        <v>24</v>
      </c>
      <c r="S416">
        <v>21</v>
      </c>
      <c r="T416">
        <v>1</v>
      </c>
    </row>
    <row r="417" spans="1:20" ht="30" x14ac:dyDescent="0.25">
      <c r="A417" t="s">
        <v>867</v>
      </c>
      <c r="B417">
        <v>1</v>
      </c>
      <c r="C417" s="2" t="s">
        <v>868</v>
      </c>
      <c r="D417" s="3">
        <v>7700</v>
      </c>
      <c r="E417" s="4">
        <v>0</v>
      </c>
      <c r="F417" t="s">
        <v>23</v>
      </c>
      <c r="G417" s="3">
        <f t="shared" si="30"/>
        <v>7700</v>
      </c>
      <c r="H417" s="3">
        <v>0</v>
      </c>
      <c r="I417" s="3">
        <f t="shared" si="31"/>
        <v>7700</v>
      </c>
      <c r="J417" s="2" t="s">
        <v>27</v>
      </c>
      <c r="K417" s="5">
        <v>46226.583333333343</v>
      </c>
      <c r="L417">
        <v>1</v>
      </c>
      <c r="M417" s="3">
        <f t="shared" si="32"/>
        <v>7700</v>
      </c>
      <c r="N417" t="str">
        <f t="shared" si="33"/>
        <v>ставка</v>
      </c>
      <c r="O417" s="3">
        <f t="shared" si="34"/>
        <v>150.97999999999999</v>
      </c>
      <c r="P417" s="5">
        <v>46227.5</v>
      </c>
      <c r="Q417" t="s">
        <v>23</v>
      </c>
      <c r="R417" s="2" t="s">
        <v>58</v>
      </c>
      <c r="S417">
        <v>24</v>
      </c>
      <c r="T417">
        <v>1</v>
      </c>
    </row>
    <row r="418" spans="1:20" ht="30" x14ac:dyDescent="0.25">
      <c r="A418" t="s">
        <v>869</v>
      </c>
      <c r="B418">
        <v>1</v>
      </c>
      <c r="C418" s="2" t="s">
        <v>870</v>
      </c>
      <c r="D418" s="3">
        <v>26700</v>
      </c>
      <c r="E418" s="4">
        <v>0</v>
      </c>
      <c r="F418" t="s">
        <v>23</v>
      </c>
      <c r="G418" s="3">
        <f t="shared" si="30"/>
        <v>26700</v>
      </c>
      <c r="H418" s="3">
        <v>0</v>
      </c>
      <c r="I418" s="3">
        <f t="shared" si="31"/>
        <v>26700</v>
      </c>
      <c r="J418" s="2" t="s">
        <v>27</v>
      </c>
      <c r="K418" s="5">
        <v>46208.583333333343</v>
      </c>
      <c r="L418">
        <v>2</v>
      </c>
      <c r="M418" s="3">
        <f t="shared" si="32"/>
        <v>13350</v>
      </c>
      <c r="N418" t="str">
        <f t="shared" si="33"/>
        <v>ставка</v>
      </c>
      <c r="O418" s="3">
        <f t="shared" si="34"/>
        <v>523.53</v>
      </c>
      <c r="P418" s="5">
        <v>46210.5</v>
      </c>
      <c r="Q418" t="s">
        <v>23</v>
      </c>
      <c r="R418" s="2" t="s">
        <v>40</v>
      </c>
      <c r="S418">
        <v>26</v>
      </c>
      <c r="T418">
        <v>1</v>
      </c>
    </row>
    <row r="419" spans="1:20" ht="30" x14ac:dyDescent="0.25">
      <c r="A419" t="s">
        <v>871</v>
      </c>
      <c r="B419">
        <v>1</v>
      </c>
      <c r="C419" s="2" t="s">
        <v>872</v>
      </c>
      <c r="D419" s="3">
        <v>22161</v>
      </c>
      <c r="E419" s="4">
        <v>18</v>
      </c>
      <c r="F419" t="s">
        <v>32</v>
      </c>
      <c r="G419" s="3">
        <f t="shared" si="30"/>
        <v>27025.61</v>
      </c>
      <c r="H419" s="3">
        <v>0</v>
      </c>
      <c r="I419" s="3">
        <f t="shared" si="31"/>
        <v>27025.61</v>
      </c>
      <c r="J419" s="2" t="s">
        <v>27</v>
      </c>
      <c r="K419" s="5">
        <v>46248.583333333343</v>
      </c>
      <c r="L419">
        <v>2</v>
      </c>
      <c r="M419" s="3">
        <f t="shared" si="32"/>
        <v>13512.805</v>
      </c>
      <c r="N419" t="str">
        <f t="shared" si="33"/>
        <v>ставка</v>
      </c>
      <c r="O419" s="3">
        <f t="shared" si="34"/>
        <v>529.91</v>
      </c>
      <c r="P419" s="5">
        <v>46250.5</v>
      </c>
      <c r="Q419" t="s">
        <v>32</v>
      </c>
      <c r="R419" s="2" t="s">
        <v>40</v>
      </c>
      <c r="S419" s="6"/>
    </row>
    <row r="420" spans="1:20" ht="45" x14ac:dyDescent="0.25">
      <c r="A420" t="s">
        <v>873</v>
      </c>
      <c r="B420">
        <v>1</v>
      </c>
      <c r="C420" s="2" t="s">
        <v>874</v>
      </c>
      <c r="D420" s="3">
        <v>20000</v>
      </c>
      <c r="E420" s="4">
        <v>20</v>
      </c>
      <c r="F420" t="s">
        <v>173</v>
      </c>
      <c r="G420" s="3">
        <f t="shared" si="30"/>
        <v>25000</v>
      </c>
      <c r="H420" s="3">
        <v>0</v>
      </c>
      <c r="I420" s="3">
        <f t="shared" si="31"/>
        <v>25000</v>
      </c>
      <c r="J420" s="2"/>
      <c r="K420" s="5">
        <v>46290.583333333343</v>
      </c>
      <c r="L420">
        <v>2</v>
      </c>
      <c r="M420" s="3">
        <f t="shared" si="32"/>
        <v>12500</v>
      </c>
      <c r="N420" t="str">
        <f t="shared" si="33"/>
        <v>ставка</v>
      </c>
      <c r="O420" s="3">
        <f t="shared" si="34"/>
        <v>490.2</v>
      </c>
      <c r="P420" s="5">
        <v>46292.5</v>
      </c>
      <c r="Q420" t="s">
        <v>173</v>
      </c>
      <c r="R420" s="2" t="s">
        <v>87</v>
      </c>
      <c r="S420">
        <v>50</v>
      </c>
      <c r="T420">
        <v>2</v>
      </c>
    </row>
    <row r="421" spans="1:20" x14ac:dyDescent="0.25">
      <c r="A421" t="s">
        <v>875</v>
      </c>
      <c r="B421">
        <v>1</v>
      </c>
      <c r="C421" s="2" t="s">
        <v>876</v>
      </c>
      <c r="D421" s="3">
        <v>17533</v>
      </c>
      <c r="E421" s="4">
        <v>4</v>
      </c>
      <c r="F421" t="s">
        <v>55</v>
      </c>
      <c r="G421" s="3">
        <f t="shared" si="30"/>
        <v>18263.54</v>
      </c>
      <c r="H421" s="3">
        <v>0</v>
      </c>
      <c r="I421" s="3">
        <f t="shared" si="31"/>
        <v>18263.54</v>
      </c>
      <c r="J421" s="2" t="s">
        <v>27</v>
      </c>
      <c r="K421" s="5">
        <v>46213.583333333343</v>
      </c>
      <c r="L421">
        <v>1</v>
      </c>
      <c r="M421" s="3">
        <f t="shared" si="32"/>
        <v>18263.54</v>
      </c>
      <c r="N421" t="str">
        <f t="shared" si="33"/>
        <v>ставка</v>
      </c>
      <c r="O421" s="3">
        <f t="shared" si="34"/>
        <v>358.11</v>
      </c>
      <c r="P421" s="5">
        <v>46214.5</v>
      </c>
      <c r="Q421" t="s">
        <v>55</v>
      </c>
      <c r="R421" s="2" t="s">
        <v>37</v>
      </c>
      <c r="S421">
        <v>57</v>
      </c>
      <c r="T421">
        <v>2</v>
      </c>
    </row>
    <row r="422" spans="1:20" ht="30" x14ac:dyDescent="0.25">
      <c r="A422" t="s">
        <v>877</v>
      </c>
      <c r="B422">
        <v>1</v>
      </c>
      <c r="C422" s="2" t="s">
        <v>878</v>
      </c>
      <c r="D422" s="3">
        <v>9080</v>
      </c>
      <c r="E422" s="4">
        <v>20</v>
      </c>
      <c r="F422" t="s">
        <v>48</v>
      </c>
      <c r="G422" s="3">
        <f t="shared" si="30"/>
        <v>11350</v>
      </c>
      <c r="H422" s="3">
        <v>0</v>
      </c>
      <c r="I422" s="3">
        <f t="shared" si="31"/>
        <v>11350</v>
      </c>
      <c r="J422" s="2" t="s">
        <v>27</v>
      </c>
      <c r="K422" s="5">
        <v>46287.583333333343</v>
      </c>
      <c r="L422">
        <v>1</v>
      </c>
      <c r="M422" s="3">
        <f t="shared" si="32"/>
        <v>11350</v>
      </c>
      <c r="N422" t="str">
        <f t="shared" si="33"/>
        <v>ставка</v>
      </c>
      <c r="O422" s="3">
        <f t="shared" si="34"/>
        <v>222.55</v>
      </c>
      <c r="P422" s="5">
        <v>46288.5</v>
      </c>
      <c r="Q422" t="s">
        <v>48</v>
      </c>
      <c r="R422" s="2" t="s">
        <v>40</v>
      </c>
      <c r="S422">
        <v>32</v>
      </c>
      <c r="T422">
        <v>1</v>
      </c>
    </row>
    <row r="423" spans="1:20" ht="30" x14ac:dyDescent="0.25">
      <c r="A423" t="s">
        <v>879</v>
      </c>
      <c r="B423">
        <v>1</v>
      </c>
      <c r="C423" s="2" t="s">
        <v>880</v>
      </c>
      <c r="D423" s="3">
        <v>20957.5</v>
      </c>
      <c r="E423" s="4">
        <v>18</v>
      </c>
      <c r="F423" t="s">
        <v>32</v>
      </c>
      <c r="G423" s="3">
        <f t="shared" si="30"/>
        <v>25557.93</v>
      </c>
      <c r="H423" s="3">
        <v>0</v>
      </c>
      <c r="I423" s="3">
        <f t="shared" si="31"/>
        <v>25557.93</v>
      </c>
      <c r="J423" s="2" t="s">
        <v>27</v>
      </c>
      <c r="K423" s="5">
        <v>46295.583333333343</v>
      </c>
      <c r="L423">
        <v>2</v>
      </c>
      <c r="M423" s="3">
        <f t="shared" si="32"/>
        <v>12778.965</v>
      </c>
      <c r="N423" t="str">
        <f t="shared" si="33"/>
        <v>ставка</v>
      </c>
      <c r="O423" s="3">
        <f t="shared" si="34"/>
        <v>501.14</v>
      </c>
      <c r="P423" s="5">
        <v>46297.5</v>
      </c>
      <c r="Q423" t="s">
        <v>32</v>
      </c>
      <c r="R423" s="2" t="s">
        <v>40</v>
      </c>
      <c r="S423">
        <v>22</v>
      </c>
      <c r="T423">
        <v>1</v>
      </c>
    </row>
    <row r="424" spans="1:20" ht="30" x14ac:dyDescent="0.25">
      <c r="A424" t="s">
        <v>881</v>
      </c>
      <c r="B424">
        <v>1</v>
      </c>
      <c r="C424" s="2" t="s">
        <v>882</v>
      </c>
      <c r="D424" s="3">
        <v>25878</v>
      </c>
      <c r="E424" s="4">
        <v>18</v>
      </c>
      <c r="F424" t="s">
        <v>32</v>
      </c>
      <c r="G424" s="3">
        <f t="shared" si="30"/>
        <v>31558.54</v>
      </c>
      <c r="H424" s="3">
        <v>0</v>
      </c>
      <c r="I424" s="3">
        <f t="shared" si="31"/>
        <v>31558.54</v>
      </c>
      <c r="J424" s="2" t="s">
        <v>27</v>
      </c>
      <c r="K424" s="5">
        <v>46212.583333333343</v>
      </c>
      <c r="L424">
        <v>3</v>
      </c>
      <c r="M424" s="3">
        <f t="shared" si="32"/>
        <v>10519.513333333334</v>
      </c>
      <c r="N424" t="str">
        <f t="shared" si="33"/>
        <v>ставка</v>
      </c>
      <c r="O424" s="3">
        <f t="shared" si="34"/>
        <v>618.79</v>
      </c>
      <c r="P424" s="5">
        <v>46215.5</v>
      </c>
      <c r="Q424" t="s">
        <v>32</v>
      </c>
      <c r="R424" s="2" t="s">
        <v>40</v>
      </c>
      <c r="S424">
        <v>23</v>
      </c>
      <c r="T424">
        <v>1</v>
      </c>
    </row>
    <row r="425" spans="1:20" ht="30" x14ac:dyDescent="0.25">
      <c r="A425" t="s">
        <v>883</v>
      </c>
      <c r="B425">
        <v>1</v>
      </c>
      <c r="C425" s="2" t="s">
        <v>884</v>
      </c>
      <c r="D425" s="3">
        <v>8217</v>
      </c>
      <c r="E425" s="4">
        <v>17</v>
      </c>
      <c r="F425" t="s">
        <v>130</v>
      </c>
      <c r="G425" s="3">
        <f t="shared" si="30"/>
        <v>9900</v>
      </c>
      <c r="H425" s="3">
        <v>0</v>
      </c>
      <c r="I425" s="3">
        <f t="shared" si="31"/>
        <v>9900</v>
      </c>
      <c r="J425" s="2" t="s">
        <v>27</v>
      </c>
      <c r="K425" s="5">
        <v>46257.583333333343</v>
      </c>
      <c r="L425">
        <v>1</v>
      </c>
      <c r="M425" s="3">
        <f t="shared" si="32"/>
        <v>9900</v>
      </c>
      <c r="N425" t="str">
        <f t="shared" si="33"/>
        <v>ставка</v>
      </c>
      <c r="O425" s="3">
        <f t="shared" si="34"/>
        <v>194.12</v>
      </c>
      <c r="P425" s="5">
        <v>46258.5</v>
      </c>
      <c r="Q425" t="s">
        <v>130</v>
      </c>
      <c r="R425" s="2" t="s">
        <v>33</v>
      </c>
      <c r="S425">
        <v>43</v>
      </c>
      <c r="T425">
        <v>1</v>
      </c>
    </row>
    <row r="426" spans="1:20" ht="30" x14ac:dyDescent="0.25">
      <c r="A426" t="s">
        <v>885</v>
      </c>
      <c r="B426">
        <v>1</v>
      </c>
      <c r="C426" s="2" t="s">
        <v>886</v>
      </c>
      <c r="D426" s="3">
        <v>42075</v>
      </c>
      <c r="E426" s="4">
        <v>15</v>
      </c>
      <c r="F426" t="s">
        <v>52</v>
      </c>
      <c r="G426" s="3">
        <f t="shared" si="30"/>
        <v>49500</v>
      </c>
      <c r="H426" s="3">
        <v>0</v>
      </c>
      <c r="I426" s="3">
        <f t="shared" si="31"/>
        <v>49500</v>
      </c>
      <c r="J426" s="2" t="s">
        <v>27</v>
      </c>
      <c r="K426" s="5">
        <v>46265.583333333343</v>
      </c>
      <c r="L426">
        <v>5</v>
      </c>
      <c r="M426" s="3">
        <f t="shared" si="32"/>
        <v>9900</v>
      </c>
      <c r="N426" t="str">
        <f t="shared" si="33"/>
        <v>ставка</v>
      </c>
      <c r="O426" s="3">
        <f t="shared" si="34"/>
        <v>970.59</v>
      </c>
      <c r="P426" s="5">
        <v>46270.5</v>
      </c>
      <c r="Q426" t="s">
        <v>52</v>
      </c>
      <c r="R426" s="2" t="s">
        <v>33</v>
      </c>
      <c r="S426">
        <v>47</v>
      </c>
      <c r="T426">
        <v>1</v>
      </c>
    </row>
    <row r="427" spans="1:20" x14ac:dyDescent="0.25">
      <c r="A427" t="s">
        <v>887</v>
      </c>
      <c r="B427">
        <v>1</v>
      </c>
      <c r="C427" s="2" t="s">
        <v>888</v>
      </c>
      <c r="D427" s="3">
        <v>13695</v>
      </c>
      <c r="E427" s="4">
        <v>18</v>
      </c>
      <c r="F427" t="s">
        <v>32</v>
      </c>
      <c r="G427" s="3">
        <f t="shared" si="30"/>
        <v>16701.22</v>
      </c>
      <c r="H427" s="3">
        <v>0</v>
      </c>
      <c r="I427" s="3">
        <f t="shared" si="31"/>
        <v>16701.22</v>
      </c>
      <c r="J427" s="2" t="s">
        <v>27</v>
      </c>
      <c r="K427" s="5">
        <v>46241.583333333343</v>
      </c>
      <c r="L427">
        <v>1</v>
      </c>
      <c r="M427" s="3">
        <f t="shared" si="32"/>
        <v>16701.22</v>
      </c>
      <c r="N427" t="str">
        <f t="shared" si="33"/>
        <v>ставка</v>
      </c>
      <c r="O427" s="3">
        <f t="shared" si="34"/>
        <v>327.47000000000003</v>
      </c>
      <c r="P427" s="5">
        <v>46242.5</v>
      </c>
      <c r="Q427" t="s">
        <v>32</v>
      </c>
      <c r="R427" s="2" t="s">
        <v>49</v>
      </c>
      <c r="S427">
        <v>35</v>
      </c>
      <c r="T427">
        <v>1</v>
      </c>
    </row>
    <row r="428" spans="1:20" x14ac:dyDescent="0.25">
      <c r="A428" t="s">
        <v>889</v>
      </c>
      <c r="B428">
        <v>1</v>
      </c>
      <c r="C428" s="2" t="s">
        <v>890</v>
      </c>
      <c r="D428" s="3">
        <v>35333</v>
      </c>
      <c r="E428" s="4">
        <v>4</v>
      </c>
      <c r="F428" t="s">
        <v>55</v>
      </c>
      <c r="G428" s="3">
        <f t="shared" si="30"/>
        <v>36805.21</v>
      </c>
      <c r="H428" s="3">
        <v>0</v>
      </c>
      <c r="I428" s="3">
        <f t="shared" si="31"/>
        <v>36805.21</v>
      </c>
      <c r="J428" s="2" t="s">
        <v>27</v>
      </c>
      <c r="K428" s="5">
        <v>46226.583333333343</v>
      </c>
      <c r="L428">
        <v>2</v>
      </c>
      <c r="M428" s="3">
        <f t="shared" si="32"/>
        <v>18402.605</v>
      </c>
      <c r="N428" t="str">
        <f t="shared" si="33"/>
        <v>ставка</v>
      </c>
      <c r="O428" s="3">
        <f t="shared" si="34"/>
        <v>721.67</v>
      </c>
      <c r="P428" s="5">
        <v>46228.5</v>
      </c>
      <c r="Q428" t="s">
        <v>55</v>
      </c>
      <c r="R428" s="2" t="s">
        <v>45</v>
      </c>
      <c r="S428">
        <v>53</v>
      </c>
      <c r="T428">
        <v>2</v>
      </c>
    </row>
    <row r="429" spans="1:20" x14ac:dyDescent="0.25">
      <c r="A429" t="s">
        <v>891</v>
      </c>
      <c r="B429">
        <v>1</v>
      </c>
      <c r="C429" s="2" t="s">
        <v>892</v>
      </c>
      <c r="D429" s="3">
        <v>52800</v>
      </c>
      <c r="E429" s="4">
        <v>18</v>
      </c>
      <c r="F429" t="s">
        <v>32</v>
      </c>
      <c r="G429" s="3">
        <f t="shared" si="30"/>
        <v>64390.239999999998</v>
      </c>
      <c r="H429" s="3">
        <v>0</v>
      </c>
      <c r="I429" s="3">
        <f t="shared" si="31"/>
        <v>64390.239999999998</v>
      </c>
      <c r="J429" s="2" t="s">
        <v>27</v>
      </c>
      <c r="K429" s="5">
        <v>46270.583333333343</v>
      </c>
      <c r="L429">
        <v>4</v>
      </c>
      <c r="M429" s="3">
        <f t="shared" si="32"/>
        <v>16097.56</v>
      </c>
      <c r="N429" t="str">
        <f t="shared" si="33"/>
        <v>ставка</v>
      </c>
      <c r="O429" s="3">
        <f t="shared" si="34"/>
        <v>1262.55</v>
      </c>
      <c r="P429" s="5">
        <v>46274.5</v>
      </c>
      <c r="Q429" t="s">
        <v>32</v>
      </c>
      <c r="R429" s="2" t="s">
        <v>49</v>
      </c>
      <c r="S429">
        <v>25</v>
      </c>
      <c r="T429">
        <v>1</v>
      </c>
    </row>
    <row r="430" spans="1:20" ht="30" x14ac:dyDescent="0.25">
      <c r="A430" t="s">
        <v>893</v>
      </c>
      <c r="B430">
        <v>1</v>
      </c>
      <c r="C430" s="2" t="s">
        <v>894</v>
      </c>
      <c r="D430" s="3">
        <v>9647.5</v>
      </c>
      <c r="E430" s="4">
        <v>15</v>
      </c>
      <c r="F430" t="s">
        <v>168</v>
      </c>
      <c r="G430" s="3">
        <f t="shared" si="30"/>
        <v>11350</v>
      </c>
      <c r="H430" s="3">
        <v>0</v>
      </c>
      <c r="I430" s="3">
        <f t="shared" si="31"/>
        <v>11350</v>
      </c>
      <c r="J430" s="2" t="s">
        <v>27</v>
      </c>
      <c r="K430" s="5">
        <v>46253.583333333343</v>
      </c>
      <c r="L430">
        <v>1</v>
      </c>
      <c r="M430" s="3">
        <f t="shared" si="32"/>
        <v>11350</v>
      </c>
      <c r="N430" t="str">
        <f t="shared" si="33"/>
        <v>ставка</v>
      </c>
      <c r="O430" s="3">
        <f t="shared" si="34"/>
        <v>222.55</v>
      </c>
      <c r="P430" s="5">
        <v>46254.5</v>
      </c>
      <c r="Q430" t="s">
        <v>168</v>
      </c>
      <c r="R430" s="2" t="s">
        <v>40</v>
      </c>
      <c r="S430">
        <v>23</v>
      </c>
      <c r="T430">
        <v>1</v>
      </c>
    </row>
    <row r="431" spans="1:20" ht="30" x14ac:dyDescent="0.25">
      <c r="A431" t="s">
        <v>895</v>
      </c>
      <c r="B431">
        <v>1</v>
      </c>
      <c r="C431" s="2" t="s">
        <v>896</v>
      </c>
      <c r="D431" s="3">
        <v>11704</v>
      </c>
      <c r="E431" s="4">
        <v>18</v>
      </c>
      <c r="F431" t="s">
        <v>32</v>
      </c>
      <c r="G431" s="3">
        <f t="shared" si="30"/>
        <v>14273.17</v>
      </c>
      <c r="H431" s="3">
        <v>0</v>
      </c>
      <c r="I431" s="3">
        <f t="shared" si="31"/>
        <v>14273.17</v>
      </c>
      <c r="J431" s="2" t="s">
        <v>27</v>
      </c>
      <c r="K431" s="5">
        <v>46287.583333333343</v>
      </c>
      <c r="L431">
        <v>2</v>
      </c>
      <c r="M431" s="3">
        <f t="shared" si="32"/>
        <v>7136.585</v>
      </c>
      <c r="N431" t="str">
        <f t="shared" si="33"/>
        <v>ставка</v>
      </c>
      <c r="O431" s="3">
        <f t="shared" si="34"/>
        <v>279.87</v>
      </c>
      <c r="P431" s="5">
        <v>46289.5</v>
      </c>
      <c r="Q431" t="s">
        <v>32</v>
      </c>
      <c r="R431" s="2" t="s">
        <v>58</v>
      </c>
      <c r="S431">
        <v>34</v>
      </c>
      <c r="T431">
        <v>1</v>
      </c>
    </row>
    <row r="432" spans="1:20" ht="30" x14ac:dyDescent="0.25">
      <c r="A432" t="s">
        <v>897</v>
      </c>
      <c r="B432">
        <v>1</v>
      </c>
      <c r="C432" s="2" t="s">
        <v>898</v>
      </c>
      <c r="D432" s="3">
        <v>25280</v>
      </c>
      <c r="E432" s="4">
        <v>18</v>
      </c>
      <c r="F432" t="s">
        <v>32</v>
      </c>
      <c r="G432" s="3">
        <f t="shared" si="30"/>
        <v>30829.27</v>
      </c>
      <c r="H432" s="3">
        <v>0</v>
      </c>
      <c r="I432" s="3">
        <f t="shared" si="31"/>
        <v>30829.27</v>
      </c>
      <c r="J432" s="2" t="s">
        <v>27</v>
      </c>
      <c r="K432" s="5">
        <v>46218.583333333343</v>
      </c>
      <c r="L432">
        <v>4</v>
      </c>
      <c r="M432" s="3">
        <f t="shared" si="32"/>
        <v>7707.3175000000001</v>
      </c>
      <c r="N432" t="str">
        <f t="shared" si="33"/>
        <v>ставка</v>
      </c>
      <c r="O432" s="3">
        <f t="shared" si="34"/>
        <v>604.5</v>
      </c>
      <c r="P432" s="5">
        <v>46222.5</v>
      </c>
      <c r="Q432" t="s">
        <v>32</v>
      </c>
      <c r="R432" s="2" t="s">
        <v>33</v>
      </c>
      <c r="S432">
        <v>47</v>
      </c>
      <c r="T432">
        <v>1</v>
      </c>
    </row>
    <row r="433" spans="1:20" ht="30" x14ac:dyDescent="0.25">
      <c r="A433" t="s">
        <v>899</v>
      </c>
      <c r="B433">
        <v>1</v>
      </c>
      <c r="C433" s="2" t="s">
        <v>900</v>
      </c>
      <c r="D433" s="3">
        <v>15555.1</v>
      </c>
      <c r="E433" s="4">
        <v>4</v>
      </c>
      <c r="F433" t="s">
        <v>55</v>
      </c>
      <c r="G433" s="3">
        <f t="shared" si="30"/>
        <v>16203.23</v>
      </c>
      <c r="H433" s="3">
        <v>0</v>
      </c>
      <c r="I433" s="3">
        <f t="shared" si="31"/>
        <v>16203.23</v>
      </c>
      <c r="J433" s="2" t="s">
        <v>27</v>
      </c>
      <c r="K433" s="5">
        <v>46263.583333333343</v>
      </c>
      <c r="L433">
        <v>2</v>
      </c>
      <c r="M433" s="3">
        <f t="shared" si="32"/>
        <v>8101.6149999999998</v>
      </c>
      <c r="N433" t="str">
        <f t="shared" si="33"/>
        <v>ставка</v>
      </c>
      <c r="O433" s="3">
        <f t="shared" si="34"/>
        <v>317.70999999999998</v>
      </c>
      <c r="P433" s="5">
        <v>46265.5</v>
      </c>
      <c r="Q433" t="s">
        <v>55</v>
      </c>
      <c r="R433" s="2" t="s">
        <v>33</v>
      </c>
      <c r="S433">
        <v>47</v>
      </c>
      <c r="T433">
        <v>1</v>
      </c>
    </row>
    <row r="434" spans="1:20" ht="30" x14ac:dyDescent="0.25">
      <c r="A434" t="s">
        <v>901</v>
      </c>
      <c r="B434">
        <v>1</v>
      </c>
      <c r="C434" s="2" t="s">
        <v>902</v>
      </c>
      <c r="D434" s="3">
        <v>89474</v>
      </c>
      <c r="E434" s="4">
        <v>17</v>
      </c>
      <c r="F434" t="s">
        <v>130</v>
      </c>
      <c r="G434" s="3">
        <f t="shared" si="30"/>
        <v>107800</v>
      </c>
      <c r="H434" s="3">
        <v>0</v>
      </c>
      <c r="I434" s="3">
        <f t="shared" si="31"/>
        <v>107800</v>
      </c>
      <c r="J434" s="2" t="s">
        <v>27</v>
      </c>
      <c r="K434" s="5">
        <v>46257.583333333343</v>
      </c>
      <c r="L434">
        <v>7</v>
      </c>
      <c r="M434" s="3">
        <f t="shared" si="32"/>
        <v>15400</v>
      </c>
      <c r="N434" t="str">
        <f t="shared" si="33"/>
        <v>ставка</v>
      </c>
      <c r="O434" s="3">
        <f t="shared" si="34"/>
        <v>2113.73</v>
      </c>
      <c r="P434" s="5">
        <v>46264.5</v>
      </c>
      <c r="Q434" t="s">
        <v>130</v>
      </c>
      <c r="R434" s="2" t="s">
        <v>24</v>
      </c>
      <c r="S434">
        <v>59</v>
      </c>
      <c r="T434">
        <v>2</v>
      </c>
    </row>
    <row r="435" spans="1:20" ht="30" x14ac:dyDescent="0.25">
      <c r="A435" t="s">
        <v>903</v>
      </c>
      <c r="B435">
        <v>1</v>
      </c>
      <c r="C435" s="2" t="s">
        <v>904</v>
      </c>
      <c r="D435" s="3">
        <v>6160</v>
      </c>
      <c r="E435" s="4">
        <v>20</v>
      </c>
      <c r="F435" t="s">
        <v>48</v>
      </c>
      <c r="G435" s="3">
        <f t="shared" si="30"/>
        <v>7700</v>
      </c>
      <c r="H435" s="3">
        <v>0</v>
      </c>
      <c r="I435" s="3">
        <f t="shared" si="31"/>
        <v>7700</v>
      </c>
      <c r="J435" s="2" t="s">
        <v>27</v>
      </c>
      <c r="K435" s="5">
        <v>46227.583333333343</v>
      </c>
      <c r="L435">
        <v>1</v>
      </c>
      <c r="M435" s="3">
        <f t="shared" si="32"/>
        <v>7700</v>
      </c>
      <c r="N435" t="str">
        <f t="shared" si="33"/>
        <v>ставка</v>
      </c>
      <c r="O435" s="3">
        <f t="shared" si="34"/>
        <v>150.97999999999999</v>
      </c>
      <c r="P435" s="5">
        <v>46228.5</v>
      </c>
      <c r="Q435" t="s">
        <v>48</v>
      </c>
      <c r="R435" s="2" t="s">
        <v>58</v>
      </c>
      <c r="S435">
        <v>24</v>
      </c>
      <c r="T435">
        <v>1</v>
      </c>
    </row>
    <row r="436" spans="1:20" ht="30" x14ac:dyDescent="0.25">
      <c r="A436" t="s">
        <v>905</v>
      </c>
      <c r="B436">
        <v>1</v>
      </c>
      <c r="C436" s="2" t="s">
        <v>906</v>
      </c>
      <c r="D436" s="3">
        <v>21945</v>
      </c>
      <c r="E436" s="4">
        <v>17</v>
      </c>
      <c r="F436" t="s">
        <v>394</v>
      </c>
      <c r="G436" s="3">
        <f t="shared" si="30"/>
        <v>26439.759999999998</v>
      </c>
      <c r="H436" s="3">
        <v>0</v>
      </c>
      <c r="I436" s="3">
        <f t="shared" si="31"/>
        <v>26439.759999999998</v>
      </c>
      <c r="J436" s="2" t="s">
        <v>27</v>
      </c>
      <c r="K436" s="5">
        <v>46210.583333333343</v>
      </c>
      <c r="L436">
        <v>3</v>
      </c>
      <c r="M436" s="3">
        <f t="shared" si="32"/>
        <v>8813.2533333333322</v>
      </c>
      <c r="N436" t="str">
        <f t="shared" si="33"/>
        <v>ставка</v>
      </c>
      <c r="O436" s="3">
        <f t="shared" si="34"/>
        <v>518.42999999999995</v>
      </c>
      <c r="P436" s="5">
        <v>46213.5</v>
      </c>
      <c r="Q436" t="s">
        <v>394</v>
      </c>
      <c r="R436" s="2" t="s">
        <v>58</v>
      </c>
      <c r="S436">
        <v>34</v>
      </c>
      <c r="T436">
        <v>1</v>
      </c>
    </row>
    <row r="437" spans="1:20" ht="30" x14ac:dyDescent="0.25">
      <c r="A437" t="s">
        <v>907</v>
      </c>
      <c r="B437">
        <v>1</v>
      </c>
      <c r="C437" s="2" t="s">
        <v>908</v>
      </c>
      <c r="D437" s="3">
        <v>8217</v>
      </c>
      <c r="E437" s="4">
        <v>18</v>
      </c>
      <c r="F437" t="s">
        <v>32</v>
      </c>
      <c r="G437" s="3">
        <f t="shared" si="30"/>
        <v>10020.73</v>
      </c>
      <c r="H437" s="3">
        <v>0</v>
      </c>
      <c r="I437" s="3">
        <f t="shared" si="31"/>
        <v>10020.73</v>
      </c>
      <c r="J437" s="2" t="s">
        <v>27</v>
      </c>
      <c r="K437" s="5">
        <v>46263.583333333343</v>
      </c>
      <c r="L437">
        <v>1</v>
      </c>
      <c r="M437" s="3">
        <f t="shared" si="32"/>
        <v>10020.73</v>
      </c>
      <c r="N437" t="str">
        <f t="shared" si="33"/>
        <v>ставка</v>
      </c>
      <c r="O437" s="3">
        <f t="shared" si="34"/>
        <v>196.48</v>
      </c>
      <c r="P437" s="5">
        <v>46264.5</v>
      </c>
      <c r="Q437" t="s">
        <v>32</v>
      </c>
      <c r="R437" s="2" t="s">
        <v>40</v>
      </c>
      <c r="S437">
        <v>46</v>
      </c>
      <c r="T437">
        <v>1</v>
      </c>
    </row>
    <row r="438" spans="1:20" ht="30" x14ac:dyDescent="0.25">
      <c r="A438" t="s">
        <v>909</v>
      </c>
      <c r="B438">
        <v>1</v>
      </c>
      <c r="C438" s="2" t="s">
        <v>910</v>
      </c>
      <c r="D438" s="3">
        <v>9080</v>
      </c>
      <c r="E438" s="4">
        <v>20</v>
      </c>
      <c r="F438" t="s">
        <v>103</v>
      </c>
      <c r="G438" s="3">
        <f t="shared" si="30"/>
        <v>11350</v>
      </c>
      <c r="H438" s="3">
        <v>0</v>
      </c>
      <c r="I438" s="3">
        <f t="shared" si="31"/>
        <v>11350</v>
      </c>
      <c r="J438" s="2" t="s">
        <v>27</v>
      </c>
      <c r="K438" s="5">
        <v>46208.583333333343</v>
      </c>
      <c r="L438">
        <v>1</v>
      </c>
      <c r="M438" s="3">
        <f t="shared" si="32"/>
        <v>11350</v>
      </c>
      <c r="N438" t="str">
        <f t="shared" si="33"/>
        <v>ставка</v>
      </c>
      <c r="O438" s="3">
        <f t="shared" si="34"/>
        <v>222.55</v>
      </c>
      <c r="P438" s="5">
        <v>46209.5</v>
      </c>
      <c r="Q438" t="s">
        <v>103</v>
      </c>
      <c r="R438" s="2" t="s">
        <v>40</v>
      </c>
      <c r="S438">
        <v>46</v>
      </c>
      <c r="T438">
        <v>1</v>
      </c>
    </row>
    <row r="439" spans="1:20" ht="30" x14ac:dyDescent="0.25">
      <c r="A439" t="s">
        <v>911</v>
      </c>
      <c r="B439">
        <v>1</v>
      </c>
      <c r="C439" s="2" t="s">
        <v>912</v>
      </c>
      <c r="D439" s="3">
        <v>27921</v>
      </c>
      <c r="E439" s="4">
        <v>18</v>
      </c>
      <c r="F439" t="s">
        <v>147</v>
      </c>
      <c r="G439" s="3">
        <f t="shared" si="30"/>
        <v>34050</v>
      </c>
      <c r="H439" s="3">
        <v>0</v>
      </c>
      <c r="I439" s="3">
        <f t="shared" si="31"/>
        <v>34050</v>
      </c>
      <c r="J439" s="2" t="s">
        <v>27</v>
      </c>
      <c r="K439" s="5">
        <v>46267.583333333343</v>
      </c>
      <c r="L439">
        <v>3</v>
      </c>
      <c r="M439" s="3">
        <f t="shared" si="32"/>
        <v>11350</v>
      </c>
      <c r="N439" t="str">
        <f t="shared" si="33"/>
        <v>ставка</v>
      </c>
      <c r="O439" s="3">
        <f t="shared" si="34"/>
        <v>667.65</v>
      </c>
      <c r="P439" s="5">
        <v>46270.5</v>
      </c>
      <c r="Q439" t="s">
        <v>147</v>
      </c>
      <c r="R439" s="2" t="s">
        <v>40</v>
      </c>
      <c r="S439">
        <v>55</v>
      </c>
      <c r="T439">
        <v>2</v>
      </c>
    </row>
    <row r="440" spans="1:20" ht="30" x14ac:dyDescent="0.25">
      <c r="A440" t="s">
        <v>913</v>
      </c>
      <c r="B440">
        <v>1</v>
      </c>
      <c r="C440" s="2" t="s">
        <v>914</v>
      </c>
      <c r="D440" s="3">
        <v>6545</v>
      </c>
      <c r="E440" s="4">
        <v>15</v>
      </c>
      <c r="F440" t="s">
        <v>487</v>
      </c>
      <c r="G440" s="3">
        <f t="shared" si="30"/>
        <v>7700</v>
      </c>
      <c r="H440" s="3">
        <v>0</v>
      </c>
      <c r="I440" s="3">
        <f t="shared" si="31"/>
        <v>7700</v>
      </c>
      <c r="J440" s="2" t="s">
        <v>27</v>
      </c>
      <c r="K440" s="5">
        <v>46279.583333333343</v>
      </c>
      <c r="L440">
        <v>1</v>
      </c>
      <c r="M440" s="3">
        <f t="shared" si="32"/>
        <v>7700</v>
      </c>
      <c r="N440" t="str">
        <f t="shared" si="33"/>
        <v>ставка</v>
      </c>
      <c r="O440" s="3">
        <f t="shared" si="34"/>
        <v>150.97999999999999</v>
      </c>
      <c r="P440" s="5">
        <v>46280.5</v>
      </c>
      <c r="Q440" t="s">
        <v>487</v>
      </c>
      <c r="R440" s="2" t="s">
        <v>58</v>
      </c>
      <c r="S440">
        <v>34</v>
      </c>
      <c r="T440">
        <v>1</v>
      </c>
    </row>
    <row r="441" spans="1:20" ht="30" x14ac:dyDescent="0.25">
      <c r="A441" t="s">
        <v>915</v>
      </c>
      <c r="B441">
        <v>1</v>
      </c>
      <c r="C441" s="2" t="s">
        <v>916</v>
      </c>
      <c r="D441" s="3">
        <v>7584.5</v>
      </c>
      <c r="E441" s="4">
        <v>4</v>
      </c>
      <c r="F441" t="s">
        <v>55</v>
      </c>
      <c r="G441" s="3">
        <f t="shared" si="30"/>
        <v>7900.52</v>
      </c>
      <c r="H441" s="3">
        <v>0</v>
      </c>
      <c r="I441" s="3">
        <f t="shared" si="31"/>
        <v>7900.52</v>
      </c>
      <c r="J441" s="2" t="s">
        <v>27</v>
      </c>
      <c r="K441" s="5">
        <v>46260.583333333343</v>
      </c>
      <c r="L441">
        <v>1</v>
      </c>
      <c r="M441" s="3">
        <f t="shared" si="32"/>
        <v>7900.52</v>
      </c>
      <c r="N441" t="str">
        <f t="shared" si="33"/>
        <v>ставка</v>
      </c>
      <c r="O441" s="3">
        <f t="shared" si="34"/>
        <v>154.91</v>
      </c>
      <c r="P441" s="5">
        <v>46261.5</v>
      </c>
      <c r="Q441" t="s">
        <v>55</v>
      </c>
      <c r="R441" s="2" t="s">
        <v>58</v>
      </c>
      <c r="S441">
        <v>34</v>
      </c>
      <c r="T441">
        <v>1</v>
      </c>
    </row>
    <row r="442" spans="1:20" ht="30" x14ac:dyDescent="0.25">
      <c r="A442" t="s">
        <v>917</v>
      </c>
      <c r="B442">
        <v>1</v>
      </c>
      <c r="C442" s="2" t="s">
        <v>918</v>
      </c>
      <c r="D442" s="3">
        <v>8415</v>
      </c>
      <c r="E442" s="4">
        <v>15</v>
      </c>
      <c r="F442" t="s">
        <v>36</v>
      </c>
      <c r="G442" s="3">
        <f t="shared" si="30"/>
        <v>9900</v>
      </c>
      <c r="H442" s="3">
        <v>0</v>
      </c>
      <c r="I442" s="3">
        <f t="shared" si="31"/>
        <v>9900</v>
      </c>
      <c r="J442" s="2" t="s">
        <v>27</v>
      </c>
      <c r="K442" s="5">
        <v>46213.583333333343</v>
      </c>
      <c r="L442">
        <v>1</v>
      </c>
      <c r="M442" s="3">
        <f t="shared" si="32"/>
        <v>9900</v>
      </c>
      <c r="N442" t="str">
        <f t="shared" si="33"/>
        <v>ставка</v>
      </c>
      <c r="O442" s="3">
        <f t="shared" si="34"/>
        <v>194.12</v>
      </c>
      <c r="P442" s="5">
        <v>46214.5</v>
      </c>
      <c r="Q442" t="s">
        <v>36</v>
      </c>
      <c r="R442" s="2" t="s">
        <v>33</v>
      </c>
      <c r="S442">
        <v>41</v>
      </c>
      <c r="T442">
        <v>1</v>
      </c>
    </row>
    <row r="443" spans="1:20" ht="30" x14ac:dyDescent="0.25">
      <c r="A443" t="s">
        <v>919</v>
      </c>
      <c r="B443">
        <v>1</v>
      </c>
      <c r="C443" s="2" t="s">
        <v>920</v>
      </c>
      <c r="D443" s="3">
        <v>21100</v>
      </c>
      <c r="E443" s="4">
        <v>18</v>
      </c>
      <c r="F443" t="s">
        <v>32</v>
      </c>
      <c r="G443" s="3">
        <f t="shared" si="30"/>
        <v>25731.71</v>
      </c>
      <c r="H443" s="3">
        <v>0</v>
      </c>
      <c r="I443" s="3">
        <f t="shared" si="31"/>
        <v>25731.71</v>
      </c>
      <c r="J443" s="2"/>
      <c r="K443" s="5">
        <v>46207.583333333343</v>
      </c>
      <c r="L443">
        <v>2</v>
      </c>
      <c r="M443" s="3">
        <f t="shared" si="32"/>
        <v>12865.855</v>
      </c>
      <c r="N443" t="str">
        <f t="shared" si="33"/>
        <v>ставка</v>
      </c>
      <c r="O443" s="3">
        <f t="shared" si="34"/>
        <v>504.54</v>
      </c>
      <c r="P443" s="5">
        <v>46209.5</v>
      </c>
      <c r="Q443" t="s">
        <v>32</v>
      </c>
      <c r="R443" s="2" t="s">
        <v>49</v>
      </c>
      <c r="S443">
        <v>35</v>
      </c>
      <c r="T443">
        <v>1</v>
      </c>
    </row>
    <row r="444" spans="1:20" ht="45" x14ac:dyDescent="0.25">
      <c r="A444" t="s">
        <v>921</v>
      </c>
      <c r="B444">
        <v>1</v>
      </c>
      <c r="C444" s="2" t="s">
        <v>922</v>
      </c>
      <c r="D444" s="3">
        <v>9960</v>
      </c>
      <c r="E444" s="4">
        <v>18</v>
      </c>
      <c r="F444" t="s">
        <v>32</v>
      </c>
      <c r="G444" s="3">
        <f t="shared" si="30"/>
        <v>12146.34</v>
      </c>
      <c r="H444" s="3">
        <v>0</v>
      </c>
      <c r="I444" s="3">
        <f t="shared" si="31"/>
        <v>12146.34</v>
      </c>
      <c r="J444" s="2" t="s">
        <v>27</v>
      </c>
      <c r="K444" s="5">
        <v>46267.583333333343</v>
      </c>
      <c r="L444">
        <v>1</v>
      </c>
      <c r="M444" s="3">
        <f t="shared" si="32"/>
        <v>12146.34</v>
      </c>
      <c r="N444" t="str">
        <f t="shared" si="33"/>
        <v>ставка</v>
      </c>
      <c r="O444" s="3">
        <f t="shared" si="34"/>
        <v>238.16</v>
      </c>
      <c r="P444" s="5">
        <v>46268.5</v>
      </c>
      <c r="Q444" t="s">
        <v>32</v>
      </c>
      <c r="R444" s="2" t="s">
        <v>87</v>
      </c>
      <c r="S444">
        <v>50</v>
      </c>
      <c r="T444">
        <v>2</v>
      </c>
    </row>
    <row r="445" spans="1:20" ht="30" x14ac:dyDescent="0.25">
      <c r="A445" t="s">
        <v>923</v>
      </c>
      <c r="B445">
        <v>1</v>
      </c>
      <c r="C445" s="2" t="s">
        <v>922</v>
      </c>
      <c r="D445" s="3">
        <v>9080</v>
      </c>
      <c r="E445" s="4">
        <v>18</v>
      </c>
      <c r="F445" t="s">
        <v>32</v>
      </c>
      <c r="G445" s="3">
        <f t="shared" si="30"/>
        <v>11073.17</v>
      </c>
      <c r="H445" s="3">
        <v>0</v>
      </c>
      <c r="I445" s="3">
        <f t="shared" si="31"/>
        <v>11073.17</v>
      </c>
      <c r="J445" s="2" t="s">
        <v>27</v>
      </c>
      <c r="K445" s="5">
        <v>46294.583333333343</v>
      </c>
      <c r="L445">
        <v>1</v>
      </c>
      <c r="M445" s="3">
        <f t="shared" si="32"/>
        <v>11073.17</v>
      </c>
      <c r="N445" t="str">
        <f t="shared" si="33"/>
        <v>ставка</v>
      </c>
      <c r="O445" s="3">
        <f t="shared" si="34"/>
        <v>217.12</v>
      </c>
      <c r="P445" s="5">
        <v>46295.5</v>
      </c>
      <c r="Q445" t="s">
        <v>32</v>
      </c>
      <c r="R445" s="2" t="s">
        <v>40</v>
      </c>
      <c r="S445">
        <v>23</v>
      </c>
      <c r="T445">
        <v>1</v>
      </c>
    </row>
    <row r="446" spans="1:20" ht="30" x14ac:dyDescent="0.25">
      <c r="A446" t="s">
        <v>924</v>
      </c>
      <c r="B446">
        <v>1</v>
      </c>
      <c r="C446" s="2" t="s">
        <v>925</v>
      </c>
      <c r="D446" s="3">
        <v>53550</v>
      </c>
      <c r="E446" s="4">
        <v>18</v>
      </c>
      <c r="F446" t="s">
        <v>32</v>
      </c>
      <c r="G446" s="3">
        <f t="shared" si="30"/>
        <v>65304.88</v>
      </c>
      <c r="H446" s="3">
        <v>0</v>
      </c>
      <c r="I446" s="3">
        <f t="shared" si="31"/>
        <v>65304.88</v>
      </c>
      <c r="J446" s="2"/>
      <c r="K446" s="5">
        <v>46287.583333333343</v>
      </c>
      <c r="L446">
        <v>6</v>
      </c>
      <c r="M446" s="3">
        <f t="shared" si="32"/>
        <v>10884.146666666666</v>
      </c>
      <c r="N446" t="str">
        <f t="shared" si="33"/>
        <v>ставка</v>
      </c>
      <c r="O446" s="3">
        <f t="shared" si="34"/>
        <v>1280.49</v>
      </c>
      <c r="P446" s="5">
        <v>46293.5</v>
      </c>
      <c r="Q446" t="s">
        <v>32</v>
      </c>
      <c r="R446" s="2" t="s">
        <v>24</v>
      </c>
      <c r="S446">
        <v>59</v>
      </c>
      <c r="T446">
        <v>2</v>
      </c>
    </row>
    <row r="447" spans="1:20" ht="30" x14ac:dyDescent="0.25">
      <c r="A447" t="s">
        <v>926</v>
      </c>
      <c r="B447">
        <v>1</v>
      </c>
      <c r="C447" s="2" t="s">
        <v>927</v>
      </c>
      <c r="D447" s="3">
        <v>17052</v>
      </c>
      <c r="E447" s="4">
        <v>16</v>
      </c>
      <c r="F447" t="s">
        <v>36</v>
      </c>
      <c r="G447" s="3">
        <f t="shared" si="30"/>
        <v>20300</v>
      </c>
      <c r="H447" s="3">
        <v>0</v>
      </c>
      <c r="I447" s="3">
        <f t="shared" si="31"/>
        <v>20300</v>
      </c>
      <c r="J447" s="2"/>
      <c r="K447" s="5">
        <v>46295.583333333343</v>
      </c>
      <c r="L447">
        <v>2</v>
      </c>
      <c r="M447" s="3">
        <f t="shared" si="32"/>
        <v>10150</v>
      </c>
      <c r="N447" t="str">
        <f t="shared" si="33"/>
        <v>ставка</v>
      </c>
      <c r="O447" s="3">
        <f t="shared" si="34"/>
        <v>398.04</v>
      </c>
      <c r="P447" s="5">
        <v>46297.5</v>
      </c>
      <c r="Q447" t="s">
        <v>36</v>
      </c>
      <c r="R447" s="2" t="s">
        <v>40</v>
      </c>
      <c r="S447">
        <v>44</v>
      </c>
      <c r="T447">
        <v>1</v>
      </c>
    </row>
    <row r="448" spans="1:20" ht="30" x14ac:dyDescent="0.25">
      <c r="A448" t="s">
        <v>928</v>
      </c>
      <c r="B448">
        <v>1</v>
      </c>
      <c r="C448" s="2" t="s">
        <v>929</v>
      </c>
      <c r="D448" s="3">
        <v>53400</v>
      </c>
      <c r="E448" s="4">
        <v>0</v>
      </c>
      <c r="F448" t="s">
        <v>23</v>
      </c>
      <c r="G448" s="3">
        <f t="shared" si="30"/>
        <v>53400</v>
      </c>
      <c r="H448" s="3">
        <v>0</v>
      </c>
      <c r="I448" s="3">
        <f t="shared" si="31"/>
        <v>53400</v>
      </c>
      <c r="J448" s="2" t="s">
        <v>27</v>
      </c>
      <c r="K448" s="5">
        <v>46232.583333333343</v>
      </c>
      <c r="L448">
        <v>5</v>
      </c>
      <c r="M448" s="3">
        <f t="shared" si="32"/>
        <v>10680</v>
      </c>
      <c r="N448" t="str">
        <f t="shared" si="33"/>
        <v>ставка</v>
      </c>
      <c r="O448" s="3">
        <f t="shared" si="34"/>
        <v>1047.06</v>
      </c>
      <c r="P448" s="5">
        <v>46237.5</v>
      </c>
      <c r="Q448" t="s">
        <v>23</v>
      </c>
      <c r="R448" s="2" t="s">
        <v>40</v>
      </c>
      <c r="S448">
        <v>55</v>
      </c>
      <c r="T448">
        <v>2</v>
      </c>
    </row>
    <row r="449" spans="1:20" ht="30" x14ac:dyDescent="0.25">
      <c r="A449" t="s">
        <v>930</v>
      </c>
      <c r="B449">
        <v>1</v>
      </c>
      <c r="C449" s="2" t="s">
        <v>931</v>
      </c>
      <c r="D449" s="3">
        <v>7700</v>
      </c>
      <c r="E449" s="4">
        <v>0</v>
      </c>
      <c r="F449" t="s">
        <v>23</v>
      </c>
      <c r="G449" s="3">
        <f t="shared" si="30"/>
        <v>7700</v>
      </c>
      <c r="H449" s="3">
        <v>0</v>
      </c>
      <c r="I449" s="3">
        <f t="shared" si="31"/>
        <v>7700</v>
      </c>
      <c r="J449" s="2" t="s">
        <v>27</v>
      </c>
      <c r="K449" s="5">
        <v>46283.583333333343</v>
      </c>
      <c r="L449">
        <v>1</v>
      </c>
      <c r="M449" s="3">
        <f t="shared" si="32"/>
        <v>7700</v>
      </c>
      <c r="N449" t="str">
        <f t="shared" si="33"/>
        <v>ставка</v>
      </c>
      <c r="O449" s="3">
        <f t="shared" si="34"/>
        <v>150.97999999999999</v>
      </c>
      <c r="P449" s="5">
        <v>46284.5</v>
      </c>
      <c r="Q449" t="s">
        <v>23</v>
      </c>
      <c r="R449" s="2" t="s">
        <v>58</v>
      </c>
      <c r="S449">
        <v>34</v>
      </c>
      <c r="T449">
        <v>1</v>
      </c>
    </row>
    <row r="450" spans="1:20" ht="30" x14ac:dyDescent="0.25">
      <c r="A450" t="s">
        <v>932</v>
      </c>
      <c r="B450">
        <v>1</v>
      </c>
      <c r="C450" s="2" t="s">
        <v>933</v>
      </c>
      <c r="D450" s="3">
        <v>38261.300000000003</v>
      </c>
      <c r="E450" s="4">
        <v>4</v>
      </c>
      <c r="F450" t="s">
        <v>55</v>
      </c>
      <c r="G450" s="3">
        <f t="shared" ref="G450:G513" si="35">ROUND(D450/(100-E450)*100,2)</f>
        <v>39855.519999999997</v>
      </c>
      <c r="H450" s="3">
        <v>0</v>
      </c>
      <c r="I450" s="3">
        <f t="shared" ref="I450:I513" si="36">ROUND(G450+H450,2)</f>
        <v>39855.519999999997</v>
      </c>
      <c r="J450" s="2" t="s">
        <v>27</v>
      </c>
      <c r="K450" s="5">
        <v>46213.583333333343</v>
      </c>
      <c r="L450">
        <v>5</v>
      </c>
      <c r="M450" s="3">
        <f t="shared" ref="M450:M513" si="37">I450/L450</f>
        <v>7971.1039999999994</v>
      </c>
      <c r="N450" t="str">
        <f t="shared" ref="N450:N513" si="38">IF(M450&gt;=5100,"ставка","мин.ставка")</f>
        <v>ставка</v>
      </c>
      <c r="O450" s="3">
        <f t="shared" ref="O450:O513" si="39">ROUND(IF(N450="мин.ставка",L450*100,I450/102*2),2)</f>
        <v>781.48</v>
      </c>
      <c r="P450" s="5">
        <v>46218.5</v>
      </c>
      <c r="Q450" t="s">
        <v>55</v>
      </c>
      <c r="R450" s="2" t="s">
        <v>58</v>
      </c>
      <c r="S450">
        <v>24</v>
      </c>
      <c r="T450">
        <v>1</v>
      </c>
    </row>
    <row r="451" spans="1:20" ht="30" x14ac:dyDescent="0.25">
      <c r="A451" t="s">
        <v>934</v>
      </c>
      <c r="B451">
        <v>1</v>
      </c>
      <c r="C451" s="2" t="s">
        <v>935</v>
      </c>
      <c r="D451" s="3">
        <v>24354</v>
      </c>
      <c r="E451" s="4">
        <v>18</v>
      </c>
      <c r="F451" t="s">
        <v>32</v>
      </c>
      <c r="G451" s="3">
        <f t="shared" si="35"/>
        <v>29700</v>
      </c>
      <c r="H451" s="3">
        <v>0</v>
      </c>
      <c r="I451" s="3">
        <f t="shared" si="36"/>
        <v>29700</v>
      </c>
      <c r="J451" s="2" t="s">
        <v>27</v>
      </c>
      <c r="K451" s="5">
        <v>46253.583333333343</v>
      </c>
      <c r="L451">
        <v>3</v>
      </c>
      <c r="M451" s="3">
        <f t="shared" si="37"/>
        <v>9900</v>
      </c>
      <c r="N451" t="str">
        <f t="shared" si="38"/>
        <v>ставка</v>
      </c>
      <c r="O451" s="3">
        <f t="shared" si="39"/>
        <v>582.35</v>
      </c>
      <c r="P451" s="5">
        <v>46256.583333333343</v>
      </c>
      <c r="Q451" t="s">
        <v>32</v>
      </c>
      <c r="R451" s="2" t="s">
        <v>33</v>
      </c>
      <c r="S451">
        <v>45</v>
      </c>
      <c r="T451">
        <v>1</v>
      </c>
    </row>
    <row r="452" spans="1:20" ht="30" x14ac:dyDescent="0.25">
      <c r="A452" t="s">
        <v>934</v>
      </c>
      <c r="B452">
        <v>1</v>
      </c>
      <c r="C452" s="2" t="s">
        <v>935</v>
      </c>
      <c r="D452" s="3">
        <v>8118</v>
      </c>
      <c r="E452" s="4">
        <v>18</v>
      </c>
      <c r="F452" t="s">
        <v>32</v>
      </c>
      <c r="G452" s="3">
        <f t="shared" si="35"/>
        <v>9900</v>
      </c>
      <c r="H452" s="3">
        <v>0</v>
      </c>
      <c r="I452" s="3">
        <f t="shared" si="36"/>
        <v>9900</v>
      </c>
      <c r="J452" s="2" t="s">
        <v>27</v>
      </c>
      <c r="K452" s="5">
        <v>46256.583333333343</v>
      </c>
      <c r="L452">
        <v>1</v>
      </c>
      <c r="M452" s="3">
        <f t="shared" si="37"/>
        <v>9900</v>
      </c>
      <c r="N452" t="str">
        <f t="shared" si="38"/>
        <v>ставка</v>
      </c>
      <c r="O452" s="3">
        <f t="shared" si="39"/>
        <v>194.12</v>
      </c>
      <c r="P452" s="5">
        <v>46257.5</v>
      </c>
      <c r="Q452" t="s">
        <v>32</v>
      </c>
      <c r="R452" s="2" t="s">
        <v>33</v>
      </c>
      <c r="S452">
        <v>41</v>
      </c>
      <c r="T452">
        <v>1</v>
      </c>
    </row>
    <row r="453" spans="1:20" ht="30" x14ac:dyDescent="0.25">
      <c r="A453" t="s">
        <v>936</v>
      </c>
      <c r="B453">
        <v>1</v>
      </c>
      <c r="C453" s="2" t="s">
        <v>937</v>
      </c>
      <c r="D453" s="3">
        <v>10680</v>
      </c>
      <c r="E453" s="4">
        <v>18</v>
      </c>
      <c r="F453" t="s">
        <v>32</v>
      </c>
      <c r="G453" s="3">
        <f t="shared" si="35"/>
        <v>13024.39</v>
      </c>
      <c r="H453" s="3">
        <v>0</v>
      </c>
      <c r="I453" s="3">
        <f t="shared" si="36"/>
        <v>13024.39</v>
      </c>
      <c r="J453" s="2" t="s">
        <v>27</v>
      </c>
      <c r="K453" s="5">
        <v>46214.583333333343</v>
      </c>
      <c r="L453">
        <v>1</v>
      </c>
      <c r="M453" s="3">
        <f t="shared" si="37"/>
        <v>13024.39</v>
      </c>
      <c r="N453" t="str">
        <f t="shared" si="38"/>
        <v>ставка</v>
      </c>
      <c r="O453" s="3">
        <f t="shared" si="39"/>
        <v>255.38</v>
      </c>
      <c r="P453" s="5">
        <v>46215.5</v>
      </c>
      <c r="Q453" t="s">
        <v>32</v>
      </c>
      <c r="R453" s="2" t="s">
        <v>40</v>
      </c>
      <c r="S453">
        <v>33</v>
      </c>
      <c r="T453">
        <v>1</v>
      </c>
    </row>
    <row r="454" spans="1:20" ht="30" x14ac:dyDescent="0.25">
      <c r="A454" t="s">
        <v>938</v>
      </c>
      <c r="B454">
        <v>1</v>
      </c>
      <c r="C454" s="2" t="s">
        <v>939</v>
      </c>
      <c r="D454" s="3">
        <v>10680</v>
      </c>
      <c r="E454" s="4">
        <v>18</v>
      </c>
      <c r="F454" t="s">
        <v>32</v>
      </c>
      <c r="G454" s="3">
        <f t="shared" si="35"/>
        <v>13024.39</v>
      </c>
      <c r="H454" s="3">
        <v>2050</v>
      </c>
      <c r="I454" s="3">
        <f t="shared" si="36"/>
        <v>15074.39</v>
      </c>
      <c r="J454" s="2" t="s">
        <v>940</v>
      </c>
      <c r="K454" s="5">
        <v>46277.583333333343</v>
      </c>
      <c r="L454">
        <v>1</v>
      </c>
      <c r="M454" s="3">
        <f t="shared" si="37"/>
        <v>15074.39</v>
      </c>
      <c r="N454" t="str">
        <f t="shared" si="38"/>
        <v>ставка</v>
      </c>
      <c r="O454" s="3">
        <f t="shared" si="39"/>
        <v>295.58</v>
      </c>
      <c r="P454" s="5">
        <v>46278.5</v>
      </c>
      <c r="Q454" t="s">
        <v>32</v>
      </c>
      <c r="R454" s="2" t="s">
        <v>24</v>
      </c>
      <c r="S454">
        <v>56</v>
      </c>
      <c r="T454">
        <v>2</v>
      </c>
    </row>
    <row r="455" spans="1:20" ht="30" x14ac:dyDescent="0.25">
      <c r="A455" t="s">
        <v>941</v>
      </c>
      <c r="B455">
        <v>1</v>
      </c>
      <c r="C455" s="2" t="s">
        <v>942</v>
      </c>
      <c r="D455" s="3">
        <v>12640</v>
      </c>
      <c r="E455" s="4">
        <v>20</v>
      </c>
      <c r="F455" t="s">
        <v>48</v>
      </c>
      <c r="G455" s="3">
        <f t="shared" si="35"/>
        <v>15800</v>
      </c>
      <c r="H455" s="3">
        <v>0</v>
      </c>
      <c r="I455" s="3">
        <f t="shared" si="36"/>
        <v>15800</v>
      </c>
      <c r="J455" s="2" t="s">
        <v>27</v>
      </c>
      <c r="K455" s="5">
        <v>46264.583333333343</v>
      </c>
      <c r="L455">
        <v>2</v>
      </c>
      <c r="M455" s="3">
        <f t="shared" si="37"/>
        <v>7900</v>
      </c>
      <c r="N455" t="str">
        <f t="shared" si="38"/>
        <v>ставка</v>
      </c>
      <c r="O455" s="3">
        <f t="shared" si="39"/>
        <v>309.8</v>
      </c>
      <c r="P455" s="5">
        <v>46266.5</v>
      </c>
      <c r="Q455" t="s">
        <v>48</v>
      </c>
      <c r="R455" s="2" t="s">
        <v>40</v>
      </c>
      <c r="S455">
        <v>58</v>
      </c>
      <c r="T455">
        <v>2</v>
      </c>
    </row>
    <row r="456" spans="1:20" ht="30" x14ac:dyDescent="0.25">
      <c r="A456" t="s">
        <v>485</v>
      </c>
      <c r="B456">
        <v>1</v>
      </c>
      <c r="C456" s="2" t="s">
        <v>943</v>
      </c>
      <c r="D456" s="3">
        <v>28942.5</v>
      </c>
      <c r="E456" s="4">
        <v>15</v>
      </c>
      <c r="F456" t="s">
        <v>487</v>
      </c>
      <c r="G456" s="3">
        <f t="shared" si="35"/>
        <v>34050</v>
      </c>
      <c r="H456" s="3">
        <v>0</v>
      </c>
      <c r="I456" s="3">
        <f t="shared" si="36"/>
        <v>34050</v>
      </c>
      <c r="J456" s="2" t="s">
        <v>27</v>
      </c>
      <c r="K456" s="5">
        <v>46240.583333333343</v>
      </c>
      <c r="L456">
        <v>3</v>
      </c>
      <c r="M456" s="3">
        <f t="shared" si="37"/>
        <v>11350</v>
      </c>
      <c r="N456" t="str">
        <f t="shared" si="38"/>
        <v>ставка</v>
      </c>
      <c r="O456" s="3">
        <f t="shared" si="39"/>
        <v>667.65</v>
      </c>
      <c r="P456" s="5">
        <v>46243.5</v>
      </c>
      <c r="Q456" t="s">
        <v>487</v>
      </c>
      <c r="R456" s="2" t="s">
        <v>40</v>
      </c>
      <c r="S456" s="6"/>
    </row>
    <row r="457" spans="1:20" ht="30" x14ac:dyDescent="0.25">
      <c r="A457" t="s">
        <v>944</v>
      </c>
      <c r="B457">
        <v>1</v>
      </c>
      <c r="C457" s="2" t="s">
        <v>945</v>
      </c>
      <c r="D457" s="3">
        <v>9080</v>
      </c>
      <c r="E457" s="4">
        <v>20</v>
      </c>
      <c r="F457" t="s">
        <v>103</v>
      </c>
      <c r="G457" s="3">
        <f t="shared" si="35"/>
        <v>11350</v>
      </c>
      <c r="H457" s="3">
        <v>0</v>
      </c>
      <c r="I457" s="3">
        <f t="shared" si="36"/>
        <v>11350</v>
      </c>
      <c r="J457" s="2" t="s">
        <v>27</v>
      </c>
      <c r="K457" s="5">
        <v>46281.583333333343</v>
      </c>
      <c r="L457">
        <v>1</v>
      </c>
      <c r="M457" s="3">
        <f t="shared" si="37"/>
        <v>11350</v>
      </c>
      <c r="N457" t="str">
        <f t="shared" si="38"/>
        <v>ставка</v>
      </c>
      <c r="O457" s="3">
        <f t="shared" si="39"/>
        <v>222.55</v>
      </c>
      <c r="P457" s="5">
        <v>46282.5</v>
      </c>
      <c r="Q457" t="s">
        <v>103</v>
      </c>
      <c r="R457" s="2" t="s">
        <v>40</v>
      </c>
      <c r="S457">
        <v>42</v>
      </c>
      <c r="T457">
        <v>1</v>
      </c>
    </row>
    <row r="458" spans="1:20" x14ac:dyDescent="0.25">
      <c r="A458" t="s">
        <v>946</v>
      </c>
      <c r="B458">
        <v>1</v>
      </c>
      <c r="C458" s="2" t="s">
        <v>947</v>
      </c>
      <c r="D458" s="3">
        <v>57782.5</v>
      </c>
      <c r="E458" s="4">
        <v>4</v>
      </c>
      <c r="F458" t="s">
        <v>55</v>
      </c>
      <c r="G458" s="3">
        <f t="shared" si="35"/>
        <v>60190.1</v>
      </c>
      <c r="H458" s="3">
        <v>0</v>
      </c>
      <c r="I458" s="3">
        <f t="shared" si="36"/>
        <v>60190.1</v>
      </c>
      <c r="J458" s="2"/>
      <c r="K458" s="5">
        <v>46273.833333333343</v>
      </c>
      <c r="L458">
        <v>4</v>
      </c>
      <c r="M458" s="3">
        <f t="shared" si="37"/>
        <v>15047.525</v>
      </c>
      <c r="N458" t="str">
        <f t="shared" si="38"/>
        <v>ставка</v>
      </c>
      <c r="O458" s="3">
        <f t="shared" si="39"/>
        <v>1180.2</v>
      </c>
      <c r="P458" s="5">
        <v>46277.5</v>
      </c>
      <c r="Q458" t="s">
        <v>55</v>
      </c>
      <c r="R458" s="2" t="s">
        <v>45</v>
      </c>
      <c r="S458">
        <v>53</v>
      </c>
      <c r="T458">
        <v>2</v>
      </c>
    </row>
    <row r="459" spans="1:20" ht="30" x14ac:dyDescent="0.25">
      <c r="A459" t="s">
        <v>948</v>
      </c>
      <c r="B459">
        <v>1</v>
      </c>
      <c r="C459" s="2" t="s">
        <v>949</v>
      </c>
      <c r="D459" s="3">
        <v>36960</v>
      </c>
      <c r="E459" s="4">
        <v>18</v>
      </c>
      <c r="F459" t="s">
        <v>32</v>
      </c>
      <c r="G459" s="3">
        <f t="shared" si="35"/>
        <v>45073.17</v>
      </c>
      <c r="H459" s="3">
        <v>0</v>
      </c>
      <c r="I459" s="3">
        <f t="shared" si="36"/>
        <v>45073.17</v>
      </c>
      <c r="J459" s="2" t="s">
        <v>27</v>
      </c>
      <c r="K459" s="5">
        <v>46220.583333333343</v>
      </c>
      <c r="L459">
        <v>3</v>
      </c>
      <c r="M459" s="3">
        <f t="shared" si="37"/>
        <v>15024.39</v>
      </c>
      <c r="N459" t="str">
        <f t="shared" si="38"/>
        <v>ставка</v>
      </c>
      <c r="O459" s="3">
        <f t="shared" si="39"/>
        <v>883.79</v>
      </c>
      <c r="P459" s="5">
        <v>46223.5</v>
      </c>
      <c r="Q459" t="s">
        <v>32</v>
      </c>
      <c r="R459" s="2" t="s">
        <v>24</v>
      </c>
      <c r="S459">
        <v>59</v>
      </c>
      <c r="T459">
        <v>2</v>
      </c>
    </row>
    <row r="460" spans="1:20" x14ac:dyDescent="0.25">
      <c r="A460" t="s">
        <v>950</v>
      </c>
      <c r="B460">
        <v>1</v>
      </c>
      <c r="C460" s="2" t="s">
        <v>951</v>
      </c>
      <c r="D460" s="3">
        <v>39600</v>
      </c>
      <c r="E460" s="4">
        <v>0</v>
      </c>
      <c r="F460" t="s">
        <v>23</v>
      </c>
      <c r="G460" s="3">
        <f t="shared" si="35"/>
        <v>39600</v>
      </c>
      <c r="H460" s="3">
        <v>0</v>
      </c>
      <c r="I460" s="3">
        <f t="shared" si="36"/>
        <v>39600</v>
      </c>
      <c r="J460" s="2" t="s">
        <v>27</v>
      </c>
      <c r="K460" s="5">
        <v>46236.583333333343</v>
      </c>
      <c r="L460">
        <v>3</v>
      </c>
      <c r="M460" s="3">
        <f t="shared" si="37"/>
        <v>13200</v>
      </c>
      <c r="N460" t="str">
        <f t="shared" si="38"/>
        <v>ставка</v>
      </c>
      <c r="O460" s="3">
        <f t="shared" si="39"/>
        <v>776.47</v>
      </c>
      <c r="P460" s="5">
        <v>46239.5</v>
      </c>
      <c r="Q460" t="s">
        <v>23</v>
      </c>
      <c r="R460" s="2" t="s">
        <v>49</v>
      </c>
      <c r="S460">
        <v>25</v>
      </c>
      <c r="T460">
        <v>1</v>
      </c>
    </row>
    <row r="461" spans="1:20" ht="30" x14ac:dyDescent="0.25">
      <c r="A461" t="s">
        <v>952</v>
      </c>
      <c r="B461">
        <v>1</v>
      </c>
      <c r="C461" s="2" t="s">
        <v>953</v>
      </c>
      <c r="D461" s="3">
        <v>38590</v>
      </c>
      <c r="E461" s="4">
        <v>15</v>
      </c>
      <c r="F461" t="s">
        <v>487</v>
      </c>
      <c r="G461" s="3">
        <f t="shared" si="35"/>
        <v>45400</v>
      </c>
      <c r="H461" s="3">
        <v>0</v>
      </c>
      <c r="I461" s="3">
        <f t="shared" si="36"/>
        <v>45400</v>
      </c>
      <c r="J461" s="2" t="s">
        <v>27</v>
      </c>
      <c r="K461" s="5">
        <v>46287.583333333343</v>
      </c>
      <c r="L461">
        <v>4</v>
      </c>
      <c r="M461" s="3">
        <f t="shared" si="37"/>
        <v>11350</v>
      </c>
      <c r="N461" t="str">
        <f t="shared" si="38"/>
        <v>ставка</v>
      </c>
      <c r="O461" s="3">
        <f t="shared" si="39"/>
        <v>890.2</v>
      </c>
      <c r="P461" s="5">
        <v>46291.5</v>
      </c>
      <c r="Q461" t="s">
        <v>487</v>
      </c>
      <c r="R461" s="2" t="s">
        <v>40</v>
      </c>
      <c r="S461">
        <v>42</v>
      </c>
      <c r="T461">
        <v>1</v>
      </c>
    </row>
    <row r="462" spans="1:20" ht="30" x14ac:dyDescent="0.25">
      <c r="A462" t="s">
        <v>954</v>
      </c>
      <c r="B462">
        <v>1</v>
      </c>
      <c r="C462" s="2" t="s">
        <v>955</v>
      </c>
      <c r="D462" s="3">
        <v>19493.099999999999</v>
      </c>
      <c r="E462" s="4">
        <v>4</v>
      </c>
      <c r="F462" t="s">
        <v>55</v>
      </c>
      <c r="G462" s="3">
        <f t="shared" si="35"/>
        <v>20305.310000000001</v>
      </c>
      <c r="H462" s="3">
        <v>0</v>
      </c>
      <c r="I462" s="3">
        <f t="shared" si="36"/>
        <v>20305.310000000001</v>
      </c>
      <c r="J462" s="2" t="s">
        <v>27</v>
      </c>
      <c r="K462" s="5">
        <v>46287.729166666657</v>
      </c>
      <c r="L462">
        <v>2</v>
      </c>
      <c r="M462" s="3">
        <f t="shared" si="37"/>
        <v>10152.655000000001</v>
      </c>
      <c r="N462" t="str">
        <f t="shared" si="38"/>
        <v>ставка</v>
      </c>
      <c r="O462" s="3">
        <f t="shared" si="39"/>
        <v>398.14</v>
      </c>
      <c r="P462" s="5">
        <v>46289.5</v>
      </c>
      <c r="Q462" t="s">
        <v>55</v>
      </c>
      <c r="R462" s="2" t="s">
        <v>33</v>
      </c>
      <c r="S462">
        <v>43</v>
      </c>
      <c r="T462">
        <v>1</v>
      </c>
    </row>
    <row r="463" spans="1:20" x14ac:dyDescent="0.25">
      <c r="A463" t="s">
        <v>956</v>
      </c>
      <c r="B463">
        <v>1</v>
      </c>
      <c r="C463" s="2" t="s">
        <v>957</v>
      </c>
      <c r="D463" s="3">
        <v>14025</v>
      </c>
      <c r="E463" s="4">
        <v>15</v>
      </c>
      <c r="F463" t="s">
        <v>52</v>
      </c>
      <c r="G463" s="3">
        <f t="shared" si="35"/>
        <v>16500</v>
      </c>
      <c r="H463" s="3">
        <v>0</v>
      </c>
      <c r="I463" s="3">
        <f t="shared" si="36"/>
        <v>16500</v>
      </c>
      <c r="J463" s="2" t="s">
        <v>27</v>
      </c>
      <c r="K463" s="5">
        <v>46278.666666666657</v>
      </c>
      <c r="L463">
        <v>1</v>
      </c>
      <c r="M463" s="3">
        <f t="shared" si="37"/>
        <v>16500</v>
      </c>
      <c r="N463" t="str">
        <f t="shared" si="38"/>
        <v>ставка</v>
      </c>
      <c r="O463" s="3">
        <f t="shared" si="39"/>
        <v>323.52999999999997</v>
      </c>
      <c r="P463" s="5">
        <v>46279.5</v>
      </c>
      <c r="Q463" t="s">
        <v>52</v>
      </c>
      <c r="R463" s="2" t="s">
        <v>49</v>
      </c>
      <c r="S463">
        <v>35</v>
      </c>
      <c r="T463">
        <v>1</v>
      </c>
    </row>
    <row r="464" spans="1:20" ht="30" x14ac:dyDescent="0.25">
      <c r="A464" t="s">
        <v>958</v>
      </c>
      <c r="B464">
        <v>1</v>
      </c>
      <c r="C464" s="2" t="s">
        <v>959</v>
      </c>
      <c r="D464" s="3">
        <v>19068</v>
      </c>
      <c r="E464" s="4">
        <v>16</v>
      </c>
      <c r="F464" t="s">
        <v>36</v>
      </c>
      <c r="G464" s="3">
        <f t="shared" si="35"/>
        <v>22700</v>
      </c>
      <c r="H464" s="3">
        <v>0</v>
      </c>
      <c r="I464" s="3">
        <f t="shared" si="36"/>
        <v>22700</v>
      </c>
      <c r="J464" s="2" t="s">
        <v>27</v>
      </c>
      <c r="K464" s="5">
        <v>46287.583333333343</v>
      </c>
      <c r="L464">
        <v>2</v>
      </c>
      <c r="M464" s="3">
        <f t="shared" si="37"/>
        <v>11350</v>
      </c>
      <c r="N464" t="str">
        <f t="shared" si="38"/>
        <v>ставка</v>
      </c>
      <c r="O464" s="3">
        <f t="shared" si="39"/>
        <v>445.1</v>
      </c>
      <c r="P464" s="5">
        <v>46289.5</v>
      </c>
      <c r="Q464" t="s">
        <v>36</v>
      </c>
      <c r="R464" s="2" t="s">
        <v>40</v>
      </c>
      <c r="S464">
        <v>44</v>
      </c>
      <c r="T464">
        <v>1</v>
      </c>
    </row>
    <row r="465" spans="1:20" ht="30" x14ac:dyDescent="0.25">
      <c r="A465" t="s">
        <v>960</v>
      </c>
      <c r="B465">
        <v>1</v>
      </c>
      <c r="C465" s="2" t="s">
        <v>961</v>
      </c>
      <c r="D465" s="3">
        <v>30684.5</v>
      </c>
      <c r="E465" s="4">
        <v>4</v>
      </c>
      <c r="F465" t="s">
        <v>55</v>
      </c>
      <c r="G465" s="3">
        <f t="shared" si="35"/>
        <v>31963.02</v>
      </c>
      <c r="H465" s="3">
        <v>0</v>
      </c>
      <c r="I465" s="3">
        <f t="shared" si="36"/>
        <v>31963.02</v>
      </c>
      <c r="J465" s="2" t="s">
        <v>27</v>
      </c>
      <c r="K465" s="5">
        <v>46291.583333333343</v>
      </c>
      <c r="L465">
        <v>4</v>
      </c>
      <c r="M465" s="3">
        <f t="shared" si="37"/>
        <v>7990.7550000000001</v>
      </c>
      <c r="N465" t="str">
        <f t="shared" si="38"/>
        <v>ставка</v>
      </c>
      <c r="O465" s="3">
        <f t="shared" si="39"/>
        <v>626.73</v>
      </c>
      <c r="P465" s="5">
        <v>46295.5</v>
      </c>
      <c r="Q465" t="s">
        <v>55</v>
      </c>
      <c r="R465" s="2" t="s">
        <v>58</v>
      </c>
      <c r="S465">
        <v>34</v>
      </c>
      <c r="T465">
        <v>1</v>
      </c>
    </row>
    <row r="466" spans="1:20" ht="30" x14ac:dyDescent="0.25">
      <c r="A466" t="s">
        <v>962</v>
      </c>
      <c r="B466">
        <v>1</v>
      </c>
      <c r="C466" s="2" t="s">
        <v>963</v>
      </c>
      <c r="D466" s="3">
        <v>13090</v>
      </c>
      <c r="E466" s="4">
        <v>15</v>
      </c>
      <c r="F466" t="s">
        <v>52</v>
      </c>
      <c r="G466" s="3">
        <f t="shared" si="35"/>
        <v>15400</v>
      </c>
      <c r="H466" s="3">
        <v>0</v>
      </c>
      <c r="I466" s="3">
        <f t="shared" si="36"/>
        <v>15400</v>
      </c>
      <c r="J466" s="2" t="s">
        <v>27</v>
      </c>
      <c r="K466" s="5">
        <v>46237.583333333343</v>
      </c>
      <c r="L466">
        <v>2</v>
      </c>
      <c r="M466" s="3">
        <f t="shared" si="37"/>
        <v>7700</v>
      </c>
      <c r="N466" t="str">
        <f t="shared" si="38"/>
        <v>ставка</v>
      </c>
      <c r="O466" s="3">
        <f t="shared" si="39"/>
        <v>301.95999999999998</v>
      </c>
      <c r="P466" s="5">
        <v>46239.5</v>
      </c>
      <c r="Q466" t="s">
        <v>52</v>
      </c>
      <c r="R466" s="2" t="s">
        <v>58</v>
      </c>
      <c r="S466">
        <v>24</v>
      </c>
      <c r="T466">
        <v>1</v>
      </c>
    </row>
    <row r="467" spans="1:20" ht="30" x14ac:dyDescent="0.25">
      <c r="A467" t="s">
        <v>964</v>
      </c>
      <c r="B467">
        <v>1</v>
      </c>
      <c r="C467" s="2" t="s">
        <v>965</v>
      </c>
      <c r="D467" s="3">
        <v>25245</v>
      </c>
      <c r="E467" s="4">
        <v>0</v>
      </c>
      <c r="F467" t="s">
        <v>180</v>
      </c>
      <c r="G467" s="3">
        <f t="shared" si="35"/>
        <v>25245</v>
      </c>
      <c r="H467" s="3">
        <v>0</v>
      </c>
      <c r="I467" s="3">
        <f t="shared" si="36"/>
        <v>25245</v>
      </c>
      <c r="J467" s="2" t="s">
        <v>181</v>
      </c>
      <c r="K467" s="5">
        <v>46266.583333333343</v>
      </c>
      <c r="L467">
        <v>3</v>
      </c>
      <c r="M467" s="3">
        <f t="shared" si="37"/>
        <v>8415</v>
      </c>
      <c r="N467" t="str">
        <f t="shared" si="38"/>
        <v>ставка</v>
      </c>
      <c r="O467" s="3">
        <f t="shared" si="39"/>
        <v>495</v>
      </c>
      <c r="P467" s="5">
        <v>46269.5</v>
      </c>
      <c r="Q467" t="s">
        <v>180</v>
      </c>
      <c r="R467" s="2" t="s">
        <v>40</v>
      </c>
      <c r="S467">
        <v>46</v>
      </c>
      <c r="T467">
        <v>1</v>
      </c>
    </row>
    <row r="468" spans="1:20" ht="30" x14ac:dyDescent="0.25">
      <c r="A468" t="s">
        <v>966</v>
      </c>
      <c r="B468">
        <v>1</v>
      </c>
      <c r="C468" s="2" t="s">
        <v>967</v>
      </c>
      <c r="D468" s="3">
        <v>32964</v>
      </c>
      <c r="E468" s="4">
        <v>18</v>
      </c>
      <c r="F468" t="s">
        <v>147</v>
      </c>
      <c r="G468" s="3">
        <f t="shared" si="35"/>
        <v>40200</v>
      </c>
      <c r="H468" s="3">
        <v>0</v>
      </c>
      <c r="I468" s="3">
        <f t="shared" si="36"/>
        <v>40200</v>
      </c>
      <c r="J468" s="2" t="s">
        <v>27</v>
      </c>
      <c r="K468" s="5">
        <v>46238.583333333343</v>
      </c>
      <c r="L468">
        <v>3</v>
      </c>
      <c r="M468" s="3">
        <f t="shared" si="37"/>
        <v>13400</v>
      </c>
      <c r="N468" t="str">
        <f t="shared" si="38"/>
        <v>ставка</v>
      </c>
      <c r="O468" s="3">
        <f t="shared" si="39"/>
        <v>788.24</v>
      </c>
      <c r="P468" s="5">
        <v>46241.5</v>
      </c>
      <c r="Q468" t="s">
        <v>147</v>
      </c>
      <c r="R468" s="2" t="s">
        <v>24</v>
      </c>
      <c r="S468">
        <v>59</v>
      </c>
      <c r="T468">
        <v>2</v>
      </c>
    </row>
    <row r="469" spans="1:20" ht="30" x14ac:dyDescent="0.25">
      <c r="A469" t="s">
        <v>968</v>
      </c>
      <c r="B469">
        <v>1</v>
      </c>
      <c r="C469" s="2" t="s">
        <v>969</v>
      </c>
      <c r="D469" s="3">
        <v>41085</v>
      </c>
      <c r="E469" s="4">
        <v>20</v>
      </c>
      <c r="F469" t="s">
        <v>173</v>
      </c>
      <c r="G469" s="3">
        <f t="shared" si="35"/>
        <v>51356.25</v>
      </c>
      <c r="H469" s="3">
        <v>0</v>
      </c>
      <c r="I469" s="3">
        <f t="shared" si="36"/>
        <v>51356.25</v>
      </c>
      <c r="J469" s="2" t="s">
        <v>27</v>
      </c>
      <c r="K469" s="5">
        <v>46243.583333333343</v>
      </c>
      <c r="L469">
        <v>5</v>
      </c>
      <c r="M469" s="3">
        <f t="shared" si="37"/>
        <v>10271.25</v>
      </c>
      <c r="N469" t="str">
        <f t="shared" si="38"/>
        <v>ставка</v>
      </c>
      <c r="O469" s="3">
        <f t="shared" si="39"/>
        <v>1006.99</v>
      </c>
      <c r="P469" s="5">
        <v>46248.5</v>
      </c>
      <c r="Q469" t="s">
        <v>173</v>
      </c>
      <c r="R469" s="2" t="s">
        <v>33</v>
      </c>
      <c r="S469">
        <v>47</v>
      </c>
      <c r="T469">
        <v>1</v>
      </c>
    </row>
    <row r="470" spans="1:20" ht="30" x14ac:dyDescent="0.25">
      <c r="A470" t="s">
        <v>970</v>
      </c>
      <c r="B470">
        <v>1</v>
      </c>
      <c r="C470" s="2" t="s">
        <v>971</v>
      </c>
      <c r="D470" s="3">
        <v>6557</v>
      </c>
      <c r="E470" s="4">
        <v>17</v>
      </c>
      <c r="F470" t="s">
        <v>130</v>
      </c>
      <c r="G470" s="3">
        <f t="shared" si="35"/>
        <v>7900</v>
      </c>
      <c r="H470" s="3">
        <v>0</v>
      </c>
      <c r="I470" s="3">
        <f t="shared" si="36"/>
        <v>7900</v>
      </c>
      <c r="J470" s="2" t="s">
        <v>27</v>
      </c>
      <c r="K470" s="5">
        <v>46216.583333333343</v>
      </c>
      <c r="L470">
        <v>1</v>
      </c>
      <c r="M470" s="3">
        <f t="shared" si="37"/>
        <v>7900</v>
      </c>
      <c r="N470" t="str">
        <f t="shared" si="38"/>
        <v>ставка</v>
      </c>
      <c r="O470" s="3">
        <f t="shared" si="39"/>
        <v>154.9</v>
      </c>
      <c r="P470" s="5">
        <v>46217.5</v>
      </c>
      <c r="Q470" t="s">
        <v>130</v>
      </c>
      <c r="R470" s="2" t="s">
        <v>33</v>
      </c>
      <c r="S470">
        <v>45</v>
      </c>
      <c r="T470">
        <v>1</v>
      </c>
    </row>
    <row r="471" spans="1:20" ht="30" x14ac:dyDescent="0.25">
      <c r="A471" t="s">
        <v>972</v>
      </c>
      <c r="B471">
        <v>1</v>
      </c>
      <c r="C471" s="2" t="s">
        <v>973</v>
      </c>
      <c r="D471" s="3">
        <v>34050</v>
      </c>
      <c r="E471" s="4">
        <v>4</v>
      </c>
      <c r="F471" t="s">
        <v>55</v>
      </c>
      <c r="G471" s="3">
        <f t="shared" si="35"/>
        <v>35468.75</v>
      </c>
      <c r="H471" s="3">
        <v>0</v>
      </c>
      <c r="I471" s="3">
        <f t="shared" si="36"/>
        <v>35468.75</v>
      </c>
      <c r="J471" s="2" t="s">
        <v>27</v>
      </c>
      <c r="K471" s="5">
        <v>46209.583333333343</v>
      </c>
      <c r="L471">
        <v>3</v>
      </c>
      <c r="M471" s="3">
        <f t="shared" si="37"/>
        <v>11822.916666666666</v>
      </c>
      <c r="N471" t="str">
        <f t="shared" si="38"/>
        <v>ставка</v>
      </c>
      <c r="O471" s="3">
        <f t="shared" si="39"/>
        <v>695.47</v>
      </c>
      <c r="P471" s="5">
        <v>46212.5</v>
      </c>
      <c r="Q471" t="s">
        <v>55</v>
      </c>
      <c r="R471" s="2" t="s">
        <v>40</v>
      </c>
      <c r="S471">
        <v>22</v>
      </c>
      <c r="T471">
        <v>1</v>
      </c>
    </row>
    <row r="472" spans="1:20" ht="30" x14ac:dyDescent="0.25">
      <c r="A472" t="s">
        <v>974</v>
      </c>
      <c r="B472">
        <v>1</v>
      </c>
      <c r="C472" s="2" t="s">
        <v>975</v>
      </c>
      <c r="D472" s="3">
        <v>11256</v>
      </c>
      <c r="E472" s="4">
        <v>16</v>
      </c>
      <c r="F472" t="s">
        <v>36</v>
      </c>
      <c r="G472" s="3">
        <f t="shared" si="35"/>
        <v>13400</v>
      </c>
      <c r="H472" s="3">
        <v>2240</v>
      </c>
      <c r="I472" s="3">
        <f t="shared" si="36"/>
        <v>15640</v>
      </c>
      <c r="J472" s="2" t="s">
        <v>976</v>
      </c>
      <c r="K472" s="5">
        <v>46263.583333333343</v>
      </c>
      <c r="L472">
        <v>1</v>
      </c>
      <c r="M472" s="3">
        <f t="shared" si="37"/>
        <v>15640</v>
      </c>
      <c r="N472" t="str">
        <f t="shared" si="38"/>
        <v>ставка</v>
      </c>
      <c r="O472" s="3">
        <f t="shared" si="39"/>
        <v>306.67</v>
      </c>
      <c r="P472" s="5">
        <v>46264.666666666657</v>
      </c>
      <c r="Q472" t="s">
        <v>36</v>
      </c>
      <c r="R472" s="2" t="s">
        <v>49</v>
      </c>
      <c r="S472">
        <v>11</v>
      </c>
      <c r="T472">
        <v>1</v>
      </c>
    </row>
    <row r="473" spans="1:20" ht="30" x14ac:dyDescent="0.25">
      <c r="A473" t="s">
        <v>977</v>
      </c>
      <c r="B473">
        <v>1</v>
      </c>
      <c r="C473" s="2" t="s">
        <v>978</v>
      </c>
      <c r="D473" s="3">
        <v>27240</v>
      </c>
      <c r="E473" s="4">
        <v>20</v>
      </c>
      <c r="F473" t="s">
        <v>293</v>
      </c>
      <c r="G473" s="3">
        <f t="shared" si="35"/>
        <v>34050</v>
      </c>
      <c r="H473" s="3">
        <v>0</v>
      </c>
      <c r="I473" s="3">
        <f t="shared" si="36"/>
        <v>34050</v>
      </c>
      <c r="J473" s="2" t="s">
        <v>294</v>
      </c>
      <c r="K473" s="5">
        <v>46206.583333333343</v>
      </c>
      <c r="L473">
        <v>3</v>
      </c>
      <c r="M473" s="3">
        <f t="shared" si="37"/>
        <v>11350</v>
      </c>
      <c r="N473" t="str">
        <f t="shared" si="38"/>
        <v>ставка</v>
      </c>
      <c r="O473" s="3">
        <f t="shared" si="39"/>
        <v>667.65</v>
      </c>
      <c r="P473" s="5">
        <v>46209.5</v>
      </c>
      <c r="Q473" t="s">
        <v>293</v>
      </c>
      <c r="R473" s="2" t="s">
        <v>40</v>
      </c>
      <c r="S473">
        <v>23</v>
      </c>
      <c r="T473">
        <v>1</v>
      </c>
    </row>
    <row r="474" spans="1:20" ht="30" x14ac:dyDescent="0.25">
      <c r="A474" t="s">
        <v>979</v>
      </c>
      <c r="B474">
        <v>1</v>
      </c>
      <c r="C474" s="2" t="s">
        <v>980</v>
      </c>
      <c r="D474" s="3">
        <v>26286.15</v>
      </c>
      <c r="E474" s="4">
        <v>4</v>
      </c>
      <c r="F474" t="s">
        <v>55</v>
      </c>
      <c r="G474" s="3">
        <f t="shared" si="35"/>
        <v>27381.41</v>
      </c>
      <c r="H474" s="3">
        <v>0</v>
      </c>
      <c r="I474" s="3">
        <f t="shared" si="36"/>
        <v>27381.41</v>
      </c>
      <c r="J474" s="2" t="s">
        <v>27</v>
      </c>
      <c r="K474" s="5">
        <v>46233.583333333343</v>
      </c>
      <c r="L474">
        <v>2</v>
      </c>
      <c r="M474" s="3">
        <f t="shared" si="37"/>
        <v>13690.705</v>
      </c>
      <c r="N474" t="str">
        <f t="shared" si="38"/>
        <v>ставка</v>
      </c>
      <c r="O474" s="3">
        <f t="shared" si="39"/>
        <v>536.89</v>
      </c>
      <c r="P474" s="5">
        <v>46235.5</v>
      </c>
      <c r="Q474" t="s">
        <v>55</v>
      </c>
      <c r="R474" s="2" t="s">
        <v>40</v>
      </c>
      <c r="S474">
        <v>32</v>
      </c>
      <c r="T474">
        <v>1</v>
      </c>
    </row>
    <row r="475" spans="1:20" ht="30" x14ac:dyDescent="0.25">
      <c r="A475" t="s">
        <v>981</v>
      </c>
      <c r="B475">
        <v>1</v>
      </c>
      <c r="C475" s="2" t="s">
        <v>982</v>
      </c>
      <c r="D475" s="3">
        <v>6004</v>
      </c>
      <c r="E475" s="4">
        <v>18</v>
      </c>
      <c r="F475" t="s">
        <v>32</v>
      </c>
      <c r="G475" s="3">
        <f t="shared" si="35"/>
        <v>7321.95</v>
      </c>
      <c r="H475" s="3">
        <v>0</v>
      </c>
      <c r="I475" s="3">
        <f t="shared" si="36"/>
        <v>7321.95</v>
      </c>
      <c r="J475" s="2" t="s">
        <v>27</v>
      </c>
      <c r="K475" s="5">
        <v>46240.583333333343</v>
      </c>
      <c r="L475">
        <v>1</v>
      </c>
      <c r="M475" s="3">
        <f t="shared" si="37"/>
        <v>7321.95</v>
      </c>
      <c r="N475" t="str">
        <f t="shared" si="38"/>
        <v>ставка</v>
      </c>
      <c r="O475" s="3">
        <f t="shared" si="39"/>
        <v>143.57</v>
      </c>
      <c r="P475" s="5">
        <v>46241.5</v>
      </c>
      <c r="Q475" t="s">
        <v>32</v>
      </c>
      <c r="R475" s="2" t="s">
        <v>33</v>
      </c>
      <c r="S475">
        <v>41</v>
      </c>
      <c r="T475">
        <v>1</v>
      </c>
    </row>
    <row r="476" spans="1:20" ht="30" x14ac:dyDescent="0.25">
      <c r="A476" t="s">
        <v>983</v>
      </c>
      <c r="B476">
        <v>1</v>
      </c>
      <c r="C476" s="2" t="s">
        <v>984</v>
      </c>
      <c r="D476" s="3">
        <v>106800</v>
      </c>
      <c r="E476" s="4">
        <v>20</v>
      </c>
      <c r="F476" t="s">
        <v>48</v>
      </c>
      <c r="G476" s="3">
        <f t="shared" si="35"/>
        <v>133500</v>
      </c>
      <c r="H476" s="3">
        <v>0</v>
      </c>
      <c r="I476" s="3">
        <f t="shared" si="36"/>
        <v>133500</v>
      </c>
      <c r="J476" s="2" t="s">
        <v>27</v>
      </c>
      <c r="K476" s="5">
        <v>46230.583333333343</v>
      </c>
      <c r="L476">
        <v>10</v>
      </c>
      <c r="M476" s="3">
        <f t="shared" si="37"/>
        <v>13350</v>
      </c>
      <c r="N476" t="str">
        <f t="shared" si="38"/>
        <v>ставка</v>
      </c>
      <c r="O476" s="3">
        <f t="shared" si="39"/>
        <v>2617.65</v>
      </c>
      <c r="P476" s="5">
        <v>46240.5</v>
      </c>
      <c r="Q476" t="s">
        <v>48</v>
      </c>
      <c r="R476" s="2" t="s">
        <v>40</v>
      </c>
      <c r="S476">
        <v>46</v>
      </c>
      <c r="T476">
        <v>1</v>
      </c>
    </row>
    <row r="477" spans="1:20" ht="30" x14ac:dyDescent="0.25">
      <c r="A477" t="s">
        <v>985</v>
      </c>
      <c r="B477">
        <v>1</v>
      </c>
      <c r="C477" s="2" t="s">
        <v>986</v>
      </c>
      <c r="D477" s="3">
        <v>30260</v>
      </c>
      <c r="E477" s="4">
        <v>15</v>
      </c>
      <c r="F477" t="s">
        <v>411</v>
      </c>
      <c r="G477" s="3">
        <f t="shared" si="35"/>
        <v>35600</v>
      </c>
      <c r="H477" s="3">
        <v>0</v>
      </c>
      <c r="I477" s="3">
        <f t="shared" si="36"/>
        <v>35600</v>
      </c>
      <c r="J477" s="2" t="s">
        <v>27</v>
      </c>
      <c r="K477" s="5">
        <v>46251.583333333343</v>
      </c>
      <c r="L477">
        <v>2</v>
      </c>
      <c r="M477" s="3">
        <f t="shared" si="37"/>
        <v>17800</v>
      </c>
      <c r="N477" t="str">
        <f t="shared" si="38"/>
        <v>ставка</v>
      </c>
      <c r="O477" s="3">
        <f t="shared" si="39"/>
        <v>698.04</v>
      </c>
      <c r="P477" s="5">
        <v>46253.5</v>
      </c>
      <c r="Q477" t="s">
        <v>411</v>
      </c>
      <c r="R477" s="2" t="s">
        <v>45</v>
      </c>
      <c r="S477">
        <v>53</v>
      </c>
      <c r="T477">
        <v>2</v>
      </c>
    </row>
    <row r="478" spans="1:20" ht="30" x14ac:dyDescent="0.25">
      <c r="A478" t="s">
        <v>429</v>
      </c>
      <c r="B478">
        <v>1</v>
      </c>
      <c r="C478" s="2" t="s">
        <v>987</v>
      </c>
      <c r="D478" s="3">
        <v>6261.15</v>
      </c>
      <c r="E478" s="4">
        <v>4</v>
      </c>
      <c r="F478" t="s">
        <v>55</v>
      </c>
      <c r="G478" s="3">
        <f t="shared" si="35"/>
        <v>6522.03</v>
      </c>
      <c r="H478" s="3">
        <v>6675</v>
      </c>
      <c r="I478" s="3">
        <f t="shared" si="36"/>
        <v>13197.03</v>
      </c>
      <c r="J478" s="2" t="s">
        <v>988</v>
      </c>
      <c r="K478" s="5">
        <v>46258.583333333343</v>
      </c>
      <c r="L478">
        <v>1</v>
      </c>
      <c r="M478" s="3">
        <f t="shared" si="37"/>
        <v>13197.03</v>
      </c>
      <c r="N478" t="str">
        <f t="shared" si="38"/>
        <v>ставка</v>
      </c>
      <c r="O478" s="3">
        <f t="shared" si="39"/>
        <v>258.77</v>
      </c>
      <c r="P478" s="5">
        <v>46259.5</v>
      </c>
      <c r="Q478" t="s">
        <v>55</v>
      </c>
      <c r="R478" s="2" t="s">
        <v>40</v>
      </c>
      <c r="S478">
        <v>58</v>
      </c>
      <c r="T478">
        <v>2</v>
      </c>
    </row>
    <row r="479" spans="1:20" ht="30" x14ac:dyDescent="0.25">
      <c r="A479" t="s">
        <v>989</v>
      </c>
      <c r="B479">
        <v>1</v>
      </c>
      <c r="C479" s="2" t="s">
        <v>990</v>
      </c>
      <c r="D479" s="3">
        <v>11214</v>
      </c>
      <c r="E479" s="4">
        <v>16</v>
      </c>
      <c r="F479" t="s">
        <v>36</v>
      </c>
      <c r="G479" s="3">
        <f t="shared" si="35"/>
        <v>13350</v>
      </c>
      <c r="H479" s="3">
        <v>0</v>
      </c>
      <c r="I479" s="3">
        <f t="shared" si="36"/>
        <v>13350</v>
      </c>
      <c r="J479" s="2" t="s">
        <v>27</v>
      </c>
      <c r="K479" s="5">
        <v>46282.583333333343</v>
      </c>
      <c r="L479">
        <v>1</v>
      </c>
      <c r="M479" s="3">
        <f t="shared" si="37"/>
        <v>13350</v>
      </c>
      <c r="N479" t="str">
        <f t="shared" si="38"/>
        <v>ставка</v>
      </c>
      <c r="O479" s="3">
        <f t="shared" si="39"/>
        <v>261.76</v>
      </c>
      <c r="P479" s="5">
        <v>46283.5</v>
      </c>
      <c r="Q479" t="s">
        <v>36</v>
      </c>
      <c r="R479" s="2" t="s">
        <v>40</v>
      </c>
      <c r="S479">
        <v>23</v>
      </c>
      <c r="T479">
        <v>1</v>
      </c>
    </row>
    <row r="480" spans="1:20" ht="30" x14ac:dyDescent="0.25">
      <c r="A480" t="s">
        <v>991</v>
      </c>
      <c r="B480">
        <v>1</v>
      </c>
      <c r="C480" s="2" t="s">
        <v>992</v>
      </c>
      <c r="D480" s="3">
        <v>22861.3</v>
      </c>
      <c r="E480" s="4">
        <v>4</v>
      </c>
      <c r="F480" t="s">
        <v>55</v>
      </c>
      <c r="G480" s="3">
        <f t="shared" si="35"/>
        <v>23813.85</v>
      </c>
      <c r="H480" s="3">
        <v>0</v>
      </c>
      <c r="I480" s="3">
        <f t="shared" si="36"/>
        <v>23813.85</v>
      </c>
      <c r="J480" s="2" t="s">
        <v>27</v>
      </c>
      <c r="K480" s="5">
        <v>46218.583333333343</v>
      </c>
      <c r="L480">
        <v>3</v>
      </c>
      <c r="M480" s="3">
        <f t="shared" si="37"/>
        <v>7937.95</v>
      </c>
      <c r="N480" t="str">
        <f t="shared" si="38"/>
        <v>ставка</v>
      </c>
      <c r="O480" s="3">
        <f t="shared" si="39"/>
        <v>466.94</v>
      </c>
      <c r="P480" s="5">
        <v>46221.5</v>
      </c>
      <c r="Q480" t="s">
        <v>55</v>
      </c>
      <c r="R480" s="2" t="s">
        <v>58</v>
      </c>
      <c r="S480">
        <v>34</v>
      </c>
      <c r="T480">
        <v>1</v>
      </c>
    </row>
    <row r="481" spans="1:20" ht="30" x14ac:dyDescent="0.25">
      <c r="A481" t="s">
        <v>993</v>
      </c>
      <c r="B481">
        <v>1</v>
      </c>
      <c r="C481" s="2" t="s">
        <v>994</v>
      </c>
      <c r="D481" s="3">
        <v>29452.5</v>
      </c>
      <c r="E481" s="4">
        <v>4</v>
      </c>
      <c r="F481" t="s">
        <v>55</v>
      </c>
      <c r="G481" s="3">
        <f t="shared" si="35"/>
        <v>30679.69</v>
      </c>
      <c r="H481" s="3">
        <v>0</v>
      </c>
      <c r="I481" s="3">
        <f t="shared" si="36"/>
        <v>30679.69</v>
      </c>
      <c r="J481" s="2" t="s">
        <v>27</v>
      </c>
      <c r="K481" s="5">
        <v>46288.583333333343</v>
      </c>
      <c r="L481">
        <v>3</v>
      </c>
      <c r="M481" s="3">
        <f t="shared" si="37"/>
        <v>10226.563333333334</v>
      </c>
      <c r="N481" t="str">
        <f t="shared" si="38"/>
        <v>ставка</v>
      </c>
      <c r="O481" s="3">
        <f t="shared" si="39"/>
        <v>601.55999999999995</v>
      </c>
      <c r="P481" s="5">
        <v>46291.5</v>
      </c>
      <c r="Q481" t="s">
        <v>55</v>
      </c>
      <c r="R481" s="2" t="s">
        <v>33</v>
      </c>
      <c r="S481">
        <v>41</v>
      </c>
      <c r="T481">
        <v>1</v>
      </c>
    </row>
    <row r="482" spans="1:20" ht="30" x14ac:dyDescent="0.25">
      <c r="A482" t="s">
        <v>995</v>
      </c>
      <c r="B482">
        <v>1</v>
      </c>
      <c r="C482" s="2" t="s">
        <v>996</v>
      </c>
      <c r="D482" s="3">
        <v>16830</v>
      </c>
      <c r="E482" s="4">
        <v>15</v>
      </c>
      <c r="F482" t="s">
        <v>168</v>
      </c>
      <c r="G482" s="3">
        <f t="shared" si="35"/>
        <v>19800</v>
      </c>
      <c r="H482" s="3">
        <v>0</v>
      </c>
      <c r="I482" s="3">
        <f t="shared" si="36"/>
        <v>19800</v>
      </c>
      <c r="J482" s="2" t="s">
        <v>27</v>
      </c>
      <c r="K482" s="5">
        <v>46290.583333333343</v>
      </c>
      <c r="L482">
        <v>2</v>
      </c>
      <c r="M482" s="3">
        <f t="shared" si="37"/>
        <v>9900</v>
      </c>
      <c r="N482" t="str">
        <f t="shared" si="38"/>
        <v>ставка</v>
      </c>
      <c r="O482" s="3">
        <f t="shared" si="39"/>
        <v>388.24</v>
      </c>
      <c r="P482" s="5">
        <v>46292.5</v>
      </c>
      <c r="Q482" t="s">
        <v>168</v>
      </c>
      <c r="R482" s="2" t="s">
        <v>33</v>
      </c>
      <c r="S482">
        <v>45</v>
      </c>
      <c r="T482">
        <v>1</v>
      </c>
    </row>
    <row r="483" spans="1:20" ht="30" x14ac:dyDescent="0.25">
      <c r="A483" t="s">
        <v>997</v>
      </c>
      <c r="B483">
        <v>1</v>
      </c>
      <c r="C483" s="2" t="s">
        <v>998</v>
      </c>
      <c r="D483" s="3">
        <v>31481.5</v>
      </c>
      <c r="E483" s="4">
        <v>4</v>
      </c>
      <c r="F483" t="s">
        <v>55</v>
      </c>
      <c r="G483" s="3">
        <f t="shared" si="35"/>
        <v>32793.230000000003</v>
      </c>
      <c r="H483" s="3">
        <v>0</v>
      </c>
      <c r="I483" s="3">
        <f t="shared" si="36"/>
        <v>32793.230000000003</v>
      </c>
      <c r="J483" s="2" t="s">
        <v>27</v>
      </c>
      <c r="K483" s="5">
        <v>46252.583333333343</v>
      </c>
      <c r="L483">
        <v>4</v>
      </c>
      <c r="M483" s="3">
        <f t="shared" si="37"/>
        <v>8198.3075000000008</v>
      </c>
      <c r="N483" t="str">
        <f t="shared" si="38"/>
        <v>ставка</v>
      </c>
      <c r="O483" s="3">
        <f t="shared" si="39"/>
        <v>643</v>
      </c>
      <c r="P483" s="5">
        <v>46256.5</v>
      </c>
      <c r="Q483" t="s">
        <v>55</v>
      </c>
      <c r="R483" s="2" t="s">
        <v>33</v>
      </c>
      <c r="S483">
        <v>47</v>
      </c>
      <c r="T483">
        <v>1</v>
      </c>
    </row>
    <row r="484" spans="1:20" ht="30" x14ac:dyDescent="0.25">
      <c r="A484" t="s">
        <v>999</v>
      </c>
      <c r="B484">
        <v>1</v>
      </c>
      <c r="C484" s="2" t="s">
        <v>1000</v>
      </c>
      <c r="D484" s="3">
        <v>53400</v>
      </c>
      <c r="E484" s="4">
        <v>18</v>
      </c>
      <c r="F484" t="s">
        <v>32</v>
      </c>
      <c r="G484" s="3">
        <f t="shared" si="35"/>
        <v>65121.95</v>
      </c>
      <c r="H484" s="3">
        <v>0</v>
      </c>
      <c r="I484" s="3">
        <f t="shared" si="36"/>
        <v>65121.95</v>
      </c>
      <c r="J484" s="2" t="s">
        <v>27</v>
      </c>
      <c r="K484" s="5">
        <v>46251.583333333343</v>
      </c>
      <c r="L484">
        <v>5</v>
      </c>
      <c r="M484" s="3">
        <f t="shared" si="37"/>
        <v>13024.39</v>
      </c>
      <c r="N484" t="str">
        <f t="shared" si="38"/>
        <v>ставка</v>
      </c>
      <c r="O484" s="3">
        <f t="shared" si="39"/>
        <v>1276.9000000000001</v>
      </c>
      <c r="P484" s="5">
        <v>46256.5</v>
      </c>
      <c r="Q484" t="s">
        <v>32</v>
      </c>
      <c r="R484" s="2" t="s">
        <v>40</v>
      </c>
      <c r="S484">
        <v>36</v>
      </c>
      <c r="T484">
        <v>1</v>
      </c>
    </row>
    <row r="485" spans="1:20" ht="30" x14ac:dyDescent="0.25">
      <c r="A485" t="s">
        <v>1001</v>
      </c>
      <c r="B485">
        <v>1</v>
      </c>
      <c r="C485" s="2" t="s">
        <v>1002</v>
      </c>
      <c r="D485" s="3">
        <v>29700</v>
      </c>
      <c r="E485" s="4">
        <v>0</v>
      </c>
      <c r="F485" t="s">
        <v>23</v>
      </c>
      <c r="G485" s="3">
        <f t="shared" si="35"/>
        <v>29700</v>
      </c>
      <c r="H485" s="3">
        <v>0</v>
      </c>
      <c r="I485" s="3">
        <f t="shared" si="36"/>
        <v>29700</v>
      </c>
      <c r="J485" s="2" t="s">
        <v>27</v>
      </c>
      <c r="K485" s="5">
        <v>46275.583333333343</v>
      </c>
      <c r="L485">
        <v>2</v>
      </c>
      <c r="M485" s="3">
        <f t="shared" si="37"/>
        <v>14850</v>
      </c>
      <c r="N485" t="str">
        <f t="shared" si="38"/>
        <v>ставка</v>
      </c>
      <c r="O485" s="3">
        <f t="shared" si="39"/>
        <v>582.35</v>
      </c>
      <c r="P485" s="5">
        <v>46277.5</v>
      </c>
      <c r="Q485" t="s">
        <v>23</v>
      </c>
      <c r="R485" s="2" t="s">
        <v>49</v>
      </c>
      <c r="S485">
        <v>35</v>
      </c>
      <c r="T485">
        <v>1</v>
      </c>
    </row>
    <row r="486" spans="1:20" ht="30" x14ac:dyDescent="0.25">
      <c r="A486" t="s">
        <v>1003</v>
      </c>
      <c r="B486">
        <v>1</v>
      </c>
      <c r="C486" s="2" t="s">
        <v>1004</v>
      </c>
      <c r="D486" s="3">
        <v>56750</v>
      </c>
      <c r="E486" s="4">
        <v>0</v>
      </c>
      <c r="F486" t="s">
        <v>23</v>
      </c>
      <c r="G486" s="3">
        <f t="shared" si="35"/>
        <v>56750</v>
      </c>
      <c r="H486" s="3">
        <v>5675</v>
      </c>
      <c r="I486" s="3">
        <f t="shared" si="36"/>
        <v>62425</v>
      </c>
      <c r="J486" s="2" t="s">
        <v>341</v>
      </c>
      <c r="K486" s="5">
        <v>46278.583333333343</v>
      </c>
      <c r="L486">
        <v>5</v>
      </c>
      <c r="M486" s="3">
        <f t="shared" si="37"/>
        <v>12485</v>
      </c>
      <c r="N486" t="str">
        <f t="shared" si="38"/>
        <v>ставка</v>
      </c>
      <c r="O486" s="3">
        <f t="shared" si="39"/>
        <v>1224.02</v>
      </c>
      <c r="P486" s="5">
        <v>46283.75</v>
      </c>
      <c r="Q486" t="s">
        <v>23</v>
      </c>
      <c r="R486" s="2" t="s">
        <v>40</v>
      </c>
      <c r="S486">
        <v>36</v>
      </c>
      <c r="T486">
        <v>1</v>
      </c>
    </row>
    <row r="487" spans="1:20" ht="30" x14ac:dyDescent="0.25">
      <c r="A487" t="s">
        <v>1005</v>
      </c>
      <c r="B487">
        <v>1</v>
      </c>
      <c r="C487" s="2" t="s">
        <v>1006</v>
      </c>
      <c r="D487" s="3">
        <v>6557</v>
      </c>
      <c r="E487" s="4">
        <v>0</v>
      </c>
      <c r="F487" t="s">
        <v>23</v>
      </c>
      <c r="G487" s="3">
        <f t="shared" si="35"/>
        <v>6557</v>
      </c>
      <c r="H487" s="3">
        <v>0</v>
      </c>
      <c r="I487" s="3">
        <f t="shared" si="36"/>
        <v>6557</v>
      </c>
      <c r="J487" s="2" t="s">
        <v>27</v>
      </c>
      <c r="K487" s="5">
        <v>46286.583333333343</v>
      </c>
      <c r="L487">
        <v>1</v>
      </c>
      <c r="M487" s="3">
        <f t="shared" si="37"/>
        <v>6557</v>
      </c>
      <c r="N487" t="str">
        <f t="shared" si="38"/>
        <v>ставка</v>
      </c>
      <c r="O487" s="3">
        <f t="shared" si="39"/>
        <v>128.57</v>
      </c>
      <c r="P487" s="5">
        <v>46287.5</v>
      </c>
      <c r="Q487" t="s">
        <v>23</v>
      </c>
      <c r="R487" s="2" t="s">
        <v>33</v>
      </c>
      <c r="S487">
        <v>43</v>
      </c>
      <c r="T487">
        <v>1</v>
      </c>
    </row>
    <row r="488" spans="1:20" ht="30" x14ac:dyDescent="0.25">
      <c r="A488" t="s">
        <v>1007</v>
      </c>
      <c r="B488">
        <v>1</v>
      </c>
      <c r="C488" s="2" t="s">
        <v>1008</v>
      </c>
      <c r="D488" s="3">
        <v>10680</v>
      </c>
      <c r="E488" s="4">
        <v>18</v>
      </c>
      <c r="F488" t="s">
        <v>32</v>
      </c>
      <c r="G488" s="3">
        <f t="shared" si="35"/>
        <v>13024.39</v>
      </c>
      <c r="H488" s="3">
        <v>0</v>
      </c>
      <c r="I488" s="3">
        <f t="shared" si="36"/>
        <v>13024.39</v>
      </c>
      <c r="J488" s="2" t="s">
        <v>27</v>
      </c>
      <c r="K488" s="5">
        <v>46230.583333333343</v>
      </c>
      <c r="L488">
        <v>1</v>
      </c>
      <c r="M488" s="3">
        <f t="shared" si="37"/>
        <v>13024.39</v>
      </c>
      <c r="N488" t="str">
        <f t="shared" si="38"/>
        <v>ставка</v>
      </c>
      <c r="O488" s="3">
        <f t="shared" si="39"/>
        <v>255.38</v>
      </c>
      <c r="P488" s="5">
        <v>46231.5</v>
      </c>
      <c r="Q488" t="s">
        <v>32</v>
      </c>
      <c r="R488" s="2" t="s">
        <v>40</v>
      </c>
      <c r="S488">
        <v>23</v>
      </c>
      <c r="T488">
        <v>1</v>
      </c>
    </row>
    <row r="489" spans="1:20" ht="30" x14ac:dyDescent="0.25">
      <c r="A489" t="s">
        <v>1009</v>
      </c>
      <c r="B489">
        <v>1</v>
      </c>
      <c r="C489" s="2" t="s">
        <v>1010</v>
      </c>
      <c r="D489" s="3">
        <v>45390</v>
      </c>
      <c r="E489" s="4">
        <v>0</v>
      </c>
      <c r="F489" t="s">
        <v>245</v>
      </c>
      <c r="G489" s="3">
        <f t="shared" si="35"/>
        <v>45390</v>
      </c>
      <c r="H489" s="3">
        <v>0</v>
      </c>
      <c r="I489" s="3">
        <f t="shared" si="36"/>
        <v>45390</v>
      </c>
      <c r="J489" s="2" t="s">
        <v>27</v>
      </c>
      <c r="K489" s="5">
        <v>46233.583333333343</v>
      </c>
      <c r="L489">
        <v>4</v>
      </c>
      <c r="M489" s="3">
        <f t="shared" si="37"/>
        <v>11347.5</v>
      </c>
      <c r="N489" t="str">
        <f t="shared" si="38"/>
        <v>ставка</v>
      </c>
      <c r="O489" s="3">
        <f t="shared" si="39"/>
        <v>890</v>
      </c>
      <c r="P489" s="5">
        <v>46237.5</v>
      </c>
      <c r="Q489" t="s">
        <v>245</v>
      </c>
      <c r="R489" s="2" t="s">
        <v>40</v>
      </c>
      <c r="S489">
        <v>22</v>
      </c>
      <c r="T489">
        <v>1</v>
      </c>
    </row>
    <row r="490" spans="1:20" ht="30" x14ac:dyDescent="0.25">
      <c r="A490" t="s">
        <v>1011</v>
      </c>
      <c r="B490">
        <v>1</v>
      </c>
      <c r="C490" s="2" t="s">
        <v>1012</v>
      </c>
      <c r="D490" s="3">
        <v>26286.15</v>
      </c>
      <c r="E490" s="4">
        <v>4</v>
      </c>
      <c r="F490" t="s">
        <v>55</v>
      </c>
      <c r="G490" s="3">
        <f t="shared" si="35"/>
        <v>27381.41</v>
      </c>
      <c r="H490" s="3">
        <v>0</v>
      </c>
      <c r="I490" s="3">
        <f t="shared" si="36"/>
        <v>27381.41</v>
      </c>
      <c r="J490" s="2" t="s">
        <v>27</v>
      </c>
      <c r="K490" s="5">
        <v>46262.583333333343</v>
      </c>
      <c r="L490">
        <v>2</v>
      </c>
      <c r="M490" s="3">
        <f t="shared" si="37"/>
        <v>13690.705</v>
      </c>
      <c r="N490" t="str">
        <f t="shared" si="38"/>
        <v>ставка</v>
      </c>
      <c r="O490" s="3">
        <f t="shared" si="39"/>
        <v>536.89</v>
      </c>
      <c r="P490" s="5">
        <v>46264.5</v>
      </c>
      <c r="Q490" t="s">
        <v>55</v>
      </c>
      <c r="R490" s="2" t="s">
        <v>40</v>
      </c>
      <c r="S490">
        <v>26</v>
      </c>
      <c r="T490">
        <v>1</v>
      </c>
    </row>
    <row r="491" spans="1:20" ht="30" x14ac:dyDescent="0.25">
      <c r="A491" t="s">
        <v>1013</v>
      </c>
      <c r="B491">
        <v>1</v>
      </c>
      <c r="C491" s="2" t="s">
        <v>1014</v>
      </c>
      <c r="D491" s="3">
        <v>63910</v>
      </c>
      <c r="E491" s="4">
        <v>17</v>
      </c>
      <c r="F491" t="s">
        <v>130</v>
      </c>
      <c r="G491" s="3">
        <f t="shared" si="35"/>
        <v>77000</v>
      </c>
      <c r="H491" s="3">
        <v>0</v>
      </c>
      <c r="I491" s="3">
        <f t="shared" si="36"/>
        <v>77000</v>
      </c>
      <c r="J491" s="2" t="s">
        <v>27</v>
      </c>
      <c r="K491" s="5">
        <v>46278.583333333343</v>
      </c>
      <c r="L491">
        <v>5</v>
      </c>
      <c r="M491" s="3">
        <f t="shared" si="37"/>
        <v>15400</v>
      </c>
      <c r="N491" t="str">
        <f t="shared" si="38"/>
        <v>ставка</v>
      </c>
      <c r="O491" s="3">
        <f t="shared" si="39"/>
        <v>1509.8</v>
      </c>
      <c r="P491" s="5">
        <v>46283.5</v>
      </c>
      <c r="Q491" t="s">
        <v>130</v>
      </c>
      <c r="R491" s="2" t="s">
        <v>24</v>
      </c>
      <c r="S491">
        <v>21</v>
      </c>
      <c r="T491">
        <v>1</v>
      </c>
    </row>
    <row r="492" spans="1:20" ht="30" x14ac:dyDescent="0.25">
      <c r="A492" t="s">
        <v>1015</v>
      </c>
      <c r="B492">
        <v>1</v>
      </c>
      <c r="C492" s="2" t="s">
        <v>1016</v>
      </c>
      <c r="D492" s="3">
        <v>12936</v>
      </c>
      <c r="E492" s="4">
        <v>0</v>
      </c>
      <c r="F492" t="s">
        <v>23</v>
      </c>
      <c r="G492" s="3">
        <f t="shared" si="35"/>
        <v>12936</v>
      </c>
      <c r="H492" s="3">
        <v>0</v>
      </c>
      <c r="I492" s="3">
        <f t="shared" si="36"/>
        <v>12936</v>
      </c>
      <c r="J492" s="2" t="s">
        <v>27</v>
      </c>
      <c r="K492" s="5">
        <v>46268.583333333343</v>
      </c>
      <c r="L492">
        <v>1</v>
      </c>
      <c r="M492" s="3">
        <f t="shared" si="37"/>
        <v>12936</v>
      </c>
      <c r="N492" t="str">
        <f t="shared" si="38"/>
        <v>ставка</v>
      </c>
      <c r="O492" s="3">
        <f t="shared" si="39"/>
        <v>253.65</v>
      </c>
      <c r="P492" s="5">
        <v>46269.5</v>
      </c>
      <c r="Q492" t="s">
        <v>23</v>
      </c>
      <c r="R492" s="2" t="s">
        <v>24</v>
      </c>
      <c r="S492">
        <v>31</v>
      </c>
      <c r="T492">
        <v>1</v>
      </c>
    </row>
    <row r="493" spans="1:20" ht="30" x14ac:dyDescent="0.25">
      <c r="A493" t="s">
        <v>1017</v>
      </c>
      <c r="B493">
        <v>1</v>
      </c>
      <c r="C493" s="2" t="s">
        <v>1018</v>
      </c>
      <c r="D493" s="3">
        <v>13350</v>
      </c>
      <c r="E493" s="4">
        <v>0</v>
      </c>
      <c r="F493" t="s">
        <v>23</v>
      </c>
      <c r="G493" s="3">
        <f t="shared" si="35"/>
        <v>13350</v>
      </c>
      <c r="H493" s="3">
        <v>0</v>
      </c>
      <c r="I493" s="3">
        <f t="shared" si="36"/>
        <v>13350</v>
      </c>
      <c r="J493" s="2" t="s">
        <v>27</v>
      </c>
      <c r="K493" s="5">
        <v>46227.583333333343</v>
      </c>
      <c r="L493">
        <v>1</v>
      </c>
      <c r="M493" s="3">
        <f t="shared" si="37"/>
        <v>13350</v>
      </c>
      <c r="N493" t="str">
        <f t="shared" si="38"/>
        <v>ставка</v>
      </c>
      <c r="O493" s="3">
        <f t="shared" si="39"/>
        <v>261.76</v>
      </c>
      <c r="P493" s="5">
        <v>46228.5</v>
      </c>
      <c r="Q493" t="s">
        <v>23</v>
      </c>
      <c r="R493" s="2" t="s">
        <v>40</v>
      </c>
      <c r="S493">
        <v>32</v>
      </c>
      <c r="T493">
        <v>1</v>
      </c>
    </row>
    <row r="494" spans="1:20" ht="30" x14ac:dyDescent="0.25">
      <c r="A494" t="s">
        <v>1019</v>
      </c>
      <c r="B494">
        <v>1</v>
      </c>
      <c r="C494" s="2" t="s">
        <v>1020</v>
      </c>
      <c r="D494" s="3">
        <v>40050</v>
      </c>
      <c r="E494" s="4">
        <v>0</v>
      </c>
      <c r="F494" t="s">
        <v>23</v>
      </c>
      <c r="G494" s="3">
        <f t="shared" si="35"/>
        <v>40050</v>
      </c>
      <c r="H494" s="3">
        <v>0</v>
      </c>
      <c r="I494" s="3">
        <f t="shared" si="36"/>
        <v>40050</v>
      </c>
      <c r="J494" s="2" t="s">
        <v>27</v>
      </c>
      <c r="K494" s="5">
        <v>46259.583333333343</v>
      </c>
      <c r="L494">
        <v>3</v>
      </c>
      <c r="M494" s="3">
        <f t="shared" si="37"/>
        <v>13350</v>
      </c>
      <c r="N494" t="str">
        <f t="shared" si="38"/>
        <v>ставка</v>
      </c>
      <c r="O494" s="3">
        <f t="shared" si="39"/>
        <v>785.29</v>
      </c>
      <c r="P494" s="5">
        <v>46262.5</v>
      </c>
      <c r="Q494" t="s">
        <v>23</v>
      </c>
      <c r="R494" s="2" t="s">
        <v>40</v>
      </c>
      <c r="S494">
        <v>22</v>
      </c>
      <c r="T494">
        <v>1</v>
      </c>
    </row>
    <row r="495" spans="1:20" ht="30" x14ac:dyDescent="0.25">
      <c r="A495" t="s">
        <v>1021</v>
      </c>
      <c r="B495">
        <v>1</v>
      </c>
      <c r="C495" s="2" t="s">
        <v>1022</v>
      </c>
      <c r="D495" s="3">
        <v>15400</v>
      </c>
      <c r="E495" s="4">
        <v>0</v>
      </c>
      <c r="F495" t="s">
        <v>23</v>
      </c>
      <c r="G495" s="3">
        <f t="shared" si="35"/>
        <v>15400</v>
      </c>
      <c r="H495" s="3">
        <v>0</v>
      </c>
      <c r="I495" s="3">
        <f t="shared" si="36"/>
        <v>15400</v>
      </c>
      <c r="J495" s="2" t="s">
        <v>27</v>
      </c>
      <c r="K495" s="5">
        <v>46239.583333333343</v>
      </c>
      <c r="L495">
        <v>2</v>
      </c>
      <c r="M495" s="3">
        <f t="shared" si="37"/>
        <v>7700</v>
      </c>
      <c r="N495" t="str">
        <f t="shared" si="38"/>
        <v>ставка</v>
      </c>
      <c r="O495" s="3">
        <f t="shared" si="39"/>
        <v>301.95999999999998</v>
      </c>
      <c r="P495" s="5">
        <v>46241.5</v>
      </c>
      <c r="Q495" t="s">
        <v>23</v>
      </c>
      <c r="R495" s="2" t="s">
        <v>58</v>
      </c>
      <c r="S495">
        <v>34</v>
      </c>
      <c r="T495">
        <v>1</v>
      </c>
    </row>
    <row r="496" spans="1:20" ht="30" x14ac:dyDescent="0.25">
      <c r="A496" t="s">
        <v>405</v>
      </c>
      <c r="B496">
        <v>1</v>
      </c>
      <c r="C496" s="2" t="s">
        <v>1023</v>
      </c>
      <c r="D496" s="3">
        <v>45229.75</v>
      </c>
      <c r="E496" s="4">
        <v>4</v>
      </c>
      <c r="F496" t="s">
        <v>55</v>
      </c>
      <c r="G496" s="3">
        <f t="shared" si="35"/>
        <v>47114.32</v>
      </c>
      <c r="H496" s="3">
        <v>0</v>
      </c>
      <c r="I496" s="3">
        <f t="shared" si="36"/>
        <v>47114.32</v>
      </c>
      <c r="J496" s="2" t="s">
        <v>27</v>
      </c>
      <c r="K496" s="5">
        <v>46251.583333333343</v>
      </c>
      <c r="L496">
        <v>4</v>
      </c>
      <c r="M496" s="3">
        <f t="shared" si="37"/>
        <v>11778.58</v>
      </c>
      <c r="N496" t="str">
        <f t="shared" si="38"/>
        <v>ставка</v>
      </c>
      <c r="O496" s="3">
        <f t="shared" si="39"/>
        <v>923.81</v>
      </c>
      <c r="P496" s="5">
        <v>46255.5</v>
      </c>
      <c r="Q496" t="s">
        <v>55</v>
      </c>
      <c r="R496" s="2" t="s">
        <v>40</v>
      </c>
      <c r="S496" s="6"/>
    </row>
    <row r="497" spans="1:20" ht="30" x14ac:dyDescent="0.25">
      <c r="A497" t="s">
        <v>1024</v>
      </c>
      <c r="B497">
        <v>1</v>
      </c>
      <c r="C497" s="2" t="s">
        <v>1025</v>
      </c>
      <c r="D497" s="3">
        <v>5852</v>
      </c>
      <c r="E497" s="4">
        <v>18</v>
      </c>
      <c r="F497" t="s">
        <v>32</v>
      </c>
      <c r="G497" s="3">
        <f t="shared" si="35"/>
        <v>7136.59</v>
      </c>
      <c r="H497" s="3">
        <v>0</v>
      </c>
      <c r="I497" s="3">
        <f t="shared" si="36"/>
        <v>7136.59</v>
      </c>
      <c r="J497" s="2" t="s">
        <v>27</v>
      </c>
      <c r="K497" s="5">
        <v>46267.583333333343</v>
      </c>
      <c r="L497">
        <v>1</v>
      </c>
      <c r="M497" s="3">
        <f t="shared" si="37"/>
        <v>7136.59</v>
      </c>
      <c r="N497" t="str">
        <f t="shared" si="38"/>
        <v>ставка</v>
      </c>
      <c r="O497" s="3">
        <f t="shared" si="39"/>
        <v>139.93</v>
      </c>
      <c r="P497" s="5">
        <v>46268.5</v>
      </c>
      <c r="Q497" t="s">
        <v>32</v>
      </c>
      <c r="R497" s="2" t="s">
        <v>58</v>
      </c>
      <c r="S497">
        <v>24</v>
      </c>
      <c r="T497">
        <v>1</v>
      </c>
    </row>
    <row r="498" spans="1:20" ht="30" x14ac:dyDescent="0.25">
      <c r="A498" t="s">
        <v>1026</v>
      </c>
      <c r="B498">
        <v>1</v>
      </c>
      <c r="C498" s="2" t="s">
        <v>1025</v>
      </c>
      <c r="D498" s="3">
        <v>5852</v>
      </c>
      <c r="E498" s="4">
        <v>18</v>
      </c>
      <c r="F498" t="s">
        <v>32</v>
      </c>
      <c r="G498" s="3">
        <f t="shared" si="35"/>
        <v>7136.59</v>
      </c>
      <c r="H498" s="3">
        <v>0</v>
      </c>
      <c r="I498" s="3">
        <f t="shared" si="36"/>
        <v>7136.59</v>
      </c>
      <c r="J498" s="2" t="s">
        <v>27</v>
      </c>
      <c r="K498" s="5">
        <v>46239.583333333343</v>
      </c>
      <c r="L498">
        <v>1</v>
      </c>
      <c r="M498" s="3">
        <f t="shared" si="37"/>
        <v>7136.59</v>
      </c>
      <c r="N498" t="str">
        <f t="shared" si="38"/>
        <v>ставка</v>
      </c>
      <c r="O498" s="3">
        <f t="shared" si="39"/>
        <v>139.93</v>
      </c>
      <c r="P498" s="5">
        <v>46240.5</v>
      </c>
      <c r="Q498" t="s">
        <v>32</v>
      </c>
      <c r="R498" s="2" t="s">
        <v>58</v>
      </c>
      <c r="S498">
        <v>24</v>
      </c>
      <c r="T498">
        <v>1</v>
      </c>
    </row>
    <row r="499" spans="1:20" x14ac:dyDescent="0.25">
      <c r="A499" t="s">
        <v>576</v>
      </c>
      <c r="B499">
        <v>1</v>
      </c>
      <c r="C499" s="2" t="s">
        <v>1027</v>
      </c>
      <c r="D499" s="3">
        <v>17248.2</v>
      </c>
      <c r="E499" s="4">
        <v>4</v>
      </c>
      <c r="F499" t="s">
        <v>55</v>
      </c>
      <c r="G499" s="3">
        <f t="shared" si="35"/>
        <v>17966.88</v>
      </c>
      <c r="H499" s="3">
        <v>0</v>
      </c>
      <c r="I499" s="3">
        <f t="shared" si="36"/>
        <v>17966.88</v>
      </c>
      <c r="J499" s="2" t="s">
        <v>27</v>
      </c>
      <c r="K499" s="5">
        <v>46258.583333333343</v>
      </c>
      <c r="L499">
        <v>1</v>
      </c>
      <c r="M499" s="3">
        <f t="shared" si="37"/>
        <v>17966.88</v>
      </c>
      <c r="N499" t="str">
        <f t="shared" si="38"/>
        <v>ставка</v>
      </c>
      <c r="O499" s="3">
        <f t="shared" si="39"/>
        <v>352.29</v>
      </c>
      <c r="P499" s="5">
        <v>46259.5</v>
      </c>
      <c r="Q499" t="s">
        <v>55</v>
      </c>
      <c r="R499" s="2" t="s">
        <v>45</v>
      </c>
      <c r="S499" s="6"/>
    </row>
    <row r="500" spans="1:20" ht="30" x14ac:dyDescent="0.25">
      <c r="A500" t="s">
        <v>1028</v>
      </c>
      <c r="B500">
        <v>1</v>
      </c>
      <c r="C500" s="2" t="s">
        <v>1029</v>
      </c>
      <c r="D500" s="3">
        <v>52360</v>
      </c>
      <c r="E500" s="4">
        <v>15</v>
      </c>
      <c r="F500" t="s">
        <v>36</v>
      </c>
      <c r="G500" s="3">
        <f t="shared" si="35"/>
        <v>61600</v>
      </c>
      <c r="H500" s="3">
        <v>0</v>
      </c>
      <c r="I500" s="3">
        <f t="shared" si="36"/>
        <v>61600</v>
      </c>
      <c r="J500" s="2" t="s">
        <v>27</v>
      </c>
      <c r="K500" s="5">
        <v>46223.583333333343</v>
      </c>
      <c r="L500">
        <v>4</v>
      </c>
      <c r="M500" s="3">
        <f t="shared" si="37"/>
        <v>15400</v>
      </c>
      <c r="N500" t="str">
        <f t="shared" si="38"/>
        <v>ставка</v>
      </c>
      <c r="O500" s="3">
        <f t="shared" si="39"/>
        <v>1207.8399999999999</v>
      </c>
      <c r="P500" s="5">
        <v>46227.5</v>
      </c>
      <c r="Q500" t="s">
        <v>36</v>
      </c>
      <c r="R500" s="2" t="s">
        <v>24</v>
      </c>
      <c r="S500">
        <v>56</v>
      </c>
      <c r="T500">
        <v>2</v>
      </c>
    </row>
    <row r="501" spans="1:20" ht="30" x14ac:dyDescent="0.25">
      <c r="A501" t="s">
        <v>1030</v>
      </c>
      <c r="B501">
        <v>1</v>
      </c>
      <c r="C501" s="2" t="s">
        <v>1031</v>
      </c>
      <c r="D501" s="3">
        <v>13350</v>
      </c>
      <c r="E501" s="4">
        <v>0</v>
      </c>
      <c r="F501" t="s">
        <v>23</v>
      </c>
      <c r="G501" s="3">
        <f t="shared" si="35"/>
        <v>13350</v>
      </c>
      <c r="H501" s="3">
        <v>0</v>
      </c>
      <c r="I501" s="3">
        <f t="shared" si="36"/>
        <v>13350</v>
      </c>
      <c r="J501" s="2" t="s">
        <v>27</v>
      </c>
      <c r="K501" s="5">
        <v>46266.583333333343</v>
      </c>
      <c r="L501">
        <v>1</v>
      </c>
      <c r="M501" s="3">
        <f t="shared" si="37"/>
        <v>13350</v>
      </c>
      <c r="N501" t="str">
        <f t="shared" si="38"/>
        <v>ставка</v>
      </c>
      <c r="O501" s="3">
        <f t="shared" si="39"/>
        <v>261.76</v>
      </c>
      <c r="P501" s="5">
        <v>46267.5</v>
      </c>
      <c r="Q501" t="s">
        <v>23</v>
      </c>
      <c r="R501" s="2" t="s">
        <v>40</v>
      </c>
      <c r="S501">
        <v>55</v>
      </c>
      <c r="T501">
        <v>2</v>
      </c>
    </row>
    <row r="502" spans="1:20" ht="30" x14ac:dyDescent="0.25">
      <c r="A502" t="s">
        <v>1032</v>
      </c>
      <c r="B502">
        <v>1</v>
      </c>
      <c r="C502" s="2" t="s">
        <v>1033</v>
      </c>
      <c r="D502" s="3">
        <v>15840</v>
      </c>
      <c r="E502" s="4">
        <v>20</v>
      </c>
      <c r="F502" t="s">
        <v>48</v>
      </c>
      <c r="G502" s="3">
        <f t="shared" si="35"/>
        <v>19800</v>
      </c>
      <c r="H502" s="3">
        <v>1260</v>
      </c>
      <c r="I502" s="3">
        <f t="shared" si="36"/>
        <v>21060</v>
      </c>
      <c r="J502" s="2" t="s">
        <v>1034</v>
      </c>
      <c r="K502" s="5">
        <v>46264.583333333343</v>
      </c>
      <c r="L502">
        <v>2</v>
      </c>
      <c r="M502" s="3">
        <f t="shared" si="37"/>
        <v>10530</v>
      </c>
      <c r="N502" t="str">
        <f t="shared" si="38"/>
        <v>ставка</v>
      </c>
      <c r="O502" s="3">
        <f t="shared" si="39"/>
        <v>412.94</v>
      </c>
      <c r="P502" s="5">
        <v>46266.5</v>
      </c>
      <c r="Q502" t="s">
        <v>48</v>
      </c>
      <c r="R502" s="2" t="s">
        <v>40</v>
      </c>
      <c r="S502">
        <v>55</v>
      </c>
      <c r="T502">
        <v>2</v>
      </c>
    </row>
    <row r="503" spans="1:20" ht="30" x14ac:dyDescent="0.25">
      <c r="A503" t="s">
        <v>1035</v>
      </c>
      <c r="B503">
        <v>1</v>
      </c>
      <c r="C503" s="2" t="s">
        <v>1036</v>
      </c>
      <c r="D503" s="3">
        <v>15284.5</v>
      </c>
      <c r="E503" s="4">
        <v>4</v>
      </c>
      <c r="F503" t="s">
        <v>55</v>
      </c>
      <c r="G503" s="3">
        <f t="shared" si="35"/>
        <v>15921.35</v>
      </c>
      <c r="H503" s="3">
        <v>0</v>
      </c>
      <c r="I503" s="3">
        <f t="shared" si="36"/>
        <v>15921.35</v>
      </c>
      <c r="J503" s="2" t="s">
        <v>27</v>
      </c>
      <c r="K503" s="5">
        <v>46268.583333333343</v>
      </c>
      <c r="L503">
        <v>2</v>
      </c>
      <c r="M503" s="3">
        <f t="shared" si="37"/>
        <v>7960.6750000000002</v>
      </c>
      <c r="N503" t="str">
        <f t="shared" si="38"/>
        <v>ставка</v>
      </c>
      <c r="O503" s="3">
        <f t="shared" si="39"/>
        <v>312.18</v>
      </c>
      <c r="P503" s="5">
        <v>46270.5</v>
      </c>
      <c r="Q503" t="s">
        <v>55</v>
      </c>
      <c r="R503" s="2" t="s">
        <v>58</v>
      </c>
      <c r="S503">
        <v>24</v>
      </c>
      <c r="T503">
        <v>1</v>
      </c>
    </row>
    <row r="504" spans="1:20" x14ac:dyDescent="0.25">
      <c r="A504" t="s">
        <v>1037</v>
      </c>
      <c r="B504">
        <v>1</v>
      </c>
      <c r="C504" s="2" t="s">
        <v>1038</v>
      </c>
      <c r="D504" s="3">
        <v>16020</v>
      </c>
      <c r="E504" s="4">
        <v>0</v>
      </c>
      <c r="F504" t="s">
        <v>23</v>
      </c>
      <c r="G504" s="3">
        <f t="shared" si="35"/>
        <v>16020</v>
      </c>
      <c r="H504" s="3">
        <v>0</v>
      </c>
      <c r="I504" s="3">
        <f t="shared" si="36"/>
        <v>16020</v>
      </c>
      <c r="J504" s="2" t="s">
        <v>27</v>
      </c>
      <c r="K504" s="5">
        <v>46241.583333333343</v>
      </c>
      <c r="L504">
        <v>1</v>
      </c>
      <c r="M504" s="3">
        <f t="shared" si="37"/>
        <v>16020</v>
      </c>
      <c r="N504" t="str">
        <f t="shared" si="38"/>
        <v>ставка</v>
      </c>
      <c r="O504" s="3">
        <f t="shared" si="39"/>
        <v>314.12</v>
      </c>
      <c r="P504" s="5">
        <v>46242.5</v>
      </c>
      <c r="Q504" t="s">
        <v>23</v>
      </c>
      <c r="R504" s="2" t="s">
        <v>45</v>
      </c>
      <c r="S504">
        <v>54</v>
      </c>
      <c r="T504">
        <v>2</v>
      </c>
    </row>
    <row r="505" spans="1:20" ht="30" x14ac:dyDescent="0.25">
      <c r="A505" t="s">
        <v>1039</v>
      </c>
      <c r="B505">
        <v>1</v>
      </c>
      <c r="C505" s="2" t="s">
        <v>1038</v>
      </c>
      <c r="D505" s="3">
        <v>13350</v>
      </c>
      <c r="E505" s="4">
        <v>0</v>
      </c>
      <c r="F505" t="s">
        <v>23</v>
      </c>
      <c r="G505" s="3">
        <f t="shared" si="35"/>
        <v>13350</v>
      </c>
      <c r="H505" s="3">
        <v>0</v>
      </c>
      <c r="I505" s="3">
        <f t="shared" si="36"/>
        <v>13350</v>
      </c>
      <c r="J505" s="2" t="s">
        <v>27</v>
      </c>
      <c r="K505" s="5">
        <v>46276.583333333343</v>
      </c>
      <c r="L505">
        <v>1</v>
      </c>
      <c r="M505" s="3">
        <f t="shared" si="37"/>
        <v>13350</v>
      </c>
      <c r="N505" t="str">
        <f t="shared" si="38"/>
        <v>ставка</v>
      </c>
      <c r="O505" s="3">
        <f t="shared" si="39"/>
        <v>261.76</v>
      </c>
      <c r="P505" s="5">
        <v>46277.5</v>
      </c>
      <c r="Q505" t="s">
        <v>23</v>
      </c>
      <c r="R505" s="2" t="s">
        <v>40</v>
      </c>
      <c r="S505">
        <v>46</v>
      </c>
      <c r="T505">
        <v>1</v>
      </c>
    </row>
    <row r="506" spans="1:20" ht="30" x14ac:dyDescent="0.25">
      <c r="A506" t="s">
        <v>1040</v>
      </c>
      <c r="B506">
        <v>1</v>
      </c>
      <c r="C506" s="2" t="s">
        <v>1041</v>
      </c>
      <c r="D506" s="3">
        <v>6320</v>
      </c>
      <c r="E506" s="4">
        <v>18</v>
      </c>
      <c r="F506" t="s">
        <v>32</v>
      </c>
      <c r="G506" s="3">
        <f t="shared" si="35"/>
        <v>7707.32</v>
      </c>
      <c r="H506" s="3">
        <v>0</v>
      </c>
      <c r="I506" s="3">
        <f t="shared" si="36"/>
        <v>7707.32</v>
      </c>
      <c r="J506" s="2" t="s">
        <v>27</v>
      </c>
      <c r="K506" s="5">
        <v>46230.583333333343</v>
      </c>
      <c r="L506">
        <v>1</v>
      </c>
      <c r="M506" s="3">
        <f t="shared" si="37"/>
        <v>7707.32</v>
      </c>
      <c r="N506" t="str">
        <f t="shared" si="38"/>
        <v>ставка</v>
      </c>
      <c r="O506" s="3">
        <f t="shared" si="39"/>
        <v>151.12</v>
      </c>
      <c r="P506" s="5">
        <v>46231.5</v>
      </c>
      <c r="Q506" t="s">
        <v>32</v>
      </c>
      <c r="R506" s="2" t="s">
        <v>33</v>
      </c>
      <c r="S506">
        <v>45</v>
      </c>
      <c r="T506">
        <v>1</v>
      </c>
    </row>
    <row r="507" spans="1:20" ht="30" x14ac:dyDescent="0.25">
      <c r="A507" t="s">
        <v>1042</v>
      </c>
      <c r="B507">
        <v>1</v>
      </c>
      <c r="C507" s="2" t="s">
        <v>1043</v>
      </c>
      <c r="D507" s="3">
        <v>20160</v>
      </c>
      <c r="E507" s="4">
        <v>17</v>
      </c>
      <c r="F507" t="s">
        <v>130</v>
      </c>
      <c r="G507" s="3">
        <f t="shared" si="35"/>
        <v>24289.16</v>
      </c>
      <c r="H507" s="3">
        <v>0</v>
      </c>
      <c r="I507" s="3">
        <f t="shared" si="36"/>
        <v>24289.16</v>
      </c>
      <c r="J507" s="2" t="s">
        <v>27</v>
      </c>
      <c r="K507" s="5">
        <v>46258.583333333343</v>
      </c>
      <c r="L507">
        <v>2</v>
      </c>
      <c r="M507" s="3">
        <f t="shared" si="37"/>
        <v>12144.58</v>
      </c>
      <c r="N507" t="str">
        <f t="shared" si="38"/>
        <v>ставка</v>
      </c>
      <c r="O507" s="3">
        <f t="shared" si="39"/>
        <v>476.26</v>
      </c>
      <c r="P507" s="5">
        <v>46260.5</v>
      </c>
      <c r="Q507" t="s">
        <v>130</v>
      </c>
      <c r="R507" s="2" t="s">
        <v>40</v>
      </c>
      <c r="S507">
        <v>32</v>
      </c>
      <c r="T507">
        <v>1</v>
      </c>
    </row>
    <row r="508" spans="1:20" ht="30" x14ac:dyDescent="0.25">
      <c r="A508" t="s">
        <v>1044</v>
      </c>
      <c r="B508">
        <v>1</v>
      </c>
      <c r="C508" s="2" t="s">
        <v>1045</v>
      </c>
      <c r="D508" s="3">
        <v>11600</v>
      </c>
      <c r="E508" s="4">
        <v>20</v>
      </c>
      <c r="F508" t="s">
        <v>173</v>
      </c>
      <c r="G508" s="3">
        <f t="shared" si="35"/>
        <v>14500</v>
      </c>
      <c r="H508" s="3">
        <v>0</v>
      </c>
      <c r="I508" s="3">
        <f t="shared" si="36"/>
        <v>14500</v>
      </c>
      <c r="J508" s="2"/>
      <c r="K508" s="5">
        <v>46275.583333333343</v>
      </c>
      <c r="L508">
        <v>1</v>
      </c>
      <c r="M508" s="3">
        <f t="shared" si="37"/>
        <v>14500</v>
      </c>
      <c r="N508" t="str">
        <f t="shared" si="38"/>
        <v>ставка</v>
      </c>
      <c r="O508" s="3">
        <f t="shared" si="39"/>
        <v>284.31</v>
      </c>
      <c r="P508" s="5">
        <v>46276.5</v>
      </c>
      <c r="Q508" t="s">
        <v>173</v>
      </c>
      <c r="R508" s="2" t="s">
        <v>45</v>
      </c>
      <c r="S508">
        <v>57</v>
      </c>
      <c r="T508">
        <v>2</v>
      </c>
    </row>
    <row r="509" spans="1:20" x14ac:dyDescent="0.25">
      <c r="A509" t="s">
        <v>1046</v>
      </c>
      <c r="B509">
        <v>1</v>
      </c>
      <c r="C509" s="2" t="s">
        <v>1047</v>
      </c>
      <c r="D509" s="3">
        <v>15988.5</v>
      </c>
      <c r="E509" s="4">
        <v>4</v>
      </c>
      <c r="F509" t="s">
        <v>55</v>
      </c>
      <c r="G509" s="3">
        <f t="shared" si="35"/>
        <v>16654.689999999999</v>
      </c>
      <c r="H509" s="3">
        <v>0</v>
      </c>
      <c r="I509" s="3">
        <f t="shared" si="36"/>
        <v>16654.689999999999</v>
      </c>
      <c r="J509" s="2" t="s">
        <v>27</v>
      </c>
      <c r="K509" s="5">
        <v>46262.583333333343</v>
      </c>
      <c r="L509">
        <v>1</v>
      </c>
      <c r="M509" s="3">
        <f t="shared" si="37"/>
        <v>16654.689999999999</v>
      </c>
      <c r="N509" t="str">
        <f t="shared" si="38"/>
        <v>ставка</v>
      </c>
      <c r="O509" s="3">
        <f t="shared" si="39"/>
        <v>326.56</v>
      </c>
      <c r="P509" s="5">
        <v>46263.5</v>
      </c>
      <c r="Q509" t="s">
        <v>55</v>
      </c>
      <c r="R509" s="2" t="s">
        <v>49</v>
      </c>
      <c r="S509">
        <v>11</v>
      </c>
      <c r="T509">
        <v>1</v>
      </c>
    </row>
    <row r="510" spans="1:20" ht="45" x14ac:dyDescent="0.25">
      <c r="A510" t="s">
        <v>1048</v>
      </c>
      <c r="B510">
        <v>1</v>
      </c>
      <c r="C510" s="2" t="s">
        <v>1049</v>
      </c>
      <c r="D510" s="3">
        <v>26010</v>
      </c>
      <c r="E510" s="4">
        <v>0</v>
      </c>
      <c r="F510" t="s">
        <v>23</v>
      </c>
      <c r="G510" s="3">
        <f t="shared" si="35"/>
        <v>26010</v>
      </c>
      <c r="H510" s="3">
        <v>0</v>
      </c>
      <c r="I510" s="3">
        <f t="shared" si="36"/>
        <v>26010</v>
      </c>
      <c r="J510" s="2" t="s">
        <v>27</v>
      </c>
      <c r="K510" s="5">
        <v>46279.583333333343</v>
      </c>
      <c r="L510">
        <v>2</v>
      </c>
      <c r="M510" s="3">
        <f t="shared" si="37"/>
        <v>13005</v>
      </c>
      <c r="N510" t="str">
        <f t="shared" si="38"/>
        <v>ставка</v>
      </c>
      <c r="O510" s="3">
        <f t="shared" si="39"/>
        <v>510</v>
      </c>
      <c r="P510" s="5">
        <v>46281.5</v>
      </c>
      <c r="Q510" t="s">
        <v>23</v>
      </c>
      <c r="R510" s="2" t="s">
        <v>87</v>
      </c>
      <c r="S510">
        <v>50</v>
      </c>
      <c r="T510">
        <v>2</v>
      </c>
    </row>
    <row r="511" spans="1:20" x14ac:dyDescent="0.25">
      <c r="A511" t="s">
        <v>1050</v>
      </c>
      <c r="B511">
        <v>1</v>
      </c>
      <c r="C511" s="2" t="s">
        <v>1051</v>
      </c>
      <c r="D511" s="3">
        <v>16500</v>
      </c>
      <c r="E511" s="4">
        <v>0</v>
      </c>
      <c r="F511" t="s">
        <v>23</v>
      </c>
      <c r="G511" s="3">
        <f t="shared" si="35"/>
        <v>16500</v>
      </c>
      <c r="H511" s="3">
        <v>0</v>
      </c>
      <c r="I511" s="3">
        <f t="shared" si="36"/>
        <v>16500</v>
      </c>
      <c r="J511" s="2" t="s">
        <v>27</v>
      </c>
      <c r="K511" s="5">
        <v>46249.583333333343</v>
      </c>
      <c r="L511">
        <v>1</v>
      </c>
      <c r="M511" s="3">
        <f t="shared" si="37"/>
        <v>16500</v>
      </c>
      <c r="N511" t="str">
        <f t="shared" si="38"/>
        <v>ставка</v>
      </c>
      <c r="O511" s="3">
        <f t="shared" si="39"/>
        <v>323.52999999999997</v>
      </c>
      <c r="P511" s="5">
        <v>46250.5</v>
      </c>
      <c r="Q511" t="s">
        <v>23</v>
      </c>
      <c r="R511" s="2" t="s">
        <v>49</v>
      </c>
      <c r="S511">
        <v>35</v>
      </c>
      <c r="T511">
        <v>1</v>
      </c>
    </row>
    <row r="512" spans="1:20" ht="30" x14ac:dyDescent="0.25">
      <c r="A512" t="s">
        <v>1052</v>
      </c>
      <c r="B512">
        <v>1</v>
      </c>
      <c r="C512" s="2" t="s">
        <v>1053</v>
      </c>
      <c r="D512" s="3">
        <v>6320</v>
      </c>
      <c r="E512" s="4">
        <v>20</v>
      </c>
      <c r="F512" t="s">
        <v>48</v>
      </c>
      <c r="G512" s="3">
        <f t="shared" si="35"/>
        <v>7900</v>
      </c>
      <c r="H512" s="3">
        <v>6320</v>
      </c>
      <c r="I512" s="3">
        <f t="shared" si="36"/>
        <v>14220</v>
      </c>
      <c r="J512" s="2" t="s">
        <v>1054</v>
      </c>
      <c r="K512" s="5">
        <v>46271.375</v>
      </c>
      <c r="L512">
        <v>1</v>
      </c>
      <c r="M512" s="3">
        <f t="shared" si="37"/>
        <v>14220</v>
      </c>
      <c r="N512" t="str">
        <f t="shared" si="38"/>
        <v>ставка</v>
      </c>
      <c r="O512" s="3">
        <f t="shared" si="39"/>
        <v>278.82</v>
      </c>
      <c r="P512" s="5">
        <v>46272.5</v>
      </c>
      <c r="Q512" t="s">
        <v>48</v>
      </c>
      <c r="R512" s="2" t="s">
        <v>33</v>
      </c>
      <c r="S512">
        <v>43</v>
      </c>
      <c r="T512">
        <v>1</v>
      </c>
    </row>
    <row r="513" spans="1:20" ht="45" x14ac:dyDescent="0.25">
      <c r="A513" t="s">
        <v>1055</v>
      </c>
      <c r="B513">
        <v>1</v>
      </c>
      <c r="C513" s="2" t="s">
        <v>1056</v>
      </c>
      <c r="D513" s="3">
        <v>10458</v>
      </c>
      <c r="E513" s="4">
        <v>16</v>
      </c>
      <c r="F513" t="s">
        <v>36</v>
      </c>
      <c r="G513" s="3">
        <f t="shared" si="35"/>
        <v>12450</v>
      </c>
      <c r="H513" s="3">
        <v>0</v>
      </c>
      <c r="I513" s="3">
        <f t="shared" si="36"/>
        <v>12450</v>
      </c>
      <c r="J513" s="2" t="s">
        <v>27</v>
      </c>
      <c r="K513" s="5">
        <v>46288.583333333343</v>
      </c>
      <c r="L513">
        <v>1</v>
      </c>
      <c r="M513" s="3">
        <f t="shared" si="37"/>
        <v>12450</v>
      </c>
      <c r="N513" t="str">
        <f t="shared" si="38"/>
        <v>ставка</v>
      </c>
      <c r="O513" s="3">
        <f t="shared" si="39"/>
        <v>244.12</v>
      </c>
      <c r="P513" s="5">
        <v>46289.5</v>
      </c>
      <c r="Q513" t="s">
        <v>36</v>
      </c>
      <c r="R513" s="2" t="s">
        <v>87</v>
      </c>
      <c r="S513">
        <v>51</v>
      </c>
      <c r="T513">
        <v>2</v>
      </c>
    </row>
    <row r="514" spans="1:20" ht="30" x14ac:dyDescent="0.25">
      <c r="A514" t="s">
        <v>1057</v>
      </c>
      <c r="B514">
        <v>1</v>
      </c>
      <c r="C514" s="2" t="s">
        <v>1058</v>
      </c>
      <c r="D514" s="3">
        <v>9900</v>
      </c>
      <c r="E514" s="4">
        <v>15</v>
      </c>
      <c r="F514" t="s">
        <v>487</v>
      </c>
      <c r="G514" s="3">
        <f t="shared" ref="G514:G577" si="40">ROUND(D514/(100-E514)*100,2)</f>
        <v>11647.06</v>
      </c>
      <c r="H514" s="3">
        <v>0</v>
      </c>
      <c r="I514" s="3">
        <f t="shared" ref="I514:I577" si="41">ROUND(G514+H514,2)</f>
        <v>11647.06</v>
      </c>
      <c r="J514" s="2" t="s">
        <v>27</v>
      </c>
      <c r="K514" s="5">
        <v>46294.583333333343</v>
      </c>
      <c r="L514">
        <v>1</v>
      </c>
      <c r="M514" s="3">
        <f t="shared" ref="M514:M577" si="42">I514/L514</f>
        <v>11647.06</v>
      </c>
      <c r="N514" t="str">
        <f t="shared" ref="N514:N577" si="43">IF(M514&gt;=5100,"ставка","мин.ставка")</f>
        <v>ставка</v>
      </c>
      <c r="O514" s="3">
        <f t="shared" ref="O514:O577" si="44">ROUND(IF(N514="мин.ставка",L514*100,I514/102*2),2)</f>
        <v>228.37</v>
      </c>
      <c r="P514" s="5">
        <v>46295.5</v>
      </c>
      <c r="Q514" t="s">
        <v>487</v>
      </c>
      <c r="R514" s="2" t="s">
        <v>33</v>
      </c>
      <c r="S514">
        <v>47</v>
      </c>
      <c r="T514">
        <v>1</v>
      </c>
    </row>
    <row r="515" spans="1:20" ht="30" x14ac:dyDescent="0.25">
      <c r="A515" t="s">
        <v>1059</v>
      </c>
      <c r="B515">
        <v>1</v>
      </c>
      <c r="C515" s="2" t="s">
        <v>1060</v>
      </c>
      <c r="D515" s="3">
        <v>18160</v>
      </c>
      <c r="E515" s="4">
        <v>20</v>
      </c>
      <c r="F515" t="s">
        <v>103</v>
      </c>
      <c r="G515" s="3">
        <f t="shared" si="40"/>
        <v>22700</v>
      </c>
      <c r="H515" s="3">
        <v>0</v>
      </c>
      <c r="I515" s="3">
        <f t="shared" si="41"/>
        <v>22700</v>
      </c>
      <c r="J515" s="2" t="s">
        <v>27</v>
      </c>
      <c r="K515" s="5">
        <v>46210.583333333343</v>
      </c>
      <c r="L515">
        <v>2</v>
      </c>
      <c r="M515" s="3">
        <f t="shared" si="42"/>
        <v>11350</v>
      </c>
      <c r="N515" t="str">
        <f t="shared" si="43"/>
        <v>ставка</v>
      </c>
      <c r="O515" s="3">
        <f t="shared" si="44"/>
        <v>445.1</v>
      </c>
      <c r="P515" s="5">
        <v>46212.5</v>
      </c>
      <c r="Q515" t="s">
        <v>103</v>
      </c>
      <c r="R515" s="2" t="s">
        <v>40</v>
      </c>
      <c r="S515">
        <v>32</v>
      </c>
      <c r="T515">
        <v>1</v>
      </c>
    </row>
    <row r="516" spans="1:20" x14ac:dyDescent="0.25">
      <c r="A516" t="s">
        <v>1061</v>
      </c>
      <c r="B516">
        <v>1</v>
      </c>
      <c r="C516" s="2" t="s">
        <v>1062</v>
      </c>
      <c r="D516" s="3">
        <v>14775</v>
      </c>
      <c r="E516" s="4">
        <v>4</v>
      </c>
      <c r="F516" t="s">
        <v>55</v>
      </c>
      <c r="G516" s="3">
        <f t="shared" si="40"/>
        <v>15390.63</v>
      </c>
      <c r="H516" s="3">
        <v>0</v>
      </c>
      <c r="I516" s="3">
        <f t="shared" si="41"/>
        <v>15390.63</v>
      </c>
      <c r="J516" s="2"/>
      <c r="K516" s="5">
        <v>46216.583333333343</v>
      </c>
      <c r="L516">
        <v>1</v>
      </c>
      <c r="M516" s="3">
        <f t="shared" si="42"/>
        <v>15390.63</v>
      </c>
      <c r="N516" t="str">
        <f t="shared" si="43"/>
        <v>ставка</v>
      </c>
      <c r="O516" s="3">
        <f t="shared" si="44"/>
        <v>301.77999999999997</v>
      </c>
      <c r="P516" s="5">
        <v>46217.5</v>
      </c>
      <c r="Q516" t="s">
        <v>55</v>
      </c>
      <c r="R516" s="2" t="s">
        <v>49</v>
      </c>
      <c r="S516">
        <v>25</v>
      </c>
      <c r="T516">
        <v>1</v>
      </c>
    </row>
    <row r="517" spans="1:20" ht="30" x14ac:dyDescent="0.25">
      <c r="A517" t="s">
        <v>1063</v>
      </c>
      <c r="B517">
        <v>1</v>
      </c>
      <c r="C517" s="2" t="s">
        <v>1064</v>
      </c>
      <c r="D517" s="3">
        <v>22991</v>
      </c>
      <c r="E517" s="4">
        <v>17</v>
      </c>
      <c r="F517" t="s">
        <v>173</v>
      </c>
      <c r="G517" s="3">
        <f t="shared" si="40"/>
        <v>27700</v>
      </c>
      <c r="H517" s="3">
        <v>0</v>
      </c>
      <c r="I517" s="3">
        <f t="shared" si="41"/>
        <v>27700</v>
      </c>
      <c r="J517" s="2" t="s">
        <v>27</v>
      </c>
      <c r="K517" s="5">
        <v>46212.583333333343</v>
      </c>
      <c r="L517">
        <v>2</v>
      </c>
      <c r="M517" s="3">
        <f t="shared" si="42"/>
        <v>13850</v>
      </c>
      <c r="N517" t="str">
        <f t="shared" si="43"/>
        <v>ставка</v>
      </c>
      <c r="O517" s="3">
        <f t="shared" si="44"/>
        <v>543.14</v>
      </c>
      <c r="P517" s="5">
        <v>46214.5</v>
      </c>
      <c r="Q517" t="s">
        <v>173</v>
      </c>
      <c r="R517" s="2" t="s">
        <v>49</v>
      </c>
      <c r="S517">
        <v>35</v>
      </c>
      <c r="T517">
        <v>1</v>
      </c>
    </row>
    <row r="518" spans="1:20" ht="30" x14ac:dyDescent="0.25">
      <c r="A518" t="s">
        <v>612</v>
      </c>
      <c r="B518">
        <v>1</v>
      </c>
      <c r="C518" s="2" t="s">
        <v>1065</v>
      </c>
      <c r="D518" s="3">
        <v>60876</v>
      </c>
      <c r="E518" s="4">
        <v>18</v>
      </c>
      <c r="F518" t="s">
        <v>32</v>
      </c>
      <c r="G518" s="3">
        <f t="shared" si="40"/>
        <v>74239.02</v>
      </c>
      <c r="H518" s="3">
        <v>0</v>
      </c>
      <c r="I518" s="3">
        <f t="shared" si="41"/>
        <v>74239.02</v>
      </c>
      <c r="J518" s="2" t="s">
        <v>27</v>
      </c>
      <c r="K518" s="5">
        <v>46256.583333333343</v>
      </c>
      <c r="L518">
        <v>6</v>
      </c>
      <c r="M518" s="3">
        <f t="shared" si="42"/>
        <v>12373.17</v>
      </c>
      <c r="N518" t="str">
        <f t="shared" si="43"/>
        <v>ставка</v>
      </c>
      <c r="O518" s="3">
        <f t="shared" si="44"/>
        <v>1455.67</v>
      </c>
      <c r="P518" s="5">
        <v>46262.5</v>
      </c>
      <c r="Q518" t="s">
        <v>32</v>
      </c>
      <c r="R518" s="2" t="s">
        <v>40</v>
      </c>
      <c r="S518" s="6"/>
    </row>
    <row r="519" spans="1:20" ht="30" x14ac:dyDescent="0.25">
      <c r="A519" t="s">
        <v>1066</v>
      </c>
      <c r="B519">
        <v>1</v>
      </c>
      <c r="C519" s="2" t="s">
        <v>1067</v>
      </c>
      <c r="D519" s="3">
        <v>16252.5</v>
      </c>
      <c r="E519" s="4">
        <v>4</v>
      </c>
      <c r="F519" t="s">
        <v>55</v>
      </c>
      <c r="G519" s="3">
        <f t="shared" si="40"/>
        <v>16929.689999999999</v>
      </c>
      <c r="H519" s="3">
        <v>2064</v>
      </c>
      <c r="I519" s="3">
        <f t="shared" si="41"/>
        <v>18993.689999999999</v>
      </c>
      <c r="J519" s="2" t="s">
        <v>1068</v>
      </c>
      <c r="K519" s="5">
        <v>46289.583333333343</v>
      </c>
      <c r="L519">
        <v>1</v>
      </c>
      <c r="M519" s="3">
        <f t="shared" si="42"/>
        <v>18993.689999999999</v>
      </c>
      <c r="N519" t="str">
        <f t="shared" si="43"/>
        <v>ставка</v>
      </c>
      <c r="O519" s="3">
        <f t="shared" si="44"/>
        <v>372.43</v>
      </c>
      <c r="P519" s="5">
        <v>46290.625</v>
      </c>
      <c r="Q519" t="s">
        <v>55</v>
      </c>
      <c r="R519" s="2" t="s">
        <v>49</v>
      </c>
      <c r="S519">
        <v>25</v>
      </c>
      <c r="T519">
        <v>1</v>
      </c>
    </row>
    <row r="520" spans="1:20" ht="30" x14ac:dyDescent="0.25">
      <c r="A520" t="s">
        <v>1069</v>
      </c>
      <c r="B520">
        <v>1</v>
      </c>
      <c r="C520" s="2" t="s">
        <v>1070</v>
      </c>
      <c r="D520" s="3">
        <v>18960</v>
      </c>
      <c r="E520" s="4">
        <v>20</v>
      </c>
      <c r="F520" t="s">
        <v>48</v>
      </c>
      <c r="G520" s="3">
        <f t="shared" si="40"/>
        <v>23700</v>
      </c>
      <c r="H520" s="3">
        <v>0</v>
      </c>
      <c r="I520" s="3">
        <f t="shared" si="41"/>
        <v>23700</v>
      </c>
      <c r="J520" s="2" t="s">
        <v>27</v>
      </c>
      <c r="K520" s="5">
        <v>46275.583333333343</v>
      </c>
      <c r="L520">
        <v>3</v>
      </c>
      <c r="M520" s="3">
        <f t="shared" si="42"/>
        <v>7900</v>
      </c>
      <c r="N520" t="str">
        <f t="shared" si="43"/>
        <v>ставка</v>
      </c>
      <c r="O520" s="3">
        <f t="shared" si="44"/>
        <v>464.71</v>
      </c>
      <c r="P520" s="5">
        <v>46278.5</v>
      </c>
      <c r="Q520" t="s">
        <v>48</v>
      </c>
      <c r="R520" s="2" t="s">
        <v>33</v>
      </c>
      <c r="S520">
        <v>47</v>
      </c>
      <c r="T520">
        <v>1</v>
      </c>
    </row>
    <row r="521" spans="1:20" ht="30" x14ac:dyDescent="0.25">
      <c r="A521" t="s">
        <v>1071</v>
      </c>
      <c r="B521">
        <v>1</v>
      </c>
      <c r="C521" s="2" t="s">
        <v>1072</v>
      </c>
      <c r="D521" s="3">
        <v>79432.5</v>
      </c>
      <c r="E521" s="4">
        <v>0</v>
      </c>
      <c r="F521" t="s">
        <v>245</v>
      </c>
      <c r="G521" s="3">
        <f t="shared" si="40"/>
        <v>79432.5</v>
      </c>
      <c r="H521" s="3">
        <v>0</v>
      </c>
      <c r="I521" s="3">
        <f t="shared" si="41"/>
        <v>79432.5</v>
      </c>
      <c r="J521" s="2" t="s">
        <v>27</v>
      </c>
      <c r="K521" s="5">
        <v>46232.583333333343</v>
      </c>
      <c r="L521">
        <v>7</v>
      </c>
      <c r="M521" s="3">
        <f t="shared" si="42"/>
        <v>11347.5</v>
      </c>
      <c r="N521" t="str">
        <f t="shared" si="43"/>
        <v>ставка</v>
      </c>
      <c r="O521" s="3">
        <f t="shared" si="44"/>
        <v>1557.5</v>
      </c>
      <c r="P521" s="5">
        <v>46239.5</v>
      </c>
      <c r="Q521" t="s">
        <v>245</v>
      </c>
      <c r="R521" s="2" t="s">
        <v>40</v>
      </c>
      <c r="S521">
        <v>58</v>
      </c>
      <c r="T521">
        <v>2</v>
      </c>
    </row>
    <row r="522" spans="1:20" ht="30" x14ac:dyDescent="0.25">
      <c r="A522" t="s">
        <v>1073</v>
      </c>
      <c r="B522">
        <v>1</v>
      </c>
      <c r="C522" s="2" t="s">
        <v>1074</v>
      </c>
      <c r="D522" s="3">
        <v>16601.25</v>
      </c>
      <c r="E522" s="4">
        <v>18</v>
      </c>
      <c r="F522" t="s">
        <v>32</v>
      </c>
      <c r="G522" s="3">
        <f t="shared" si="40"/>
        <v>20245.43</v>
      </c>
      <c r="H522" s="3">
        <v>0</v>
      </c>
      <c r="I522" s="3">
        <f t="shared" si="41"/>
        <v>20245.43</v>
      </c>
      <c r="J522" s="2" t="s">
        <v>27</v>
      </c>
      <c r="K522" s="5">
        <v>46295.583333333343</v>
      </c>
      <c r="L522">
        <v>3</v>
      </c>
      <c r="M522" s="3">
        <f t="shared" si="42"/>
        <v>6748.4766666666665</v>
      </c>
      <c r="N522" t="str">
        <f t="shared" si="43"/>
        <v>ставка</v>
      </c>
      <c r="O522" s="3">
        <f t="shared" si="44"/>
        <v>396.97</v>
      </c>
      <c r="P522" s="5">
        <v>46298.5</v>
      </c>
      <c r="Q522" t="s">
        <v>32</v>
      </c>
      <c r="R522" s="2" t="s">
        <v>33</v>
      </c>
      <c r="S522">
        <v>41</v>
      </c>
      <c r="T522">
        <v>1</v>
      </c>
    </row>
    <row r="523" spans="1:20" ht="30" x14ac:dyDescent="0.25">
      <c r="A523" t="s">
        <v>1075</v>
      </c>
      <c r="B523">
        <v>1</v>
      </c>
      <c r="C523" s="2" t="s">
        <v>1076</v>
      </c>
      <c r="D523" s="3">
        <v>12936</v>
      </c>
      <c r="E523" s="4">
        <v>16</v>
      </c>
      <c r="F523" t="s">
        <v>36</v>
      </c>
      <c r="G523" s="3">
        <f t="shared" si="40"/>
        <v>15400</v>
      </c>
      <c r="H523" s="3">
        <v>0</v>
      </c>
      <c r="I523" s="3">
        <f t="shared" si="41"/>
        <v>15400</v>
      </c>
      <c r="J523" s="2" t="s">
        <v>27</v>
      </c>
      <c r="K523" s="5">
        <v>46250.583333333343</v>
      </c>
      <c r="L523">
        <v>1</v>
      </c>
      <c r="M523" s="3">
        <f t="shared" si="42"/>
        <v>15400</v>
      </c>
      <c r="N523" t="str">
        <f t="shared" si="43"/>
        <v>ставка</v>
      </c>
      <c r="O523" s="3">
        <f t="shared" si="44"/>
        <v>301.95999999999998</v>
      </c>
      <c r="P523" s="5">
        <v>46251.5</v>
      </c>
      <c r="Q523" t="s">
        <v>36</v>
      </c>
      <c r="R523" s="2" t="s">
        <v>24</v>
      </c>
      <c r="S523">
        <v>31</v>
      </c>
      <c r="T523">
        <v>1</v>
      </c>
    </row>
    <row r="524" spans="1:20" ht="30" x14ac:dyDescent="0.25">
      <c r="A524" t="s">
        <v>1077</v>
      </c>
      <c r="B524">
        <v>1</v>
      </c>
      <c r="C524" s="2" t="s">
        <v>1078</v>
      </c>
      <c r="D524" s="3">
        <v>8512.5</v>
      </c>
      <c r="E524" s="4">
        <v>18</v>
      </c>
      <c r="F524" t="s">
        <v>32</v>
      </c>
      <c r="G524" s="3">
        <f t="shared" si="40"/>
        <v>10381.1</v>
      </c>
      <c r="H524" s="3">
        <v>0</v>
      </c>
      <c r="I524" s="3">
        <f t="shared" si="41"/>
        <v>10381.1</v>
      </c>
      <c r="J524" s="2" t="s">
        <v>27</v>
      </c>
      <c r="K524" s="5">
        <v>46268.583333333343</v>
      </c>
      <c r="L524">
        <v>1</v>
      </c>
      <c r="M524" s="3">
        <f t="shared" si="42"/>
        <v>10381.1</v>
      </c>
      <c r="N524" t="str">
        <f t="shared" si="43"/>
        <v>ставка</v>
      </c>
      <c r="O524" s="3">
        <f t="shared" si="44"/>
        <v>203.55</v>
      </c>
      <c r="P524" s="5">
        <v>46269.5</v>
      </c>
      <c r="Q524" t="s">
        <v>32</v>
      </c>
      <c r="R524" s="2" t="s">
        <v>40</v>
      </c>
      <c r="S524">
        <v>44</v>
      </c>
      <c r="T524">
        <v>1</v>
      </c>
    </row>
    <row r="525" spans="1:20" ht="45" x14ac:dyDescent="0.25">
      <c r="A525" t="s">
        <v>1079</v>
      </c>
      <c r="B525">
        <v>1</v>
      </c>
      <c r="C525" s="2" t="s">
        <v>1080</v>
      </c>
      <c r="D525" s="3">
        <v>30627</v>
      </c>
      <c r="E525" s="4">
        <v>18</v>
      </c>
      <c r="F525" t="s">
        <v>147</v>
      </c>
      <c r="G525" s="3">
        <f t="shared" si="40"/>
        <v>37350</v>
      </c>
      <c r="H525" s="3">
        <v>0</v>
      </c>
      <c r="I525" s="3">
        <f t="shared" si="41"/>
        <v>37350</v>
      </c>
      <c r="J525" s="2" t="s">
        <v>27</v>
      </c>
      <c r="K525" s="5">
        <v>46272.583333333343</v>
      </c>
      <c r="L525">
        <v>3</v>
      </c>
      <c r="M525" s="3">
        <f t="shared" si="42"/>
        <v>12450</v>
      </c>
      <c r="N525" t="str">
        <f t="shared" si="43"/>
        <v>ставка</v>
      </c>
      <c r="O525" s="3">
        <f t="shared" si="44"/>
        <v>732.35</v>
      </c>
      <c r="P525" s="5">
        <v>46275.5</v>
      </c>
      <c r="Q525" t="s">
        <v>147</v>
      </c>
      <c r="R525" s="2" t="s">
        <v>87</v>
      </c>
      <c r="S525">
        <v>51</v>
      </c>
      <c r="T525">
        <v>2</v>
      </c>
    </row>
    <row r="526" spans="1:20" x14ac:dyDescent="0.25">
      <c r="A526" t="s">
        <v>1081</v>
      </c>
      <c r="B526">
        <v>1</v>
      </c>
      <c r="C526" s="2" t="s">
        <v>1082</v>
      </c>
      <c r="D526" s="3">
        <v>32488.5</v>
      </c>
      <c r="E526" s="4">
        <v>4</v>
      </c>
      <c r="F526" t="s">
        <v>55</v>
      </c>
      <c r="G526" s="3">
        <f t="shared" si="40"/>
        <v>33842.19</v>
      </c>
      <c r="H526" s="3">
        <v>0</v>
      </c>
      <c r="I526" s="3">
        <f t="shared" si="41"/>
        <v>33842.19</v>
      </c>
      <c r="J526" s="2" t="s">
        <v>27</v>
      </c>
      <c r="K526" s="5">
        <v>46238.583333333343</v>
      </c>
      <c r="L526">
        <v>2</v>
      </c>
      <c r="M526" s="3">
        <f t="shared" si="42"/>
        <v>16921.095000000001</v>
      </c>
      <c r="N526" t="str">
        <f t="shared" si="43"/>
        <v>ставка</v>
      </c>
      <c r="O526" s="3">
        <f t="shared" si="44"/>
        <v>663.57</v>
      </c>
      <c r="P526" s="5">
        <v>46240.5</v>
      </c>
      <c r="Q526" t="s">
        <v>55</v>
      </c>
      <c r="R526" s="2" t="s">
        <v>49</v>
      </c>
      <c r="S526">
        <v>35</v>
      </c>
      <c r="T526">
        <v>1</v>
      </c>
    </row>
    <row r="527" spans="1:20" ht="30" x14ac:dyDescent="0.25">
      <c r="A527" t="s">
        <v>1083</v>
      </c>
      <c r="B527">
        <v>1</v>
      </c>
      <c r="C527" s="2" t="s">
        <v>1084</v>
      </c>
      <c r="D527" s="3">
        <v>15840</v>
      </c>
      <c r="E527" s="4">
        <v>20</v>
      </c>
      <c r="F527" t="s">
        <v>103</v>
      </c>
      <c r="G527" s="3">
        <f t="shared" si="40"/>
        <v>19800</v>
      </c>
      <c r="H527" s="3">
        <v>0</v>
      </c>
      <c r="I527" s="3">
        <f t="shared" si="41"/>
        <v>19800</v>
      </c>
      <c r="J527" s="2" t="s">
        <v>27</v>
      </c>
      <c r="K527" s="5">
        <v>46282.583333333343</v>
      </c>
      <c r="L527">
        <v>2</v>
      </c>
      <c r="M527" s="3">
        <f t="shared" si="42"/>
        <v>9900</v>
      </c>
      <c r="N527" t="str">
        <f t="shared" si="43"/>
        <v>ставка</v>
      </c>
      <c r="O527" s="3">
        <f t="shared" si="44"/>
        <v>388.24</v>
      </c>
      <c r="P527" s="5">
        <v>46284.5</v>
      </c>
      <c r="Q527" t="s">
        <v>103</v>
      </c>
      <c r="R527" s="2" t="s">
        <v>33</v>
      </c>
      <c r="S527">
        <v>45</v>
      </c>
      <c r="T527">
        <v>1</v>
      </c>
    </row>
    <row r="528" spans="1:20" x14ac:dyDescent="0.25">
      <c r="A528" t="s">
        <v>1085</v>
      </c>
      <c r="B528">
        <v>1</v>
      </c>
      <c r="C528" s="2" t="s">
        <v>1086</v>
      </c>
      <c r="D528" s="3">
        <v>14535</v>
      </c>
      <c r="E528" s="4">
        <v>4</v>
      </c>
      <c r="F528" t="s">
        <v>55</v>
      </c>
      <c r="G528" s="3">
        <f t="shared" si="40"/>
        <v>15140.63</v>
      </c>
      <c r="H528" s="3">
        <v>0</v>
      </c>
      <c r="I528" s="3">
        <f t="shared" si="41"/>
        <v>15140.63</v>
      </c>
      <c r="J528" s="2"/>
      <c r="K528" s="5">
        <v>46291.583333333343</v>
      </c>
      <c r="L528">
        <v>1</v>
      </c>
      <c r="M528" s="3">
        <f t="shared" si="42"/>
        <v>15140.63</v>
      </c>
      <c r="N528" t="str">
        <f t="shared" si="43"/>
        <v>ставка</v>
      </c>
      <c r="O528" s="3">
        <f t="shared" si="44"/>
        <v>296.88</v>
      </c>
      <c r="P528" s="5">
        <v>46292.5</v>
      </c>
      <c r="Q528" t="s">
        <v>55</v>
      </c>
      <c r="R528" s="2" t="s">
        <v>49</v>
      </c>
      <c r="S528">
        <v>11</v>
      </c>
      <c r="T528">
        <v>1</v>
      </c>
    </row>
    <row r="529" spans="1:20" ht="30" x14ac:dyDescent="0.25">
      <c r="A529" t="s">
        <v>1087</v>
      </c>
      <c r="B529">
        <v>1</v>
      </c>
      <c r="C529" s="2" t="s">
        <v>1088</v>
      </c>
      <c r="D529" s="3">
        <v>26499.75</v>
      </c>
      <c r="E529" s="4">
        <v>4</v>
      </c>
      <c r="F529" t="s">
        <v>55</v>
      </c>
      <c r="G529" s="3">
        <f t="shared" si="40"/>
        <v>27603.91</v>
      </c>
      <c r="H529" s="3">
        <v>0</v>
      </c>
      <c r="I529" s="3">
        <f t="shared" si="41"/>
        <v>27603.91</v>
      </c>
      <c r="J529" s="2" t="s">
        <v>27</v>
      </c>
      <c r="K529" s="5">
        <v>46205.583333333343</v>
      </c>
      <c r="L529">
        <v>2</v>
      </c>
      <c r="M529" s="3">
        <f t="shared" si="42"/>
        <v>13801.955</v>
      </c>
      <c r="N529" t="str">
        <f t="shared" si="43"/>
        <v>ставка</v>
      </c>
      <c r="O529" s="3">
        <f t="shared" si="44"/>
        <v>541.25</v>
      </c>
      <c r="P529" s="5">
        <v>46207.5</v>
      </c>
      <c r="Q529" t="s">
        <v>55</v>
      </c>
      <c r="R529" s="2" t="s">
        <v>40</v>
      </c>
      <c r="S529">
        <v>32</v>
      </c>
      <c r="T529">
        <v>1</v>
      </c>
    </row>
    <row r="530" spans="1:20" ht="45" x14ac:dyDescent="0.25">
      <c r="A530" t="s">
        <v>1089</v>
      </c>
      <c r="B530">
        <v>1</v>
      </c>
      <c r="C530" s="2" t="s">
        <v>1090</v>
      </c>
      <c r="D530" s="3">
        <v>19920</v>
      </c>
      <c r="E530" s="4">
        <v>20</v>
      </c>
      <c r="F530" t="s">
        <v>103</v>
      </c>
      <c r="G530" s="3">
        <f t="shared" si="40"/>
        <v>24900</v>
      </c>
      <c r="H530" s="3">
        <v>0</v>
      </c>
      <c r="I530" s="3">
        <f t="shared" si="41"/>
        <v>24900</v>
      </c>
      <c r="J530" s="2" t="s">
        <v>27</v>
      </c>
      <c r="K530" s="5">
        <v>46253.583333333343</v>
      </c>
      <c r="L530">
        <v>2</v>
      </c>
      <c r="M530" s="3">
        <f t="shared" si="42"/>
        <v>12450</v>
      </c>
      <c r="N530" t="str">
        <f t="shared" si="43"/>
        <v>ставка</v>
      </c>
      <c r="O530" s="3">
        <f t="shared" si="44"/>
        <v>488.24</v>
      </c>
      <c r="P530" s="5">
        <v>46255.5</v>
      </c>
      <c r="Q530" t="s">
        <v>103</v>
      </c>
      <c r="R530" s="2" t="s">
        <v>87</v>
      </c>
      <c r="S530">
        <v>50</v>
      </c>
      <c r="T530">
        <v>2</v>
      </c>
    </row>
    <row r="531" spans="1:20" ht="30" x14ac:dyDescent="0.25">
      <c r="A531" t="s">
        <v>1091</v>
      </c>
      <c r="B531">
        <v>1</v>
      </c>
      <c r="C531" s="2" t="s">
        <v>1092</v>
      </c>
      <c r="D531" s="3">
        <v>26180</v>
      </c>
      <c r="E531" s="4">
        <v>0</v>
      </c>
      <c r="F531" t="s">
        <v>180</v>
      </c>
      <c r="G531" s="3">
        <f t="shared" si="40"/>
        <v>26180</v>
      </c>
      <c r="H531" s="3">
        <v>0</v>
      </c>
      <c r="I531" s="3">
        <f t="shared" si="41"/>
        <v>26180</v>
      </c>
      <c r="J531" s="2" t="s">
        <v>181</v>
      </c>
      <c r="K531" s="5">
        <v>46241.583333333343</v>
      </c>
      <c r="L531">
        <v>2</v>
      </c>
      <c r="M531" s="3">
        <f t="shared" si="42"/>
        <v>13090</v>
      </c>
      <c r="N531" t="str">
        <f t="shared" si="43"/>
        <v>ставка</v>
      </c>
      <c r="O531" s="3">
        <f t="shared" si="44"/>
        <v>513.33000000000004</v>
      </c>
      <c r="P531" s="5">
        <v>46243.5</v>
      </c>
      <c r="Q531" t="s">
        <v>180</v>
      </c>
      <c r="R531" s="2" t="s">
        <v>24</v>
      </c>
      <c r="S531">
        <v>59</v>
      </c>
      <c r="T531">
        <v>2</v>
      </c>
    </row>
    <row r="532" spans="1:20" ht="30" x14ac:dyDescent="0.25">
      <c r="A532" t="s">
        <v>1093</v>
      </c>
      <c r="B532">
        <v>1</v>
      </c>
      <c r="C532" s="2" t="s">
        <v>1094</v>
      </c>
      <c r="D532" s="3">
        <v>9647.5</v>
      </c>
      <c r="E532" s="4">
        <v>15</v>
      </c>
      <c r="F532" t="s">
        <v>36</v>
      </c>
      <c r="G532" s="3">
        <f t="shared" si="40"/>
        <v>11350</v>
      </c>
      <c r="H532" s="3">
        <v>0</v>
      </c>
      <c r="I532" s="3">
        <f t="shared" si="41"/>
        <v>11350</v>
      </c>
      <c r="J532" s="2" t="s">
        <v>27</v>
      </c>
      <c r="K532" s="5">
        <v>46213.583333333343</v>
      </c>
      <c r="L532">
        <v>1</v>
      </c>
      <c r="M532" s="3">
        <f t="shared" si="42"/>
        <v>11350</v>
      </c>
      <c r="N532" t="str">
        <f t="shared" si="43"/>
        <v>ставка</v>
      </c>
      <c r="O532" s="3">
        <f t="shared" si="44"/>
        <v>222.55</v>
      </c>
      <c r="P532" s="5">
        <v>46214.5</v>
      </c>
      <c r="Q532" t="s">
        <v>36</v>
      </c>
      <c r="R532" s="2" t="s">
        <v>40</v>
      </c>
      <c r="S532">
        <v>42</v>
      </c>
      <c r="T532">
        <v>1</v>
      </c>
    </row>
    <row r="533" spans="1:20" x14ac:dyDescent="0.25">
      <c r="A533" t="s">
        <v>1095</v>
      </c>
      <c r="B533">
        <v>1</v>
      </c>
      <c r="C533" s="2" t="s">
        <v>1096</v>
      </c>
      <c r="D533" s="3">
        <v>15800</v>
      </c>
      <c r="E533" s="4">
        <v>0</v>
      </c>
      <c r="F533" t="s">
        <v>23</v>
      </c>
      <c r="G533" s="3">
        <f t="shared" si="40"/>
        <v>15800</v>
      </c>
      <c r="H533" s="3">
        <v>0</v>
      </c>
      <c r="I533" s="3">
        <f t="shared" si="41"/>
        <v>15800</v>
      </c>
      <c r="J533" s="2" t="s">
        <v>27</v>
      </c>
      <c r="K533" s="5">
        <v>46255.583333333343</v>
      </c>
      <c r="L533">
        <v>1</v>
      </c>
      <c r="M533" s="3">
        <f t="shared" si="42"/>
        <v>15800</v>
      </c>
      <c r="N533" t="str">
        <f t="shared" si="43"/>
        <v>ставка</v>
      </c>
      <c r="O533" s="3">
        <f t="shared" si="44"/>
        <v>309.8</v>
      </c>
      <c r="P533" s="5">
        <v>46256.5</v>
      </c>
      <c r="Q533" t="s">
        <v>23</v>
      </c>
      <c r="R533" s="2" t="s">
        <v>45</v>
      </c>
      <c r="S533">
        <v>54</v>
      </c>
      <c r="T533">
        <v>2</v>
      </c>
    </row>
    <row r="534" spans="1:20" ht="30" x14ac:dyDescent="0.25">
      <c r="A534" t="s">
        <v>1097</v>
      </c>
      <c r="B534">
        <v>1</v>
      </c>
      <c r="C534" s="2" t="s">
        <v>1098</v>
      </c>
      <c r="D534" s="3">
        <v>21976</v>
      </c>
      <c r="E534" s="4">
        <v>18</v>
      </c>
      <c r="F534" t="s">
        <v>248</v>
      </c>
      <c r="G534" s="3">
        <f t="shared" si="40"/>
        <v>26800</v>
      </c>
      <c r="H534" s="3">
        <v>0</v>
      </c>
      <c r="I534" s="3">
        <f t="shared" si="41"/>
        <v>26800</v>
      </c>
      <c r="J534" s="2" t="s">
        <v>27</v>
      </c>
      <c r="K534" s="5">
        <v>46219.583333333343</v>
      </c>
      <c r="L534">
        <v>2</v>
      </c>
      <c r="M534" s="3">
        <f t="shared" si="42"/>
        <v>13400</v>
      </c>
      <c r="N534" t="str">
        <f t="shared" si="43"/>
        <v>ставка</v>
      </c>
      <c r="O534" s="3">
        <f t="shared" si="44"/>
        <v>525.49</v>
      </c>
      <c r="P534" s="5">
        <v>46221.5</v>
      </c>
      <c r="Q534" t="s">
        <v>248</v>
      </c>
      <c r="R534" s="2" t="s">
        <v>24</v>
      </c>
      <c r="S534">
        <v>21</v>
      </c>
      <c r="T534">
        <v>1</v>
      </c>
    </row>
    <row r="535" spans="1:20" ht="30" x14ac:dyDescent="0.25">
      <c r="A535" t="s">
        <v>1099</v>
      </c>
      <c r="B535">
        <v>1</v>
      </c>
      <c r="C535" s="2" t="s">
        <v>1100</v>
      </c>
      <c r="D535" s="3">
        <v>12320</v>
      </c>
      <c r="E535" s="4">
        <v>20</v>
      </c>
      <c r="F535" t="s">
        <v>103</v>
      </c>
      <c r="G535" s="3">
        <f t="shared" si="40"/>
        <v>15400</v>
      </c>
      <c r="H535" s="3">
        <v>0</v>
      </c>
      <c r="I535" s="3">
        <f t="shared" si="41"/>
        <v>15400</v>
      </c>
      <c r="J535" s="2" t="s">
        <v>27</v>
      </c>
      <c r="K535" s="5">
        <v>46252.583333333343</v>
      </c>
      <c r="L535">
        <v>2</v>
      </c>
      <c r="M535" s="3">
        <f t="shared" si="42"/>
        <v>7700</v>
      </c>
      <c r="N535" t="str">
        <f t="shared" si="43"/>
        <v>ставка</v>
      </c>
      <c r="O535" s="3">
        <f t="shared" si="44"/>
        <v>301.95999999999998</v>
      </c>
      <c r="P535" s="5">
        <v>46254.5</v>
      </c>
      <c r="Q535" t="s">
        <v>103</v>
      </c>
      <c r="R535" s="2" t="s">
        <v>58</v>
      </c>
      <c r="S535">
        <v>24</v>
      </c>
      <c r="T535">
        <v>1</v>
      </c>
    </row>
    <row r="536" spans="1:20" ht="30" x14ac:dyDescent="0.25">
      <c r="A536" t="s">
        <v>1101</v>
      </c>
      <c r="B536">
        <v>1</v>
      </c>
      <c r="C536" s="2" t="s">
        <v>1102</v>
      </c>
      <c r="D536" s="3">
        <v>6314</v>
      </c>
      <c r="E536" s="4">
        <v>18</v>
      </c>
      <c r="F536" t="s">
        <v>147</v>
      </c>
      <c r="G536" s="3">
        <f t="shared" si="40"/>
        <v>7700</v>
      </c>
      <c r="H536" s="3">
        <v>0</v>
      </c>
      <c r="I536" s="3">
        <f t="shared" si="41"/>
        <v>7700</v>
      </c>
      <c r="J536" s="2" t="s">
        <v>27</v>
      </c>
      <c r="K536" s="5">
        <v>46293.583333333343</v>
      </c>
      <c r="L536">
        <v>1</v>
      </c>
      <c r="M536" s="3">
        <f t="shared" si="42"/>
        <v>7700</v>
      </c>
      <c r="N536" t="str">
        <f t="shared" si="43"/>
        <v>ставка</v>
      </c>
      <c r="O536" s="3">
        <f t="shared" si="44"/>
        <v>150.97999999999999</v>
      </c>
      <c r="P536" s="5">
        <v>46294.5</v>
      </c>
      <c r="Q536" t="s">
        <v>147</v>
      </c>
      <c r="R536" s="2" t="s">
        <v>58</v>
      </c>
      <c r="S536">
        <v>24</v>
      </c>
      <c r="T536">
        <v>1</v>
      </c>
    </row>
    <row r="537" spans="1:20" ht="30" x14ac:dyDescent="0.25">
      <c r="A537" t="s">
        <v>1103</v>
      </c>
      <c r="B537">
        <v>1</v>
      </c>
      <c r="C537" s="2" t="s">
        <v>1104</v>
      </c>
      <c r="D537" s="3">
        <v>16434</v>
      </c>
      <c r="E537" s="4">
        <v>17</v>
      </c>
      <c r="F537" t="s">
        <v>130</v>
      </c>
      <c r="G537" s="3">
        <f t="shared" si="40"/>
        <v>19800</v>
      </c>
      <c r="H537" s="3">
        <v>0</v>
      </c>
      <c r="I537" s="3">
        <f t="shared" si="41"/>
        <v>19800</v>
      </c>
      <c r="J537" s="2" t="s">
        <v>27</v>
      </c>
      <c r="K537" s="5">
        <v>46278.583333333343</v>
      </c>
      <c r="L537">
        <v>2</v>
      </c>
      <c r="M537" s="3">
        <f t="shared" si="42"/>
        <v>9900</v>
      </c>
      <c r="N537" t="str">
        <f t="shared" si="43"/>
        <v>ставка</v>
      </c>
      <c r="O537" s="3">
        <f t="shared" si="44"/>
        <v>388.24</v>
      </c>
      <c r="P537" s="5">
        <v>46280.5</v>
      </c>
      <c r="Q537" t="s">
        <v>130</v>
      </c>
      <c r="R537" s="2" t="s">
        <v>33</v>
      </c>
      <c r="S537">
        <v>47</v>
      </c>
      <c r="T537">
        <v>1</v>
      </c>
    </row>
    <row r="538" spans="1:20" ht="30" x14ac:dyDescent="0.25">
      <c r="A538" t="s">
        <v>1105</v>
      </c>
      <c r="B538">
        <v>1</v>
      </c>
      <c r="C538" s="2" t="s">
        <v>1106</v>
      </c>
      <c r="D538" s="3">
        <v>11347.5</v>
      </c>
      <c r="E538" s="4">
        <v>16</v>
      </c>
      <c r="F538" t="s">
        <v>36</v>
      </c>
      <c r="G538" s="3">
        <f t="shared" si="40"/>
        <v>13508.93</v>
      </c>
      <c r="H538" s="3">
        <v>0</v>
      </c>
      <c r="I538" s="3">
        <f t="shared" si="41"/>
        <v>13508.93</v>
      </c>
      <c r="J538" s="2" t="s">
        <v>27</v>
      </c>
      <c r="K538" s="5">
        <v>46244.583333333343</v>
      </c>
      <c r="L538">
        <v>1</v>
      </c>
      <c r="M538" s="3">
        <f t="shared" si="42"/>
        <v>13508.93</v>
      </c>
      <c r="N538" t="str">
        <f t="shared" si="43"/>
        <v>ставка</v>
      </c>
      <c r="O538" s="3">
        <f t="shared" si="44"/>
        <v>264.88</v>
      </c>
      <c r="P538" s="5">
        <v>46245.5</v>
      </c>
      <c r="Q538" t="s">
        <v>36</v>
      </c>
      <c r="R538" s="2" t="s">
        <v>40</v>
      </c>
      <c r="S538">
        <v>52</v>
      </c>
      <c r="T538">
        <v>2</v>
      </c>
    </row>
    <row r="539" spans="1:20" ht="30" x14ac:dyDescent="0.25">
      <c r="A539" t="s">
        <v>1107</v>
      </c>
      <c r="B539">
        <v>1</v>
      </c>
      <c r="C539" s="2" t="s">
        <v>1108</v>
      </c>
      <c r="D539" s="3">
        <v>36918</v>
      </c>
      <c r="E539" s="4">
        <v>16</v>
      </c>
      <c r="F539" t="s">
        <v>36</v>
      </c>
      <c r="G539" s="3">
        <f t="shared" si="40"/>
        <v>43950</v>
      </c>
      <c r="H539" s="3">
        <v>0</v>
      </c>
      <c r="I539" s="3">
        <f t="shared" si="41"/>
        <v>43950</v>
      </c>
      <c r="J539" s="2" t="s">
        <v>27</v>
      </c>
      <c r="K539" s="5">
        <v>46293.583333333343</v>
      </c>
      <c r="L539">
        <v>4</v>
      </c>
      <c r="M539" s="3">
        <f t="shared" si="42"/>
        <v>10987.5</v>
      </c>
      <c r="N539" t="str">
        <f t="shared" si="43"/>
        <v>ставка</v>
      </c>
      <c r="O539" s="3">
        <f t="shared" si="44"/>
        <v>861.76</v>
      </c>
      <c r="P539" s="5">
        <v>46297.5</v>
      </c>
      <c r="Q539" t="s">
        <v>36</v>
      </c>
      <c r="R539" s="2" t="s">
        <v>40</v>
      </c>
      <c r="S539">
        <v>26</v>
      </c>
      <c r="T539">
        <v>1</v>
      </c>
    </row>
    <row r="540" spans="1:20" ht="30" x14ac:dyDescent="0.25">
      <c r="A540" t="s">
        <v>1109</v>
      </c>
      <c r="B540">
        <v>1</v>
      </c>
      <c r="C540" s="2" t="s">
        <v>1110</v>
      </c>
      <c r="D540" s="3">
        <v>9534</v>
      </c>
      <c r="E540" s="4">
        <v>16</v>
      </c>
      <c r="F540" t="s">
        <v>36</v>
      </c>
      <c r="G540" s="3">
        <f t="shared" si="40"/>
        <v>11350</v>
      </c>
      <c r="H540" s="3">
        <v>0</v>
      </c>
      <c r="I540" s="3">
        <f t="shared" si="41"/>
        <v>11350</v>
      </c>
      <c r="J540" s="2" t="s">
        <v>27</v>
      </c>
      <c r="K540" s="5">
        <v>46235.583333333343</v>
      </c>
      <c r="L540">
        <v>1</v>
      </c>
      <c r="M540" s="3">
        <f t="shared" si="42"/>
        <v>11350</v>
      </c>
      <c r="N540" t="str">
        <f t="shared" si="43"/>
        <v>ставка</v>
      </c>
      <c r="O540" s="3">
        <f t="shared" si="44"/>
        <v>222.55</v>
      </c>
      <c r="P540" s="5">
        <v>46236.5</v>
      </c>
      <c r="Q540" t="s">
        <v>36</v>
      </c>
      <c r="R540" s="2" t="s">
        <v>40</v>
      </c>
      <c r="S540">
        <v>23</v>
      </c>
      <c r="T540">
        <v>1</v>
      </c>
    </row>
    <row r="541" spans="1:20" ht="30" x14ac:dyDescent="0.25">
      <c r="A541" t="s">
        <v>1111</v>
      </c>
      <c r="B541">
        <v>1</v>
      </c>
      <c r="C541" s="2" t="s">
        <v>1112</v>
      </c>
      <c r="D541" s="3">
        <v>6320</v>
      </c>
      <c r="E541" s="4">
        <v>20</v>
      </c>
      <c r="F541" t="s">
        <v>48</v>
      </c>
      <c r="G541" s="3">
        <f t="shared" si="40"/>
        <v>7900</v>
      </c>
      <c r="H541" s="3">
        <v>0</v>
      </c>
      <c r="I541" s="3">
        <f t="shared" si="41"/>
        <v>7900</v>
      </c>
      <c r="J541" s="2" t="s">
        <v>27</v>
      </c>
      <c r="K541" s="5">
        <v>46217.583333333343</v>
      </c>
      <c r="L541">
        <v>1</v>
      </c>
      <c r="M541" s="3">
        <f t="shared" si="42"/>
        <v>7900</v>
      </c>
      <c r="N541" t="str">
        <f t="shared" si="43"/>
        <v>ставка</v>
      </c>
      <c r="O541" s="3">
        <f t="shared" si="44"/>
        <v>154.9</v>
      </c>
      <c r="P541" s="5">
        <v>46218.5</v>
      </c>
      <c r="Q541" t="s">
        <v>48</v>
      </c>
      <c r="R541" s="2" t="s">
        <v>33</v>
      </c>
      <c r="S541">
        <v>41</v>
      </c>
      <c r="T541">
        <v>1</v>
      </c>
    </row>
    <row r="542" spans="1:20" ht="30" x14ac:dyDescent="0.25">
      <c r="A542" t="s">
        <v>1113</v>
      </c>
      <c r="B542">
        <v>1</v>
      </c>
      <c r="C542" s="2" t="s">
        <v>1114</v>
      </c>
      <c r="D542" s="3">
        <v>13149.75</v>
      </c>
      <c r="E542" s="4">
        <v>4</v>
      </c>
      <c r="F542" t="s">
        <v>55</v>
      </c>
      <c r="G542" s="3">
        <f t="shared" si="40"/>
        <v>13697.66</v>
      </c>
      <c r="H542" s="3">
        <v>0</v>
      </c>
      <c r="I542" s="3">
        <f t="shared" si="41"/>
        <v>13697.66</v>
      </c>
      <c r="J542" s="2" t="s">
        <v>27</v>
      </c>
      <c r="K542" s="5">
        <v>46284.583333333343</v>
      </c>
      <c r="L542">
        <v>1</v>
      </c>
      <c r="M542" s="3">
        <f t="shared" si="42"/>
        <v>13697.66</v>
      </c>
      <c r="N542" t="str">
        <f t="shared" si="43"/>
        <v>ставка</v>
      </c>
      <c r="O542" s="3">
        <f t="shared" si="44"/>
        <v>268.58</v>
      </c>
      <c r="P542" s="5">
        <v>46285.5</v>
      </c>
      <c r="Q542" t="s">
        <v>55</v>
      </c>
      <c r="R542" s="2" t="s">
        <v>40</v>
      </c>
      <c r="S542">
        <v>33</v>
      </c>
      <c r="T542">
        <v>1</v>
      </c>
    </row>
    <row r="543" spans="1:20" ht="30" x14ac:dyDescent="0.25">
      <c r="A543" t="s">
        <v>1115</v>
      </c>
      <c r="B543">
        <v>1</v>
      </c>
      <c r="C543" s="2" t="s">
        <v>1116</v>
      </c>
      <c r="D543" s="3">
        <v>31680</v>
      </c>
      <c r="E543" s="4">
        <v>20</v>
      </c>
      <c r="F543" t="s">
        <v>48</v>
      </c>
      <c r="G543" s="3">
        <f t="shared" si="40"/>
        <v>39600</v>
      </c>
      <c r="H543" s="3">
        <v>0</v>
      </c>
      <c r="I543" s="3">
        <f t="shared" si="41"/>
        <v>39600</v>
      </c>
      <c r="J543" s="2" t="s">
        <v>27</v>
      </c>
      <c r="K543" s="5">
        <v>46286.583333333343</v>
      </c>
      <c r="L543">
        <v>4</v>
      </c>
      <c r="M543" s="3">
        <f t="shared" si="42"/>
        <v>9900</v>
      </c>
      <c r="N543" t="str">
        <f t="shared" si="43"/>
        <v>ставка</v>
      </c>
      <c r="O543" s="3">
        <f t="shared" si="44"/>
        <v>776.47</v>
      </c>
      <c r="P543" s="5">
        <v>46290.5</v>
      </c>
      <c r="Q543" t="s">
        <v>48</v>
      </c>
      <c r="R543" s="2" t="s">
        <v>33</v>
      </c>
      <c r="S543">
        <v>47</v>
      </c>
      <c r="T543">
        <v>1</v>
      </c>
    </row>
    <row r="544" spans="1:20" ht="30" x14ac:dyDescent="0.25">
      <c r="A544" t="s">
        <v>1117</v>
      </c>
      <c r="B544">
        <v>1</v>
      </c>
      <c r="C544" s="2" t="s">
        <v>1118</v>
      </c>
      <c r="D544" s="3">
        <v>53400</v>
      </c>
      <c r="E544" s="4">
        <v>20</v>
      </c>
      <c r="F544" t="s">
        <v>48</v>
      </c>
      <c r="G544" s="3">
        <f t="shared" si="40"/>
        <v>66750</v>
      </c>
      <c r="H544" s="3">
        <v>0</v>
      </c>
      <c r="I544" s="3">
        <f t="shared" si="41"/>
        <v>66750</v>
      </c>
      <c r="J544" s="2" t="s">
        <v>27</v>
      </c>
      <c r="K544" s="5">
        <v>46270.583333333343</v>
      </c>
      <c r="L544">
        <v>5</v>
      </c>
      <c r="M544" s="3">
        <f t="shared" si="42"/>
        <v>13350</v>
      </c>
      <c r="N544" t="str">
        <f t="shared" si="43"/>
        <v>ставка</v>
      </c>
      <c r="O544" s="3">
        <f t="shared" si="44"/>
        <v>1308.82</v>
      </c>
      <c r="P544" s="5">
        <v>46275.5</v>
      </c>
      <c r="Q544" t="s">
        <v>48</v>
      </c>
      <c r="R544" s="2" t="s">
        <v>40</v>
      </c>
      <c r="S544">
        <v>46</v>
      </c>
      <c r="T544">
        <v>1</v>
      </c>
    </row>
    <row r="545" spans="1:20" ht="30" x14ac:dyDescent="0.25">
      <c r="A545" t="s">
        <v>1119</v>
      </c>
      <c r="B545">
        <v>1</v>
      </c>
      <c r="C545" s="2" t="s">
        <v>1120</v>
      </c>
      <c r="D545" s="3">
        <v>8626</v>
      </c>
      <c r="E545" s="4">
        <v>18</v>
      </c>
      <c r="F545" t="s">
        <v>32</v>
      </c>
      <c r="G545" s="3">
        <f t="shared" si="40"/>
        <v>10519.51</v>
      </c>
      <c r="H545" s="3">
        <v>0</v>
      </c>
      <c r="I545" s="3">
        <f t="shared" si="41"/>
        <v>10519.51</v>
      </c>
      <c r="J545" s="2" t="s">
        <v>27</v>
      </c>
      <c r="K545" s="5">
        <v>46251.583333333343</v>
      </c>
      <c r="L545">
        <v>1</v>
      </c>
      <c r="M545" s="3">
        <f t="shared" si="42"/>
        <v>10519.51</v>
      </c>
      <c r="N545" t="str">
        <f t="shared" si="43"/>
        <v>ставка</v>
      </c>
      <c r="O545" s="3">
        <f t="shared" si="44"/>
        <v>206.26</v>
      </c>
      <c r="P545" s="5">
        <v>46252.5</v>
      </c>
      <c r="Q545" t="s">
        <v>32</v>
      </c>
      <c r="R545" s="2" t="s">
        <v>40</v>
      </c>
      <c r="S545">
        <v>58</v>
      </c>
      <c r="T545">
        <v>2</v>
      </c>
    </row>
    <row r="546" spans="1:20" ht="30" x14ac:dyDescent="0.25">
      <c r="A546" t="s">
        <v>1121</v>
      </c>
      <c r="B546">
        <v>1</v>
      </c>
      <c r="C546" s="2" t="s">
        <v>1122</v>
      </c>
      <c r="D546" s="3">
        <v>8415</v>
      </c>
      <c r="E546" s="4">
        <v>15</v>
      </c>
      <c r="F546" t="s">
        <v>52</v>
      </c>
      <c r="G546" s="3">
        <f t="shared" si="40"/>
        <v>9900</v>
      </c>
      <c r="H546" s="3">
        <v>0</v>
      </c>
      <c r="I546" s="3">
        <f t="shared" si="41"/>
        <v>9900</v>
      </c>
      <c r="J546" s="2" t="s">
        <v>27</v>
      </c>
      <c r="K546" s="5">
        <v>46250.583333333343</v>
      </c>
      <c r="L546">
        <v>1</v>
      </c>
      <c r="M546" s="3">
        <f t="shared" si="42"/>
        <v>9900</v>
      </c>
      <c r="N546" t="str">
        <f t="shared" si="43"/>
        <v>ставка</v>
      </c>
      <c r="O546" s="3">
        <f t="shared" si="44"/>
        <v>194.12</v>
      </c>
      <c r="P546" s="5">
        <v>46251.5</v>
      </c>
      <c r="Q546" t="s">
        <v>52</v>
      </c>
      <c r="R546" s="2" t="s">
        <v>33</v>
      </c>
      <c r="S546">
        <v>41</v>
      </c>
      <c r="T546">
        <v>1</v>
      </c>
    </row>
    <row r="547" spans="1:20" ht="30" x14ac:dyDescent="0.25">
      <c r="A547" t="s">
        <v>1123</v>
      </c>
      <c r="B547">
        <v>1</v>
      </c>
      <c r="C547" s="2" t="s">
        <v>1124</v>
      </c>
      <c r="D547" s="3">
        <v>30260</v>
      </c>
      <c r="E547" s="4">
        <v>15</v>
      </c>
      <c r="F547" t="s">
        <v>411</v>
      </c>
      <c r="G547" s="3">
        <f t="shared" si="40"/>
        <v>35600</v>
      </c>
      <c r="H547" s="3">
        <v>0</v>
      </c>
      <c r="I547" s="3">
        <f t="shared" si="41"/>
        <v>35600</v>
      </c>
      <c r="J547" s="2" t="s">
        <v>27</v>
      </c>
      <c r="K547" s="5">
        <v>46251.583333333343</v>
      </c>
      <c r="L547">
        <v>2</v>
      </c>
      <c r="M547" s="3">
        <f t="shared" si="42"/>
        <v>17800</v>
      </c>
      <c r="N547" t="str">
        <f t="shared" si="43"/>
        <v>ставка</v>
      </c>
      <c r="O547" s="3">
        <f t="shared" si="44"/>
        <v>698.04</v>
      </c>
      <c r="P547" s="5">
        <v>46253.5</v>
      </c>
      <c r="Q547" t="s">
        <v>411</v>
      </c>
      <c r="R547" s="2" t="s">
        <v>45</v>
      </c>
      <c r="S547">
        <v>54</v>
      </c>
      <c r="T547">
        <v>2</v>
      </c>
    </row>
    <row r="548" spans="1:20" ht="60" x14ac:dyDescent="0.25">
      <c r="A548" t="s">
        <v>1125</v>
      </c>
      <c r="B548">
        <v>1</v>
      </c>
      <c r="C548" s="2" t="s">
        <v>1126</v>
      </c>
      <c r="D548" s="3">
        <v>27240</v>
      </c>
      <c r="E548" s="4">
        <v>20</v>
      </c>
      <c r="F548" t="s">
        <v>48</v>
      </c>
      <c r="G548" s="3">
        <f t="shared" si="40"/>
        <v>34050</v>
      </c>
      <c r="H548" s="3">
        <v>860</v>
      </c>
      <c r="I548" s="3">
        <f t="shared" si="41"/>
        <v>34910</v>
      </c>
      <c r="J548" s="2" t="s">
        <v>1127</v>
      </c>
      <c r="K548" s="5">
        <v>46238.583333333343</v>
      </c>
      <c r="L548">
        <v>3</v>
      </c>
      <c r="M548" s="3">
        <f t="shared" si="42"/>
        <v>11636.666666666666</v>
      </c>
      <c r="N548" t="str">
        <f t="shared" si="43"/>
        <v>ставка</v>
      </c>
      <c r="O548" s="3">
        <f t="shared" si="44"/>
        <v>684.51</v>
      </c>
      <c r="P548" s="5">
        <v>46241.5</v>
      </c>
      <c r="Q548" t="s">
        <v>48</v>
      </c>
      <c r="R548" s="2" t="s">
        <v>87</v>
      </c>
      <c r="S548">
        <v>50</v>
      </c>
      <c r="T548">
        <v>2</v>
      </c>
    </row>
    <row r="549" spans="1:20" ht="30" x14ac:dyDescent="0.25">
      <c r="A549" t="s">
        <v>1128</v>
      </c>
      <c r="B549">
        <v>1</v>
      </c>
      <c r="C549" s="2" t="s">
        <v>1129</v>
      </c>
      <c r="D549" s="3">
        <v>39451.5</v>
      </c>
      <c r="E549" s="4">
        <v>4</v>
      </c>
      <c r="F549" t="s">
        <v>55</v>
      </c>
      <c r="G549" s="3">
        <f t="shared" si="40"/>
        <v>41095.31</v>
      </c>
      <c r="H549" s="3">
        <v>0</v>
      </c>
      <c r="I549" s="3">
        <f t="shared" si="41"/>
        <v>41095.31</v>
      </c>
      <c r="J549" s="2" t="s">
        <v>27</v>
      </c>
      <c r="K549" s="5">
        <v>46223.9375</v>
      </c>
      <c r="L549">
        <v>4</v>
      </c>
      <c r="M549" s="3">
        <f t="shared" si="42"/>
        <v>10273.827499999999</v>
      </c>
      <c r="N549" t="str">
        <f t="shared" si="43"/>
        <v>ставка</v>
      </c>
      <c r="O549" s="3">
        <f t="shared" si="44"/>
        <v>805.79</v>
      </c>
      <c r="P549" s="5">
        <v>46227.5</v>
      </c>
      <c r="Q549" t="s">
        <v>55</v>
      </c>
      <c r="R549" s="2" t="s">
        <v>33</v>
      </c>
      <c r="S549">
        <v>47</v>
      </c>
      <c r="T549">
        <v>1</v>
      </c>
    </row>
    <row r="550" spans="1:20" ht="30" x14ac:dyDescent="0.25">
      <c r="A550" t="s">
        <v>1130</v>
      </c>
      <c r="B550">
        <v>1</v>
      </c>
      <c r="C550" s="2" t="s">
        <v>1131</v>
      </c>
      <c r="D550" s="3">
        <v>12640</v>
      </c>
      <c r="E550" s="4">
        <v>20</v>
      </c>
      <c r="F550" t="s">
        <v>48</v>
      </c>
      <c r="G550" s="3">
        <f t="shared" si="40"/>
        <v>15800</v>
      </c>
      <c r="H550" s="3">
        <v>0</v>
      </c>
      <c r="I550" s="3">
        <f t="shared" si="41"/>
        <v>15800</v>
      </c>
      <c r="J550" s="2" t="s">
        <v>27</v>
      </c>
      <c r="K550" s="5">
        <v>46280.583333333343</v>
      </c>
      <c r="L550">
        <v>2</v>
      </c>
      <c r="M550" s="3">
        <f t="shared" si="42"/>
        <v>7900</v>
      </c>
      <c r="N550" t="str">
        <f t="shared" si="43"/>
        <v>ставка</v>
      </c>
      <c r="O550" s="3">
        <f t="shared" si="44"/>
        <v>309.8</v>
      </c>
      <c r="P550" s="5">
        <v>46282.5</v>
      </c>
      <c r="Q550" t="s">
        <v>48</v>
      </c>
      <c r="R550" s="2" t="s">
        <v>33</v>
      </c>
      <c r="S550">
        <v>47</v>
      </c>
      <c r="T550">
        <v>1</v>
      </c>
    </row>
    <row r="551" spans="1:20" ht="30" x14ac:dyDescent="0.25">
      <c r="A551" t="s">
        <v>1132</v>
      </c>
      <c r="B551">
        <v>1</v>
      </c>
      <c r="C551" s="2" t="s">
        <v>1133</v>
      </c>
      <c r="D551" s="3">
        <v>18960</v>
      </c>
      <c r="E551" s="4">
        <v>20</v>
      </c>
      <c r="F551" t="s">
        <v>48</v>
      </c>
      <c r="G551" s="3">
        <f t="shared" si="40"/>
        <v>23700</v>
      </c>
      <c r="H551" s="3">
        <v>6000</v>
      </c>
      <c r="I551" s="3">
        <f t="shared" si="41"/>
        <v>29700</v>
      </c>
      <c r="J551" s="2" t="s">
        <v>1134</v>
      </c>
      <c r="K551" s="5">
        <v>46230.583333333343</v>
      </c>
      <c r="L551">
        <v>3</v>
      </c>
      <c r="M551" s="3">
        <f t="shared" si="42"/>
        <v>9900</v>
      </c>
      <c r="N551" t="str">
        <f t="shared" si="43"/>
        <v>ставка</v>
      </c>
      <c r="O551" s="3">
        <f t="shared" si="44"/>
        <v>582.35</v>
      </c>
      <c r="P551" s="5">
        <v>46233.5</v>
      </c>
      <c r="Q551" t="s">
        <v>48</v>
      </c>
      <c r="R551" s="2" t="s">
        <v>33</v>
      </c>
      <c r="S551">
        <v>43</v>
      </c>
      <c r="T551">
        <v>1</v>
      </c>
    </row>
    <row r="552" spans="1:20" ht="30" x14ac:dyDescent="0.25">
      <c r="A552" t="s">
        <v>1135</v>
      </c>
      <c r="B552">
        <v>1</v>
      </c>
      <c r="C552" s="2" t="s">
        <v>1136</v>
      </c>
      <c r="D552" s="3">
        <v>19295</v>
      </c>
      <c r="E552" s="4">
        <v>15</v>
      </c>
      <c r="F552" t="s">
        <v>110</v>
      </c>
      <c r="G552" s="3">
        <f t="shared" si="40"/>
        <v>22700</v>
      </c>
      <c r="H552" s="3">
        <v>0</v>
      </c>
      <c r="I552" s="3">
        <f t="shared" si="41"/>
        <v>22700</v>
      </c>
      <c r="J552" s="2" t="s">
        <v>27</v>
      </c>
      <c r="K552" s="5">
        <v>46211.583333333343</v>
      </c>
      <c r="L552">
        <v>2</v>
      </c>
      <c r="M552" s="3">
        <f t="shared" si="42"/>
        <v>11350</v>
      </c>
      <c r="N552" t="str">
        <f t="shared" si="43"/>
        <v>ставка</v>
      </c>
      <c r="O552" s="3">
        <f t="shared" si="44"/>
        <v>445.1</v>
      </c>
      <c r="P552" s="5">
        <v>46213.5</v>
      </c>
      <c r="Q552" t="s">
        <v>110</v>
      </c>
      <c r="R552" s="2" t="s">
        <v>40</v>
      </c>
      <c r="S552">
        <v>42</v>
      </c>
      <c r="T552">
        <v>1</v>
      </c>
    </row>
    <row r="553" spans="1:20" x14ac:dyDescent="0.25">
      <c r="B553">
        <v>1</v>
      </c>
      <c r="C553" s="2" t="s">
        <v>1137</v>
      </c>
      <c r="D553" s="7"/>
      <c r="E553" s="4">
        <v>0</v>
      </c>
      <c r="G553" s="3">
        <f t="shared" si="40"/>
        <v>0</v>
      </c>
      <c r="H553" s="3">
        <v>0</v>
      </c>
      <c r="I553" s="3">
        <f t="shared" si="41"/>
        <v>0</v>
      </c>
      <c r="J553" s="2"/>
      <c r="K553" s="8"/>
      <c r="M553" s="3" t="e">
        <f t="shared" si="42"/>
        <v>#DIV/0!</v>
      </c>
      <c r="N553" t="e">
        <f t="shared" si="43"/>
        <v>#DIV/0!</v>
      </c>
      <c r="O553" s="3" t="e">
        <f t="shared" si="44"/>
        <v>#DIV/0!</v>
      </c>
      <c r="P553" s="8"/>
      <c r="R553" s="2"/>
      <c r="S553" s="6"/>
    </row>
    <row r="554" spans="1:20" ht="30" x14ac:dyDescent="0.25">
      <c r="A554" t="s">
        <v>1138</v>
      </c>
      <c r="B554">
        <v>1</v>
      </c>
      <c r="C554" s="2" t="s">
        <v>1139</v>
      </c>
      <c r="D554" s="3">
        <v>15400</v>
      </c>
      <c r="E554" s="4">
        <v>0</v>
      </c>
      <c r="F554" t="s">
        <v>23</v>
      </c>
      <c r="G554" s="3">
        <f t="shared" si="40"/>
        <v>15400</v>
      </c>
      <c r="H554" s="3">
        <v>0</v>
      </c>
      <c r="I554" s="3">
        <f t="shared" si="41"/>
        <v>15400</v>
      </c>
      <c r="J554" s="2" t="s">
        <v>27</v>
      </c>
      <c r="K554" s="5">
        <v>46222.583333333343</v>
      </c>
      <c r="L554">
        <v>1</v>
      </c>
      <c r="M554" s="3">
        <f t="shared" si="42"/>
        <v>15400</v>
      </c>
      <c r="N554" t="str">
        <f t="shared" si="43"/>
        <v>ставка</v>
      </c>
      <c r="O554" s="3">
        <f t="shared" si="44"/>
        <v>301.95999999999998</v>
      </c>
      <c r="P554" s="5">
        <v>46223.5</v>
      </c>
      <c r="Q554" t="s">
        <v>23</v>
      </c>
      <c r="R554" s="2" t="s">
        <v>24</v>
      </c>
      <c r="S554">
        <v>31</v>
      </c>
      <c r="T554">
        <v>1</v>
      </c>
    </row>
    <row r="555" spans="1:20" ht="30" x14ac:dyDescent="0.25">
      <c r="A555" t="s">
        <v>1140</v>
      </c>
      <c r="B555">
        <v>1</v>
      </c>
      <c r="C555" s="2" t="s">
        <v>1141</v>
      </c>
      <c r="D555" s="3">
        <v>13350</v>
      </c>
      <c r="E555" s="4">
        <v>0</v>
      </c>
      <c r="F555" t="s">
        <v>23</v>
      </c>
      <c r="G555" s="3">
        <f t="shared" si="40"/>
        <v>13350</v>
      </c>
      <c r="H555" s="3">
        <v>0</v>
      </c>
      <c r="I555" s="3">
        <f t="shared" si="41"/>
        <v>13350</v>
      </c>
      <c r="J555" s="2" t="s">
        <v>27</v>
      </c>
      <c r="K555" s="5">
        <v>46226.583333333343</v>
      </c>
      <c r="L555">
        <v>1</v>
      </c>
      <c r="M555" s="3">
        <f t="shared" si="42"/>
        <v>13350</v>
      </c>
      <c r="N555" t="str">
        <f t="shared" si="43"/>
        <v>ставка</v>
      </c>
      <c r="O555" s="3">
        <f t="shared" si="44"/>
        <v>261.76</v>
      </c>
      <c r="P555" s="5">
        <v>46227.5</v>
      </c>
      <c r="Q555" t="s">
        <v>23</v>
      </c>
      <c r="R555" s="2" t="s">
        <v>40</v>
      </c>
      <c r="S555">
        <v>32</v>
      </c>
      <c r="T555">
        <v>1</v>
      </c>
    </row>
    <row r="556" spans="1:20" ht="30" x14ac:dyDescent="0.25">
      <c r="A556" t="s">
        <v>1142</v>
      </c>
      <c r="B556">
        <v>1</v>
      </c>
      <c r="C556" s="2" t="s">
        <v>1143</v>
      </c>
      <c r="D556" s="3">
        <v>39600</v>
      </c>
      <c r="E556" s="4">
        <v>20</v>
      </c>
      <c r="F556" t="s">
        <v>48</v>
      </c>
      <c r="G556" s="3">
        <f t="shared" si="40"/>
        <v>49500</v>
      </c>
      <c r="H556" s="3">
        <v>3440</v>
      </c>
      <c r="I556" s="3">
        <f t="shared" si="41"/>
        <v>52940</v>
      </c>
      <c r="J556" s="2" t="s">
        <v>1144</v>
      </c>
      <c r="K556" s="5">
        <v>46240.583333333343</v>
      </c>
      <c r="L556">
        <v>3</v>
      </c>
      <c r="M556" s="3">
        <f t="shared" si="42"/>
        <v>17646.666666666668</v>
      </c>
      <c r="N556" t="str">
        <f t="shared" si="43"/>
        <v>ставка</v>
      </c>
      <c r="O556" s="3">
        <f t="shared" si="44"/>
        <v>1038.04</v>
      </c>
      <c r="P556" s="5">
        <v>46243.458333333343</v>
      </c>
      <c r="Q556" t="s">
        <v>48</v>
      </c>
      <c r="R556" s="2" t="s">
        <v>49</v>
      </c>
      <c r="S556">
        <v>11</v>
      </c>
      <c r="T556">
        <v>1</v>
      </c>
    </row>
    <row r="557" spans="1:20" x14ac:dyDescent="0.25">
      <c r="A557" t="s">
        <v>1145</v>
      </c>
      <c r="B557">
        <v>1</v>
      </c>
      <c r="C557" s="2" t="s">
        <v>1146</v>
      </c>
      <c r="D557" s="3">
        <v>15800</v>
      </c>
      <c r="E557" s="4">
        <v>0</v>
      </c>
      <c r="F557" t="s">
        <v>23</v>
      </c>
      <c r="G557" s="3">
        <f t="shared" si="40"/>
        <v>15800</v>
      </c>
      <c r="H557" s="3">
        <v>0</v>
      </c>
      <c r="I557" s="3">
        <f t="shared" si="41"/>
        <v>15800</v>
      </c>
      <c r="J557" s="2" t="s">
        <v>27</v>
      </c>
      <c r="K557" s="5">
        <v>46288.583333333343</v>
      </c>
      <c r="L557">
        <v>1</v>
      </c>
      <c r="M557" s="3">
        <f t="shared" si="42"/>
        <v>15800</v>
      </c>
      <c r="N557" t="str">
        <f t="shared" si="43"/>
        <v>ставка</v>
      </c>
      <c r="O557" s="3">
        <f t="shared" si="44"/>
        <v>309.8</v>
      </c>
      <c r="P557" s="5">
        <v>46289.5</v>
      </c>
      <c r="Q557" t="s">
        <v>23</v>
      </c>
      <c r="R557" s="2" t="s">
        <v>45</v>
      </c>
      <c r="S557">
        <v>53</v>
      </c>
      <c r="T557">
        <v>2</v>
      </c>
    </row>
    <row r="558" spans="1:20" x14ac:dyDescent="0.25">
      <c r="A558" t="s">
        <v>1147</v>
      </c>
      <c r="B558">
        <v>1</v>
      </c>
      <c r="C558" s="2" t="s">
        <v>1146</v>
      </c>
      <c r="D558" s="3">
        <v>15800</v>
      </c>
      <c r="E558" s="4">
        <v>0</v>
      </c>
      <c r="F558" t="s">
        <v>23</v>
      </c>
      <c r="G558" s="3">
        <f t="shared" si="40"/>
        <v>15800</v>
      </c>
      <c r="H558" s="3">
        <v>0</v>
      </c>
      <c r="I558" s="3">
        <f t="shared" si="41"/>
        <v>15800</v>
      </c>
      <c r="J558" s="2" t="s">
        <v>27</v>
      </c>
      <c r="K558" s="5">
        <v>46289.583333333343</v>
      </c>
      <c r="L558">
        <v>1</v>
      </c>
      <c r="M558" s="3">
        <f t="shared" si="42"/>
        <v>15800</v>
      </c>
      <c r="N558" t="str">
        <f t="shared" si="43"/>
        <v>ставка</v>
      </c>
      <c r="O558" s="3">
        <f t="shared" si="44"/>
        <v>309.8</v>
      </c>
      <c r="P558" s="5">
        <v>46290.5</v>
      </c>
      <c r="Q558" t="s">
        <v>23</v>
      </c>
      <c r="R558" s="2" t="s">
        <v>45</v>
      </c>
      <c r="S558">
        <v>53</v>
      </c>
      <c r="T558">
        <v>2</v>
      </c>
    </row>
    <row r="559" spans="1:20" ht="30" x14ac:dyDescent="0.25">
      <c r="A559" t="s">
        <v>1148</v>
      </c>
      <c r="B559">
        <v>1</v>
      </c>
      <c r="C559" s="2" t="s">
        <v>1149</v>
      </c>
      <c r="D559" s="3">
        <v>12540</v>
      </c>
      <c r="E559" s="4">
        <v>18</v>
      </c>
      <c r="F559" t="s">
        <v>32</v>
      </c>
      <c r="G559" s="3">
        <f t="shared" si="40"/>
        <v>15292.68</v>
      </c>
      <c r="H559" s="3">
        <v>0</v>
      </c>
      <c r="I559" s="3">
        <f t="shared" si="41"/>
        <v>15292.68</v>
      </c>
      <c r="J559" s="2" t="s">
        <v>27</v>
      </c>
      <c r="K559" s="5">
        <v>46266.583333333343</v>
      </c>
      <c r="L559">
        <v>1</v>
      </c>
      <c r="M559" s="3">
        <f t="shared" si="42"/>
        <v>15292.68</v>
      </c>
      <c r="N559" t="str">
        <f t="shared" si="43"/>
        <v>ставка</v>
      </c>
      <c r="O559" s="3">
        <f t="shared" si="44"/>
        <v>299.86</v>
      </c>
      <c r="P559" s="5">
        <v>46267.5</v>
      </c>
      <c r="Q559" t="s">
        <v>32</v>
      </c>
      <c r="R559" s="2" t="s">
        <v>49</v>
      </c>
      <c r="S559">
        <v>11</v>
      </c>
      <c r="T559">
        <v>1</v>
      </c>
    </row>
    <row r="560" spans="1:20" ht="30" x14ac:dyDescent="0.25">
      <c r="A560" t="s">
        <v>1150</v>
      </c>
      <c r="B560">
        <v>1</v>
      </c>
      <c r="C560" s="2" t="s">
        <v>1151</v>
      </c>
      <c r="D560" s="3">
        <v>15169</v>
      </c>
      <c r="E560" s="4">
        <v>4</v>
      </c>
      <c r="F560" t="s">
        <v>55</v>
      </c>
      <c r="G560" s="3">
        <f t="shared" si="40"/>
        <v>15801.04</v>
      </c>
      <c r="H560" s="3">
        <v>0</v>
      </c>
      <c r="I560" s="3">
        <f t="shared" si="41"/>
        <v>15801.04</v>
      </c>
      <c r="J560" s="2" t="s">
        <v>27</v>
      </c>
      <c r="K560" s="5">
        <v>46246.583333333343</v>
      </c>
      <c r="L560">
        <v>1</v>
      </c>
      <c r="M560" s="3">
        <f t="shared" si="42"/>
        <v>15801.04</v>
      </c>
      <c r="N560" t="str">
        <f t="shared" si="43"/>
        <v>ставка</v>
      </c>
      <c r="O560" s="3">
        <f t="shared" si="44"/>
        <v>309.82</v>
      </c>
      <c r="P560" s="5">
        <v>46247.5</v>
      </c>
      <c r="Q560" t="s">
        <v>55</v>
      </c>
      <c r="R560" s="2" t="s">
        <v>24</v>
      </c>
      <c r="S560">
        <v>21</v>
      </c>
      <c r="T560">
        <v>1</v>
      </c>
    </row>
    <row r="561" spans="1:20" ht="30" x14ac:dyDescent="0.25">
      <c r="A561" t="s">
        <v>1152</v>
      </c>
      <c r="B561">
        <v>1</v>
      </c>
      <c r="C561" s="2" t="s">
        <v>1153</v>
      </c>
      <c r="D561" s="3">
        <v>18160</v>
      </c>
      <c r="E561" s="4">
        <v>20</v>
      </c>
      <c r="F561" t="s">
        <v>48</v>
      </c>
      <c r="G561" s="3">
        <f t="shared" si="40"/>
        <v>22700</v>
      </c>
      <c r="H561" s="3">
        <v>0</v>
      </c>
      <c r="I561" s="3">
        <f t="shared" si="41"/>
        <v>22700</v>
      </c>
      <c r="J561" s="2" t="s">
        <v>27</v>
      </c>
      <c r="K561" s="5">
        <v>46217.583333333343</v>
      </c>
      <c r="L561">
        <v>2</v>
      </c>
      <c r="M561" s="3">
        <f t="shared" si="42"/>
        <v>11350</v>
      </c>
      <c r="N561" t="str">
        <f t="shared" si="43"/>
        <v>ставка</v>
      </c>
      <c r="O561" s="3">
        <f t="shared" si="44"/>
        <v>445.1</v>
      </c>
      <c r="P561" s="5">
        <v>46219.5</v>
      </c>
      <c r="Q561" t="s">
        <v>48</v>
      </c>
      <c r="R561" s="2" t="s">
        <v>40</v>
      </c>
      <c r="S561">
        <v>33</v>
      </c>
      <c r="T561">
        <v>1</v>
      </c>
    </row>
    <row r="562" spans="1:20" ht="30" x14ac:dyDescent="0.25">
      <c r="A562" t="s">
        <v>696</v>
      </c>
      <c r="B562">
        <v>1</v>
      </c>
      <c r="C562" s="2" t="s">
        <v>1154</v>
      </c>
      <c r="D562" s="3">
        <v>97515</v>
      </c>
      <c r="E562" s="4">
        <v>17</v>
      </c>
      <c r="F562" t="s">
        <v>394</v>
      </c>
      <c r="G562" s="3">
        <f t="shared" si="40"/>
        <v>117487.95</v>
      </c>
      <c r="H562" s="3">
        <v>0</v>
      </c>
      <c r="I562" s="3">
        <f t="shared" si="41"/>
        <v>117487.95</v>
      </c>
      <c r="J562" s="2" t="s">
        <v>27</v>
      </c>
      <c r="K562" s="5">
        <v>46204.583333333343</v>
      </c>
      <c r="L562">
        <v>10</v>
      </c>
      <c r="M562" s="3">
        <f t="shared" si="42"/>
        <v>11748.795</v>
      </c>
      <c r="N562" t="str">
        <f t="shared" si="43"/>
        <v>ставка</v>
      </c>
      <c r="O562" s="3">
        <f t="shared" si="44"/>
        <v>2303.69</v>
      </c>
      <c r="P562" s="5">
        <v>46214.5</v>
      </c>
      <c r="Q562" t="s">
        <v>394</v>
      </c>
      <c r="R562" s="2" t="s">
        <v>33</v>
      </c>
      <c r="S562" s="6"/>
    </row>
    <row r="563" spans="1:20" ht="30" x14ac:dyDescent="0.25">
      <c r="A563" t="s">
        <v>1155</v>
      </c>
      <c r="B563">
        <v>1</v>
      </c>
      <c r="C563" s="2" t="s">
        <v>1156</v>
      </c>
      <c r="D563" s="3">
        <v>6320</v>
      </c>
      <c r="E563" s="4">
        <v>20</v>
      </c>
      <c r="F563" t="s">
        <v>48</v>
      </c>
      <c r="G563" s="3">
        <f t="shared" si="40"/>
        <v>7900</v>
      </c>
      <c r="H563" s="3">
        <v>0</v>
      </c>
      <c r="I563" s="3">
        <f t="shared" si="41"/>
        <v>7900</v>
      </c>
      <c r="J563" s="2" t="s">
        <v>27</v>
      </c>
      <c r="K563" s="5">
        <v>46233.583333333343</v>
      </c>
      <c r="L563">
        <v>1</v>
      </c>
      <c r="M563" s="3">
        <f t="shared" si="42"/>
        <v>7900</v>
      </c>
      <c r="N563" t="str">
        <f t="shared" si="43"/>
        <v>ставка</v>
      </c>
      <c r="O563" s="3">
        <f t="shared" si="44"/>
        <v>154.9</v>
      </c>
      <c r="P563" s="5">
        <v>46234.5</v>
      </c>
      <c r="Q563" t="s">
        <v>48</v>
      </c>
      <c r="R563" s="2" t="s">
        <v>33</v>
      </c>
      <c r="S563">
        <v>43</v>
      </c>
      <c r="T563">
        <v>1</v>
      </c>
    </row>
    <row r="564" spans="1:20" ht="30" x14ac:dyDescent="0.25">
      <c r="A564" t="s">
        <v>1157</v>
      </c>
      <c r="B564">
        <v>1</v>
      </c>
      <c r="C564" s="2" t="s">
        <v>1158</v>
      </c>
      <c r="D564" s="3">
        <v>49252.5</v>
      </c>
      <c r="E564" s="4">
        <v>4</v>
      </c>
      <c r="F564" t="s">
        <v>55</v>
      </c>
      <c r="G564" s="3">
        <f t="shared" si="40"/>
        <v>51304.69</v>
      </c>
      <c r="H564" s="3">
        <v>300</v>
      </c>
      <c r="I564" s="3">
        <f t="shared" si="41"/>
        <v>51604.69</v>
      </c>
      <c r="J564" s="2" t="s">
        <v>1159</v>
      </c>
      <c r="K564" s="5">
        <v>46228.583333333343</v>
      </c>
      <c r="L564">
        <v>3</v>
      </c>
      <c r="M564" s="3">
        <f t="shared" si="42"/>
        <v>17201.563333333335</v>
      </c>
      <c r="N564" t="str">
        <f t="shared" si="43"/>
        <v>ставка</v>
      </c>
      <c r="O564" s="3">
        <f t="shared" si="44"/>
        <v>1011.86</v>
      </c>
      <c r="P564" s="5">
        <v>46231.5</v>
      </c>
      <c r="Q564" t="s">
        <v>55</v>
      </c>
      <c r="R564" s="2" t="s">
        <v>49</v>
      </c>
      <c r="S564">
        <v>25</v>
      </c>
      <c r="T564">
        <v>1</v>
      </c>
    </row>
    <row r="565" spans="1:20" ht="30" x14ac:dyDescent="0.25">
      <c r="A565" t="s">
        <v>1160</v>
      </c>
      <c r="B565">
        <v>1</v>
      </c>
      <c r="C565" s="2" t="s">
        <v>1161</v>
      </c>
      <c r="D565" s="3">
        <v>6320</v>
      </c>
      <c r="E565" s="4">
        <v>0</v>
      </c>
      <c r="F565" t="s">
        <v>23</v>
      </c>
      <c r="G565" s="3">
        <f t="shared" si="40"/>
        <v>6320</v>
      </c>
      <c r="H565" s="3">
        <v>0</v>
      </c>
      <c r="I565" s="3">
        <f t="shared" si="41"/>
        <v>6320</v>
      </c>
      <c r="J565" s="2" t="s">
        <v>27</v>
      </c>
      <c r="K565" s="5">
        <v>46214.583333333343</v>
      </c>
      <c r="L565">
        <v>1</v>
      </c>
      <c r="M565" s="3">
        <f t="shared" si="42"/>
        <v>6320</v>
      </c>
      <c r="N565" t="str">
        <f t="shared" si="43"/>
        <v>ставка</v>
      </c>
      <c r="O565" s="3">
        <f t="shared" si="44"/>
        <v>123.92</v>
      </c>
      <c r="P565" s="5">
        <v>46215.5</v>
      </c>
      <c r="Q565" t="s">
        <v>23</v>
      </c>
      <c r="R565" s="2" t="s">
        <v>33</v>
      </c>
      <c r="S565">
        <v>41</v>
      </c>
      <c r="T565">
        <v>1</v>
      </c>
    </row>
    <row r="566" spans="1:20" ht="30" x14ac:dyDescent="0.25">
      <c r="A566" t="s">
        <v>1162</v>
      </c>
      <c r="B566">
        <v>1</v>
      </c>
      <c r="C566" s="2" t="s">
        <v>1163</v>
      </c>
      <c r="D566" s="3">
        <v>5852</v>
      </c>
      <c r="E566" s="4">
        <v>18</v>
      </c>
      <c r="F566" t="s">
        <v>32</v>
      </c>
      <c r="G566" s="3">
        <f t="shared" si="40"/>
        <v>7136.59</v>
      </c>
      <c r="H566" s="3">
        <v>0</v>
      </c>
      <c r="I566" s="3">
        <f t="shared" si="41"/>
        <v>7136.59</v>
      </c>
      <c r="J566" s="2" t="s">
        <v>27</v>
      </c>
      <c r="K566" s="5">
        <v>46222.583333333343</v>
      </c>
      <c r="L566">
        <v>1</v>
      </c>
      <c r="M566" s="3">
        <f t="shared" si="42"/>
        <v>7136.59</v>
      </c>
      <c r="N566" t="str">
        <f t="shared" si="43"/>
        <v>ставка</v>
      </c>
      <c r="O566" s="3">
        <f t="shared" si="44"/>
        <v>139.93</v>
      </c>
      <c r="P566" s="5">
        <v>46223.5</v>
      </c>
      <c r="Q566" t="s">
        <v>32</v>
      </c>
      <c r="R566" s="2" t="s">
        <v>58</v>
      </c>
      <c r="S566">
        <v>34</v>
      </c>
      <c r="T566">
        <v>1</v>
      </c>
    </row>
    <row r="567" spans="1:20" ht="45" x14ac:dyDescent="0.25">
      <c r="A567" t="s">
        <v>1164</v>
      </c>
      <c r="B567">
        <v>1</v>
      </c>
      <c r="C567" s="2" t="s">
        <v>1165</v>
      </c>
      <c r="D567" s="3">
        <v>21165</v>
      </c>
      <c r="E567" s="4">
        <v>15</v>
      </c>
      <c r="F567" t="s">
        <v>168</v>
      </c>
      <c r="G567" s="3">
        <f t="shared" si="40"/>
        <v>24900</v>
      </c>
      <c r="H567" s="3">
        <v>4000</v>
      </c>
      <c r="I567" s="3">
        <f t="shared" si="41"/>
        <v>28900</v>
      </c>
      <c r="J567" s="2" t="s">
        <v>563</v>
      </c>
      <c r="K567" s="5">
        <v>46283.583333333343</v>
      </c>
      <c r="L567">
        <v>2</v>
      </c>
      <c r="M567" s="3">
        <f t="shared" si="42"/>
        <v>14450</v>
      </c>
      <c r="N567" t="str">
        <f t="shared" si="43"/>
        <v>ставка</v>
      </c>
      <c r="O567" s="3">
        <f t="shared" si="44"/>
        <v>566.66999999999996</v>
      </c>
      <c r="P567" s="5">
        <v>46285.5</v>
      </c>
      <c r="Q567" t="s">
        <v>168</v>
      </c>
      <c r="R567" s="2" t="s">
        <v>87</v>
      </c>
      <c r="S567">
        <v>50</v>
      </c>
      <c r="T567">
        <v>2</v>
      </c>
    </row>
    <row r="568" spans="1:20" x14ac:dyDescent="0.25">
      <c r="A568" t="s">
        <v>1166</v>
      </c>
      <c r="B568">
        <v>1</v>
      </c>
      <c r="C568" s="2" t="s">
        <v>1167</v>
      </c>
      <c r="D568" s="3">
        <v>10500</v>
      </c>
      <c r="E568" s="4">
        <v>16</v>
      </c>
      <c r="F568" t="s">
        <v>36</v>
      </c>
      <c r="G568" s="3">
        <f t="shared" si="40"/>
        <v>12500</v>
      </c>
      <c r="H568" s="3">
        <v>0</v>
      </c>
      <c r="I568" s="3">
        <f t="shared" si="41"/>
        <v>12500</v>
      </c>
      <c r="J568" s="2"/>
      <c r="K568" s="5">
        <v>46281.583333333343</v>
      </c>
      <c r="L568">
        <v>1</v>
      </c>
      <c r="M568" s="3">
        <f t="shared" si="42"/>
        <v>12500</v>
      </c>
      <c r="N568" t="str">
        <f t="shared" si="43"/>
        <v>ставка</v>
      </c>
      <c r="O568" s="3">
        <f t="shared" si="44"/>
        <v>245.1</v>
      </c>
      <c r="P568" s="5">
        <v>46282.5</v>
      </c>
      <c r="Q568" t="s">
        <v>36</v>
      </c>
      <c r="R568" s="2" t="s">
        <v>45</v>
      </c>
      <c r="S568">
        <v>53</v>
      </c>
      <c r="T568">
        <v>2</v>
      </c>
    </row>
    <row r="569" spans="1:20" ht="30" x14ac:dyDescent="0.25">
      <c r="A569" t="s">
        <v>1168</v>
      </c>
      <c r="B569">
        <v>1</v>
      </c>
      <c r="C569" s="2" t="s">
        <v>1169</v>
      </c>
      <c r="D569" s="3">
        <v>13400</v>
      </c>
      <c r="E569" s="4">
        <v>0</v>
      </c>
      <c r="F569" t="s">
        <v>23</v>
      </c>
      <c r="G569" s="3">
        <f t="shared" si="40"/>
        <v>13400</v>
      </c>
      <c r="H569" s="3">
        <v>0</v>
      </c>
      <c r="I569" s="3">
        <f t="shared" si="41"/>
        <v>13400</v>
      </c>
      <c r="J569" s="2" t="s">
        <v>27</v>
      </c>
      <c r="K569" s="5">
        <v>46251.583333333343</v>
      </c>
      <c r="L569">
        <v>1</v>
      </c>
      <c r="M569" s="3">
        <f t="shared" si="42"/>
        <v>13400</v>
      </c>
      <c r="N569" t="str">
        <f t="shared" si="43"/>
        <v>ставка</v>
      </c>
      <c r="O569" s="3">
        <f t="shared" si="44"/>
        <v>262.75</v>
      </c>
      <c r="P569" s="5">
        <v>46252.5</v>
      </c>
      <c r="Q569" t="s">
        <v>23</v>
      </c>
      <c r="R569" s="2" t="s">
        <v>24</v>
      </c>
      <c r="S569">
        <v>59</v>
      </c>
      <c r="T569">
        <v>2</v>
      </c>
    </row>
    <row r="570" spans="1:20" ht="30" x14ac:dyDescent="0.25">
      <c r="A570" t="s">
        <v>1170</v>
      </c>
      <c r="B570">
        <v>1</v>
      </c>
      <c r="C570" s="2" t="s">
        <v>1171</v>
      </c>
      <c r="D570" s="3">
        <v>18960</v>
      </c>
      <c r="E570" s="4">
        <v>20</v>
      </c>
      <c r="F570" t="s">
        <v>103</v>
      </c>
      <c r="G570" s="3">
        <f t="shared" si="40"/>
        <v>23700</v>
      </c>
      <c r="H570" s="3">
        <v>0</v>
      </c>
      <c r="I570" s="3">
        <f t="shared" si="41"/>
        <v>23700</v>
      </c>
      <c r="J570" s="2" t="s">
        <v>27</v>
      </c>
      <c r="K570" s="5">
        <v>46232.583333333343</v>
      </c>
      <c r="L570">
        <v>3</v>
      </c>
      <c r="M570" s="3">
        <f t="shared" si="42"/>
        <v>7900</v>
      </c>
      <c r="N570" t="str">
        <f t="shared" si="43"/>
        <v>ставка</v>
      </c>
      <c r="O570" s="3">
        <f t="shared" si="44"/>
        <v>464.71</v>
      </c>
      <c r="P570" s="5">
        <v>46235.5</v>
      </c>
      <c r="Q570" t="s">
        <v>103</v>
      </c>
      <c r="R570" s="2" t="s">
        <v>33</v>
      </c>
      <c r="S570">
        <v>41</v>
      </c>
      <c r="T570">
        <v>1</v>
      </c>
    </row>
    <row r="571" spans="1:20" ht="30" x14ac:dyDescent="0.25">
      <c r="A571" t="s">
        <v>1172</v>
      </c>
      <c r="B571">
        <v>1</v>
      </c>
      <c r="C571" s="2" t="s">
        <v>1173</v>
      </c>
      <c r="D571" s="3">
        <v>6715</v>
      </c>
      <c r="E571" s="4">
        <v>15</v>
      </c>
      <c r="F571" t="s">
        <v>52</v>
      </c>
      <c r="G571" s="3">
        <f t="shared" si="40"/>
        <v>7900</v>
      </c>
      <c r="H571" s="3">
        <v>0</v>
      </c>
      <c r="I571" s="3">
        <f t="shared" si="41"/>
        <v>7900</v>
      </c>
      <c r="J571" s="2" t="s">
        <v>27</v>
      </c>
      <c r="K571" s="5">
        <v>46256.583333333343</v>
      </c>
      <c r="L571">
        <v>1</v>
      </c>
      <c r="M571" s="3">
        <f t="shared" si="42"/>
        <v>7900</v>
      </c>
      <c r="N571" t="str">
        <f t="shared" si="43"/>
        <v>ставка</v>
      </c>
      <c r="O571" s="3">
        <f t="shared" si="44"/>
        <v>154.9</v>
      </c>
      <c r="P571" s="5">
        <v>46257.5</v>
      </c>
      <c r="Q571" t="s">
        <v>52</v>
      </c>
      <c r="R571" s="2" t="s">
        <v>33</v>
      </c>
      <c r="S571">
        <v>45</v>
      </c>
      <c r="T571">
        <v>1</v>
      </c>
    </row>
    <row r="572" spans="1:20" ht="30" x14ac:dyDescent="0.25">
      <c r="A572" t="s">
        <v>1174</v>
      </c>
      <c r="B572">
        <v>1</v>
      </c>
      <c r="C572" s="2" t="s">
        <v>1175</v>
      </c>
      <c r="D572" s="3">
        <v>20230</v>
      </c>
      <c r="E572" s="4">
        <v>15</v>
      </c>
      <c r="F572" t="s">
        <v>52</v>
      </c>
      <c r="G572" s="3">
        <f t="shared" si="40"/>
        <v>23800</v>
      </c>
      <c r="H572" s="3">
        <v>0</v>
      </c>
      <c r="I572" s="3">
        <f t="shared" si="41"/>
        <v>23800</v>
      </c>
      <c r="J572" s="2"/>
      <c r="K572" s="5">
        <v>46227.583333333343</v>
      </c>
      <c r="L572">
        <v>2</v>
      </c>
      <c r="M572" s="3">
        <f t="shared" si="42"/>
        <v>11900</v>
      </c>
      <c r="N572" t="str">
        <f t="shared" si="43"/>
        <v>ставка</v>
      </c>
      <c r="O572" s="3">
        <f t="shared" si="44"/>
        <v>466.67</v>
      </c>
      <c r="P572" s="5">
        <v>46229.5</v>
      </c>
      <c r="Q572" t="s">
        <v>52</v>
      </c>
      <c r="R572" s="2" t="s">
        <v>24</v>
      </c>
      <c r="S572">
        <v>21</v>
      </c>
      <c r="T572">
        <v>1</v>
      </c>
    </row>
    <row r="573" spans="1:20" ht="30" x14ac:dyDescent="0.25">
      <c r="A573" t="s">
        <v>1176</v>
      </c>
      <c r="B573">
        <v>1</v>
      </c>
      <c r="C573" s="2" t="s">
        <v>1177</v>
      </c>
      <c r="D573" s="3">
        <v>9080</v>
      </c>
      <c r="E573" s="4">
        <v>20</v>
      </c>
      <c r="F573" t="s">
        <v>103</v>
      </c>
      <c r="G573" s="3">
        <f t="shared" si="40"/>
        <v>11350</v>
      </c>
      <c r="H573" s="3">
        <v>0</v>
      </c>
      <c r="I573" s="3">
        <f t="shared" si="41"/>
        <v>11350</v>
      </c>
      <c r="J573" s="2" t="s">
        <v>27</v>
      </c>
      <c r="K573" s="5">
        <v>46280.583333333343</v>
      </c>
      <c r="L573">
        <v>1</v>
      </c>
      <c r="M573" s="3">
        <f t="shared" si="42"/>
        <v>11350</v>
      </c>
      <c r="N573" t="str">
        <f t="shared" si="43"/>
        <v>ставка</v>
      </c>
      <c r="O573" s="3">
        <f t="shared" si="44"/>
        <v>222.55</v>
      </c>
      <c r="P573" s="5">
        <v>46281.5</v>
      </c>
      <c r="Q573" t="s">
        <v>103</v>
      </c>
      <c r="R573" s="2" t="s">
        <v>40</v>
      </c>
      <c r="S573">
        <v>42</v>
      </c>
      <c r="T573">
        <v>1</v>
      </c>
    </row>
    <row r="574" spans="1:20" ht="30" x14ac:dyDescent="0.25">
      <c r="A574" t="s">
        <v>1178</v>
      </c>
      <c r="B574">
        <v>1</v>
      </c>
      <c r="C574" s="2" t="s">
        <v>1179</v>
      </c>
      <c r="D574" s="3">
        <v>23700</v>
      </c>
      <c r="E574" s="4">
        <v>0</v>
      </c>
      <c r="F574" t="s">
        <v>23</v>
      </c>
      <c r="G574" s="3">
        <f t="shared" si="40"/>
        <v>23700</v>
      </c>
      <c r="H574" s="3">
        <v>0</v>
      </c>
      <c r="I574" s="3">
        <f t="shared" si="41"/>
        <v>23700</v>
      </c>
      <c r="J574" s="2" t="s">
        <v>27</v>
      </c>
      <c r="K574" s="5">
        <v>46249.583333333343</v>
      </c>
      <c r="L574">
        <v>3</v>
      </c>
      <c r="M574" s="3">
        <f t="shared" si="42"/>
        <v>7900</v>
      </c>
      <c r="N574" t="str">
        <f t="shared" si="43"/>
        <v>ставка</v>
      </c>
      <c r="O574" s="3">
        <f t="shared" si="44"/>
        <v>464.71</v>
      </c>
      <c r="P574" s="5">
        <v>46252.5</v>
      </c>
      <c r="Q574" t="s">
        <v>23</v>
      </c>
      <c r="R574" s="2" t="s">
        <v>33</v>
      </c>
      <c r="S574">
        <v>47</v>
      </c>
      <c r="T574">
        <v>1</v>
      </c>
    </row>
    <row r="575" spans="1:20" ht="30" x14ac:dyDescent="0.25">
      <c r="A575" t="s">
        <v>1180</v>
      </c>
      <c r="B575">
        <v>1</v>
      </c>
      <c r="C575" s="2" t="s">
        <v>1181</v>
      </c>
      <c r="D575" s="3">
        <v>8284</v>
      </c>
      <c r="E575" s="4">
        <v>18</v>
      </c>
      <c r="F575" t="s">
        <v>32</v>
      </c>
      <c r="G575" s="3">
        <f t="shared" si="40"/>
        <v>10102.44</v>
      </c>
      <c r="H575" s="3">
        <v>0</v>
      </c>
      <c r="I575" s="3">
        <f t="shared" si="41"/>
        <v>10102.44</v>
      </c>
      <c r="J575" s="2" t="s">
        <v>27</v>
      </c>
      <c r="K575" s="5">
        <v>46230.583333333343</v>
      </c>
      <c r="L575">
        <v>1</v>
      </c>
      <c r="M575" s="3">
        <f t="shared" si="42"/>
        <v>10102.44</v>
      </c>
      <c r="N575" t="str">
        <f t="shared" si="43"/>
        <v>ставка</v>
      </c>
      <c r="O575" s="3">
        <f t="shared" si="44"/>
        <v>198.09</v>
      </c>
      <c r="P575" s="5">
        <v>46231.5</v>
      </c>
      <c r="Q575" t="s">
        <v>32</v>
      </c>
      <c r="R575" s="2" t="s">
        <v>40</v>
      </c>
      <c r="S575">
        <v>55</v>
      </c>
      <c r="T575">
        <v>2</v>
      </c>
    </row>
    <row r="576" spans="1:20" ht="30" x14ac:dyDescent="0.25">
      <c r="A576" t="s">
        <v>1182</v>
      </c>
      <c r="B576">
        <v>1</v>
      </c>
      <c r="C576" s="2" t="s">
        <v>1183</v>
      </c>
      <c r="D576" s="3">
        <v>68085</v>
      </c>
      <c r="E576" s="4">
        <v>0</v>
      </c>
      <c r="F576" t="s">
        <v>245</v>
      </c>
      <c r="G576" s="3">
        <f t="shared" si="40"/>
        <v>68085</v>
      </c>
      <c r="H576" s="3">
        <v>0</v>
      </c>
      <c r="I576" s="3">
        <f t="shared" si="41"/>
        <v>68085</v>
      </c>
      <c r="J576" s="2" t="s">
        <v>27</v>
      </c>
      <c r="K576" s="5">
        <v>46229.583333333343</v>
      </c>
      <c r="L576">
        <v>6</v>
      </c>
      <c r="M576" s="3">
        <f t="shared" si="42"/>
        <v>11347.5</v>
      </c>
      <c r="N576" t="str">
        <f t="shared" si="43"/>
        <v>ставка</v>
      </c>
      <c r="O576" s="3">
        <f t="shared" si="44"/>
        <v>1335</v>
      </c>
      <c r="P576" s="5">
        <v>46235.5</v>
      </c>
      <c r="Q576" t="s">
        <v>245</v>
      </c>
      <c r="R576" s="2" t="s">
        <v>40</v>
      </c>
      <c r="S576">
        <v>42</v>
      </c>
      <c r="T576">
        <v>1</v>
      </c>
    </row>
    <row r="577" spans="1:20" ht="30" x14ac:dyDescent="0.25">
      <c r="A577" t="s">
        <v>1184</v>
      </c>
      <c r="B577">
        <v>1</v>
      </c>
      <c r="C577" s="2" t="s">
        <v>1185</v>
      </c>
      <c r="D577" s="3">
        <v>33660</v>
      </c>
      <c r="E577" s="4">
        <v>0</v>
      </c>
      <c r="F577" t="s">
        <v>245</v>
      </c>
      <c r="G577" s="3">
        <f t="shared" si="40"/>
        <v>33660</v>
      </c>
      <c r="H577" s="3">
        <v>0</v>
      </c>
      <c r="I577" s="3">
        <f t="shared" si="41"/>
        <v>33660</v>
      </c>
      <c r="J577" s="2" t="s">
        <v>27</v>
      </c>
      <c r="K577" s="5">
        <v>46290.583333333343</v>
      </c>
      <c r="L577">
        <v>4</v>
      </c>
      <c r="M577" s="3">
        <f t="shared" si="42"/>
        <v>8415</v>
      </c>
      <c r="N577" t="str">
        <f t="shared" si="43"/>
        <v>ставка</v>
      </c>
      <c r="O577" s="3">
        <f t="shared" si="44"/>
        <v>660</v>
      </c>
      <c r="P577" s="5">
        <v>46294.5</v>
      </c>
      <c r="Q577" t="s">
        <v>245</v>
      </c>
      <c r="R577" s="2" t="s">
        <v>33</v>
      </c>
      <c r="S577">
        <v>47</v>
      </c>
      <c r="T577">
        <v>1</v>
      </c>
    </row>
    <row r="578" spans="1:20" ht="30" x14ac:dyDescent="0.25">
      <c r="A578" t="s">
        <v>1186</v>
      </c>
      <c r="B578">
        <v>1</v>
      </c>
      <c r="C578" s="2" t="s">
        <v>1187</v>
      </c>
      <c r="D578" s="3">
        <v>21360</v>
      </c>
      <c r="E578" s="4">
        <v>18</v>
      </c>
      <c r="F578" t="s">
        <v>32</v>
      </c>
      <c r="G578" s="3">
        <f t="shared" ref="G578:G641" si="45">ROUND(D578/(100-E578)*100,2)</f>
        <v>26048.78</v>
      </c>
      <c r="H578" s="3">
        <v>0</v>
      </c>
      <c r="I578" s="3">
        <f t="shared" ref="I578:I641" si="46">ROUND(G578+H578,2)</f>
        <v>26048.78</v>
      </c>
      <c r="J578" s="2" t="s">
        <v>27</v>
      </c>
      <c r="K578" s="5">
        <v>46241.583333333343</v>
      </c>
      <c r="L578">
        <v>2</v>
      </c>
      <c r="M578" s="3">
        <f t="shared" ref="M578:M641" si="47">I578/L578</f>
        <v>13024.39</v>
      </c>
      <c r="N578" t="str">
        <f t="shared" ref="N578:N641" si="48">IF(M578&gt;=5100,"ставка","мин.ставка")</f>
        <v>ставка</v>
      </c>
      <c r="O578" s="3">
        <f t="shared" ref="O578:O641" si="49">ROUND(IF(N578="мин.ставка",L578*100,I578/102*2),2)</f>
        <v>510.76</v>
      </c>
      <c r="P578" s="5">
        <v>46243.5</v>
      </c>
      <c r="Q578" t="s">
        <v>32</v>
      </c>
      <c r="R578" s="2" t="s">
        <v>40</v>
      </c>
      <c r="S578">
        <v>58</v>
      </c>
      <c r="T578">
        <v>2</v>
      </c>
    </row>
    <row r="579" spans="1:20" ht="30" x14ac:dyDescent="0.25">
      <c r="A579" t="s">
        <v>1188</v>
      </c>
      <c r="B579">
        <v>1</v>
      </c>
      <c r="C579" s="2" t="s">
        <v>1189</v>
      </c>
      <c r="D579" s="3">
        <v>27240</v>
      </c>
      <c r="E579" s="4">
        <v>20</v>
      </c>
      <c r="F579" t="s">
        <v>103</v>
      </c>
      <c r="G579" s="3">
        <f t="shared" si="45"/>
        <v>34050</v>
      </c>
      <c r="H579" s="3">
        <v>0</v>
      </c>
      <c r="I579" s="3">
        <f t="shared" si="46"/>
        <v>34050</v>
      </c>
      <c r="J579" s="2" t="s">
        <v>27</v>
      </c>
      <c r="K579" s="5">
        <v>46279.583333333343</v>
      </c>
      <c r="L579">
        <v>3</v>
      </c>
      <c r="M579" s="3">
        <f t="shared" si="47"/>
        <v>11350</v>
      </c>
      <c r="N579" t="str">
        <f t="shared" si="48"/>
        <v>ставка</v>
      </c>
      <c r="O579" s="3">
        <f t="shared" si="49"/>
        <v>667.65</v>
      </c>
      <c r="P579" s="5">
        <v>46282.5</v>
      </c>
      <c r="Q579" t="s">
        <v>103</v>
      </c>
      <c r="R579" s="2" t="s">
        <v>40</v>
      </c>
      <c r="S579">
        <v>55</v>
      </c>
      <c r="T579">
        <v>2</v>
      </c>
    </row>
    <row r="580" spans="1:20" ht="30" x14ac:dyDescent="0.25">
      <c r="A580" t="s">
        <v>1190</v>
      </c>
      <c r="B580">
        <v>1</v>
      </c>
      <c r="C580" s="2" t="s">
        <v>1189</v>
      </c>
      <c r="D580" s="3">
        <v>18160</v>
      </c>
      <c r="E580" s="4">
        <v>20</v>
      </c>
      <c r="F580" t="s">
        <v>48</v>
      </c>
      <c r="G580" s="3">
        <f t="shared" si="45"/>
        <v>22700</v>
      </c>
      <c r="H580" s="3">
        <v>0</v>
      </c>
      <c r="I580" s="3">
        <f t="shared" si="46"/>
        <v>22700</v>
      </c>
      <c r="J580" s="2" t="s">
        <v>27</v>
      </c>
      <c r="K580" s="5">
        <v>46236.583333333343</v>
      </c>
      <c r="L580">
        <v>2</v>
      </c>
      <c r="M580" s="3">
        <f t="shared" si="47"/>
        <v>11350</v>
      </c>
      <c r="N580" t="str">
        <f t="shared" si="48"/>
        <v>ставка</v>
      </c>
      <c r="O580" s="3">
        <f t="shared" si="49"/>
        <v>445.1</v>
      </c>
      <c r="P580" s="5">
        <v>46238.5</v>
      </c>
      <c r="Q580" t="s">
        <v>48</v>
      </c>
      <c r="R580" s="2" t="s">
        <v>40</v>
      </c>
      <c r="S580">
        <v>52</v>
      </c>
      <c r="T580">
        <v>2</v>
      </c>
    </row>
    <row r="581" spans="1:20" ht="30" x14ac:dyDescent="0.25">
      <c r="A581" t="s">
        <v>1191</v>
      </c>
      <c r="B581">
        <v>1</v>
      </c>
      <c r="C581" s="2" t="s">
        <v>1192</v>
      </c>
      <c r="D581" s="3">
        <v>26286.15</v>
      </c>
      <c r="E581" s="4">
        <v>4</v>
      </c>
      <c r="F581" t="s">
        <v>55</v>
      </c>
      <c r="G581" s="3">
        <f t="shared" si="45"/>
        <v>27381.41</v>
      </c>
      <c r="H581" s="3">
        <v>0</v>
      </c>
      <c r="I581" s="3">
        <f t="shared" si="46"/>
        <v>27381.41</v>
      </c>
      <c r="J581" s="2" t="s">
        <v>27</v>
      </c>
      <c r="K581" s="5">
        <v>46248.583333333343</v>
      </c>
      <c r="L581">
        <v>2</v>
      </c>
      <c r="M581" s="3">
        <f t="shared" si="47"/>
        <v>13690.705</v>
      </c>
      <c r="N581" t="str">
        <f t="shared" si="48"/>
        <v>ставка</v>
      </c>
      <c r="O581" s="3">
        <f t="shared" si="49"/>
        <v>536.89</v>
      </c>
      <c r="P581" s="5">
        <v>46250.5</v>
      </c>
      <c r="Q581" t="s">
        <v>55</v>
      </c>
      <c r="R581" s="2" t="s">
        <v>40</v>
      </c>
      <c r="S581">
        <v>55</v>
      </c>
      <c r="T581">
        <v>2</v>
      </c>
    </row>
    <row r="582" spans="1:20" ht="30" x14ac:dyDescent="0.25">
      <c r="A582" t="s">
        <v>1193</v>
      </c>
      <c r="B582">
        <v>1</v>
      </c>
      <c r="C582" s="2" t="s">
        <v>1194</v>
      </c>
      <c r="D582" s="3">
        <v>13114</v>
      </c>
      <c r="E582" s="4">
        <v>17</v>
      </c>
      <c r="F582" t="s">
        <v>130</v>
      </c>
      <c r="G582" s="3">
        <f t="shared" si="45"/>
        <v>15800</v>
      </c>
      <c r="H582" s="3">
        <v>0</v>
      </c>
      <c r="I582" s="3">
        <f t="shared" si="46"/>
        <v>15800</v>
      </c>
      <c r="J582" s="2" t="s">
        <v>27</v>
      </c>
      <c r="K582" s="5">
        <v>46264.583333333343</v>
      </c>
      <c r="L582">
        <v>2</v>
      </c>
      <c r="M582" s="3">
        <f t="shared" si="47"/>
        <v>7900</v>
      </c>
      <c r="N582" t="str">
        <f t="shared" si="48"/>
        <v>ставка</v>
      </c>
      <c r="O582" s="3">
        <f t="shared" si="49"/>
        <v>309.8</v>
      </c>
      <c r="P582" s="5">
        <v>46266.5</v>
      </c>
      <c r="Q582" t="s">
        <v>130</v>
      </c>
      <c r="R582" s="2" t="s">
        <v>33</v>
      </c>
      <c r="S582">
        <v>43</v>
      </c>
      <c r="T582">
        <v>1</v>
      </c>
    </row>
    <row r="583" spans="1:20" ht="30" x14ac:dyDescent="0.25">
      <c r="A583" t="s">
        <v>1195</v>
      </c>
      <c r="B583">
        <v>1</v>
      </c>
      <c r="C583" s="2" t="s">
        <v>1196</v>
      </c>
      <c r="D583" s="3">
        <v>26286.15</v>
      </c>
      <c r="E583" s="4">
        <v>4</v>
      </c>
      <c r="F583" t="s">
        <v>55</v>
      </c>
      <c r="G583" s="3">
        <f t="shared" si="45"/>
        <v>27381.41</v>
      </c>
      <c r="H583" s="3">
        <v>0</v>
      </c>
      <c r="I583" s="3">
        <f t="shared" si="46"/>
        <v>27381.41</v>
      </c>
      <c r="J583" s="2" t="s">
        <v>27</v>
      </c>
      <c r="K583" s="5">
        <v>46269.583333333343</v>
      </c>
      <c r="L583">
        <v>2</v>
      </c>
      <c r="M583" s="3">
        <f t="shared" si="47"/>
        <v>13690.705</v>
      </c>
      <c r="N583" t="str">
        <f t="shared" si="48"/>
        <v>ставка</v>
      </c>
      <c r="O583" s="3">
        <f t="shared" si="49"/>
        <v>536.89</v>
      </c>
      <c r="P583" s="5">
        <v>46271.5</v>
      </c>
      <c r="Q583" t="s">
        <v>55</v>
      </c>
      <c r="R583" s="2" t="s">
        <v>40</v>
      </c>
      <c r="S583" s="6"/>
    </row>
    <row r="584" spans="1:20" ht="30" x14ac:dyDescent="0.25">
      <c r="A584" t="s">
        <v>1197</v>
      </c>
      <c r="B584">
        <v>1</v>
      </c>
      <c r="C584" s="2" t="s">
        <v>1198</v>
      </c>
      <c r="D584" s="3">
        <v>22695</v>
      </c>
      <c r="E584" s="4">
        <v>0</v>
      </c>
      <c r="F584" t="s">
        <v>245</v>
      </c>
      <c r="G584" s="3">
        <f t="shared" si="45"/>
        <v>22695</v>
      </c>
      <c r="H584" s="3">
        <v>0</v>
      </c>
      <c r="I584" s="3">
        <f t="shared" si="46"/>
        <v>22695</v>
      </c>
      <c r="J584" s="2" t="s">
        <v>27</v>
      </c>
      <c r="K584" s="5">
        <v>46275.583333333343</v>
      </c>
      <c r="L584">
        <v>2</v>
      </c>
      <c r="M584" s="3">
        <f t="shared" si="47"/>
        <v>11347.5</v>
      </c>
      <c r="N584" t="str">
        <f t="shared" si="48"/>
        <v>ставка</v>
      </c>
      <c r="O584" s="3">
        <f t="shared" si="49"/>
        <v>445</v>
      </c>
      <c r="P584" s="5">
        <v>46277.5</v>
      </c>
      <c r="Q584" t="s">
        <v>245</v>
      </c>
      <c r="R584" s="2" t="s">
        <v>49</v>
      </c>
      <c r="S584">
        <v>25</v>
      </c>
      <c r="T584">
        <v>1</v>
      </c>
    </row>
    <row r="585" spans="1:20" ht="30" x14ac:dyDescent="0.25">
      <c r="A585" t="s">
        <v>1199</v>
      </c>
      <c r="B585">
        <v>1</v>
      </c>
      <c r="C585" s="2" t="s">
        <v>1200</v>
      </c>
      <c r="D585" s="3">
        <v>22348.15</v>
      </c>
      <c r="E585" s="4">
        <v>4</v>
      </c>
      <c r="F585" t="s">
        <v>55</v>
      </c>
      <c r="G585" s="3">
        <f t="shared" si="45"/>
        <v>23279.32</v>
      </c>
      <c r="H585" s="3">
        <v>0</v>
      </c>
      <c r="I585" s="3">
        <f t="shared" si="46"/>
        <v>23279.32</v>
      </c>
      <c r="J585" s="2" t="s">
        <v>27</v>
      </c>
      <c r="K585" s="5">
        <v>46283.583333333343</v>
      </c>
      <c r="L585">
        <v>2</v>
      </c>
      <c r="M585" s="3">
        <f t="shared" si="47"/>
        <v>11639.66</v>
      </c>
      <c r="N585" t="str">
        <f t="shared" si="48"/>
        <v>ставка</v>
      </c>
      <c r="O585" s="3">
        <f t="shared" si="49"/>
        <v>456.46</v>
      </c>
      <c r="P585" s="5">
        <v>46285.5</v>
      </c>
      <c r="Q585" t="s">
        <v>55</v>
      </c>
      <c r="R585" s="2" t="s">
        <v>40</v>
      </c>
      <c r="S585">
        <v>22</v>
      </c>
      <c r="T585">
        <v>1</v>
      </c>
    </row>
    <row r="586" spans="1:20" ht="30" x14ac:dyDescent="0.25">
      <c r="A586" t="s">
        <v>1201</v>
      </c>
      <c r="B586">
        <v>1</v>
      </c>
      <c r="C586" s="2" t="s">
        <v>1202</v>
      </c>
      <c r="D586" s="3">
        <v>36960</v>
      </c>
      <c r="E586" s="4">
        <v>20</v>
      </c>
      <c r="F586" t="s">
        <v>103</v>
      </c>
      <c r="G586" s="3">
        <f t="shared" si="45"/>
        <v>46200</v>
      </c>
      <c r="H586" s="3">
        <v>800</v>
      </c>
      <c r="I586" s="3">
        <f t="shared" si="46"/>
        <v>47000</v>
      </c>
      <c r="J586" s="2" t="s">
        <v>1203</v>
      </c>
      <c r="K586" s="5">
        <v>46216.583333333343</v>
      </c>
      <c r="L586">
        <v>3</v>
      </c>
      <c r="M586" s="3">
        <f t="shared" si="47"/>
        <v>15666.666666666666</v>
      </c>
      <c r="N586" t="str">
        <f t="shared" si="48"/>
        <v>ставка</v>
      </c>
      <c r="O586" s="3">
        <f t="shared" si="49"/>
        <v>921.57</v>
      </c>
      <c r="P586" s="5">
        <v>46219.5</v>
      </c>
      <c r="Q586" t="s">
        <v>103</v>
      </c>
      <c r="R586" s="2" t="s">
        <v>24</v>
      </c>
      <c r="S586">
        <v>56</v>
      </c>
      <c r="T586">
        <v>2</v>
      </c>
    </row>
    <row r="587" spans="1:20" ht="30" x14ac:dyDescent="0.25">
      <c r="A587" t="s">
        <v>1204</v>
      </c>
      <c r="B587">
        <v>1</v>
      </c>
      <c r="C587" s="2" t="s">
        <v>1205</v>
      </c>
      <c r="D587" s="3">
        <v>40200</v>
      </c>
      <c r="E587" s="4">
        <v>0</v>
      </c>
      <c r="F587" t="s">
        <v>23</v>
      </c>
      <c r="G587" s="3">
        <f t="shared" si="45"/>
        <v>40200</v>
      </c>
      <c r="H587" s="3">
        <v>0</v>
      </c>
      <c r="I587" s="3">
        <f t="shared" si="46"/>
        <v>40200</v>
      </c>
      <c r="J587" s="2" t="s">
        <v>27</v>
      </c>
      <c r="K587" s="5">
        <v>46231.583333333343</v>
      </c>
      <c r="L587">
        <v>3</v>
      </c>
      <c r="M587" s="3">
        <f t="shared" si="47"/>
        <v>13400</v>
      </c>
      <c r="N587" t="str">
        <f t="shared" si="48"/>
        <v>ставка</v>
      </c>
      <c r="O587" s="3">
        <f t="shared" si="49"/>
        <v>788.24</v>
      </c>
      <c r="P587" s="5">
        <v>46234.5</v>
      </c>
      <c r="Q587" t="s">
        <v>23</v>
      </c>
      <c r="R587" s="2" t="s">
        <v>24</v>
      </c>
      <c r="S587">
        <v>21</v>
      </c>
      <c r="T587">
        <v>1</v>
      </c>
    </row>
    <row r="588" spans="1:20" ht="30" x14ac:dyDescent="0.25">
      <c r="A588" t="s">
        <v>1206</v>
      </c>
      <c r="B588">
        <v>1</v>
      </c>
      <c r="C588" s="2" t="s">
        <v>1207</v>
      </c>
      <c r="D588" s="3">
        <v>9647.5</v>
      </c>
      <c r="E588" s="4">
        <v>15</v>
      </c>
      <c r="F588" t="s">
        <v>73</v>
      </c>
      <c r="G588" s="3">
        <f t="shared" si="45"/>
        <v>11350</v>
      </c>
      <c r="H588" s="3">
        <v>0</v>
      </c>
      <c r="I588" s="3">
        <f t="shared" si="46"/>
        <v>11350</v>
      </c>
      <c r="J588" s="2" t="s">
        <v>27</v>
      </c>
      <c r="K588" s="5">
        <v>46258.583333333343</v>
      </c>
      <c r="L588">
        <v>1</v>
      </c>
      <c r="M588" s="3">
        <f t="shared" si="47"/>
        <v>11350</v>
      </c>
      <c r="N588" t="str">
        <f t="shared" si="48"/>
        <v>ставка</v>
      </c>
      <c r="O588" s="3">
        <f t="shared" si="49"/>
        <v>222.55</v>
      </c>
      <c r="P588" s="5">
        <v>46259.5</v>
      </c>
      <c r="Q588" t="s">
        <v>73</v>
      </c>
      <c r="R588" s="2" t="s">
        <v>40</v>
      </c>
      <c r="S588">
        <v>55</v>
      </c>
      <c r="T588">
        <v>2</v>
      </c>
    </row>
    <row r="589" spans="1:20" x14ac:dyDescent="0.25">
      <c r="A589" t="s">
        <v>1208</v>
      </c>
      <c r="B589">
        <v>1</v>
      </c>
      <c r="C589" s="2" t="s">
        <v>1209</v>
      </c>
      <c r="D589" s="3">
        <v>14500</v>
      </c>
      <c r="E589" s="4">
        <v>0</v>
      </c>
      <c r="F589" t="s">
        <v>23</v>
      </c>
      <c r="G589" s="3">
        <f t="shared" si="45"/>
        <v>14500</v>
      </c>
      <c r="H589" s="3">
        <v>0</v>
      </c>
      <c r="I589" s="3">
        <f t="shared" si="46"/>
        <v>14500</v>
      </c>
      <c r="J589" s="2"/>
      <c r="K589" s="5">
        <v>46204.583333333343</v>
      </c>
      <c r="L589">
        <v>1</v>
      </c>
      <c r="M589" s="3">
        <f t="shared" si="47"/>
        <v>14500</v>
      </c>
      <c r="N589" t="str">
        <f t="shared" si="48"/>
        <v>ставка</v>
      </c>
      <c r="O589" s="3">
        <f t="shared" si="49"/>
        <v>284.31</v>
      </c>
      <c r="P589" s="5">
        <v>46205.5</v>
      </c>
      <c r="Q589" t="s">
        <v>23</v>
      </c>
      <c r="R589" s="2" t="s">
        <v>45</v>
      </c>
      <c r="S589">
        <v>54</v>
      </c>
      <c r="T589">
        <v>2</v>
      </c>
    </row>
    <row r="590" spans="1:20" ht="30" x14ac:dyDescent="0.25">
      <c r="A590" t="s">
        <v>276</v>
      </c>
      <c r="B590">
        <v>1</v>
      </c>
      <c r="C590" s="2" t="s">
        <v>1210</v>
      </c>
      <c r="D590" s="3">
        <v>11214</v>
      </c>
      <c r="E590" s="4">
        <v>16</v>
      </c>
      <c r="F590" t="s">
        <v>36</v>
      </c>
      <c r="G590" s="3">
        <f t="shared" si="45"/>
        <v>13350</v>
      </c>
      <c r="H590" s="3">
        <v>0</v>
      </c>
      <c r="I590" s="3">
        <f t="shared" si="46"/>
        <v>13350</v>
      </c>
      <c r="J590" s="2" t="s">
        <v>27</v>
      </c>
      <c r="K590" s="5">
        <v>46284.583333333343</v>
      </c>
      <c r="L590">
        <v>1</v>
      </c>
      <c r="M590" s="3">
        <f t="shared" si="47"/>
        <v>13350</v>
      </c>
      <c r="N590" t="str">
        <f t="shared" si="48"/>
        <v>ставка</v>
      </c>
      <c r="O590" s="3">
        <f t="shared" si="49"/>
        <v>261.76</v>
      </c>
      <c r="P590" s="5">
        <v>46285.5</v>
      </c>
      <c r="Q590" t="s">
        <v>36</v>
      </c>
      <c r="R590" s="2" t="s">
        <v>40</v>
      </c>
      <c r="S590" s="6"/>
    </row>
    <row r="591" spans="1:20" ht="30" x14ac:dyDescent="0.25">
      <c r="A591" t="s">
        <v>1211</v>
      </c>
      <c r="B591">
        <v>1</v>
      </c>
      <c r="C591" s="2" t="s">
        <v>1212</v>
      </c>
      <c r="D591" s="3">
        <v>6545</v>
      </c>
      <c r="E591" s="4">
        <v>15</v>
      </c>
      <c r="F591" t="s">
        <v>110</v>
      </c>
      <c r="G591" s="3">
        <f t="shared" si="45"/>
        <v>7700</v>
      </c>
      <c r="H591" s="3">
        <v>0</v>
      </c>
      <c r="I591" s="3">
        <f t="shared" si="46"/>
        <v>7700</v>
      </c>
      <c r="J591" s="2" t="s">
        <v>27</v>
      </c>
      <c r="K591" s="5">
        <v>46232.583333333343</v>
      </c>
      <c r="L591">
        <v>1</v>
      </c>
      <c r="M591" s="3">
        <f t="shared" si="47"/>
        <v>7700</v>
      </c>
      <c r="N591" t="str">
        <f t="shared" si="48"/>
        <v>ставка</v>
      </c>
      <c r="O591" s="3">
        <f t="shared" si="49"/>
        <v>150.97999999999999</v>
      </c>
      <c r="P591" s="5">
        <v>46233.5</v>
      </c>
      <c r="Q591" t="s">
        <v>110</v>
      </c>
      <c r="R591" s="2" t="s">
        <v>58</v>
      </c>
      <c r="S591">
        <v>34</v>
      </c>
      <c r="T591">
        <v>1</v>
      </c>
    </row>
    <row r="592" spans="1:20" ht="30" x14ac:dyDescent="0.25">
      <c r="A592" t="s">
        <v>1213</v>
      </c>
      <c r="B592">
        <v>1</v>
      </c>
      <c r="C592" s="2" t="s">
        <v>1214</v>
      </c>
      <c r="D592" s="3">
        <v>14820</v>
      </c>
      <c r="E592" s="4">
        <v>18</v>
      </c>
      <c r="F592" t="s">
        <v>32</v>
      </c>
      <c r="G592" s="3">
        <f t="shared" si="45"/>
        <v>18073.169999999998</v>
      </c>
      <c r="H592" s="3">
        <v>0</v>
      </c>
      <c r="I592" s="3">
        <f t="shared" si="46"/>
        <v>18073.169999999998</v>
      </c>
      <c r="J592" s="2" t="s">
        <v>27</v>
      </c>
      <c r="K592" s="5">
        <v>46295.583333333343</v>
      </c>
      <c r="L592">
        <v>2</v>
      </c>
      <c r="M592" s="3">
        <f t="shared" si="47"/>
        <v>9036.5849999999991</v>
      </c>
      <c r="N592" t="str">
        <f t="shared" si="48"/>
        <v>ставка</v>
      </c>
      <c r="O592" s="3">
        <f t="shared" si="49"/>
        <v>354.38</v>
      </c>
      <c r="P592" s="5">
        <v>46297.5</v>
      </c>
      <c r="Q592" t="s">
        <v>32</v>
      </c>
      <c r="R592" s="2" t="s">
        <v>33</v>
      </c>
      <c r="S592">
        <v>47</v>
      </c>
      <c r="T592">
        <v>1</v>
      </c>
    </row>
    <row r="593" spans="1:20" x14ac:dyDescent="0.25">
      <c r="A593" t="s">
        <v>1215</v>
      </c>
      <c r="B593">
        <v>1</v>
      </c>
      <c r="C593" s="2" t="s">
        <v>1216</v>
      </c>
      <c r="D593" s="3">
        <v>17800</v>
      </c>
      <c r="E593" s="4">
        <v>0</v>
      </c>
      <c r="F593" t="s">
        <v>23</v>
      </c>
      <c r="G593" s="3">
        <f t="shared" si="45"/>
        <v>17800</v>
      </c>
      <c r="H593" s="3">
        <v>0</v>
      </c>
      <c r="I593" s="3">
        <f t="shared" si="46"/>
        <v>17800</v>
      </c>
      <c r="J593" s="2" t="s">
        <v>27</v>
      </c>
      <c r="K593" s="5">
        <v>46293.583333333343</v>
      </c>
      <c r="L593">
        <v>1</v>
      </c>
      <c r="M593" s="3">
        <f t="shared" si="47"/>
        <v>17800</v>
      </c>
      <c r="N593" t="str">
        <f t="shared" si="48"/>
        <v>ставка</v>
      </c>
      <c r="O593" s="3">
        <f t="shared" si="49"/>
        <v>349.02</v>
      </c>
      <c r="P593" s="5">
        <v>46294.5</v>
      </c>
      <c r="Q593" t="s">
        <v>23</v>
      </c>
      <c r="R593" s="2" t="s">
        <v>45</v>
      </c>
      <c r="S593">
        <v>54</v>
      </c>
      <c r="T593">
        <v>2</v>
      </c>
    </row>
    <row r="594" spans="1:20" ht="30" x14ac:dyDescent="0.25">
      <c r="A594" t="s">
        <v>1217</v>
      </c>
      <c r="B594">
        <v>1</v>
      </c>
      <c r="C594" s="2" t="s">
        <v>1218</v>
      </c>
      <c r="D594" s="3">
        <v>33241.5</v>
      </c>
      <c r="E594" s="4">
        <v>17</v>
      </c>
      <c r="F594" t="s">
        <v>130</v>
      </c>
      <c r="G594" s="3">
        <f t="shared" si="45"/>
        <v>40050</v>
      </c>
      <c r="H594" s="3">
        <v>0</v>
      </c>
      <c r="I594" s="3">
        <f t="shared" si="46"/>
        <v>40050</v>
      </c>
      <c r="J594" s="2" t="s">
        <v>27</v>
      </c>
      <c r="K594" s="5">
        <v>46220.583333333343</v>
      </c>
      <c r="L594">
        <v>3</v>
      </c>
      <c r="M594" s="3">
        <f t="shared" si="47"/>
        <v>13350</v>
      </c>
      <c r="N594" t="str">
        <f t="shared" si="48"/>
        <v>ставка</v>
      </c>
      <c r="O594" s="3">
        <f t="shared" si="49"/>
        <v>785.29</v>
      </c>
      <c r="P594" s="5">
        <v>46223.5</v>
      </c>
      <c r="Q594" t="s">
        <v>130</v>
      </c>
      <c r="R594" s="2" t="s">
        <v>40</v>
      </c>
      <c r="S594">
        <v>55</v>
      </c>
      <c r="T594">
        <v>2</v>
      </c>
    </row>
    <row r="595" spans="1:20" ht="30" x14ac:dyDescent="0.25">
      <c r="A595" t="s">
        <v>1219</v>
      </c>
      <c r="B595">
        <v>1</v>
      </c>
      <c r="C595" s="2" t="s">
        <v>1220</v>
      </c>
      <c r="D595" s="3">
        <v>41269.1</v>
      </c>
      <c r="E595" s="4">
        <v>4</v>
      </c>
      <c r="F595" t="s">
        <v>55</v>
      </c>
      <c r="G595" s="3">
        <f t="shared" si="45"/>
        <v>42988.65</v>
      </c>
      <c r="H595" s="3">
        <v>0</v>
      </c>
      <c r="I595" s="3">
        <f t="shared" si="46"/>
        <v>42988.65</v>
      </c>
      <c r="J595" s="2"/>
      <c r="K595" s="5">
        <v>46248.583333333343</v>
      </c>
      <c r="L595">
        <v>3</v>
      </c>
      <c r="M595" s="3">
        <f t="shared" si="47"/>
        <v>14329.550000000001</v>
      </c>
      <c r="N595" t="str">
        <f t="shared" si="48"/>
        <v>ставка</v>
      </c>
      <c r="O595" s="3">
        <f t="shared" si="49"/>
        <v>842.91</v>
      </c>
      <c r="P595" s="5">
        <v>46251.5</v>
      </c>
      <c r="Q595" t="s">
        <v>55</v>
      </c>
      <c r="R595" s="2" t="s">
        <v>24</v>
      </c>
      <c r="S595">
        <v>59</v>
      </c>
      <c r="T595">
        <v>2</v>
      </c>
    </row>
    <row r="596" spans="1:20" ht="30" x14ac:dyDescent="0.25">
      <c r="A596" t="s">
        <v>1221</v>
      </c>
      <c r="B596">
        <v>1</v>
      </c>
      <c r="C596" s="2" t="s">
        <v>1222</v>
      </c>
      <c r="D596" s="3">
        <v>13350</v>
      </c>
      <c r="E596" s="4">
        <v>0</v>
      </c>
      <c r="F596" t="s">
        <v>23</v>
      </c>
      <c r="G596" s="3">
        <f t="shared" si="45"/>
        <v>13350</v>
      </c>
      <c r="H596" s="3">
        <v>0</v>
      </c>
      <c r="I596" s="3">
        <f t="shared" si="46"/>
        <v>13350</v>
      </c>
      <c r="J596" s="2" t="s">
        <v>27</v>
      </c>
      <c r="K596" s="5">
        <v>46214.583333333343</v>
      </c>
      <c r="L596">
        <v>1</v>
      </c>
      <c r="M596" s="3">
        <f t="shared" si="47"/>
        <v>13350</v>
      </c>
      <c r="N596" t="str">
        <f t="shared" si="48"/>
        <v>ставка</v>
      </c>
      <c r="O596" s="3">
        <f t="shared" si="49"/>
        <v>261.76</v>
      </c>
      <c r="P596" s="5">
        <v>46215.5</v>
      </c>
      <c r="Q596" t="s">
        <v>23</v>
      </c>
      <c r="R596" s="2" t="s">
        <v>40</v>
      </c>
      <c r="S596">
        <v>52</v>
      </c>
      <c r="T596">
        <v>2</v>
      </c>
    </row>
    <row r="597" spans="1:20" ht="30" x14ac:dyDescent="0.25">
      <c r="A597" t="s">
        <v>1223</v>
      </c>
      <c r="B597">
        <v>1</v>
      </c>
      <c r="C597" s="2" t="s">
        <v>1224</v>
      </c>
      <c r="D597" s="3">
        <v>6715</v>
      </c>
      <c r="E597" s="4">
        <v>15</v>
      </c>
      <c r="F597" t="s">
        <v>36</v>
      </c>
      <c r="G597" s="3">
        <f t="shared" si="45"/>
        <v>7900</v>
      </c>
      <c r="H597" s="3">
        <v>0</v>
      </c>
      <c r="I597" s="3">
        <f t="shared" si="46"/>
        <v>7900</v>
      </c>
      <c r="J597" s="2" t="s">
        <v>27</v>
      </c>
      <c r="K597" s="5">
        <v>46228.583333333343</v>
      </c>
      <c r="L597">
        <v>1</v>
      </c>
      <c r="M597" s="3">
        <f t="shared" si="47"/>
        <v>7900</v>
      </c>
      <c r="N597" t="str">
        <f t="shared" si="48"/>
        <v>ставка</v>
      </c>
      <c r="O597" s="3">
        <f t="shared" si="49"/>
        <v>154.9</v>
      </c>
      <c r="P597" s="5">
        <v>46229.5</v>
      </c>
      <c r="Q597" t="s">
        <v>36</v>
      </c>
      <c r="R597" s="2" t="s">
        <v>33</v>
      </c>
      <c r="S597">
        <v>41</v>
      </c>
      <c r="T597">
        <v>1</v>
      </c>
    </row>
    <row r="598" spans="1:20" ht="30" x14ac:dyDescent="0.25">
      <c r="A598" t="s">
        <v>1225</v>
      </c>
      <c r="B598">
        <v>1</v>
      </c>
      <c r="C598" s="2" t="s">
        <v>1226</v>
      </c>
      <c r="D598" s="3">
        <v>22428</v>
      </c>
      <c r="E598" s="4">
        <v>16</v>
      </c>
      <c r="F598" t="s">
        <v>36</v>
      </c>
      <c r="G598" s="3">
        <f t="shared" si="45"/>
        <v>26700</v>
      </c>
      <c r="H598" s="3">
        <v>0</v>
      </c>
      <c r="I598" s="3">
        <f t="shared" si="46"/>
        <v>26700</v>
      </c>
      <c r="J598" s="2" t="s">
        <v>27</v>
      </c>
      <c r="K598" s="5">
        <v>46271.583333333343</v>
      </c>
      <c r="L598">
        <v>2</v>
      </c>
      <c r="M598" s="3">
        <f t="shared" si="47"/>
        <v>13350</v>
      </c>
      <c r="N598" t="str">
        <f t="shared" si="48"/>
        <v>ставка</v>
      </c>
      <c r="O598" s="3">
        <f t="shared" si="49"/>
        <v>523.53</v>
      </c>
      <c r="P598" s="5">
        <v>46273.5</v>
      </c>
      <c r="Q598" t="s">
        <v>36</v>
      </c>
      <c r="R598" s="2" t="s">
        <v>40</v>
      </c>
      <c r="S598">
        <v>23</v>
      </c>
      <c r="T598">
        <v>1</v>
      </c>
    </row>
    <row r="599" spans="1:20" x14ac:dyDescent="0.25">
      <c r="A599" t="s">
        <v>1227</v>
      </c>
      <c r="B599">
        <v>1</v>
      </c>
      <c r="C599" s="2" t="s">
        <v>1228</v>
      </c>
      <c r="D599" s="3">
        <v>9080</v>
      </c>
      <c r="E599" s="4">
        <v>20</v>
      </c>
      <c r="F599" t="s">
        <v>103</v>
      </c>
      <c r="G599" s="3">
        <f t="shared" si="45"/>
        <v>11350</v>
      </c>
      <c r="H599" s="3">
        <v>0</v>
      </c>
      <c r="I599" s="3">
        <f t="shared" si="46"/>
        <v>11350</v>
      </c>
      <c r="J599" s="2" t="s">
        <v>27</v>
      </c>
      <c r="K599" s="5">
        <v>46260.583333333343</v>
      </c>
      <c r="L599">
        <v>1</v>
      </c>
      <c r="M599" s="3">
        <f t="shared" si="47"/>
        <v>11350</v>
      </c>
      <c r="N599" t="str">
        <f t="shared" si="48"/>
        <v>ставка</v>
      </c>
      <c r="O599" s="3">
        <f t="shared" si="49"/>
        <v>222.55</v>
      </c>
      <c r="P599" s="5">
        <v>46261.5</v>
      </c>
      <c r="Q599" t="s">
        <v>103</v>
      </c>
      <c r="R599" s="2" t="s">
        <v>49</v>
      </c>
      <c r="S599">
        <v>35</v>
      </c>
      <c r="T599">
        <v>1</v>
      </c>
    </row>
    <row r="600" spans="1:20" ht="30" x14ac:dyDescent="0.25">
      <c r="A600" t="s">
        <v>1229</v>
      </c>
      <c r="B600">
        <v>1</v>
      </c>
      <c r="C600" s="2" t="s">
        <v>1230</v>
      </c>
      <c r="D600" s="3">
        <v>6545</v>
      </c>
      <c r="E600" s="4">
        <v>15</v>
      </c>
      <c r="F600" t="s">
        <v>110</v>
      </c>
      <c r="G600" s="3">
        <f t="shared" si="45"/>
        <v>7700</v>
      </c>
      <c r="H600" s="3">
        <v>0</v>
      </c>
      <c r="I600" s="3">
        <f t="shared" si="46"/>
        <v>7700</v>
      </c>
      <c r="J600" s="2" t="s">
        <v>27</v>
      </c>
      <c r="K600" s="5">
        <v>46246.583333333343</v>
      </c>
      <c r="L600">
        <v>1</v>
      </c>
      <c r="M600" s="3">
        <f t="shared" si="47"/>
        <v>7700</v>
      </c>
      <c r="N600" t="str">
        <f t="shared" si="48"/>
        <v>ставка</v>
      </c>
      <c r="O600" s="3">
        <f t="shared" si="49"/>
        <v>150.97999999999999</v>
      </c>
      <c r="P600" s="5">
        <v>46247.5</v>
      </c>
      <c r="Q600" t="s">
        <v>110</v>
      </c>
      <c r="R600" s="2" t="s">
        <v>58</v>
      </c>
      <c r="S600">
        <v>34</v>
      </c>
      <c r="T600">
        <v>1</v>
      </c>
    </row>
    <row r="601" spans="1:20" ht="30" x14ac:dyDescent="0.25">
      <c r="A601" t="s">
        <v>1231</v>
      </c>
      <c r="B601">
        <v>1</v>
      </c>
      <c r="C601" s="2" t="s">
        <v>1232</v>
      </c>
      <c r="D601" s="3">
        <v>24640</v>
      </c>
      <c r="E601" s="4">
        <v>20</v>
      </c>
      <c r="F601" t="s">
        <v>173</v>
      </c>
      <c r="G601" s="3">
        <f t="shared" si="45"/>
        <v>30800</v>
      </c>
      <c r="H601" s="3">
        <v>0</v>
      </c>
      <c r="I601" s="3">
        <f t="shared" si="46"/>
        <v>30800</v>
      </c>
      <c r="J601" s="2" t="s">
        <v>27</v>
      </c>
      <c r="K601" s="5">
        <v>46262.583333333343</v>
      </c>
      <c r="L601">
        <v>2</v>
      </c>
      <c r="M601" s="3">
        <f t="shared" si="47"/>
        <v>15400</v>
      </c>
      <c r="N601" t="str">
        <f t="shared" si="48"/>
        <v>ставка</v>
      </c>
      <c r="O601" s="3">
        <f t="shared" si="49"/>
        <v>603.91999999999996</v>
      </c>
      <c r="P601" s="5">
        <v>46264.5</v>
      </c>
      <c r="Q601" t="s">
        <v>173</v>
      </c>
      <c r="R601" s="2" t="s">
        <v>45</v>
      </c>
      <c r="S601">
        <v>54</v>
      </c>
      <c r="T601">
        <v>2</v>
      </c>
    </row>
    <row r="602" spans="1:20" x14ac:dyDescent="0.25">
      <c r="A602" t="s">
        <v>1233</v>
      </c>
      <c r="B602">
        <v>1</v>
      </c>
      <c r="C602" s="2" t="s">
        <v>1234</v>
      </c>
      <c r="D602" s="3">
        <v>26400</v>
      </c>
      <c r="E602" s="4">
        <v>18</v>
      </c>
      <c r="F602" t="s">
        <v>32</v>
      </c>
      <c r="G602" s="3">
        <f t="shared" si="45"/>
        <v>32195.119999999999</v>
      </c>
      <c r="H602" s="3">
        <v>0</v>
      </c>
      <c r="I602" s="3">
        <f t="shared" si="46"/>
        <v>32195.119999999999</v>
      </c>
      <c r="J602" s="2" t="s">
        <v>27</v>
      </c>
      <c r="K602" s="5">
        <v>46248.583333333343</v>
      </c>
      <c r="L602">
        <v>2</v>
      </c>
      <c r="M602" s="3">
        <f t="shared" si="47"/>
        <v>16097.56</v>
      </c>
      <c r="N602" t="str">
        <f t="shared" si="48"/>
        <v>ставка</v>
      </c>
      <c r="O602" s="3">
        <f t="shared" si="49"/>
        <v>631.28</v>
      </c>
      <c r="P602" s="5">
        <v>46250.5</v>
      </c>
      <c r="Q602" t="s">
        <v>32</v>
      </c>
      <c r="R602" s="2" t="s">
        <v>49</v>
      </c>
      <c r="S602">
        <v>25</v>
      </c>
      <c r="T602">
        <v>1</v>
      </c>
    </row>
    <row r="603" spans="1:20" ht="30" x14ac:dyDescent="0.25">
      <c r="A603" t="s">
        <v>1235</v>
      </c>
      <c r="B603">
        <v>1</v>
      </c>
      <c r="C603" s="2" t="s">
        <v>1236</v>
      </c>
      <c r="D603" s="3">
        <v>13860</v>
      </c>
      <c r="E603" s="4">
        <v>0</v>
      </c>
      <c r="F603" t="s">
        <v>23</v>
      </c>
      <c r="G603" s="3">
        <f t="shared" si="45"/>
        <v>13860</v>
      </c>
      <c r="H603" s="3">
        <v>0</v>
      </c>
      <c r="I603" s="3">
        <f t="shared" si="46"/>
        <v>13860</v>
      </c>
      <c r="J603" s="2" t="s">
        <v>27</v>
      </c>
      <c r="K603" s="5">
        <v>46242.583333333343</v>
      </c>
      <c r="L603">
        <v>1</v>
      </c>
      <c r="M603" s="3">
        <f t="shared" si="47"/>
        <v>13860</v>
      </c>
      <c r="N603" t="str">
        <f t="shared" si="48"/>
        <v>ставка</v>
      </c>
      <c r="O603" s="3">
        <f t="shared" si="49"/>
        <v>271.76</v>
      </c>
      <c r="P603" s="5">
        <v>46243.5</v>
      </c>
      <c r="Q603" t="s">
        <v>23</v>
      </c>
      <c r="R603" s="2" t="s">
        <v>24</v>
      </c>
      <c r="S603">
        <v>31</v>
      </c>
      <c r="T603">
        <v>1</v>
      </c>
    </row>
    <row r="604" spans="1:20" ht="30" x14ac:dyDescent="0.25">
      <c r="A604" t="s">
        <v>1237</v>
      </c>
      <c r="B604">
        <v>1</v>
      </c>
      <c r="C604" s="2" t="s">
        <v>1238</v>
      </c>
      <c r="D604" s="3">
        <v>73920</v>
      </c>
      <c r="E604" s="4">
        <v>18</v>
      </c>
      <c r="F604" t="s">
        <v>32</v>
      </c>
      <c r="G604" s="3">
        <f t="shared" si="45"/>
        <v>90146.34</v>
      </c>
      <c r="H604" s="3">
        <v>0</v>
      </c>
      <c r="I604" s="3">
        <f t="shared" si="46"/>
        <v>90146.34</v>
      </c>
      <c r="J604" s="2" t="s">
        <v>27</v>
      </c>
      <c r="K604" s="5">
        <v>46215.583333333343</v>
      </c>
      <c r="L604">
        <v>6</v>
      </c>
      <c r="M604" s="3">
        <f t="shared" si="47"/>
        <v>15024.39</v>
      </c>
      <c r="N604" t="str">
        <f t="shared" si="48"/>
        <v>ставка</v>
      </c>
      <c r="O604" s="3">
        <f t="shared" si="49"/>
        <v>1767.58</v>
      </c>
      <c r="P604" s="5">
        <v>46221.5</v>
      </c>
      <c r="Q604" t="s">
        <v>32</v>
      </c>
      <c r="R604" s="2" t="s">
        <v>24</v>
      </c>
      <c r="S604">
        <v>31</v>
      </c>
      <c r="T604">
        <v>1</v>
      </c>
    </row>
    <row r="605" spans="1:20" ht="30" x14ac:dyDescent="0.25">
      <c r="A605" t="s">
        <v>1239</v>
      </c>
      <c r="B605">
        <v>1</v>
      </c>
      <c r="C605" s="2" t="s">
        <v>1240</v>
      </c>
      <c r="D605" s="3">
        <v>11850</v>
      </c>
      <c r="E605" s="4">
        <v>0</v>
      </c>
      <c r="F605" t="s">
        <v>23</v>
      </c>
      <c r="G605" s="3">
        <f t="shared" si="45"/>
        <v>11850</v>
      </c>
      <c r="H605" s="3">
        <v>0</v>
      </c>
      <c r="I605" s="3">
        <f t="shared" si="46"/>
        <v>11850</v>
      </c>
      <c r="J605" s="2"/>
      <c r="K605" s="5">
        <v>46292.583333333343</v>
      </c>
      <c r="L605">
        <v>1</v>
      </c>
      <c r="M605" s="3">
        <f t="shared" si="47"/>
        <v>11850</v>
      </c>
      <c r="N605" t="str">
        <f t="shared" si="48"/>
        <v>ставка</v>
      </c>
      <c r="O605" s="3">
        <f t="shared" si="49"/>
        <v>232.35</v>
      </c>
      <c r="P605" s="5">
        <v>46293.5</v>
      </c>
      <c r="Q605" t="s">
        <v>23</v>
      </c>
      <c r="R605" s="2" t="s">
        <v>40</v>
      </c>
      <c r="S605">
        <v>33</v>
      </c>
      <c r="T605">
        <v>1</v>
      </c>
    </row>
    <row r="606" spans="1:20" ht="30" x14ac:dyDescent="0.25">
      <c r="A606" t="s">
        <v>1241</v>
      </c>
      <c r="B606">
        <v>1</v>
      </c>
      <c r="C606" s="2" t="s">
        <v>1242</v>
      </c>
      <c r="D606" s="3">
        <v>15130</v>
      </c>
      <c r="E606" s="4">
        <v>15</v>
      </c>
      <c r="F606" t="s">
        <v>36</v>
      </c>
      <c r="G606" s="3">
        <f t="shared" si="45"/>
        <v>17800</v>
      </c>
      <c r="H606" s="3">
        <v>0</v>
      </c>
      <c r="I606" s="3">
        <f t="shared" si="46"/>
        <v>17800</v>
      </c>
      <c r="J606" s="2" t="s">
        <v>27</v>
      </c>
      <c r="K606" s="5">
        <v>46230.583333333343</v>
      </c>
      <c r="L606">
        <v>2</v>
      </c>
      <c r="M606" s="3">
        <f t="shared" si="47"/>
        <v>8900</v>
      </c>
      <c r="N606" t="str">
        <f t="shared" si="48"/>
        <v>ставка</v>
      </c>
      <c r="O606" s="3">
        <f t="shared" si="49"/>
        <v>349.02</v>
      </c>
      <c r="P606" s="5">
        <v>46232.5</v>
      </c>
      <c r="Q606" t="s">
        <v>36</v>
      </c>
      <c r="R606" s="2" t="s">
        <v>40</v>
      </c>
      <c r="S606">
        <v>58</v>
      </c>
      <c r="T606">
        <v>2</v>
      </c>
    </row>
    <row r="607" spans="1:20" ht="30" x14ac:dyDescent="0.25">
      <c r="A607" t="s">
        <v>1243</v>
      </c>
      <c r="B607">
        <v>1</v>
      </c>
      <c r="C607" s="2" t="s">
        <v>1244</v>
      </c>
      <c r="D607" s="3">
        <v>22161</v>
      </c>
      <c r="E607" s="4">
        <v>17</v>
      </c>
      <c r="F607" t="s">
        <v>130</v>
      </c>
      <c r="G607" s="3">
        <f t="shared" si="45"/>
        <v>26700</v>
      </c>
      <c r="H607" s="3">
        <v>0</v>
      </c>
      <c r="I607" s="3">
        <f t="shared" si="46"/>
        <v>26700</v>
      </c>
      <c r="J607" s="2" t="s">
        <v>27</v>
      </c>
      <c r="K607" s="5">
        <v>46272.583333333343</v>
      </c>
      <c r="L607">
        <v>2</v>
      </c>
      <c r="M607" s="3">
        <f t="shared" si="47"/>
        <v>13350</v>
      </c>
      <c r="N607" t="str">
        <f t="shared" si="48"/>
        <v>ставка</v>
      </c>
      <c r="O607" s="3">
        <f t="shared" si="49"/>
        <v>523.53</v>
      </c>
      <c r="P607" s="5">
        <v>46274.5</v>
      </c>
      <c r="Q607" t="s">
        <v>130</v>
      </c>
      <c r="R607" s="2" t="s">
        <v>45</v>
      </c>
      <c r="S607">
        <v>57</v>
      </c>
      <c r="T607">
        <v>2</v>
      </c>
    </row>
    <row r="608" spans="1:20" ht="30" x14ac:dyDescent="0.25">
      <c r="A608" t="s">
        <v>1245</v>
      </c>
      <c r="B608">
        <v>1</v>
      </c>
      <c r="C608" s="2" t="s">
        <v>1246</v>
      </c>
      <c r="D608" s="3">
        <v>47520</v>
      </c>
      <c r="E608" s="4">
        <v>20</v>
      </c>
      <c r="F608" t="s">
        <v>48</v>
      </c>
      <c r="G608" s="3">
        <f t="shared" si="45"/>
        <v>59400</v>
      </c>
      <c r="H608" s="3">
        <v>0</v>
      </c>
      <c r="I608" s="3">
        <f t="shared" si="46"/>
        <v>59400</v>
      </c>
      <c r="J608" s="2" t="s">
        <v>27</v>
      </c>
      <c r="K608" s="5">
        <v>46266.583333333343</v>
      </c>
      <c r="L608">
        <v>6</v>
      </c>
      <c r="M608" s="3">
        <f t="shared" si="47"/>
        <v>9900</v>
      </c>
      <c r="N608" t="str">
        <f t="shared" si="48"/>
        <v>ставка</v>
      </c>
      <c r="O608" s="3">
        <f t="shared" si="49"/>
        <v>1164.71</v>
      </c>
      <c r="P608" s="5">
        <v>46272.5</v>
      </c>
      <c r="Q608" t="s">
        <v>48</v>
      </c>
      <c r="R608" s="2" t="s">
        <v>33</v>
      </c>
      <c r="S608">
        <v>41</v>
      </c>
      <c r="T608">
        <v>1</v>
      </c>
    </row>
    <row r="609" spans="1:20" ht="30" x14ac:dyDescent="0.25">
      <c r="A609" t="s">
        <v>1247</v>
      </c>
      <c r="B609">
        <v>1</v>
      </c>
      <c r="C609" s="2" t="s">
        <v>1248</v>
      </c>
      <c r="D609" s="3">
        <v>53400</v>
      </c>
      <c r="E609" s="4">
        <v>20</v>
      </c>
      <c r="F609" t="s">
        <v>48</v>
      </c>
      <c r="G609" s="3">
        <f t="shared" si="45"/>
        <v>66750</v>
      </c>
      <c r="H609" s="3">
        <v>720</v>
      </c>
      <c r="I609" s="3">
        <f t="shared" si="46"/>
        <v>67470</v>
      </c>
      <c r="J609" s="2" t="s">
        <v>1249</v>
      </c>
      <c r="K609" s="5">
        <v>46256.583333333343</v>
      </c>
      <c r="L609">
        <v>5</v>
      </c>
      <c r="M609" s="3">
        <f t="shared" si="47"/>
        <v>13494</v>
      </c>
      <c r="N609" t="str">
        <f t="shared" si="48"/>
        <v>ставка</v>
      </c>
      <c r="O609" s="3">
        <f t="shared" si="49"/>
        <v>1322.94</v>
      </c>
      <c r="P609" s="5">
        <v>46261.5</v>
      </c>
      <c r="Q609" t="s">
        <v>48</v>
      </c>
      <c r="R609" s="2" t="s">
        <v>40</v>
      </c>
      <c r="S609">
        <v>33</v>
      </c>
      <c r="T609">
        <v>1</v>
      </c>
    </row>
    <row r="610" spans="1:20" ht="30" x14ac:dyDescent="0.25">
      <c r="A610" t="s">
        <v>1250</v>
      </c>
      <c r="B610">
        <v>1</v>
      </c>
      <c r="C610" s="2" t="s">
        <v>1251</v>
      </c>
      <c r="D610" s="3">
        <v>34050</v>
      </c>
      <c r="E610" s="4">
        <v>0</v>
      </c>
      <c r="F610" t="s">
        <v>23</v>
      </c>
      <c r="G610" s="3">
        <f t="shared" si="45"/>
        <v>34050</v>
      </c>
      <c r="H610" s="3">
        <v>0</v>
      </c>
      <c r="I610" s="3">
        <f t="shared" si="46"/>
        <v>34050</v>
      </c>
      <c r="J610" s="2" t="s">
        <v>27</v>
      </c>
      <c r="K610" s="5">
        <v>46261.583333333343</v>
      </c>
      <c r="L610">
        <v>3</v>
      </c>
      <c r="M610" s="3">
        <f t="shared" si="47"/>
        <v>11350</v>
      </c>
      <c r="N610" t="str">
        <f t="shared" si="48"/>
        <v>ставка</v>
      </c>
      <c r="O610" s="3">
        <f t="shared" si="49"/>
        <v>667.65</v>
      </c>
      <c r="P610" s="5">
        <v>46264.5</v>
      </c>
      <c r="Q610" t="s">
        <v>23</v>
      </c>
      <c r="R610" s="2" t="s">
        <v>40</v>
      </c>
      <c r="S610">
        <v>32</v>
      </c>
      <c r="T610">
        <v>1</v>
      </c>
    </row>
    <row r="611" spans="1:20" ht="30" x14ac:dyDescent="0.25">
      <c r="A611" t="s">
        <v>1252</v>
      </c>
      <c r="B611">
        <v>1</v>
      </c>
      <c r="C611" s="2" t="s">
        <v>1253</v>
      </c>
      <c r="D611" s="3">
        <v>5775</v>
      </c>
      <c r="E611" s="4">
        <v>18</v>
      </c>
      <c r="F611" t="s">
        <v>32</v>
      </c>
      <c r="G611" s="3">
        <f t="shared" si="45"/>
        <v>7042.68</v>
      </c>
      <c r="H611" s="3">
        <v>0</v>
      </c>
      <c r="I611" s="3">
        <f t="shared" si="46"/>
        <v>7042.68</v>
      </c>
      <c r="J611" s="2" t="s">
        <v>27</v>
      </c>
      <c r="K611" s="5">
        <v>46270.583333333343</v>
      </c>
      <c r="L611">
        <v>1</v>
      </c>
      <c r="M611" s="3">
        <f t="shared" si="47"/>
        <v>7042.68</v>
      </c>
      <c r="N611" t="str">
        <f t="shared" si="48"/>
        <v>ставка</v>
      </c>
      <c r="O611" s="3">
        <f t="shared" si="49"/>
        <v>138.09</v>
      </c>
      <c r="P611" s="5">
        <v>46271.5</v>
      </c>
      <c r="Q611" t="s">
        <v>32</v>
      </c>
      <c r="R611" s="2" t="s">
        <v>58</v>
      </c>
      <c r="S611">
        <v>24</v>
      </c>
      <c r="T611">
        <v>1</v>
      </c>
    </row>
    <row r="612" spans="1:20" ht="30" x14ac:dyDescent="0.25">
      <c r="A612" t="s">
        <v>1254</v>
      </c>
      <c r="B612">
        <v>1</v>
      </c>
      <c r="C612" s="2" t="s">
        <v>1255</v>
      </c>
      <c r="D612" s="3">
        <v>7920</v>
      </c>
      <c r="E612" s="4">
        <v>18</v>
      </c>
      <c r="F612" t="s">
        <v>32</v>
      </c>
      <c r="G612" s="3">
        <f t="shared" si="45"/>
        <v>9658.5400000000009</v>
      </c>
      <c r="H612" s="3">
        <v>0</v>
      </c>
      <c r="I612" s="3">
        <f t="shared" si="46"/>
        <v>9658.5400000000009</v>
      </c>
      <c r="J612" s="2" t="s">
        <v>27</v>
      </c>
      <c r="K612" s="5">
        <v>46236.583333333343</v>
      </c>
      <c r="L612">
        <v>1</v>
      </c>
      <c r="M612" s="3">
        <f t="shared" si="47"/>
        <v>9658.5400000000009</v>
      </c>
      <c r="N612" t="str">
        <f t="shared" si="48"/>
        <v>ставка</v>
      </c>
      <c r="O612" s="3">
        <f t="shared" si="49"/>
        <v>189.38</v>
      </c>
      <c r="P612" s="5">
        <v>46237.5</v>
      </c>
      <c r="Q612" t="s">
        <v>32</v>
      </c>
      <c r="R612" s="2" t="s">
        <v>33</v>
      </c>
      <c r="S612">
        <v>41</v>
      </c>
      <c r="T612">
        <v>1</v>
      </c>
    </row>
    <row r="613" spans="1:20" ht="30" x14ac:dyDescent="0.25">
      <c r="A613" t="s">
        <v>1256</v>
      </c>
      <c r="B613">
        <v>1</v>
      </c>
      <c r="C613" s="2" t="s">
        <v>1257</v>
      </c>
      <c r="D613" s="3">
        <v>10012.5</v>
      </c>
      <c r="E613" s="4">
        <v>18</v>
      </c>
      <c r="F613" t="s">
        <v>32</v>
      </c>
      <c r="G613" s="3">
        <f t="shared" si="45"/>
        <v>12210.37</v>
      </c>
      <c r="H613" s="3">
        <v>0</v>
      </c>
      <c r="I613" s="3">
        <f t="shared" si="46"/>
        <v>12210.37</v>
      </c>
      <c r="J613" s="2" t="s">
        <v>27</v>
      </c>
      <c r="K613" s="5">
        <v>46285.583333333343</v>
      </c>
      <c r="L613">
        <v>1</v>
      </c>
      <c r="M613" s="3">
        <f t="shared" si="47"/>
        <v>12210.37</v>
      </c>
      <c r="N613" t="str">
        <f t="shared" si="48"/>
        <v>ставка</v>
      </c>
      <c r="O613" s="3">
        <f t="shared" si="49"/>
        <v>239.42</v>
      </c>
      <c r="P613" s="5">
        <v>46286.5</v>
      </c>
      <c r="Q613" t="s">
        <v>32</v>
      </c>
      <c r="R613" s="2" t="s">
        <v>40</v>
      </c>
      <c r="S613">
        <v>33</v>
      </c>
      <c r="T613">
        <v>1</v>
      </c>
    </row>
    <row r="614" spans="1:20" ht="30" x14ac:dyDescent="0.25">
      <c r="A614" t="s">
        <v>1258</v>
      </c>
      <c r="B614">
        <v>1</v>
      </c>
      <c r="C614" s="2" t="s">
        <v>1259</v>
      </c>
      <c r="D614" s="3">
        <v>66549.75</v>
      </c>
      <c r="E614" s="4">
        <v>4</v>
      </c>
      <c r="F614" t="s">
        <v>55</v>
      </c>
      <c r="G614" s="3">
        <f t="shared" si="45"/>
        <v>69322.66</v>
      </c>
      <c r="H614" s="3">
        <v>0</v>
      </c>
      <c r="I614" s="3">
        <f t="shared" si="46"/>
        <v>69322.66</v>
      </c>
      <c r="J614" s="2" t="s">
        <v>27</v>
      </c>
      <c r="K614" s="5">
        <v>46284.583333333343</v>
      </c>
      <c r="L614">
        <v>5</v>
      </c>
      <c r="M614" s="3">
        <f t="shared" si="47"/>
        <v>13864.532000000001</v>
      </c>
      <c r="N614" t="str">
        <f t="shared" si="48"/>
        <v>ставка</v>
      </c>
      <c r="O614" s="3">
        <f t="shared" si="49"/>
        <v>1359.27</v>
      </c>
      <c r="P614" s="5">
        <v>46289.5</v>
      </c>
      <c r="Q614" t="s">
        <v>55</v>
      </c>
      <c r="R614" s="2" t="s">
        <v>40</v>
      </c>
      <c r="S614">
        <v>26</v>
      </c>
      <c r="T614">
        <v>1</v>
      </c>
    </row>
    <row r="615" spans="1:20" ht="30" x14ac:dyDescent="0.25">
      <c r="A615" t="s">
        <v>1260</v>
      </c>
      <c r="B615">
        <v>1</v>
      </c>
      <c r="C615" s="2" t="s">
        <v>1261</v>
      </c>
      <c r="D615" s="3">
        <v>32040</v>
      </c>
      <c r="E615" s="4">
        <v>20</v>
      </c>
      <c r="F615" t="s">
        <v>48</v>
      </c>
      <c r="G615" s="3">
        <f t="shared" si="45"/>
        <v>40050</v>
      </c>
      <c r="H615" s="3">
        <v>0</v>
      </c>
      <c r="I615" s="3">
        <f t="shared" si="46"/>
        <v>40050</v>
      </c>
      <c r="J615" s="2" t="s">
        <v>27</v>
      </c>
      <c r="K615" s="5">
        <v>46218.583333333343</v>
      </c>
      <c r="L615">
        <v>3</v>
      </c>
      <c r="M615" s="3">
        <f t="shared" si="47"/>
        <v>13350</v>
      </c>
      <c r="N615" t="str">
        <f t="shared" si="48"/>
        <v>ставка</v>
      </c>
      <c r="O615" s="3">
        <f t="shared" si="49"/>
        <v>785.29</v>
      </c>
      <c r="P615" s="5">
        <v>46221.5</v>
      </c>
      <c r="Q615" t="s">
        <v>48</v>
      </c>
      <c r="R615" s="2" t="s">
        <v>40</v>
      </c>
      <c r="S615">
        <v>42</v>
      </c>
      <c r="T615">
        <v>1</v>
      </c>
    </row>
    <row r="616" spans="1:20" x14ac:dyDescent="0.25">
      <c r="A616" t="s">
        <v>1262</v>
      </c>
      <c r="B616">
        <v>1</v>
      </c>
      <c r="C616" s="2" t="s">
        <v>1263</v>
      </c>
      <c r="D616" s="3">
        <v>17533</v>
      </c>
      <c r="E616" s="4">
        <v>4</v>
      </c>
      <c r="F616" t="s">
        <v>55</v>
      </c>
      <c r="G616" s="3">
        <f t="shared" si="45"/>
        <v>18263.54</v>
      </c>
      <c r="H616" s="3">
        <v>0</v>
      </c>
      <c r="I616" s="3">
        <f t="shared" si="46"/>
        <v>18263.54</v>
      </c>
      <c r="J616" s="2" t="s">
        <v>27</v>
      </c>
      <c r="K616" s="5">
        <v>46242.8125</v>
      </c>
      <c r="L616">
        <v>1</v>
      </c>
      <c r="M616" s="3">
        <f t="shared" si="47"/>
        <v>18263.54</v>
      </c>
      <c r="N616" t="str">
        <f t="shared" si="48"/>
        <v>ставка</v>
      </c>
      <c r="O616" s="3">
        <f t="shared" si="49"/>
        <v>358.11</v>
      </c>
      <c r="P616" s="5">
        <v>46243.5</v>
      </c>
      <c r="Q616" t="s">
        <v>55</v>
      </c>
      <c r="R616" s="2" t="s">
        <v>45</v>
      </c>
      <c r="S616">
        <v>53</v>
      </c>
      <c r="T616">
        <v>2</v>
      </c>
    </row>
    <row r="617" spans="1:20" ht="30" x14ac:dyDescent="0.25">
      <c r="A617" t="s">
        <v>1264</v>
      </c>
      <c r="B617">
        <v>1</v>
      </c>
      <c r="C617" s="2" t="s">
        <v>1265</v>
      </c>
      <c r="D617" s="3">
        <v>6320</v>
      </c>
      <c r="E617" s="4">
        <v>20</v>
      </c>
      <c r="F617" t="s">
        <v>103</v>
      </c>
      <c r="G617" s="3">
        <f t="shared" si="45"/>
        <v>7900</v>
      </c>
      <c r="H617" s="3">
        <v>0</v>
      </c>
      <c r="I617" s="3">
        <f t="shared" si="46"/>
        <v>7900</v>
      </c>
      <c r="J617" s="2" t="s">
        <v>27</v>
      </c>
      <c r="K617" s="5">
        <v>46218.583333333343</v>
      </c>
      <c r="L617">
        <v>1</v>
      </c>
      <c r="M617" s="3">
        <f t="shared" si="47"/>
        <v>7900</v>
      </c>
      <c r="N617" t="str">
        <f t="shared" si="48"/>
        <v>ставка</v>
      </c>
      <c r="O617" s="3">
        <f t="shared" si="49"/>
        <v>154.9</v>
      </c>
      <c r="P617" s="5">
        <v>46219.5</v>
      </c>
      <c r="Q617" t="s">
        <v>103</v>
      </c>
      <c r="R617" s="2" t="s">
        <v>33</v>
      </c>
      <c r="S617">
        <v>41</v>
      </c>
      <c r="T617">
        <v>1</v>
      </c>
    </row>
    <row r="618" spans="1:20" x14ac:dyDescent="0.25">
      <c r="A618" t="s">
        <v>1266</v>
      </c>
      <c r="B618">
        <v>1</v>
      </c>
      <c r="C618" s="2" t="s">
        <v>1267</v>
      </c>
      <c r="D618" s="3">
        <v>23200</v>
      </c>
      <c r="E618" s="4">
        <v>20</v>
      </c>
      <c r="F618" t="s">
        <v>48</v>
      </c>
      <c r="G618" s="3">
        <f t="shared" si="45"/>
        <v>29000</v>
      </c>
      <c r="H618" s="3">
        <v>0</v>
      </c>
      <c r="I618" s="3">
        <f t="shared" si="46"/>
        <v>29000</v>
      </c>
      <c r="J618" s="2" t="s">
        <v>27</v>
      </c>
      <c r="K618" s="5">
        <v>46248.583333333343</v>
      </c>
      <c r="L618">
        <v>2</v>
      </c>
      <c r="M618" s="3">
        <f t="shared" si="47"/>
        <v>14500</v>
      </c>
      <c r="N618" t="str">
        <f t="shared" si="48"/>
        <v>ставка</v>
      </c>
      <c r="O618" s="3">
        <f t="shared" si="49"/>
        <v>568.63</v>
      </c>
      <c r="P618" s="5">
        <v>46250.5</v>
      </c>
      <c r="Q618" t="s">
        <v>48</v>
      </c>
      <c r="R618" s="2" t="s">
        <v>49</v>
      </c>
      <c r="S618">
        <v>11</v>
      </c>
      <c r="T618">
        <v>1</v>
      </c>
    </row>
    <row r="619" spans="1:20" ht="30" x14ac:dyDescent="0.25">
      <c r="A619" t="s">
        <v>1268</v>
      </c>
      <c r="B619">
        <v>1</v>
      </c>
      <c r="C619" s="2" t="s">
        <v>1269</v>
      </c>
      <c r="D619" s="3">
        <v>31600</v>
      </c>
      <c r="E619" s="4">
        <v>0</v>
      </c>
      <c r="F619" t="s">
        <v>23</v>
      </c>
      <c r="G619" s="3">
        <f t="shared" si="45"/>
        <v>31600</v>
      </c>
      <c r="H619" s="3">
        <v>0</v>
      </c>
      <c r="I619" s="3">
        <f t="shared" si="46"/>
        <v>31600</v>
      </c>
      <c r="J619" s="2" t="s">
        <v>27</v>
      </c>
      <c r="K619" s="5">
        <v>46272.583333333343</v>
      </c>
      <c r="L619">
        <v>4</v>
      </c>
      <c r="M619" s="3">
        <f t="shared" si="47"/>
        <v>7900</v>
      </c>
      <c r="N619" t="str">
        <f t="shared" si="48"/>
        <v>ставка</v>
      </c>
      <c r="O619" s="3">
        <f t="shared" si="49"/>
        <v>619.61</v>
      </c>
      <c r="P619" s="5">
        <v>46276.5</v>
      </c>
      <c r="Q619" t="s">
        <v>23</v>
      </c>
      <c r="R619" s="2" t="s">
        <v>33</v>
      </c>
      <c r="S619">
        <v>41</v>
      </c>
      <c r="T619">
        <v>1</v>
      </c>
    </row>
    <row r="620" spans="1:20" ht="30" x14ac:dyDescent="0.25">
      <c r="A620" t="s">
        <v>1270</v>
      </c>
      <c r="B620">
        <v>1</v>
      </c>
      <c r="C620" s="2" t="s">
        <v>1271</v>
      </c>
      <c r="D620" s="3">
        <v>24640</v>
      </c>
      <c r="E620" s="4">
        <v>18</v>
      </c>
      <c r="F620" t="s">
        <v>32</v>
      </c>
      <c r="G620" s="3">
        <f t="shared" si="45"/>
        <v>30048.78</v>
      </c>
      <c r="H620" s="3">
        <v>0</v>
      </c>
      <c r="I620" s="3">
        <f t="shared" si="46"/>
        <v>30048.78</v>
      </c>
      <c r="J620" s="2" t="s">
        <v>27</v>
      </c>
      <c r="K620" s="5">
        <v>46218.583333333343</v>
      </c>
      <c r="L620">
        <v>4</v>
      </c>
      <c r="M620" s="3">
        <f t="shared" si="47"/>
        <v>7512.1949999999997</v>
      </c>
      <c r="N620" t="str">
        <f t="shared" si="48"/>
        <v>ставка</v>
      </c>
      <c r="O620" s="3">
        <f t="shared" si="49"/>
        <v>589.19000000000005</v>
      </c>
      <c r="P620" s="5">
        <v>46222.5</v>
      </c>
      <c r="Q620" t="s">
        <v>32</v>
      </c>
      <c r="R620" s="2" t="s">
        <v>58</v>
      </c>
      <c r="S620">
        <v>24</v>
      </c>
      <c r="T620">
        <v>1</v>
      </c>
    </row>
    <row r="621" spans="1:20" ht="30" x14ac:dyDescent="0.25">
      <c r="A621" t="s">
        <v>1272</v>
      </c>
      <c r="B621">
        <v>1</v>
      </c>
      <c r="C621" s="2" t="s">
        <v>1273</v>
      </c>
      <c r="D621" s="3">
        <v>13090</v>
      </c>
      <c r="E621" s="4">
        <v>17</v>
      </c>
      <c r="F621" t="s">
        <v>173</v>
      </c>
      <c r="G621" s="3">
        <f t="shared" si="45"/>
        <v>15771.08</v>
      </c>
      <c r="H621" s="3">
        <v>0</v>
      </c>
      <c r="I621" s="3">
        <f t="shared" si="46"/>
        <v>15771.08</v>
      </c>
      <c r="J621" s="2" t="s">
        <v>27</v>
      </c>
      <c r="K621" s="5">
        <v>46209.583333333343</v>
      </c>
      <c r="L621">
        <v>2</v>
      </c>
      <c r="M621" s="3">
        <f t="shared" si="47"/>
        <v>7885.54</v>
      </c>
      <c r="N621" t="str">
        <f t="shared" si="48"/>
        <v>ставка</v>
      </c>
      <c r="O621" s="3">
        <f t="shared" si="49"/>
        <v>309.24</v>
      </c>
      <c r="P621" s="5">
        <v>46211.5</v>
      </c>
      <c r="Q621" t="s">
        <v>173</v>
      </c>
      <c r="R621" s="2" t="s">
        <v>58</v>
      </c>
      <c r="S621">
        <v>24</v>
      </c>
      <c r="T621">
        <v>1</v>
      </c>
    </row>
    <row r="622" spans="1:20" ht="30" x14ac:dyDescent="0.25">
      <c r="A622" t="s">
        <v>1274</v>
      </c>
      <c r="B622">
        <v>1</v>
      </c>
      <c r="C622" s="2" t="s">
        <v>1273</v>
      </c>
      <c r="D622" s="3">
        <v>13090</v>
      </c>
      <c r="E622" s="4">
        <v>17</v>
      </c>
      <c r="F622" t="s">
        <v>173</v>
      </c>
      <c r="G622" s="3">
        <f t="shared" si="45"/>
        <v>15771.08</v>
      </c>
      <c r="H622" s="3">
        <v>0</v>
      </c>
      <c r="I622" s="3">
        <f t="shared" si="46"/>
        <v>15771.08</v>
      </c>
      <c r="J622" s="2" t="s">
        <v>27</v>
      </c>
      <c r="K622" s="5">
        <v>46211.583333333343</v>
      </c>
      <c r="L622">
        <v>2</v>
      </c>
      <c r="M622" s="3">
        <f t="shared" si="47"/>
        <v>7885.54</v>
      </c>
      <c r="N622" t="str">
        <f t="shared" si="48"/>
        <v>ставка</v>
      </c>
      <c r="O622" s="3">
        <f t="shared" si="49"/>
        <v>309.24</v>
      </c>
      <c r="P622" s="5">
        <v>46213.5</v>
      </c>
      <c r="Q622" t="s">
        <v>173</v>
      </c>
      <c r="R622" s="2" t="s">
        <v>58</v>
      </c>
      <c r="S622">
        <v>24</v>
      </c>
      <c r="T622">
        <v>1</v>
      </c>
    </row>
    <row r="623" spans="1:20" x14ac:dyDescent="0.25">
      <c r="A623" t="s">
        <v>1275</v>
      </c>
      <c r="B623">
        <v>1</v>
      </c>
      <c r="C623" s="2" t="s">
        <v>1276</v>
      </c>
      <c r="D623" s="3">
        <v>118192</v>
      </c>
      <c r="E623" s="4">
        <v>17</v>
      </c>
      <c r="F623" t="s">
        <v>130</v>
      </c>
      <c r="G623" s="3">
        <f t="shared" si="45"/>
        <v>142400</v>
      </c>
      <c r="H623" s="3">
        <v>0</v>
      </c>
      <c r="I623" s="3">
        <f t="shared" si="46"/>
        <v>142400</v>
      </c>
      <c r="J623" s="2" t="s">
        <v>27</v>
      </c>
      <c r="K623" s="5">
        <v>46280.583333333343</v>
      </c>
      <c r="L623">
        <v>8</v>
      </c>
      <c r="M623" s="3">
        <f t="shared" si="47"/>
        <v>17800</v>
      </c>
      <c r="N623" t="str">
        <f t="shared" si="48"/>
        <v>ставка</v>
      </c>
      <c r="O623" s="3">
        <f t="shared" si="49"/>
        <v>2792.16</v>
      </c>
      <c r="P623" s="5">
        <v>46288.5</v>
      </c>
      <c r="Q623" t="s">
        <v>130</v>
      </c>
      <c r="R623" s="2" t="s">
        <v>45</v>
      </c>
      <c r="S623">
        <v>57</v>
      </c>
      <c r="T623">
        <v>2</v>
      </c>
    </row>
    <row r="624" spans="1:20" ht="30" x14ac:dyDescent="0.25">
      <c r="A624" t="s">
        <v>1277</v>
      </c>
      <c r="B624">
        <v>1</v>
      </c>
      <c r="C624" s="2" t="s">
        <v>1278</v>
      </c>
      <c r="D624" s="3">
        <v>45400</v>
      </c>
      <c r="E624" s="4">
        <v>20</v>
      </c>
      <c r="F624" t="s">
        <v>103</v>
      </c>
      <c r="G624" s="3">
        <f t="shared" si="45"/>
        <v>56750</v>
      </c>
      <c r="H624" s="3">
        <v>5675</v>
      </c>
      <c r="I624" s="3">
        <f t="shared" si="46"/>
        <v>62425</v>
      </c>
      <c r="J624" s="2" t="s">
        <v>163</v>
      </c>
      <c r="K624" s="5">
        <v>46223.583333333343</v>
      </c>
      <c r="L624">
        <v>5</v>
      </c>
      <c r="M624" s="3">
        <f t="shared" si="47"/>
        <v>12485</v>
      </c>
      <c r="N624" t="str">
        <f t="shared" si="48"/>
        <v>ставка</v>
      </c>
      <c r="O624" s="3">
        <f t="shared" si="49"/>
        <v>1224.02</v>
      </c>
      <c r="P624" s="5">
        <v>46228.75</v>
      </c>
      <c r="Q624" t="s">
        <v>103</v>
      </c>
      <c r="R624" s="2" t="s">
        <v>40</v>
      </c>
      <c r="S624">
        <v>22</v>
      </c>
      <c r="T624">
        <v>1</v>
      </c>
    </row>
    <row r="625" spans="1:20" ht="30" x14ac:dyDescent="0.25">
      <c r="A625" t="s">
        <v>1279</v>
      </c>
      <c r="B625">
        <v>1</v>
      </c>
      <c r="C625" s="2" t="s">
        <v>1280</v>
      </c>
      <c r="D625" s="3">
        <v>53199.75</v>
      </c>
      <c r="E625" s="4">
        <v>4</v>
      </c>
      <c r="F625" t="s">
        <v>55</v>
      </c>
      <c r="G625" s="3">
        <f t="shared" si="45"/>
        <v>55416.41</v>
      </c>
      <c r="H625" s="3">
        <v>0</v>
      </c>
      <c r="I625" s="3">
        <f t="shared" si="46"/>
        <v>55416.41</v>
      </c>
      <c r="J625" s="2" t="s">
        <v>27</v>
      </c>
      <c r="K625" s="5">
        <v>46221.583333333343</v>
      </c>
      <c r="L625">
        <v>4</v>
      </c>
      <c r="M625" s="3">
        <f t="shared" si="47"/>
        <v>13854.102500000001</v>
      </c>
      <c r="N625" t="str">
        <f t="shared" si="48"/>
        <v>ставка</v>
      </c>
      <c r="O625" s="3">
        <f t="shared" si="49"/>
        <v>1086.5999999999999</v>
      </c>
      <c r="P625" s="5">
        <v>46225.5</v>
      </c>
      <c r="Q625" t="s">
        <v>55</v>
      </c>
      <c r="R625" s="2" t="s">
        <v>40</v>
      </c>
      <c r="S625">
        <v>32</v>
      </c>
      <c r="T625">
        <v>1</v>
      </c>
    </row>
    <row r="626" spans="1:20" x14ac:dyDescent="0.25">
      <c r="A626" t="s">
        <v>1281</v>
      </c>
      <c r="B626">
        <v>1</v>
      </c>
      <c r="C626" s="2" t="s">
        <v>1282</v>
      </c>
      <c r="D626" s="3">
        <v>17533</v>
      </c>
      <c r="E626" s="4">
        <v>4</v>
      </c>
      <c r="F626" t="s">
        <v>55</v>
      </c>
      <c r="G626" s="3">
        <f t="shared" si="45"/>
        <v>18263.54</v>
      </c>
      <c r="H626" s="3">
        <v>0</v>
      </c>
      <c r="I626" s="3">
        <f t="shared" si="46"/>
        <v>18263.54</v>
      </c>
      <c r="J626" s="2" t="s">
        <v>27</v>
      </c>
      <c r="K626" s="5">
        <v>46233.583333333343</v>
      </c>
      <c r="L626">
        <v>1</v>
      </c>
      <c r="M626" s="3">
        <f t="shared" si="47"/>
        <v>18263.54</v>
      </c>
      <c r="N626" t="str">
        <f t="shared" si="48"/>
        <v>ставка</v>
      </c>
      <c r="O626" s="3">
        <f t="shared" si="49"/>
        <v>358.11</v>
      </c>
      <c r="P626" s="5">
        <v>46234.5</v>
      </c>
      <c r="Q626" t="s">
        <v>55</v>
      </c>
      <c r="R626" s="2" t="s">
        <v>45</v>
      </c>
      <c r="S626">
        <v>54</v>
      </c>
      <c r="T626">
        <v>2</v>
      </c>
    </row>
    <row r="627" spans="1:20" ht="30" x14ac:dyDescent="0.25">
      <c r="A627" t="s">
        <v>1283</v>
      </c>
      <c r="B627">
        <v>1</v>
      </c>
      <c r="C627" s="2" t="s">
        <v>1284</v>
      </c>
      <c r="D627" s="3">
        <v>22700</v>
      </c>
      <c r="E627" s="4">
        <v>0</v>
      </c>
      <c r="F627" t="s">
        <v>23</v>
      </c>
      <c r="G627" s="3">
        <f t="shared" si="45"/>
        <v>22700</v>
      </c>
      <c r="H627" s="3">
        <v>0</v>
      </c>
      <c r="I627" s="3">
        <f t="shared" si="46"/>
        <v>22700</v>
      </c>
      <c r="J627" s="2" t="s">
        <v>27</v>
      </c>
      <c r="K627" s="5">
        <v>46224.583333333343</v>
      </c>
      <c r="L627">
        <v>2</v>
      </c>
      <c r="M627" s="3">
        <f t="shared" si="47"/>
        <v>11350</v>
      </c>
      <c r="N627" t="str">
        <f t="shared" si="48"/>
        <v>ставка</v>
      </c>
      <c r="O627" s="3">
        <f t="shared" si="49"/>
        <v>445.1</v>
      </c>
      <c r="P627" s="5">
        <v>46226.5</v>
      </c>
      <c r="Q627" t="s">
        <v>23</v>
      </c>
      <c r="R627" s="2" t="s">
        <v>40</v>
      </c>
      <c r="S627">
        <v>44</v>
      </c>
      <c r="T627">
        <v>1</v>
      </c>
    </row>
    <row r="628" spans="1:20" ht="30" x14ac:dyDescent="0.25">
      <c r="A628" t="s">
        <v>1285</v>
      </c>
      <c r="B628">
        <v>1</v>
      </c>
      <c r="C628" s="2" t="s">
        <v>1286</v>
      </c>
      <c r="D628" s="3">
        <v>11347.5</v>
      </c>
      <c r="E628" s="4">
        <v>15</v>
      </c>
      <c r="F628" t="s">
        <v>73</v>
      </c>
      <c r="G628" s="3">
        <f t="shared" si="45"/>
        <v>13350</v>
      </c>
      <c r="H628" s="3">
        <v>0</v>
      </c>
      <c r="I628" s="3">
        <f t="shared" si="46"/>
        <v>13350</v>
      </c>
      <c r="J628" s="2" t="s">
        <v>27</v>
      </c>
      <c r="K628" s="5">
        <v>46273.583333333343</v>
      </c>
      <c r="L628">
        <v>1</v>
      </c>
      <c r="M628" s="3">
        <f t="shared" si="47"/>
        <v>13350</v>
      </c>
      <c r="N628" t="str">
        <f t="shared" si="48"/>
        <v>ставка</v>
      </c>
      <c r="O628" s="3">
        <f t="shared" si="49"/>
        <v>261.76</v>
      </c>
      <c r="P628" s="5">
        <v>46274.5</v>
      </c>
      <c r="Q628" t="s">
        <v>73</v>
      </c>
      <c r="R628" s="2" t="s">
        <v>40</v>
      </c>
      <c r="S628">
        <v>52</v>
      </c>
      <c r="T628">
        <v>2</v>
      </c>
    </row>
    <row r="629" spans="1:20" ht="30" x14ac:dyDescent="0.25">
      <c r="A629" t="s">
        <v>1287</v>
      </c>
      <c r="B629">
        <v>1</v>
      </c>
      <c r="C629" s="2" t="s">
        <v>1288</v>
      </c>
      <c r="D629" s="3">
        <v>33698.15</v>
      </c>
      <c r="E629" s="4">
        <v>4</v>
      </c>
      <c r="F629" t="s">
        <v>55</v>
      </c>
      <c r="G629" s="3">
        <f t="shared" si="45"/>
        <v>35102.239999999998</v>
      </c>
      <c r="H629" s="3">
        <v>0</v>
      </c>
      <c r="I629" s="3">
        <f t="shared" si="46"/>
        <v>35102.239999999998</v>
      </c>
      <c r="J629" s="2" t="s">
        <v>27</v>
      </c>
      <c r="K629" s="5">
        <v>46273.583333333343</v>
      </c>
      <c r="L629">
        <v>3</v>
      </c>
      <c r="M629" s="3">
        <f t="shared" si="47"/>
        <v>11700.746666666666</v>
      </c>
      <c r="N629" t="str">
        <f t="shared" si="48"/>
        <v>ставка</v>
      </c>
      <c r="O629" s="3">
        <f t="shared" si="49"/>
        <v>688.28</v>
      </c>
      <c r="P629" s="5">
        <v>46276.5</v>
      </c>
      <c r="Q629" t="s">
        <v>55</v>
      </c>
      <c r="R629" s="2" t="s">
        <v>40</v>
      </c>
      <c r="S629">
        <v>58</v>
      </c>
      <c r="T629">
        <v>2</v>
      </c>
    </row>
    <row r="630" spans="1:20" ht="30" x14ac:dyDescent="0.25">
      <c r="A630" t="s">
        <v>1289</v>
      </c>
      <c r="B630">
        <v>1</v>
      </c>
      <c r="C630" s="2" t="s">
        <v>1290</v>
      </c>
      <c r="D630" s="3">
        <v>15988.5</v>
      </c>
      <c r="E630" s="4">
        <v>4</v>
      </c>
      <c r="F630" t="s">
        <v>55</v>
      </c>
      <c r="G630" s="3">
        <f t="shared" si="45"/>
        <v>16654.689999999999</v>
      </c>
      <c r="H630" s="3">
        <v>0</v>
      </c>
      <c r="I630" s="3">
        <f t="shared" si="46"/>
        <v>16654.689999999999</v>
      </c>
      <c r="J630" s="2" t="s">
        <v>27</v>
      </c>
      <c r="K630" s="5">
        <v>46256.583333333343</v>
      </c>
      <c r="L630">
        <v>1</v>
      </c>
      <c r="M630" s="3">
        <f t="shared" si="47"/>
        <v>16654.689999999999</v>
      </c>
      <c r="N630" t="str">
        <f t="shared" si="48"/>
        <v>ставка</v>
      </c>
      <c r="O630" s="3">
        <f t="shared" si="49"/>
        <v>326.56</v>
      </c>
      <c r="P630" s="5">
        <v>46257.5</v>
      </c>
      <c r="Q630" t="s">
        <v>55</v>
      </c>
      <c r="R630" s="2" t="s">
        <v>49</v>
      </c>
      <c r="S630">
        <v>35</v>
      </c>
      <c r="T630">
        <v>1</v>
      </c>
    </row>
    <row r="631" spans="1:20" ht="30" x14ac:dyDescent="0.25">
      <c r="A631" t="s">
        <v>1291</v>
      </c>
      <c r="B631">
        <v>1</v>
      </c>
      <c r="C631" s="2" t="s">
        <v>1292</v>
      </c>
      <c r="D631" s="3">
        <v>39849.75</v>
      </c>
      <c r="E631" s="4">
        <v>4</v>
      </c>
      <c r="F631" t="s">
        <v>55</v>
      </c>
      <c r="G631" s="3">
        <f t="shared" si="45"/>
        <v>41510.160000000003</v>
      </c>
      <c r="H631" s="3">
        <v>0</v>
      </c>
      <c r="I631" s="3">
        <f t="shared" si="46"/>
        <v>41510.160000000003</v>
      </c>
      <c r="J631" s="2" t="s">
        <v>27</v>
      </c>
      <c r="K631" s="5">
        <v>46237.583333333343</v>
      </c>
      <c r="L631">
        <v>3</v>
      </c>
      <c r="M631" s="3">
        <f t="shared" si="47"/>
        <v>13836.720000000001</v>
      </c>
      <c r="N631" t="str">
        <f t="shared" si="48"/>
        <v>ставка</v>
      </c>
      <c r="O631" s="3">
        <f t="shared" si="49"/>
        <v>813.92</v>
      </c>
      <c r="P631" s="5">
        <v>46240.5</v>
      </c>
      <c r="Q631" t="s">
        <v>55</v>
      </c>
      <c r="R631" s="2" t="s">
        <v>40</v>
      </c>
      <c r="S631" s="6"/>
    </row>
    <row r="632" spans="1:20" ht="30" x14ac:dyDescent="0.25">
      <c r="A632" t="s">
        <v>1293</v>
      </c>
      <c r="B632">
        <v>1</v>
      </c>
      <c r="C632" s="2" t="s">
        <v>1294</v>
      </c>
      <c r="D632" s="3">
        <v>8415</v>
      </c>
      <c r="E632" s="4">
        <v>16</v>
      </c>
      <c r="F632" t="s">
        <v>36</v>
      </c>
      <c r="G632" s="3">
        <f t="shared" si="45"/>
        <v>10017.86</v>
      </c>
      <c r="H632" s="3">
        <v>0</v>
      </c>
      <c r="I632" s="3">
        <f t="shared" si="46"/>
        <v>10017.86</v>
      </c>
      <c r="J632" s="2" t="s">
        <v>27</v>
      </c>
      <c r="K632" s="5">
        <v>46255.583333333343</v>
      </c>
      <c r="L632">
        <v>1</v>
      </c>
      <c r="M632" s="3">
        <f t="shared" si="47"/>
        <v>10017.86</v>
      </c>
      <c r="N632" t="str">
        <f t="shared" si="48"/>
        <v>ставка</v>
      </c>
      <c r="O632" s="3">
        <f t="shared" si="49"/>
        <v>196.43</v>
      </c>
      <c r="P632" s="5">
        <v>46256.5</v>
      </c>
      <c r="Q632" t="s">
        <v>36</v>
      </c>
      <c r="R632" s="2" t="s">
        <v>33</v>
      </c>
      <c r="S632">
        <v>41</v>
      </c>
      <c r="T632">
        <v>1</v>
      </c>
    </row>
    <row r="633" spans="1:20" ht="30" x14ac:dyDescent="0.25">
      <c r="A633" t="s">
        <v>1295</v>
      </c>
      <c r="B633">
        <v>1</v>
      </c>
      <c r="C633" s="2" t="s">
        <v>1296</v>
      </c>
      <c r="D633" s="3">
        <v>11257.5</v>
      </c>
      <c r="E633" s="4">
        <v>18</v>
      </c>
      <c r="F633" t="s">
        <v>32</v>
      </c>
      <c r="G633" s="3">
        <f t="shared" si="45"/>
        <v>13728.66</v>
      </c>
      <c r="H633" s="3">
        <v>0</v>
      </c>
      <c r="I633" s="3">
        <f t="shared" si="46"/>
        <v>13728.66</v>
      </c>
      <c r="J633" s="2" t="s">
        <v>27</v>
      </c>
      <c r="K633" s="5">
        <v>46293.583333333343</v>
      </c>
      <c r="L633">
        <v>2</v>
      </c>
      <c r="M633" s="3">
        <f t="shared" si="47"/>
        <v>6864.33</v>
      </c>
      <c r="N633" t="str">
        <f t="shared" si="48"/>
        <v>ставка</v>
      </c>
      <c r="O633" s="3">
        <f t="shared" si="49"/>
        <v>269.19</v>
      </c>
      <c r="P633" s="5">
        <v>46295.5</v>
      </c>
      <c r="Q633" t="s">
        <v>32</v>
      </c>
      <c r="R633" s="2" t="s">
        <v>33</v>
      </c>
      <c r="S633">
        <v>43</v>
      </c>
      <c r="T633">
        <v>1</v>
      </c>
    </row>
    <row r="634" spans="1:20" ht="30" x14ac:dyDescent="0.25">
      <c r="A634" t="s">
        <v>1297</v>
      </c>
      <c r="B634">
        <v>1</v>
      </c>
      <c r="C634" s="2" t="s">
        <v>1298</v>
      </c>
      <c r="D634" s="3">
        <v>52360</v>
      </c>
      <c r="E634" s="4">
        <v>16</v>
      </c>
      <c r="F634" t="s">
        <v>36</v>
      </c>
      <c r="G634" s="3">
        <f t="shared" si="45"/>
        <v>62333.33</v>
      </c>
      <c r="H634" s="3">
        <v>0</v>
      </c>
      <c r="I634" s="3">
        <f t="shared" si="46"/>
        <v>62333.33</v>
      </c>
      <c r="J634" s="2" t="s">
        <v>27</v>
      </c>
      <c r="K634" s="5">
        <v>46261.583333333343</v>
      </c>
      <c r="L634">
        <v>8</v>
      </c>
      <c r="M634" s="3">
        <f t="shared" si="47"/>
        <v>7791.6662500000002</v>
      </c>
      <c r="N634" t="str">
        <f t="shared" si="48"/>
        <v>ставка</v>
      </c>
      <c r="O634" s="3">
        <f t="shared" si="49"/>
        <v>1222.22</v>
      </c>
      <c r="P634" s="5">
        <v>46269.5</v>
      </c>
      <c r="Q634" t="s">
        <v>36</v>
      </c>
      <c r="R634" s="2" t="s">
        <v>58</v>
      </c>
      <c r="S634">
        <v>34</v>
      </c>
      <c r="T634">
        <v>1</v>
      </c>
    </row>
    <row r="635" spans="1:20" x14ac:dyDescent="0.25">
      <c r="A635" t="s">
        <v>1299</v>
      </c>
      <c r="B635">
        <v>1</v>
      </c>
      <c r="C635" s="2" t="s">
        <v>1300</v>
      </c>
      <c r="D635" s="3">
        <v>30993.75</v>
      </c>
      <c r="E635" s="4">
        <v>18</v>
      </c>
      <c r="F635" t="s">
        <v>32</v>
      </c>
      <c r="G635" s="3">
        <f t="shared" si="45"/>
        <v>37797.26</v>
      </c>
      <c r="H635" s="3">
        <v>0</v>
      </c>
      <c r="I635" s="3">
        <f t="shared" si="46"/>
        <v>37797.26</v>
      </c>
      <c r="J635" s="2" t="s">
        <v>27</v>
      </c>
      <c r="K635" s="5">
        <v>46290.583333333343</v>
      </c>
      <c r="L635">
        <v>3</v>
      </c>
      <c r="M635" s="3">
        <f t="shared" si="47"/>
        <v>12599.086666666668</v>
      </c>
      <c r="N635" t="str">
        <f t="shared" si="48"/>
        <v>ставка</v>
      </c>
      <c r="O635" s="3">
        <f t="shared" si="49"/>
        <v>741.12</v>
      </c>
      <c r="P635" s="5">
        <v>46293.5</v>
      </c>
      <c r="Q635" t="s">
        <v>32</v>
      </c>
      <c r="R635" s="2" t="s">
        <v>49</v>
      </c>
      <c r="S635">
        <v>35</v>
      </c>
      <c r="T635">
        <v>1</v>
      </c>
    </row>
    <row r="636" spans="1:20" ht="45" x14ac:dyDescent="0.25">
      <c r="A636" t="s">
        <v>1301</v>
      </c>
      <c r="B636">
        <v>1</v>
      </c>
      <c r="C636" s="2" t="s">
        <v>1302</v>
      </c>
      <c r="D636" s="3">
        <v>52020</v>
      </c>
      <c r="E636" s="4">
        <v>0</v>
      </c>
      <c r="F636" t="s">
        <v>23</v>
      </c>
      <c r="G636" s="3">
        <f t="shared" si="45"/>
        <v>52020</v>
      </c>
      <c r="H636" s="3">
        <v>28625</v>
      </c>
      <c r="I636" s="3">
        <f t="shared" si="46"/>
        <v>80645</v>
      </c>
      <c r="J636" s="2" t="s">
        <v>1303</v>
      </c>
      <c r="K636" s="5">
        <v>46232.583333333343</v>
      </c>
      <c r="L636">
        <v>4</v>
      </c>
      <c r="M636" s="3">
        <f t="shared" si="47"/>
        <v>20161.25</v>
      </c>
      <c r="N636" t="str">
        <f t="shared" si="48"/>
        <v>ставка</v>
      </c>
      <c r="O636" s="3">
        <f t="shared" si="49"/>
        <v>1581.27</v>
      </c>
      <c r="P636" s="5">
        <v>46236.8125</v>
      </c>
      <c r="Q636" t="s">
        <v>23</v>
      </c>
      <c r="R636" s="2" t="s">
        <v>772</v>
      </c>
      <c r="S636">
        <v>51</v>
      </c>
      <c r="T636">
        <v>2</v>
      </c>
    </row>
    <row r="637" spans="1:20" ht="30" x14ac:dyDescent="0.25">
      <c r="A637" t="s">
        <v>1304</v>
      </c>
      <c r="B637">
        <v>1</v>
      </c>
      <c r="C637" s="2" t="s">
        <v>1305</v>
      </c>
      <c r="D637" s="3">
        <v>18841</v>
      </c>
      <c r="E637" s="4">
        <v>0</v>
      </c>
      <c r="F637" t="s">
        <v>23</v>
      </c>
      <c r="G637" s="3">
        <f t="shared" si="45"/>
        <v>18841</v>
      </c>
      <c r="H637" s="3">
        <v>0</v>
      </c>
      <c r="I637" s="3">
        <f t="shared" si="46"/>
        <v>18841</v>
      </c>
      <c r="J637" s="2" t="s">
        <v>27</v>
      </c>
      <c r="K637" s="5">
        <v>46214.583333333343</v>
      </c>
      <c r="L637">
        <v>2</v>
      </c>
      <c r="M637" s="3">
        <f t="shared" si="47"/>
        <v>9420.5</v>
      </c>
      <c r="N637" t="str">
        <f t="shared" si="48"/>
        <v>ставка</v>
      </c>
      <c r="O637" s="3">
        <f t="shared" si="49"/>
        <v>369.43</v>
      </c>
      <c r="P637" s="5">
        <v>46216.5</v>
      </c>
      <c r="Q637" t="s">
        <v>23</v>
      </c>
      <c r="R637" s="2" t="s">
        <v>40</v>
      </c>
      <c r="S637">
        <v>58</v>
      </c>
      <c r="T637">
        <v>2</v>
      </c>
    </row>
    <row r="638" spans="1:20" ht="30" x14ac:dyDescent="0.25">
      <c r="A638" t="s">
        <v>1306</v>
      </c>
      <c r="B638">
        <v>1</v>
      </c>
      <c r="C638" s="2" t="s">
        <v>1307</v>
      </c>
      <c r="D638" s="3">
        <v>33241.5</v>
      </c>
      <c r="E638" s="4">
        <v>17</v>
      </c>
      <c r="F638" t="s">
        <v>130</v>
      </c>
      <c r="G638" s="3">
        <f t="shared" si="45"/>
        <v>40050</v>
      </c>
      <c r="H638" s="3">
        <v>0</v>
      </c>
      <c r="I638" s="3">
        <f t="shared" si="46"/>
        <v>40050</v>
      </c>
      <c r="J638" s="2" t="s">
        <v>27</v>
      </c>
      <c r="K638" s="5">
        <v>46205.583333333343</v>
      </c>
      <c r="L638">
        <v>3</v>
      </c>
      <c r="M638" s="3">
        <f t="shared" si="47"/>
        <v>13350</v>
      </c>
      <c r="N638" t="str">
        <f t="shared" si="48"/>
        <v>ставка</v>
      </c>
      <c r="O638" s="3">
        <f t="shared" si="49"/>
        <v>785.29</v>
      </c>
      <c r="P638" s="5">
        <v>46208.5</v>
      </c>
      <c r="Q638" t="s">
        <v>130</v>
      </c>
      <c r="R638" s="2" t="s">
        <v>40</v>
      </c>
      <c r="S638">
        <v>55</v>
      </c>
      <c r="T638">
        <v>2</v>
      </c>
    </row>
    <row r="639" spans="1:20" ht="30" x14ac:dyDescent="0.25">
      <c r="A639" t="s">
        <v>1308</v>
      </c>
      <c r="B639">
        <v>1</v>
      </c>
      <c r="C639" s="2" t="s">
        <v>1309</v>
      </c>
      <c r="D639" s="3">
        <v>11347.5</v>
      </c>
      <c r="E639" s="4">
        <v>15</v>
      </c>
      <c r="F639" t="s">
        <v>36</v>
      </c>
      <c r="G639" s="3">
        <f t="shared" si="45"/>
        <v>13350</v>
      </c>
      <c r="H639" s="3">
        <v>0</v>
      </c>
      <c r="I639" s="3">
        <f t="shared" si="46"/>
        <v>13350</v>
      </c>
      <c r="J639" s="2" t="s">
        <v>27</v>
      </c>
      <c r="K639" s="5">
        <v>46210.583333333343</v>
      </c>
      <c r="L639">
        <v>1</v>
      </c>
      <c r="M639" s="3">
        <f t="shared" si="47"/>
        <v>13350</v>
      </c>
      <c r="N639" t="str">
        <f t="shared" si="48"/>
        <v>ставка</v>
      </c>
      <c r="O639" s="3">
        <f t="shared" si="49"/>
        <v>261.76</v>
      </c>
      <c r="P639" s="5">
        <v>46211.5</v>
      </c>
      <c r="Q639" t="s">
        <v>36</v>
      </c>
      <c r="R639" s="2" t="s">
        <v>40</v>
      </c>
      <c r="S639">
        <v>36</v>
      </c>
      <c r="T639">
        <v>1</v>
      </c>
    </row>
    <row r="640" spans="1:20" ht="30" x14ac:dyDescent="0.25">
      <c r="A640" t="s">
        <v>1310</v>
      </c>
      <c r="B640">
        <v>1</v>
      </c>
      <c r="C640" s="2" t="s">
        <v>1311</v>
      </c>
      <c r="D640" s="3">
        <v>5925</v>
      </c>
      <c r="E640" s="4">
        <v>18</v>
      </c>
      <c r="F640" t="s">
        <v>32</v>
      </c>
      <c r="G640" s="3">
        <f t="shared" si="45"/>
        <v>7225.61</v>
      </c>
      <c r="H640" s="3">
        <v>0</v>
      </c>
      <c r="I640" s="3">
        <f t="shared" si="46"/>
        <v>7225.61</v>
      </c>
      <c r="J640" s="2" t="s">
        <v>27</v>
      </c>
      <c r="K640" s="5">
        <v>46292.583333333343</v>
      </c>
      <c r="L640">
        <v>1</v>
      </c>
      <c r="M640" s="3">
        <f t="shared" si="47"/>
        <v>7225.61</v>
      </c>
      <c r="N640" t="str">
        <f t="shared" si="48"/>
        <v>ставка</v>
      </c>
      <c r="O640" s="3">
        <f t="shared" si="49"/>
        <v>141.68</v>
      </c>
      <c r="P640" s="5">
        <v>46293.5</v>
      </c>
      <c r="Q640" t="s">
        <v>32</v>
      </c>
      <c r="R640" s="2" t="s">
        <v>33</v>
      </c>
      <c r="S640">
        <v>41</v>
      </c>
      <c r="T640">
        <v>1</v>
      </c>
    </row>
    <row r="641" spans="1:20" x14ac:dyDescent="0.25">
      <c r="A641" t="s">
        <v>1312</v>
      </c>
      <c r="B641">
        <v>1</v>
      </c>
      <c r="C641" s="2" t="s">
        <v>1313</v>
      </c>
      <c r="D641" s="3">
        <v>23780</v>
      </c>
      <c r="E641" s="4">
        <v>18</v>
      </c>
      <c r="F641" t="s">
        <v>147</v>
      </c>
      <c r="G641" s="3">
        <f t="shared" si="45"/>
        <v>29000</v>
      </c>
      <c r="H641" s="3">
        <v>0</v>
      </c>
      <c r="I641" s="3">
        <f t="shared" si="46"/>
        <v>29000</v>
      </c>
      <c r="J641" s="2" t="s">
        <v>27</v>
      </c>
      <c r="K641" s="5">
        <v>46246.583333333343</v>
      </c>
      <c r="L641">
        <v>2</v>
      </c>
      <c r="M641" s="3">
        <f t="shared" si="47"/>
        <v>14500</v>
      </c>
      <c r="N641" t="str">
        <f t="shared" si="48"/>
        <v>ставка</v>
      </c>
      <c r="O641" s="3">
        <f t="shared" si="49"/>
        <v>568.63</v>
      </c>
      <c r="P641" s="5">
        <v>46248.5</v>
      </c>
      <c r="Q641" t="s">
        <v>147</v>
      </c>
      <c r="R641" s="2" t="s">
        <v>49</v>
      </c>
      <c r="S641">
        <v>25</v>
      </c>
      <c r="T641">
        <v>1</v>
      </c>
    </row>
    <row r="642" spans="1:20" ht="45" x14ac:dyDescent="0.25">
      <c r="A642" t="s">
        <v>1314</v>
      </c>
      <c r="B642">
        <v>1</v>
      </c>
      <c r="C642" s="2" t="s">
        <v>1315</v>
      </c>
      <c r="D642" s="3">
        <v>31000.5</v>
      </c>
      <c r="E642" s="4">
        <v>20</v>
      </c>
      <c r="F642" t="s">
        <v>173</v>
      </c>
      <c r="G642" s="3">
        <f t="shared" ref="G642:G705" si="50">ROUND(D642/(100-E642)*100,2)</f>
        <v>38750.629999999997</v>
      </c>
      <c r="H642" s="3">
        <v>0</v>
      </c>
      <c r="I642" s="3">
        <f t="shared" ref="I642:I705" si="51">ROUND(G642+H642,2)</f>
        <v>38750.629999999997</v>
      </c>
      <c r="J642" s="2" t="s">
        <v>27</v>
      </c>
      <c r="K642" s="5">
        <v>46240.583333333343</v>
      </c>
      <c r="L642">
        <v>3</v>
      </c>
      <c r="M642" s="3">
        <f t="shared" ref="M642:M705" si="52">I642/L642</f>
        <v>12916.876666666665</v>
      </c>
      <c r="N642" t="str">
        <f t="shared" ref="N642:N705" si="53">IF(M642&gt;=5100,"ставка","мин.ставка")</f>
        <v>ставка</v>
      </c>
      <c r="O642" s="3">
        <f t="shared" ref="O642:O705" si="54">ROUND(IF(N642="мин.ставка",L642*100,I642/102*2),2)</f>
        <v>759.82</v>
      </c>
      <c r="P642" s="5">
        <v>46243.5</v>
      </c>
      <c r="Q642" t="s">
        <v>173</v>
      </c>
      <c r="R642" s="2" t="s">
        <v>87</v>
      </c>
      <c r="S642">
        <v>51</v>
      </c>
      <c r="T642">
        <v>2</v>
      </c>
    </row>
    <row r="643" spans="1:20" x14ac:dyDescent="0.25">
      <c r="A643" t="s">
        <v>1316</v>
      </c>
      <c r="B643">
        <v>1</v>
      </c>
      <c r="C643" s="2" t="s">
        <v>1317</v>
      </c>
      <c r="D643" s="3">
        <v>26544</v>
      </c>
      <c r="E643" s="4">
        <v>16</v>
      </c>
      <c r="F643" t="s">
        <v>36</v>
      </c>
      <c r="G643" s="3">
        <f t="shared" si="50"/>
        <v>31600</v>
      </c>
      <c r="H643" s="3">
        <v>0</v>
      </c>
      <c r="I643" s="3">
        <f t="shared" si="51"/>
        <v>31600</v>
      </c>
      <c r="J643" s="2" t="s">
        <v>27</v>
      </c>
      <c r="K643" s="5">
        <v>46279.583333333343</v>
      </c>
      <c r="L643">
        <v>2</v>
      </c>
      <c r="M643" s="3">
        <f t="shared" si="52"/>
        <v>15800</v>
      </c>
      <c r="N643" t="str">
        <f t="shared" si="53"/>
        <v>ставка</v>
      </c>
      <c r="O643" s="3">
        <f t="shared" si="54"/>
        <v>619.61</v>
      </c>
      <c r="P643" s="5">
        <v>46281.5</v>
      </c>
      <c r="Q643" t="s">
        <v>36</v>
      </c>
      <c r="R643" s="2" t="s">
        <v>45</v>
      </c>
      <c r="S643">
        <v>54</v>
      </c>
      <c r="T643">
        <v>2</v>
      </c>
    </row>
    <row r="644" spans="1:20" ht="30" x14ac:dyDescent="0.25">
      <c r="A644" t="s">
        <v>1318</v>
      </c>
      <c r="B644">
        <v>1</v>
      </c>
      <c r="C644" s="2" t="s">
        <v>1319</v>
      </c>
      <c r="D644" s="3">
        <v>56880</v>
      </c>
      <c r="E644" s="4">
        <v>0</v>
      </c>
      <c r="F644" t="s">
        <v>23</v>
      </c>
      <c r="G644" s="3">
        <f t="shared" si="50"/>
        <v>56880</v>
      </c>
      <c r="H644" s="3">
        <v>0</v>
      </c>
      <c r="I644" s="3">
        <f t="shared" si="51"/>
        <v>56880</v>
      </c>
      <c r="J644" s="2" t="s">
        <v>27</v>
      </c>
      <c r="K644" s="5">
        <v>46244.583333333343</v>
      </c>
      <c r="L644">
        <v>8</v>
      </c>
      <c r="M644" s="3">
        <f t="shared" si="52"/>
        <v>7110</v>
      </c>
      <c r="N644" t="str">
        <f t="shared" si="53"/>
        <v>ставка</v>
      </c>
      <c r="O644" s="3">
        <f t="shared" si="54"/>
        <v>1115.29</v>
      </c>
      <c r="P644" s="5">
        <v>46252.5</v>
      </c>
      <c r="Q644" t="s">
        <v>23</v>
      </c>
      <c r="R644" s="2" t="s">
        <v>58</v>
      </c>
      <c r="S644">
        <v>24</v>
      </c>
      <c r="T644">
        <v>1</v>
      </c>
    </row>
    <row r="645" spans="1:20" ht="30" x14ac:dyDescent="0.25">
      <c r="A645" t="s">
        <v>1320</v>
      </c>
      <c r="B645">
        <v>1</v>
      </c>
      <c r="C645" s="2" t="s">
        <v>1321</v>
      </c>
      <c r="D645" s="3">
        <v>79279.75</v>
      </c>
      <c r="E645" s="4">
        <v>4</v>
      </c>
      <c r="F645" t="s">
        <v>55</v>
      </c>
      <c r="G645" s="3">
        <f t="shared" si="50"/>
        <v>82583.070000000007</v>
      </c>
      <c r="H645" s="3">
        <v>0</v>
      </c>
      <c r="I645" s="3">
        <f t="shared" si="51"/>
        <v>82583.070000000007</v>
      </c>
      <c r="J645" s="2" t="s">
        <v>27</v>
      </c>
      <c r="K645" s="5">
        <v>46285.979166666657</v>
      </c>
      <c r="L645">
        <v>7</v>
      </c>
      <c r="M645" s="3">
        <f t="shared" si="52"/>
        <v>11797.58142857143</v>
      </c>
      <c r="N645" t="str">
        <f t="shared" si="53"/>
        <v>ставка</v>
      </c>
      <c r="O645" s="3">
        <f t="shared" si="54"/>
        <v>1619.28</v>
      </c>
      <c r="P645" s="5">
        <v>46292.5</v>
      </c>
      <c r="Q645" t="s">
        <v>55</v>
      </c>
      <c r="R645" s="2" t="s">
        <v>40</v>
      </c>
      <c r="S645">
        <v>55</v>
      </c>
      <c r="T645">
        <v>2</v>
      </c>
    </row>
    <row r="646" spans="1:20" ht="30" x14ac:dyDescent="0.25">
      <c r="A646" t="s">
        <v>1322</v>
      </c>
      <c r="B646">
        <v>1</v>
      </c>
      <c r="C646" s="2" t="s">
        <v>1323</v>
      </c>
      <c r="D646" s="3">
        <v>29920</v>
      </c>
      <c r="E646" s="4">
        <v>15</v>
      </c>
      <c r="F646" t="s">
        <v>1324</v>
      </c>
      <c r="G646" s="3">
        <f t="shared" si="50"/>
        <v>35200</v>
      </c>
      <c r="H646" s="3">
        <v>0</v>
      </c>
      <c r="I646" s="3">
        <f t="shared" si="51"/>
        <v>35200</v>
      </c>
      <c r="J646" s="2" t="s">
        <v>27</v>
      </c>
      <c r="K646" s="5">
        <v>46295.583333333343</v>
      </c>
      <c r="L646">
        <v>3</v>
      </c>
      <c r="M646" s="3">
        <f t="shared" si="52"/>
        <v>11733.333333333334</v>
      </c>
      <c r="N646" t="str">
        <f t="shared" si="53"/>
        <v>ставка</v>
      </c>
      <c r="O646" s="3">
        <f t="shared" si="54"/>
        <v>690.2</v>
      </c>
      <c r="P646" s="5">
        <v>46298.5</v>
      </c>
      <c r="Q646" t="s">
        <v>1324</v>
      </c>
      <c r="R646" s="2" t="s">
        <v>24</v>
      </c>
      <c r="S646">
        <v>56</v>
      </c>
      <c r="T646">
        <v>2</v>
      </c>
    </row>
    <row r="647" spans="1:20" ht="30" x14ac:dyDescent="0.25">
      <c r="A647" t="s">
        <v>1325</v>
      </c>
      <c r="B647">
        <v>1</v>
      </c>
      <c r="C647" s="2" t="s">
        <v>1326</v>
      </c>
      <c r="D647" s="3">
        <v>42075</v>
      </c>
      <c r="E647" s="4">
        <v>0</v>
      </c>
      <c r="F647" t="s">
        <v>245</v>
      </c>
      <c r="G647" s="3">
        <f t="shared" si="50"/>
        <v>42075</v>
      </c>
      <c r="H647" s="3">
        <v>0</v>
      </c>
      <c r="I647" s="3">
        <f t="shared" si="51"/>
        <v>42075</v>
      </c>
      <c r="J647" s="2" t="s">
        <v>27</v>
      </c>
      <c r="K647" s="5">
        <v>46279.583333333343</v>
      </c>
      <c r="L647">
        <v>5</v>
      </c>
      <c r="M647" s="3">
        <f t="shared" si="52"/>
        <v>8415</v>
      </c>
      <c r="N647" t="str">
        <f t="shared" si="53"/>
        <v>ставка</v>
      </c>
      <c r="O647" s="3">
        <f t="shared" si="54"/>
        <v>825</v>
      </c>
      <c r="P647" s="5">
        <v>46284.5</v>
      </c>
      <c r="Q647" t="s">
        <v>245</v>
      </c>
      <c r="R647" s="2" t="s">
        <v>33</v>
      </c>
      <c r="S647">
        <v>43</v>
      </c>
      <c r="T647">
        <v>1</v>
      </c>
    </row>
    <row r="648" spans="1:20" ht="30" x14ac:dyDescent="0.25">
      <c r="A648" t="s">
        <v>1327</v>
      </c>
      <c r="B648">
        <v>1</v>
      </c>
      <c r="C648" s="2" t="s">
        <v>1328</v>
      </c>
      <c r="D648" s="3">
        <v>6320</v>
      </c>
      <c r="E648" s="4">
        <v>18</v>
      </c>
      <c r="F648" t="s">
        <v>32</v>
      </c>
      <c r="G648" s="3">
        <f t="shared" si="50"/>
        <v>7707.32</v>
      </c>
      <c r="H648" s="3">
        <v>0</v>
      </c>
      <c r="I648" s="3">
        <f t="shared" si="51"/>
        <v>7707.32</v>
      </c>
      <c r="J648" s="2" t="s">
        <v>27</v>
      </c>
      <c r="K648" s="5">
        <v>46237.583333333343</v>
      </c>
      <c r="L648">
        <v>1</v>
      </c>
      <c r="M648" s="3">
        <f t="shared" si="52"/>
        <v>7707.32</v>
      </c>
      <c r="N648" t="str">
        <f t="shared" si="53"/>
        <v>ставка</v>
      </c>
      <c r="O648" s="3">
        <f t="shared" si="54"/>
        <v>151.12</v>
      </c>
      <c r="P648" s="5">
        <v>46238.5</v>
      </c>
      <c r="Q648" t="s">
        <v>32</v>
      </c>
      <c r="R648" s="2" t="s">
        <v>33</v>
      </c>
      <c r="S648">
        <v>47</v>
      </c>
      <c r="T648">
        <v>1</v>
      </c>
    </row>
    <row r="649" spans="1:20" ht="30" x14ac:dyDescent="0.25">
      <c r="A649" t="s">
        <v>1329</v>
      </c>
      <c r="B649">
        <v>1</v>
      </c>
      <c r="C649" s="2" t="s">
        <v>1330</v>
      </c>
      <c r="D649" s="3">
        <v>5775</v>
      </c>
      <c r="E649" s="4">
        <v>18</v>
      </c>
      <c r="F649" t="s">
        <v>32</v>
      </c>
      <c r="G649" s="3">
        <f t="shared" si="50"/>
        <v>7042.68</v>
      </c>
      <c r="H649" s="3">
        <v>0</v>
      </c>
      <c r="I649" s="3">
        <f t="shared" si="51"/>
        <v>7042.68</v>
      </c>
      <c r="J649" s="2" t="s">
        <v>27</v>
      </c>
      <c r="K649" s="5">
        <v>46292.583333333343</v>
      </c>
      <c r="L649">
        <v>1</v>
      </c>
      <c r="M649" s="3">
        <f t="shared" si="52"/>
        <v>7042.68</v>
      </c>
      <c r="N649" t="str">
        <f t="shared" si="53"/>
        <v>ставка</v>
      </c>
      <c r="O649" s="3">
        <f t="shared" si="54"/>
        <v>138.09</v>
      </c>
      <c r="P649" s="5">
        <v>46293.5</v>
      </c>
      <c r="Q649" t="s">
        <v>32</v>
      </c>
      <c r="R649" s="2" t="s">
        <v>58</v>
      </c>
      <c r="S649">
        <v>24</v>
      </c>
      <c r="T649">
        <v>1</v>
      </c>
    </row>
    <row r="650" spans="1:20" ht="30" x14ac:dyDescent="0.25">
      <c r="A650" t="s">
        <v>1331</v>
      </c>
      <c r="B650">
        <v>1</v>
      </c>
      <c r="C650" s="2" t="s">
        <v>1332</v>
      </c>
      <c r="D650" s="3">
        <v>23760</v>
      </c>
      <c r="E650" s="4">
        <v>18</v>
      </c>
      <c r="F650" t="s">
        <v>32</v>
      </c>
      <c r="G650" s="3">
        <f t="shared" si="50"/>
        <v>28975.61</v>
      </c>
      <c r="H650" s="3">
        <v>0</v>
      </c>
      <c r="I650" s="3">
        <f t="shared" si="51"/>
        <v>28975.61</v>
      </c>
      <c r="J650" s="2" t="s">
        <v>27</v>
      </c>
      <c r="K650" s="5">
        <v>46247.583333333343</v>
      </c>
      <c r="L650">
        <v>3</v>
      </c>
      <c r="M650" s="3">
        <f t="shared" si="52"/>
        <v>9658.5366666666669</v>
      </c>
      <c r="N650" t="str">
        <f t="shared" si="53"/>
        <v>ставка</v>
      </c>
      <c r="O650" s="3">
        <f t="shared" si="54"/>
        <v>568.15</v>
      </c>
      <c r="P650" s="5">
        <v>46250.5</v>
      </c>
      <c r="Q650" t="s">
        <v>32</v>
      </c>
      <c r="R650" s="2" t="s">
        <v>33</v>
      </c>
      <c r="S650">
        <v>41</v>
      </c>
      <c r="T650">
        <v>1</v>
      </c>
    </row>
    <row r="651" spans="1:20" ht="30" x14ac:dyDescent="0.25">
      <c r="A651" t="s">
        <v>1333</v>
      </c>
      <c r="B651">
        <v>1</v>
      </c>
      <c r="C651" s="2" t="s">
        <v>1334</v>
      </c>
      <c r="D651" s="3">
        <v>40200</v>
      </c>
      <c r="E651" s="4">
        <v>0</v>
      </c>
      <c r="F651" t="s">
        <v>23</v>
      </c>
      <c r="G651" s="3">
        <f t="shared" si="50"/>
        <v>40200</v>
      </c>
      <c r="H651" s="3">
        <v>0</v>
      </c>
      <c r="I651" s="3">
        <f t="shared" si="51"/>
        <v>40200</v>
      </c>
      <c r="J651" s="2" t="s">
        <v>27</v>
      </c>
      <c r="K651" s="5">
        <v>46226.583333333343</v>
      </c>
      <c r="L651">
        <v>3</v>
      </c>
      <c r="M651" s="3">
        <f t="shared" si="52"/>
        <v>13400</v>
      </c>
      <c r="N651" t="str">
        <f t="shared" si="53"/>
        <v>ставка</v>
      </c>
      <c r="O651" s="3">
        <f t="shared" si="54"/>
        <v>788.24</v>
      </c>
      <c r="P651" s="5">
        <v>46229.5</v>
      </c>
      <c r="Q651" t="s">
        <v>23</v>
      </c>
      <c r="R651" s="2" t="s">
        <v>24</v>
      </c>
      <c r="S651">
        <v>59</v>
      </c>
      <c r="T651">
        <v>2</v>
      </c>
    </row>
    <row r="652" spans="1:20" ht="30" x14ac:dyDescent="0.25">
      <c r="A652" t="s">
        <v>1335</v>
      </c>
      <c r="B652">
        <v>1</v>
      </c>
      <c r="C652" s="2" t="s">
        <v>1336</v>
      </c>
      <c r="D652" s="3">
        <v>6557</v>
      </c>
      <c r="E652" s="4">
        <v>18</v>
      </c>
      <c r="F652" t="s">
        <v>32</v>
      </c>
      <c r="G652" s="3">
        <f t="shared" si="50"/>
        <v>7996.34</v>
      </c>
      <c r="H652" s="3">
        <v>0</v>
      </c>
      <c r="I652" s="3">
        <f t="shared" si="51"/>
        <v>7996.34</v>
      </c>
      <c r="J652" s="2" t="s">
        <v>27</v>
      </c>
      <c r="K652" s="5">
        <v>46238.583333333343</v>
      </c>
      <c r="L652">
        <v>1</v>
      </c>
      <c r="M652" s="3">
        <f t="shared" si="52"/>
        <v>7996.34</v>
      </c>
      <c r="N652" t="str">
        <f t="shared" si="53"/>
        <v>ставка</v>
      </c>
      <c r="O652" s="3">
        <f t="shared" si="54"/>
        <v>156.79</v>
      </c>
      <c r="P652" s="5">
        <v>46239.5</v>
      </c>
      <c r="Q652" t="s">
        <v>32</v>
      </c>
      <c r="R652" s="2" t="s">
        <v>33</v>
      </c>
      <c r="S652">
        <v>43</v>
      </c>
      <c r="T652">
        <v>1</v>
      </c>
    </row>
    <row r="653" spans="1:20" ht="30" x14ac:dyDescent="0.25">
      <c r="A653" t="s">
        <v>1337</v>
      </c>
      <c r="B653">
        <v>1</v>
      </c>
      <c r="C653" s="2" t="s">
        <v>1338</v>
      </c>
      <c r="D653" s="3">
        <v>13350</v>
      </c>
      <c r="E653" s="4">
        <v>0</v>
      </c>
      <c r="F653" t="s">
        <v>23</v>
      </c>
      <c r="G653" s="3">
        <f t="shared" si="50"/>
        <v>13350</v>
      </c>
      <c r="H653" s="3">
        <v>0</v>
      </c>
      <c r="I653" s="3">
        <f t="shared" si="51"/>
        <v>13350</v>
      </c>
      <c r="J653" s="2" t="s">
        <v>27</v>
      </c>
      <c r="K653" s="5">
        <v>46204.583333333343</v>
      </c>
      <c r="L653">
        <v>1</v>
      </c>
      <c r="M653" s="3">
        <f t="shared" si="52"/>
        <v>13350</v>
      </c>
      <c r="N653" t="str">
        <f t="shared" si="53"/>
        <v>ставка</v>
      </c>
      <c r="O653" s="3">
        <f t="shared" si="54"/>
        <v>261.76</v>
      </c>
      <c r="P653" s="5">
        <v>46205.5</v>
      </c>
      <c r="Q653" t="s">
        <v>23</v>
      </c>
      <c r="R653" s="2" t="s">
        <v>40</v>
      </c>
      <c r="S653">
        <v>36</v>
      </c>
      <c r="T653">
        <v>1</v>
      </c>
    </row>
    <row r="654" spans="1:20" ht="30" x14ac:dyDescent="0.25">
      <c r="A654" t="s">
        <v>265</v>
      </c>
      <c r="B654">
        <v>1</v>
      </c>
      <c r="C654" s="2" t="s">
        <v>1339</v>
      </c>
      <c r="D654" s="3">
        <v>36045</v>
      </c>
      <c r="E654" s="4">
        <v>0</v>
      </c>
      <c r="F654" t="s">
        <v>23</v>
      </c>
      <c r="G654" s="3">
        <f t="shared" si="50"/>
        <v>36045</v>
      </c>
      <c r="H654" s="3">
        <v>0</v>
      </c>
      <c r="I654" s="3">
        <f t="shared" si="51"/>
        <v>36045</v>
      </c>
      <c r="J654" s="2" t="s">
        <v>27</v>
      </c>
      <c r="K654" s="5">
        <v>46275.583333333343</v>
      </c>
      <c r="L654">
        <v>3</v>
      </c>
      <c r="M654" s="3">
        <f t="shared" si="52"/>
        <v>12015</v>
      </c>
      <c r="N654" t="str">
        <f t="shared" si="53"/>
        <v>ставка</v>
      </c>
      <c r="O654" s="3">
        <f t="shared" si="54"/>
        <v>706.76</v>
      </c>
      <c r="P654" s="5">
        <v>46278.5</v>
      </c>
      <c r="Q654" t="s">
        <v>23</v>
      </c>
      <c r="R654" s="2" t="s">
        <v>40</v>
      </c>
      <c r="S654" s="6"/>
    </row>
    <row r="655" spans="1:20" ht="30" x14ac:dyDescent="0.25">
      <c r="A655" t="s">
        <v>1340</v>
      </c>
      <c r="B655">
        <v>1</v>
      </c>
      <c r="C655" s="2" t="s">
        <v>1341</v>
      </c>
      <c r="D655" s="3">
        <v>64080</v>
      </c>
      <c r="E655" s="4">
        <v>20</v>
      </c>
      <c r="F655" t="s">
        <v>48</v>
      </c>
      <c r="G655" s="3">
        <f t="shared" si="50"/>
        <v>80100</v>
      </c>
      <c r="H655" s="3">
        <v>0</v>
      </c>
      <c r="I655" s="3">
        <f t="shared" si="51"/>
        <v>80100</v>
      </c>
      <c r="J655" s="2" t="s">
        <v>27</v>
      </c>
      <c r="K655" s="5">
        <v>46247.583333333343</v>
      </c>
      <c r="L655">
        <v>6</v>
      </c>
      <c r="M655" s="3">
        <f t="shared" si="52"/>
        <v>13350</v>
      </c>
      <c r="N655" t="str">
        <f t="shared" si="53"/>
        <v>ставка</v>
      </c>
      <c r="O655" s="3">
        <f t="shared" si="54"/>
        <v>1570.59</v>
      </c>
      <c r="P655" s="5">
        <v>46253.5</v>
      </c>
      <c r="Q655" t="s">
        <v>48</v>
      </c>
      <c r="R655" s="2" t="s">
        <v>40</v>
      </c>
      <c r="S655">
        <v>26</v>
      </c>
      <c r="T655">
        <v>1</v>
      </c>
    </row>
    <row r="656" spans="1:20" ht="45" x14ac:dyDescent="0.25">
      <c r="A656" t="s">
        <v>1342</v>
      </c>
      <c r="B656">
        <v>1</v>
      </c>
      <c r="C656" s="2" t="s">
        <v>1343</v>
      </c>
      <c r="D656" s="3">
        <v>14317.5</v>
      </c>
      <c r="E656" s="4">
        <v>17</v>
      </c>
      <c r="F656" t="s">
        <v>130</v>
      </c>
      <c r="G656" s="3">
        <f t="shared" si="50"/>
        <v>17250</v>
      </c>
      <c r="H656" s="3">
        <v>0</v>
      </c>
      <c r="I656" s="3">
        <f t="shared" si="51"/>
        <v>17250</v>
      </c>
      <c r="J656" s="2" t="s">
        <v>27</v>
      </c>
      <c r="K656" s="5">
        <v>46244.583333333343</v>
      </c>
      <c r="L656">
        <v>1</v>
      </c>
      <c r="M656" s="3">
        <f t="shared" si="52"/>
        <v>17250</v>
      </c>
      <c r="N656" t="str">
        <f t="shared" si="53"/>
        <v>ставка</v>
      </c>
      <c r="O656" s="3">
        <f t="shared" si="54"/>
        <v>338.24</v>
      </c>
      <c r="P656" s="5">
        <v>46245.5</v>
      </c>
      <c r="Q656" t="s">
        <v>130</v>
      </c>
      <c r="R656" s="2" t="s">
        <v>87</v>
      </c>
      <c r="S656">
        <v>50</v>
      </c>
      <c r="T656">
        <v>2</v>
      </c>
    </row>
    <row r="657" spans="1:20" ht="30" x14ac:dyDescent="0.25">
      <c r="A657" t="s">
        <v>1344</v>
      </c>
      <c r="B657">
        <v>1</v>
      </c>
      <c r="C657" s="2" t="s">
        <v>1345</v>
      </c>
      <c r="D657" s="3">
        <v>15555.1</v>
      </c>
      <c r="E657" s="4">
        <v>4</v>
      </c>
      <c r="F657" t="s">
        <v>55</v>
      </c>
      <c r="G657" s="3">
        <f t="shared" si="50"/>
        <v>16203.23</v>
      </c>
      <c r="H657" s="3">
        <v>0</v>
      </c>
      <c r="I657" s="3">
        <f t="shared" si="51"/>
        <v>16203.23</v>
      </c>
      <c r="J657" s="2" t="s">
        <v>27</v>
      </c>
      <c r="K657" s="5">
        <v>46234.583333333343</v>
      </c>
      <c r="L657">
        <v>2</v>
      </c>
      <c r="M657" s="3">
        <f t="shared" si="52"/>
        <v>8101.6149999999998</v>
      </c>
      <c r="N657" t="str">
        <f t="shared" si="53"/>
        <v>ставка</v>
      </c>
      <c r="O657" s="3">
        <f t="shared" si="54"/>
        <v>317.70999999999998</v>
      </c>
      <c r="P657" s="5">
        <v>46236.5</v>
      </c>
      <c r="Q657" t="s">
        <v>55</v>
      </c>
      <c r="R657" s="2" t="s">
        <v>33</v>
      </c>
      <c r="S657">
        <v>43</v>
      </c>
      <c r="T657">
        <v>1</v>
      </c>
    </row>
    <row r="658" spans="1:20" ht="30" x14ac:dyDescent="0.25">
      <c r="A658" t="s">
        <v>1346</v>
      </c>
      <c r="B658">
        <v>1</v>
      </c>
      <c r="C658" s="2" t="s">
        <v>1347</v>
      </c>
      <c r="D658" s="3">
        <v>64080</v>
      </c>
      <c r="E658" s="4">
        <v>0</v>
      </c>
      <c r="F658" t="s">
        <v>23</v>
      </c>
      <c r="G658" s="3">
        <f t="shared" si="50"/>
        <v>64080</v>
      </c>
      <c r="H658" s="3">
        <v>0</v>
      </c>
      <c r="I658" s="3">
        <f t="shared" si="51"/>
        <v>64080</v>
      </c>
      <c r="J658" s="2" t="s">
        <v>27</v>
      </c>
      <c r="K658" s="5">
        <v>46224.583333333343</v>
      </c>
      <c r="L658">
        <v>6</v>
      </c>
      <c r="M658" s="3">
        <f t="shared" si="52"/>
        <v>10680</v>
      </c>
      <c r="N658" t="str">
        <f t="shared" si="53"/>
        <v>ставка</v>
      </c>
      <c r="O658" s="3">
        <f t="shared" si="54"/>
        <v>1256.47</v>
      </c>
      <c r="P658" s="5">
        <v>46230.5</v>
      </c>
      <c r="Q658" t="s">
        <v>23</v>
      </c>
      <c r="R658" s="2" t="s">
        <v>40</v>
      </c>
      <c r="S658">
        <v>26</v>
      </c>
      <c r="T658">
        <v>1</v>
      </c>
    </row>
    <row r="659" spans="1:20" ht="30" x14ac:dyDescent="0.25">
      <c r="A659" t="s">
        <v>1348</v>
      </c>
      <c r="B659">
        <v>1</v>
      </c>
      <c r="C659" s="2" t="s">
        <v>1349</v>
      </c>
      <c r="D659" s="3">
        <v>6160</v>
      </c>
      <c r="E659" s="4">
        <v>20</v>
      </c>
      <c r="F659" t="s">
        <v>48</v>
      </c>
      <c r="G659" s="3">
        <f t="shared" si="50"/>
        <v>7700</v>
      </c>
      <c r="H659" s="3">
        <v>0</v>
      </c>
      <c r="I659" s="3">
        <f t="shared" si="51"/>
        <v>7700</v>
      </c>
      <c r="J659" s="2" t="s">
        <v>27</v>
      </c>
      <c r="K659" s="5">
        <v>46258.583333333343</v>
      </c>
      <c r="L659">
        <v>1</v>
      </c>
      <c r="M659" s="3">
        <f t="shared" si="52"/>
        <v>7700</v>
      </c>
      <c r="N659" t="str">
        <f t="shared" si="53"/>
        <v>ставка</v>
      </c>
      <c r="O659" s="3">
        <f t="shared" si="54"/>
        <v>150.97999999999999</v>
      </c>
      <c r="P659" s="5">
        <v>46259.5</v>
      </c>
      <c r="Q659" t="s">
        <v>48</v>
      </c>
      <c r="R659" s="2" t="s">
        <v>58</v>
      </c>
      <c r="S659">
        <v>34</v>
      </c>
      <c r="T659">
        <v>1</v>
      </c>
    </row>
    <row r="660" spans="1:20" ht="30" x14ac:dyDescent="0.25">
      <c r="A660" t="s">
        <v>1350</v>
      </c>
      <c r="B660">
        <v>1</v>
      </c>
      <c r="C660" s="2" t="s">
        <v>1351</v>
      </c>
      <c r="D660" s="3">
        <v>13350</v>
      </c>
      <c r="E660" s="4">
        <v>0</v>
      </c>
      <c r="F660" t="s">
        <v>23</v>
      </c>
      <c r="G660" s="3">
        <f t="shared" si="50"/>
        <v>13350</v>
      </c>
      <c r="H660" s="3">
        <v>0</v>
      </c>
      <c r="I660" s="3">
        <f t="shared" si="51"/>
        <v>13350</v>
      </c>
      <c r="J660" s="2" t="s">
        <v>27</v>
      </c>
      <c r="K660" s="5">
        <v>46208.583333333343</v>
      </c>
      <c r="L660">
        <v>1</v>
      </c>
      <c r="M660" s="3">
        <f t="shared" si="52"/>
        <v>13350</v>
      </c>
      <c r="N660" t="str">
        <f t="shared" si="53"/>
        <v>ставка</v>
      </c>
      <c r="O660" s="3">
        <f t="shared" si="54"/>
        <v>261.76</v>
      </c>
      <c r="P660" s="5">
        <v>46209.5</v>
      </c>
      <c r="Q660" t="s">
        <v>23</v>
      </c>
      <c r="R660" s="2" t="s">
        <v>40</v>
      </c>
      <c r="S660">
        <v>22</v>
      </c>
      <c r="T660">
        <v>1</v>
      </c>
    </row>
    <row r="661" spans="1:20" ht="30" x14ac:dyDescent="0.25">
      <c r="A661" t="s">
        <v>1352</v>
      </c>
      <c r="B661">
        <v>1</v>
      </c>
      <c r="C661" s="2" t="s">
        <v>1353</v>
      </c>
      <c r="D661" s="3">
        <v>66750</v>
      </c>
      <c r="E661" s="4">
        <v>0</v>
      </c>
      <c r="F661" t="s">
        <v>23</v>
      </c>
      <c r="G661" s="3">
        <f t="shared" si="50"/>
        <v>66750</v>
      </c>
      <c r="H661" s="3">
        <v>400</v>
      </c>
      <c r="I661" s="3">
        <f t="shared" si="51"/>
        <v>67150</v>
      </c>
      <c r="J661" s="2" t="s">
        <v>1354</v>
      </c>
      <c r="K661" s="5">
        <v>46210.583333333343</v>
      </c>
      <c r="L661">
        <v>5</v>
      </c>
      <c r="M661" s="3">
        <f t="shared" si="52"/>
        <v>13430</v>
      </c>
      <c r="N661" t="str">
        <f t="shared" si="53"/>
        <v>ставка</v>
      </c>
      <c r="O661" s="3">
        <f t="shared" si="54"/>
        <v>1316.67</v>
      </c>
      <c r="P661" s="5">
        <v>46215.5</v>
      </c>
      <c r="Q661" t="s">
        <v>23</v>
      </c>
      <c r="R661" s="2" t="s">
        <v>40</v>
      </c>
      <c r="S661">
        <v>26</v>
      </c>
      <c r="T661">
        <v>1</v>
      </c>
    </row>
    <row r="662" spans="1:20" ht="45" x14ac:dyDescent="0.25">
      <c r="A662" t="s">
        <v>1355</v>
      </c>
      <c r="B662">
        <v>1</v>
      </c>
      <c r="C662" s="2" t="s">
        <v>1356</v>
      </c>
      <c r="D662" s="3">
        <v>40460</v>
      </c>
      <c r="E662" s="4">
        <v>0</v>
      </c>
      <c r="F662" t="s">
        <v>23</v>
      </c>
      <c r="G662" s="3">
        <f t="shared" si="50"/>
        <v>40460</v>
      </c>
      <c r="H662" s="3">
        <v>19800</v>
      </c>
      <c r="I662" s="3">
        <f t="shared" si="51"/>
        <v>60260</v>
      </c>
      <c r="J662" s="2" t="s">
        <v>1357</v>
      </c>
      <c r="K662" s="5">
        <v>46251.583333333343</v>
      </c>
      <c r="L662">
        <v>3</v>
      </c>
      <c r="M662" s="3">
        <f t="shared" si="52"/>
        <v>20086.666666666668</v>
      </c>
      <c r="N662" t="str">
        <f t="shared" si="53"/>
        <v>ставка</v>
      </c>
      <c r="O662" s="3">
        <f t="shared" si="54"/>
        <v>1181.57</v>
      </c>
      <c r="P662" s="5">
        <v>46254.5</v>
      </c>
      <c r="Q662" t="s">
        <v>23</v>
      </c>
      <c r="R662" s="2" t="s">
        <v>87</v>
      </c>
      <c r="S662">
        <v>51</v>
      </c>
      <c r="T662">
        <v>2</v>
      </c>
    </row>
    <row r="663" spans="1:20" ht="30" x14ac:dyDescent="0.25">
      <c r="A663" t="s">
        <v>1358</v>
      </c>
      <c r="B663">
        <v>1</v>
      </c>
      <c r="C663" s="2" t="s">
        <v>1359</v>
      </c>
      <c r="D663" s="3">
        <v>23100</v>
      </c>
      <c r="E663" s="4">
        <v>0</v>
      </c>
      <c r="F663" t="s">
        <v>23</v>
      </c>
      <c r="G663" s="3">
        <f t="shared" si="50"/>
        <v>23100</v>
      </c>
      <c r="H663" s="3">
        <v>0</v>
      </c>
      <c r="I663" s="3">
        <f t="shared" si="51"/>
        <v>23100</v>
      </c>
      <c r="J663" s="2" t="s">
        <v>27</v>
      </c>
      <c r="K663" s="5">
        <v>46251.583333333343</v>
      </c>
      <c r="L663">
        <v>3</v>
      </c>
      <c r="M663" s="3">
        <f t="shared" si="52"/>
        <v>7700</v>
      </c>
      <c r="N663" t="str">
        <f t="shared" si="53"/>
        <v>ставка</v>
      </c>
      <c r="O663" s="3">
        <f t="shared" si="54"/>
        <v>452.94</v>
      </c>
      <c r="P663" s="5">
        <v>46254.5</v>
      </c>
      <c r="Q663" t="s">
        <v>23</v>
      </c>
      <c r="R663" s="2" t="s">
        <v>58</v>
      </c>
      <c r="S663">
        <v>34</v>
      </c>
      <c r="T663">
        <v>1</v>
      </c>
    </row>
    <row r="664" spans="1:20" ht="30" x14ac:dyDescent="0.25">
      <c r="A664" t="s">
        <v>1360</v>
      </c>
      <c r="B664">
        <v>1</v>
      </c>
      <c r="C664" s="2" t="s">
        <v>1361</v>
      </c>
      <c r="D664" s="3">
        <v>39270</v>
      </c>
      <c r="E664" s="4">
        <v>16</v>
      </c>
      <c r="F664" t="s">
        <v>36</v>
      </c>
      <c r="G664" s="3">
        <f t="shared" si="50"/>
        <v>46750</v>
      </c>
      <c r="H664" s="3">
        <v>0</v>
      </c>
      <c r="I664" s="3">
        <f t="shared" si="51"/>
        <v>46750</v>
      </c>
      <c r="J664" s="2" t="s">
        <v>27</v>
      </c>
      <c r="K664" s="5">
        <v>46237.583333333343</v>
      </c>
      <c r="L664">
        <v>3</v>
      </c>
      <c r="M664" s="3">
        <f t="shared" si="52"/>
        <v>15583.333333333334</v>
      </c>
      <c r="N664" t="str">
        <f t="shared" si="53"/>
        <v>ставка</v>
      </c>
      <c r="O664" s="3">
        <f t="shared" si="54"/>
        <v>916.67</v>
      </c>
      <c r="P664" s="5">
        <v>46240.5</v>
      </c>
      <c r="Q664" t="s">
        <v>36</v>
      </c>
      <c r="R664" s="2" t="s">
        <v>24</v>
      </c>
      <c r="S664">
        <v>21</v>
      </c>
      <c r="T664">
        <v>1</v>
      </c>
    </row>
    <row r="665" spans="1:20" ht="30" x14ac:dyDescent="0.25">
      <c r="A665" t="s">
        <v>1362</v>
      </c>
      <c r="B665">
        <v>1</v>
      </c>
      <c r="C665" s="2" t="s">
        <v>1363</v>
      </c>
      <c r="D665" s="3">
        <v>23760</v>
      </c>
      <c r="E665" s="4">
        <v>18</v>
      </c>
      <c r="F665" t="s">
        <v>32</v>
      </c>
      <c r="G665" s="3">
        <f t="shared" si="50"/>
        <v>28975.61</v>
      </c>
      <c r="H665" s="3">
        <v>0</v>
      </c>
      <c r="I665" s="3">
        <f t="shared" si="51"/>
        <v>28975.61</v>
      </c>
      <c r="J665" s="2" t="s">
        <v>27</v>
      </c>
      <c r="K665" s="5">
        <v>46289.583333333343</v>
      </c>
      <c r="L665">
        <v>3</v>
      </c>
      <c r="M665" s="3">
        <f t="shared" si="52"/>
        <v>9658.5366666666669</v>
      </c>
      <c r="N665" t="str">
        <f t="shared" si="53"/>
        <v>ставка</v>
      </c>
      <c r="O665" s="3">
        <f t="shared" si="54"/>
        <v>568.15</v>
      </c>
      <c r="P665" s="5">
        <v>46292.5</v>
      </c>
      <c r="Q665" t="s">
        <v>32</v>
      </c>
      <c r="R665" s="2" t="s">
        <v>33</v>
      </c>
      <c r="S665">
        <v>43</v>
      </c>
      <c r="T665">
        <v>1</v>
      </c>
    </row>
    <row r="666" spans="1:20" ht="30" x14ac:dyDescent="0.25">
      <c r="A666" t="s">
        <v>1364</v>
      </c>
      <c r="B666">
        <v>1</v>
      </c>
      <c r="C666" s="2" t="s">
        <v>1365</v>
      </c>
      <c r="D666" s="3">
        <v>88644</v>
      </c>
      <c r="E666" s="4">
        <v>17</v>
      </c>
      <c r="F666" t="s">
        <v>130</v>
      </c>
      <c r="G666" s="3">
        <f t="shared" si="50"/>
        <v>106800</v>
      </c>
      <c r="H666" s="3">
        <v>0</v>
      </c>
      <c r="I666" s="3">
        <f t="shared" si="51"/>
        <v>106800</v>
      </c>
      <c r="J666" s="2" t="s">
        <v>27</v>
      </c>
      <c r="K666" s="5">
        <v>46270.583333333343</v>
      </c>
      <c r="L666">
        <v>8</v>
      </c>
      <c r="M666" s="3">
        <f t="shared" si="52"/>
        <v>13350</v>
      </c>
      <c r="N666" t="str">
        <f t="shared" si="53"/>
        <v>ставка</v>
      </c>
      <c r="O666" s="3">
        <f t="shared" si="54"/>
        <v>2094.12</v>
      </c>
      <c r="P666" s="5">
        <v>46278.5</v>
      </c>
      <c r="Q666" t="s">
        <v>130</v>
      </c>
      <c r="R666" s="2" t="s">
        <v>40</v>
      </c>
      <c r="S666">
        <v>55</v>
      </c>
      <c r="T666">
        <v>2</v>
      </c>
    </row>
    <row r="667" spans="1:20" ht="30" x14ac:dyDescent="0.25">
      <c r="A667" t="s">
        <v>1366</v>
      </c>
      <c r="B667">
        <v>1</v>
      </c>
      <c r="C667" s="2" t="s">
        <v>1367</v>
      </c>
      <c r="D667" s="3">
        <v>56826</v>
      </c>
      <c r="E667" s="4">
        <v>18</v>
      </c>
      <c r="F667" t="s">
        <v>32</v>
      </c>
      <c r="G667" s="3">
        <f t="shared" si="50"/>
        <v>69300</v>
      </c>
      <c r="H667" s="3">
        <v>0</v>
      </c>
      <c r="I667" s="3">
        <f t="shared" si="51"/>
        <v>69300</v>
      </c>
      <c r="J667" s="2" t="s">
        <v>27</v>
      </c>
      <c r="K667" s="5">
        <v>46223.583333333343</v>
      </c>
      <c r="L667">
        <v>7</v>
      </c>
      <c r="M667" s="3">
        <f t="shared" si="52"/>
        <v>9900</v>
      </c>
      <c r="N667" t="str">
        <f t="shared" si="53"/>
        <v>ставка</v>
      </c>
      <c r="O667" s="3">
        <f t="shared" si="54"/>
        <v>1358.82</v>
      </c>
      <c r="P667" s="5">
        <v>46230.5</v>
      </c>
      <c r="Q667" t="s">
        <v>32</v>
      </c>
      <c r="R667" s="2" t="s">
        <v>33</v>
      </c>
      <c r="S667" s="6"/>
    </row>
    <row r="668" spans="1:20" x14ac:dyDescent="0.25">
      <c r="A668" t="s">
        <v>1368</v>
      </c>
      <c r="B668">
        <v>1</v>
      </c>
      <c r="C668" s="2" t="s">
        <v>1369</v>
      </c>
      <c r="D668" s="3">
        <v>14240</v>
      </c>
      <c r="E668" s="4">
        <v>0</v>
      </c>
      <c r="F668" t="s">
        <v>23</v>
      </c>
      <c r="G668" s="3">
        <f t="shared" si="50"/>
        <v>14240</v>
      </c>
      <c r="H668" s="3">
        <v>0</v>
      </c>
      <c r="I668" s="3">
        <f t="shared" si="51"/>
        <v>14240</v>
      </c>
      <c r="J668" s="2" t="s">
        <v>27</v>
      </c>
      <c r="K668" s="5">
        <v>46205.583333333343</v>
      </c>
      <c r="L668">
        <v>1</v>
      </c>
      <c r="M668" s="3">
        <f t="shared" si="52"/>
        <v>14240</v>
      </c>
      <c r="N668" t="str">
        <f t="shared" si="53"/>
        <v>ставка</v>
      </c>
      <c r="O668" s="3">
        <f t="shared" si="54"/>
        <v>279.22000000000003</v>
      </c>
      <c r="P668" s="5">
        <v>46206.5</v>
      </c>
      <c r="Q668" t="s">
        <v>23</v>
      </c>
      <c r="R668" s="2" t="s">
        <v>45</v>
      </c>
      <c r="S668">
        <v>53</v>
      </c>
      <c r="T668">
        <v>2</v>
      </c>
    </row>
    <row r="669" spans="1:20" x14ac:dyDescent="0.25">
      <c r="A669" t="s">
        <v>1370</v>
      </c>
      <c r="B669">
        <v>1</v>
      </c>
      <c r="C669" s="2" t="s">
        <v>1371</v>
      </c>
      <c r="D669" s="3">
        <v>68174</v>
      </c>
      <c r="E669" s="4">
        <v>17</v>
      </c>
      <c r="F669" t="s">
        <v>394</v>
      </c>
      <c r="G669" s="3">
        <f t="shared" si="50"/>
        <v>82137.350000000006</v>
      </c>
      <c r="H669" s="3">
        <v>0</v>
      </c>
      <c r="I669" s="3">
        <f t="shared" si="51"/>
        <v>82137.350000000006</v>
      </c>
      <c r="J669" s="2" t="s">
        <v>27</v>
      </c>
      <c r="K669" s="5">
        <v>46256.583333333343</v>
      </c>
      <c r="L669">
        <v>4</v>
      </c>
      <c r="M669" s="3">
        <f t="shared" si="52"/>
        <v>20534.337500000001</v>
      </c>
      <c r="N669" t="str">
        <f t="shared" si="53"/>
        <v>ставка</v>
      </c>
      <c r="O669" s="3">
        <f t="shared" si="54"/>
        <v>1610.54</v>
      </c>
      <c r="P669" s="5">
        <v>46260.5</v>
      </c>
      <c r="Q669" t="s">
        <v>394</v>
      </c>
      <c r="R669" s="2" t="s">
        <v>37</v>
      </c>
      <c r="S669">
        <v>53</v>
      </c>
      <c r="T669">
        <v>2</v>
      </c>
    </row>
    <row r="670" spans="1:20" ht="30" x14ac:dyDescent="0.25">
      <c r="A670" t="s">
        <v>1372</v>
      </c>
      <c r="B670">
        <v>1</v>
      </c>
      <c r="C670" s="2" t="s">
        <v>1373</v>
      </c>
      <c r="D670" s="3">
        <v>13149.75</v>
      </c>
      <c r="E670" s="4">
        <v>4</v>
      </c>
      <c r="F670" t="s">
        <v>55</v>
      </c>
      <c r="G670" s="3">
        <f t="shared" si="50"/>
        <v>13697.66</v>
      </c>
      <c r="H670" s="3">
        <v>0</v>
      </c>
      <c r="I670" s="3">
        <f t="shared" si="51"/>
        <v>13697.66</v>
      </c>
      <c r="J670" s="2" t="s">
        <v>27</v>
      </c>
      <c r="K670" s="5">
        <v>46233.583333333343</v>
      </c>
      <c r="L670">
        <v>1</v>
      </c>
      <c r="M670" s="3">
        <f t="shared" si="52"/>
        <v>13697.66</v>
      </c>
      <c r="N670" t="str">
        <f t="shared" si="53"/>
        <v>ставка</v>
      </c>
      <c r="O670" s="3">
        <f t="shared" si="54"/>
        <v>268.58</v>
      </c>
      <c r="P670" s="5">
        <v>46234.5</v>
      </c>
      <c r="Q670" t="s">
        <v>55</v>
      </c>
      <c r="R670" s="2" t="s">
        <v>40</v>
      </c>
      <c r="S670">
        <v>23</v>
      </c>
      <c r="T670">
        <v>1</v>
      </c>
    </row>
    <row r="671" spans="1:20" ht="30" x14ac:dyDescent="0.25">
      <c r="A671" t="s">
        <v>1374</v>
      </c>
      <c r="B671">
        <v>1</v>
      </c>
      <c r="C671" s="2" t="s">
        <v>1375</v>
      </c>
      <c r="D671" s="3">
        <v>21440</v>
      </c>
      <c r="E671" s="4">
        <v>20</v>
      </c>
      <c r="F671" t="s">
        <v>293</v>
      </c>
      <c r="G671" s="3">
        <f t="shared" si="50"/>
        <v>26800</v>
      </c>
      <c r="H671" s="3">
        <v>0</v>
      </c>
      <c r="I671" s="3">
        <f t="shared" si="51"/>
        <v>26800</v>
      </c>
      <c r="J671" s="2" t="s">
        <v>294</v>
      </c>
      <c r="K671" s="5">
        <v>46203.583333333343</v>
      </c>
      <c r="L671">
        <v>2</v>
      </c>
      <c r="M671" s="3">
        <f t="shared" si="52"/>
        <v>13400</v>
      </c>
      <c r="N671" t="str">
        <f t="shared" si="53"/>
        <v>ставка</v>
      </c>
      <c r="O671" s="3">
        <f t="shared" si="54"/>
        <v>525.49</v>
      </c>
      <c r="P671" s="5">
        <v>46205.5</v>
      </c>
      <c r="Q671" t="s">
        <v>293</v>
      </c>
      <c r="R671" s="2" t="s">
        <v>24</v>
      </c>
      <c r="S671">
        <v>56</v>
      </c>
      <c r="T671">
        <v>2</v>
      </c>
    </row>
    <row r="672" spans="1:20" ht="30" x14ac:dyDescent="0.25">
      <c r="A672" t="s">
        <v>1376</v>
      </c>
      <c r="B672">
        <v>1</v>
      </c>
      <c r="C672" s="2" t="s">
        <v>1377</v>
      </c>
      <c r="D672" s="3">
        <v>19651.5</v>
      </c>
      <c r="E672" s="4">
        <v>4</v>
      </c>
      <c r="F672" t="s">
        <v>55</v>
      </c>
      <c r="G672" s="3">
        <f t="shared" si="50"/>
        <v>20470.310000000001</v>
      </c>
      <c r="H672" s="3">
        <v>0</v>
      </c>
      <c r="I672" s="3">
        <f t="shared" si="51"/>
        <v>20470.310000000001</v>
      </c>
      <c r="J672" s="2" t="s">
        <v>27</v>
      </c>
      <c r="K672" s="5">
        <v>46239.583333333343</v>
      </c>
      <c r="L672">
        <v>2</v>
      </c>
      <c r="M672" s="3">
        <f t="shared" si="52"/>
        <v>10235.155000000001</v>
      </c>
      <c r="N672" t="str">
        <f t="shared" si="53"/>
        <v>ставка</v>
      </c>
      <c r="O672" s="3">
        <f t="shared" si="54"/>
        <v>401.38</v>
      </c>
      <c r="P672" s="5">
        <v>46241.5</v>
      </c>
      <c r="Q672" t="s">
        <v>55</v>
      </c>
      <c r="R672" s="2" t="s">
        <v>33</v>
      </c>
      <c r="S672">
        <v>47</v>
      </c>
      <c r="T672">
        <v>1</v>
      </c>
    </row>
    <row r="673" spans="1:20" ht="30" x14ac:dyDescent="0.25">
      <c r="A673" t="s">
        <v>612</v>
      </c>
      <c r="B673">
        <v>1</v>
      </c>
      <c r="C673" s="2" t="s">
        <v>1378</v>
      </c>
      <c r="D673" s="3">
        <v>60876</v>
      </c>
      <c r="E673" s="4">
        <v>18</v>
      </c>
      <c r="F673" t="s">
        <v>32</v>
      </c>
      <c r="G673" s="3">
        <f t="shared" si="50"/>
        <v>74239.02</v>
      </c>
      <c r="H673" s="3">
        <v>300</v>
      </c>
      <c r="I673" s="3">
        <f t="shared" si="51"/>
        <v>74539.02</v>
      </c>
      <c r="J673" s="2" t="s">
        <v>1159</v>
      </c>
      <c r="K673" s="5">
        <v>46256.583333333343</v>
      </c>
      <c r="L673">
        <v>6</v>
      </c>
      <c r="M673" s="3">
        <f t="shared" si="52"/>
        <v>12423.17</v>
      </c>
      <c r="N673" t="str">
        <f t="shared" si="53"/>
        <v>ставка</v>
      </c>
      <c r="O673" s="3">
        <f t="shared" si="54"/>
        <v>1461.55</v>
      </c>
      <c r="P673" s="5">
        <v>46262.5</v>
      </c>
      <c r="Q673" t="s">
        <v>32</v>
      </c>
      <c r="R673" s="2" t="s">
        <v>40</v>
      </c>
      <c r="S673" s="6"/>
    </row>
    <row r="674" spans="1:20" ht="30" x14ac:dyDescent="0.25">
      <c r="A674" t="s">
        <v>1379</v>
      </c>
      <c r="B674">
        <v>1</v>
      </c>
      <c r="C674" s="2" t="s">
        <v>1380</v>
      </c>
      <c r="D674" s="3">
        <v>40584</v>
      </c>
      <c r="E674" s="4">
        <v>18</v>
      </c>
      <c r="F674" t="s">
        <v>32</v>
      </c>
      <c r="G674" s="3">
        <f t="shared" si="50"/>
        <v>49492.68</v>
      </c>
      <c r="H674" s="3">
        <v>0</v>
      </c>
      <c r="I674" s="3">
        <f t="shared" si="51"/>
        <v>49492.68</v>
      </c>
      <c r="J674" s="2" t="s">
        <v>27</v>
      </c>
      <c r="K674" s="5">
        <v>46247.583333333343</v>
      </c>
      <c r="L674">
        <v>4</v>
      </c>
      <c r="M674" s="3">
        <f t="shared" si="52"/>
        <v>12373.17</v>
      </c>
      <c r="N674" t="str">
        <f t="shared" si="53"/>
        <v>ставка</v>
      </c>
      <c r="O674" s="3">
        <f t="shared" si="54"/>
        <v>970.44</v>
      </c>
      <c r="P674" s="5">
        <v>46251.5</v>
      </c>
      <c r="Q674" t="s">
        <v>32</v>
      </c>
      <c r="R674" s="2" t="s">
        <v>40</v>
      </c>
      <c r="S674">
        <v>33</v>
      </c>
      <c r="T674">
        <v>1</v>
      </c>
    </row>
    <row r="675" spans="1:20" ht="30" x14ac:dyDescent="0.25">
      <c r="A675" t="s">
        <v>1381</v>
      </c>
      <c r="B675">
        <v>1</v>
      </c>
      <c r="C675" s="2" t="s">
        <v>1382</v>
      </c>
      <c r="D675" s="3">
        <v>18960</v>
      </c>
      <c r="E675" s="4">
        <v>20</v>
      </c>
      <c r="F675" t="s">
        <v>48</v>
      </c>
      <c r="G675" s="3">
        <f t="shared" si="50"/>
        <v>23700</v>
      </c>
      <c r="H675" s="3">
        <v>0</v>
      </c>
      <c r="I675" s="3">
        <f t="shared" si="51"/>
        <v>23700</v>
      </c>
      <c r="J675" s="2" t="s">
        <v>27</v>
      </c>
      <c r="K675" s="5">
        <v>46260.583333333343</v>
      </c>
      <c r="L675">
        <v>3</v>
      </c>
      <c r="M675" s="3">
        <f t="shared" si="52"/>
        <v>7900</v>
      </c>
      <c r="N675" t="str">
        <f t="shared" si="53"/>
        <v>ставка</v>
      </c>
      <c r="O675" s="3">
        <f t="shared" si="54"/>
        <v>464.71</v>
      </c>
      <c r="P675" s="5">
        <v>46263.5</v>
      </c>
      <c r="Q675" t="s">
        <v>48</v>
      </c>
      <c r="R675" s="2" t="s">
        <v>33</v>
      </c>
      <c r="S675">
        <v>41</v>
      </c>
      <c r="T675">
        <v>1</v>
      </c>
    </row>
    <row r="676" spans="1:20" ht="30" x14ac:dyDescent="0.25">
      <c r="A676" t="s">
        <v>1383</v>
      </c>
      <c r="B676">
        <v>1</v>
      </c>
      <c r="C676" s="2" t="s">
        <v>1384</v>
      </c>
      <c r="D676" s="3">
        <v>19908</v>
      </c>
      <c r="E676" s="4">
        <v>16</v>
      </c>
      <c r="F676" t="s">
        <v>36</v>
      </c>
      <c r="G676" s="3">
        <f t="shared" si="50"/>
        <v>23700</v>
      </c>
      <c r="H676" s="3">
        <v>0</v>
      </c>
      <c r="I676" s="3">
        <f t="shared" si="51"/>
        <v>23700</v>
      </c>
      <c r="J676" s="2" t="s">
        <v>27</v>
      </c>
      <c r="K676" s="5">
        <v>46273.583333333343</v>
      </c>
      <c r="L676">
        <v>3</v>
      </c>
      <c r="M676" s="3">
        <f t="shared" si="52"/>
        <v>7900</v>
      </c>
      <c r="N676" t="str">
        <f t="shared" si="53"/>
        <v>ставка</v>
      </c>
      <c r="O676" s="3">
        <f t="shared" si="54"/>
        <v>464.71</v>
      </c>
      <c r="P676" s="5">
        <v>46276.5</v>
      </c>
      <c r="Q676" t="s">
        <v>36</v>
      </c>
      <c r="R676" s="2" t="s">
        <v>33</v>
      </c>
      <c r="S676">
        <v>45</v>
      </c>
      <c r="T676">
        <v>1</v>
      </c>
    </row>
    <row r="677" spans="1:20" ht="30" x14ac:dyDescent="0.25">
      <c r="A677" t="s">
        <v>1385</v>
      </c>
      <c r="B677">
        <v>1</v>
      </c>
      <c r="C677" s="2" t="s">
        <v>1386</v>
      </c>
      <c r="D677" s="3">
        <v>48060</v>
      </c>
      <c r="E677" s="4">
        <v>0</v>
      </c>
      <c r="F677" t="s">
        <v>23</v>
      </c>
      <c r="G677" s="3">
        <f t="shared" si="50"/>
        <v>48060</v>
      </c>
      <c r="H677" s="3">
        <v>0</v>
      </c>
      <c r="I677" s="3">
        <f t="shared" si="51"/>
        <v>48060</v>
      </c>
      <c r="J677" s="2" t="s">
        <v>27</v>
      </c>
      <c r="K677" s="5">
        <v>46243.583333333343</v>
      </c>
      <c r="L677">
        <v>4</v>
      </c>
      <c r="M677" s="3">
        <f t="shared" si="52"/>
        <v>12015</v>
      </c>
      <c r="N677" t="str">
        <f t="shared" si="53"/>
        <v>ставка</v>
      </c>
      <c r="O677" s="3">
        <f t="shared" si="54"/>
        <v>942.35</v>
      </c>
      <c r="P677" s="5">
        <v>46247.5</v>
      </c>
      <c r="Q677" t="s">
        <v>23</v>
      </c>
      <c r="R677" s="2" t="s">
        <v>40</v>
      </c>
      <c r="S677">
        <v>33</v>
      </c>
      <c r="T677">
        <v>1</v>
      </c>
    </row>
    <row r="678" spans="1:20" ht="30" x14ac:dyDescent="0.25">
      <c r="A678" t="s">
        <v>1387</v>
      </c>
      <c r="B678">
        <v>1</v>
      </c>
      <c r="C678" s="2" t="s">
        <v>1388</v>
      </c>
      <c r="D678" s="3">
        <v>22700</v>
      </c>
      <c r="E678" s="4">
        <v>0</v>
      </c>
      <c r="F678" t="s">
        <v>23</v>
      </c>
      <c r="G678" s="3">
        <f t="shared" si="50"/>
        <v>22700</v>
      </c>
      <c r="H678" s="3">
        <v>0</v>
      </c>
      <c r="I678" s="3">
        <f t="shared" si="51"/>
        <v>22700</v>
      </c>
      <c r="J678" s="2" t="s">
        <v>27</v>
      </c>
      <c r="K678" s="5">
        <v>46280.583333333343</v>
      </c>
      <c r="L678">
        <v>2</v>
      </c>
      <c r="M678" s="3">
        <f t="shared" si="52"/>
        <v>11350</v>
      </c>
      <c r="N678" t="str">
        <f t="shared" si="53"/>
        <v>ставка</v>
      </c>
      <c r="O678" s="3">
        <f t="shared" si="54"/>
        <v>445.1</v>
      </c>
      <c r="P678" s="5">
        <v>46282.5</v>
      </c>
      <c r="Q678" t="s">
        <v>23</v>
      </c>
      <c r="R678" s="2" t="s">
        <v>40</v>
      </c>
      <c r="S678">
        <v>23</v>
      </c>
      <c r="T678">
        <v>1</v>
      </c>
    </row>
    <row r="679" spans="1:20" ht="30" x14ac:dyDescent="0.25">
      <c r="A679" t="s">
        <v>1389</v>
      </c>
      <c r="B679">
        <v>1</v>
      </c>
      <c r="C679" s="2" t="s">
        <v>1390</v>
      </c>
      <c r="D679" s="3">
        <v>45390</v>
      </c>
      <c r="E679" s="4">
        <v>0</v>
      </c>
      <c r="F679" t="s">
        <v>245</v>
      </c>
      <c r="G679" s="3">
        <f t="shared" si="50"/>
        <v>45390</v>
      </c>
      <c r="H679" s="3">
        <v>0</v>
      </c>
      <c r="I679" s="3">
        <f t="shared" si="51"/>
        <v>45390</v>
      </c>
      <c r="J679" s="2" t="s">
        <v>27</v>
      </c>
      <c r="K679" s="5">
        <v>46229.583333333343</v>
      </c>
      <c r="L679">
        <v>4</v>
      </c>
      <c r="M679" s="3">
        <f t="shared" si="52"/>
        <v>11347.5</v>
      </c>
      <c r="N679" t="str">
        <f t="shared" si="53"/>
        <v>ставка</v>
      </c>
      <c r="O679" s="3">
        <f t="shared" si="54"/>
        <v>890</v>
      </c>
      <c r="P679" s="5">
        <v>46233.5</v>
      </c>
      <c r="Q679" t="s">
        <v>245</v>
      </c>
      <c r="R679" s="2" t="s">
        <v>40</v>
      </c>
      <c r="S679">
        <v>32</v>
      </c>
      <c r="T679">
        <v>1</v>
      </c>
    </row>
    <row r="680" spans="1:20" ht="30" x14ac:dyDescent="0.25">
      <c r="A680" t="s">
        <v>265</v>
      </c>
      <c r="B680">
        <v>1</v>
      </c>
      <c r="C680" s="2" t="s">
        <v>1391</v>
      </c>
      <c r="D680" s="3">
        <v>36045</v>
      </c>
      <c r="E680" s="4">
        <v>0</v>
      </c>
      <c r="F680" t="s">
        <v>23</v>
      </c>
      <c r="G680" s="3">
        <f t="shared" si="50"/>
        <v>36045</v>
      </c>
      <c r="H680" s="3">
        <v>0</v>
      </c>
      <c r="I680" s="3">
        <f t="shared" si="51"/>
        <v>36045</v>
      </c>
      <c r="J680" s="2" t="s">
        <v>27</v>
      </c>
      <c r="K680" s="5">
        <v>46275.583333333343</v>
      </c>
      <c r="L680">
        <v>3</v>
      </c>
      <c r="M680" s="3">
        <f t="shared" si="52"/>
        <v>12015</v>
      </c>
      <c r="N680" t="str">
        <f t="shared" si="53"/>
        <v>ставка</v>
      </c>
      <c r="O680" s="3">
        <f t="shared" si="54"/>
        <v>706.76</v>
      </c>
      <c r="P680" s="5">
        <v>46278.5</v>
      </c>
      <c r="Q680" t="s">
        <v>23</v>
      </c>
      <c r="R680" s="2" t="s">
        <v>40</v>
      </c>
      <c r="S680" s="6"/>
    </row>
    <row r="681" spans="1:20" ht="30" x14ac:dyDescent="0.25">
      <c r="A681" t="s">
        <v>1392</v>
      </c>
      <c r="B681">
        <v>1</v>
      </c>
      <c r="C681" s="2" t="s">
        <v>1393</v>
      </c>
      <c r="D681" s="3">
        <v>10215</v>
      </c>
      <c r="E681" s="4">
        <v>0</v>
      </c>
      <c r="F681" t="s">
        <v>23</v>
      </c>
      <c r="G681" s="3">
        <f t="shared" si="50"/>
        <v>10215</v>
      </c>
      <c r="H681" s="3">
        <v>0</v>
      </c>
      <c r="I681" s="3">
        <f t="shared" si="51"/>
        <v>10215</v>
      </c>
      <c r="J681" s="2" t="s">
        <v>27</v>
      </c>
      <c r="K681" s="5">
        <v>46249.583333333343</v>
      </c>
      <c r="L681">
        <v>1</v>
      </c>
      <c r="M681" s="3">
        <f t="shared" si="52"/>
        <v>10215</v>
      </c>
      <c r="N681" t="str">
        <f t="shared" si="53"/>
        <v>ставка</v>
      </c>
      <c r="O681" s="3">
        <f t="shared" si="54"/>
        <v>200.29</v>
      </c>
      <c r="P681" s="5">
        <v>46250.5</v>
      </c>
      <c r="Q681" t="s">
        <v>23</v>
      </c>
      <c r="R681" s="2" t="s">
        <v>40</v>
      </c>
      <c r="S681">
        <v>44</v>
      </c>
      <c r="T681">
        <v>1</v>
      </c>
    </row>
    <row r="682" spans="1:20" x14ac:dyDescent="0.25">
      <c r="A682" t="s">
        <v>1394</v>
      </c>
      <c r="B682">
        <v>1</v>
      </c>
      <c r="C682" s="2" t="s">
        <v>1395</v>
      </c>
      <c r="D682" s="3">
        <v>15988.5</v>
      </c>
      <c r="E682" s="4">
        <v>4</v>
      </c>
      <c r="F682" t="s">
        <v>55</v>
      </c>
      <c r="G682" s="3">
        <f t="shared" si="50"/>
        <v>16654.689999999999</v>
      </c>
      <c r="H682" s="3">
        <v>0</v>
      </c>
      <c r="I682" s="3">
        <f t="shared" si="51"/>
        <v>16654.689999999999</v>
      </c>
      <c r="J682" s="2" t="s">
        <v>27</v>
      </c>
      <c r="K682" s="5">
        <v>46213.583333333343</v>
      </c>
      <c r="L682">
        <v>1</v>
      </c>
      <c r="M682" s="3">
        <f t="shared" si="52"/>
        <v>16654.689999999999</v>
      </c>
      <c r="N682" t="str">
        <f t="shared" si="53"/>
        <v>ставка</v>
      </c>
      <c r="O682" s="3">
        <f t="shared" si="54"/>
        <v>326.56</v>
      </c>
      <c r="P682" s="5">
        <v>46214.5</v>
      </c>
      <c r="Q682" t="s">
        <v>55</v>
      </c>
      <c r="R682" s="2" t="s">
        <v>49</v>
      </c>
      <c r="S682">
        <v>25</v>
      </c>
      <c r="T682">
        <v>1</v>
      </c>
    </row>
    <row r="683" spans="1:20" x14ac:dyDescent="0.25">
      <c r="A683" t="s">
        <v>1396</v>
      </c>
      <c r="B683">
        <v>1</v>
      </c>
      <c r="C683" s="2" t="s">
        <v>1397</v>
      </c>
      <c r="D683" s="3">
        <v>98488.5</v>
      </c>
      <c r="E683" s="4">
        <v>4</v>
      </c>
      <c r="F683" t="s">
        <v>55</v>
      </c>
      <c r="G683" s="3">
        <f t="shared" si="50"/>
        <v>102592.19</v>
      </c>
      <c r="H683" s="3">
        <v>0</v>
      </c>
      <c r="I683" s="3">
        <f t="shared" si="51"/>
        <v>102592.19</v>
      </c>
      <c r="J683" s="2" t="s">
        <v>27</v>
      </c>
      <c r="K683" s="5">
        <v>46269.583333333343</v>
      </c>
      <c r="L683">
        <v>6</v>
      </c>
      <c r="M683" s="3">
        <f t="shared" si="52"/>
        <v>17098.698333333334</v>
      </c>
      <c r="N683" t="str">
        <f t="shared" si="53"/>
        <v>ставка</v>
      </c>
      <c r="O683" s="3">
        <f t="shared" si="54"/>
        <v>2011.61</v>
      </c>
      <c r="P683" s="5">
        <v>46275.5</v>
      </c>
      <c r="Q683" t="s">
        <v>55</v>
      </c>
      <c r="R683" s="2" t="s">
        <v>49</v>
      </c>
      <c r="S683">
        <v>11</v>
      </c>
      <c r="T683">
        <v>1</v>
      </c>
    </row>
    <row r="684" spans="1:20" ht="30" x14ac:dyDescent="0.25">
      <c r="A684" t="s">
        <v>1398</v>
      </c>
      <c r="B684">
        <v>1</v>
      </c>
      <c r="C684" s="2" t="s">
        <v>1399</v>
      </c>
      <c r="D684" s="3">
        <v>20790</v>
      </c>
      <c r="E684" s="4">
        <v>0</v>
      </c>
      <c r="F684" t="s">
        <v>23</v>
      </c>
      <c r="G684" s="3">
        <f t="shared" si="50"/>
        <v>20790</v>
      </c>
      <c r="H684" s="3">
        <v>0</v>
      </c>
      <c r="I684" s="3">
        <f t="shared" si="51"/>
        <v>20790</v>
      </c>
      <c r="J684" s="2" t="s">
        <v>27</v>
      </c>
      <c r="K684" s="5">
        <v>46241.583333333343</v>
      </c>
      <c r="L684">
        <v>3</v>
      </c>
      <c r="M684" s="3">
        <f t="shared" si="52"/>
        <v>6930</v>
      </c>
      <c r="N684" t="str">
        <f t="shared" si="53"/>
        <v>ставка</v>
      </c>
      <c r="O684" s="3">
        <f t="shared" si="54"/>
        <v>407.65</v>
      </c>
      <c r="P684" s="5">
        <v>46244.5</v>
      </c>
      <c r="Q684" t="s">
        <v>23</v>
      </c>
      <c r="R684" s="2" t="s">
        <v>58</v>
      </c>
      <c r="S684">
        <v>24</v>
      </c>
      <c r="T684">
        <v>1</v>
      </c>
    </row>
    <row r="685" spans="1:20" ht="30" x14ac:dyDescent="0.25">
      <c r="A685" t="s">
        <v>1400</v>
      </c>
      <c r="B685">
        <v>1</v>
      </c>
      <c r="C685" s="2" t="s">
        <v>1401</v>
      </c>
      <c r="D685" s="3">
        <v>27720</v>
      </c>
      <c r="E685" s="4">
        <v>0</v>
      </c>
      <c r="F685" t="s">
        <v>23</v>
      </c>
      <c r="G685" s="3">
        <f t="shared" si="50"/>
        <v>27720</v>
      </c>
      <c r="H685" s="3">
        <v>1520</v>
      </c>
      <c r="I685" s="3">
        <f t="shared" si="51"/>
        <v>29240</v>
      </c>
      <c r="J685" s="2" t="s">
        <v>1402</v>
      </c>
      <c r="K685" s="5">
        <v>46271.583333333343</v>
      </c>
      <c r="L685">
        <v>2</v>
      </c>
      <c r="M685" s="3">
        <f t="shared" si="52"/>
        <v>14620</v>
      </c>
      <c r="N685" t="str">
        <f t="shared" si="53"/>
        <v>ставка</v>
      </c>
      <c r="O685" s="3">
        <f t="shared" si="54"/>
        <v>573.33000000000004</v>
      </c>
      <c r="P685" s="5">
        <v>46273.5</v>
      </c>
      <c r="Q685" t="s">
        <v>23</v>
      </c>
      <c r="R685" s="2" t="s">
        <v>24</v>
      </c>
      <c r="S685">
        <v>56</v>
      </c>
      <c r="T685">
        <v>2</v>
      </c>
    </row>
    <row r="686" spans="1:20" ht="30" x14ac:dyDescent="0.25">
      <c r="A686" t="s">
        <v>1403</v>
      </c>
      <c r="B686">
        <v>1</v>
      </c>
      <c r="C686" s="2" t="s">
        <v>1404</v>
      </c>
      <c r="D686" s="3">
        <v>12320</v>
      </c>
      <c r="E686" s="4">
        <v>18</v>
      </c>
      <c r="F686" t="s">
        <v>32</v>
      </c>
      <c r="G686" s="3">
        <f t="shared" si="50"/>
        <v>15024.39</v>
      </c>
      <c r="H686" s="3">
        <v>0</v>
      </c>
      <c r="I686" s="3">
        <f t="shared" si="51"/>
        <v>15024.39</v>
      </c>
      <c r="J686" s="2" t="s">
        <v>27</v>
      </c>
      <c r="K686" s="5">
        <v>46247.583333333343</v>
      </c>
      <c r="L686">
        <v>1</v>
      </c>
      <c r="M686" s="3">
        <f t="shared" si="52"/>
        <v>15024.39</v>
      </c>
      <c r="N686" t="str">
        <f t="shared" si="53"/>
        <v>ставка</v>
      </c>
      <c r="O686" s="3">
        <f t="shared" si="54"/>
        <v>294.60000000000002</v>
      </c>
      <c r="P686" s="5">
        <v>46248.5</v>
      </c>
      <c r="Q686" t="s">
        <v>32</v>
      </c>
      <c r="R686" s="2" t="s">
        <v>24</v>
      </c>
      <c r="S686">
        <v>31</v>
      </c>
      <c r="T686">
        <v>1</v>
      </c>
    </row>
    <row r="687" spans="1:20" ht="30" x14ac:dyDescent="0.25">
      <c r="A687" t="s">
        <v>1405</v>
      </c>
      <c r="B687">
        <v>1</v>
      </c>
      <c r="C687" s="2" t="s">
        <v>1404</v>
      </c>
      <c r="D687" s="3">
        <v>12320</v>
      </c>
      <c r="E687" s="4">
        <v>18</v>
      </c>
      <c r="F687" t="s">
        <v>32</v>
      </c>
      <c r="G687" s="3">
        <f t="shared" si="50"/>
        <v>15024.39</v>
      </c>
      <c r="H687" s="3">
        <v>0</v>
      </c>
      <c r="I687" s="3">
        <f t="shared" si="51"/>
        <v>15024.39</v>
      </c>
      <c r="J687" s="2" t="s">
        <v>27</v>
      </c>
      <c r="K687" s="5">
        <v>46248.583333333343</v>
      </c>
      <c r="L687">
        <v>1</v>
      </c>
      <c r="M687" s="3">
        <f t="shared" si="52"/>
        <v>15024.39</v>
      </c>
      <c r="N687" t="str">
        <f t="shared" si="53"/>
        <v>ставка</v>
      </c>
      <c r="O687" s="3">
        <f t="shared" si="54"/>
        <v>294.60000000000002</v>
      </c>
      <c r="P687" s="5">
        <v>46249.5</v>
      </c>
      <c r="Q687" t="s">
        <v>32</v>
      </c>
      <c r="R687" s="2" t="s">
        <v>24</v>
      </c>
      <c r="S687">
        <v>31</v>
      </c>
      <c r="T687">
        <v>1</v>
      </c>
    </row>
    <row r="688" spans="1:20" ht="30" x14ac:dyDescent="0.25">
      <c r="A688" t="s">
        <v>1406</v>
      </c>
      <c r="B688">
        <v>1</v>
      </c>
      <c r="C688" s="2" t="s">
        <v>1407</v>
      </c>
      <c r="D688" s="3">
        <v>10680</v>
      </c>
      <c r="E688" s="4">
        <v>20</v>
      </c>
      <c r="F688" t="s">
        <v>48</v>
      </c>
      <c r="G688" s="3">
        <f t="shared" si="50"/>
        <v>13350</v>
      </c>
      <c r="H688" s="3">
        <v>0</v>
      </c>
      <c r="I688" s="3">
        <f t="shared" si="51"/>
        <v>13350</v>
      </c>
      <c r="J688" s="2" t="s">
        <v>27</v>
      </c>
      <c r="K688" s="5">
        <v>46260.583333333343</v>
      </c>
      <c r="L688">
        <v>1</v>
      </c>
      <c r="M688" s="3">
        <f t="shared" si="52"/>
        <v>13350</v>
      </c>
      <c r="N688" t="str">
        <f t="shared" si="53"/>
        <v>ставка</v>
      </c>
      <c r="O688" s="3">
        <f t="shared" si="54"/>
        <v>261.76</v>
      </c>
      <c r="P688" s="5">
        <v>46261.5</v>
      </c>
      <c r="Q688" t="s">
        <v>48</v>
      </c>
      <c r="R688" s="2" t="s">
        <v>40</v>
      </c>
      <c r="S688">
        <v>32</v>
      </c>
      <c r="T688">
        <v>1</v>
      </c>
    </row>
    <row r="689" spans="1:20" ht="30" x14ac:dyDescent="0.25">
      <c r="A689" t="s">
        <v>1408</v>
      </c>
      <c r="B689">
        <v>1</v>
      </c>
      <c r="C689" s="2" t="s">
        <v>1409</v>
      </c>
      <c r="D689" s="3">
        <v>71200</v>
      </c>
      <c r="E689" s="4">
        <v>4</v>
      </c>
      <c r="F689" t="s">
        <v>55</v>
      </c>
      <c r="G689" s="3">
        <f t="shared" si="50"/>
        <v>74166.67</v>
      </c>
      <c r="H689" s="3">
        <v>1900</v>
      </c>
      <c r="I689" s="3">
        <f t="shared" si="51"/>
        <v>76066.67</v>
      </c>
      <c r="J689" s="2" t="s">
        <v>1410</v>
      </c>
      <c r="K689" s="5">
        <v>46211.583333333343</v>
      </c>
      <c r="L689">
        <v>4</v>
      </c>
      <c r="M689" s="3">
        <f t="shared" si="52"/>
        <v>19016.6675</v>
      </c>
      <c r="N689" t="str">
        <f t="shared" si="53"/>
        <v>ставка</v>
      </c>
      <c r="O689" s="3">
        <f t="shared" si="54"/>
        <v>1491.5</v>
      </c>
      <c r="P689" s="5">
        <v>46215.5</v>
      </c>
      <c r="Q689" t="s">
        <v>55</v>
      </c>
      <c r="R689" s="2" t="s">
        <v>37</v>
      </c>
      <c r="S689">
        <v>54</v>
      </c>
      <c r="T689">
        <v>2</v>
      </c>
    </row>
    <row r="690" spans="1:20" ht="30" x14ac:dyDescent="0.25">
      <c r="A690" t="s">
        <v>1411</v>
      </c>
      <c r="B690">
        <v>1</v>
      </c>
      <c r="C690" s="2" t="s">
        <v>1412</v>
      </c>
      <c r="D690" s="3">
        <v>27921</v>
      </c>
      <c r="E690" s="4">
        <v>18</v>
      </c>
      <c r="F690" t="s">
        <v>147</v>
      </c>
      <c r="G690" s="3">
        <f t="shared" si="50"/>
        <v>34050</v>
      </c>
      <c r="H690" s="3">
        <v>0</v>
      </c>
      <c r="I690" s="3">
        <f t="shared" si="51"/>
        <v>34050</v>
      </c>
      <c r="J690" s="2" t="s">
        <v>27</v>
      </c>
      <c r="K690" s="5">
        <v>46280.583333333343</v>
      </c>
      <c r="L690">
        <v>3</v>
      </c>
      <c r="M690" s="3">
        <f t="shared" si="52"/>
        <v>11350</v>
      </c>
      <c r="N690" t="str">
        <f t="shared" si="53"/>
        <v>ставка</v>
      </c>
      <c r="O690" s="3">
        <f t="shared" si="54"/>
        <v>667.65</v>
      </c>
      <c r="P690" s="5">
        <v>46283.5</v>
      </c>
      <c r="Q690" t="s">
        <v>147</v>
      </c>
      <c r="R690" s="2" t="s">
        <v>40</v>
      </c>
      <c r="S690">
        <v>58</v>
      </c>
      <c r="T690">
        <v>2</v>
      </c>
    </row>
    <row r="691" spans="1:20" ht="30" x14ac:dyDescent="0.25">
      <c r="A691" t="s">
        <v>1413</v>
      </c>
      <c r="B691">
        <v>1</v>
      </c>
      <c r="C691" s="2" t="s">
        <v>1414</v>
      </c>
      <c r="D691" s="3">
        <v>13860</v>
      </c>
      <c r="E691" s="4">
        <v>0</v>
      </c>
      <c r="F691" t="s">
        <v>23</v>
      </c>
      <c r="G691" s="3">
        <f t="shared" si="50"/>
        <v>13860</v>
      </c>
      <c r="H691" s="3">
        <v>240</v>
      </c>
      <c r="I691" s="3">
        <f t="shared" si="51"/>
        <v>14100</v>
      </c>
      <c r="J691" s="2" t="s">
        <v>1415</v>
      </c>
      <c r="K691" s="5">
        <v>46225.583333333343</v>
      </c>
      <c r="L691">
        <v>1</v>
      </c>
      <c r="M691" s="3">
        <f t="shared" si="52"/>
        <v>14100</v>
      </c>
      <c r="N691" t="str">
        <f t="shared" si="53"/>
        <v>ставка</v>
      </c>
      <c r="O691" s="3">
        <f t="shared" si="54"/>
        <v>276.47000000000003</v>
      </c>
      <c r="P691" s="5">
        <v>46226.5</v>
      </c>
      <c r="Q691" t="s">
        <v>23</v>
      </c>
      <c r="R691" s="2" t="s">
        <v>24</v>
      </c>
      <c r="S691">
        <v>21</v>
      </c>
      <c r="T691">
        <v>1</v>
      </c>
    </row>
    <row r="692" spans="1:20" ht="30" x14ac:dyDescent="0.25">
      <c r="A692" t="s">
        <v>1416</v>
      </c>
      <c r="B692">
        <v>1</v>
      </c>
      <c r="C692" s="2" t="s">
        <v>1414</v>
      </c>
      <c r="D692" s="3">
        <v>12015</v>
      </c>
      <c r="E692" s="4">
        <v>0</v>
      </c>
      <c r="F692" t="s">
        <v>23</v>
      </c>
      <c r="G692" s="3">
        <f t="shared" si="50"/>
        <v>12015</v>
      </c>
      <c r="H692" s="3">
        <v>0</v>
      </c>
      <c r="I692" s="3">
        <f t="shared" si="51"/>
        <v>12015</v>
      </c>
      <c r="J692" s="2" t="s">
        <v>27</v>
      </c>
      <c r="K692" s="5">
        <v>46232.583333333343</v>
      </c>
      <c r="L692">
        <v>1</v>
      </c>
      <c r="M692" s="3">
        <f t="shared" si="52"/>
        <v>12015</v>
      </c>
      <c r="N692" t="str">
        <f t="shared" si="53"/>
        <v>ставка</v>
      </c>
      <c r="O692" s="3">
        <f t="shared" si="54"/>
        <v>235.59</v>
      </c>
      <c r="P692" s="5">
        <v>46233.5</v>
      </c>
      <c r="Q692" t="s">
        <v>23</v>
      </c>
      <c r="R692" s="2" t="s">
        <v>40</v>
      </c>
      <c r="S692">
        <v>23</v>
      </c>
      <c r="T692">
        <v>1</v>
      </c>
    </row>
    <row r="693" spans="1:20" ht="30" x14ac:dyDescent="0.25">
      <c r="A693" t="s">
        <v>1417</v>
      </c>
      <c r="B693">
        <v>1</v>
      </c>
      <c r="C693" s="2" t="s">
        <v>1418</v>
      </c>
      <c r="D693" s="3">
        <v>9751.5</v>
      </c>
      <c r="E693" s="4">
        <v>4</v>
      </c>
      <c r="F693" t="s">
        <v>55</v>
      </c>
      <c r="G693" s="3">
        <f t="shared" si="50"/>
        <v>10157.81</v>
      </c>
      <c r="H693" s="3">
        <v>0</v>
      </c>
      <c r="I693" s="3">
        <f t="shared" si="51"/>
        <v>10157.81</v>
      </c>
      <c r="J693" s="2" t="s">
        <v>27</v>
      </c>
      <c r="K693" s="5">
        <v>46235.583333333343</v>
      </c>
      <c r="L693">
        <v>1</v>
      </c>
      <c r="M693" s="3">
        <f t="shared" si="52"/>
        <v>10157.81</v>
      </c>
      <c r="N693" t="str">
        <f t="shared" si="53"/>
        <v>ставка</v>
      </c>
      <c r="O693" s="3">
        <f t="shared" si="54"/>
        <v>199.17</v>
      </c>
      <c r="P693" s="5">
        <v>46236.5</v>
      </c>
      <c r="Q693" t="s">
        <v>55</v>
      </c>
      <c r="R693" s="2" t="s">
        <v>33</v>
      </c>
      <c r="S693">
        <v>41</v>
      </c>
      <c r="T693">
        <v>1</v>
      </c>
    </row>
    <row r="694" spans="1:20" x14ac:dyDescent="0.25">
      <c r="A694" t="s">
        <v>1419</v>
      </c>
      <c r="B694">
        <v>1</v>
      </c>
      <c r="C694" s="2" t="s">
        <v>1420</v>
      </c>
      <c r="D694" s="3">
        <v>43500</v>
      </c>
      <c r="E694" s="4">
        <v>0</v>
      </c>
      <c r="F694" t="s">
        <v>23</v>
      </c>
      <c r="G694" s="3">
        <f t="shared" si="50"/>
        <v>43500</v>
      </c>
      <c r="H694" s="3">
        <v>0</v>
      </c>
      <c r="I694" s="3">
        <f t="shared" si="51"/>
        <v>43500</v>
      </c>
      <c r="J694" s="2" t="s">
        <v>27</v>
      </c>
      <c r="K694" s="5">
        <v>46224.583333333343</v>
      </c>
      <c r="L694">
        <v>3</v>
      </c>
      <c r="M694" s="3">
        <f t="shared" si="52"/>
        <v>14500</v>
      </c>
      <c r="N694" t="str">
        <f t="shared" si="53"/>
        <v>ставка</v>
      </c>
      <c r="O694" s="3">
        <f t="shared" si="54"/>
        <v>852.94</v>
      </c>
      <c r="P694" s="5">
        <v>46227.5</v>
      </c>
      <c r="Q694" t="s">
        <v>23</v>
      </c>
      <c r="R694" s="2" t="s">
        <v>49</v>
      </c>
      <c r="S694">
        <v>25</v>
      </c>
      <c r="T694">
        <v>1</v>
      </c>
    </row>
    <row r="695" spans="1:20" ht="30" x14ac:dyDescent="0.25">
      <c r="A695" t="s">
        <v>1421</v>
      </c>
      <c r="B695">
        <v>1</v>
      </c>
      <c r="C695" s="2" t="s">
        <v>1422</v>
      </c>
      <c r="D695" s="3">
        <v>5925</v>
      </c>
      <c r="E695" s="4">
        <v>18</v>
      </c>
      <c r="F695" t="s">
        <v>32</v>
      </c>
      <c r="G695" s="3">
        <f t="shared" si="50"/>
        <v>7225.61</v>
      </c>
      <c r="H695" s="3">
        <v>0</v>
      </c>
      <c r="I695" s="3">
        <f t="shared" si="51"/>
        <v>7225.61</v>
      </c>
      <c r="J695" s="2" t="s">
        <v>27</v>
      </c>
      <c r="K695" s="5">
        <v>46272.583333333343</v>
      </c>
      <c r="L695">
        <v>1</v>
      </c>
      <c r="M695" s="3">
        <f t="shared" si="52"/>
        <v>7225.61</v>
      </c>
      <c r="N695" t="str">
        <f t="shared" si="53"/>
        <v>ставка</v>
      </c>
      <c r="O695" s="3">
        <f t="shared" si="54"/>
        <v>141.68</v>
      </c>
      <c r="P695" s="5">
        <v>46273.5</v>
      </c>
      <c r="Q695" t="s">
        <v>32</v>
      </c>
      <c r="R695" s="2" t="s">
        <v>33</v>
      </c>
      <c r="S695">
        <v>47</v>
      </c>
      <c r="T695">
        <v>1</v>
      </c>
    </row>
    <row r="696" spans="1:20" ht="30" x14ac:dyDescent="0.25">
      <c r="A696" t="s">
        <v>1423</v>
      </c>
      <c r="B696">
        <v>1</v>
      </c>
      <c r="C696" s="2" t="s">
        <v>1424</v>
      </c>
      <c r="D696" s="3">
        <v>8316</v>
      </c>
      <c r="E696" s="4">
        <v>16</v>
      </c>
      <c r="F696" t="s">
        <v>36</v>
      </c>
      <c r="G696" s="3">
        <f t="shared" si="50"/>
        <v>9900</v>
      </c>
      <c r="H696" s="3">
        <v>0</v>
      </c>
      <c r="I696" s="3">
        <f t="shared" si="51"/>
        <v>9900</v>
      </c>
      <c r="J696" s="2" t="s">
        <v>27</v>
      </c>
      <c r="K696" s="5">
        <v>46265.583333333343</v>
      </c>
      <c r="L696">
        <v>1</v>
      </c>
      <c r="M696" s="3">
        <f t="shared" si="52"/>
        <v>9900</v>
      </c>
      <c r="N696" t="str">
        <f t="shared" si="53"/>
        <v>ставка</v>
      </c>
      <c r="O696" s="3">
        <f t="shared" si="54"/>
        <v>194.12</v>
      </c>
      <c r="P696" s="5">
        <v>46266.5</v>
      </c>
      <c r="Q696" t="s">
        <v>36</v>
      </c>
      <c r="R696" s="2" t="s">
        <v>40</v>
      </c>
      <c r="S696">
        <v>22</v>
      </c>
      <c r="T696">
        <v>1</v>
      </c>
    </row>
    <row r="697" spans="1:20" ht="45" x14ac:dyDescent="0.25">
      <c r="A697" t="s">
        <v>1425</v>
      </c>
      <c r="B697">
        <v>1</v>
      </c>
      <c r="C697" s="2" t="s">
        <v>1426</v>
      </c>
      <c r="D697" s="3">
        <v>52986.15</v>
      </c>
      <c r="E697" s="4">
        <v>4</v>
      </c>
      <c r="F697" t="s">
        <v>55</v>
      </c>
      <c r="G697" s="3">
        <f t="shared" si="50"/>
        <v>55193.91</v>
      </c>
      <c r="H697" s="3">
        <v>0</v>
      </c>
      <c r="I697" s="3">
        <f t="shared" si="51"/>
        <v>55193.91</v>
      </c>
      <c r="J697" s="2" t="s">
        <v>27</v>
      </c>
      <c r="K697" s="5">
        <v>46272.583333333343</v>
      </c>
      <c r="L697">
        <v>4</v>
      </c>
      <c r="M697" s="3">
        <f t="shared" si="52"/>
        <v>13798.477500000001</v>
      </c>
      <c r="N697" t="str">
        <f t="shared" si="53"/>
        <v>ставка</v>
      </c>
      <c r="O697" s="3">
        <f t="shared" si="54"/>
        <v>1082.23</v>
      </c>
      <c r="P697" s="5">
        <v>46276.5</v>
      </c>
      <c r="Q697" t="s">
        <v>55</v>
      </c>
      <c r="R697" s="2" t="s">
        <v>87</v>
      </c>
      <c r="S697">
        <v>50</v>
      </c>
      <c r="T697">
        <v>2</v>
      </c>
    </row>
    <row r="698" spans="1:20" ht="30" x14ac:dyDescent="0.25">
      <c r="A698" t="s">
        <v>1427</v>
      </c>
      <c r="B698">
        <v>1</v>
      </c>
      <c r="C698" s="2" t="s">
        <v>1428</v>
      </c>
      <c r="D698" s="3">
        <v>26180</v>
      </c>
      <c r="E698" s="4">
        <v>16</v>
      </c>
      <c r="F698" t="s">
        <v>36</v>
      </c>
      <c r="G698" s="3">
        <f t="shared" si="50"/>
        <v>31166.67</v>
      </c>
      <c r="H698" s="3">
        <v>0</v>
      </c>
      <c r="I698" s="3">
        <f t="shared" si="51"/>
        <v>31166.67</v>
      </c>
      <c r="J698" s="2" t="s">
        <v>27</v>
      </c>
      <c r="K698" s="5">
        <v>46245.583333333343</v>
      </c>
      <c r="L698">
        <v>2</v>
      </c>
      <c r="M698" s="3">
        <f t="shared" si="52"/>
        <v>15583.334999999999</v>
      </c>
      <c r="N698" t="str">
        <f t="shared" si="53"/>
        <v>ставка</v>
      </c>
      <c r="O698" s="3">
        <f t="shared" si="54"/>
        <v>611.11</v>
      </c>
      <c r="P698" s="5">
        <v>46247.5</v>
      </c>
      <c r="Q698" t="s">
        <v>36</v>
      </c>
      <c r="R698" s="2" t="s">
        <v>24</v>
      </c>
      <c r="S698">
        <v>59</v>
      </c>
      <c r="T698">
        <v>2</v>
      </c>
    </row>
    <row r="699" spans="1:20" ht="30" x14ac:dyDescent="0.25">
      <c r="A699" t="s">
        <v>1429</v>
      </c>
      <c r="B699">
        <v>1</v>
      </c>
      <c r="C699" s="2" t="s">
        <v>1430</v>
      </c>
      <c r="D699" s="3">
        <v>6680</v>
      </c>
      <c r="E699" s="4">
        <v>17</v>
      </c>
      <c r="F699" t="s">
        <v>130</v>
      </c>
      <c r="G699" s="3">
        <f t="shared" si="50"/>
        <v>8048.19</v>
      </c>
      <c r="H699" s="3">
        <v>0</v>
      </c>
      <c r="I699" s="3">
        <f t="shared" si="51"/>
        <v>8048.19</v>
      </c>
      <c r="J699" s="2" t="s">
        <v>27</v>
      </c>
      <c r="K699" s="5">
        <v>46259.583333333343</v>
      </c>
      <c r="L699">
        <v>1</v>
      </c>
      <c r="M699" s="3">
        <f t="shared" si="52"/>
        <v>8048.19</v>
      </c>
      <c r="N699" t="str">
        <f t="shared" si="53"/>
        <v>ставка</v>
      </c>
      <c r="O699" s="3">
        <f t="shared" si="54"/>
        <v>157.81</v>
      </c>
      <c r="P699" s="5">
        <v>46260.5</v>
      </c>
      <c r="Q699" t="s">
        <v>130</v>
      </c>
      <c r="R699" s="2" t="s">
        <v>58</v>
      </c>
      <c r="S699">
        <v>34</v>
      </c>
      <c r="T699">
        <v>1</v>
      </c>
    </row>
    <row r="700" spans="1:20" ht="45" x14ac:dyDescent="0.25">
      <c r="A700" t="s">
        <v>1431</v>
      </c>
      <c r="B700">
        <v>1</v>
      </c>
      <c r="C700" s="2" t="s">
        <v>1432</v>
      </c>
      <c r="D700" s="3">
        <v>16560</v>
      </c>
      <c r="E700" s="4">
        <v>20</v>
      </c>
      <c r="F700" t="s">
        <v>103</v>
      </c>
      <c r="G700" s="3">
        <f t="shared" si="50"/>
        <v>20700</v>
      </c>
      <c r="H700" s="3">
        <v>0</v>
      </c>
      <c r="I700" s="3">
        <f t="shared" si="51"/>
        <v>20700</v>
      </c>
      <c r="J700" s="2" t="s">
        <v>27</v>
      </c>
      <c r="K700" s="5">
        <v>46204.583333333343</v>
      </c>
      <c r="L700">
        <v>2</v>
      </c>
      <c r="M700" s="3">
        <f t="shared" si="52"/>
        <v>10350</v>
      </c>
      <c r="N700" t="str">
        <f t="shared" si="53"/>
        <v>ставка</v>
      </c>
      <c r="O700" s="3">
        <f t="shared" si="54"/>
        <v>405.88</v>
      </c>
      <c r="P700" s="5">
        <v>46206.5</v>
      </c>
      <c r="Q700" t="s">
        <v>103</v>
      </c>
      <c r="R700" s="2" t="s">
        <v>87</v>
      </c>
      <c r="S700">
        <v>50</v>
      </c>
      <c r="T700">
        <v>2</v>
      </c>
    </row>
    <row r="701" spans="1:20" ht="30" x14ac:dyDescent="0.25">
      <c r="A701" t="s">
        <v>1433</v>
      </c>
      <c r="B701">
        <v>1</v>
      </c>
      <c r="C701" s="2" t="s">
        <v>1434</v>
      </c>
      <c r="D701" s="3">
        <v>68085</v>
      </c>
      <c r="E701" s="4">
        <v>16</v>
      </c>
      <c r="F701" t="s">
        <v>36</v>
      </c>
      <c r="G701" s="3">
        <f t="shared" si="50"/>
        <v>81053.570000000007</v>
      </c>
      <c r="H701" s="3">
        <v>0</v>
      </c>
      <c r="I701" s="3">
        <f t="shared" si="51"/>
        <v>81053.570000000007</v>
      </c>
      <c r="J701" s="2" t="s">
        <v>27</v>
      </c>
      <c r="K701" s="5">
        <v>46243.583333333343</v>
      </c>
      <c r="L701">
        <v>6</v>
      </c>
      <c r="M701" s="3">
        <f t="shared" si="52"/>
        <v>13508.928333333335</v>
      </c>
      <c r="N701" t="str">
        <f t="shared" si="53"/>
        <v>ставка</v>
      </c>
      <c r="O701" s="3">
        <f t="shared" si="54"/>
        <v>1589.29</v>
      </c>
      <c r="P701" s="5">
        <v>46249.5</v>
      </c>
      <c r="Q701" t="s">
        <v>36</v>
      </c>
      <c r="R701" s="2" t="s">
        <v>40</v>
      </c>
      <c r="S701" s="6"/>
    </row>
    <row r="702" spans="1:20" ht="30" x14ac:dyDescent="0.25">
      <c r="A702" t="s">
        <v>1435</v>
      </c>
      <c r="B702">
        <v>1</v>
      </c>
      <c r="C702" s="2" t="s">
        <v>1436</v>
      </c>
      <c r="D702" s="3">
        <v>37920</v>
      </c>
      <c r="E702" s="4">
        <v>20</v>
      </c>
      <c r="F702" t="s">
        <v>103</v>
      </c>
      <c r="G702" s="3">
        <f t="shared" si="50"/>
        <v>47400</v>
      </c>
      <c r="H702" s="3">
        <v>6000</v>
      </c>
      <c r="I702" s="3">
        <f t="shared" si="51"/>
        <v>53400</v>
      </c>
      <c r="J702" s="2" t="s">
        <v>1134</v>
      </c>
      <c r="K702" s="5">
        <v>46224.583333333343</v>
      </c>
      <c r="L702">
        <v>3</v>
      </c>
      <c r="M702" s="3">
        <f t="shared" si="52"/>
        <v>17800</v>
      </c>
      <c r="N702" t="str">
        <f t="shared" si="53"/>
        <v>ставка</v>
      </c>
      <c r="O702" s="3">
        <f t="shared" si="54"/>
        <v>1047.06</v>
      </c>
      <c r="P702" s="5">
        <v>46227.5</v>
      </c>
      <c r="Q702" t="s">
        <v>103</v>
      </c>
      <c r="R702" s="2" t="s">
        <v>45</v>
      </c>
      <c r="S702">
        <v>57</v>
      </c>
      <c r="T702">
        <v>2</v>
      </c>
    </row>
    <row r="703" spans="1:20" ht="30" x14ac:dyDescent="0.25">
      <c r="A703" t="s">
        <v>1437</v>
      </c>
      <c r="B703">
        <v>1</v>
      </c>
      <c r="C703" s="2" t="s">
        <v>1438</v>
      </c>
      <c r="D703" s="3">
        <v>34050</v>
      </c>
      <c r="E703" s="4">
        <v>0</v>
      </c>
      <c r="F703" t="s">
        <v>23</v>
      </c>
      <c r="G703" s="3">
        <f t="shared" si="50"/>
        <v>34050</v>
      </c>
      <c r="H703" s="3">
        <v>0</v>
      </c>
      <c r="I703" s="3">
        <f t="shared" si="51"/>
        <v>34050</v>
      </c>
      <c r="J703" s="2" t="s">
        <v>27</v>
      </c>
      <c r="K703" s="5">
        <v>46224.583333333343</v>
      </c>
      <c r="L703">
        <v>3</v>
      </c>
      <c r="M703" s="3">
        <f t="shared" si="52"/>
        <v>11350</v>
      </c>
      <c r="N703" t="str">
        <f t="shared" si="53"/>
        <v>ставка</v>
      </c>
      <c r="O703" s="3">
        <f t="shared" si="54"/>
        <v>667.65</v>
      </c>
      <c r="P703" s="5">
        <v>46227.5</v>
      </c>
      <c r="Q703" t="s">
        <v>23</v>
      </c>
      <c r="R703" s="2" t="s">
        <v>40</v>
      </c>
      <c r="S703">
        <v>46</v>
      </c>
      <c r="T703">
        <v>1</v>
      </c>
    </row>
    <row r="704" spans="1:20" ht="30" x14ac:dyDescent="0.25">
      <c r="A704" t="s">
        <v>1439</v>
      </c>
      <c r="B704">
        <v>1</v>
      </c>
      <c r="C704" s="2" t="s">
        <v>1440</v>
      </c>
      <c r="D704" s="3">
        <v>42925</v>
      </c>
      <c r="E704" s="4">
        <v>15</v>
      </c>
      <c r="F704" t="s">
        <v>73</v>
      </c>
      <c r="G704" s="3">
        <f t="shared" si="50"/>
        <v>50500</v>
      </c>
      <c r="H704" s="3">
        <v>0</v>
      </c>
      <c r="I704" s="3">
        <f t="shared" si="51"/>
        <v>50500</v>
      </c>
      <c r="J704" s="2" t="s">
        <v>27</v>
      </c>
      <c r="K704" s="5">
        <v>46294.583333333343</v>
      </c>
      <c r="L704">
        <v>3</v>
      </c>
      <c r="M704" s="3">
        <f t="shared" si="52"/>
        <v>16833.333333333332</v>
      </c>
      <c r="N704" t="str">
        <f t="shared" si="53"/>
        <v>ставка</v>
      </c>
      <c r="O704" s="3">
        <f t="shared" si="54"/>
        <v>990.2</v>
      </c>
      <c r="P704" s="5">
        <v>46297.5</v>
      </c>
      <c r="Q704" t="s">
        <v>73</v>
      </c>
      <c r="R704" s="2" t="s">
        <v>45</v>
      </c>
      <c r="S704">
        <v>54</v>
      </c>
      <c r="T704">
        <v>2</v>
      </c>
    </row>
    <row r="705" spans="1:20" ht="30" x14ac:dyDescent="0.25">
      <c r="A705" t="s">
        <v>1441</v>
      </c>
      <c r="B705">
        <v>1</v>
      </c>
      <c r="C705" s="2" t="s">
        <v>1442</v>
      </c>
      <c r="D705" s="3">
        <v>10998.15</v>
      </c>
      <c r="E705" s="4">
        <v>4</v>
      </c>
      <c r="F705" t="s">
        <v>55</v>
      </c>
      <c r="G705" s="3">
        <f t="shared" si="50"/>
        <v>11456.41</v>
      </c>
      <c r="H705" s="3">
        <v>0</v>
      </c>
      <c r="I705" s="3">
        <f t="shared" si="51"/>
        <v>11456.41</v>
      </c>
      <c r="J705" s="2" t="s">
        <v>27</v>
      </c>
      <c r="K705" s="5">
        <v>46274.583333333343</v>
      </c>
      <c r="L705">
        <v>1</v>
      </c>
      <c r="M705" s="3">
        <f t="shared" si="52"/>
        <v>11456.41</v>
      </c>
      <c r="N705" t="str">
        <f t="shared" si="53"/>
        <v>ставка</v>
      </c>
      <c r="O705" s="3">
        <f t="shared" si="54"/>
        <v>224.64</v>
      </c>
      <c r="P705" s="5">
        <v>46275.5</v>
      </c>
      <c r="Q705" t="s">
        <v>55</v>
      </c>
      <c r="R705" s="2" t="s">
        <v>40</v>
      </c>
      <c r="S705">
        <v>36</v>
      </c>
      <c r="T705">
        <v>1</v>
      </c>
    </row>
    <row r="706" spans="1:20" ht="30" x14ac:dyDescent="0.25">
      <c r="A706" t="s">
        <v>1443</v>
      </c>
      <c r="B706">
        <v>1</v>
      </c>
      <c r="C706" s="2" t="s">
        <v>1444</v>
      </c>
      <c r="D706" s="3">
        <v>22695</v>
      </c>
      <c r="E706" s="4">
        <v>15</v>
      </c>
      <c r="F706" t="s">
        <v>36</v>
      </c>
      <c r="G706" s="3">
        <f t="shared" ref="G706:G769" si="55">ROUND(D706/(100-E706)*100,2)</f>
        <v>26700</v>
      </c>
      <c r="H706" s="3">
        <v>0</v>
      </c>
      <c r="I706" s="3">
        <f t="shared" ref="I706:I769" si="56">ROUND(G706+H706,2)</f>
        <v>26700</v>
      </c>
      <c r="J706" s="2" t="s">
        <v>27</v>
      </c>
      <c r="K706" s="5">
        <v>46233.583333333343</v>
      </c>
      <c r="L706">
        <v>2</v>
      </c>
      <c r="M706" s="3">
        <f t="shared" ref="M706:M769" si="57">I706/L706</f>
        <v>13350</v>
      </c>
      <c r="N706" t="str">
        <f t="shared" ref="N706:N769" si="58">IF(M706&gt;=5100,"ставка","мин.ставка")</f>
        <v>ставка</v>
      </c>
      <c r="O706" s="3">
        <f t="shared" ref="O706:O769" si="59">ROUND(IF(N706="мин.ставка",L706*100,I706/102*2),2)</f>
        <v>523.53</v>
      </c>
      <c r="P706" s="5">
        <v>46235.5</v>
      </c>
      <c r="Q706" t="s">
        <v>36</v>
      </c>
      <c r="R706" s="2" t="s">
        <v>40</v>
      </c>
      <c r="S706">
        <v>33</v>
      </c>
      <c r="T706">
        <v>1</v>
      </c>
    </row>
    <row r="707" spans="1:20" ht="45" x14ac:dyDescent="0.25">
      <c r="A707" t="s">
        <v>1445</v>
      </c>
      <c r="B707">
        <v>1</v>
      </c>
      <c r="C707" s="2" t="s">
        <v>1446</v>
      </c>
      <c r="D707" s="3">
        <v>10736.5</v>
      </c>
      <c r="E707" s="4">
        <v>4</v>
      </c>
      <c r="F707" t="s">
        <v>55</v>
      </c>
      <c r="G707" s="3">
        <f t="shared" si="55"/>
        <v>11183.85</v>
      </c>
      <c r="H707" s="3">
        <v>0</v>
      </c>
      <c r="I707" s="3">
        <f t="shared" si="56"/>
        <v>11183.85</v>
      </c>
      <c r="J707" s="2" t="s">
        <v>27</v>
      </c>
      <c r="K707" s="5">
        <v>46227.75</v>
      </c>
      <c r="L707">
        <v>1</v>
      </c>
      <c r="M707" s="3">
        <f t="shared" si="57"/>
        <v>11183.85</v>
      </c>
      <c r="N707" t="str">
        <f t="shared" si="58"/>
        <v>ставка</v>
      </c>
      <c r="O707" s="3">
        <f t="shared" si="59"/>
        <v>219.29</v>
      </c>
      <c r="P707" s="5">
        <v>46228.5</v>
      </c>
      <c r="Q707" t="s">
        <v>55</v>
      </c>
      <c r="R707" s="2" t="s">
        <v>87</v>
      </c>
      <c r="S707">
        <v>51</v>
      </c>
      <c r="T707">
        <v>2</v>
      </c>
    </row>
    <row r="708" spans="1:20" ht="45" x14ac:dyDescent="0.25">
      <c r="A708" t="s">
        <v>1447</v>
      </c>
      <c r="B708">
        <v>1</v>
      </c>
      <c r="C708" s="2" t="s">
        <v>1448</v>
      </c>
      <c r="D708" s="3">
        <v>30627</v>
      </c>
      <c r="E708" s="4">
        <v>18</v>
      </c>
      <c r="F708" t="s">
        <v>147</v>
      </c>
      <c r="G708" s="3">
        <f t="shared" si="55"/>
        <v>37350</v>
      </c>
      <c r="H708" s="3">
        <v>6000</v>
      </c>
      <c r="I708" s="3">
        <f t="shared" si="56"/>
        <v>43350</v>
      </c>
      <c r="J708" s="2" t="s">
        <v>1134</v>
      </c>
      <c r="K708" s="5">
        <v>46275.583333333343</v>
      </c>
      <c r="L708">
        <v>3</v>
      </c>
      <c r="M708" s="3">
        <f t="shared" si="57"/>
        <v>14450</v>
      </c>
      <c r="N708" t="str">
        <f t="shared" si="58"/>
        <v>ставка</v>
      </c>
      <c r="O708" s="3">
        <f t="shared" si="59"/>
        <v>850</v>
      </c>
      <c r="P708" s="5">
        <v>46278.5</v>
      </c>
      <c r="Q708" t="s">
        <v>147</v>
      </c>
      <c r="R708" s="2" t="s">
        <v>87</v>
      </c>
      <c r="S708">
        <v>51</v>
      </c>
      <c r="T708">
        <v>2</v>
      </c>
    </row>
    <row r="709" spans="1:20" ht="30" x14ac:dyDescent="0.25">
      <c r="A709" t="s">
        <v>1449</v>
      </c>
      <c r="B709">
        <v>1</v>
      </c>
      <c r="C709" s="2" t="s">
        <v>1450</v>
      </c>
      <c r="D709" s="3">
        <v>9900</v>
      </c>
      <c r="E709" s="4">
        <v>0</v>
      </c>
      <c r="F709" t="s">
        <v>23</v>
      </c>
      <c r="G709" s="3">
        <f t="shared" si="55"/>
        <v>9900</v>
      </c>
      <c r="H709" s="3">
        <v>0</v>
      </c>
      <c r="I709" s="3">
        <f t="shared" si="56"/>
        <v>9900</v>
      </c>
      <c r="J709" s="2" t="s">
        <v>27</v>
      </c>
      <c r="K709" s="5">
        <v>46205.583333333343</v>
      </c>
      <c r="L709">
        <v>1</v>
      </c>
      <c r="M709" s="3">
        <f t="shared" si="57"/>
        <v>9900</v>
      </c>
      <c r="N709" t="str">
        <f t="shared" si="58"/>
        <v>ставка</v>
      </c>
      <c r="O709" s="3">
        <f t="shared" si="59"/>
        <v>194.12</v>
      </c>
      <c r="P709" s="5">
        <v>46206.5</v>
      </c>
      <c r="Q709" t="s">
        <v>23</v>
      </c>
      <c r="R709" s="2" t="s">
        <v>33</v>
      </c>
      <c r="S709">
        <v>43</v>
      </c>
      <c r="T709">
        <v>1</v>
      </c>
    </row>
    <row r="710" spans="1:20" x14ac:dyDescent="0.25">
      <c r="A710" t="s">
        <v>1451</v>
      </c>
      <c r="B710">
        <v>1</v>
      </c>
      <c r="C710" s="2" t="s">
        <v>1452</v>
      </c>
      <c r="D710" s="3">
        <v>10500</v>
      </c>
      <c r="E710" s="4">
        <v>16</v>
      </c>
      <c r="F710" t="s">
        <v>36</v>
      </c>
      <c r="G710" s="3">
        <f t="shared" si="55"/>
        <v>12500</v>
      </c>
      <c r="H710" s="3">
        <v>0</v>
      </c>
      <c r="I710" s="3">
        <f t="shared" si="56"/>
        <v>12500</v>
      </c>
      <c r="J710" s="2"/>
      <c r="K710" s="5">
        <v>46269.583333333343</v>
      </c>
      <c r="L710">
        <v>1</v>
      </c>
      <c r="M710" s="3">
        <f t="shared" si="57"/>
        <v>12500</v>
      </c>
      <c r="N710" t="str">
        <f t="shared" si="58"/>
        <v>ставка</v>
      </c>
      <c r="O710" s="3">
        <f t="shared" si="59"/>
        <v>245.1</v>
      </c>
      <c r="P710" s="5">
        <v>46270.5</v>
      </c>
      <c r="Q710" t="s">
        <v>36</v>
      </c>
      <c r="R710" s="2" t="s">
        <v>45</v>
      </c>
      <c r="S710">
        <v>54</v>
      </c>
      <c r="T710">
        <v>2</v>
      </c>
    </row>
    <row r="711" spans="1:20" ht="30" x14ac:dyDescent="0.25">
      <c r="A711" t="s">
        <v>1453</v>
      </c>
      <c r="B711">
        <v>1</v>
      </c>
      <c r="C711" s="2" t="s">
        <v>1454</v>
      </c>
      <c r="D711" s="3">
        <v>9647.5</v>
      </c>
      <c r="E711" s="4">
        <v>15</v>
      </c>
      <c r="F711" t="s">
        <v>411</v>
      </c>
      <c r="G711" s="3">
        <f t="shared" si="55"/>
        <v>11350</v>
      </c>
      <c r="H711" s="3">
        <v>0</v>
      </c>
      <c r="I711" s="3">
        <f t="shared" si="56"/>
        <v>11350</v>
      </c>
      <c r="J711" s="2" t="s">
        <v>27</v>
      </c>
      <c r="K711" s="5">
        <v>46279.583333333343</v>
      </c>
      <c r="L711">
        <v>1</v>
      </c>
      <c r="M711" s="3">
        <f t="shared" si="57"/>
        <v>11350</v>
      </c>
      <c r="N711" t="str">
        <f t="shared" si="58"/>
        <v>ставка</v>
      </c>
      <c r="O711" s="3">
        <f t="shared" si="59"/>
        <v>222.55</v>
      </c>
      <c r="P711" s="5">
        <v>46280.5</v>
      </c>
      <c r="Q711" t="s">
        <v>411</v>
      </c>
      <c r="R711" s="2" t="s">
        <v>40</v>
      </c>
      <c r="S711">
        <v>22</v>
      </c>
      <c r="T711">
        <v>1</v>
      </c>
    </row>
    <row r="712" spans="1:20" ht="30" x14ac:dyDescent="0.25">
      <c r="A712" t="s">
        <v>1455</v>
      </c>
      <c r="B712">
        <v>1</v>
      </c>
      <c r="C712" s="2" t="s">
        <v>1456</v>
      </c>
      <c r="D712" s="3">
        <v>7920</v>
      </c>
      <c r="E712" s="4">
        <v>18</v>
      </c>
      <c r="F712" t="s">
        <v>32</v>
      </c>
      <c r="G712" s="3">
        <f t="shared" si="55"/>
        <v>9658.5400000000009</v>
      </c>
      <c r="H712" s="3">
        <v>0</v>
      </c>
      <c r="I712" s="3">
        <f t="shared" si="56"/>
        <v>9658.5400000000009</v>
      </c>
      <c r="J712" s="2" t="s">
        <v>27</v>
      </c>
      <c r="K712" s="5">
        <v>46242.583333333343</v>
      </c>
      <c r="L712">
        <v>1</v>
      </c>
      <c r="M712" s="3">
        <f t="shared" si="57"/>
        <v>9658.5400000000009</v>
      </c>
      <c r="N712" t="str">
        <f t="shared" si="58"/>
        <v>ставка</v>
      </c>
      <c r="O712" s="3">
        <f t="shared" si="59"/>
        <v>189.38</v>
      </c>
      <c r="P712" s="5">
        <v>46243.5</v>
      </c>
      <c r="Q712" t="s">
        <v>32</v>
      </c>
      <c r="R712" s="2" t="s">
        <v>33</v>
      </c>
      <c r="S712">
        <v>47</v>
      </c>
      <c r="T712">
        <v>1</v>
      </c>
    </row>
    <row r="713" spans="1:20" x14ac:dyDescent="0.25">
      <c r="A713" t="s">
        <v>1457</v>
      </c>
      <c r="B713">
        <v>1</v>
      </c>
      <c r="C713" s="2" t="s">
        <v>1458</v>
      </c>
      <c r="D713" s="3">
        <v>26700</v>
      </c>
      <c r="E713" s="4">
        <v>18</v>
      </c>
      <c r="F713" t="s">
        <v>32</v>
      </c>
      <c r="G713" s="3">
        <f t="shared" si="55"/>
        <v>32560.98</v>
      </c>
      <c r="H713" s="3">
        <v>0</v>
      </c>
      <c r="I713" s="3">
        <f t="shared" si="56"/>
        <v>32560.98</v>
      </c>
      <c r="J713" s="2" t="s">
        <v>27</v>
      </c>
      <c r="K713" s="5">
        <v>46289.583333333343</v>
      </c>
      <c r="L713">
        <v>2</v>
      </c>
      <c r="M713" s="3">
        <f t="shared" si="57"/>
        <v>16280.49</v>
      </c>
      <c r="N713" t="str">
        <f t="shared" si="58"/>
        <v>ставка</v>
      </c>
      <c r="O713" s="3">
        <f t="shared" si="59"/>
        <v>638.45000000000005</v>
      </c>
      <c r="P713" s="5">
        <v>46291.5</v>
      </c>
      <c r="Q713" t="s">
        <v>32</v>
      </c>
      <c r="R713" s="2" t="s">
        <v>45</v>
      </c>
      <c r="S713">
        <v>54</v>
      </c>
      <c r="T713">
        <v>2</v>
      </c>
    </row>
    <row r="714" spans="1:20" ht="30" x14ac:dyDescent="0.25">
      <c r="A714" t="s">
        <v>1459</v>
      </c>
      <c r="B714">
        <v>1</v>
      </c>
      <c r="C714" s="2" t="s">
        <v>1460</v>
      </c>
      <c r="D714" s="3">
        <v>18062.5</v>
      </c>
      <c r="E714" s="4">
        <v>15</v>
      </c>
      <c r="F714" t="s">
        <v>168</v>
      </c>
      <c r="G714" s="3">
        <f t="shared" si="55"/>
        <v>21250</v>
      </c>
      <c r="H714" s="3">
        <v>0</v>
      </c>
      <c r="I714" s="3">
        <f t="shared" si="56"/>
        <v>21250</v>
      </c>
      <c r="J714" s="2" t="s">
        <v>27</v>
      </c>
      <c r="K714" s="5">
        <v>46295.583333333343</v>
      </c>
      <c r="L714">
        <v>2</v>
      </c>
      <c r="M714" s="3">
        <f t="shared" si="57"/>
        <v>10625</v>
      </c>
      <c r="N714" t="str">
        <f t="shared" si="58"/>
        <v>ставка</v>
      </c>
      <c r="O714" s="3">
        <f t="shared" si="59"/>
        <v>416.67</v>
      </c>
      <c r="P714" s="5">
        <v>46297.5</v>
      </c>
      <c r="Q714" t="s">
        <v>168</v>
      </c>
      <c r="R714" s="2" t="s">
        <v>40</v>
      </c>
      <c r="S714">
        <v>46</v>
      </c>
      <c r="T714">
        <v>1</v>
      </c>
    </row>
    <row r="715" spans="1:20" ht="30" x14ac:dyDescent="0.25">
      <c r="A715" t="s">
        <v>1461</v>
      </c>
      <c r="B715">
        <v>1</v>
      </c>
      <c r="C715" s="2" t="s">
        <v>1462</v>
      </c>
      <c r="D715" s="3">
        <v>34050</v>
      </c>
      <c r="E715" s="4">
        <v>0</v>
      </c>
      <c r="F715" t="s">
        <v>23</v>
      </c>
      <c r="G715" s="3">
        <f t="shared" si="55"/>
        <v>34050</v>
      </c>
      <c r="H715" s="3">
        <v>0</v>
      </c>
      <c r="I715" s="3">
        <f t="shared" si="56"/>
        <v>34050</v>
      </c>
      <c r="J715" s="2" t="s">
        <v>27</v>
      </c>
      <c r="K715" s="5">
        <v>46207.583333333343</v>
      </c>
      <c r="L715">
        <v>3</v>
      </c>
      <c r="M715" s="3">
        <f t="shared" si="57"/>
        <v>11350</v>
      </c>
      <c r="N715" t="str">
        <f t="shared" si="58"/>
        <v>ставка</v>
      </c>
      <c r="O715" s="3">
        <f t="shared" si="59"/>
        <v>667.65</v>
      </c>
      <c r="P715" s="5">
        <v>46210.5</v>
      </c>
      <c r="Q715" t="s">
        <v>23</v>
      </c>
      <c r="R715" s="2" t="s">
        <v>40</v>
      </c>
      <c r="S715">
        <v>32</v>
      </c>
      <c r="T715">
        <v>1</v>
      </c>
    </row>
    <row r="716" spans="1:20" ht="30" x14ac:dyDescent="0.25">
      <c r="A716" t="s">
        <v>1463</v>
      </c>
      <c r="B716">
        <v>1</v>
      </c>
      <c r="C716" s="2" t="s">
        <v>1464</v>
      </c>
      <c r="D716" s="3">
        <v>27921</v>
      </c>
      <c r="E716" s="4">
        <v>18</v>
      </c>
      <c r="F716" t="s">
        <v>147</v>
      </c>
      <c r="G716" s="3">
        <f t="shared" si="55"/>
        <v>34050</v>
      </c>
      <c r="H716" s="3">
        <v>0</v>
      </c>
      <c r="I716" s="3">
        <f t="shared" si="56"/>
        <v>34050</v>
      </c>
      <c r="J716" s="2" t="s">
        <v>27</v>
      </c>
      <c r="K716" s="5">
        <v>46203.583333333343</v>
      </c>
      <c r="L716">
        <v>3</v>
      </c>
      <c r="M716" s="3">
        <f t="shared" si="57"/>
        <v>11350</v>
      </c>
      <c r="N716" t="str">
        <f t="shared" si="58"/>
        <v>ставка</v>
      </c>
      <c r="O716" s="3">
        <f t="shared" si="59"/>
        <v>667.65</v>
      </c>
      <c r="P716" s="5">
        <v>46206.5</v>
      </c>
      <c r="Q716" t="s">
        <v>147</v>
      </c>
      <c r="R716" s="2" t="s">
        <v>40</v>
      </c>
      <c r="S716">
        <v>46</v>
      </c>
      <c r="T716">
        <v>1</v>
      </c>
    </row>
    <row r="717" spans="1:20" ht="30" x14ac:dyDescent="0.25">
      <c r="A717" t="s">
        <v>1465</v>
      </c>
      <c r="B717">
        <v>1</v>
      </c>
      <c r="C717" s="2" t="s">
        <v>1466</v>
      </c>
      <c r="D717" s="3">
        <v>78540</v>
      </c>
      <c r="E717" s="4">
        <v>0</v>
      </c>
      <c r="F717" t="s">
        <v>245</v>
      </c>
      <c r="G717" s="3">
        <f t="shared" si="55"/>
        <v>78540</v>
      </c>
      <c r="H717" s="3">
        <v>0</v>
      </c>
      <c r="I717" s="3">
        <f t="shared" si="56"/>
        <v>78540</v>
      </c>
      <c r="J717" s="2" t="s">
        <v>27</v>
      </c>
      <c r="K717" s="5">
        <v>46231.583333333343</v>
      </c>
      <c r="L717">
        <v>6</v>
      </c>
      <c r="M717" s="3">
        <f t="shared" si="57"/>
        <v>13090</v>
      </c>
      <c r="N717" t="str">
        <f t="shared" si="58"/>
        <v>ставка</v>
      </c>
      <c r="O717" s="3">
        <f t="shared" si="59"/>
        <v>1540</v>
      </c>
      <c r="P717" s="5">
        <v>46237.5</v>
      </c>
      <c r="Q717" t="s">
        <v>245</v>
      </c>
      <c r="R717" s="2" t="s">
        <v>24</v>
      </c>
      <c r="S717">
        <v>59</v>
      </c>
      <c r="T717">
        <v>2</v>
      </c>
    </row>
    <row r="718" spans="1:20" x14ac:dyDescent="0.25">
      <c r="A718" t="s">
        <v>1467</v>
      </c>
      <c r="B718">
        <v>1</v>
      </c>
      <c r="C718" s="2" t="s">
        <v>1468</v>
      </c>
      <c r="D718" s="3">
        <v>16500</v>
      </c>
      <c r="E718" s="4">
        <v>0</v>
      </c>
      <c r="F718" t="s">
        <v>23</v>
      </c>
      <c r="G718" s="3">
        <f t="shared" si="55"/>
        <v>16500</v>
      </c>
      <c r="H718" s="3">
        <v>0</v>
      </c>
      <c r="I718" s="3">
        <f t="shared" si="56"/>
        <v>16500</v>
      </c>
      <c r="J718" s="2" t="s">
        <v>27</v>
      </c>
      <c r="K718" s="5">
        <v>46243.583333333343</v>
      </c>
      <c r="L718">
        <v>1</v>
      </c>
      <c r="M718" s="3">
        <f t="shared" si="57"/>
        <v>16500</v>
      </c>
      <c r="N718" t="str">
        <f t="shared" si="58"/>
        <v>ставка</v>
      </c>
      <c r="O718" s="3">
        <f t="shared" si="59"/>
        <v>323.52999999999997</v>
      </c>
      <c r="P718" s="5">
        <v>46244.5</v>
      </c>
      <c r="Q718" t="s">
        <v>23</v>
      </c>
      <c r="R718" s="2" t="s">
        <v>49</v>
      </c>
      <c r="S718">
        <v>25</v>
      </c>
      <c r="T718">
        <v>1</v>
      </c>
    </row>
    <row r="719" spans="1:20" ht="30" x14ac:dyDescent="0.25">
      <c r="A719" t="s">
        <v>1469</v>
      </c>
      <c r="B719">
        <v>1</v>
      </c>
      <c r="C719" s="2" t="s">
        <v>1470</v>
      </c>
      <c r="D719" s="3">
        <v>30645</v>
      </c>
      <c r="E719" s="4">
        <v>0</v>
      </c>
      <c r="F719" t="s">
        <v>23</v>
      </c>
      <c r="G719" s="3">
        <f t="shared" si="55"/>
        <v>30645</v>
      </c>
      <c r="H719" s="3">
        <v>0</v>
      </c>
      <c r="I719" s="3">
        <f t="shared" si="56"/>
        <v>30645</v>
      </c>
      <c r="J719" s="2" t="s">
        <v>27</v>
      </c>
      <c r="K719" s="5">
        <v>46226.583333333343</v>
      </c>
      <c r="L719">
        <v>3</v>
      </c>
      <c r="M719" s="3">
        <f t="shared" si="57"/>
        <v>10215</v>
      </c>
      <c r="N719" t="str">
        <f t="shared" si="58"/>
        <v>ставка</v>
      </c>
      <c r="O719" s="3">
        <f t="shared" si="59"/>
        <v>600.88</v>
      </c>
      <c r="P719" s="5">
        <v>46229.5</v>
      </c>
      <c r="Q719" t="s">
        <v>23</v>
      </c>
      <c r="R719" s="2" t="s">
        <v>40</v>
      </c>
      <c r="S719">
        <v>58</v>
      </c>
      <c r="T719">
        <v>2</v>
      </c>
    </row>
    <row r="720" spans="1:20" ht="30" x14ac:dyDescent="0.25">
      <c r="A720" t="s">
        <v>1471</v>
      </c>
      <c r="B720">
        <v>1</v>
      </c>
      <c r="C720" s="2" t="s">
        <v>1472</v>
      </c>
      <c r="D720" s="3">
        <v>11350</v>
      </c>
      <c r="E720" s="4">
        <v>0</v>
      </c>
      <c r="F720" t="s">
        <v>23</v>
      </c>
      <c r="G720" s="3">
        <f t="shared" si="55"/>
        <v>11350</v>
      </c>
      <c r="H720" s="3">
        <v>0</v>
      </c>
      <c r="I720" s="3">
        <f t="shared" si="56"/>
        <v>11350</v>
      </c>
      <c r="J720" s="2" t="s">
        <v>27</v>
      </c>
      <c r="K720" s="5">
        <v>46255.583333333343</v>
      </c>
      <c r="L720">
        <v>1</v>
      </c>
      <c r="M720" s="3">
        <f t="shared" si="57"/>
        <v>11350</v>
      </c>
      <c r="N720" t="str">
        <f t="shared" si="58"/>
        <v>ставка</v>
      </c>
      <c r="O720" s="3">
        <f t="shared" si="59"/>
        <v>222.55</v>
      </c>
      <c r="P720" s="5">
        <v>46256.5</v>
      </c>
      <c r="Q720" t="s">
        <v>23</v>
      </c>
      <c r="R720" s="2" t="s">
        <v>40</v>
      </c>
      <c r="S720">
        <v>26</v>
      </c>
      <c r="T720">
        <v>1</v>
      </c>
    </row>
    <row r="721" spans="1:20" ht="30" x14ac:dyDescent="0.25">
      <c r="A721" t="s">
        <v>1473</v>
      </c>
      <c r="B721">
        <v>1</v>
      </c>
      <c r="C721" s="2" t="s">
        <v>1474</v>
      </c>
      <c r="D721" s="3">
        <v>30000</v>
      </c>
      <c r="E721" s="4">
        <v>0</v>
      </c>
      <c r="F721" t="s">
        <v>23</v>
      </c>
      <c r="G721" s="3">
        <f t="shared" si="55"/>
        <v>30000</v>
      </c>
      <c r="H721" s="3">
        <v>0</v>
      </c>
      <c r="I721" s="3">
        <f t="shared" si="56"/>
        <v>30000</v>
      </c>
      <c r="J721" s="2" t="s">
        <v>27</v>
      </c>
      <c r="K721" s="5">
        <v>46209.583333333343</v>
      </c>
      <c r="L721">
        <v>2</v>
      </c>
      <c r="M721" s="3">
        <f t="shared" si="57"/>
        <v>15000</v>
      </c>
      <c r="N721" t="str">
        <f t="shared" si="58"/>
        <v>ставка</v>
      </c>
      <c r="O721" s="3">
        <f t="shared" si="59"/>
        <v>588.24</v>
      </c>
      <c r="P721" s="5">
        <v>46211.5</v>
      </c>
      <c r="Q721" t="s">
        <v>23</v>
      </c>
      <c r="R721" s="2" t="s">
        <v>40</v>
      </c>
      <c r="S721">
        <v>55</v>
      </c>
      <c r="T721">
        <v>2</v>
      </c>
    </row>
    <row r="722" spans="1:20" ht="30" x14ac:dyDescent="0.25">
      <c r="A722" t="s">
        <v>1475</v>
      </c>
      <c r="B722">
        <v>1</v>
      </c>
      <c r="C722" s="2" t="s">
        <v>1476</v>
      </c>
      <c r="D722" s="3">
        <v>83160</v>
      </c>
      <c r="E722" s="4">
        <v>0</v>
      </c>
      <c r="F722" t="s">
        <v>23</v>
      </c>
      <c r="G722" s="3">
        <f t="shared" si="55"/>
        <v>83160</v>
      </c>
      <c r="H722" s="3">
        <v>0</v>
      </c>
      <c r="I722" s="3">
        <f t="shared" si="56"/>
        <v>83160</v>
      </c>
      <c r="J722" s="2" t="s">
        <v>27</v>
      </c>
      <c r="K722" s="5">
        <v>46280.583333333343</v>
      </c>
      <c r="L722">
        <v>6</v>
      </c>
      <c r="M722" s="3">
        <f t="shared" si="57"/>
        <v>13860</v>
      </c>
      <c r="N722" t="str">
        <f t="shared" si="58"/>
        <v>ставка</v>
      </c>
      <c r="O722" s="3">
        <f t="shared" si="59"/>
        <v>1630.59</v>
      </c>
      <c r="P722" s="5">
        <v>46286.5</v>
      </c>
      <c r="Q722" t="s">
        <v>23</v>
      </c>
      <c r="R722" s="2" t="s">
        <v>24</v>
      </c>
      <c r="S722">
        <v>56</v>
      </c>
      <c r="T722">
        <v>2</v>
      </c>
    </row>
    <row r="723" spans="1:20" ht="30" x14ac:dyDescent="0.25">
      <c r="A723" t="s">
        <v>1477</v>
      </c>
      <c r="B723">
        <v>1</v>
      </c>
      <c r="C723" s="2" t="s">
        <v>1478</v>
      </c>
      <c r="D723" s="3">
        <v>39449.25</v>
      </c>
      <c r="E723" s="4">
        <v>4</v>
      </c>
      <c r="F723" t="s">
        <v>55</v>
      </c>
      <c r="G723" s="3">
        <f t="shared" si="55"/>
        <v>41092.97</v>
      </c>
      <c r="H723" s="3">
        <v>0</v>
      </c>
      <c r="I723" s="3">
        <f t="shared" si="56"/>
        <v>41092.97</v>
      </c>
      <c r="J723" s="2" t="s">
        <v>27</v>
      </c>
      <c r="K723" s="5">
        <v>46276.583333333343</v>
      </c>
      <c r="L723">
        <v>3</v>
      </c>
      <c r="M723" s="3">
        <f t="shared" si="57"/>
        <v>13697.656666666668</v>
      </c>
      <c r="N723" t="str">
        <f t="shared" si="58"/>
        <v>ставка</v>
      </c>
      <c r="O723" s="3">
        <f t="shared" si="59"/>
        <v>805.74</v>
      </c>
      <c r="P723" s="5">
        <v>46279.5</v>
      </c>
      <c r="Q723" t="s">
        <v>55</v>
      </c>
      <c r="R723" s="2" t="s">
        <v>40</v>
      </c>
      <c r="S723">
        <v>58</v>
      </c>
      <c r="T723">
        <v>2</v>
      </c>
    </row>
    <row r="724" spans="1:20" ht="30" x14ac:dyDescent="0.25">
      <c r="A724" t="s">
        <v>1479</v>
      </c>
      <c r="B724">
        <v>1</v>
      </c>
      <c r="C724" s="2" t="s">
        <v>1480</v>
      </c>
      <c r="D724" s="3">
        <v>76629</v>
      </c>
      <c r="E724" s="4">
        <v>18</v>
      </c>
      <c r="F724" t="s">
        <v>248</v>
      </c>
      <c r="G724" s="3">
        <f t="shared" si="55"/>
        <v>93450</v>
      </c>
      <c r="H724" s="3">
        <v>13147</v>
      </c>
      <c r="I724" s="3">
        <f t="shared" si="56"/>
        <v>106597</v>
      </c>
      <c r="J724" s="2" t="s">
        <v>1481</v>
      </c>
      <c r="K724" s="5">
        <v>46200.583333333343</v>
      </c>
      <c r="L724">
        <v>7</v>
      </c>
      <c r="M724" s="3">
        <f t="shared" si="57"/>
        <v>15228.142857142857</v>
      </c>
      <c r="N724" t="str">
        <f t="shared" si="58"/>
        <v>ставка</v>
      </c>
      <c r="O724" s="3">
        <f t="shared" si="59"/>
        <v>2090.14</v>
      </c>
      <c r="P724" s="5">
        <v>46207.916666666657</v>
      </c>
      <c r="Q724" t="s">
        <v>248</v>
      </c>
      <c r="R724" s="2" t="s">
        <v>40</v>
      </c>
      <c r="S724">
        <v>33</v>
      </c>
      <c r="T724">
        <v>1</v>
      </c>
    </row>
    <row r="725" spans="1:20" ht="30" x14ac:dyDescent="0.25">
      <c r="A725" t="s">
        <v>1482</v>
      </c>
      <c r="B725">
        <v>1</v>
      </c>
      <c r="C725" s="2" t="s">
        <v>1483</v>
      </c>
      <c r="D725" s="3">
        <v>11350</v>
      </c>
      <c r="E725" s="4">
        <v>0</v>
      </c>
      <c r="F725" t="s">
        <v>23</v>
      </c>
      <c r="G725" s="3">
        <f t="shared" si="55"/>
        <v>11350</v>
      </c>
      <c r="H725" s="3">
        <v>0</v>
      </c>
      <c r="I725" s="3">
        <f t="shared" si="56"/>
        <v>11350</v>
      </c>
      <c r="J725" s="2" t="s">
        <v>27</v>
      </c>
      <c r="K725" s="5">
        <v>46240.583333333343</v>
      </c>
      <c r="L725">
        <v>1</v>
      </c>
      <c r="M725" s="3">
        <f t="shared" si="57"/>
        <v>11350</v>
      </c>
      <c r="N725" t="str">
        <f t="shared" si="58"/>
        <v>ставка</v>
      </c>
      <c r="O725" s="3">
        <f t="shared" si="59"/>
        <v>222.55</v>
      </c>
      <c r="P725" s="5">
        <v>46241.5</v>
      </c>
      <c r="Q725" t="s">
        <v>23</v>
      </c>
      <c r="R725" s="2" t="s">
        <v>40</v>
      </c>
      <c r="S725">
        <v>42</v>
      </c>
      <c r="T725">
        <v>1</v>
      </c>
    </row>
    <row r="726" spans="1:20" ht="30" x14ac:dyDescent="0.25">
      <c r="A726" t="s">
        <v>1484</v>
      </c>
      <c r="B726">
        <v>1</v>
      </c>
      <c r="C726" s="2" t="s">
        <v>1485</v>
      </c>
      <c r="D726" s="3">
        <v>44325</v>
      </c>
      <c r="E726" s="4">
        <v>18</v>
      </c>
      <c r="F726" t="s">
        <v>32</v>
      </c>
      <c r="G726" s="3">
        <f t="shared" si="55"/>
        <v>54054.879999999997</v>
      </c>
      <c r="H726" s="3">
        <v>0</v>
      </c>
      <c r="I726" s="3">
        <f t="shared" si="56"/>
        <v>54054.879999999997</v>
      </c>
      <c r="J726" s="2"/>
      <c r="K726" s="5">
        <v>46287.583333333343</v>
      </c>
      <c r="L726">
        <v>6</v>
      </c>
      <c r="M726" s="3">
        <f t="shared" si="57"/>
        <v>9009.1466666666656</v>
      </c>
      <c r="N726" t="str">
        <f t="shared" si="58"/>
        <v>ставка</v>
      </c>
      <c r="O726" s="3">
        <f t="shared" si="59"/>
        <v>1059.9000000000001</v>
      </c>
      <c r="P726" s="5">
        <v>46293.5</v>
      </c>
      <c r="Q726" t="s">
        <v>32</v>
      </c>
      <c r="R726" s="2" t="s">
        <v>40</v>
      </c>
      <c r="S726">
        <v>58</v>
      </c>
      <c r="T726">
        <v>2</v>
      </c>
    </row>
    <row r="727" spans="1:20" ht="45" x14ac:dyDescent="0.25">
      <c r="A727" t="s">
        <v>1486</v>
      </c>
      <c r="B727">
        <v>1</v>
      </c>
      <c r="C727" s="2" t="s">
        <v>1487</v>
      </c>
      <c r="D727" s="3">
        <v>12500</v>
      </c>
      <c r="E727" s="4">
        <v>0</v>
      </c>
      <c r="F727" t="s">
        <v>23</v>
      </c>
      <c r="G727" s="3">
        <f t="shared" si="55"/>
        <v>12500</v>
      </c>
      <c r="H727" s="3">
        <v>0</v>
      </c>
      <c r="I727" s="3">
        <f t="shared" si="56"/>
        <v>12500</v>
      </c>
      <c r="J727" s="2" t="s">
        <v>27</v>
      </c>
      <c r="K727" s="5">
        <v>46284.583333333343</v>
      </c>
      <c r="L727">
        <v>1</v>
      </c>
      <c r="M727" s="3">
        <f t="shared" si="57"/>
        <v>12500</v>
      </c>
      <c r="N727" t="str">
        <f t="shared" si="58"/>
        <v>ставка</v>
      </c>
      <c r="O727" s="3">
        <f t="shared" si="59"/>
        <v>245.1</v>
      </c>
      <c r="P727" s="5">
        <v>46285.5</v>
      </c>
      <c r="Q727" t="s">
        <v>23</v>
      </c>
      <c r="R727" s="2" t="s">
        <v>87</v>
      </c>
      <c r="S727">
        <v>51</v>
      </c>
      <c r="T727">
        <v>2</v>
      </c>
    </row>
    <row r="728" spans="1:20" ht="45" x14ac:dyDescent="0.25">
      <c r="A728" t="s">
        <v>1488</v>
      </c>
      <c r="B728">
        <v>1</v>
      </c>
      <c r="C728" s="2" t="s">
        <v>1489</v>
      </c>
      <c r="D728" s="3">
        <v>23987</v>
      </c>
      <c r="E728" s="4">
        <v>17</v>
      </c>
      <c r="F728" t="s">
        <v>130</v>
      </c>
      <c r="G728" s="3">
        <f t="shared" si="55"/>
        <v>28900</v>
      </c>
      <c r="H728" s="3">
        <v>0</v>
      </c>
      <c r="I728" s="3">
        <f t="shared" si="56"/>
        <v>28900</v>
      </c>
      <c r="J728" s="2" t="s">
        <v>27</v>
      </c>
      <c r="K728" s="5">
        <v>46280.583333333343</v>
      </c>
      <c r="L728">
        <v>2</v>
      </c>
      <c r="M728" s="3">
        <f t="shared" si="57"/>
        <v>14450</v>
      </c>
      <c r="N728" t="str">
        <f t="shared" si="58"/>
        <v>ставка</v>
      </c>
      <c r="O728" s="3">
        <f t="shared" si="59"/>
        <v>566.66999999999996</v>
      </c>
      <c r="P728" s="5">
        <v>46282.5</v>
      </c>
      <c r="Q728" t="s">
        <v>130</v>
      </c>
      <c r="R728" s="2" t="s">
        <v>87</v>
      </c>
      <c r="S728">
        <v>51</v>
      </c>
      <c r="T728">
        <v>2</v>
      </c>
    </row>
    <row r="729" spans="1:20" ht="30" x14ac:dyDescent="0.25">
      <c r="A729" t="s">
        <v>1490</v>
      </c>
      <c r="B729">
        <v>1</v>
      </c>
      <c r="C729" s="2" t="s">
        <v>1491</v>
      </c>
      <c r="D729" s="3">
        <v>38261.300000000003</v>
      </c>
      <c r="E729" s="4">
        <v>4</v>
      </c>
      <c r="F729" t="s">
        <v>55</v>
      </c>
      <c r="G729" s="3">
        <f t="shared" si="55"/>
        <v>39855.519999999997</v>
      </c>
      <c r="H729" s="3">
        <v>0</v>
      </c>
      <c r="I729" s="3">
        <f t="shared" si="56"/>
        <v>39855.519999999997</v>
      </c>
      <c r="J729" s="2" t="s">
        <v>27</v>
      </c>
      <c r="K729" s="5">
        <v>46254.583333333343</v>
      </c>
      <c r="L729">
        <v>5</v>
      </c>
      <c r="M729" s="3">
        <f t="shared" si="57"/>
        <v>7971.1039999999994</v>
      </c>
      <c r="N729" t="str">
        <f t="shared" si="58"/>
        <v>ставка</v>
      </c>
      <c r="O729" s="3">
        <f t="shared" si="59"/>
        <v>781.48</v>
      </c>
      <c r="P729" s="5">
        <v>46259.5</v>
      </c>
      <c r="Q729" t="s">
        <v>55</v>
      </c>
      <c r="R729" s="2" t="s">
        <v>58</v>
      </c>
      <c r="S729">
        <v>24</v>
      </c>
      <c r="T729">
        <v>1</v>
      </c>
    </row>
    <row r="730" spans="1:20" ht="30" x14ac:dyDescent="0.25">
      <c r="A730" t="s">
        <v>1492</v>
      </c>
      <c r="B730">
        <v>1</v>
      </c>
      <c r="C730" s="2" t="s">
        <v>1493</v>
      </c>
      <c r="D730" s="3">
        <v>12320</v>
      </c>
      <c r="E730" s="4">
        <v>18</v>
      </c>
      <c r="F730" t="s">
        <v>32</v>
      </c>
      <c r="G730" s="3">
        <f t="shared" si="55"/>
        <v>15024.39</v>
      </c>
      <c r="H730" s="3">
        <v>0</v>
      </c>
      <c r="I730" s="3">
        <f t="shared" si="56"/>
        <v>15024.39</v>
      </c>
      <c r="J730" s="2" t="s">
        <v>27</v>
      </c>
      <c r="K730" s="5">
        <v>46233.583333333343</v>
      </c>
      <c r="L730">
        <v>2</v>
      </c>
      <c r="M730" s="3">
        <f t="shared" si="57"/>
        <v>7512.1949999999997</v>
      </c>
      <c r="N730" t="str">
        <f t="shared" si="58"/>
        <v>ставка</v>
      </c>
      <c r="O730" s="3">
        <f t="shared" si="59"/>
        <v>294.60000000000002</v>
      </c>
      <c r="P730" s="5">
        <v>46235.5</v>
      </c>
      <c r="Q730" t="s">
        <v>32</v>
      </c>
      <c r="R730" s="2" t="s">
        <v>58</v>
      </c>
      <c r="S730">
        <v>34</v>
      </c>
      <c r="T730">
        <v>1</v>
      </c>
    </row>
    <row r="731" spans="1:20" ht="30" x14ac:dyDescent="0.25">
      <c r="A731" t="s">
        <v>1494</v>
      </c>
      <c r="B731">
        <v>1</v>
      </c>
      <c r="C731" s="2" t="s">
        <v>1495</v>
      </c>
      <c r="D731" s="3">
        <v>8217</v>
      </c>
      <c r="E731" s="4">
        <v>18</v>
      </c>
      <c r="F731" t="s">
        <v>32</v>
      </c>
      <c r="G731" s="3">
        <f t="shared" si="55"/>
        <v>10020.73</v>
      </c>
      <c r="H731" s="3">
        <v>0</v>
      </c>
      <c r="I731" s="3">
        <f t="shared" si="56"/>
        <v>10020.73</v>
      </c>
      <c r="J731" s="2" t="s">
        <v>27</v>
      </c>
      <c r="K731" s="5">
        <v>46236.583333333343</v>
      </c>
      <c r="L731">
        <v>1</v>
      </c>
      <c r="M731" s="3">
        <f t="shared" si="57"/>
        <v>10020.73</v>
      </c>
      <c r="N731" t="str">
        <f t="shared" si="58"/>
        <v>ставка</v>
      </c>
      <c r="O731" s="3">
        <f t="shared" si="59"/>
        <v>196.48</v>
      </c>
      <c r="P731" s="5">
        <v>46237.5</v>
      </c>
      <c r="Q731" t="s">
        <v>32</v>
      </c>
      <c r="R731" s="2" t="s">
        <v>33</v>
      </c>
      <c r="S731">
        <v>43</v>
      </c>
      <c r="T731">
        <v>1</v>
      </c>
    </row>
    <row r="732" spans="1:20" ht="30" x14ac:dyDescent="0.25">
      <c r="A732" t="s">
        <v>1496</v>
      </c>
      <c r="B732">
        <v>1</v>
      </c>
      <c r="C732" s="2" t="s">
        <v>1497</v>
      </c>
      <c r="D732" s="3">
        <v>33879.75</v>
      </c>
      <c r="E732" s="4">
        <v>4</v>
      </c>
      <c r="F732" t="s">
        <v>55</v>
      </c>
      <c r="G732" s="3">
        <f t="shared" si="55"/>
        <v>35291.410000000003</v>
      </c>
      <c r="H732" s="3">
        <v>0</v>
      </c>
      <c r="I732" s="3">
        <f t="shared" si="56"/>
        <v>35291.410000000003</v>
      </c>
      <c r="J732" s="2" t="s">
        <v>27</v>
      </c>
      <c r="K732" s="5">
        <v>46211.583333333343</v>
      </c>
      <c r="L732">
        <v>3</v>
      </c>
      <c r="M732" s="3">
        <f t="shared" si="57"/>
        <v>11763.803333333335</v>
      </c>
      <c r="N732" t="str">
        <f t="shared" si="58"/>
        <v>ставка</v>
      </c>
      <c r="O732" s="3">
        <f t="shared" si="59"/>
        <v>691.99</v>
      </c>
      <c r="P732" s="5">
        <v>46214.5</v>
      </c>
      <c r="Q732" t="s">
        <v>55</v>
      </c>
      <c r="R732" s="2" t="s">
        <v>40</v>
      </c>
      <c r="S732">
        <v>55</v>
      </c>
      <c r="T732">
        <v>2</v>
      </c>
    </row>
    <row r="733" spans="1:20" x14ac:dyDescent="0.25">
      <c r="A733" t="s">
        <v>1498</v>
      </c>
      <c r="B733">
        <v>1</v>
      </c>
      <c r="C733" s="2" t="s">
        <v>1499</v>
      </c>
      <c r="D733" s="3">
        <v>16252.5</v>
      </c>
      <c r="E733" s="4">
        <v>4</v>
      </c>
      <c r="F733" t="s">
        <v>55</v>
      </c>
      <c r="G733" s="3">
        <f t="shared" si="55"/>
        <v>16929.689999999999</v>
      </c>
      <c r="H733" s="3">
        <v>0</v>
      </c>
      <c r="I733" s="3">
        <f t="shared" si="56"/>
        <v>16929.689999999999</v>
      </c>
      <c r="J733" s="2" t="s">
        <v>27</v>
      </c>
      <c r="K733" s="5">
        <v>46248.583333333343</v>
      </c>
      <c r="L733">
        <v>1</v>
      </c>
      <c r="M733" s="3">
        <f t="shared" si="57"/>
        <v>16929.689999999999</v>
      </c>
      <c r="N733" t="str">
        <f t="shared" si="58"/>
        <v>ставка</v>
      </c>
      <c r="O733" s="3">
        <f t="shared" si="59"/>
        <v>331.95</v>
      </c>
      <c r="P733" s="5">
        <v>46249.5</v>
      </c>
      <c r="Q733" t="s">
        <v>55</v>
      </c>
      <c r="R733" s="2" t="s">
        <v>49</v>
      </c>
      <c r="S733">
        <v>35</v>
      </c>
      <c r="T733">
        <v>1</v>
      </c>
    </row>
    <row r="734" spans="1:20" x14ac:dyDescent="0.25">
      <c r="A734" t="s">
        <v>1500</v>
      </c>
      <c r="B734">
        <v>1</v>
      </c>
      <c r="C734" s="2" t="s">
        <v>1501</v>
      </c>
      <c r="D734" s="3">
        <v>28782.5</v>
      </c>
      <c r="E734" s="4">
        <v>4</v>
      </c>
      <c r="F734" t="s">
        <v>55</v>
      </c>
      <c r="G734" s="3">
        <f t="shared" si="55"/>
        <v>29981.77</v>
      </c>
      <c r="H734" s="3">
        <v>0</v>
      </c>
      <c r="I734" s="3">
        <f t="shared" si="56"/>
        <v>29981.77</v>
      </c>
      <c r="J734" s="2" t="s">
        <v>27</v>
      </c>
      <c r="K734" s="5">
        <v>46252.583333333343</v>
      </c>
      <c r="L734">
        <v>2</v>
      </c>
      <c r="M734" s="3">
        <f t="shared" si="57"/>
        <v>14990.885</v>
      </c>
      <c r="N734" t="str">
        <f t="shared" si="58"/>
        <v>ставка</v>
      </c>
      <c r="O734" s="3">
        <f t="shared" si="59"/>
        <v>587.88</v>
      </c>
      <c r="P734" s="5">
        <v>46254.5</v>
      </c>
      <c r="Q734" t="s">
        <v>55</v>
      </c>
      <c r="R734" s="2" t="s">
        <v>49</v>
      </c>
      <c r="S734">
        <v>35</v>
      </c>
      <c r="T734">
        <v>1</v>
      </c>
    </row>
    <row r="735" spans="1:20" x14ac:dyDescent="0.25">
      <c r="A735" t="s">
        <v>1502</v>
      </c>
      <c r="B735">
        <v>1</v>
      </c>
      <c r="C735" s="2" t="s">
        <v>1501</v>
      </c>
      <c r="D735" s="3">
        <v>15310.2</v>
      </c>
      <c r="E735" s="4">
        <v>4</v>
      </c>
      <c r="F735" t="s">
        <v>55</v>
      </c>
      <c r="G735" s="3">
        <f t="shared" si="55"/>
        <v>15948.13</v>
      </c>
      <c r="H735" s="3">
        <v>0</v>
      </c>
      <c r="I735" s="3">
        <f t="shared" si="56"/>
        <v>15948.13</v>
      </c>
      <c r="J735" s="2" t="s">
        <v>27</v>
      </c>
      <c r="K735" s="5">
        <v>46254.583333333343</v>
      </c>
      <c r="L735">
        <v>1</v>
      </c>
      <c r="M735" s="3">
        <f t="shared" si="57"/>
        <v>15948.13</v>
      </c>
      <c r="N735" t="str">
        <f t="shared" si="58"/>
        <v>ставка</v>
      </c>
      <c r="O735" s="3">
        <f t="shared" si="59"/>
        <v>312.70999999999998</v>
      </c>
      <c r="P735" s="5">
        <v>46255.5</v>
      </c>
      <c r="Q735" t="s">
        <v>55</v>
      </c>
      <c r="R735" s="2" t="s">
        <v>45</v>
      </c>
      <c r="S735">
        <v>53</v>
      </c>
      <c r="T735">
        <v>2</v>
      </c>
    </row>
    <row r="736" spans="1:20" ht="30" x14ac:dyDescent="0.25">
      <c r="A736" t="s">
        <v>1503</v>
      </c>
      <c r="B736">
        <v>1</v>
      </c>
      <c r="C736" s="2" t="s">
        <v>1504</v>
      </c>
      <c r="D736" s="3">
        <v>10972.5</v>
      </c>
      <c r="E736" s="4">
        <v>18</v>
      </c>
      <c r="F736" t="s">
        <v>32</v>
      </c>
      <c r="G736" s="3">
        <f t="shared" si="55"/>
        <v>13381.1</v>
      </c>
      <c r="H736" s="3">
        <v>0</v>
      </c>
      <c r="I736" s="3">
        <f t="shared" si="56"/>
        <v>13381.1</v>
      </c>
      <c r="J736" s="2" t="s">
        <v>27</v>
      </c>
      <c r="K736" s="5">
        <v>46281.583333333343</v>
      </c>
      <c r="L736">
        <v>2</v>
      </c>
      <c r="M736" s="3">
        <f t="shared" si="57"/>
        <v>6690.55</v>
      </c>
      <c r="N736" t="str">
        <f t="shared" si="58"/>
        <v>ставка</v>
      </c>
      <c r="O736" s="3">
        <f t="shared" si="59"/>
        <v>262.37</v>
      </c>
      <c r="P736" s="5">
        <v>46283.5</v>
      </c>
      <c r="Q736" t="s">
        <v>32</v>
      </c>
      <c r="R736" s="2" t="s">
        <v>58</v>
      </c>
      <c r="S736">
        <v>34</v>
      </c>
      <c r="T736">
        <v>1</v>
      </c>
    </row>
    <row r="737" spans="1:20" ht="30" x14ac:dyDescent="0.25">
      <c r="A737" t="s">
        <v>1505</v>
      </c>
      <c r="B737">
        <v>1</v>
      </c>
      <c r="C737" s="2" t="s">
        <v>1506</v>
      </c>
      <c r="D737" s="3">
        <v>38590</v>
      </c>
      <c r="E737" s="4">
        <v>15</v>
      </c>
      <c r="F737" t="s">
        <v>168</v>
      </c>
      <c r="G737" s="3">
        <f t="shared" si="55"/>
        <v>45400</v>
      </c>
      <c r="H737" s="3">
        <v>0</v>
      </c>
      <c r="I737" s="3">
        <f t="shared" si="56"/>
        <v>45400</v>
      </c>
      <c r="J737" s="2" t="s">
        <v>27</v>
      </c>
      <c r="K737" s="5">
        <v>46281.583333333343</v>
      </c>
      <c r="L737">
        <v>4</v>
      </c>
      <c r="M737" s="3">
        <f t="shared" si="57"/>
        <v>11350</v>
      </c>
      <c r="N737" t="str">
        <f t="shared" si="58"/>
        <v>ставка</v>
      </c>
      <c r="O737" s="3">
        <f t="shared" si="59"/>
        <v>890.2</v>
      </c>
      <c r="P737" s="5">
        <v>46285.5</v>
      </c>
      <c r="Q737" t="s">
        <v>168</v>
      </c>
      <c r="R737" s="2" t="s">
        <v>40</v>
      </c>
      <c r="S737">
        <v>52</v>
      </c>
      <c r="T737">
        <v>2</v>
      </c>
    </row>
    <row r="738" spans="1:20" x14ac:dyDescent="0.25">
      <c r="A738" t="s">
        <v>1507</v>
      </c>
      <c r="B738">
        <v>1</v>
      </c>
      <c r="C738" s="2" t="s">
        <v>1508</v>
      </c>
      <c r="D738" s="3">
        <v>17800</v>
      </c>
      <c r="E738" s="4">
        <v>0</v>
      </c>
      <c r="F738" t="s">
        <v>23</v>
      </c>
      <c r="G738" s="3">
        <f t="shared" si="55"/>
        <v>17800</v>
      </c>
      <c r="H738" s="3">
        <v>0</v>
      </c>
      <c r="I738" s="3">
        <f t="shared" si="56"/>
        <v>17800</v>
      </c>
      <c r="J738" s="2" t="s">
        <v>27</v>
      </c>
      <c r="K738" s="5">
        <v>46228.583333333343</v>
      </c>
      <c r="L738">
        <v>1</v>
      </c>
      <c r="M738" s="3">
        <f t="shared" si="57"/>
        <v>17800</v>
      </c>
      <c r="N738" t="str">
        <f t="shared" si="58"/>
        <v>ставка</v>
      </c>
      <c r="O738" s="3">
        <f t="shared" si="59"/>
        <v>349.02</v>
      </c>
      <c r="P738" s="5">
        <v>46229.5</v>
      </c>
      <c r="Q738" t="s">
        <v>23</v>
      </c>
      <c r="R738" s="2" t="s">
        <v>45</v>
      </c>
      <c r="S738">
        <v>53</v>
      </c>
      <c r="T738">
        <v>2</v>
      </c>
    </row>
    <row r="739" spans="1:20" ht="30" x14ac:dyDescent="0.25">
      <c r="A739" t="s">
        <v>1509</v>
      </c>
      <c r="B739">
        <v>1</v>
      </c>
      <c r="C739" s="2" t="s">
        <v>1510</v>
      </c>
      <c r="D739" s="3">
        <v>6478</v>
      </c>
      <c r="E739" s="4">
        <v>18</v>
      </c>
      <c r="F739" t="s">
        <v>147</v>
      </c>
      <c r="G739" s="3">
        <f t="shared" si="55"/>
        <v>7900</v>
      </c>
      <c r="H739" s="3">
        <v>0</v>
      </c>
      <c r="I739" s="3">
        <f t="shared" si="56"/>
        <v>7900</v>
      </c>
      <c r="J739" s="2" t="s">
        <v>27</v>
      </c>
      <c r="K739" s="5">
        <v>46264.583333333343</v>
      </c>
      <c r="L739">
        <v>1</v>
      </c>
      <c r="M739" s="3">
        <f t="shared" si="57"/>
        <v>7900</v>
      </c>
      <c r="N739" t="str">
        <f t="shared" si="58"/>
        <v>ставка</v>
      </c>
      <c r="O739" s="3">
        <f t="shared" si="59"/>
        <v>154.9</v>
      </c>
      <c r="P739" s="5">
        <v>46265.5</v>
      </c>
      <c r="Q739" t="s">
        <v>147</v>
      </c>
      <c r="R739" s="2" t="s">
        <v>40</v>
      </c>
      <c r="S739">
        <v>33</v>
      </c>
      <c r="T739">
        <v>1</v>
      </c>
    </row>
    <row r="740" spans="1:20" ht="30" x14ac:dyDescent="0.25">
      <c r="A740" t="s">
        <v>1511</v>
      </c>
      <c r="B740">
        <v>1</v>
      </c>
      <c r="C740" s="2" t="s">
        <v>1512</v>
      </c>
      <c r="D740" s="3">
        <v>9900</v>
      </c>
      <c r="E740" s="4">
        <v>0</v>
      </c>
      <c r="F740" t="s">
        <v>23</v>
      </c>
      <c r="G740" s="3">
        <f t="shared" si="55"/>
        <v>9900</v>
      </c>
      <c r="H740" s="3">
        <v>0</v>
      </c>
      <c r="I740" s="3">
        <f t="shared" si="56"/>
        <v>9900</v>
      </c>
      <c r="J740" s="2" t="s">
        <v>27</v>
      </c>
      <c r="K740" s="5">
        <v>46265.583333333343</v>
      </c>
      <c r="L740">
        <v>1</v>
      </c>
      <c r="M740" s="3">
        <f t="shared" si="57"/>
        <v>9900</v>
      </c>
      <c r="N740" t="str">
        <f t="shared" si="58"/>
        <v>ставка</v>
      </c>
      <c r="O740" s="3">
        <f t="shared" si="59"/>
        <v>194.12</v>
      </c>
      <c r="P740" s="5">
        <v>46266.5</v>
      </c>
      <c r="Q740" t="s">
        <v>23</v>
      </c>
      <c r="R740" s="2" t="s">
        <v>40</v>
      </c>
      <c r="S740">
        <v>32</v>
      </c>
      <c r="T740">
        <v>1</v>
      </c>
    </row>
    <row r="741" spans="1:20" ht="30" x14ac:dyDescent="0.25">
      <c r="A741" t="s">
        <v>1513</v>
      </c>
      <c r="B741">
        <v>1</v>
      </c>
      <c r="C741" s="2" t="s">
        <v>1512</v>
      </c>
      <c r="D741" s="3">
        <v>7920</v>
      </c>
      <c r="E741" s="4">
        <v>20</v>
      </c>
      <c r="F741" t="s">
        <v>48</v>
      </c>
      <c r="G741" s="3">
        <f t="shared" si="55"/>
        <v>9900</v>
      </c>
      <c r="H741" s="3">
        <v>0</v>
      </c>
      <c r="I741" s="3">
        <f t="shared" si="56"/>
        <v>9900</v>
      </c>
      <c r="J741" s="2" t="s">
        <v>27</v>
      </c>
      <c r="K741" s="5">
        <v>46264.583333333343</v>
      </c>
      <c r="L741">
        <v>1</v>
      </c>
      <c r="M741" s="3">
        <f t="shared" si="57"/>
        <v>9900</v>
      </c>
      <c r="N741" t="str">
        <f t="shared" si="58"/>
        <v>ставка</v>
      </c>
      <c r="O741" s="3">
        <f t="shared" si="59"/>
        <v>194.12</v>
      </c>
      <c r="P741" s="5">
        <v>46265.5</v>
      </c>
      <c r="Q741" t="s">
        <v>48</v>
      </c>
      <c r="R741" s="2" t="s">
        <v>40</v>
      </c>
      <c r="S741">
        <v>32</v>
      </c>
      <c r="T741">
        <v>1</v>
      </c>
    </row>
    <row r="742" spans="1:20" ht="30" x14ac:dyDescent="0.25">
      <c r="A742" t="s">
        <v>1195</v>
      </c>
      <c r="B742">
        <v>1</v>
      </c>
      <c r="C742" s="2" t="s">
        <v>1514</v>
      </c>
      <c r="D742" s="3">
        <v>19493.099999999999</v>
      </c>
      <c r="E742" s="4">
        <v>4</v>
      </c>
      <c r="F742" t="s">
        <v>55</v>
      </c>
      <c r="G742" s="3">
        <f t="shared" si="55"/>
        <v>20305.310000000001</v>
      </c>
      <c r="H742" s="3">
        <v>0</v>
      </c>
      <c r="I742" s="3">
        <f t="shared" si="56"/>
        <v>20305.310000000001</v>
      </c>
      <c r="J742" s="2" t="s">
        <v>27</v>
      </c>
      <c r="K742" s="5">
        <v>46269.583333333343</v>
      </c>
      <c r="L742">
        <v>2</v>
      </c>
      <c r="M742" s="3">
        <f t="shared" si="57"/>
        <v>10152.655000000001</v>
      </c>
      <c r="N742" t="str">
        <f t="shared" si="58"/>
        <v>ставка</v>
      </c>
      <c r="O742" s="3">
        <f t="shared" si="59"/>
        <v>398.14</v>
      </c>
      <c r="P742" s="5">
        <v>46271.5</v>
      </c>
      <c r="Q742" t="s">
        <v>55</v>
      </c>
      <c r="R742" s="2" t="s">
        <v>24</v>
      </c>
      <c r="S742" s="6"/>
    </row>
    <row r="743" spans="1:20" ht="30" x14ac:dyDescent="0.25">
      <c r="A743" t="s">
        <v>1515</v>
      </c>
      <c r="B743">
        <v>1</v>
      </c>
      <c r="C743" s="2" t="s">
        <v>1516</v>
      </c>
      <c r="D743" s="3">
        <v>93450</v>
      </c>
      <c r="E743" s="4">
        <v>15</v>
      </c>
      <c r="F743" t="s">
        <v>487</v>
      </c>
      <c r="G743" s="3">
        <f t="shared" si="55"/>
        <v>109941.18</v>
      </c>
      <c r="H743" s="3">
        <v>0</v>
      </c>
      <c r="I743" s="3">
        <f t="shared" si="56"/>
        <v>109941.18</v>
      </c>
      <c r="J743" s="2" t="s">
        <v>27</v>
      </c>
      <c r="K743" s="5">
        <v>46260.583333333343</v>
      </c>
      <c r="L743">
        <v>7</v>
      </c>
      <c r="M743" s="3">
        <f t="shared" si="57"/>
        <v>15705.882857142857</v>
      </c>
      <c r="N743" t="str">
        <f t="shared" si="58"/>
        <v>ставка</v>
      </c>
      <c r="O743" s="3">
        <f t="shared" si="59"/>
        <v>2155.71</v>
      </c>
      <c r="P743" s="5">
        <v>46267.5</v>
      </c>
      <c r="Q743" t="s">
        <v>487</v>
      </c>
      <c r="R743" s="2" t="s">
        <v>40</v>
      </c>
      <c r="S743">
        <v>44</v>
      </c>
      <c r="T743">
        <v>1</v>
      </c>
    </row>
    <row r="744" spans="1:20" ht="30" x14ac:dyDescent="0.25">
      <c r="A744" t="s">
        <v>1517</v>
      </c>
      <c r="B744">
        <v>1</v>
      </c>
      <c r="C744" s="2" t="s">
        <v>1518</v>
      </c>
      <c r="D744" s="3">
        <v>7781.5</v>
      </c>
      <c r="E744" s="4">
        <v>4</v>
      </c>
      <c r="F744" t="s">
        <v>55</v>
      </c>
      <c r="G744" s="3">
        <f t="shared" si="55"/>
        <v>8105.73</v>
      </c>
      <c r="H744" s="3">
        <v>0</v>
      </c>
      <c r="I744" s="3">
        <f t="shared" si="56"/>
        <v>8105.73</v>
      </c>
      <c r="J744" s="2" t="s">
        <v>27</v>
      </c>
      <c r="K744" s="5">
        <v>46265.583333333343</v>
      </c>
      <c r="L744">
        <v>1</v>
      </c>
      <c r="M744" s="3">
        <f t="shared" si="57"/>
        <v>8105.73</v>
      </c>
      <c r="N744" t="str">
        <f t="shared" si="58"/>
        <v>ставка</v>
      </c>
      <c r="O744" s="3">
        <f t="shared" si="59"/>
        <v>158.94</v>
      </c>
      <c r="P744" s="5">
        <v>46266.5</v>
      </c>
      <c r="Q744" t="s">
        <v>55</v>
      </c>
      <c r="R744" s="2" t="s">
        <v>40</v>
      </c>
      <c r="S744">
        <v>26</v>
      </c>
      <c r="T744">
        <v>1</v>
      </c>
    </row>
    <row r="745" spans="1:20" ht="30" x14ac:dyDescent="0.25">
      <c r="A745" t="s">
        <v>1519</v>
      </c>
      <c r="B745">
        <v>1</v>
      </c>
      <c r="C745" s="2" t="s">
        <v>1520</v>
      </c>
      <c r="D745" s="3">
        <v>9307</v>
      </c>
      <c r="E745" s="4">
        <v>18</v>
      </c>
      <c r="F745" t="s">
        <v>248</v>
      </c>
      <c r="G745" s="3">
        <f t="shared" si="55"/>
        <v>11350</v>
      </c>
      <c r="H745" s="3">
        <v>0</v>
      </c>
      <c r="I745" s="3">
        <f t="shared" si="56"/>
        <v>11350</v>
      </c>
      <c r="J745" s="2" t="s">
        <v>27</v>
      </c>
      <c r="K745" s="5">
        <v>46295.583333333343</v>
      </c>
      <c r="L745">
        <v>1</v>
      </c>
      <c r="M745" s="3">
        <f t="shared" si="57"/>
        <v>11350</v>
      </c>
      <c r="N745" t="str">
        <f t="shared" si="58"/>
        <v>ставка</v>
      </c>
      <c r="O745" s="3">
        <f t="shared" si="59"/>
        <v>222.55</v>
      </c>
      <c r="P745" s="5">
        <v>46296.5</v>
      </c>
      <c r="Q745" t="s">
        <v>248</v>
      </c>
      <c r="R745" s="2" t="s">
        <v>40</v>
      </c>
      <c r="S745">
        <v>42</v>
      </c>
      <c r="T745">
        <v>1</v>
      </c>
    </row>
    <row r="746" spans="1:20" ht="30" x14ac:dyDescent="0.25">
      <c r="A746" t="s">
        <v>1521</v>
      </c>
      <c r="B746">
        <v>1</v>
      </c>
      <c r="C746" s="2" t="s">
        <v>1522</v>
      </c>
      <c r="D746" s="3">
        <v>36320</v>
      </c>
      <c r="E746" s="4">
        <v>20</v>
      </c>
      <c r="F746" t="s">
        <v>48</v>
      </c>
      <c r="G746" s="3">
        <f t="shared" si="55"/>
        <v>45400</v>
      </c>
      <c r="H746" s="3">
        <v>0</v>
      </c>
      <c r="I746" s="3">
        <f t="shared" si="56"/>
        <v>45400</v>
      </c>
      <c r="J746" s="2" t="s">
        <v>27</v>
      </c>
      <c r="K746" s="5">
        <v>46270.583333333343</v>
      </c>
      <c r="L746">
        <v>4</v>
      </c>
      <c r="M746" s="3">
        <f t="shared" si="57"/>
        <v>11350</v>
      </c>
      <c r="N746" t="str">
        <f t="shared" si="58"/>
        <v>ставка</v>
      </c>
      <c r="O746" s="3">
        <f t="shared" si="59"/>
        <v>890.2</v>
      </c>
      <c r="P746" s="5">
        <v>46274.5</v>
      </c>
      <c r="Q746" t="s">
        <v>48</v>
      </c>
      <c r="R746" s="2" t="s">
        <v>40</v>
      </c>
      <c r="S746">
        <v>33</v>
      </c>
      <c r="T746">
        <v>1</v>
      </c>
    </row>
    <row r="747" spans="1:20" ht="30" x14ac:dyDescent="0.25">
      <c r="A747" t="s">
        <v>1523</v>
      </c>
      <c r="B747">
        <v>1</v>
      </c>
      <c r="C747" s="2" t="s">
        <v>1524</v>
      </c>
      <c r="D747" s="3">
        <v>7298</v>
      </c>
      <c r="E747" s="4">
        <v>18</v>
      </c>
      <c r="F747" t="s">
        <v>147</v>
      </c>
      <c r="G747" s="3">
        <f t="shared" si="55"/>
        <v>8900</v>
      </c>
      <c r="H747" s="3">
        <v>0</v>
      </c>
      <c r="I747" s="3">
        <f t="shared" si="56"/>
        <v>8900</v>
      </c>
      <c r="J747" s="2" t="s">
        <v>27</v>
      </c>
      <c r="K747" s="5">
        <v>46231.583333333343</v>
      </c>
      <c r="L747">
        <v>1</v>
      </c>
      <c r="M747" s="3">
        <f t="shared" si="57"/>
        <v>8900</v>
      </c>
      <c r="N747" t="str">
        <f t="shared" si="58"/>
        <v>ставка</v>
      </c>
      <c r="O747" s="3">
        <f t="shared" si="59"/>
        <v>174.51</v>
      </c>
      <c r="P747" s="5">
        <v>46232.5</v>
      </c>
      <c r="Q747" t="s">
        <v>147</v>
      </c>
      <c r="R747" s="2" t="s">
        <v>40</v>
      </c>
      <c r="S747">
        <v>52</v>
      </c>
      <c r="T747">
        <v>2</v>
      </c>
    </row>
    <row r="748" spans="1:20" ht="30" x14ac:dyDescent="0.25">
      <c r="A748" t="s">
        <v>1525</v>
      </c>
      <c r="B748">
        <v>1</v>
      </c>
      <c r="C748" s="2" t="s">
        <v>1526</v>
      </c>
      <c r="D748" s="3">
        <v>18160</v>
      </c>
      <c r="E748" s="4">
        <v>20</v>
      </c>
      <c r="F748" t="s">
        <v>293</v>
      </c>
      <c r="G748" s="3">
        <f t="shared" si="55"/>
        <v>22700</v>
      </c>
      <c r="H748" s="3">
        <v>0</v>
      </c>
      <c r="I748" s="3">
        <f t="shared" si="56"/>
        <v>22700</v>
      </c>
      <c r="J748" s="2" t="s">
        <v>294</v>
      </c>
      <c r="K748" s="5">
        <v>46203.583333333343</v>
      </c>
      <c r="L748">
        <v>2</v>
      </c>
      <c r="M748" s="3">
        <f t="shared" si="57"/>
        <v>11350</v>
      </c>
      <c r="N748" t="str">
        <f t="shared" si="58"/>
        <v>ставка</v>
      </c>
      <c r="O748" s="3">
        <f t="shared" si="59"/>
        <v>445.1</v>
      </c>
      <c r="P748" s="5">
        <v>46205.5</v>
      </c>
      <c r="Q748" t="s">
        <v>293</v>
      </c>
      <c r="R748" s="2" t="s">
        <v>40</v>
      </c>
      <c r="S748">
        <v>52</v>
      </c>
      <c r="T748">
        <v>2</v>
      </c>
    </row>
    <row r="749" spans="1:20" x14ac:dyDescent="0.25">
      <c r="A749" t="s">
        <v>1527</v>
      </c>
      <c r="B749">
        <v>1</v>
      </c>
      <c r="C749" s="2" t="s">
        <v>1528</v>
      </c>
      <c r="D749" s="3">
        <v>29904</v>
      </c>
      <c r="E749" s="4">
        <v>16</v>
      </c>
      <c r="F749" t="s">
        <v>36</v>
      </c>
      <c r="G749" s="3">
        <f t="shared" si="55"/>
        <v>35600</v>
      </c>
      <c r="H749" s="3">
        <v>0</v>
      </c>
      <c r="I749" s="3">
        <f t="shared" si="56"/>
        <v>35600</v>
      </c>
      <c r="J749" s="2" t="s">
        <v>27</v>
      </c>
      <c r="K749" s="5">
        <v>46259.583333333343</v>
      </c>
      <c r="L749">
        <v>2</v>
      </c>
      <c r="M749" s="3">
        <f t="shared" si="57"/>
        <v>17800</v>
      </c>
      <c r="N749" t="str">
        <f t="shared" si="58"/>
        <v>ставка</v>
      </c>
      <c r="O749" s="3">
        <f t="shared" si="59"/>
        <v>698.04</v>
      </c>
      <c r="P749" s="5">
        <v>46261.5</v>
      </c>
      <c r="Q749" t="s">
        <v>36</v>
      </c>
      <c r="R749" s="2" t="s">
        <v>45</v>
      </c>
      <c r="S749">
        <v>57</v>
      </c>
      <c r="T749">
        <v>2</v>
      </c>
    </row>
    <row r="750" spans="1:20" ht="30" x14ac:dyDescent="0.25">
      <c r="A750" t="s">
        <v>1529</v>
      </c>
      <c r="B750">
        <v>1</v>
      </c>
      <c r="C750" s="2" t="s">
        <v>1530</v>
      </c>
      <c r="D750" s="3">
        <v>40200</v>
      </c>
      <c r="E750" s="4">
        <v>0</v>
      </c>
      <c r="F750" t="s">
        <v>23</v>
      </c>
      <c r="G750" s="3">
        <f t="shared" si="55"/>
        <v>40200</v>
      </c>
      <c r="H750" s="3">
        <v>0</v>
      </c>
      <c r="I750" s="3">
        <f t="shared" si="56"/>
        <v>40200</v>
      </c>
      <c r="J750" s="2" t="s">
        <v>27</v>
      </c>
      <c r="K750" s="5">
        <v>46205.583333333343</v>
      </c>
      <c r="L750">
        <v>3</v>
      </c>
      <c r="M750" s="3">
        <f t="shared" si="57"/>
        <v>13400</v>
      </c>
      <c r="N750" t="str">
        <f t="shared" si="58"/>
        <v>ставка</v>
      </c>
      <c r="O750" s="3">
        <f t="shared" si="59"/>
        <v>788.24</v>
      </c>
      <c r="P750" s="5">
        <v>46208.5</v>
      </c>
      <c r="Q750" t="s">
        <v>23</v>
      </c>
      <c r="R750" s="2" t="s">
        <v>24</v>
      </c>
      <c r="S750">
        <v>31</v>
      </c>
      <c r="T750">
        <v>1</v>
      </c>
    </row>
    <row r="751" spans="1:20" ht="30" x14ac:dyDescent="0.25">
      <c r="A751" t="s">
        <v>1531</v>
      </c>
      <c r="B751">
        <v>1</v>
      </c>
      <c r="C751" s="2" t="s">
        <v>1532</v>
      </c>
      <c r="D751" s="3">
        <v>64080</v>
      </c>
      <c r="E751" s="4">
        <v>20</v>
      </c>
      <c r="F751" t="s">
        <v>48</v>
      </c>
      <c r="G751" s="3">
        <f t="shared" si="55"/>
        <v>80100</v>
      </c>
      <c r="H751" s="3">
        <v>0</v>
      </c>
      <c r="I751" s="3">
        <f t="shared" si="56"/>
        <v>80100</v>
      </c>
      <c r="J751" s="2" t="s">
        <v>27</v>
      </c>
      <c r="K751" s="5">
        <v>46286.583333333343</v>
      </c>
      <c r="L751">
        <v>6</v>
      </c>
      <c r="M751" s="3">
        <f t="shared" si="57"/>
        <v>13350</v>
      </c>
      <c r="N751" t="str">
        <f t="shared" si="58"/>
        <v>ставка</v>
      </c>
      <c r="O751" s="3">
        <f t="shared" si="59"/>
        <v>1570.59</v>
      </c>
      <c r="P751" s="5">
        <v>46292.5</v>
      </c>
      <c r="Q751" t="s">
        <v>48</v>
      </c>
      <c r="R751" s="2" t="s">
        <v>24</v>
      </c>
      <c r="S751">
        <v>56</v>
      </c>
      <c r="T751">
        <v>2</v>
      </c>
    </row>
    <row r="752" spans="1:20" ht="30" x14ac:dyDescent="0.25">
      <c r="A752" t="s">
        <v>1533</v>
      </c>
      <c r="B752">
        <v>1</v>
      </c>
      <c r="C752" s="2" t="s">
        <v>1534</v>
      </c>
      <c r="D752" s="3">
        <v>10998.15</v>
      </c>
      <c r="E752" s="4">
        <v>4</v>
      </c>
      <c r="F752" t="s">
        <v>55</v>
      </c>
      <c r="G752" s="3">
        <f t="shared" si="55"/>
        <v>11456.41</v>
      </c>
      <c r="H752" s="3">
        <v>0</v>
      </c>
      <c r="I752" s="3">
        <f t="shared" si="56"/>
        <v>11456.41</v>
      </c>
      <c r="J752" s="2" t="s">
        <v>27</v>
      </c>
      <c r="K752" s="5">
        <v>46218.729166666657</v>
      </c>
      <c r="L752">
        <v>1</v>
      </c>
      <c r="M752" s="3">
        <f t="shared" si="57"/>
        <v>11456.41</v>
      </c>
      <c r="N752" t="str">
        <f t="shared" si="58"/>
        <v>ставка</v>
      </c>
      <c r="O752" s="3">
        <f t="shared" si="59"/>
        <v>224.64</v>
      </c>
      <c r="P752" s="5">
        <v>46219.5</v>
      </c>
      <c r="Q752" t="s">
        <v>55</v>
      </c>
      <c r="R752" s="2" t="s">
        <v>40</v>
      </c>
      <c r="S752">
        <v>46</v>
      </c>
      <c r="T752">
        <v>1</v>
      </c>
    </row>
    <row r="753" spans="1:20" ht="30" x14ac:dyDescent="0.25">
      <c r="A753" t="s">
        <v>1535</v>
      </c>
      <c r="B753">
        <v>1</v>
      </c>
      <c r="C753" s="2" t="s">
        <v>1534</v>
      </c>
      <c r="D753" s="3">
        <v>10050</v>
      </c>
      <c r="E753" s="4">
        <v>18</v>
      </c>
      <c r="F753" t="s">
        <v>32</v>
      </c>
      <c r="G753" s="3">
        <f t="shared" si="55"/>
        <v>12256.1</v>
      </c>
      <c r="H753" s="3">
        <v>0</v>
      </c>
      <c r="I753" s="3">
        <f t="shared" si="56"/>
        <v>12256.1</v>
      </c>
      <c r="J753" s="2" t="s">
        <v>27</v>
      </c>
      <c r="K753" s="5">
        <v>46295.583333333343</v>
      </c>
      <c r="L753">
        <v>1</v>
      </c>
      <c r="M753" s="3">
        <f t="shared" si="57"/>
        <v>12256.1</v>
      </c>
      <c r="N753" t="str">
        <f t="shared" si="58"/>
        <v>ставка</v>
      </c>
      <c r="O753" s="3">
        <f t="shared" si="59"/>
        <v>240.32</v>
      </c>
      <c r="P753" s="5">
        <v>46296.5</v>
      </c>
      <c r="Q753" t="s">
        <v>32</v>
      </c>
      <c r="R753" s="2" t="s">
        <v>24</v>
      </c>
      <c r="S753">
        <v>21</v>
      </c>
      <c r="T753">
        <v>1</v>
      </c>
    </row>
    <row r="754" spans="1:20" ht="30" x14ac:dyDescent="0.25">
      <c r="A754" t="s">
        <v>1536</v>
      </c>
      <c r="B754">
        <v>1</v>
      </c>
      <c r="C754" s="2" t="s">
        <v>1537</v>
      </c>
      <c r="D754" s="3">
        <v>15161.3</v>
      </c>
      <c r="E754" s="4">
        <v>4</v>
      </c>
      <c r="F754" t="s">
        <v>55</v>
      </c>
      <c r="G754" s="3">
        <f t="shared" si="55"/>
        <v>15793.02</v>
      </c>
      <c r="H754" s="3">
        <v>0</v>
      </c>
      <c r="I754" s="3">
        <f t="shared" si="56"/>
        <v>15793.02</v>
      </c>
      <c r="J754" s="2" t="s">
        <v>27</v>
      </c>
      <c r="K754" s="5">
        <v>46283.583333333343</v>
      </c>
      <c r="L754">
        <v>2</v>
      </c>
      <c r="M754" s="3">
        <f t="shared" si="57"/>
        <v>7896.51</v>
      </c>
      <c r="N754" t="str">
        <f t="shared" si="58"/>
        <v>ставка</v>
      </c>
      <c r="O754" s="3">
        <f t="shared" si="59"/>
        <v>309.67</v>
      </c>
      <c r="P754" s="5">
        <v>46285.5</v>
      </c>
      <c r="Q754" t="s">
        <v>55</v>
      </c>
      <c r="R754" s="2" t="s">
        <v>58</v>
      </c>
      <c r="S754">
        <v>24</v>
      </c>
      <c r="T754">
        <v>1</v>
      </c>
    </row>
    <row r="755" spans="1:20" ht="30" x14ac:dyDescent="0.25">
      <c r="A755" t="s">
        <v>1538</v>
      </c>
      <c r="B755">
        <v>1</v>
      </c>
      <c r="C755" s="2" t="s">
        <v>1539</v>
      </c>
      <c r="D755" s="3">
        <v>33642</v>
      </c>
      <c r="E755" s="4">
        <v>16</v>
      </c>
      <c r="F755" t="s">
        <v>36</v>
      </c>
      <c r="G755" s="3">
        <f t="shared" si="55"/>
        <v>40050</v>
      </c>
      <c r="H755" s="3">
        <v>0</v>
      </c>
      <c r="I755" s="3">
        <f t="shared" si="56"/>
        <v>40050</v>
      </c>
      <c r="J755" s="2" t="s">
        <v>27</v>
      </c>
      <c r="K755" s="5">
        <v>46273.583333333343</v>
      </c>
      <c r="L755">
        <v>3</v>
      </c>
      <c r="M755" s="3">
        <f t="shared" si="57"/>
        <v>13350</v>
      </c>
      <c r="N755" t="str">
        <f t="shared" si="58"/>
        <v>ставка</v>
      </c>
      <c r="O755" s="3">
        <f t="shared" si="59"/>
        <v>785.29</v>
      </c>
      <c r="P755" s="5">
        <v>46276.5</v>
      </c>
      <c r="Q755" t="s">
        <v>36</v>
      </c>
      <c r="R755" s="2" t="s">
        <v>24</v>
      </c>
      <c r="S755">
        <v>56</v>
      </c>
      <c r="T755">
        <v>2</v>
      </c>
    </row>
    <row r="756" spans="1:20" ht="30" x14ac:dyDescent="0.25">
      <c r="A756" t="s">
        <v>1540</v>
      </c>
      <c r="B756">
        <v>1</v>
      </c>
      <c r="C756" s="2" t="s">
        <v>1541</v>
      </c>
      <c r="D756" s="3">
        <v>45815</v>
      </c>
      <c r="E756" s="4">
        <v>15</v>
      </c>
      <c r="F756" t="s">
        <v>36</v>
      </c>
      <c r="G756" s="3">
        <f t="shared" si="55"/>
        <v>53900</v>
      </c>
      <c r="H756" s="3">
        <v>0</v>
      </c>
      <c r="I756" s="3">
        <f t="shared" si="56"/>
        <v>53900</v>
      </c>
      <c r="J756" s="2" t="s">
        <v>27</v>
      </c>
      <c r="K756" s="5">
        <v>46223.583333333343</v>
      </c>
      <c r="L756">
        <v>7</v>
      </c>
      <c r="M756" s="3">
        <f t="shared" si="57"/>
        <v>7700</v>
      </c>
      <c r="N756" t="str">
        <f t="shared" si="58"/>
        <v>ставка</v>
      </c>
      <c r="O756" s="3">
        <f t="shared" si="59"/>
        <v>1056.8599999999999</v>
      </c>
      <c r="P756" s="5">
        <v>46230.5</v>
      </c>
      <c r="Q756" t="s">
        <v>36</v>
      </c>
      <c r="R756" s="2" t="s">
        <v>58</v>
      </c>
      <c r="S756">
        <v>34</v>
      </c>
      <c r="T756">
        <v>1</v>
      </c>
    </row>
    <row r="757" spans="1:20" ht="30" x14ac:dyDescent="0.25">
      <c r="A757" t="s">
        <v>1542</v>
      </c>
      <c r="B757">
        <v>1</v>
      </c>
      <c r="C757" s="2" t="s">
        <v>1543</v>
      </c>
      <c r="D757" s="3">
        <v>6557</v>
      </c>
      <c r="E757" s="4">
        <v>17</v>
      </c>
      <c r="F757" t="s">
        <v>130</v>
      </c>
      <c r="G757" s="3">
        <f t="shared" si="55"/>
        <v>7900</v>
      </c>
      <c r="H757" s="3">
        <v>0</v>
      </c>
      <c r="I757" s="3">
        <f t="shared" si="56"/>
        <v>7900</v>
      </c>
      <c r="J757" s="2" t="s">
        <v>27</v>
      </c>
      <c r="K757" s="5">
        <v>46284.583333333343</v>
      </c>
      <c r="L757">
        <v>1</v>
      </c>
      <c r="M757" s="3">
        <f t="shared" si="57"/>
        <v>7900</v>
      </c>
      <c r="N757" t="str">
        <f t="shared" si="58"/>
        <v>ставка</v>
      </c>
      <c r="O757" s="3">
        <f t="shared" si="59"/>
        <v>154.9</v>
      </c>
      <c r="P757" s="5">
        <v>46285.5</v>
      </c>
      <c r="Q757" t="s">
        <v>130</v>
      </c>
      <c r="R757" s="2" t="s">
        <v>33</v>
      </c>
      <c r="S757">
        <v>43</v>
      </c>
      <c r="T757">
        <v>1</v>
      </c>
    </row>
    <row r="758" spans="1:20" ht="30" x14ac:dyDescent="0.25">
      <c r="A758" t="s">
        <v>1544</v>
      </c>
      <c r="B758">
        <v>1</v>
      </c>
      <c r="C758" s="2" t="s">
        <v>1545</v>
      </c>
      <c r="D758" s="3">
        <v>38346</v>
      </c>
      <c r="E758" s="4">
        <v>17</v>
      </c>
      <c r="F758" t="s">
        <v>130</v>
      </c>
      <c r="G758" s="3">
        <f t="shared" si="55"/>
        <v>46200</v>
      </c>
      <c r="H758" s="3">
        <v>0</v>
      </c>
      <c r="I758" s="3">
        <f t="shared" si="56"/>
        <v>46200</v>
      </c>
      <c r="J758" s="2" t="s">
        <v>27</v>
      </c>
      <c r="K758" s="5">
        <v>46266.583333333343</v>
      </c>
      <c r="L758">
        <v>3</v>
      </c>
      <c r="M758" s="3">
        <f t="shared" si="57"/>
        <v>15400</v>
      </c>
      <c r="N758" t="str">
        <f t="shared" si="58"/>
        <v>ставка</v>
      </c>
      <c r="O758" s="3">
        <f t="shared" si="59"/>
        <v>905.88</v>
      </c>
      <c r="P758" s="5">
        <v>46269.5</v>
      </c>
      <c r="Q758" t="s">
        <v>130</v>
      </c>
      <c r="R758" s="2" t="s">
        <v>24</v>
      </c>
      <c r="S758">
        <v>59</v>
      </c>
      <c r="T758">
        <v>2</v>
      </c>
    </row>
    <row r="759" spans="1:20" x14ac:dyDescent="0.25">
      <c r="A759" t="s">
        <v>1546</v>
      </c>
      <c r="B759">
        <v>1</v>
      </c>
      <c r="C759" s="2" t="s">
        <v>1547</v>
      </c>
      <c r="D759" s="3">
        <v>11600</v>
      </c>
      <c r="E759" s="4">
        <v>0</v>
      </c>
      <c r="F759" t="s">
        <v>23</v>
      </c>
      <c r="G759" s="3">
        <f t="shared" si="55"/>
        <v>11600</v>
      </c>
      <c r="H759" s="3">
        <v>0</v>
      </c>
      <c r="I759" s="3">
        <f t="shared" si="56"/>
        <v>11600</v>
      </c>
      <c r="J759" s="2" t="s">
        <v>27</v>
      </c>
      <c r="K759" s="5">
        <v>46232.583333333343</v>
      </c>
      <c r="L759">
        <v>1</v>
      </c>
      <c r="M759" s="3">
        <f t="shared" si="57"/>
        <v>11600</v>
      </c>
      <c r="N759" t="str">
        <f t="shared" si="58"/>
        <v>ставка</v>
      </c>
      <c r="O759" s="3">
        <f t="shared" si="59"/>
        <v>227.45</v>
      </c>
      <c r="P759" s="5">
        <v>46233.5</v>
      </c>
      <c r="Q759" t="s">
        <v>23</v>
      </c>
      <c r="R759" s="2" t="s">
        <v>49</v>
      </c>
      <c r="S759">
        <v>25</v>
      </c>
      <c r="T759">
        <v>1</v>
      </c>
    </row>
    <row r="760" spans="1:20" x14ac:dyDescent="0.25">
      <c r="A760" t="s">
        <v>1548</v>
      </c>
      <c r="B760">
        <v>1</v>
      </c>
      <c r="C760" s="2" t="s">
        <v>1549</v>
      </c>
      <c r="D760" s="3">
        <v>59400</v>
      </c>
      <c r="E760" s="4">
        <v>0</v>
      </c>
      <c r="F760" t="s">
        <v>23</v>
      </c>
      <c r="G760" s="3">
        <f t="shared" si="55"/>
        <v>59400</v>
      </c>
      <c r="H760" s="3">
        <v>0</v>
      </c>
      <c r="I760" s="3">
        <f t="shared" si="56"/>
        <v>59400</v>
      </c>
      <c r="J760" s="2" t="s">
        <v>27</v>
      </c>
      <c r="K760" s="5">
        <v>46280.583333333343</v>
      </c>
      <c r="L760">
        <v>4</v>
      </c>
      <c r="M760" s="3">
        <f t="shared" si="57"/>
        <v>14850</v>
      </c>
      <c r="N760" t="str">
        <f t="shared" si="58"/>
        <v>ставка</v>
      </c>
      <c r="O760" s="3">
        <f t="shared" si="59"/>
        <v>1164.71</v>
      </c>
      <c r="P760" s="5">
        <v>46284.5</v>
      </c>
      <c r="Q760" t="s">
        <v>23</v>
      </c>
      <c r="R760" s="2" t="s">
        <v>49</v>
      </c>
      <c r="S760">
        <v>25</v>
      </c>
      <c r="T760">
        <v>1</v>
      </c>
    </row>
    <row r="761" spans="1:20" ht="30" x14ac:dyDescent="0.25">
      <c r="A761" t="s">
        <v>1550</v>
      </c>
      <c r="B761">
        <v>1</v>
      </c>
      <c r="C761" s="2" t="s">
        <v>1551</v>
      </c>
      <c r="D761" s="3">
        <v>22512</v>
      </c>
      <c r="E761" s="4">
        <v>16</v>
      </c>
      <c r="F761" t="s">
        <v>36</v>
      </c>
      <c r="G761" s="3">
        <f t="shared" si="55"/>
        <v>26800</v>
      </c>
      <c r="H761" s="3">
        <v>0</v>
      </c>
      <c r="I761" s="3">
        <f t="shared" si="56"/>
        <v>26800</v>
      </c>
      <c r="J761" s="2" t="s">
        <v>27</v>
      </c>
      <c r="K761" s="5">
        <v>46243.583333333343</v>
      </c>
      <c r="L761">
        <v>2</v>
      </c>
      <c r="M761" s="3">
        <f t="shared" si="57"/>
        <v>13400</v>
      </c>
      <c r="N761" t="str">
        <f t="shared" si="58"/>
        <v>ставка</v>
      </c>
      <c r="O761" s="3">
        <f t="shared" si="59"/>
        <v>525.49</v>
      </c>
      <c r="P761" s="5">
        <v>46245.5</v>
      </c>
      <c r="Q761" t="s">
        <v>36</v>
      </c>
      <c r="R761" s="2" t="s">
        <v>24</v>
      </c>
      <c r="S761">
        <v>31</v>
      </c>
      <c r="T761">
        <v>1</v>
      </c>
    </row>
    <row r="762" spans="1:20" x14ac:dyDescent="0.25">
      <c r="A762" t="s">
        <v>1552</v>
      </c>
      <c r="B762">
        <v>1</v>
      </c>
      <c r="C762" s="2" t="s">
        <v>1553</v>
      </c>
      <c r="D762" s="3">
        <v>41085</v>
      </c>
      <c r="E762" s="4">
        <v>18</v>
      </c>
      <c r="F762" t="s">
        <v>32</v>
      </c>
      <c r="G762" s="3">
        <f t="shared" si="55"/>
        <v>50103.66</v>
      </c>
      <c r="H762" s="3">
        <v>0</v>
      </c>
      <c r="I762" s="3">
        <f t="shared" si="56"/>
        <v>50103.66</v>
      </c>
      <c r="J762" s="2" t="s">
        <v>27</v>
      </c>
      <c r="K762" s="5">
        <v>46255.583333333343</v>
      </c>
      <c r="L762">
        <v>3</v>
      </c>
      <c r="M762" s="3">
        <f t="shared" si="57"/>
        <v>16701.22</v>
      </c>
      <c r="N762" t="str">
        <f t="shared" si="58"/>
        <v>ставка</v>
      </c>
      <c r="O762" s="3">
        <f t="shared" si="59"/>
        <v>982.42</v>
      </c>
      <c r="P762" s="5">
        <v>46258.5</v>
      </c>
      <c r="Q762" t="s">
        <v>32</v>
      </c>
      <c r="R762" s="2" t="s">
        <v>49</v>
      </c>
      <c r="S762">
        <v>11</v>
      </c>
      <c r="T762">
        <v>1</v>
      </c>
    </row>
    <row r="763" spans="1:20" ht="30" x14ac:dyDescent="0.25">
      <c r="A763" t="s">
        <v>1554</v>
      </c>
      <c r="B763">
        <v>1</v>
      </c>
      <c r="C763" s="2" t="s">
        <v>1555</v>
      </c>
      <c r="D763" s="3">
        <v>13016.25</v>
      </c>
      <c r="E763" s="4">
        <v>4</v>
      </c>
      <c r="F763" t="s">
        <v>55</v>
      </c>
      <c r="G763" s="3">
        <f t="shared" si="55"/>
        <v>13558.59</v>
      </c>
      <c r="H763" s="3">
        <v>0</v>
      </c>
      <c r="I763" s="3">
        <f t="shared" si="56"/>
        <v>13558.59</v>
      </c>
      <c r="J763" s="2" t="s">
        <v>27</v>
      </c>
      <c r="K763" s="5">
        <v>46253.583333333343</v>
      </c>
      <c r="L763">
        <v>1</v>
      </c>
      <c r="M763" s="3">
        <f t="shared" si="57"/>
        <v>13558.59</v>
      </c>
      <c r="N763" t="str">
        <f t="shared" si="58"/>
        <v>ставка</v>
      </c>
      <c r="O763" s="3">
        <f t="shared" si="59"/>
        <v>265.85000000000002</v>
      </c>
      <c r="P763" s="5">
        <v>46254.5</v>
      </c>
      <c r="Q763" t="s">
        <v>55</v>
      </c>
      <c r="R763" s="2" t="s">
        <v>40</v>
      </c>
      <c r="S763">
        <v>26</v>
      </c>
      <c r="T763">
        <v>1</v>
      </c>
    </row>
    <row r="764" spans="1:20" ht="30" x14ac:dyDescent="0.25">
      <c r="A764" t="s">
        <v>1556</v>
      </c>
      <c r="B764">
        <v>1</v>
      </c>
      <c r="C764" s="2" t="s">
        <v>1557</v>
      </c>
      <c r="D764" s="3">
        <v>30260</v>
      </c>
      <c r="E764" s="4">
        <v>15</v>
      </c>
      <c r="F764" t="s">
        <v>411</v>
      </c>
      <c r="G764" s="3">
        <f t="shared" si="55"/>
        <v>35600</v>
      </c>
      <c r="H764" s="3">
        <v>0</v>
      </c>
      <c r="I764" s="3">
        <f t="shared" si="56"/>
        <v>35600</v>
      </c>
      <c r="J764" s="2" t="s">
        <v>27</v>
      </c>
      <c r="K764" s="5">
        <v>46219.583333333343</v>
      </c>
      <c r="L764">
        <v>4</v>
      </c>
      <c r="M764" s="3">
        <f t="shared" si="57"/>
        <v>8900</v>
      </c>
      <c r="N764" t="str">
        <f t="shared" si="58"/>
        <v>ставка</v>
      </c>
      <c r="O764" s="3">
        <f t="shared" si="59"/>
        <v>698.04</v>
      </c>
      <c r="P764" s="5">
        <v>46223.5</v>
      </c>
      <c r="Q764" t="s">
        <v>411</v>
      </c>
      <c r="R764" s="2" t="s">
        <v>40</v>
      </c>
      <c r="S764">
        <v>36</v>
      </c>
      <c r="T764">
        <v>1</v>
      </c>
    </row>
    <row r="765" spans="1:20" ht="45" x14ac:dyDescent="0.25">
      <c r="A765" t="s">
        <v>1558</v>
      </c>
      <c r="B765">
        <v>1</v>
      </c>
      <c r="C765" s="2" t="s">
        <v>1559</v>
      </c>
      <c r="D765" s="3">
        <v>9265</v>
      </c>
      <c r="E765" s="4">
        <v>15</v>
      </c>
      <c r="F765" t="s">
        <v>52</v>
      </c>
      <c r="G765" s="3">
        <f t="shared" si="55"/>
        <v>10900</v>
      </c>
      <c r="H765" s="3">
        <v>0</v>
      </c>
      <c r="I765" s="3">
        <f t="shared" si="56"/>
        <v>10900</v>
      </c>
      <c r="J765" s="2" t="s">
        <v>27</v>
      </c>
      <c r="K765" s="5">
        <v>46216.583333333343</v>
      </c>
      <c r="L765">
        <v>1</v>
      </c>
      <c r="M765" s="3">
        <f t="shared" si="57"/>
        <v>10900</v>
      </c>
      <c r="N765" t="str">
        <f t="shared" si="58"/>
        <v>ставка</v>
      </c>
      <c r="O765" s="3">
        <f t="shared" si="59"/>
        <v>213.73</v>
      </c>
      <c r="P765" s="5">
        <v>46217.5</v>
      </c>
      <c r="Q765" t="s">
        <v>52</v>
      </c>
      <c r="R765" s="2" t="s">
        <v>87</v>
      </c>
      <c r="S765">
        <v>50</v>
      </c>
      <c r="T765">
        <v>2</v>
      </c>
    </row>
    <row r="766" spans="1:20" ht="30" x14ac:dyDescent="0.25">
      <c r="A766" t="s">
        <v>1560</v>
      </c>
      <c r="B766">
        <v>1</v>
      </c>
      <c r="C766" s="2" t="s">
        <v>1561</v>
      </c>
      <c r="D766" s="3">
        <v>10998.15</v>
      </c>
      <c r="E766" s="4">
        <v>4</v>
      </c>
      <c r="F766" t="s">
        <v>55</v>
      </c>
      <c r="G766" s="3">
        <f t="shared" si="55"/>
        <v>11456.41</v>
      </c>
      <c r="H766" s="3">
        <v>0</v>
      </c>
      <c r="I766" s="3">
        <f t="shared" si="56"/>
        <v>11456.41</v>
      </c>
      <c r="J766" s="2" t="s">
        <v>27</v>
      </c>
      <c r="K766" s="5">
        <v>46255.583333333343</v>
      </c>
      <c r="L766">
        <v>1</v>
      </c>
      <c r="M766" s="3">
        <f t="shared" si="57"/>
        <v>11456.41</v>
      </c>
      <c r="N766" t="str">
        <f t="shared" si="58"/>
        <v>ставка</v>
      </c>
      <c r="O766" s="3">
        <f t="shared" si="59"/>
        <v>224.64</v>
      </c>
      <c r="P766" s="5">
        <v>46256.5</v>
      </c>
      <c r="Q766" t="s">
        <v>55</v>
      </c>
      <c r="R766" s="2" t="s">
        <v>40</v>
      </c>
      <c r="S766">
        <v>42</v>
      </c>
      <c r="T766">
        <v>1</v>
      </c>
    </row>
    <row r="767" spans="1:20" ht="30" x14ac:dyDescent="0.25">
      <c r="A767" t="s">
        <v>1562</v>
      </c>
      <c r="B767">
        <v>1</v>
      </c>
      <c r="C767" s="2" t="s">
        <v>1563</v>
      </c>
      <c r="D767" s="3">
        <v>25245</v>
      </c>
      <c r="E767" s="4">
        <v>16</v>
      </c>
      <c r="F767" t="s">
        <v>36</v>
      </c>
      <c r="G767" s="3">
        <f t="shared" si="55"/>
        <v>30053.57</v>
      </c>
      <c r="H767" s="3">
        <v>0</v>
      </c>
      <c r="I767" s="3">
        <f t="shared" si="56"/>
        <v>30053.57</v>
      </c>
      <c r="J767" s="2" t="s">
        <v>27</v>
      </c>
      <c r="K767" s="5">
        <v>46256.583333333343</v>
      </c>
      <c r="L767">
        <v>3</v>
      </c>
      <c r="M767" s="3">
        <f t="shared" si="57"/>
        <v>10017.856666666667</v>
      </c>
      <c r="N767" t="str">
        <f t="shared" si="58"/>
        <v>ставка</v>
      </c>
      <c r="O767" s="3">
        <f t="shared" si="59"/>
        <v>589.29</v>
      </c>
      <c r="P767" s="5">
        <v>46259.5</v>
      </c>
      <c r="Q767" t="s">
        <v>36</v>
      </c>
      <c r="R767" s="2" t="s">
        <v>33</v>
      </c>
      <c r="S767">
        <v>47</v>
      </c>
      <c r="T767">
        <v>1</v>
      </c>
    </row>
    <row r="768" spans="1:20" ht="30" x14ac:dyDescent="0.25">
      <c r="A768" t="s">
        <v>1564</v>
      </c>
      <c r="B768">
        <v>1</v>
      </c>
      <c r="C768" s="2" t="s">
        <v>1565</v>
      </c>
      <c r="D768" s="3">
        <v>5775</v>
      </c>
      <c r="E768" s="4">
        <v>18</v>
      </c>
      <c r="F768" t="s">
        <v>32</v>
      </c>
      <c r="G768" s="3">
        <f t="shared" si="55"/>
        <v>7042.68</v>
      </c>
      <c r="H768" s="3">
        <v>0</v>
      </c>
      <c r="I768" s="3">
        <f t="shared" si="56"/>
        <v>7042.68</v>
      </c>
      <c r="J768" s="2" t="s">
        <v>27</v>
      </c>
      <c r="K768" s="5">
        <v>46294.583333333343</v>
      </c>
      <c r="L768">
        <v>1</v>
      </c>
      <c r="M768" s="3">
        <f t="shared" si="57"/>
        <v>7042.68</v>
      </c>
      <c r="N768" t="str">
        <f t="shared" si="58"/>
        <v>ставка</v>
      </c>
      <c r="O768" s="3">
        <f t="shared" si="59"/>
        <v>138.09</v>
      </c>
      <c r="P768" s="5">
        <v>46295.5</v>
      </c>
      <c r="Q768" t="s">
        <v>32</v>
      </c>
      <c r="R768" s="2" t="s">
        <v>58</v>
      </c>
      <c r="S768">
        <v>24</v>
      </c>
      <c r="T768">
        <v>1</v>
      </c>
    </row>
    <row r="769" spans="1:20" ht="30" x14ac:dyDescent="0.25">
      <c r="A769" t="s">
        <v>1566</v>
      </c>
      <c r="B769">
        <v>1</v>
      </c>
      <c r="C769" s="2" t="s">
        <v>1567</v>
      </c>
      <c r="D769" s="3">
        <v>69151.5</v>
      </c>
      <c r="E769" s="4">
        <v>4</v>
      </c>
      <c r="F769" t="s">
        <v>55</v>
      </c>
      <c r="G769" s="3">
        <f t="shared" si="55"/>
        <v>72032.81</v>
      </c>
      <c r="H769" s="3">
        <v>0</v>
      </c>
      <c r="I769" s="3">
        <f t="shared" si="56"/>
        <v>72032.81</v>
      </c>
      <c r="J769" s="2" t="s">
        <v>27</v>
      </c>
      <c r="K769" s="5">
        <v>46210.583333333343</v>
      </c>
      <c r="L769">
        <v>7</v>
      </c>
      <c r="M769" s="3">
        <f t="shared" si="57"/>
        <v>10290.401428571427</v>
      </c>
      <c r="N769" t="str">
        <f t="shared" si="58"/>
        <v>ставка</v>
      </c>
      <c r="O769" s="3">
        <f t="shared" si="59"/>
        <v>1412.41</v>
      </c>
      <c r="P769" s="5">
        <v>46217.5</v>
      </c>
      <c r="Q769" t="s">
        <v>55</v>
      </c>
      <c r="R769" s="2" t="s">
        <v>33</v>
      </c>
      <c r="S769">
        <v>43</v>
      </c>
      <c r="T769">
        <v>1</v>
      </c>
    </row>
    <row r="770" spans="1:20" x14ac:dyDescent="0.25">
      <c r="A770" t="s">
        <v>1568</v>
      </c>
      <c r="B770">
        <v>1</v>
      </c>
      <c r="C770" s="2" t="s">
        <v>1569</v>
      </c>
      <c r="D770" s="3">
        <v>11850</v>
      </c>
      <c r="E770" s="4">
        <v>0</v>
      </c>
      <c r="F770" t="s">
        <v>23</v>
      </c>
      <c r="G770" s="3">
        <f t="shared" ref="G770:G833" si="60">ROUND(D770/(100-E770)*100,2)</f>
        <v>11850</v>
      </c>
      <c r="H770" s="3">
        <v>0</v>
      </c>
      <c r="I770" s="3">
        <f t="shared" ref="I770:I833" si="61">ROUND(G770+H770,2)</f>
        <v>11850</v>
      </c>
      <c r="J770" s="2" t="s">
        <v>27</v>
      </c>
      <c r="K770" s="5">
        <v>46212.583333333343</v>
      </c>
      <c r="L770">
        <v>1</v>
      </c>
      <c r="M770" s="3">
        <f t="shared" ref="M770:M833" si="62">I770/L770</f>
        <v>11850</v>
      </c>
      <c r="N770" t="str">
        <f t="shared" ref="N770:N833" si="63">IF(M770&gt;=5100,"ставка","мин.ставка")</f>
        <v>ставка</v>
      </c>
      <c r="O770" s="3">
        <f t="shared" ref="O770:O833" si="64">ROUND(IF(N770="мин.ставка",L770*100,I770/102*2),2)</f>
        <v>232.35</v>
      </c>
      <c r="P770" s="5">
        <v>46213.5</v>
      </c>
      <c r="Q770" t="s">
        <v>23</v>
      </c>
      <c r="R770" s="2" t="s">
        <v>49</v>
      </c>
      <c r="S770">
        <v>25</v>
      </c>
      <c r="T770">
        <v>1</v>
      </c>
    </row>
    <row r="771" spans="1:20" ht="30" x14ac:dyDescent="0.25">
      <c r="A771" t="s">
        <v>1570</v>
      </c>
      <c r="B771">
        <v>1</v>
      </c>
      <c r="C771" s="2" t="s">
        <v>1571</v>
      </c>
      <c r="D771" s="3">
        <v>22348.15</v>
      </c>
      <c r="E771" s="4">
        <v>4</v>
      </c>
      <c r="F771" t="s">
        <v>55</v>
      </c>
      <c r="G771" s="3">
        <f t="shared" si="60"/>
        <v>23279.32</v>
      </c>
      <c r="H771" s="3">
        <v>0</v>
      </c>
      <c r="I771" s="3">
        <f t="shared" si="61"/>
        <v>23279.32</v>
      </c>
      <c r="J771" s="2" t="s">
        <v>27</v>
      </c>
      <c r="K771" s="5">
        <v>46282.583333333343</v>
      </c>
      <c r="L771">
        <v>2</v>
      </c>
      <c r="M771" s="3">
        <f t="shared" si="62"/>
        <v>11639.66</v>
      </c>
      <c r="N771" t="str">
        <f t="shared" si="63"/>
        <v>ставка</v>
      </c>
      <c r="O771" s="3">
        <f t="shared" si="64"/>
        <v>456.46</v>
      </c>
      <c r="P771" s="5">
        <v>46284.5</v>
      </c>
      <c r="Q771" t="s">
        <v>55</v>
      </c>
      <c r="R771" s="2" t="s">
        <v>40</v>
      </c>
      <c r="S771">
        <v>55</v>
      </c>
      <c r="T771">
        <v>2</v>
      </c>
    </row>
    <row r="772" spans="1:20" ht="30" x14ac:dyDescent="0.25">
      <c r="A772" t="s">
        <v>1572</v>
      </c>
      <c r="B772">
        <v>1</v>
      </c>
      <c r="C772" s="2" t="s">
        <v>1573</v>
      </c>
      <c r="D772" s="3">
        <v>68085</v>
      </c>
      <c r="E772" s="4">
        <v>0</v>
      </c>
      <c r="F772" t="s">
        <v>180</v>
      </c>
      <c r="G772" s="3">
        <f t="shared" si="60"/>
        <v>68085</v>
      </c>
      <c r="H772" s="3">
        <v>0</v>
      </c>
      <c r="I772" s="3">
        <f t="shared" si="61"/>
        <v>68085</v>
      </c>
      <c r="J772" s="2" t="s">
        <v>181</v>
      </c>
      <c r="K772" s="5">
        <v>46236.583333333343</v>
      </c>
      <c r="L772">
        <v>6</v>
      </c>
      <c r="M772" s="3">
        <f t="shared" si="62"/>
        <v>11347.5</v>
      </c>
      <c r="N772" t="str">
        <f t="shared" si="63"/>
        <v>ставка</v>
      </c>
      <c r="O772" s="3">
        <f t="shared" si="64"/>
        <v>1335</v>
      </c>
      <c r="P772" s="5">
        <v>46242.5</v>
      </c>
      <c r="Q772" t="s">
        <v>180</v>
      </c>
      <c r="R772" s="2" t="s">
        <v>40</v>
      </c>
      <c r="S772">
        <v>36</v>
      </c>
      <c r="T772">
        <v>1</v>
      </c>
    </row>
    <row r="773" spans="1:20" ht="30" x14ac:dyDescent="0.25">
      <c r="A773" t="s">
        <v>1574</v>
      </c>
      <c r="B773">
        <v>1</v>
      </c>
      <c r="C773" s="2" t="s">
        <v>1575</v>
      </c>
      <c r="D773" s="3">
        <v>18160</v>
      </c>
      <c r="E773" s="4">
        <v>20</v>
      </c>
      <c r="F773" t="s">
        <v>48</v>
      </c>
      <c r="G773" s="3">
        <f t="shared" si="60"/>
        <v>22700</v>
      </c>
      <c r="H773" s="3">
        <v>0</v>
      </c>
      <c r="I773" s="3">
        <f t="shared" si="61"/>
        <v>22700</v>
      </c>
      <c r="J773" s="2" t="s">
        <v>27</v>
      </c>
      <c r="K773" s="5">
        <v>46288.583333333343</v>
      </c>
      <c r="L773">
        <v>2</v>
      </c>
      <c r="M773" s="3">
        <f t="shared" si="62"/>
        <v>11350</v>
      </c>
      <c r="N773" t="str">
        <f t="shared" si="63"/>
        <v>ставка</v>
      </c>
      <c r="O773" s="3">
        <f t="shared" si="64"/>
        <v>445.1</v>
      </c>
      <c r="P773" s="5">
        <v>46290.5</v>
      </c>
      <c r="Q773" t="s">
        <v>48</v>
      </c>
      <c r="R773" s="2" t="s">
        <v>40</v>
      </c>
      <c r="S773">
        <v>36</v>
      </c>
      <c r="T773">
        <v>1</v>
      </c>
    </row>
    <row r="774" spans="1:20" ht="30" x14ac:dyDescent="0.25">
      <c r="A774" t="s">
        <v>1576</v>
      </c>
      <c r="B774">
        <v>1</v>
      </c>
      <c r="C774" s="2" t="s">
        <v>1577</v>
      </c>
      <c r="D774" s="3">
        <v>12936</v>
      </c>
      <c r="E774" s="4">
        <v>16</v>
      </c>
      <c r="F774" t="s">
        <v>36</v>
      </c>
      <c r="G774" s="3">
        <f t="shared" si="60"/>
        <v>15400</v>
      </c>
      <c r="H774" s="3">
        <v>0</v>
      </c>
      <c r="I774" s="3">
        <f t="shared" si="61"/>
        <v>15400</v>
      </c>
      <c r="J774" s="2" t="s">
        <v>27</v>
      </c>
      <c r="K774" s="5">
        <v>46278.583333333343</v>
      </c>
      <c r="L774">
        <v>2</v>
      </c>
      <c r="M774" s="3">
        <f t="shared" si="62"/>
        <v>7700</v>
      </c>
      <c r="N774" t="str">
        <f t="shared" si="63"/>
        <v>ставка</v>
      </c>
      <c r="O774" s="3">
        <f t="shared" si="64"/>
        <v>301.95999999999998</v>
      </c>
      <c r="P774" s="5">
        <v>46280.5</v>
      </c>
      <c r="Q774" t="s">
        <v>36</v>
      </c>
      <c r="R774" s="2" t="s">
        <v>58</v>
      </c>
      <c r="S774">
        <v>24</v>
      </c>
      <c r="T774">
        <v>1</v>
      </c>
    </row>
    <row r="775" spans="1:20" ht="30" x14ac:dyDescent="0.25">
      <c r="A775" t="s">
        <v>1578</v>
      </c>
      <c r="B775">
        <v>1</v>
      </c>
      <c r="C775" s="2" t="s">
        <v>1579</v>
      </c>
      <c r="D775" s="3">
        <v>21440</v>
      </c>
      <c r="E775" s="4">
        <v>18</v>
      </c>
      <c r="F775" t="s">
        <v>32</v>
      </c>
      <c r="G775" s="3">
        <f t="shared" si="60"/>
        <v>26146.34</v>
      </c>
      <c r="H775" s="3">
        <v>0</v>
      </c>
      <c r="I775" s="3">
        <f t="shared" si="61"/>
        <v>26146.34</v>
      </c>
      <c r="J775" s="2" t="s">
        <v>27</v>
      </c>
      <c r="K775" s="5">
        <v>46217.583333333343</v>
      </c>
      <c r="L775">
        <v>2</v>
      </c>
      <c r="M775" s="3">
        <f t="shared" si="62"/>
        <v>13073.17</v>
      </c>
      <c r="N775" t="str">
        <f t="shared" si="63"/>
        <v>ставка</v>
      </c>
      <c r="O775" s="3">
        <f t="shared" si="64"/>
        <v>512.66999999999996</v>
      </c>
      <c r="P775" s="5">
        <v>46219.5</v>
      </c>
      <c r="Q775" t="s">
        <v>32</v>
      </c>
      <c r="R775" s="2" t="s">
        <v>24</v>
      </c>
      <c r="S775">
        <v>21</v>
      </c>
      <c r="T775">
        <v>1</v>
      </c>
    </row>
    <row r="776" spans="1:20" ht="30" x14ac:dyDescent="0.25">
      <c r="A776" t="s">
        <v>1580</v>
      </c>
      <c r="B776">
        <v>1</v>
      </c>
      <c r="C776" s="2" t="s">
        <v>1581</v>
      </c>
      <c r="D776" s="3">
        <v>64080</v>
      </c>
      <c r="E776" s="4">
        <v>20</v>
      </c>
      <c r="F776" t="s">
        <v>103</v>
      </c>
      <c r="G776" s="3">
        <f t="shared" si="60"/>
        <v>80100</v>
      </c>
      <c r="H776" s="3">
        <v>0</v>
      </c>
      <c r="I776" s="3">
        <f t="shared" si="61"/>
        <v>80100</v>
      </c>
      <c r="J776" s="2" t="s">
        <v>27</v>
      </c>
      <c r="K776" s="5">
        <v>46205.583333333343</v>
      </c>
      <c r="L776">
        <v>6</v>
      </c>
      <c r="M776" s="3">
        <f t="shared" si="62"/>
        <v>13350</v>
      </c>
      <c r="N776" t="str">
        <f t="shared" si="63"/>
        <v>ставка</v>
      </c>
      <c r="O776" s="3">
        <f t="shared" si="64"/>
        <v>1570.59</v>
      </c>
      <c r="P776" s="5">
        <v>46211.5</v>
      </c>
      <c r="Q776" t="s">
        <v>103</v>
      </c>
      <c r="R776" s="2" t="s">
        <v>40</v>
      </c>
      <c r="S776">
        <v>52</v>
      </c>
      <c r="T776">
        <v>2</v>
      </c>
    </row>
    <row r="777" spans="1:20" ht="30" x14ac:dyDescent="0.25">
      <c r="A777" t="s">
        <v>1582</v>
      </c>
      <c r="B777">
        <v>1</v>
      </c>
      <c r="C777" s="2" t="s">
        <v>1583</v>
      </c>
      <c r="D777" s="3">
        <v>9647.5</v>
      </c>
      <c r="E777" s="4">
        <v>15</v>
      </c>
      <c r="F777" t="s">
        <v>411</v>
      </c>
      <c r="G777" s="3">
        <f t="shared" si="60"/>
        <v>11350</v>
      </c>
      <c r="H777" s="3">
        <v>0</v>
      </c>
      <c r="I777" s="3">
        <f t="shared" si="61"/>
        <v>11350</v>
      </c>
      <c r="J777" s="2" t="s">
        <v>27</v>
      </c>
      <c r="K777" s="5">
        <v>46279.583333333343</v>
      </c>
      <c r="L777">
        <v>1</v>
      </c>
      <c r="M777" s="3">
        <f t="shared" si="62"/>
        <v>11350</v>
      </c>
      <c r="N777" t="str">
        <f t="shared" si="63"/>
        <v>ставка</v>
      </c>
      <c r="O777" s="3">
        <f t="shared" si="64"/>
        <v>222.55</v>
      </c>
      <c r="P777" s="5">
        <v>46280.5</v>
      </c>
      <c r="Q777" t="s">
        <v>411</v>
      </c>
      <c r="R777" s="2" t="s">
        <v>24</v>
      </c>
      <c r="S777">
        <v>59</v>
      </c>
      <c r="T777">
        <v>2</v>
      </c>
    </row>
    <row r="778" spans="1:20" ht="30" x14ac:dyDescent="0.25">
      <c r="A778" t="s">
        <v>1584</v>
      </c>
      <c r="B778">
        <v>1</v>
      </c>
      <c r="C778" s="2" t="s">
        <v>1585</v>
      </c>
      <c r="D778" s="3">
        <v>21976</v>
      </c>
      <c r="E778" s="4">
        <v>18</v>
      </c>
      <c r="F778" t="s">
        <v>147</v>
      </c>
      <c r="G778" s="3">
        <f t="shared" si="60"/>
        <v>26800</v>
      </c>
      <c r="H778" s="3">
        <v>0</v>
      </c>
      <c r="I778" s="3">
        <f t="shared" si="61"/>
        <v>26800</v>
      </c>
      <c r="J778" s="2" t="s">
        <v>27</v>
      </c>
      <c r="K778" s="5">
        <v>46280.583333333343</v>
      </c>
      <c r="L778">
        <v>2</v>
      </c>
      <c r="M778" s="3">
        <f t="shared" si="62"/>
        <v>13400</v>
      </c>
      <c r="N778" t="str">
        <f t="shared" si="63"/>
        <v>ставка</v>
      </c>
      <c r="O778" s="3">
        <f t="shared" si="64"/>
        <v>525.49</v>
      </c>
      <c r="P778" s="5">
        <v>46282.5</v>
      </c>
      <c r="Q778" t="s">
        <v>147</v>
      </c>
      <c r="R778" s="2" t="s">
        <v>24</v>
      </c>
      <c r="S778">
        <v>59</v>
      </c>
      <c r="T778">
        <v>2</v>
      </c>
    </row>
    <row r="779" spans="1:20" ht="30" x14ac:dyDescent="0.25">
      <c r="A779" t="s">
        <v>485</v>
      </c>
      <c r="B779">
        <v>1</v>
      </c>
      <c r="C779" s="2" t="s">
        <v>1586</v>
      </c>
      <c r="D779" s="3">
        <v>28942.5</v>
      </c>
      <c r="E779" s="4">
        <v>15</v>
      </c>
      <c r="F779" t="s">
        <v>487</v>
      </c>
      <c r="G779" s="3">
        <f t="shared" si="60"/>
        <v>34050</v>
      </c>
      <c r="H779" s="3">
        <v>0</v>
      </c>
      <c r="I779" s="3">
        <f t="shared" si="61"/>
        <v>34050</v>
      </c>
      <c r="J779" s="2" t="s">
        <v>27</v>
      </c>
      <c r="K779" s="5">
        <v>46240.583333333343</v>
      </c>
      <c r="L779">
        <v>3</v>
      </c>
      <c r="M779" s="3">
        <f t="shared" si="62"/>
        <v>11350</v>
      </c>
      <c r="N779" t="str">
        <f t="shared" si="63"/>
        <v>ставка</v>
      </c>
      <c r="O779" s="3">
        <f t="shared" si="64"/>
        <v>667.65</v>
      </c>
      <c r="P779" s="5">
        <v>46243.5</v>
      </c>
      <c r="Q779" t="s">
        <v>487</v>
      </c>
      <c r="R779" s="2" t="s">
        <v>40</v>
      </c>
      <c r="S779" s="6"/>
    </row>
    <row r="780" spans="1:20" ht="30" x14ac:dyDescent="0.25">
      <c r="A780" t="s">
        <v>1587</v>
      </c>
      <c r="B780">
        <v>1</v>
      </c>
      <c r="C780" s="2" t="s">
        <v>1588</v>
      </c>
      <c r="D780" s="3">
        <v>6320</v>
      </c>
      <c r="E780" s="4">
        <v>20</v>
      </c>
      <c r="F780" t="s">
        <v>103</v>
      </c>
      <c r="G780" s="3">
        <f t="shared" si="60"/>
        <v>7900</v>
      </c>
      <c r="H780" s="3">
        <v>0</v>
      </c>
      <c r="I780" s="3">
        <f t="shared" si="61"/>
        <v>7900</v>
      </c>
      <c r="J780" s="2" t="s">
        <v>27</v>
      </c>
      <c r="K780" s="5">
        <v>46237.583333333343</v>
      </c>
      <c r="L780">
        <v>1</v>
      </c>
      <c r="M780" s="3">
        <f t="shared" si="62"/>
        <v>7900</v>
      </c>
      <c r="N780" t="str">
        <f t="shared" si="63"/>
        <v>ставка</v>
      </c>
      <c r="O780" s="3">
        <f t="shared" si="64"/>
        <v>154.9</v>
      </c>
      <c r="P780" s="5">
        <v>46238.5</v>
      </c>
      <c r="Q780" t="s">
        <v>103</v>
      </c>
      <c r="R780" s="2" t="s">
        <v>33</v>
      </c>
      <c r="S780">
        <v>43</v>
      </c>
      <c r="T780">
        <v>1</v>
      </c>
    </row>
    <row r="781" spans="1:20" ht="30" x14ac:dyDescent="0.25">
      <c r="A781" t="s">
        <v>1589</v>
      </c>
      <c r="B781">
        <v>1</v>
      </c>
      <c r="C781" s="2" t="s">
        <v>1590</v>
      </c>
      <c r="D781" s="3">
        <v>30096</v>
      </c>
      <c r="E781" s="4">
        <v>18</v>
      </c>
      <c r="F781" t="s">
        <v>32</v>
      </c>
      <c r="G781" s="3">
        <f t="shared" si="60"/>
        <v>36702.44</v>
      </c>
      <c r="H781" s="3">
        <v>0</v>
      </c>
      <c r="I781" s="3">
        <f t="shared" si="61"/>
        <v>36702.44</v>
      </c>
      <c r="J781" s="2" t="s">
        <v>27</v>
      </c>
      <c r="K781" s="5">
        <v>46266.583333333343</v>
      </c>
      <c r="L781">
        <v>4</v>
      </c>
      <c r="M781" s="3">
        <f t="shared" si="62"/>
        <v>9175.61</v>
      </c>
      <c r="N781" t="str">
        <f t="shared" si="63"/>
        <v>ставка</v>
      </c>
      <c r="O781" s="3">
        <f t="shared" si="64"/>
        <v>719.66</v>
      </c>
      <c r="P781" s="5">
        <v>46270.5</v>
      </c>
      <c r="Q781" t="s">
        <v>32</v>
      </c>
      <c r="R781" s="2" t="s">
        <v>33</v>
      </c>
      <c r="S781">
        <v>43</v>
      </c>
      <c r="T781">
        <v>1</v>
      </c>
    </row>
    <row r="782" spans="1:20" ht="30" x14ac:dyDescent="0.25">
      <c r="A782" t="s">
        <v>265</v>
      </c>
      <c r="B782">
        <v>1</v>
      </c>
      <c r="C782" s="2" t="s">
        <v>1591</v>
      </c>
      <c r="D782" s="3">
        <v>36045</v>
      </c>
      <c r="E782" s="4">
        <v>0</v>
      </c>
      <c r="F782" t="s">
        <v>23</v>
      </c>
      <c r="G782" s="3">
        <f t="shared" si="60"/>
        <v>36045</v>
      </c>
      <c r="H782" s="3">
        <v>0</v>
      </c>
      <c r="I782" s="3">
        <f t="shared" si="61"/>
        <v>36045</v>
      </c>
      <c r="J782" s="2" t="s">
        <v>27</v>
      </c>
      <c r="K782" s="5">
        <v>46275.583333333343</v>
      </c>
      <c r="L782">
        <v>3</v>
      </c>
      <c r="M782" s="3">
        <f t="shared" si="62"/>
        <v>12015</v>
      </c>
      <c r="N782" t="str">
        <f t="shared" si="63"/>
        <v>ставка</v>
      </c>
      <c r="O782" s="3">
        <f t="shared" si="64"/>
        <v>706.76</v>
      </c>
      <c r="P782" s="5">
        <v>46278.5</v>
      </c>
      <c r="Q782" t="s">
        <v>23</v>
      </c>
      <c r="R782" s="2" t="s">
        <v>40</v>
      </c>
      <c r="S782" s="6"/>
    </row>
    <row r="783" spans="1:20" x14ac:dyDescent="0.25">
      <c r="A783" t="s">
        <v>1592</v>
      </c>
      <c r="B783">
        <v>1</v>
      </c>
      <c r="C783" s="2" t="s">
        <v>1593</v>
      </c>
      <c r="D783" s="3">
        <v>35333</v>
      </c>
      <c r="E783" s="4">
        <v>4</v>
      </c>
      <c r="F783" t="s">
        <v>55</v>
      </c>
      <c r="G783" s="3">
        <f t="shared" si="60"/>
        <v>36805.21</v>
      </c>
      <c r="H783" s="3">
        <v>0</v>
      </c>
      <c r="I783" s="3">
        <f t="shared" si="61"/>
        <v>36805.21</v>
      </c>
      <c r="J783" s="2" t="s">
        <v>27</v>
      </c>
      <c r="K783" s="5">
        <v>46219.770833333343</v>
      </c>
      <c r="L783">
        <v>2</v>
      </c>
      <c r="M783" s="3">
        <f t="shared" si="62"/>
        <v>18402.605</v>
      </c>
      <c r="N783" t="str">
        <f t="shared" si="63"/>
        <v>ставка</v>
      </c>
      <c r="O783" s="3">
        <f t="shared" si="64"/>
        <v>721.67</v>
      </c>
      <c r="P783" s="5">
        <v>46221.5</v>
      </c>
      <c r="Q783" t="s">
        <v>55</v>
      </c>
      <c r="R783" s="2" t="s">
        <v>37</v>
      </c>
      <c r="S783">
        <v>54</v>
      </c>
      <c r="T783">
        <v>2</v>
      </c>
    </row>
    <row r="784" spans="1:20" ht="30" x14ac:dyDescent="0.25">
      <c r="A784" t="s">
        <v>1594</v>
      </c>
      <c r="B784">
        <v>1</v>
      </c>
      <c r="C784" s="2" t="s">
        <v>1595</v>
      </c>
      <c r="D784" s="3">
        <v>12782</v>
      </c>
      <c r="E784" s="4">
        <v>18</v>
      </c>
      <c r="F784" t="s">
        <v>32</v>
      </c>
      <c r="G784" s="3">
        <f t="shared" si="60"/>
        <v>15587.8</v>
      </c>
      <c r="H784" s="3">
        <v>0</v>
      </c>
      <c r="I784" s="3">
        <f t="shared" si="61"/>
        <v>15587.8</v>
      </c>
      <c r="J784" s="2" t="s">
        <v>27</v>
      </c>
      <c r="K784" s="5">
        <v>46255.583333333343</v>
      </c>
      <c r="L784">
        <v>2</v>
      </c>
      <c r="M784" s="3">
        <f t="shared" si="62"/>
        <v>7793.9</v>
      </c>
      <c r="N784" t="str">
        <f t="shared" si="63"/>
        <v>ставка</v>
      </c>
      <c r="O784" s="3">
        <f t="shared" si="64"/>
        <v>305.64</v>
      </c>
      <c r="P784" s="5">
        <v>46257.5</v>
      </c>
      <c r="Q784" t="s">
        <v>32</v>
      </c>
      <c r="R784" s="2" t="s">
        <v>58</v>
      </c>
      <c r="S784">
        <v>34</v>
      </c>
      <c r="T784">
        <v>1</v>
      </c>
    </row>
    <row r="785" spans="1:20" ht="30" x14ac:dyDescent="0.25">
      <c r="A785" t="s">
        <v>1596</v>
      </c>
      <c r="B785">
        <v>1</v>
      </c>
      <c r="C785" s="2" t="s">
        <v>1597</v>
      </c>
      <c r="D785" s="3">
        <v>65450</v>
      </c>
      <c r="E785" s="4">
        <v>0</v>
      </c>
      <c r="F785" t="s">
        <v>180</v>
      </c>
      <c r="G785" s="3">
        <f t="shared" si="60"/>
        <v>65450</v>
      </c>
      <c r="H785" s="3">
        <v>0</v>
      </c>
      <c r="I785" s="3">
        <f t="shared" si="61"/>
        <v>65450</v>
      </c>
      <c r="J785" s="2" t="s">
        <v>181</v>
      </c>
      <c r="K785" s="5">
        <v>46213.583333333343</v>
      </c>
      <c r="L785">
        <v>5</v>
      </c>
      <c r="M785" s="3">
        <f t="shared" si="62"/>
        <v>13090</v>
      </c>
      <c r="N785" t="str">
        <f t="shared" si="63"/>
        <v>ставка</v>
      </c>
      <c r="O785" s="3">
        <f t="shared" si="64"/>
        <v>1283.33</v>
      </c>
      <c r="P785" s="5">
        <v>46218.5</v>
      </c>
      <c r="Q785" t="s">
        <v>180</v>
      </c>
      <c r="R785" s="2" t="s">
        <v>24</v>
      </c>
      <c r="S785">
        <v>59</v>
      </c>
      <c r="T785">
        <v>2</v>
      </c>
    </row>
    <row r="786" spans="1:20" ht="30" x14ac:dyDescent="0.25">
      <c r="A786" t="s">
        <v>1598</v>
      </c>
      <c r="B786">
        <v>1</v>
      </c>
      <c r="C786" s="2" t="s">
        <v>1599</v>
      </c>
      <c r="D786" s="3">
        <v>71200</v>
      </c>
      <c r="E786" s="4">
        <v>4</v>
      </c>
      <c r="F786" t="s">
        <v>55</v>
      </c>
      <c r="G786" s="3">
        <f t="shared" si="60"/>
        <v>74166.67</v>
      </c>
      <c r="H786" s="3">
        <v>350</v>
      </c>
      <c r="I786" s="3">
        <f t="shared" si="61"/>
        <v>74516.67</v>
      </c>
      <c r="J786" s="2" t="s">
        <v>846</v>
      </c>
      <c r="K786" s="5">
        <v>46232.583333333343</v>
      </c>
      <c r="L786">
        <v>4</v>
      </c>
      <c r="M786" s="3">
        <f t="shared" si="62"/>
        <v>18629.1675</v>
      </c>
      <c r="N786" t="str">
        <f t="shared" si="63"/>
        <v>ставка</v>
      </c>
      <c r="O786" s="3">
        <f t="shared" si="64"/>
        <v>1461.11</v>
      </c>
      <c r="P786" s="5">
        <v>46236.5</v>
      </c>
      <c r="Q786" t="s">
        <v>55</v>
      </c>
      <c r="R786" s="2" t="s">
        <v>45</v>
      </c>
      <c r="S786">
        <v>53</v>
      </c>
      <c r="T786">
        <v>2</v>
      </c>
    </row>
    <row r="787" spans="1:20" x14ac:dyDescent="0.25">
      <c r="A787" t="s">
        <v>1600</v>
      </c>
      <c r="B787">
        <v>1</v>
      </c>
      <c r="C787" s="2" t="s">
        <v>1601</v>
      </c>
      <c r="D787" s="3">
        <v>16500</v>
      </c>
      <c r="E787" s="4">
        <v>0</v>
      </c>
      <c r="F787" t="s">
        <v>23</v>
      </c>
      <c r="G787" s="3">
        <f t="shared" si="60"/>
        <v>16500</v>
      </c>
      <c r="H787" s="3">
        <v>0</v>
      </c>
      <c r="I787" s="3">
        <f t="shared" si="61"/>
        <v>16500</v>
      </c>
      <c r="J787" s="2" t="s">
        <v>27</v>
      </c>
      <c r="K787" s="5">
        <v>46242.583333333343</v>
      </c>
      <c r="L787">
        <v>1</v>
      </c>
      <c r="M787" s="3">
        <f t="shared" si="62"/>
        <v>16500</v>
      </c>
      <c r="N787" t="str">
        <f t="shared" si="63"/>
        <v>ставка</v>
      </c>
      <c r="O787" s="3">
        <f t="shared" si="64"/>
        <v>323.52999999999997</v>
      </c>
      <c r="P787" s="5">
        <v>46243.5</v>
      </c>
      <c r="Q787" t="s">
        <v>23</v>
      </c>
      <c r="R787" s="2" t="s">
        <v>49</v>
      </c>
      <c r="S787">
        <v>25</v>
      </c>
      <c r="T787">
        <v>1</v>
      </c>
    </row>
    <row r="788" spans="1:20" ht="45" x14ac:dyDescent="0.25">
      <c r="A788" t="s">
        <v>1602</v>
      </c>
      <c r="B788">
        <v>1</v>
      </c>
      <c r="C788" s="2" t="s">
        <v>1603</v>
      </c>
      <c r="D788" s="3">
        <v>9315</v>
      </c>
      <c r="E788" s="4">
        <v>0</v>
      </c>
      <c r="F788" t="s">
        <v>23</v>
      </c>
      <c r="G788" s="3">
        <f t="shared" si="60"/>
        <v>9315</v>
      </c>
      <c r="H788" s="3">
        <v>0</v>
      </c>
      <c r="I788" s="3">
        <f t="shared" si="61"/>
        <v>9315</v>
      </c>
      <c r="J788" s="2" t="s">
        <v>27</v>
      </c>
      <c r="K788" s="5">
        <v>46206.583333333343</v>
      </c>
      <c r="L788">
        <v>1</v>
      </c>
      <c r="M788" s="3">
        <f t="shared" si="62"/>
        <v>9315</v>
      </c>
      <c r="N788" t="str">
        <f t="shared" si="63"/>
        <v>ставка</v>
      </c>
      <c r="O788" s="3">
        <f t="shared" si="64"/>
        <v>182.65</v>
      </c>
      <c r="P788" s="5">
        <v>46207.5</v>
      </c>
      <c r="Q788" t="s">
        <v>23</v>
      </c>
      <c r="R788" s="2" t="s">
        <v>87</v>
      </c>
      <c r="S788">
        <v>50</v>
      </c>
      <c r="T788">
        <v>2</v>
      </c>
    </row>
    <row r="789" spans="1:20" x14ac:dyDescent="0.25">
      <c r="A789" t="s">
        <v>1604</v>
      </c>
      <c r="B789">
        <v>1</v>
      </c>
      <c r="C789" s="2" t="s">
        <v>1603</v>
      </c>
      <c r="D789" s="3">
        <v>14220</v>
      </c>
      <c r="E789" s="4">
        <v>0</v>
      </c>
      <c r="F789" t="s">
        <v>23</v>
      </c>
      <c r="G789" s="3">
        <f t="shared" si="60"/>
        <v>14220</v>
      </c>
      <c r="H789" s="3">
        <v>0</v>
      </c>
      <c r="I789" s="3">
        <f t="shared" si="61"/>
        <v>14220</v>
      </c>
      <c r="J789" s="2" t="s">
        <v>27</v>
      </c>
      <c r="K789" s="5">
        <v>46224.583333333343</v>
      </c>
      <c r="L789">
        <v>1</v>
      </c>
      <c r="M789" s="3">
        <f t="shared" si="62"/>
        <v>14220</v>
      </c>
      <c r="N789" t="str">
        <f t="shared" si="63"/>
        <v>ставка</v>
      </c>
      <c r="O789" s="3">
        <f t="shared" si="64"/>
        <v>278.82</v>
      </c>
      <c r="P789" s="5">
        <v>46225.5</v>
      </c>
      <c r="Q789" t="s">
        <v>23</v>
      </c>
      <c r="R789" s="2" t="s">
        <v>45</v>
      </c>
      <c r="S789">
        <v>54</v>
      </c>
      <c r="T789">
        <v>2</v>
      </c>
    </row>
    <row r="790" spans="1:20" x14ac:dyDescent="0.25">
      <c r="A790" t="s">
        <v>1605</v>
      </c>
      <c r="B790">
        <v>1</v>
      </c>
      <c r="C790" s="2" t="s">
        <v>1603</v>
      </c>
      <c r="D790" s="3">
        <v>14220</v>
      </c>
      <c r="E790" s="4">
        <v>0</v>
      </c>
      <c r="F790" t="s">
        <v>23</v>
      </c>
      <c r="G790" s="3">
        <f t="shared" si="60"/>
        <v>14220</v>
      </c>
      <c r="H790" s="3">
        <v>0</v>
      </c>
      <c r="I790" s="3">
        <f t="shared" si="61"/>
        <v>14220</v>
      </c>
      <c r="J790" s="2" t="s">
        <v>27</v>
      </c>
      <c r="K790" s="5">
        <v>46241.583333333343</v>
      </c>
      <c r="L790">
        <v>1</v>
      </c>
      <c r="M790" s="3">
        <f t="shared" si="62"/>
        <v>14220</v>
      </c>
      <c r="N790" t="str">
        <f t="shared" si="63"/>
        <v>ставка</v>
      </c>
      <c r="O790" s="3">
        <f t="shared" si="64"/>
        <v>278.82</v>
      </c>
      <c r="P790" s="5">
        <v>46242.5</v>
      </c>
      <c r="Q790" t="s">
        <v>23</v>
      </c>
      <c r="R790" s="2" t="s">
        <v>45</v>
      </c>
      <c r="S790">
        <v>53</v>
      </c>
      <c r="T790">
        <v>2</v>
      </c>
    </row>
    <row r="791" spans="1:20" ht="45" x14ac:dyDescent="0.25">
      <c r="A791" t="s">
        <v>1606</v>
      </c>
      <c r="B791">
        <v>1</v>
      </c>
      <c r="C791" s="2" t="s">
        <v>1603</v>
      </c>
      <c r="D791" s="3">
        <v>14450</v>
      </c>
      <c r="E791" s="4">
        <v>0</v>
      </c>
      <c r="F791" t="s">
        <v>23</v>
      </c>
      <c r="G791" s="3">
        <f t="shared" si="60"/>
        <v>14450</v>
      </c>
      <c r="H791" s="3">
        <v>0</v>
      </c>
      <c r="I791" s="3">
        <f t="shared" si="61"/>
        <v>14450</v>
      </c>
      <c r="J791" s="2" t="s">
        <v>27</v>
      </c>
      <c r="K791" s="5">
        <v>46282.583333333343</v>
      </c>
      <c r="L791">
        <v>1</v>
      </c>
      <c r="M791" s="3">
        <f t="shared" si="62"/>
        <v>14450</v>
      </c>
      <c r="N791" t="str">
        <f t="shared" si="63"/>
        <v>ставка</v>
      </c>
      <c r="O791" s="3">
        <f t="shared" si="64"/>
        <v>283.33</v>
      </c>
      <c r="P791" s="5">
        <v>46283.5</v>
      </c>
      <c r="Q791" t="s">
        <v>23</v>
      </c>
      <c r="R791" s="2" t="s">
        <v>87</v>
      </c>
      <c r="S791">
        <v>51</v>
      </c>
      <c r="T791">
        <v>2</v>
      </c>
    </row>
    <row r="792" spans="1:20" ht="30" x14ac:dyDescent="0.25">
      <c r="A792" t="s">
        <v>1607</v>
      </c>
      <c r="B792">
        <v>1</v>
      </c>
      <c r="C792" s="2" t="s">
        <v>1608</v>
      </c>
      <c r="D792" s="3">
        <v>45390</v>
      </c>
      <c r="E792" s="4">
        <v>0</v>
      </c>
      <c r="F792" t="s">
        <v>180</v>
      </c>
      <c r="G792" s="3">
        <f t="shared" si="60"/>
        <v>45390</v>
      </c>
      <c r="H792" s="3">
        <v>0</v>
      </c>
      <c r="I792" s="3">
        <f t="shared" si="61"/>
        <v>45390</v>
      </c>
      <c r="J792" s="2" t="s">
        <v>181</v>
      </c>
      <c r="K792" s="5">
        <v>46266.583333333343</v>
      </c>
      <c r="L792">
        <v>4</v>
      </c>
      <c r="M792" s="3">
        <f t="shared" si="62"/>
        <v>11347.5</v>
      </c>
      <c r="N792" t="str">
        <f t="shared" si="63"/>
        <v>ставка</v>
      </c>
      <c r="O792" s="3">
        <f t="shared" si="64"/>
        <v>890</v>
      </c>
      <c r="P792" s="5">
        <v>46270.5</v>
      </c>
      <c r="Q792" t="s">
        <v>180</v>
      </c>
      <c r="R792" s="2" t="s">
        <v>40</v>
      </c>
      <c r="S792">
        <v>22</v>
      </c>
      <c r="T792">
        <v>1</v>
      </c>
    </row>
    <row r="793" spans="1:20" ht="30" x14ac:dyDescent="0.25">
      <c r="A793" t="s">
        <v>1609</v>
      </c>
      <c r="B793">
        <v>1</v>
      </c>
      <c r="C793" s="2" t="s">
        <v>1610</v>
      </c>
      <c r="D793" s="3">
        <v>14922.6</v>
      </c>
      <c r="E793" s="4">
        <v>4</v>
      </c>
      <c r="F793" t="s">
        <v>55</v>
      </c>
      <c r="G793" s="3">
        <f t="shared" si="60"/>
        <v>15544.38</v>
      </c>
      <c r="H793" s="3">
        <v>0</v>
      </c>
      <c r="I793" s="3">
        <f t="shared" si="61"/>
        <v>15544.38</v>
      </c>
      <c r="J793" s="2" t="s">
        <v>27</v>
      </c>
      <c r="K793" s="5">
        <v>46227.583333333343</v>
      </c>
      <c r="L793">
        <v>1</v>
      </c>
      <c r="M793" s="3">
        <f t="shared" si="62"/>
        <v>15544.38</v>
      </c>
      <c r="N793" t="str">
        <f t="shared" si="63"/>
        <v>ставка</v>
      </c>
      <c r="O793" s="3">
        <f t="shared" si="64"/>
        <v>304.79000000000002</v>
      </c>
      <c r="P793" s="5">
        <v>46228.5</v>
      </c>
      <c r="Q793" t="s">
        <v>55</v>
      </c>
      <c r="R793" s="2" t="s">
        <v>24</v>
      </c>
      <c r="S793">
        <v>56</v>
      </c>
      <c r="T793">
        <v>2</v>
      </c>
    </row>
    <row r="794" spans="1:20" x14ac:dyDescent="0.25">
      <c r="A794" t="s">
        <v>1611</v>
      </c>
      <c r="B794">
        <v>1</v>
      </c>
      <c r="C794" s="2" t="s">
        <v>1612</v>
      </c>
      <c r="D794" s="3">
        <v>13200</v>
      </c>
      <c r="E794" s="4">
        <v>20</v>
      </c>
      <c r="F794" t="s">
        <v>48</v>
      </c>
      <c r="G794" s="3">
        <f t="shared" si="60"/>
        <v>16500</v>
      </c>
      <c r="H794" s="3">
        <v>0</v>
      </c>
      <c r="I794" s="3">
        <f t="shared" si="61"/>
        <v>16500</v>
      </c>
      <c r="J794" s="2" t="s">
        <v>27</v>
      </c>
      <c r="K794" s="5">
        <v>46277.583333333343</v>
      </c>
      <c r="L794">
        <v>1</v>
      </c>
      <c r="M794" s="3">
        <f t="shared" si="62"/>
        <v>16500</v>
      </c>
      <c r="N794" t="str">
        <f t="shared" si="63"/>
        <v>ставка</v>
      </c>
      <c r="O794" s="3">
        <f t="shared" si="64"/>
        <v>323.52999999999997</v>
      </c>
      <c r="P794" s="5">
        <v>46278.5</v>
      </c>
      <c r="Q794" t="s">
        <v>48</v>
      </c>
      <c r="R794" s="2" t="s">
        <v>49</v>
      </c>
      <c r="S794">
        <v>25</v>
      </c>
      <c r="T794">
        <v>1</v>
      </c>
    </row>
    <row r="795" spans="1:20" ht="45" x14ac:dyDescent="0.25">
      <c r="A795" t="s">
        <v>1613</v>
      </c>
      <c r="B795">
        <v>1</v>
      </c>
      <c r="C795" s="2" t="s">
        <v>1614</v>
      </c>
      <c r="D795" s="3">
        <v>27194.5</v>
      </c>
      <c r="E795" s="4">
        <v>4</v>
      </c>
      <c r="F795" t="s">
        <v>55</v>
      </c>
      <c r="G795" s="3">
        <f t="shared" si="60"/>
        <v>28327.599999999999</v>
      </c>
      <c r="H795" s="3">
        <v>0</v>
      </c>
      <c r="I795" s="3">
        <f t="shared" si="61"/>
        <v>28327.599999999999</v>
      </c>
      <c r="J795" s="2" t="s">
        <v>27</v>
      </c>
      <c r="K795" s="5">
        <v>46223.583333333343</v>
      </c>
      <c r="L795">
        <v>2</v>
      </c>
      <c r="M795" s="3">
        <f t="shared" si="62"/>
        <v>14163.8</v>
      </c>
      <c r="N795" t="str">
        <f t="shared" si="63"/>
        <v>ставка</v>
      </c>
      <c r="O795" s="3">
        <f t="shared" si="64"/>
        <v>555.44000000000005</v>
      </c>
      <c r="P795" s="5">
        <v>46225.5</v>
      </c>
      <c r="Q795" t="s">
        <v>55</v>
      </c>
      <c r="R795" s="2" t="s">
        <v>87</v>
      </c>
      <c r="S795">
        <v>51</v>
      </c>
      <c r="T795">
        <v>2</v>
      </c>
    </row>
    <row r="796" spans="1:20" x14ac:dyDescent="0.25">
      <c r="A796" t="s">
        <v>1615</v>
      </c>
      <c r="B796">
        <v>1</v>
      </c>
      <c r="C796" s="2" t="s">
        <v>1616</v>
      </c>
      <c r="D796" s="3">
        <v>14774</v>
      </c>
      <c r="E796" s="4">
        <v>17</v>
      </c>
      <c r="F796" t="s">
        <v>130</v>
      </c>
      <c r="G796" s="3">
        <f t="shared" si="60"/>
        <v>17800</v>
      </c>
      <c r="H796" s="3">
        <v>0</v>
      </c>
      <c r="I796" s="3">
        <f t="shared" si="61"/>
        <v>17800</v>
      </c>
      <c r="J796" s="2" t="s">
        <v>27</v>
      </c>
      <c r="K796" s="5">
        <v>46244.583333333343</v>
      </c>
      <c r="L796">
        <v>1</v>
      </c>
      <c r="M796" s="3">
        <f t="shared" si="62"/>
        <v>17800</v>
      </c>
      <c r="N796" t="str">
        <f t="shared" si="63"/>
        <v>ставка</v>
      </c>
      <c r="O796" s="3">
        <f t="shared" si="64"/>
        <v>349.02</v>
      </c>
      <c r="P796" s="5">
        <v>46245.5</v>
      </c>
      <c r="Q796" t="s">
        <v>130</v>
      </c>
      <c r="R796" s="2" t="s">
        <v>37</v>
      </c>
      <c r="S796">
        <v>54</v>
      </c>
      <c r="T796">
        <v>2</v>
      </c>
    </row>
    <row r="797" spans="1:20" ht="30" x14ac:dyDescent="0.25">
      <c r="A797" t="s">
        <v>1617</v>
      </c>
      <c r="B797">
        <v>1</v>
      </c>
      <c r="C797" s="2" t="s">
        <v>1618</v>
      </c>
      <c r="D797" s="3">
        <v>18160</v>
      </c>
      <c r="E797" s="4">
        <v>20</v>
      </c>
      <c r="F797" t="s">
        <v>48</v>
      </c>
      <c r="G797" s="3">
        <f t="shared" si="60"/>
        <v>22700</v>
      </c>
      <c r="H797" s="3">
        <v>4000</v>
      </c>
      <c r="I797" s="3">
        <f t="shared" si="61"/>
        <v>26700</v>
      </c>
      <c r="J797" s="2" t="s">
        <v>563</v>
      </c>
      <c r="K797" s="5">
        <v>46211.583333333343</v>
      </c>
      <c r="L797">
        <v>2</v>
      </c>
      <c r="M797" s="3">
        <f t="shared" si="62"/>
        <v>13350</v>
      </c>
      <c r="N797" t="str">
        <f t="shared" si="63"/>
        <v>ставка</v>
      </c>
      <c r="O797" s="3">
        <f t="shared" si="64"/>
        <v>523.53</v>
      </c>
      <c r="P797" s="5">
        <v>46213.5</v>
      </c>
      <c r="Q797" t="s">
        <v>48</v>
      </c>
      <c r="R797" s="2" t="s">
        <v>40</v>
      </c>
      <c r="S797">
        <v>44</v>
      </c>
      <c r="T797">
        <v>1</v>
      </c>
    </row>
    <row r="798" spans="1:20" ht="30" x14ac:dyDescent="0.25">
      <c r="A798" t="s">
        <v>1619</v>
      </c>
      <c r="B798">
        <v>1</v>
      </c>
      <c r="C798" s="2" t="s">
        <v>1620</v>
      </c>
      <c r="D798" s="3">
        <v>10680</v>
      </c>
      <c r="E798" s="4">
        <v>0</v>
      </c>
      <c r="F798" t="s">
        <v>23</v>
      </c>
      <c r="G798" s="3">
        <f t="shared" si="60"/>
        <v>10680</v>
      </c>
      <c r="H798" s="3">
        <v>0</v>
      </c>
      <c r="I798" s="3">
        <f t="shared" si="61"/>
        <v>10680</v>
      </c>
      <c r="J798" s="2" t="s">
        <v>27</v>
      </c>
      <c r="K798" s="5">
        <v>46214.583333333343</v>
      </c>
      <c r="L798">
        <v>1</v>
      </c>
      <c r="M798" s="3">
        <f t="shared" si="62"/>
        <v>10680</v>
      </c>
      <c r="N798" t="str">
        <f t="shared" si="63"/>
        <v>ставка</v>
      </c>
      <c r="O798" s="3">
        <f t="shared" si="64"/>
        <v>209.41</v>
      </c>
      <c r="P798" s="5">
        <v>46215.5</v>
      </c>
      <c r="Q798" t="s">
        <v>23</v>
      </c>
      <c r="R798" s="2" t="s">
        <v>40</v>
      </c>
      <c r="S798">
        <v>36</v>
      </c>
      <c r="T798">
        <v>1</v>
      </c>
    </row>
    <row r="799" spans="1:20" ht="30" x14ac:dyDescent="0.25">
      <c r="A799" t="s">
        <v>1621</v>
      </c>
      <c r="B799">
        <v>1</v>
      </c>
      <c r="C799" s="2" t="s">
        <v>1622</v>
      </c>
      <c r="D799" s="3">
        <v>6557</v>
      </c>
      <c r="E799" s="4">
        <v>0</v>
      </c>
      <c r="F799" t="s">
        <v>23</v>
      </c>
      <c r="G799" s="3">
        <f t="shared" si="60"/>
        <v>6557</v>
      </c>
      <c r="H799" s="3">
        <v>0</v>
      </c>
      <c r="I799" s="3">
        <f t="shared" si="61"/>
        <v>6557</v>
      </c>
      <c r="J799" s="2" t="s">
        <v>27</v>
      </c>
      <c r="K799" s="5">
        <v>46212.583333333343</v>
      </c>
      <c r="L799">
        <v>1</v>
      </c>
      <c r="M799" s="3">
        <f t="shared" si="62"/>
        <v>6557</v>
      </c>
      <c r="N799" t="str">
        <f t="shared" si="63"/>
        <v>ставка</v>
      </c>
      <c r="O799" s="3">
        <f t="shared" si="64"/>
        <v>128.57</v>
      </c>
      <c r="P799" s="5">
        <v>46213.5</v>
      </c>
      <c r="Q799" t="s">
        <v>23</v>
      </c>
      <c r="R799" s="2" t="s">
        <v>33</v>
      </c>
      <c r="S799">
        <v>41</v>
      </c>
      <c r="T799">
        <v>1</v>
      </c>
    </row>
    <row r="800" spans="1:20" ht="30" x14ac:dyDescent="0.25">
      <c r="A800" t="s">
        <v>1623</v>
      </c>
      <c r="B800">
        <v>1</v>
      </c>
      <c r="C800" s="2" t="s">
        <v>1624</v>
      </c>
      <c r="D800" s="3">
        <v>56280</v>
      </c>
      <c r="E800" s="4">
        <v>16</v>
      </c>
      <c r="F800" t="s">
        <v>36</v>
      </c>
      <c r="G800" s="3">
        <f t="shared" si="60"/>
        <v>67000</v>
      </c>
      <c r="H800" s="3">
        <v>0</v>
      </c>
      <c r="I800" s="3">
        <f t="shared" si="61"/>
        <v>67000</v>
      </c>
      <c r="J800" s="2" t="s">
        <v>27</v>
      </c>
      <c r="K800" s="5">
        <v>46269.583333333343</v>
      </c>
      <c r="L800">
        <v>5</v>
      </c>
      <c r="M800" s="3">
        <f t="shared" si="62"/>
        <v>13400</v>
      </c>
      <c r="N800" t="str">
        <f t="shared" si="63"/>
        <v>ставка</v>
      </c>
      <c r="O800" s="3">
        <f t="shared" si="64"/>
        <v>1313.73</v>
      </c>
      <c r="P800" s="5">
        <v>46274.5</v>
      </c>
      <c r="Q800" t="s">
        <v>36</v>
      </c>
      <c r="R800" s="2" t="s">
        <v>24</v>
      </c>
      <c r="S800">
        <v>31</v>
      </c>
      <c r="T800">
        <v>1</v>
      </c>
    </row>
    <row r="801" spans="1:20" x14ac:dyDescent="0.25">
      <c r="A801" t="s">
        <v>1625</v>
      </c>
      <c r="B801">
        <v>1</v>
      </c>
      <c r="C801" s="2" t="s">
        <v>1624</v>
      </c>
      <c r="D801" s="3">
        <v>28602</v>
      </c>
      <c r="E801" s="4">
        <v>16</v>
      </c>
      <c r="F801" t="s">
        <v>36</v>
      </c>
      <c r="G801" s="3">
        <f t="shared" si="60"/>
        <v>34050</v>
      </c>
      <c r="H801" s="3">
        <v>0</v>
      </c>
      <c r="I801" s="3">
        <f t="shared" si="61"/>
        <v>34050</v>
      </c>
      <c r="J801" s="2" t="s">
        <v>27</v>
      </c>
      <c r="K801" s="5">
        <v>46262.583333333343</v>
      </c>
      <c r="L801">
        <v>3</v>
      </c>
      <c r="M801" s="3">
        <f t="shared" si="62"/>
        <v>11350</v>
      </c>
      <c r="N801" t="str">
        <f t="shared" si="63"/>
        <v>ставка</v>
      </c>
      <c r="O801" s="3">
        <f t="shared" si="64"/>
        <v>667.65</v>
      </c>
      <c r="P801" s="5">
        <v>46265.5</v>
      </c>
      <c r="Q801" t="s">
        <v>36</v>
      </c>
      <c r="R801" s="2" t="s">
        <v>49</v>
      </c>
      <c r="S801">
        <v>35</v>
      </c>
      <c r="T801">
        <v>1</v>
      </c>
    </row>
    <row r="802" spans="1:20" ht="30" x14ac:dyDescent="0.25">
      <c r="A802" t="s">
        <v>1626</v>
      </c>
      <c r="B802">
        <v>1</v>
      </c>
      <c r="C802" s="2" t="s">
        <v>1627</v>
      </c>
      <c r="D802" s="3">
        <v>53133</v>
      </c>
      <c r="E802" s="4">
        <v>4</v>
      </c>
      <c r="F802" t="s">
        <v>55</v>
      </c>
      <c r="G802" s="3">
        <f t="shared" si="60"/>
        <v>55346.879999999997</v>
      </c>
      <c r="H802" s="3">
        <v>0</v>
      </c>
      <c r="I802" s="3">
        <f t="shared" si="61"/>
        <v>55346.879999999997</v>
      </c>
      <c r="J802" s="2" t="s">
        <v>27</v>
      </c>
      <c r="K802" s="5">
        <v>46278.583333333343</v>
      </c>
      <c r="L802">
        <v>3</v>
      </c>
      <c r="M802" s="3">
        <f t="shared" si="62"/>
        <v>18448.96</v>
      </c>
      <c r="N802" t="str">
        <f t="shared" si="63"/>
        <v>ставка</v>
      </c>
      <c r="O802" s="3">
        <f t="shared" si="64"/>
        <v>1085.23</v>
      </c>
      <c r="P802" s="5">
        <v>46281.5</v>
      </c>
      <c r="Q802" t="s">
        <v>55</v>
      </c>
      <c r="R802" s="2" t="s">
        <v>45</v>
      </c>
      <c r="S802">
        <v>53</v>
      </c>
      <c r="T802">
        <v>2</v>
      </c>
    </row>
    <row r="803" spans="1:20" ht="30" x14ac:dyDescent="0.25">
      <c r="A803" t="s">
        <v>1628</v>
      </c>
      <c r="B803">
        <v>1</v>
      </c>
      <c r="C803" s="2" t="s">
        <v>1629</v>
      </c>
      <c r="D803" s="3">
        <v>23502.5</v>
      </c>
      <c r="E803" s="4">
        <v>4</v>
      </c>
      <c r="F803" t="s">
        <v>55</v>
      </c>
      <c r="G803" s="3">
        <f t="shared" si="60"/>
        <v>24481.77</v>
      </c>
      <c r="H803" s="3">
        <v>0</v>
      </c>
      <c r="I803" s="3">
        <f t="shared" si="61"/>
        <v>24481.77</v>
      </c>
      <c r="J803" s="2" t="s">
        <v>27</v>
      </c>
      <c r="K803" s="5">
        <v>46218.583333333343</v>
      </c>
      <c r="L803">
        <v>3</v>
      </c>
      <c r="M803" s="3">
        <f t="shared" si="62"/>
        <v>8160.59</v>
      </c>
      <c r="N803" t="str">
        <f t="shared" si="63"/>
        <v>ставка</v>
      </c>
      <c r="O803" s="3">
        <f t="shared" si="64"/>
        <v>480.03</v>
      </c>
      <c r="P803" s="5">
        <v>46221.5</v>
      </c>
      <c r="Q803" t="s">
        <v>55</v>
      </c>
      <c r="R803" s="2" t="s">
        <v>33</v>
      </c>
      <c r="S803">
        <v>43</v>
      </c>
      <c r="T803">
        <v>1</v>
      </c>
    </row>
    <row r="804" spans="1:20" ht="30" x14ac:dyDescent="0.25">
      <c r="A804" t="s">
        <v>1630</v>
      </c>
      <c r="B804">
        <v>1</v>
      </c>
      <c r="C804" s="2" t="s">
        <v>1631</v>
      </c>
      <c r="D804" s="3">
        <v>66738</v>
      </c>
      <c r="E804" s="4">
        <v>16</v>
      </c>
      <c r="F804" t="s">
        <v>36</v>
      </c>
      <c r="G804" s="3">
        <f t="shared" si="60"/>
        <v>79450</v>
      </c>
      <c r="H804" s="3">
        <v>0</v>
      </c>
      <c r="I804" s="3">
        <f t="shared" si="61"/>
        <v>79450</v>
      </c>
      <c r="J804" s="2" t="s">
        <v>27</v>
      </c>
      <c r="K804" s="5">
        <v>46278.583333333343</v>
      </c>
      <c r="L804">
        <v>7</v>
      </c>
      <c r="M804" s="3">
        <f t="shared" si="62"/>
        <v>11350</v>
      </c>
      <c r="N804" t="str">
        <f t="shared" si="63"/>
        <v>ставка</v>
      </c>
      <c r="O804" s="3">
        <f t="shared" si="64"/>
        <v>1557.84</v>
      </c>
      <c r="P804" s="5">
        <v>46285.5</v>
      </c>
      <c r="Q804" t="s">
        <v>36</v>
      </c>
      <c r="R804" s="2" t="s">
        <v>40</v>
      </c>
      <c r="S804">
        <v>46</v>
      </c>
      <c r="T804">
        <v>1</v>
      </c>
    </row>
    <row r="805" spans="1:20" ht="30" x14ac:dyDescent="0.25">
      <c r="A805" t="s">
        <v>1632</v>
      </c>
      <c r="B805">
        <v>1</v>
      </c>
      <c r="C805" s="2" t="s">
        <v>1633</v>
      </c>
      <c r="D805" s="3">
        <v>9080</v>
      </c>
      <c r="E805" s="4">
        <v>20</v>
      </c>
      <c r="F805" t="s">
        <v>103</v>
      </c>
      <c r="G805" s="3">
        <f t="shared" si="60"/>
        <v>11350</v>
      </c>
      <c r="H805" s="3">
        <v>0</v>
      </c>
      <c r="I805" s="3">
        <f t="shared" si="61"/>
        <v>11350</v>
      </c>
      <c r="J805" s="2" t="s">
        <v>27</v>
      </c>
      <c r="K805" s="5">
        <v>46254.583333333343</v>
      </c>
      <c r="L805">
        <v>1</v>
      </c>
      <c r="M805" s="3">
        <f t="shared" si="62"/>
        <v>11350</v>
      </c>
      <c r="N805" t="str">
        <f t="shared" si="63"/>
        <v>ставка</v>
      </c>
      <c r="O805" s="3">
        <f t="shared" si="64"/>
        <v>222.55</v>
      </c>
      <c r="P805" s="5">
        <v>46255.5</v>
      </c>
      <c r="Q805" t="s">
        <v>103</v>
      </c>
      <c r="R805" s="2" t="s">
        <v>40</v>
      </c>
      <c r="S805">
        <v>26</v>
      </c>
      <c r="T805">
        <v>1</v>
      </c>
    </row>
    <row r="806" spans="1:20" ht="30" x14ac:dyDescent="0.25">
      <c r="A806" t="s">
        <v>1634</v>
      </c>
      <c r="B806">
        <v>1</v>
      </c>
      <c r="C806" s="2" t="s">
        <v>1635</v>
      </c>
      <c r="D806" s="3">
        <v>17056</v>
      </c>
      <c r="E806" s="4">
        <v>18</v>
      </c>
      <c r="F806" t="s">
        <v>147</v>
      </c>
      <c r="G806" s="3">
        <f t="shared" si="60"/>
        <v>20800</v>
      </c>
      <c r="H806" s="3">
        <v>0</v>
      </c>
      <c r="I806" s="3">
        <f t="shared" si="61"/>
        <v>20800</v>
      </c>
      <c r="J806" s="2" t="s">
        <v>27</v>
      </c>
      <c r="K806" s="5">
        <v>46295.583333333343</v>
      </c>
      <c r="L806">
        <v>2</v>
      </c>
      <c r="M806" s="3">
        <f t="shared" si="62"/>
        <v>10400</v>
      </c>
      <c r="N806" t="str">
        <f t="shared" si="63"/>
        <v>ставка</v>
      </c>
      <c r="O806" s="3">
        <f t="shared" si="64"/>
        <v>407.84</v>
      </c>
      <c r="P806" s="5">
        <v>46297.5</v>
      </c>
      <c r="Q806" t="s">
        <v>147</v>
      </c>
      <c r="R806" s="2" t="s">
        <v>40</v>
      </c>
      <c r="S806">
        <v>23</v>
      </c>
      <c r="T806">
        <v>1</v>
      </c>
    </row>
    <row r="807" spans="1:20" ht="30" x14ac:dyDescent="0.25">
      <c r="A807" t="s">
        <v>1636</v>
      </c>
      <c r="B807">
        <v>1</v>
      </c>
      <c r="C807" s="2" t="s">
        <v>1637</v>
      </c>
      <c r="D807" s="3">
        <v>9307</v>
      </c>
      <c r="E807" s="4">
        <v>18</v>
      </c>
      <c r="F807" t="s">
        <v>147</v>
      </c>
      <c r="G807" s="3">
        <f t="shared" si="60"/>
        <v>11350</v>
      </c>
      <c r="H807" s="3">
        <v>0</v>
      </c>
      <c r="I807" s="3">
        <f t="shared" si="61"/>
        <v>11350</v>
      </c>
      <c r="J807" s="2" t="s">
        <v>27</v>
      </c>
      <c r="K807" s="5">
        <v>46273.583333333343</v>
      </c>
      <c r="L807">
        <v>1</v>
      </c>
      <c r="M807" s="3">
        <f t="shared" si="62"/>
        <v>11350</v>
      </c>
      <c r="N807" t="str">
        <f t="shared" si="63"/>
        <v>ставка</v>
      </c>
      <c r="O807" s="3">
        <f t="shared" si="64"/>
        <v>222.55</v>
      </c>
      <c r="P807" s="5">
        <v>46274.5</v>
      </c>
      <c r="Q807" t="s">
        <v>147</v>
      </c>
      <c r="R807" s="2" t="s">
        <v>40</v>
      </c>
      <c r="S807">
        <v>32</v>
      </c>
      <c r="T807">
        <v>1</v>
      </c>
    </row>
    <row r="808" spans="1:20" ht="30" x14ac:dyDescent="0.25">
      <c r="A808" t="s">
        <v>1638</v>
      </c>
      <c r="B808">
        <v>1</v>
      </c>
      <c r="C808" s="2" t="s">
        <v>1637</v>
      </c>
      <c r="D808" s="3">
        <v>9307</v>
      </c>
      <c r="E808" s="4">
        <v>18</v>
      </c>
      <c r="F808" t="s">
        <v>147</v>
      </c>
      <c r="G808" s="3">
        <f t="shared" si="60"/>
        <v>11350</v>
      </c>
      <c r="H808" s="3">
        <v>0</v>
      </c>
      <c r="I808" s="3">
        <f t="shared" si="61"/>
        <v>11350</v>
      </c>
      <c r="J808" s="2" t="s">
        <v>27</v>
      </c>
      <c r="K808" s="5">
        <v>46274.583333333343</v>
      </c>
      <c r="L808">
        <v>1</v>
      </c>
      <c r="M808" s="3">
        <f t="shared" si="62"/>
        <v>11350</v>
      </c>
      <c r="N808" t="str">
        <f t="shared" si="63"/>
        <v>ставка</v>
      </c>
      <c r="O808" s="3">
        <f t="shared" si="64"/>
        <v>222.55</v>
      </c>
      <c r="P808" s="5">
        <v>46275.5</v>
      </c>
      <c r="Q808" t="s">
        <v>147</v>
      </c>
      <c r="R808" s="2" t="s">
        <v>40</v>
      </c>
      <c r="S808">
        <v>32</v>
      </c>
      <c r="T808">
        <v>1</v>
      </c>
    </row>
    <row r="809" spans="1:20" ht="30" x14ac:dyDescent="0.25">
      <c r="A809" t="s">
        <v>1639</v>
      </c>
      <c r="B809">
        <v>1</v>
      </c>
      <c r="C809" s="2" t="s">
        <v>1640</v>
      </c>
      <c r="D809" s="3">
        <v>53184.6</v>
      </c>
      <c r="E809" s="4">
        <v>4</v>
      </c>
      <c r="F809" t="s">
        <v>55</v>
      </c>
      <c r="G809" s="3">
        <f t="shared" si="60"/>
        <v>55400.63</v>
      </c>
      <c r="H809" s="3">
        <v>0</v>
      </c>
      <c r="I809" s="3">
        <f t="shared" si="61"/>
        <v>55400.63</v>
      </c>
      <c r="J809" s="2" t="s">
        <v>27</v>
      </c>
      <c r="K809" s="5">
        <v>46232.583333333343</v>
      </c>
      <c r="L809">
        <v>4</v>
      </c>
      <c r="M809" s="3">
        <f t="shared" si="62"/>
        <v>13850.157499999999</v>
      </c>
      <c r="N809" t="str">
        <f t="shared" si="63"/>
        <v>ставка</v>
      </c>
      <c r="O809" s="3">
        <f t="shared" si="64"/>
        <v>1086.29</v>
      </c>
      <c r="P809" s="5">
        <v>46236.5</v>
      </c>
      <c r="Q809" t="s">
        <v>55</v>
      </c>
      <c r="R809" s="2" t="s">
        <v>24</v>
      </c>
      <c r="S809">
        <v>31</v>
      </c>
      <c r="T809">
        <v>1</v>
      </c>
    </row>
    <row r="810" spans="1:20" ht="30" x14ac:dyDescent="0.25">
      <c r="A810" t="s">
        <v>1641</v>
      </c>
      <c r="B810">
        <v>1</v>
      </c>
      <c r="C810" s="2" t="s">
        <v>1642</v>
      </c>
      <c r="D810" s="3">
        <v>68085</v>
      </c>
      <c r="E810" s="4">
        <v>0</v>
      </c>
      <c r="F810" t="s">
        <v>245</v>
      </c>
      <c r="G810" s="3">
        <f t="shared" si="60"/>
        <v>68085</v>
      </c>
      <c r="H810" s="3">
        <v>0</v>
      </c>
      <c r="I810" s="3">
        <f t="shared" si="61"/>
        <v>68085</v>
      </c>
      <c r="J810" s="2" t="s">
        <v>27</v>
      </c>
      <c r="K810" s="5">
        <v>46278.583333333343</v>
      </c>
      <c r="L810">
        <v>6</v>
      </c>
      <c r="M810" s="3">
        <f t="shared" si="62"/>
        <v>11347.5</v>
      </c>
      <c r="N810" t="str">
        <f t="shared" si="63"/>
        <v>ставка</v>
      </c>
      <c r="O810" s="3">
        <f t="shared" si="64"/>
        <v>1335</v>
      </c>
      <c r="P810" s="5">
        <v>46284.5</v>
      </c>
      <c r="Q810" t="s">
        <v>245</v>
      </c>
      <c r="R810" s="2" t="s">
        <v>40</v>
      </c>
      <c r="S810">
        <v>26</v>
      </c>
      <c r="T810">
        <v>1</v>
      </c>
    </row>
    <row r="811" spans="1:20" ht="30" x14ac:dyDescent="0.25">
      <c r="A811" t="s">
        <v>1643</v>
      </c>
      <c r="B811">
        <v>1</v>
      </c>
      <c r="C811" s="2" t="s">
        <v>1644</v>
      </c>
      <c r="D811" s="3">
        <v>40200</v>
      </c>
      <c r="E811" s="4">
        <v>18</v>
      </c>
      <c r="F811" t="s">
        <v>32</v>
      </c>
      <c r="G811" s="3">
        <f t="shared" si="60"/>
        <v>49024.39</v>
      </c>
      <c r="H811" s="3">
        <v>0</v>
      </c>
      <c r="I811" s="3">
        <f t="shared" si="61"/>
        <v>49024.39</v>
      </c>
      <c r="J811" s="2" t="s">
        <v>27</v>
      </c>
      <c r="K811" s="5">
        <v>46287.583333333343</v>
      </c>
      <c r="L811">
        <v>4</v>
      </c>
      <c r="M811" s="3">
        <f t="shared" si="62"/>
        <v>12256.0975</v>
      </c>
      <c r="N811" t="str">
        <f t="shared" si="63"/>
        <v>ставка</v>
      </c>
      <c r="O811" s="3">
        <f t="shared" si="64"/>
        <v>961.26</v>
      </c>
      <c r="P811" s="5">
        <v>46291.5</v>
      </c>
      <c r="Q811" t="s">
        <v>32</v>
      </c>
      <c r="R811" s="2" t="s">
        <v>24</v>
      </c>
      <c r="S811">
        <v>31</v>
      </c>
      <c r="T811">
        <v>1</v>
      </c>
    </row>
    <row r="812" spans="1:20" ht="30" x14ac:dyDescent="0.25">
      <c r="A812" t="s">
        <v>1645</v>
      </c>
      <c r="B812">
        <v>1</v>
      </c>
      <c r="C812" s="2" t="s">
        <v>1646</v>
      </c>
      <c r="D812" s="3">
        <v>26286.15</v>
      </c>
      <c r="E812" s="4">
        <v>4</v>
      </c>
      <c r="F812" t="s">
        <v>55</v>
      </c>
      <c r="G812" s="3">
        <f t="shared" si="60"/>
        <v>27381.41</v>
      </c>
      <c r="H812" s="3">
        <v>0</v>
      </c>
      <c r="I812" s="3">
        <f t="shared" si="61"/>
        <v>27381.41</v>
      </c>
      <c r="J812" s="2" t="s">
        <v>27</v>
      </c>
      <c r="K812" s="5">
        <v>46261.583333333343</v>
      </c>
      <c r="L812">
        <v>2</v>
      </c>
      <c r="M812" s="3">
        <f t="shared" si="62"/>
        <v>13690.705</v>
      </c>
      <c r="N812" t="str">
        <f t="shared" si="63"/>
        <v>ставка</v>
      </c>
      <c r="O812" s="3">
        <f t="shared" si="64"/>
        <v>536.89</v>
      </c>
      <c r="P812" s="5">
        <v>46263.5</v>
      </c>
      <c r="Q812" t="s">
        <v>55</v>
      </c>
      <c r="R812" s="2" t="s">
        <v>40</v>
      </c>
      <c r="S812" s="6"/>
    </row>
    <row r="813" spans="1:20" ht="30" x14ac:dyDescent="0.25">
      <c r="A813" t="s">
        <v>1647</v>
      </c>
      <c r="B813">
        <v>1</v>
      </c>
      <c r="C813" s="2" t="s">
        <v>1648</v>
      </c>
      <c r="D813" s="3">
        <v>13350</v>
      </c>
      <c r="E813" s="4">
        <v>0</v>
      </c>
      <c r="F813" t="s">
        <v>23</v>
      </c>
      <c r="G813" s="3">
        <f t="shared" si="60"/>
        <v>13350</v>
      </c>
      <c r="H813" s="3">
        <v>0</v>
      </c>
      <c r="I813" s="3">
        <f t="shared" si="61"/>
        <v>13350</v>
      </c>
      <c r="J813" s="2" t="s">
        <v>27</v>
      </c>
      <c r="K813" s="5">
        <v>46204.583333333343</v>
      </c>
      <c r="L813">
        <v>1</v>
      </c>
      <c r="M813" s="3">
        <f t="shared" si="62"/>
        <v>13350</v>
      </c>
      <c r="N813" t="str">
        <f t="shared" si="63"/>
        <v>ставка</v>
      </c>
      <c r="O813" s="3">
        <f t="shared" si="64"/>
        <v>261.76</v>
      </c>
      <c r="P813" s="5">
        <v>46205.5</v>
      </c>
      <c r="Q813" t="s">
        <v>23</v>
      </c>
      <c r="R813" s="2" t="s">
        <v>40</v>
      </c>
      <c r="S813">
        <v>26</v>
      </c>
      <c r="T813">
        <v>1</v>
      </c>
    </row>
    <row r="814" spans="1:20" ht="30" x14ac:dyDescent="0.25">
      <c r="A814" t="s">
        <v>1649</v>
      </c>
      <c r="B814">
        <v>1</v>
      </c>
      <c r="C814" s="2" t="s">
        <v>1650</v>
      </c>
      <c r="D814" s="3">
        <v>13695</v>
      </c>
      <c r="E814" s="4">
        <v>17</v>
      </c>
      <c r="F814" t="s">
        <v>130</v>
      </c>
      <c r="G814" s="3">
        <f t="shared" si="60"/>
        <v>16500</v>
      </c>
      <c r="H814" s="3">
        <v>0</v>
      </c>
      <c r="I814" s="3">
        <f t="shared" si="61"/>
        <v>16500</v>
      </c>
      <c r="J814" s="2" t="s">
        <v>27</v>
      </c>
      <c r="K814" s="5">
        <v>46275.583333333343</v>
      </c>
      <c r="L814">
        <v>1</v>
      </c>
      <c r="M814" s="3">
        <f t="shared" si="62"/>
        <v>16500</v>
      </c>
      <c r="N814" t="str">
        <f t="shared" si="63"/>
        <v>ставка</v>
      </c>
      <c r="O814" s="3">
        <f t="shared" si="64"/>
        <v>323.52999999999997</v>
      </c>
      <c r="P814" s="5">
        <v>46276.5</v>
      </c>
      <c r="Q814" t="s">
        <v>130</v>
      </c>
      <c r="R814" s="2" t="s">
        <v>49</v>
      </c>
      <c r="S814">
        <v>11</v>
      </c>
      <c r="T814">
        <v>1</v>
      </c>
    </row>
    <row r="815" spans="1:20" ht="30" x14ac:dyDescent="0.25">
      <c r="A815" t="s">
        <v>395</v>
      </c>
      <c r="B815">
        <v>1</v>
      </c>
      <c r="C815" s="2" t="s">
        <v>1651</v>
      </c>
      <c r="D815" s="3">
        <v>64080</v>
      </c>
      <c r="E815" s="4">
        <v>18</v>
      </c>
      <c r="F815" t="s">
        <v>32</v>
      </c>
      <c r="G815" s="3">
        <f t="shared" si="60"/>
        <v>78146.34</v>
      </c>
      <c r="H815" s="3">
        <v>0</v>
      </c>
      <c r="I815" s="3">
        <f t="shared" si="61"/>
        <v>78146.34</v>
      </c>
      <c r="J815" s="2" t="s">
        <v>27</v>
      </c>
      <c r="K815" s="5">
        <v>46252.583333333343</v>
      </c>
      <c r="L815">
        <v>6</v>
      </c>
      <c r="M815" s="3">
        <f t="shared" si="62"/>
        <v>13024.39</v>
      </c>
      <c r="N815" t="str">
        <f t="shared" si="63"/>
        <v>ставка</v>
      </c>
      <c r="O815" s="3">
        <f t="shared" si="64"/>
        <v>1532.28</v>
      </c>
      <c r="P815" s="5">
        <v>46258.5</v>
      </c>
      <c r="Q815" t="s">
        <v>32</v>
      </c>
      <c r="R815" s="2" t="s">
        <v>40</v>
      </c>
      <c r="S815" s="6"/>
    </row>
    <row r="816" spans="1:20" ht="30" x14ac:dyDescent="0.25">
      <c r="A816" t="s">
        <v>1652</v>
      </c>
      <c r="B816">
        <v>1</v>
      </c>
      <c r="C816" s="2" t="s">
        <v>1653</v>
      </c>
      <c r="D816" s="3">
        <v>9080</v>
      </c>
      <c r="E816" s="4">
        <v>20</v>
      </c>
      <c r="F816" t="s">
        <v>48</v>
      </c>
      <c r="G816" s="3">
        <f t="shared" si="60"/>
        <v>11350</v>
      </c>
      <c r="H816" s="3">
        <v>2000</v>
      </c>
      <c r="I816" s="3">
        <f t="shared" si="61"/>
        <v>13350</v>
      </c>
      <c r="J816" s="2" t="s">
        <v>1654</v>
      </c>
      <c r="K816" s="5">
        <v>46215.583333333343</v>
      </c>
      <c r="L816">
        <v>1</v>
      </c>
      <c r="M816" s="3">
        <f t="shared" si="62"/>
        <v>13350</v>
      </c>
      <c r="N816" t="str">
        <f t="shared" si="63"/>
        <v>ставка</v>
      </c>
      <c r="O816" s="3">
        <f t="shared" si="64"/>
        <v>261.76</v>
      </c>
      <c r="P816" s="5">
        <v>46216.5</v>
      </c>
      <c r="Q816" t="s">
        <v>48</v>
      </c>
      <c r="R816" s="2" t="s">
        <v>40</v>
      </c>
      <c r="S816">
        <v>23</v>
      </c>
      <c r="T816">
        <v>1</v>
      </c>
    </row>
    <row r="817" spans="1:20" x14ac:dyDescent="0.25">
      <c r="A817" t="s">
        <v>1655</v>
      </c>
      <c r="B817">
        <v>1</v>
      </c>
      <c r="C817" s="2" t="s">
        <v>1656</v>
      </c>
      <c r="D817" s="3">
        <v>16500</v>
      </c>
      <c r="E817" s="4">
        <v>0</v>
      </c>
      <c r="F817" t="s">
        <v>23</v>
      </c>
      <c r="G817" s="3">
        <f t="shared" si="60"/>
        <v>16500</v>
      </c>
      <c r="H817" s="3">
        <v>0</v>
      </c>
      <c r="I817" s="3">
        <f t="shared" si="61"/>
        <v>16500</v>
      </c>
      <c r="J817" s="2" t="s">
        <v>27</v>
      </c>
      <c r="K817" s="5">
        <v>46220.583333333343</v>
      </c>
      <c r="L817">
        <v>1</v>
      </c>
      <c r="M817" s="3">
        <f t="shared" si="62"/>
        <v>16500</v>
      </c>
      <c r="N817" t="str">
        <f t="shared" si="63"/>
        <v>ставка</v>
      </c>
      <c r="O817" s="3">
        <f t="shared" si="64"/>
        <v>323.52999999999997</v>
      </c>
      <c r="P817" s="5">
        <v>46221.5</v>
      </c>
      <c r="Q817" t="s">
        <v>23</v>
      </c>
      <c r="R817" s="2" t="s">
        <v>49</v>
      </c>
      <c r="S817">
        <v>11</v>
      </c>
      <c r="T817">
        <v>1</v>
      </c>
    </row>
    <row r="818" spans="1:20" x14ac:dyDescent="0.25">
      <c r="A818" t="s">
        <v>1657</v>
      </c>
      <c r="B818">
        <v>1</v>
      </c>
      <c r="C818" s="2" t="s">
        <v>1658</v>
      </c>
      <c r="D818" s="3">
        <v>26228</v>
      </c>
      <c r="E818" s="4">
        <v>17</v>
      </c>
      <c r="F818" t="s">
        <v>130</v>
      </c>
      <c r="G818" s="3">
        <f t="shared" si="60"/>
        <v>31600</v>
      </c>
      <c r="H818" s="3">
        <v>0</v>
      </c>
      <c r="I818" s="3">
        <f t="shared" si="61"/>
        <v>31600</v>
      </c>
      <c r="J818" s="2" t="s">
        <v>27</v>
      </c>
      <c r="K818" s="5">
        <v>46245.583333333343</v>
      </c>
      <c r="L818">
        <v>2</v>
      </c>
      <c r="M818" s="3">
        <f t="shared" si="62"/>
        <v>15800</v>
      </c>
      <c r="N818" t="str">
        <f t="shared" si="63"/>
        <v>ставка</v>
      </c>
      <c r="O818" s="3">
        <f t="shared" si="64"/>
        <v>619.61</v>
      </c>
      <c r="P818" s="5">
        <v>46247.5</v>
      </c>
      <c r="Q818" t="s">
        <v>130</v>
      </c>
      <c r="R818" s="2" t="s">
        <v>45</v>
      </c>
      <c r="S818">
        <v>53</v>
      </c>
      <c r="T818">
        <v>2</v>
      </c>
    </row>
    <row r="819" spans="1:20" ht="30" x14ac:dyDescent="0.25">
      <c r="A819" t="s">
        <v>1659</v>
      </c>
      <c r="B819">
        <v>1</v>
      </c>
      <c r="C819" s="2" t="s">
        <v>1660</v>
      </c>
      <c r="D819" s="3">
        <v>21976</v>
      </c>
      <c r="E819" s="4">
        <v>18</v>
      </c>
      <c r="F819" t="s">
        <v>147</v>
      </c>
      <c r="G819" s="3">
        <f t="shared" si="60"/>
        <v>26800</v>
      </c>
      <c r="H819" s="3">
        <v>4000</v>
      </c>
      <c r="I819" s="3">
        <f t="shared" si="61"/>
        <v>30800</v>
      </c>
      <c r="J819" s="2" t="s">
        <v>563</v>
      </c>
      <c r="K819" s="5">
        <v>46253.583333333343</v>
      </c>
      <c r="L819">
        <v>2</v>
      </c>
      <c r="M819" s="3">
        <f t="shared" si="62"/>
        <v>15400</v>
      </c>
      <c r="N819" t="str">
        <f t="shared" si="63"/>
        <v>ставка</v>
      </c>
      <c r="O819" s="3">
        <f t="shared" si="64"/>
        <v>603.91999999999996</v>
      </c>
      <c r="P819" s="5">
        <v>46255.5</v>
      </c>
      <c r="Q819" t="s">
        <v>147</v>
      </c>
      <c r="R819" s="2" t="s">
        <v>24</v>
      </c>
      <c r="S819">
        <v>56</v>
      </c>
      <c r="T819">
        <v>2</v>
      </c>
    </row>
    <row r="820" spans="1:20" ht="30" x14ac:dyDescent="0.25">
      <c r="A820" t="s">
        <v>1661</v>
      </c>
      <c r="B820">
        <v>1</v>
      </c>
      <c r="C820" s="2" t="s">
        <v>1662</v>
      </c>
      <c r="D820" s="3">
        <v>15400</v>
      </c>
      <c r="E820" s="4">
        <v>0</v>
      </c>
      <c r="F820" t="s">
        <v>23</v>
      </c>
      <c r="G820" s="3">
        <f t="shared" si="60"/>
        <v>15400</v>
      </c>
      <c r="H820" s="3">
        <v>0</v>
      </c>
      <c r="I820" s="3">
        <f t="shared" si="61"/>
        <v>15400</v>
      </c>
      <c r="J820" s="2" t="s">
        <v>27</v>
      </c>
      <c r="K820" s="5">
        <v>46271.583333333343</v>
      </c>
      <c r="L820">
        <v>1</v>
      </c>
      <c r="M820" s="3">
        <f t="shared" si="62"/>
        <v>15400</v>
      </c>
      <c r="N820" t="str">
        <f t="shared" si="63"/>
        <v>ставка</v>
      </c>
      <c r="O820" s="3">
        <f t="shared" si="64"/>
        <v>301.95999999999998</v>
      </c>
      <c r="P820" s="5">
        <v>46272.5</v>
      </c>
      <c r="Q820" t="s">
        <v>23</v>
      </c>
      <c r="R820" s="2" t="s">
        <v>24</v>
      </c>
      <c r="S820">
        <v>59</v>
      </c>
      <c r="T820">
        <v>2</v>
      </c>
    </row>
    <row r="821" spans="1:20" ht="30" x14ac:dyDescent="0.25">
      <c r="A821" t="s">
        <v>1663</v>
      </c>
      <c r="B821">
        <v>1</v>
      </c>
      <c r="C821" s="2" t="s">
        <v>1664</v>
      </c>
      <c r="D821" s="3">
        <v>33660</v>
      </c>
      <c r="E821" s="4">
        <v>0</v>
      </c>
      <c r="F821" t="s">
        <v>245</v>
      </c>
      <c r="G821" s="3">
        <f t="shared" si="60"/>
        <v>33660</v>
      </c>
      <c r="H821" s="3">
        <v>0</v>
      </c>
      <c r="I821" s="3">
        <f t="shared" si="61"/>
        <v>33660</v>
      </c>
      <c r="J821" s="2" t="s">
        <v>27</v>
      </c>
      <c r="K821" s="5">
        <v>46242.583333333343</v>
      </c>
      <c r="L821">
        <v>4</v>
      </c>
      <c r="M821" s="3">
        <f t="shared" si="62"/>
        <v>8415</v>
      </c>
      <c r="N821" t="str">
        <f t="shared" si="63"/>
        <v>ставка</v>
      </c>
      <c r="O821" s="3">
        <f t="shared" si="64"/>
        <v>660</v>
      </c>
      <c r="P821" s="5">
        <v>46246.5</v>
      </c>
      <c r="Q821" t="s">
        <v>245</v>
      </c>
      <c r="R821" s="2" t="s">
        <v>33</v>
      </c>
      <c r="S821">
        <v>41</v>
      </c>
      <c r="T821">
        <v>1</v>
      </c>
    </row>
    <row r="822" spans="1:20" ht="45" x14ac:dyDescent="0.25">
      <c r="A822" t="s">
        <v>1665</v>
      </c>
      <c r="B822">
        <v>1</v>
      </c>
      <c r="C822" s="2" t="s">
        <v>1666</v>
      </c>
      <c r="D822" s="3">
        <v>8900</v>
      </c>
      <c r="E822" s="4">
        <v>0</v>
      </c>
      <c r="F822" t="s">
        <v>23</v>
      </c>
      <c r="G822" s="3">
        <f t="shared" si="60"/>
        <v>8900</v>
      </c>
      <c r="H822" s="3">
        <v>0</v>
      </c>
      <c r="I822" s="3">
        <f t="shared" si="61"/>
        <v>8900</v>
      </c>
      <c r="J822" s="2" t="s">
        <v>27</v>
      </c>
      <c r="K822" s="5">
        <v>46244.583333333343</v>
      </c>
      <c r="L822">
        <v>1</v>
      </c>
      <c r="M822" s="3">
        <f t="shared" si="62"/>
        <v>8900</v>
      </c>
      <c r="N822" t="str">
        <f t="shared" si="63"/>
        <v>ставка</v>
      </c>
      <c r="O822" s="3">
        <f t="shared" si="64"/>
        <v>174.51</v>
      </c>
      <c r="P822" s="5">
        <v>46245.5</v>
      </c>
      <c r="Q822" t="s">
        <v>23</v>
      </c>
      <c r="R822" s="2" t="s">
        <v>87</v>
      </c>
      <c r="S822">
        <v>51</v>
      </c>
      <c r="T822">
        <v>2</v>
      </c>
    </row>
    <row r="823" spans="1:20" ht="30" x14ac:dyDescent="0.25">
      <c r="A823" t="s">
        <v>1667</v>
      </c>
      <c r="B823">
        <v>1</v>
      </c>
      <c r="C823" s="2" t="s">
        <v>1668</v>
      </c>
      <c r="D823" s="3">
        <v>11560</v>
      </c>
      <c r="E823" s="4">
        <v>18</v>
      </c>
      <c r="F823" t="s">
        <v>32</v>
      </c>
      <c r="G823" s="3">
        <f t="shared" si="60"/>
        <v>14097.56</v>
      </c>
      <c r="H823" s="3">
        <v>0</v>
      </c>
      <c r="I823" s="3">
        <f t="shared" si="61"/>
        <v>14097.56</v>
      </c>
      <c r="J823" s="2" t="s">
        <v>27</v>
      </c>
      <c r="K823" s="5">
        <v>46213.583333333343</v>
      </c>
      <c r="L823">
        <v>1</v>
      </c>
      <c r="M823" s="3">
        <f t="shared" si="62"/>
        <v>14097.56</v>
      </c>
      <c r="N823" t="str">
        <f t="shared" si="63"/>
        <v>ставка</v>
      </c>
      <c r="O823" s="3">
        <f t="shared" si="64"/>
        <v>276.42</v>
      </c>
      <c r="P823" s="5">
        <v>46214.5</v>
      </c>
      <c r="Q823" t="s">
        <v>32</v>
      </c>
      <c r="R823" s="2" t="s">
        <v>772</v>
      </c>
      <c r="S823">
        <v>51</v>
      </c>
      <c r="T823">
        <v>2</v>
      </c>
    </row>
    <row r="824" spans="1:20" x14ac:dyDescent="0.25">
      <c r="A824" t="s">
        <v>1669</v>
      </c>
      <c r="B824">
        <v>1</v>
      </c>
      <c r="C824" s="2" t="s">
        <v>1670</v>
      </c>
      <c r="D824" s="3">
        <v>12325</v>
      </c>
      <c r="E824" s="4">
        <v>15</v>
      </c>
      <c r="F824" t="s">
        <v>487</v>
      </c>
      <c r="G824" s="3">
        <f t="shared" si="60"/>
        <v>14500</v>
      </c>
      <c r="H824" s="3">
        <v>0</v>
      </c>
      <c r="I824" s="3">
        <f t="shared" si="61"/>
        <v>14500</v>
      </c>
      <c r="J824" s="2" t="s">
        <v>27</v>
      </c>
      <c r="K824" s="5">
        <v>46231.583333333343</v>
      </c>
      <c r="L824">
        <v>1</v>
      </c>
      <c r="M824" s="3">
        <f t="shared" si="62"/>
        <v>14500</v>
      </c>
      <c r="N824" t="str">
        <f t="shared" si="63"/>
        <v>ставка</v>
      </c>
      <c r="O824" s="3">
        <f t="shared" si="64"/>
        <v>284.31</v>
      </c>
      <c r="P824" s="5">
        <v>46232.5</v>
      </c>
      <c r="Q824" t="s">
        <v>487</v>
      </c>
      <c r="R824" s="2" t="s">
        <v>45</v>
      </c>
      <c r="S824">
        <v>53</v>
      </c>
      <c r="T824">
        <v>2</v>
      </c>
    </row>
    <row r="825" spans="1:20" x14ac:dyDescent="0.25">
      <c r="A825" t="s">
        <v>1671</v>
      </c>
      <c r="B825">
        <v>1</v>
      </c>
      <c r="C825" s="2" t="s">
        <v>1672</v>
      </c>
      <c r="D825" s="3">
        <v>11600</v>
      </c>
      <c r="E825" s="4">
        <v>20</v>
      </c>
      <c r="F825" t="s">
        <v>48</v>
      </c>
      <c r="G825" s="3">
        <f t="shared" si="60"/>
        <v>14500</v>
      </c>
      <c r="H825" s="3">
        <v>0</v>
      </c>
      <c r="I825" s="3">
        <f t="shared" si="61"/>
        <v>14500</v>
      </c>
      <c r="J825" s="2"/>
      <c r="K825" s="5">
        <v>46239.583333333343</v>
      </c>
      <c r="L825">
        <v>1</v>
      </c>
      <c r="M825" s="3">
        <f t="shared" si="62"/>
        <v>14500</v>
      </c>
      <c r="N825" t="str">
        <f t="shared" si="63"/>
        <v>ставка</v>
      </c>
      <c r="O825" s="3">
        <f t="shared" si="64"/>
        <v>284.31</v>
      </c>
      <c r="P825" s="5">
        <v>46240.5</v>
      </c>
      <c r="Q825" t="s">
        <v>48</v>
      </c>
      <c r="R825" s="2" t="s">
        <v>45</v>
      </c>
      <c r="S825">
        <v>53</v>
      </c>
      <c r="T825">
        <v>2</v>
      </c>
    </row>
    <row r="826" spans="1:20" ht="30" x14ac:dyDescent="0.25">
      <c r="A826" t="s">
        <v>1673</v>
      </c>
      <c r="B826">
        <v>1</v>
      </c>
      <c r="C826" s="2" t="s">
        <v>1674</v>
      </c>
      <c r="D826" s="3">
        <v>9647.5</v>
      </c>
      <c r="E826" s="4">
        <v>15</v>
      </c>
      <c r="F826" t="s">
        <v>487</v>
      </c>
      <c r="G826" s="3">
        <f t="shared" si="60"/>
        <v>11350</v>
      </c>
      <c r="H826" s="3">
        <v>0</v>
      </c>
      <c r="I826" s="3">
        <f t="shared" si="61"/>
        <v>11350</v>
      </c>
      <c r="J826" s="2" t="s">
        <v>27</v>
      </c>
      <c r="K826" s="5">
        <v>46288.583333333343</v>
      </c>
      <c r="L826">
        <v>1</v>
      </c>
      <c r="M826" s="3">
        <f t="shared" si="62"/>
        <v>11350</v>
      </c>
      <c r="N826" t="str">
        <f t="shared" si="63"/>
        <v>ставка</v>
      </c>
      <c r="O826" s="3">
        <f t="shared" si="64"/>
        <v>222.55</v>
      </c>
      <c r="P826" s="5">
        <v>46289.5</v>
      </c>
      <c r="Q826" t="s">
        <v>487</v>
      </c>
      <c r="R826" s="2" t="s">
        <v>40</v>
      </c>
      <c r="S826">
        <v>32</v>
      </c>
      <c r="T826">
        <v>1</v>
      </c>
    </row>
    <row r="827" spans="1:20" ht="30" x14ac:dyDescent="0.25">
      <c r="A827" t="s">
        <v>1675</v>
      </c>
      <c r="B827">
        <v>1</v>
      </c>
      <c r="C827" s="2" t="s">
        <v>1676</v>
      </c>
      <c r="D827" s="3">
        <v>29700</v>
      </c>
      <c r="E827" s="4">
        <v>0</v>
      </c>
      <c r="F827" t="s">
        <v>23</v>
      </c>
      <c r="G827" s="3">
        <f t="shared" si="60"/>
        <v>29700</v>
      </c>
      <c r="H827" s="3">
        <v>0</v>
      </c>
      <c r="I827" s="3">
        <f t="shared" si="61"/>
        <v>29700</v>
      </c>
      <c r="J827" s="2" t="s">
        <v>27</v>
      </c>
      <c r="K827" s="5">
        <v>46249.583333333343</v>
      </c>
      <c r="L827">
        <v>3</v>
      </c>
      <c r="M827" s="3">
        <f t="shared" si="62"/>
        <v>9900</v>
      </c>
      <c r="N827" t="str">
        <f t="shared" si="63"/>
        <v>ставка</v>
      </c>
      <c r="O827" s="3">
        <f t="shared" si="64"/>
        <v>582.35</v>
      </c>
      <c r="P827" s="5">
        <v>46252.5</v>
      </c>
      <c r="Q827" t="s">
        <v>23</v>
      </c>
      <c r="R827" s="2" t="s">
        <v>33</v>
      </c>
      <c r="S827">
        <v>45</v>
      </c>
      <c r="T827">
        <v>1</v>
      </c>
    </row>
    <row r="828" spans="1:20" x14ac:dyDescent="0.25">
      <c r="A828" t="s">
        <v>1677</v>
      </c>
      <c r="B828">
        <v>1</v>
      </c>
      <c r="C828" s="2" t="s">
        <v>1678</v>
      </c>
      <c r="D828" s="3">
        <v>45400</v>
      </c>
      <c r="E828" s="4">
        <v>18</v>
      </c>
      <c r="F828" t="s">
        <v>32</v>
      </c>
      <c r="G828" s="3">
        <f t="shared" si="60"/>
        <v>55365.85</v>
      </c>
      <c r="H828" s="3">
        <v>0</v>
      </c>
      <c r="I828" s="3">
        <f t="shared" si="61"/>
        <v>55365.85</v>
      </c>
      <c r="J828" s="2" t="s">
        <v>27</v>
      </c>
      <c r="K828" s="5">
        <v>46265.583333333343</v>
      </c>
      <c r="L828">
        <v>5</v>
      </c>
      <c r="M828" s="3">
        <f t="shared" si="62"/>
        <v>11073.17</v>
      </c>
      <c r="N828" t="str">
        <f t="shared" si="63"/>
        <v>ставка</v>
      </c>
      <c r="O828" s="3">
        <f t="shared" si="64"/>
        <v>1085.5999999999999</v>
      </c>
      <c r="P828" s="5">
        <v>46270.5</v>
      </c>
      <c r="Q828" t="s">
        <v>32</v>
      </c>
      <c r="R828" s="2" t="s">
        <v>49</v>
      </c>
      <c r="S828">
        <v>35</v>
      </c>
      <c r="T828">
        <v>1</v>
      </c>
    </row>
    <row r="829" spans="1:20" ht="30" x14ac:dyDescent="0.25">
      <c r="A829" t="s">
        <v>1679</v>
      </c>
      <c r="B829">
        <v>1</v>
      </c>
      <c r="C829" s="2" t="s">
        <v>1680</v>
      </c>
      <c r="D829" s="3">
        <v>9647.5</v>
      </c>
      <c r="E829" s="4">
        <v>15</v>
      </c>
      <c r="F829" t="s">
        <v>411</v>
      </c>
      <c r="G829" s="3">
        <f t="shared" si="60"/>
        <v>11350</v>
      </c>
      <c r="H829" s="3">
        <v>0</v>
      </c>
      <c r="I829" s="3">
        <f t="shared" si="61"/>
        <v>11350</v>
      </c>
      <c r="J829" s="2" t="s">
        <v>27</v>
      </c>
      <c r="K829" s="5">
        <v>46279.583333333343</v>
      </c>
      <c r="L829">
        <v>1</v>
      </c>
      <c r="M829" s="3">
        <f t="shared" si="62"/>
        <v>11350</v>
      </c>
      <c r="N829" t="str">
        <f t="shared" si="63"/>
        <v>ставка</v>
      </c>
      <c r="O829" s="3">
        <f t="shared" si="64"/>
        <v>222.55</v>
      </c>
      <c r="P829" s="5">
        <v>46280.5</v>
      </c>
      <c r="Q829" t="s">
        <v>411</v>
      </c>
      <c r="R829" s="2" t="s">
        <v>40</v>
      </c>
      <c r="S829">
        <v>58</v>
      </c>
      <c r="T829">
        <v>2</v>
      </c>
    </row>
    <row r="830" spans="1:20" ht="30" x14ac:dyDescent="0.25">
      <c r="A830" t="s">
        <v>1681</v>
      </c>
      <c r="B830">
        <v>1</v>
      </c>
      <c r="C830" s="2" t="s">
        <v>1682</v>
      </c>
      <c r="D830" s="3">
        <v>107322.6</v>
      </c>
      <c r="E830" s="4">
        <v>4</v>
      </c>
      <c r="F830" t="s">
        <v>55</v>
      </c>
      <c r="G830" s="3">
        <f t="shared" si="60"/>
        <v>111794.38</v>
      </c>
      <c r="H830" s="3">
        <v>0</v>
      </c>
      <c r="I830" s="3">
        <f t="shared" si="61"/>
        <v>111794.38</v>
      </c>
      <c r="J830" s="2" t="s">
        <v>27</v>
      </c>
      <c r="K830" s="5">
        <v>46246.583333333343</v>
      </c>
      <c r="L830">
        <v>7</v>
      </c>
      <c r="M830" s="3">
        <f t="shared" si="62"/>
        <v>15970.625714285716</v>
      </c>
      <c r="N830" t="str">
        <f t="shared" si="63"/>
        <v>ставка</v>
      </c>
      <c r="O830" s="3">
        <f t="shared" si="64"/>
        <v>2192.0500000000002</v>
      </c>
      <c r="P830" s="5">
        <v>46253.5</v>
      </c>
      <c r="Q830" t="s">
        <v>55</v>
      </c>
      <c r="R830" s="2" t="s">
        <v>24</v>
      </c>
      <c r="S830">
        <v>56</v>
      </c>
      <c r="T830">
        <v>2</v>
      </c>
    </row>
    <row r="831" spans="1:20" ht="30" x14ac:dyDescent="0.25">
      <c r="A831" t="s">
        <v>1683</v>
      </c>
      <c r="B831">
        <v>1</v>
      </c>
      <c r="C831" s="2" t="s">
        <v>1684</v>
      </c>
      <c r="D831" s="3">
        <v>21360</v>
      </c>
      <c r="E831" s="4">
        <v>20</v>
      </c>
      <c r="F831" t="s">
        <v>173</v>
      </c>
      <c r="G831" s="3">
        <f t="shared" si="60"/>
        <v>26700</v>
      </c>
      <c r="H831" s="3">
        <v>0</v>
      </c>
      <c r="I831" s="3">
        <f t="shared" si="61"/>
        <v>26700</v>
      </c>
      <c r="J831" s="2" t="s">
        <v>27</v>
      </c>
      <c r="K831" s="5">
        <v>46246.583333333343</v>
      </c>
      <c r="L831">
        <v>2</v>
      </c>
      <c r="M831" s="3">
        <f t="shared" si="62"/>
        <v>13350</v>
      </c>
      <c r="N831" t="str">
        <f t="shared" si="63"/>
        <v>ставка</v>
      </c>
      <c r="O831" s="3">
        <f t="shared" si="64"/>
        <v>523.53</v>
      </c>
      <c r="P831" s="5">
        <v>46248.5</v>
      </c>
      <c r="Q831" t="s">
        <v>173</v>
      </c>
      <c r="R831" s="2" t="s">
        <v>40</v>
      </c>
      <c r="S831">
        <v>58</v>
      </c>
      <c r="T831">
        <v>2</v>
      </c>
    </row>
    <row r="832" spans="1:20" ht="30" x14ac:dyDescent="0.25">
      <c r="A832" t="s">
        <v>1685</v>
      </c>
      <c r="B832">
        <v>1</v>
      </c>
      <c r="C832" s="2" t="s">
        <v>1686</v>
      </c>
      <c r="D832" s="3">
        <v>26499.75</v>
      </c>
      <c r="E832" s="4">
        <v>4</v>
      </c>
      <c r="F832" t="s">
        <v>55</v>
      </c>
      <c r="G832" s="3">
        <f t="shared" si="60"/>
        <v>27603.91</v>
      </c>
      <c r="H832" s="3">
        <v>0</v>
      </c>
      <c r="I832" s="3">
        <f t="shared" si="61"/>
        <v>27603.91</v>
      </c>
      <c r="J832" s="2" t="s">
        <v>27</v>
      </c>
      <c r="K832" s="5">
        <v>46279.583333333343</v>
      </c>
      <c r="L832">
        <v>2</v>
      </c>
      <c r="M832" s="3">
        <f t="shared" si="62"/>
        <v>13801.955</v>
      </c>
      <c r="N832" t="str">
        <f t="shared" si="63"/>
        <v>ставка</v>
      </c>
      <c r="O832" s="3">
        <f t="shared" si="64"/>
        <v>541.25</v>
      </c>
      <c r="P832" s="5">
        <v>46281.5</v>
      </c>
      <c r="Q832" t="s">
        <v>55</v>
      </c>
      <c r="R832" s="2" t="s">
        <v>40</v>
      </c>
      <c r="S832">
        <v>52</v>
      </c>
      <c r="T832">
        <v>2</v>
      </c>
    </row>
    <row r="833" spans="1:20" ht="30" x14ac:dyDescent="0.25">
      <c r="A833" t="s">
        <v>1687</v>
      </c>
      <c r="B833">
        <v>1</v>
      </c>
      <c r="C833" s="2" t="s">
        <v>1688</v>
      </c>
      <c r="D833" s="3">
        <v>43350</v>
      </c>
      <c r="E833" s="4">
        <v>0</v>
      </c>
      <c r="F833" t="s">
        <v>23</v>
      </c>
      <c r="G833" s="3">
        <f t="shared" si="60"/>
        <v>43350</v>
      </c>
      <c r="H833" s="3">
        <v>0</v>
      </c>
      <c r="I833" s="3">
        <f t="shared" si="61"/>
        <v>43350</v>
      </c>
      <c r="J833" s="2" t="s">
        <v>27</v>
      </c>
      <c r="K833" s="5">
        <v>46255.583333333343</v>
      </c>
      <c r="L833">
        <v>3</v>
      </c>
      <c r="M833" s="3">
        <f t="shared" si="62"/>
        <v>14450</v>
      </c>
      <c r="N833" t="str">
        <f t="shared" si="63"/>
        <v>ставка</v>
      </c>
      <c r="O833" s="3">
        <f t="shared" si="64"/>
        <v>850</v>
      </c>
      <c r="P833" s="5">
        <v>46258.5</v>
      </c>
      <c r="Q833" t="s">
        <v>23</v>
      </c>
      <c r="R833" s="2" t="s">
        <v>772</v>
      </c>
      <c r="S833">
        <v>50</v>
      </c>
      <c r="T833">
        <v>2</v>
      </c>
    </row>
    <row r="834" spans="1:20" ht="45" x14ac:dyDescent="0.25">
      <c r="A834" t="s">
        <v>1689</v>
      </c>
      <c r="B834">
        <v>1</v>
      </c>
      <c r="C834" s="2" t="s">
        <v>1688</v>
      </c>
      <c r="D834" s="3">
        <v>28900</v>
      </c>
      <c r="E834" s="4">
        <v>0</v>
      </c>
      <c r="F834" t="s">
        <v>23</v>
      </c>
      <c r="G834" s="3">
        <f t="shared" ref="G834:G897" si="65">ROUND(D834/(100-E834)*100,2)</f>
        <v>28900</v>
      </c>
      <c r="H834" s="3">
        <v>0</v>
      </c>
      <c r="I834" s="3">
        <f t="shared" ref="I834:I897" si="66">ROUND(G834+H834,2)</f>
        <v>28900</v>
      </c>
      <c r="J834" s="2" t="s">
        <v>27</v>
      </c>
      <c r="K834" s="5">
        <v>46265.583333333343</v>
      </c>
      <c r="L834">
        <v>2</v>
      </c>
      <c r="M834" s="3">
        <f t="shared" ref="M834:M897" si="67">I834/L834</f>
        <v>14450</v>
      </c>
      <c r="N834" t="str">
        <f t="shared" ref="N834:N897" si="68">IF(M834&gt;=5100,"ставка","мин.ставка")</f>
        <v>ставка</v>
      </c>
      <c r="O834" s="3">
        <f t="shared" ref="O834:O897" si="69">ROUND(IF(N834="мин.ставка",L834*100,I834/102*2),2)</f>
        <v>566.66999999999996</v>
      </c>
      <c r="P834" s="5">
        <v>46267.5</v>
      </c>
      <c r="Q834" t="s">
        <v>23</v>
      </c>
      <c r="R834" s="2" t="s">
        <v>87</v>
      </c>
      <c r="S834">
        <v>50</v>
      </c>
      <c r="T834">
        <v>2</v>
      </c>
    </row>
    <row r="835" spans="1:20" ht="30" x14ac:dyDescent="0.25">
      <c r="A835" t="s">
        <v>1690</v>
      </c>
      <c r="B835">
        <v>1</v>
      </c>
      <c r="C835" s="2" t="s">
        <v>1691</v>
      </c>
      <c r="D835" s="3">
        <v>22161</v>
      </c>
      <c r="E835" s="4">
        <v>18</v>
      </c>
      <c r="F835" t="s">
        <v>32</v>
      </c>
      <c r="G835" s="3">
        <f t="shared" si="65"/>
        <v>27025.61</v>
      </c>
      <c r="H835" s="3">
        <v>0</v>
      </c>
      <c r="I835" s="3">
        <f t="shared" si="66"/>
        <v>27025.61</v>
      </c>
      <c r="J835" s="2" t="s">
        <v>27</v>
      </c>
      <c r="K835" s="5">
        <v>46257.583333333343</v>
      </c>
      <c r="L835">
        <v>2</v>
      </c>
      <c r="M835" s="3">
        <f t="shared" si="67"/>
        <v>13512.805</v>
      </c>
      <c r="N835" t="str">
        <f t="shared" si="68"/>
        <v>ставка</v>
      </c>
      <c r="O835" s="3">
        <f t="shared" si="69"/>
        <v>529.91</v>
      </c>
      <c r="P835" s="5">
        <v>46259.5</v>
      </c>
      <c r="Q835" t="s">
        <v>32</v>
      </c>
      <c r="R835" s="2" t="s">
        <v>40</v>
      </c>
      <c r="S835">
        <v>22</v>
      </c>
      <c r="T835">
        <v>1</v>
      </c>
    </row>
    <row r="836" spans="1:20" ht="30" x14ac:dyDescent="0.25">
      <c r="A836" t="s">
        <v>1692</v>
      </c>
      <c r="B836">
        <v>1</v>
      </c>
      <c r="C836" s="2" t="s">
        <v>1693</v>
      </c>
      <c r="D836" s="3">
        <v>6557</v>
      </c>
      <c r="E836" s="4">
        <v>18</v>
      </c>
      <c r="F836" t="s">
        <v>32</v>
      </c>
      <c r="G836" s="3">
        <f t="shared" si="65"/>
        <v>7996.34</v>
      </c>
      <c r="H836" s="3">
        <v>0</v>
      </c>
      <c r="I836" s="3">
        <f t="shared" si="66"/>
        <v>7996.34</v>
      </c>
      <c r="J836" s="2" t="s">
        <v>27</v>
      </c>
      <c r="K836" s="5">
        <v>46257.583333333343</v>
      </c>
      <c r="L836">
        <v>1</v>
      </c>
      <c r="M836" s="3">
        <f t="shared" si="67"/>
        <v>7996.34</v>
      </c>
      <c r="N836" t="str">
        <f t="shared" si="68"/>
        <v>ставка</v>
      </c>
      <c r="O836" s="3">
        <f t="shared" si="69"/>
        <v>156.79</v>
      </c>
      <c r="P836" s="5">
        <v>46258.5</v>
      </c>
      <c r="Q836" t="s">
        <v>32</v>
      </c>
      <c r="R836" s="2" t="s">
        <v>33</v>
      </c>
      <c r="S836">
        <v>41</v>
      </c>
      <c r="T836">
        <v>1</v>
      </c>
    </row>
    <row r="837" spans="1:20" ht="30" x14ac:dyDescent="0.25">
      <c r="A837" t="s">
        <v>1694</v>
      </c>
      <c r="B837">
        <v>1</v>
      </c>
      <c r="C837" s="2" t="s">
        <v>1693</v>
      </c>
      <c r="D837" s="3">
        <v>6557</v>
      </c>
      <c r="E837" s="4">
        <v>18</v>
      </c>
      <c r="F837" t="s">
        <v>32</v>
      </c>
      <c r="G837" s="3">
        <f t="shared" si="65"/>
        <v>7996.34</v>
      </c>
      <c r="H837" s="3">
        <v>0</v>
      </c>
      <c r="I837" s="3">
        <f t="shared" si="66"/>
        <v>7996.34</v>
      </c>
      <c r="J837" s="2" t="s">
        <v>27</v>
      </c>
      <c r="K837" s="5">
        <v>46292.583333333343</v>
      </c>
      <c r="L837">
        <v>1</v>
      </c>
      <c r="M837" s="3">
        <f t="shared" si="67"/>
        <v>7996.34</v>
      </c>
      <c r="N837" t="str">
        <f t="shared" si="68"/>
        <v>ставка</v>
      </c>
      <c r="O837" s="3">
        <f t="shared" si="69"/>
        <v>156.79</v>
      </c>
      <c r="P837" s="5">
        <v>46293.5</v>
      </c>
      <c r="Q837" t="s">
        <v>32</v>
      </c>
      <c r="R837" s="2" t="s">
        <v>33</v>
      </c>
      <c r="S837">
        <v>43</v>
      </c>
      <c r="T837">
        <v>1</v>
      </c>
    </row>
    <row r="838" spans="1:20" ht="30" x14ac:dyDescent="0.25">
      <c r="A838" t="s">
        <v>1695</v>
      </c>
      <c r="B838">
        <v>1</v>
      </c>
      <c r="C838" s="2" t="s">
        <v>1696</v>
      </c>
      <c r="D838" s="3">
        <v>15840</v>
      </c>
      <c r="E838" s="4">
        <v>18</v>
      </c>
      <c r="F838" t="s">
        <v>32</v>
      </c>
      <c r="G838" s="3">
        <f t="shared" si="65"/>
        <v>19317.07</v>
      </c>
      <c r="H838" s="3">
        <v>0</v>
      </c>
      <c r="I838" s="3">
        <f t="shared" si="66"/>
        <v>19317.07</v>
      </c>
      <c r="J838" s="2" t="s">
        <v>27</v>
      </c>
      <c r="K838" s="5">
        <v>46242.583333333343</v>
      </c>
      <c r="L838">
        <v>2</v>
      </c>
      <c r="M838" s="3">
        <f t="shared" si="67"/>
        <v>9658.5349999999999</v>
      </c>
      <c r="N838" t="str">
        <f t="shared" si="68"/>
        <v>ставка</v>
      </c>
      <c r="O838" s="3">
        <f t="shared" si="69"/>
        <v>378.77</v>
      </c>
      <c r="P838" s="5">
        <v>46244.5</v>
      </c>
      <c r="Q838" t="s">
        <v>32</v>
      </c>
      <c r="R838" s="2" t="s">
        <v>33</v>
      </c>
      <c r="S838">
        <v>45</v>
      </c>
      <c r="T838">
        <v>1</v>
      </c>
    </row>
    <row r="839" spans="1:20" ht="30" x14ac:dyDescent="0.25">
      <c r="A839" t="s">
        <v>1697</v>
      </c>
      <c r="B839">
        <v>1</v>
      </c>
      <c r="C839" s="2" t="s">
        <v>1698</v>
      </c>
      <c r="D839" s="3">
        <v>14850</v>
      </c>
      <c r="E839" s="4">
        <v>18</v>
      </c>
      <c r="F839" t="s">
        <v>32</v>
      </c>
      <c r="G839" s="3">
        <f t="shared" si="65"/>
        <v>18109.759999999998</v>
      </c>
      <c r="H839" s="3">
        <v>0</v>
      </c>
      <c r="I839" s="3">
        <f t="shared" si="66"/>
        <v>18109.759999999998</v>
      </c>
      <c r="J839" s="2" t="s">
        <v>27</v>
      </c>
      <c r="K839" s="5">
        <v>46293.583333333343</v>
      </c>
      <c r="L839">
        <v>2</v>
      </c>
      <c r="M839" s="3">
        <f t="shared" si="67"/>
        <v>9054.8799999999992</v>
      </c>
      <c r="N839" t="str">
        <f t="shared" si="68"/>
        <v>ставка</v>
      </c>
      <c r="O839" s="3">
        <f t="shared" si="69"/>
        <v>355.09</v>
      </c>
      <c r="P839" s="5">
        <v>46295.5</v>
      </c>
      <c r="Q839" t="s">
        <v>32</v>
      </c>
      <c r="R839" s="2" t="s">
        <v>33</v>
      </c>
      <c r="S839">
        <v>41</v>
      </c>
      <c r="T839">
        <v>1</v>
      </c>
    </row>
    <row r="840" spans="1:20" ht="30" x14ac:dyDescent="0.25">
      <c r="A840" t="s">
        <v>1699</v>
      </c>
      <c r="B840">
        <v>1</v>
      </c>
      <c r="C840" s="2" t="s">
        <v>1700</v>
      </c>
      <c r="D840" s="3">
        <v>39600</v>
      </c>
      <c r="E840" s="4">
        <v>20</v>
      </c>
      <c r="F840" t="s">
        <v>173</v>
      </c>
      <c r="G840" s="3">
        <f t="shared" si="65"/>
        <v>49500</v>
      </c>
      <c r="H840" s="3">
        <v>0</v>
      </c>
      <c r="I840" s="3">
        <f t="shared" si="66"/>
        <v>49500</v>
      </c>
      <c r="J840" s="2" t="s">
        <v>27</v>
      </c>
      <c r="K840" s="5">
        <v>46266.583333333343</v>
      </c>
      <c r="L840">
        <v>3</v>
      </c>
      <c r="M840" s="3">
        <f t="shared" si="67"/>
        <v>16500</v>
      </c>
      <c r="N840" t="str">
        <f t="shared" si="68"/>
        <v>ставка</v>
      </c>
      <c r="O840" s="3">
        <f t="shared" si="69"/>
        <v>970.59</v>
      </c>
      <c r="P840" s="5">
        <v>46269.5</v>
      </c>
      <c r="Q840" t="s">
        <v>173</v>
      </c>
      <c r="R840" s="2" t="s">
        <v>49</v>
      </c>
      <c r="S840">
        <v>25</v>
      </c>
      <c r="T840">
        <v>1</v>
      </c>
    </row>
    <row r="841" spans="1:20" ht="30" x14ac:dyDescent="0.25">
      <c r="A841" t="s">
        <v>1701</v>
      </c>
      <c r="B841">
        <v>1</v>
      </c>
      <c r="C841" s="2" t="s">
        <v>1702</v>
      </c>
      <c r="D841" s="3">
        <v>10115</v>
      </c>
      <c r="E841" s="4">
        <v>15</v>
      </c>
      <c r="F841" t="s">
        <v>52</v>
      </c>
      <c r="G841" s="3">
        <f t="shared" si="65"/>
        <v>11900</v>
      </c>
      <c r="H841" s="3">
        <v>0</v>
      </c>
      <c r="I841" s="3">
        <f t="shared" si="66"/>
        <v>11900</v>
      </c>
      <c r="J841" s="2"/>
      <c r="K841" s="5">
        <v>46221.583333333343</v>
      </c>
      <c r="L841">
        <v>1</v>
      </c>
      <c r="M841" s="3">
        <f t="shared" si="67"/>
        <v>11900</v>
      </c>
      <c r="N841" t="str">
        <f t="shared" si="68"/>
        <v>ставка</v>
      </c>
      <c r="O841" s="3">
        <f t="shared" si="69"/>
        <v>233.33</v>
      </c>
      <c r="P841" s="5">
        <v>46222.5</v>
      </c>
      <c r="Q841" t="s">
        <v>52</v>
      </c>
      <c r="R841" s="2" t="s">
        <v>24</v>
      </c>
      <c r="S841">
        <v>31</v>
      </c>
      <c r="T841">
        <v>1</v>
      </c>
    </row>
    <row r="842" spans="1:20" ht="30" x14ac:dyDescent="0.25">
      <c r="A842" t="s">
        <v>1703</v>
      </c>
      <c r="B842">
        <v>1</v>
      </c>
      <c r="C842" s="2" t="s">
        <v>1704</v>
      </c>
      <c r="D842" s="3">
        <v>66000</v>
      </c>
      <c r="E842" s="4">
        <v>20</v>
      </c>
      <c r="F842" t="s">
        <v>103</v>
      </c>
      <c r="G842" s="3">
        <f t="shared" si="65"/>
        <v>82500</v>
      </c>
      <c r="H842" s="3">
        <v>8250</v>
      </c>
      <c r="I842" s="3">
        <f t="shared" si="66"/>
        <v>90750</v>
      </c>
      <c r="J842" s="2" t="s">
        <v>1705</v>
      </c>
      <c r="K842" s="5">
        <v>46223.583333333343</v>
      </c>
      <c r="L842">
        <v>5</v>
      </c>
      <c r="M842" s="3">
        <f t="shared" si="67"/>
        <v>18150</v>
      </c>
      <c r="N842" t="str">
        <f t="shared" si="68"/>
        <v>ставка</v>
      </c>
      <c r="O842" s="3">
        <f t="shared" si="69"/>
        <v>1779.41</v>
      </c>
      <c r="P842" s="5">
        <v>46228.75</v>
      </c>
      <c r="Q842" t="s">
        <v>103</v>
      </c>
      <c r="R842" s="2" t="s">
        <v>49</v>
      </c>
      <c r="S842">
        <v>35</v>
      </c>
      <c r="T842">
        <v>1</v>
      </c>
    </row>
    <row r="843" spans="1:20" ht="30" x14ac:dyDescent="0.25">
      <c r="A843" t="s">
        <v>1706</v>
      </c>
      <c r="B843">
        <v>1</v>
      </c>
      <c r="C843" s="2" t="s">
        <v>1707</v>
      </c>
      <c r="D843" s="3">
        <v>32752.5</v>
      </c>
      <c r="E843" s="4">
        <v>4</v>
      </c>
      <c r="F843" t="s">
        <v>55</v>
      </c>
      <c r="G843" s="3">
        <f t="shared" si="65"/>
        <v>34117.19</v>
      </c>
      <c r="H843" s="3">
        <v>300</v>
      </c>
      <c r="I843" s="3">
        <f t="shared" si="66"/>
        <v>34417.19</v>
      </c>
      <c r="J843" s="2" t="s">
        <v>1159</v>
      </c>
      <c r="K843" s="5">
        <v>46250.583333333343</v>
      </c>
      <c r="L843">
        <v>2</v>
      </c>
      <c r="M843" s="3">
        <f t="shared" si="67"/>
        <v>17208.595000000001</v>
      </c>
      <c r="N843" t="str">
        <f t="shared" si="68"/>
        <v>ставка</v>
      </c>
      <c r="O843" s="3">
        <f t="shared" si="69"/>
        <v>674.85</v>
      </c>
      <c r="P843" s="5">
        <v>46252.5</v>
      </c>
      <c r="Q843" t="s">
        <v>55</v>
      </c>
      <c r="R843" s="2" t="s">
        <v>49</v>
      </c>
      <c r="S843">
        <v>35</v>
      </c>
      <c r="T843">
        <v>1</v>
      </c>
    </row>
    <row r="844" spans="1:20" ht="30" x14ac:dyDescent="0.25">
      <c r="A844" t="s">
        <v>1708</v>
      </c>
      <c r="B844">
        <v>1</v>
      </c>
      <c r="C844" s="2" t="s">
        <v>1709</v>
      </c>
      <c r="D844" s="3">
        <v>19635</v>
      </c>
      <c r="E844" s="4">
        <v>15</v>
      </c>
      <c r="F844" t="s">
        <v>168</v>
      </c>
      <c r="G844" s="3">
        <f t="shared" si="65"/>
        <v>23100</v>
      </c>
      <c r="H844" s="3">
        <v>0</v>
      </c>
      <c r="I844" s="3">
        <f t="shared" si="66"/>
        <v>23100</v>
      </c>
      <c r="J844" s="2" t="s">
        <v>27</v>
      </c>
      <c r="K844" s="5">
        <v>46280.583333333343</v>
      </c>
      <c r="L844">
        <v>3</v>
      </c>
      <c r="M844" s="3">
        <f t="shared" si="67"/>
        <v>7700</v>
      </c>
      <c r="N844" t="str">
        <f t="shared" si="68"/>
        <v>ставка</v>
      </c>
      <c r="O844" s="3">
        <f t="shared" si="69"/>
        <v>452.94</v>
      </c>
      <c r="P844" s="5">
        <v>46283.5</v>
      </c>
      <c r="Q844" t="s">
        <v>168</v>
      </c>
      <c r="R844" s="2" t="s">
        <v>58</v>
      </c>
      <c r="S844">
        <v>24</v>
      </c>
      <c r="T844">
        <v>1</v>
      </c>
    </row>
    <row r="845" spans="1:20" ht="30" x14ac:dyDescent="0.25">
      <c r="A845" t="s">
        <v>171</v>
      </c>
      <c r="B845">
        <v>1</v>
      </c>
      <c r="C845" s="2" t="s">
        <v>1710</v>
      </c>
      <c r="D845" s="3">
        <v>56737.5</v>
      </c>
      <c r="E845" s="4">
        <v>20</v>
      </c>
      <c r="F845" t="s">
        <v>173</v>
      </c>
      <c r="G845" s="3">
        <f t="shared" si="65"/>
        <v>70921.88</v>
      </c>
      <c r="H845" s="3">
        <v>0</v>
      </c>
      <c r="I845" s="3">
        <f t="shared" si="66"/>
        <v>70921.88</v>
      </c>
      <c r="J845" s="2" t="s">
        <v>27</v>
      </c>
      <c r="K845" s="5">
        <v>46236.583333333343</v>
      </c>
      <c r="L845">
        <v>5</v>
      </c>
      <c r="M845" s="3">
        <f t="shared" si="67"/>
        <v>14184.376</v>
      </c>
      <c r="N845" t="str">
        <f t="shared" si="68"/>
        <v>ставка</v>
      </c>
      <c r="O845" s="3">
        <f t="shared" si="69"/>
        <v>1390.63</v>
      </c>
      <c r="P845" s="5">
        <v>46241.5</v>
      </c>
      <c r="Q845" t="s">
        <v>173</v>
      </c>
      <c r="R845" s="2" t="s">
        <v>40</v>
      </c>
      <c r="S845" s="6"/>
    </row>
    <row r="846" spans="1:20" ht="30" x14ac:dyDescent="0.25">
      <c r="A846" t="s">
        <v>1645</v>
      </c>
      <c r="B846">
        <v>1</v>
      </c>
      <c r="C846" s="2" t="s">
        <v>1711</v>
      </c>
      <c r="D846" s="3">
        <v>22348.15</v>
      </c>
      <c r="E846" s="4">
        <v>4</v>
      </c>
      <c r="F846" t="s">
        <v>55</v>
      </c>
      <c r="G846" s="3">
        <f t="shared" si="65"/>
        <v>23279.32</v>
      </c>
      <c r="H846" s="3">
        <v>0</v>
      </c>
      <c r="I846" s="3">
        <f t="shared" si="66"/>
        <v>23279.32</v>
      </c>
      <c r="J846" s="2" t="s">
        <v>27</v>
      </c>
      <c r="K846" s="5">
        <v>46261.583333333343</v>
      </c>
      <c r="L846">
        <v>2</v>
      </c>
      <c r="M846" s="3">
        <f t="shared" si="67"/>
        <v>11639.66</v>
      </c>
      <c r="N846" t="str">
        <f t="shared" si="68"/>
        <v>ставка</v>
      </c>
      <c r="O846" s="3">
        <f t="shared" si="69"/>
        <v>456.46</v>
      </c>
      <c r="P846" s="5">
        <v>46263.5</v>
      </c>
      <c r="Q846" t="s">
        <v>55</v>
      </c>
      <c r="R846" s="2" t="s">
        <v>40</v>
      </c>
      <c r="S846" s="6"/>
    </row>
    <row r="847" spans="1:20" ht="60" x14ac:dyDescent="0.25">
      <c r="A847" t="s">
        <v>1712</v>
      </c>
      <c r="B847">
        <v>1</v>
      </c>
      <c r="C847" s="2" t="s">
        <v>1713</v>
      </c>
      <c r="D847" s="3">
        <v>56737.5</v>
      </c>
      <c r="E847" s="4">
        <v>0</v>
      </c>
      <c r="F847" t="s">
        <v>180</v>
      </c>
      <c r="G847" s="3">
        <f t="shared" si="65"/>
        <v>56737.5</v>
      </c>
      <c r="H847" s="3">
        <v>9175</v>
      </c>
      <c r="I847" s="3">
        <f t="shared" si="66"/>
        <v>65912.5</v>
      </c>
      <c r="J847" s="2" t="s">
        <v>1714</v>
      </c>
      <c r="K847" s="5">
        <v>46214.583333333343</v>
      </c>
      <c r="L847">
        <v>5</v>
      </c>
      <c r="M847" s="3">
        <f t="shared" si="67"/>
        <v>13182.5</v>
      </c>
      <c r="N847" t="str">
        <f t="shared" si="68"/>
        <v>ставка</v>
      </c>
      <c r="O847" s="3">
        <f t="shared" si="69"/>
        <v>1292.4000000000001</v>
      </c>
      <c r="P847" s="5">
        <v>46219.583333333343</v>
      </c>
      <c r="Q847" t="s">
        <v>180</v>
      </c>
      <c r="R847" s="2" t="s">
        <v>40</v>
      </c>
      <c r="S847">
        <v>55</v>
      </c>
      <c r="T847">
        <v>2</v>
      </c>
    </row>
    <row r="848" spans="1:20" ht="30" x14ac:dyDescent="0.25">
      <c r="A848" t="s">
        <v>1715</v>
      </c>
      <c r="B848">
        <v>1</v>
      </c>
      <c r="C848" s="2" t="s">
        <v>1716</v>
      </c>
      <c r="D848" s="3">
        <v>20025</v>
      </c>
      <c r="E848" s="4">
        <v>18</v>
      </c>
      <c r="F848" t="s">
        <v>32</v>
      </c>
      <c r="G848" s="3">
        <f t="shared" si="65"/>
        <v>24420.73</v>
      </c>
      <c r="H848" s="3">
        <v>0</v>
      </c>
      <c r="I848" s="3">
        <f t="shared" si="66"/>
        <v>24420.73</v>
      </c>
      <c r="J848" s="2" t="s">
        <v>27</v>
      </c>
      <c r="K848" s="5">
        <v>46287.583333333343</v>
      </c>
      <c r="L848">
        <v>2</v>
      </c>
      <c r="M848" s="3">
        <f t="shared" si="67"/>
        <v>12210.365</v>
      </c>
      <c r="N848" t="str">
        <f t="shared" si="68"/>
        <v>ставка</v>
      </c>
      <c r="O848" s="3">
        <f t="shared" si="69"/>
        <v>478.84</v>
      </c>
      <c r="P848" s="5">
        <v>46289.5</v>
      </c>
      <c r="Q848" t="s">
        <v>32</v>
      </c>
      <c r="R848" s="2" t="s">
        <v>40</v>
      </c>
      <c r="S848">
        <v>22</v>
      </c>
      <c r="T848">
        <v>1</v>
      </c>
    </row>
    <row r="849" spans="1:20" ht="30" x14ac:dyDescent="0.25">
      <c r="A849" t="s">
        <v>1717</v>
      </c>
      <c r="B849">
        <v>1</v>
      </c>
      <c r="C849" s="2" t="s">
        <v>1718</v>
      </c>
      <c r="D849" s="3">
        <v>11390</v>
      </c>
      <c r="E849" s="4">
        <v>15</v>
      </c>
      <c r="F849" t="s">
        <v>36</v>
      </c>
      <c r="G849" s="3">
        <f t="shared" si="65"/>
        <v>13400</v>
      </c>
      <c r="H849" s="3">
        <v>0</v>
      </c>
      <c r="I849" s="3">
        <f t="shared" si="66"/>
        <v>13400</v>
      </c>
      <c r="J849" s="2" t="s">
        <v>27</v>
      </c>
      <c r="K849" s="5">
        <v>46223.583333333343</v>
      </c>
      <c r="L849">
        <v>1</v>
      </c>
      <c r="M849" s="3">
        <f t="shared" si="67"/>
        <v>13400</v>
      </c>
      <c r="N849" t="str">
        <f t="shared" si="68"/>
        <v>ставка</v>
      </c>
      <c r="O849" s="3">
        <f t="shared" si="69"/>
        <v>262.75</v>
      </c>
      <c r="P849" s="5">
        <v>46224.5</v>
      </c>
      <c r="Q849" t="s">
        <v>36</v>
      </c>
      <c r="R849" s="2" t="s">
        <v>24</v>
      </c>
      <c r="S849">
        <v>21</v>
      </c>
      <c r="T849">
        <v>1</v>
      </c>
    </row>
    <row r="850" spans="1:20" ht="45" x14ac:dyDescent="0.25">
      <c r="A850" t="s">
        <v>1719</v>
      </c>
      <c r="B850">
        <v>1</v>
      </c>
      <c r="C850" s="2" t="s">
        <v>1720</v>
      </c>
      <c r="D850" s="3">
        <v>12450</v>
      </c>
      <c r="E850" s="4">
        <v>0</v>
      </c>
      <c r="F850" t="s">
        <v>23</v>
      </c>
      <c r="G850" s="3">
        <f t="shared" si="65"/>
        <v>12450</v>
      </c>
      <c r="H850" s="3">
        <v>0</v>
      </c>
      <c r="I850" s="3">
        <f t="shared" si="66"/>
        <v>12450</v>
      </c>
      <c r="J850" s="2" t="s">
        <v>27</v>
      </c>
      <c r="K850" s="5">
        <v>46243.583333333343</v>
      </c>
      <c r="L850">
        <v>1</v>
      </c>
      <c r="M850" s="3">
        <f t="shared" si="67"/>
        <v>12450</v>
      </c>
      <c r="N850" t="str">
        <f t="shared" si="68"/>
        <v>ставка</v>
      </c>
      <c r="O850" s="3">
        <f t="shared" si="69"/>
        <v>244.12</v>
      </c>
      <c r="P850" s="5">
        <v>46244.5</v>
      </c>
      <c r="Q850" t="s">
        <v>23</v>
      </c>
      <c r="R850" s="2" t="s">
        <v>87</v>
      </c>
      <c r="S850">
        <v>50</v>
      </c>
      <c r="T850">
        <v>2</v>
      </c>
    </row>
    <row r="851" spans="1:20" ht="30" x14ac:dyDescent="0.25">
      <c r="A851" t="s">
        <v>1721</v>
      </c>
      <c r="B851">
        <v>1</v>
      </c>
      <c r="C851" s="2" t="s">
        <v>1720</v>
      </c>
      <c r="D851" s="3">
        <v>6930</v>
      </c>
      <c r="E851" s="4">
        <v>0</v>
      </c>
      <c r="F851" t="s">
        <v>23</v>
      </c>
      <c r="G851" s="3">
        <f t="shared" si="65"/>
        <v>6930</v>
      </c>
      <c r="H851" s="3">
        <v>0</v>
      </c>
      <c r="I851" s="3">
        <f t="shared" si="66"/>
        <v>6930</v>
      </c>
      <c r="J851" s="2" t="s">
        <v>27</v>
      </c>
      <c r="K851" s="5">
        <v>46244.583333333343</v>
      </c>
      <c r="L851">
        <v>1</v>
      </c>
      <c r="M851" s="3">
        <f t="shared" si="67"/>
        <v>6930</v>
      </c>
      <c r="N851" t="str">
        <f t="shared" si="68"/>
        <v>ставка</v>
      </c>
      <c r="O851" s="3">
        <f t="shared" si="69"/>
        <v>135.88</v>
      </c>
      <c r="P851" s="5">
        <v>46245.5</v>
      </c>
      <c r="Q851" t="s">
        <v>23</v>
      </c>
      <c r="R851" s="2" t="s">
        <v>58</v>
      </c>
      <c r="S851">
        <v>34</v>
      </c>
      <c r="T851">
        <v>1</v>
      </c>
    </row>
    <row r="852" spans="1:20" ht="30" x14ac:dyDescent="0.25">
      <c r="A852" t="s">
        <v>1722</v>
      </c>
      <c r="B852">
        <v>1</v>
      </c>
      <c r="C852" s="2" t="s">
        <v>1720</v>
      </c>
      <c r="D852" s="3">
        <v>26180</v>
      </c>
      <c r="E852" s="4">
        <v>16</v>
      </c>
      <c r="F852" t="s">
        <v>36</v>
      </c>
      <c r="G852" s="3">
        <f t="shared" si="65"/>
        <v>31166.67</v>
      </c>
      <c r="H852" s="3">
        <v>0</v>
      </c>
      <c r="I852" s="3">
        <f t="shared" si="66"/>
        <v>31166.67</v>
      </c>
      <c r="J852" s="2" t="s">
        <v>27</v>
      </c>
      <c r="K852" s="5">
        <v>46235.583333333343</v>
      </c>
      <c r="L852">
        <v>4</v>
      </c>
      <c r="M852" s="3">
        <f t="shared" si="67"/>
        <v>7791.6674999999996</v>
      </c>
      <c r="N852" t="str">
        <f t="shared" si="68"/>
        <v>ставка</v>
      </c>
      <c r="O852" s="3">
        <f t="shared" si="69"/>
        <v>611.11</v>
      </c>
      <c r="P852" s="5">
        <v>46239.5</v>
      </c>
      <c r="Q852" t="s">
        <v>36</v>
      </c>
      <c r="R852" s="2" t="s">
        <v>58</v>
      </c>
      <c r="S852">
        <v>34</v>
      </c>
      <c r="T852">
        <v>1</v>
      </c>
    </row>
    <row r="853" spans="1:20" ht="45" x14ac:dyDescent="0.25">
      <c r="A853" t="s">
        <v>1723</v>
      </c>
      <c r="B853">
        <v>1</v>
      </c>
      <c r="C853" s="2" t="s">
        <v>1720</v>
      </c>
      <c r="D853" s="3">
        <v>20916</v>
      </c>
      <c r="E853" s="4">
        <v>16</v>
      </c>
      <c r="F853" t="s">
        <v>36</v>
      </c>
      <c r="G853" s="3">
        <f t="shared" si="65"/>
        <v>24900</v>
      </c>
      <c r="H853" s="3">
        <v>200</v>
      </c>
      <c r="I853" s="3">
        <f t="shared" si="66"/>
        <v>25100</v>
      </c>
      <c r="J853" s="2" t="s">
        <v>1724</v>
      </c>
      <c r="K853" s="5">
        <v>46241.583333333343</v>
      </c>
      <c r="L853">
        <v>2</v>
      </c>
      <c r="M853" s="3">
        <f t="shared" si="67"/>
        <v>12550</v>
      </c>
      <c r="N853" t="str">
        <f t="shared" si="68"/>
        <v>ставка</v>
      </c>
      <c r="O853" s="3">
        <f t="shared" si="69"/>
        <v>492.16</v>
      </c>
      <c r="P853" s="5">
        <v>46243.5</v>
      </c>
      <c r="Q853" t="s">
        <v>36</v>
      </c>
      <c r="R853" s="2" t="s">
        <v>87</v>
      </c>
      <c r="S853">
        <v>50</v>
      </c>
      <c r="T853">
        <v>2</v>
      </c>
    </row>
    <row r="854" spans="1:20" x14ac:dyDescent="0.25">
      <c r="A854" t="s">
        <v>1725</v>
      </c>
      <c r="B854">
        <v>1</v>
      </c>
      <c r="C854" s="2" t="s">
        <v>1726</v>
      </c>
      <c r="D854" s="3">
        <v>28050</v>
      </c>
      <c r="E854" s="4">
        <v>15</v>
      </c>
      <c r="F854" t="s">
        <v>52</v>
      </c>
      <c r="G854" s="3">
        <f t="shared" si="65"/>
        <v>33000</v>
      </c>
      <c r="H854" s="3">
        <v>0</v>
      </c>
      <c r="I854" s="3">
        <f t="shared" si="66"/>
        <v>33000</v>
      </c>
      <c r="J854" s="2" t="s">
        <v>27</v>
      </c>
      <c r="K854" s="5">
        <v>46279.583333333343</v>
      </c>
      <c r="L854">
        <v>2</v>
      </c>
      <c r="M854" s="3">
        <f t="shared" si="67"/>
        <v>16500</v>
      </c>
      <c r="N854" t="str">
        <f t="shared" si="68"/>
        <v>ставка</v>
      </c>
      <c r="O854" s="3">
        <f t="shared" si="69"/>
        <v>647.05999999999995</v>
      </c>
      <c r="P854" s="5">
        <v>46281.5</v>
      </c>
      <c r="Q854" t="s">
        <v>52</v>
      </c>
      <c r="R854" s="2" t="s">
        <v>49</v>
      </c>
      <c r="S854">
        <v>35</v>
      </c>
      <c r="T854">
        <v>1</v>
      </c>
    </row>
    <row r="855" spans="1:20" ht="30" x14ac:dyDescent="0.25">
      <c r="A855" t="s">
        <v>1727</v>
      </c>
      <c r="B855">
        <v>1</v>
      </c>
      <c r="C855" s="2" t="s">
        <v>1728</v>
      </c>
      <c r="D855" s="3">
        <v>11214</v>
      </c>
      <c r="E855" s="4">
        <v>16</v>
      </c>
      <c r="F855" t="s">
        <v>36</v>
      </c>
      <c r="G855" s="3">
        <f t="shared" si="65"/>
        <v>13350</v>
      </c>
      <c r="H855" s="3">
        <v>0</v>
      </c>
      <c r="I855" s="3">
        <f t="shared" si="66"/>
        <v>13350</v>
      </c>
      <c r="J855" s="2" t="s">
        <v>27</v>
      </c>
      <c r="K855" s="5">
        <v>46277.583333333343</v>
      </c>
      <c r="L855">
        <v>1</v>
      </c>
      <c r="M855" s="3">
        <f t="shared" si="67"/>
        <v>13350</v>
      </c>
      <c r="N855" t="str">
        <f t="shared" si="68"/>
        <v>ставка</v>
      </c>
      <c r="O855" s="3">
        <f t="shared" si="69"/>
        <v>261.76</v>
      </c>
      <c r="P855" s="5">
        <v>46278.5</v>
      </c>
      <c r="Q855" t="s">
        <v>36</v>
      </c>
      <c r="R855" s="2" t="s">
        <v>40</v>
      </c>
      <c r="S855">
        <v>44</v>
      </c>
      <c r="T855">
        <v>1</v>
      </c>
    </row>
    <row r="856" spans="1:20" ht="45" x14ac:dyDescent="0.25">
      <c r="A856" t="s">
        <v>1729</v>
      </c>
      <c r="B856">
        <v>1</v>
      </c>
      <c r="C856" s="2" t="s">
        <v>1730</v>
      </c>
      <c r="D856" s="3">
        <v>12350</v>
      </c>
      <c r="E856" s="4">
        <v>0</v>
      </c>
      <c r="F856" t="s">
        <v>23</v>
      </c>
      <c r="G856" s="3">
        <f t="shared" si="65"/>
        <v>12350</v>
      </c>
      <c r="H856" s="3">
        <v>0</v>
      </c>
      <c r="I856" s="3">
        <f t="shared" si="66"/>
        <v>12350</v>
      </c>
      <c r="J856" s="2" t="s">
        <v>27</v>
      </c>
      <c r="K856" s="5">
        <v>46205.583333333343</v>
      </c>
      <c r="L856">
        <v>1</v>
      </c>
      <c r="M856" s="3">
        <f t="shared" si="67"/>
        <v>12350</v>
      </c>
      <c r="N856" t="str">
        <f t="shared" si="68"/>
        <v>ставка</v>
      </c>
      <c r="O856" s="3">
        <f t="shared" si="69"/>
        <v>242.16</v>
      </c>
      <c r="P856" s="5">
        <v>46206.5</v>
      </c>
      <c r="Q856" t="s">
        <v>23</v>
      </c>
      <c r="R856" s="2" t="s">
        <v>87</v>
      </c>
      <c r="S856">
        <v>51</v>
      </c>
      <c r="T856">
        <v>2</v>
      </c>
    </row>
    <row r="857" spans="1:20" x14ac:dyDescent="0.25">
      <c r="A857" t="s">
        <v>1731</v>
      </c>
      <c r="B857">
        <v>1</v>
      </c>
      <c r="C857" s="2" t="s">
        <v>1730</v>
      </c>
      <c r="D857" s="3">
        <v>17800</v>
      </c>
      <c r="E857" s="4">
        <v>0</v>
      </c>
      <c r="F857" t="s">
        <v>23</v>
      </c>
      <c r="G857" s="3">
        <f t="shared" si="65"/>
        <v>17800</v>
      </c>
      <c r="H857" s="3">
        <v>0</v>
      </c>
      <c r="I857" s="3">
        <f t="shared" si="66"/>
        <v>17800</v>
      </c>
      <c r="J857" s="2" t="s">
        <v>27</v>
      </c>
      <c r="K857" s="5">
        <v>46211.583333333343</v>
      </c>
      <c r="L857">
        <v>1</v>
      </c>
      <c r="M857" s="3">
        <f t="shared" si="67"/>
        <v>17800</v>
      </c>
      <c r="N857" t="str">
        <f t="shared" si="68"/>
        <v>ставка</v>
      </c>
      <c r="O857" s="3">
        <f t="shared" si="69"/>
        <v>349.02</v>
      </c>
      <c r="P857" s="5">
        <v>46212.5</v>
      </c>
      <c r="Q857" t="s">
        <v>23</v>
      </c>
      <c r="R857" s="2" t="s">
        <v>45</v>
      </c>
      <c r="S857">
        <v>53</v>
      </c>
      <c r="T857">
        <v>2</v>
      </c>
    </row>
    <row r="858" spans="1:20" x14ac:dyDescent="0.25">
      <c r="A858" t="s">
        <v>1732</v>
      </c>
      <c r="B858">
        <v>1</v>
      </c>
      <c r="C858" s="2" t="s">
        <v>1730</v>
      </c>
      <c r="D858" s="3">
        <v>16020</v>
      </c>
      <c r="E858" s="4">
        <v>0</v>
      </c>
      <c r="F858" t="s">
        <v>23</v>
      </c>
      <c r="G858" s="3">
        <f t="shared" si="65"/>
        <v>16020</v>
      </c>
      <c r="H858" s="3">
        <v>0</v>
      </c>
      <c r="I858" s="3">
        <f t="shared" si="66"/>
        <v>16020</v>
      </c>
      <c r="J858" s="2" t="s">
        <v>27</v>
      </c>
      <c r="K858" s="5">
        <v>46240.583333333343</v>
      </c>
      <c r="L858">
        <v>1</v>
      </c>
      <c r="M858" s="3">
        <f t="shared" si="67"/>
        <v>16020</v>
      </c>
      <c r="N858" t="str">
        <f t="shared" si="68"/>
        <v>ставка</v>
      </c>
      <c r="O858" s="3">
        <f t="shared" si="69"/>
        <v>314.12</v>
      </c>
      <c r="P858" s="5">
        <v>46241.5</v>
      </c>
      <c r="Q858" t="s">
        <v>23</v>
      </c>
      <c r="R858" s="2" t="s">
        <v>45</v>
      </c>
      <c r="S858">
        <v>54</v>
      </c>
      <c r="T858">
        <v>2</v>
      </c>
    </row>
    <row r="859" spans="1:20" ht="30" x14ac:dyDescent="0.25">
      <c r="A859" t="s">
        <v>1733</v>
      </c>
      <c r="B859">
        <v>1</v>
      </c>
      <c r="C859" s="2" t="s">
        <v>1730</v>
      </c>
      <c r="D859" s="3">
        <v>9315</v>
      </c>
      <c r="E859" s="4">
        <v>0</v>
      </c>
      <c r="F859" t="s">
        <v>23</v>
      </c>
      <c r="G859" s="3">
        <f t="shared" si="65"/>
        <v>9315</v>
      </c>
      <c r="H859" s="3">
        <v>0</v>
      </c>
      <c r="I859" s="3">
        <f t="shared" si="66"/>
        <v>9315</v>
      </c>
      <c r="J859" s="2" t="s">
        <v>27</v>
      </c>
      <c r="K859" s="5">
        <v>46213.583333333343</v>
      </c>
      <c r="L859">
        <v>1</v>
      </c>
      <c r="M859" s="3">
        <f t="shared" si="67"/>
        <v>9315</v>
      </c>
      <c r="N859" t="str">
        <f t="shared" si="68"/>
        <v>ставка</v>
      </c>
      <c r="O859" s="3">
        <f t="shared" si="69"/>
        <v>182.65</v>
      </c>
      <c r="P859" s="5">
        <v>46214.5</v>
      </c>
      <c r="Q859" t="s">
        <v>23</v>
      </c>
      <c r="R859" s="2" t="s">
        <v>40</v>
      </c>
      <c r="S859">
        <v>58</v>
      </c>
      <c r="T859">
        <v>2</v>
      </c>
    </row>
    <row r="860" spans="1:20" ht="30" x14ac:dyDescent="0.25">
      <c r="A860" t="s">
        <v>1734</v>
      </c>
      <c r="B860">
        <v>1</v>
      </c>
      <c r="C860" s="2" t="s">
        <v>1730</v>
      </c>
      <c r="D860" s="3">
        <v>12015</v>
      </c>
      <c r="E860" s="4">
        <v>0</v>
      </c>
      <c r="F860" t="s">
        <v>23</v>
      </c>
      <c r="G860" s="3">
        <f t="shared" si="65"/>
        <v>12015</v>
      </c>
      <c r="H860" s="3">
        <v>0</v>
      </c>
      <c r="I860" s="3">
        <f t="shared" si="66"/>
        <v>12015</v>
      </c>
      <c r="J860" s="2" t="s">
        <v>27</v>
      </c>
      <c r="K860" s="5">
        <v>46233.583333333343</v>
      </c>
      <c r="L860">
        <v>1</v>
      </c>
      <c r="M860" s="3">
        <f t="shared" si="67"/>
        <v>12015</v>
      </c>
      <c r="N860" t="str">
        <f t="shared" si="68"/>
        <v>ставка</v>
      </c>
      <c r="O860" s="3">
        <f t="shared" si="69"/>
        <v>235.59</v>
      </c>
      <c r="P860" s="5">
        <v>46234.5</v>
      </c>
      <c r="Q860" t="s">
        <v>23</v>
      </c>
      <c r="R860" s="2" t="s">
        <v>40</v>
      </c>
      <c r="S860">
        <v>52</v>
      </c>
      <c r="T860">
        <v>2</v>
      </c>
    </row>
    <row r="861" spans="1:20" ht="30" x14ac:dyDescent="0.25">
      <c r="A861" t="s">
        <v>1735</v>
      </c>
      <c r="B861">
        <v>1</v>
      </c>
      <c r="C861" s="2" t="s">
        <v>1730</v>
      </c>
      <c r="D861" s="3">
        <v>12015</v>
      </c>
      <c r="E861" s="4">
        <v>0</v>
      </c>
      <c r="F861" t="s">
        <v>23</v>
      </c>
      <c r="G861" s="3">
        <f t="shared" si="65"/>
        <v>12015</v>
      </c>
      <c r="H861" s="3">
        <v>0</v>
      </c>
      <c r="I861" s="3">
        <f t="shared" si="66"/>
        <v>12015</v>
      </c>
      <c r="J861" s="2" t="s">
        <v>27</v>
      </c>
      <c r="K861" s="5">
        <v>46235.583333333343</v>
      </c>
      <c r="L861">
        <v>1</v>
      </c>
      <c r="M861" s="3">
        <f t="shared" si="67"/>
        <v>12015</v>
      </c>
      <c r="N861" t="str">
        <f t="shared" si="68"/>
        <v>ставка</v>
      </c>
      <c r="O861" s="3">
        <f t="shared" si="69"/>
        <v>235.59</v>
      </c>
      <c r="P861" s="5">
        <v>46236.5</v>
      </c>
      <c r="Q861" t="s">
        <v>23</v>
      </c>
      <c r="R861" s="2" t="s">
        <v>40</v>
      </c>
      <c r="S861">
        <v>52</v>
      </c>
      <c r="T861">
        <v>2</v>
      </c>
    </row>
    <row r="862" spans="1:20" x14ac:dyDescent="0.25">
      <c r="A862" t="s">
        <v>1736</v>
      </c>
      <c r="B862">
        <v>1</v>
      </c>
      <c r="C862" s="2" t="s">
        <v>1730</v>
      </c>
      <c r="D862" s="3">
        <v>14850</v>
      </c>
      <c r="E862" s="4">
        <v>0</v>
      </c>
      <c r="F862" t="s">
        <v>23</v>
      </c>
      <c r="G862" s="3">
        <f t="shared" si="65"/>
        <v>14850</v>
      </c>
      <c r="H862" s="3">
        <v>0</v>
      </c>
      <c r="I862" s="3">
        <f t="shared" si="66"/>
        <v>14850</v>
      </c>
      <c r="J862" s="2" t="s">
        <v>27</v>
      </c>
      <c r="K862" s="5">
        <v>46242.583333333343</v>
      </c>
      <c r="L862">
        <v>1</v>
      </c>
      <c r="M862" s="3">
        <f t="shared" si="67"/>
        <v>14850</v>
      </c>
      <c r="N862" t="str">
        <f t="shared" si="68"/>
        <v>ставка</v>
      </c>
      <c r="O862" s="3">
        <f t="shared" si="69"/>
        <v>291.18</v>
      </c>
      <c r="P862" s="5">
        <v>46243.5</v>
      </c>
      <c r="Q862" t="s">
        <v>23</v>
      </c>
      <c r="R862" s="2" t="s">
        <v>49</v>
      </c>
      <c r="S862">
        <v>35</v>
      </c>
      <c r="T862">
        <v>1</v>
      </c>
    </row>
    <row r="863" spans="1:20" ht="30" x14ac:dyDescent="0.25">
      <c r="A863" t="s">
        <v>1737</v>
      </c>
      <c r="B863">
        <v>1</v>
      </c>
      <c r="C863" s="2" t="s">
        <v>1730</v>
      </c>
      <c r="D863" s="3">
        <v>12015</v>
      </c>
      <c r="E863" s="4">
        <v>0</v>
      </c>
      <c r="F863" t="s">
        <v>23</v>
      </c>
      <c r="G863" s="3">
        <f t="shared" si="65"/>
        <v>12015</v>
      </c>
      <c r="H863" s="3">
        <v>0</v>
      </c>
      <c r="I863" s="3">
        <f t="shared" si="66"/>
        <v>12015</v>
      </c>
      <c r="J863" s="2" t="s">
        <v>27</v>
      </c>
      <c r="K863" s="5">
        <v>46248.583333333343</v>
      </c>
      <c r="L863">
        <v>1</v>
      </c>
      <c r="M863" s="3">
        <f t="shared" si="67"/>
        <v>12015</v>
      </c>
      <c r="N863" t="str">
        <f t="shared" si="68"/>
        <v>ставка</v>
      </c>
      <c r="O863" s="3">
        <f t="shared" si="69"/>
        <v>235.59</v>
      </c>
      <c r="P863" s="5">
        <v>46249.5</v>
      </c>
      <c r="Q863" t="s">
        <v>23</v>
      </c>
      <c r="R863" s="2" t="s">
        <v>40</v>
      </c>
      <c r="S863">
        <v>32</v>
      </c>
      <c r="T863">
        <v>1</v>
      </c>
    </row>
    <row r="864" spans="1:20" ht="30" x14ac:dyDescent="0.25">
      <c r="A864" t="s">
        <v>1738</v>
      </c>
      <c r="B864">
        <v>1</v>
      </c>
      <c r="C864" s="2" t="s">
        <v>1739</v>
      </c>
      <c r="D864" s="3">
        <v>9996</v>
      </c>
      <c r="E864" s="4">
        <v>16</v>
      </c>
      <c r="F864" t="s">
        <v>36</v>
      </c>
      <c r="G864" s="3">
        <f t="shared" si="65"/>
        <v>11900</v>
      </c>
      <c r="H864" s="3">
        <v>0</v>
      </c>
      <c r="I864" s="3">
        <f t="shared" si="66"/>
        <v>11900</v>
      </c>
      <c r="J864" s="2"/>
      <c r="K864" s="5">
        <v>46244.583333333343</v>
      </c>
      <c r="L864">
        <v>1</v>
      </c>
      <c r="M864" s="3">
        <f t="shared" si="67"/>
        <v>11900</v>
      </c>
      <c r="N864" t="str">
        <f t="shared" si="68"/>
        <v>ставка</v>
      </c>
      <c r="O864" s="3">
        <f t="shared" si="69"/>
        <v>233.33</v>
      </c>
      <c r="P864" s="5">
        <v>46245.5</v>
      </c>
      <c r="Q864" t="s">
        <v>36</v>
      </c>
      <c r="R864" s="2" t="s">
        <v>24</v>
      </c>
      <c r="S864">
        <v>59</v>
      </c>
      <c r="T864">
        <v>2</v>
      </c>
    </row>
    <row r="865" spans="1:20" ht="30" x14ac:dyDescent="0.25">
      <c r="A865" t="s">
        <v>1740</v>
      </c>
      <c r="B865">
        <v>1</v>
      </c>
      <c r="C865" s="2" t="s">
        <v>1741</v>
      </c>
      <c r="D865" s="3">
        <v>45390</v>
      </c>
      <c r="E865" s="4">
        <v>0</v>
      </c>
      <c r="F865" t="s">
        <v>180</v>
      </c>
      <c r="G865" s="3">
        <f t="shared" si="65"/>
        <v>45390</v>
      </c>
      <c r="H865" s="3">
        <v>0</v>
      </c>
      <c r="I865" s="3">
        <f t="shared" si="66"/>
        <v>45390</v>
      </c>
      <c r="J865" s="2" t="s">
        <v>181</v>
      </c>
      <c r="K865" s="5">
        <v>46266.583333333343</v>
      </c>
      <c r="L865">
        <v>4</v>
      </c>
      <c r="M865" s="3">
        <f t="shared" si="67"/>
        <v>11347.5</v>
      </c>
      <c r="N865" t="str">
        <f t="shared" si="68"/>
        <v>ставка</v>
      </c>
      <c r="O865" s="3">
        <f t="shared" si="69"/>
        <v>890</v>
      </c>
      <c r="P865" s="5">
        <v>46270.5</v>
      </c>
      <c r="Q865" t="s">
        <v>180</v>
      </c>
      <c r="R865" s="2" t="s">
        <v>40</v>
      </c>
      <c r="S865">
        <v>26</v>
      </c>
      <c r="T865">
        <v>1</v>
      </c>
    </row>
    <row r="866" spans="1:20" ht="30" x14ac:dyDescent="0.25">
      <c r="A866" t="s">
        <v>1742</v>
      </c>
      <c r="B866">
        <v>1</v>
      </c>
      <c r="C866" s="2" t="s">
        <v>1743</v>
      </c>
      <c r="D866" s="3">
        <v>12015</v>
      </c>
      <c r="E866" s="4">
        <v>0</v>
      </c>
      <c r="F866" t="s">
        <v>23</v>
      </c>
      <c r="G866" s="3">
        <f t="shared" si="65"/>
        <v>12015</v>
      </c>
      <c r="H866" s="3">
        <v>0</v>
      </c>
      <c r="I866" s="3">
        <f t="shared" si="66"/>
        <v>12015</v>
      </c>
      <c r="J866" s="2" t="s">
        <v>27</v>
      </c>
      <c r="K866" s="5">
        <v>46264.583333333343</v>
      </c>
      <c r="L866">
        <v>1</v>
      </c>
      <c r="M866" s="3">
        <f t="shared" si="67"/>
        <v>12015</v>
      </c>
      <c r="N866" t="str">
        <f t="shared" si="68"/>
        <v>ставка</v>
      </c>
      <c r="O866" s="3">
        <f t="shared" si="69"/>
        <v>235.59</v>
      </c>
      <c r="P866" s="5">
        <v>46265.5</v>
      </c>
      <c r="Q866" t="s">
        <v>23</v>
      </c>
      <c r="R866" s="2" t="s">
        <v>40</v>
      </c>
      <c r="S866">
        <v>26</v>
      </c>
      <c r="T866">
        <v>1</v>
      </c>
    </row>
    <row r="867" spans="1:20" ht="45" x14ac:dyDescent="0.25">
      <c r="A867" t="s">
        <v>1744</v>
      </c>
      <c r="B867">
        <v>1</v>
      </c>
      <c r="C867" s="2" t="s">
        <v>1745</v>
      </c>
      <c r="D867" s="3">
        <v>40560</v>
      </c>
      <c r="E867" s="4">
        <v>18</v>
      </c>
      <c r="F867" t="s">
        <v>32</v>
      </c>
      <c r="G867" s="3">
        <f t="shared" si="65"/>
        <v>49463.41</v>
      </c>
      <c r="H867" s="3">
        <v>0</v>
      </c>
      <c r="I867" s="3">
        <f t="shared" si="66"/>
        <v>49463.41</v>
      </c>
      <c r="J867" s="2" t="s">
        <v>27</v>
      </c>
      <c r="K867" s="5">
        <v>46230.583333333343</v>
      </c>
      <c r="L867">
        <v>4</v>
      </c>
      <c r="M867" s="3">
        <f t="shared" si="67"/>
        <v>12365.852500000001</v>
      </c>
      <c r="N867" t="str">
        <f t="shared" si="68"/>
        <v>ставка</v>
      </c>
      <c r="O867" s="3">
        <f t="shared" si="69"/>
        <v>969.87</v>
      </c>
      <c r="P867" s="5">
        <v>46234.5</v>
      </c>
      <c r="Q867" t="s">
        <v>32</v>
      </c>
      <c r="R867" s="2" t="s">
        <v>87</v>
      </c>
      <c r="S867">
        <v>50</v>
      </c>
      <c r="T867">
        <v>2</v>
      </c>
    </row>
    <row r="868" spans="1:20" ht="30" x14ac:dyDescent="0.25">
      <c r="A868" t="s">
        <v>700</v>
      </c>
      <c r="B868">
        <v>1</v>
      </c>
      <c r="C868" s="2" t="s">
        <v>1746</v>
      </c>
      <c r="D868" s="3">
        <v>35112</v>
      </c>
      <c r="E868" s="4">
        <v>18</v>
      </c>
      <c r="F868" t="s">
        <v>32</v>
      </c>
      <c r="G868" s="3">
        <f t="shared" si="65"/>
        <v>42819.51</v>
      </c>
      <c r="H868" s="3">
        <v>0</v>
      </c>
      <c r="I868" s="3">
        <f t="shared" si="66"/>
        <v>42819.51</v>
      </c>
      <c r="J868" s="2" t="s">
        <v>27</v>
      </c>
      <c r="K868" s="5">
        <v>46224.583333333343</v>
      </c>
      <c r="L868">
        <v>3</v>
      </c>
      <c r="M868" s="3">
        <f t="shared" si="67"/>
        <v>14273.17</v>
      </c>
      <c r="N868" t="str">
        <f t="shared" si="68"/>
        <v>ставка</v>
      </c>
      <c r="O868" s="3">
        <f t="shared" si="69"/>
        <v>839.6</v>
      </c>
      <c r="P868" s="5">
        <v>46227.5</v>
      </c>
      <c r="Q868" t="s">
        <v>32</v>
      </c>
      <c r="R868" s="2" t="s">
        <v>24</v>
      </c>
      <c r="S868">
        <v>31</v>
      </c>
      <c r="T868">
        <v>1</v>
      </c>
    </row>
    <row r="869" spans="1:20" ht="30" x14ac:dyDescent="0.25">
      <c r="A869" t="s">
        <v>1747</v>
      </c>
      <c r="B869">
        <v>1</v>
      </c>
      <c r="C869" s="2" t="s">
        <v>1748</v>
      </c>
      <c r="D869" s="3">
        <v>17360</v>
      </c>
      <c r="E869" s="4">
        <v>20</v>
      </c>
      <c r="F869" t="s">
        <v>103</v>
      </c>
      <c r="G869" s="3">
        <f t="shared" si="65"/>
        <v>21700</v>
      </c>
      <c r="H869" s="3">
        <v>4000</v>
      </c>
      <c r="I869" s="3">
        <f t="shared" si="66"/>
        <v>25700</v>
      </c>
      <c r="J869" s="2" t="s">
        <v>563</v>
      </c>
      <c r="K869" s="5">
        <v>46213.583333333343</v>
      </c>
      <c r="L869">
        <v>2</v>
      </c>
      <c r="M869" s="3">
        <f t="shared" si="67"/>
        <v>12850</v>
      </c>
      <c r="N869" t="str">
        <f t="shared" si="68"/>
        <v>ставка</v>
      </c>
      <c r="O869" s="3">
        <f t="shared" si="69"/>
        <v>503.92</v>
      </c>
      <c r="P869" s="5">
        <v>46215.5</v>
      </c>
      <c r="Q869" t="s">
        <v>103</v>
      </c>
      <c r="R869" s="2" t="s">
        <v>40</v>
      </c>
      <c r="S869">
        <v>32</v>
      </c>
      <c r="T869">
        <v>1</v>
      </c>
    </row>
    <row r="870" spans="1:20" ht="30" x14ac:dyDescent="0.25">
      <c r="A870" t="s">
        <v>1749</v>
      </c>
      <c r="B870">
        <v>1</v>
      </c>
      <c r="C870" s="2" t="s">
        <v>1750</v>
      </c>
      <c r="D870" s="3">
        <v>11214</v>
      </c>
      <c r="E870" s="4">
        <v>16</v>
      </c>
      <c r="F870" t="s">
        <v>36</v>
      </c>
      <c r="G870" s="3">
        <f t="shared" si="65"/>
        <v>13350</v>
      </c>
      <c r="H870" s="3">
        <v>0</v>
      </c>
      <c r="I870" s="3">
        <f t="shared" si="66"/>
        <v>13350</v>
      </c>
      <c r="J870" s="2" t="s">
        <v>27</v>
      </c>
      <c r="K870" s="5">
        <v>46240.583333333343</v>
      </c>
      <c r="L870">
        <v>1</v>
      </c>
      <c r="M870" s="3">
        <f t="shared" si="67"/>
        <v>13350</v>
      </c>
      <c r="N870" t="str">
        <f t="shared" si="68"/>
        <v>ставка</v>
      </c>
      <c r="O870" s="3">
        <f t="shared" si="69"/>
        <v>261.76</v>
      </c>
      <c r="P870" s="5">
        <v>46241.5</v>
      </c>
      <c r="Q870" t="s">
        <v>36</v>
      </c>
      <c r="R870" s="2" t="s">
        <v>40</v>
      </c>
      <c r="S870">
        <v>52</v>
      </c>
      <c r="T870">
        <v>2</v>
      </c>
    </row>
    <row r="871" spans="1:20" ht="30" x14ac:dyDescent="0.25">
      <c r="A871" t="s">
        <v>1751</v>
      </c>
      <c r="B871">
        <v>1</v>
      </c>
      <c r="C871" s="2" t="s">
        <v>1752</v>
      </c>
      <c r="D871" s="3">
        <v>13530</v>
      </c>
      <c r="E871" s="4">
        <v>0</v>
      </c>
      <c r="F871" t="s">
        <v>23</v>
      </c>
      <c r="G871" s="3">
        <f t="shared" si="65"/>
        <v>13530</v>
      </c>
      <c r="H871" s="3">
        <v>0</v>
      </c>
      <c r="I871" s="3">
        <f t="shared" si="66"/>
        <v>13530</v>
      </c>
      <c r="J871" s="2" t="s">
        <v>27</v>
      </c>
      <c r="K871" s="5">
        <v>46289.583333333343</v>
      </c>
      <c r="L871">
        <v>1</v>
      </c>
      <c r="M871" s="3">
        <f t="shared" si="67"/>
        <v>13530</v>
      </c>
      <c r="N871" t="str">
        <f t="shared" si="68"/>
        <v>ставка</v>
      </c>
      <c r="O871" s="3">
        <f t="shared" si="69"/>
        <v>265.29000000000002</v>
      </c>
      <c r="P871" s="5">
        <v>46290.5</v>
      </c>
      <c r="Q871" t="s">
        <v>23</v>
      </c>
      <c r="R871" s="2" t="s">
        <v>49</v>
      </c>
      <c r="S871">
        <v>35</v>
      </c>
      <c r="T871">
        <v>1</v>
      </c>
    </row>
    <row r="872" spans="1:20" ht="30" x14ac:dyDescent="0.25">
      <c r="A872" t="s">
        <v>1753</v>
      </c>
      <c r="B872">
        <v>1</v>
      </c>
      <c r="C872" s="2" t="s">
        <v>1754</v>
      </c>
      <c r="D872" s="3">
        <v>78540</v>
      </c>
      <c r="E872" s="4">
        <v>0</v>
      </c>
      <c r="F872" t="s">
        <v>245</v>
      </c>
      <c r="G872" s="3">
        <f t="shared" si="65"/>
        <v>78540</v>
      </c>
      <c r="H872" s="3">
        <v>0</v>
      </c>
      <c r="I872" s="3">
        <f t="shared" si="66"/>
        <v>78540</v>
      </c>
      <c r="J872" s="2" t="s">
        <v>27</v>
      </c>
      <c r="K872" s="5">
        <v>46210.583333333343</v>
      </c>
      <c r="L872">
        <v>6</v>
      </c>
      <c r="M872" s="3">
        <f t="shared" si="67"/>
        <v>13090</v>
      </c>
      <c r="N872" t="str">
        <f t="shared" si="68"/>
        <v>ставка</v>
      </c>
      <c r="O872" s="3">
        <f t="shared" si="69"/>
        <v>1540</v>
      </c>
      <c r="P872" s="5">
        <v>46216.5</v>
      </c>
      <c r="Q872" t="s">
        <v>245</v>
      </c>
      <c r="R872" s="2" t="s">
        <v>24</v>
      </c>
      <c r="S872">
        <v>56</v>
      </c>
      <c r="T872">
        <v>2</v>
      </c>
    </row>
    <row r="873" spans="1:20" ht="30" x14ac:dyDescent="0.25">
      <c r="A873" t="s">
        <v>1755</v>
      </c>
      <c r="B873">
        <v>1</v>
      </c>
      <c r="C873" s="2" t="s">
        <v>1756</v>
      </c>
      <c r="D873" s="3">
        <v>26400</v>
      </c>
      <c r="E873" s="4">
        <v>20</v>
      </c>
      <c r="F873" t="s">
        <v>48</v>
      </c>
      <c r="G873" s="3">
        <f t="shared" si="65"/>
        <v>33000</v>
      </c>
      <c r="H873" s="3">
        <v>0</v>
      </c>
      <c r="I873" s="3">
        <f t="shared" si="66"/>
        <v>33000</v>
      </c>
      <c r="J873" s="2" t="s">
        <v>27</v>
      </c>
      <c r="K873" s="5">
        <v>46219.583333333343</v>
      </c>
      <c r="L873">
        <v>2</v>
      </c>
      <c r="M873" s="3">
        <f t="shared" si="67"/>
        <v>16500</v>
      </c>
      <c r="N873" t="str">
        <f t="shared" si="68"/>
        <v>ставка</v>
      </c>
      <c r="O873" s="3">
        <f t="shared" si="69"/>
        <v>647.05999999999995</v>
      </c>
      <c r="P873" s="5">
        <v>46221.5</v>
      </c>
      <c r="Q873" t="s">
        <v>48</v>
      </c>
      <c r="R873" s="2" t="s">
        <v>49</v>
      </c>
      <c r="S873">
        <v>35</v>
      </c>
      <c r="T873">
        <v>1</v>
      </c>
    </row>
    <row r="874" spans="1:20" ht="30" x14ac:dyDescent="0.25">
      <c r="A874" t="s">
        <v>1757</v>
      </c>
      <c r="B874">
        <v>1</v>
      </c>
      <c r="C874" s="2" t="s">
        <v>1758</v>
      </c>
      <c r="D874" s="3">
        <v>20100</v>
      </c>
      <c r="E874" s="4">
        <v>18</v>
      </c>
      <c r="F874" t="s">
        <v>32</v>
      </c>
      <c r="G874" s="3">
        <f t="shared" si="65"/>
        <v>24512.2</v>
      </c>
      <c r="H874" s="3">
        <v>0</v>
      </c>
      <c r="I874" s="3">
        <f t="shared" si="66"/>
        <v>24512.2</v>
      </c>
      <c r="J874" s="2" t="s">
        <v>27</v>
      </c>
      <c r="K874" s="5">
        <v>46274.583333333343</v>
      </c>
      <c r="L874">
        <v>2</v>
      </c>
      <c r="M874" s="3">
        <f t="shared" si="67"/>
        <v>12256.1</v>
      </c>
      <c r="N874" t="str">
        <f t="shared" si="68"/>
        <v>ставка</v>
      </c>
      <c r="O874" s="3">
        <f t="shared" si="69"/>
        <v>480.63</v>
      </c>
      <c r="P874" s="5">
        <v>46276.5</v>
      </c>
      <c r="Q874" t="s">
        <v>32</v>
      </c>
      <c r="R874" s="2" t="s">
        <v>24</v>
      </c>
      <c r="S874">
        <v>31</v>
      </c>
      <c r="T874">
        <v>1</v>
      </c>
    </row>
    <row r="875" spans="1:20" ht="30" x14ac:dyDescent="0.25">
      <c r="A875" t="s">
        <v>1759</v>
      </c>
      <c r="B875">
        <v>1</v>
      </c>
      <c r="C875" s="2" t="s">
        <v>1760</v>
      </c>
      <c r="D875" s="3">
        <v>10350</v>
      </c>
      <c r="E875" s="4">
        <v>0</v>
      </c>
      <c r="F875" t="s">
        <v>23</v>
      </c>
      <c r="G875" s="3">
        <f t="shared" si="65"/>
        <v>10350</v>
      </c>
      <c r="H875" s="3">
        <v>0</v>
      </c>
      <c r="I875" s="3">
        <f t="shared" si="66"/>
        <v>10350</v>
      </c>
      <c r="J875" s="2" t="s">
        <v>27</v>
      </c>
      <c r="K875" s="5">
        <v>46213.583333333343</v>
      </c>
      <c r="L875">
        <v>1</v>
      </c>
      <c r="M875" s="3">
        <f t="shared" si="67"/>
        <v>10350</v>
      </c>
      <c r="N875" t="str">
        <f t="shared" si="68"/>
        <v>ставка</v>
      </c>
      <c r="O875" s="3">
        <f t="shared" si="69"/>
        <v>202.94</v>
      </c>
      <c r="P875" s="5">
        <v>46214.5</v>
      </c>
      <c r="Q875" t="s">
        <v>23</v>
      </c>
      <c r="R875" s="2" t="s">
        <v>40</v>
      </c>
      <c r="S875">
        <v>33</v>
      </c>
      <c r="T875">
        <v>1</v>
      </c>
    </row>
    <row r="876" spans="1:20" x14ac:dyDescent="0.25">
      <c r="A876" t="s">
        <v>1761</v>
      </c>
      <c r="B876">
        <v>1</v>
      </c>
      <c r="C876" s="2" t="s">
        <v>1762</v>
      </c>
      <c r="D876" s="3">
        <v>11600</v>
      </c>
      <c r="E876" s="4">
        <v>20</v>
      </c>
      <c r="F876" t="s">
        <v>103</v>
      </c>
      <c r="G876" s="3">
        <f t="shared" si="65"/>
        <v>14500</v>
      </c>
      <c r="H876" s="3">
        <v>0</v>
      </c>
      <c r="I876" s="3">
        <f t="shared" si="66"/>
        <v>14500</v>
      </c>
      <c r="J876" s="2" t="s">
        <v>27</v>
      </c>
      <c r="K876" s="5">
        <v>46217.583333333343</v>
      </c>
      <c r="L876">
        <v>1</v>
      </c>
      <c r="M876" s="3">
        <f t="shared" si="67"/>
        <v>14500</v>
      </c>
      <c r="N876" t="str">
        <f t="shared" si="68"/>
        <v>ставка</v>
      </c>
      <c r="O876" s="3">
        <f t="shared" si="69"/>
        <v>284.31</v>
      </c>
      <c r="P876" s="5">
        <v>46218.5</v>
      </c>
      <c r="Q876" t="s">
        <v>103</v>
      </c>
      <c r="R876" s="2" t="s">
        <v>49</v>
      </c>
      <c r="S876">
        <v>35</v>
      </c>
      <c r="T876">
        <v>1</v>
      </c>
    </row>
    <row r="877" spans="1:20" x14ac:dyDescent="0.25">
      <c r="A877" t="s">
        <v>1763</v>
      </c>
      <c r="B877">
        <v>1</v>
      </c>
      <c r="C877" s="2" t="s">
        <v>1762</v>
      </c>
      <c r="D877" s="3">
        <v>11600</v>
      </c>
      <c r="E877" s="4">
        <v>20</v>
      </c>
      <c r="F877" t="s">
        <v>103</v>
      </c>
      <c r="G877" s="3">
        <f t="shared" si="65"/>
        <v>14500</v>
      </c>
      <c r="H877" s="3">
        <v>0</v>
      </c>
      <c r="I877" s="3">
        <f t="shared" si="66"/>
        <v>14500</v>
      </c>
      <c r="J877" s="2" t="s">
        <v>27</v>
      </c>
      <c r="K877" s="5">
        <v>46218.583333333343</v>
      </c>
      <c r="L877">
        <v>1</v>
      </c>
      <c r="M877" s="3">
        <f t="shared" si="67"/>
        <v>14500</v>
      </c>
      <c r="N877" t="str">
        <f t="shared" si="68"/>
        <v>ставка</v>
      </c>
      <c r="O877" s="3">
        <f t="shared" si="69"/>
        <v>284.31</v>
      </c>
      <c r="P877" s="5">
        <v>46219.5</v>
      </c>
      <c r="Q877" t="s">
        <v>103</v>
      </c>
      <c r="R877" s="2" t="s">
        <v>49</v>
      </c>
      <c r="S877">
        <v>35</v>
      </c>
      <c r="T877">
        <v>1</v>
      </c>
    </row>
    <row r="878" spans="1:20" ht="30" x14ac:dyDescent="0.25">
      <c r="A878" t="s">
        <v>1764</v>
      </c>
      <c r="B878">
        <v>1</v>
      </c>
      <c r="C878" s="2" t="s">
        <v>1762</v>
      </c>
      <c r="D878" s="3">
        <v>9647.5</v>
      </c>
      <c r="E878" s="4">
        <v>15</v>
      </c>
      <c r="F878" t="s">
        <v>36</v>
      </c>
      <c r="G878" s="3">
        <f t="shared" si="65"/>
        <v>11350</v>
      </c>
      <c r="H878" s="3">
        <v>0</v>
      </c>
      <c r="I878" s="3">
        <f t="shared" si="66"/>
        <v>11350</v>
      </c>
      <c r="J878" s="2" t="s">
        <v>27</v>
      </c>
      <c r="K878" s="5">
        <v>46216.583333333343</v>
      </c>
      <c r="L878">
        <v>1</v>
      </c>
      <c r="M878" s="3">
        <f t="shared" si="67"/>
        <v>11350</v>
      </c>
      <c r="N878" t="str">
        <f t="shared" si="68"/>
        <v>ставка</v>
      </c>
      <c r="O878" s="3">
        <f t="shared" si="69"/>
        <v>222.55</v>
      </c>
      <c r="P878" s="5">
        <v>46217.5</v>
      </c>
      <c r="Q878" t="s">
        <v>36</v>
      </c>
      <c r="R878" s="2" t="s">
        <v>40</v>
      </c>
      <c r="S878">
        <v>33</v>
      </c>
      <c r="T878">
        <v>1</v>
      </c>
    </row>
    <row r="879" spans="1:20" ht="30" x14ac:dyDescent="0.25">
      <c r="A879" t="s">
        <v>1765</v>
      </c>
      <c r="B879">
        <v>1</v>
      </c>
      <c r="C879" s="2" t="s">
        <v>1762</v>
      </c>
      <c r="D879" s="3">
        <v>9647.5</v>
      </c>
      <c r="E879" s="4">
        <v>15</v>
      </c>
      <c r="F879" t="s">
        <v>36</v>
      </c>
      <c r="G879" s="3">
        <f t="shared" si="65"/>
        <v>11350</v>
      </c>
      <c r="H879" s="3">
        <v>0</v>
      </c>
      <c r="I879" s="3">
        <f t="shared" si="66"/>
        <v>11350</v>
      </c>
      <c r="J879" s="2" t="s">
        <v>27</v>
      </c>
      <c r="K879" s="5">
        <v>46227.583333333343</v>
      </c>
      <c r="L879">
        <v>1</v>
      </c>
      <c r="M879" s="3">
        <f t="shared" si="67"/>
        <v>11350</v>
      </c>
      <c r="N879" t="str">
        <f t="shared" si="68"/>
        <v>ставка</v>
      </c>
      <c r="O879" s="3">
        <f t="shared" si="69"/>
        <v>222.55</v>
      </c>
      <c r="P879" s="5">
        <v>46228.5</v>
      </c>
      <c r="Q879" t="s">
        <v>36</v>
      </c>
      <c r="R879" s="2" t="s">
        <v>40</v>
      </c>
      <c r="S879">
        <v>52</v>
      </c>
      <c r="T879">
        <v>2</v>
      </c>
    </row>
    <row r="880" spans="1:20" ht="45" x14ac:dyDescent="0.25">
      <c r="A880" t="s">
        <v>1766</v>
      </c>
      <c r="B880">
        <v>1</v>
      </c>
      <c r="C880" s="2" t="s">
        <v>1767</v>
      </c>
      <c r="D880" s="3">
        <v>14596</v>
      </c>
      <c r="E880" s="4">
        <v>18</v>
      </c>
      <c r="F880" t="s">
        <v>147</v>
      </c>
      <c r="G880" s="3">
        <f t="shared" si="65"/>
        <v>17800</v>
      </c>
      <c r="H880" s="3">
        <v>2000</v>
      </c>
      <c r="I880" s="3">
        <f t="shared" si="66"/>
        <v>19800</v>
      </c>
      <c r="J880" s="2" t="s">
        <v>1654</v>
      </c>
      <c r="K880" s="5">
        <v>46216.583333333343</v>
      </c>
      <c r="L880">
        <v>2</v>
      </c>
      <c r="M880" s="3">
        <f t="shared" si="67"/>
        <v>9900</v>
      </c>
      <c r="N880" t="str">
        <f t="shared" si="68"/>
        <v>ставка</v>
      </c>
      <c r="O880" s="3">
        <f t="shared" si="69"/>
        <v>388.24</v>
      </c>
      <c r="P880" s="5">
        <v>46218.5</v>
      </c>
      <c r="Q880" t="s">
        <v>147</v>
      </c>
      <c r="R880" s="2" t="s">
        <v>87</v>
      </c>
      <c r="S880">
        <v>51</v>
      </c>
      <c r="T880">
        <v>2</v>
      </c>
    </row>
    <row r="881" spans="1:20" ht="30" x14ac:dyDescent="0.25">
      <c r="A881" t="s">
        <v>1768</v>
      </c>
      <c r="B881">
        <v>1</v>
      </c>
      <c r="C881" s="2" t="s">
        <v>1769</v>
      </c>
      <c r="D881" s="3">
        <v>34042.5</v>
      </c>
      <c r="E881" s="4">
        <v>15</v>
      </c>
      <c r="F881" t="s">
        <v>36</v>
      </c>
      <c r="G881" s="3">
        <f t="shared" si="65"/>
        <v>40050</v>
      </c>
      <c r="H881" s="3">
        <v>0</v>
      </c>
      <c r="I881" s="3">
        <f t="shared" si="66"/>
        <v>40050</v>
      </c>
      <c r="J881" s="2" t="s">
        <v>27</v>
      </c>
      <c r="K881" s="5">
        <v>46226.583333333343</v>
      </c>
      <c r="L881">
        <v>3</v>
      </c>
      <c r="M881" s="3">
        <f t="shared" si="67"/>
        <v>13350</v>
      </c>
      <c r="N881" t="str">
        <f t="shared" si="68"/>
        <v>ставка</v>
      </c>
      <c r="O881" s="3">
        <f t="shared" si="69"/>
        <v>785.29</v>
      </c>
      <c r="P881" s="5">
        <v>46229.5</v>
      </c>
      <c r="Q881" t="s">
        <v>36</v>
      </c>
      <c r="R881" s="2" t="s">
        <v>40</v>
      </c>
      <c r="S881">
        <v>44</v>
      </c>
      <c r="T881">
        <v>1</v>
      </c>
    </row>
    <row r="882" spans="1:20" ht="45" x14ac:dyDescent="0.25">
      <c r="A882" t="s">
        <v>1770</v>
      </c>
      <c r="B882">
        <v>1</v>
      </c>
      <c r="C882" s="2" t="s">
        <v>1771</v>
      </c>
      <c r="D882" s="3">
        <v>9960</v>
      </c>
      <c r="E882" s="4">
        <v>0</v>
      </c>
      <c r="F882" t="s">
        <v>23</v>
      </c>
      <c r="G882" s="3">
        <f t="shared" si="65"/>
        <v>9960</v>
      </c>
      <c r="H882" s="3">
        <v>0</v>
      </c>
      <c r="I882" s="3">
        <f t="shared" si="66"/>
        <v>9960</v>
      </c>
      <c r="J882" s="2" t="s">
        <v>27</v>
      </c>
      <c r="K882" s="5">
        <v>46262.583333333343</v>
      </c>
      <c r="L882">
        <v>1</v>
      </c>
      <c r="M882" s="3">
        <f t="shared" si="67"/>
        <v>9960</v>
      </c>
      <c r="N882" t="str">
        <f t="shared" si="68"/>
        <v>ставка</v>
      </c>
      <c r="O882" s="3">
        <f t="shared" si="69"/>
        <v>195.29</v>
      </c>
      <c r="P882" s="5">
        <v>46263.5</v>
      </c>
      <c r="Q882" t="s">
        <v>23</v>
      </c>
      <c r="R882" s="2" t="s">
        <v>87</v>
      </c>
      <c r="S882">
        <v>50</v>
      </c>
      <c r="T882">
        <v>2</v>
      </c>
    </row>
    <row r="883" spans="1:20" ht="45" x14ac:dyDescent="0.25">
      <c r="A883" t="s">
        <v>1772</v>
      </c>
      <c r="B883">
        <v>1</v>
      </c>
      <c r="C883" s="2" t="s">
        <v>1771</v>
      </c>
      <c r="D883" s="3">
        <v>9000</v>
      </c>
      <c r="E883" s="4">
        <v>0</v>
      </c>
      <c r="F883" t="s">
        <v>23</v>
      </c>
      <c r="G883" s="3">
        <f t="shared" si="65"/>
        <v>9000</v>
      </c>
      <c r="H883" s="3">
        <v>0</v>
      </c>
      <c r="I883" s="3">
        <f t="shared" si="66"/>
        <v>9000</v>
      </c>
      <c r="J883" s="2" t="s">
        <v>27</v>
      </c>
      <c r="K883" s="5">
        <v>46276.583333333343</v>
      </c>
      <c r="L883">
        <v>1</v>
      </c>
      <c r="M883" s="3">
        <f t="shared" si="67"/>
        <v>9000</v>
      </c>
      <c r="N883" t="str">
        <f t="shared" si="68"/>
        <v>ставка</v>
      </c>
      <c r="O883" s="3">
        <f t="shared" si="69"/>
        <v>176.47</v>
      </c>
      <c r="P883" s="5">
        <v>46277.5</v>
      </c>
      <c r="Q883" t="s">
        <v>23</v>
      </c>
      <c r="R883" s="2" t="s">
        <v>87</v>
      </c>
      <c r="S883">
        <v>50</v>
      </c>
      <c r="T883">
        <v>2</v>
      </c>
    </row>
    <row r="884" spans="1:20" ht="30" x14ac:dyDescent="0.25">
      <c r="A884" t="s">
        <v>1773</v>
      </c>
      <c r="B884">
        <v>1</v>
      </c>
      <c r="C884" s="2" t="s">
        <v>1774</v>
      </c>
      <c r="D884" s="3">
        <v>9534</v>
      </c>
      <c r="E884" s="4">
        <v>16</v>
      </c>
      <c r="F884" t="s">
        <v>36</v>
      </c>
      <c r="G884" s="3">
        <f t="shared" si="65"/>
        <v>11350</v>
      </c>
      <c r="H884" s="3">
        <v>0</v>
      </c>
      <c r="I884" s="3">
        <f t="shared" si="66"/>
        <v>11350</v>
      </c>
      <c r="J884" s="2" t="s">
        <v>27</v>
      </c>
      <c r="K884" s="5">
        <v>46235.583333333343</v>
      </c>
      <c r="L884">
        <v>1</v>
      </c>
      <c r="M884" s="3">
        <f t="shared" si="67"/>
        <v>11350</v>
      </c>
      <c r="N884" t="str">
        <f t="shared" si="68"/>
        <v>ставка</v>
      </c>
      <c r="O884" s="3">
        <f t="shared" si="69"/>
        <v>222.55</v>
      </c>
      <c r="P884" s="5">
        <v>46236.5</v>
      </c>
      <c r="Q884" t="s">
        <v>36</v>
      </c>
      <c r="R884" s="2" t="s">
        <v>40</v>
      </c>
      <c r="S884">
        <v>36</v>
      </c>
      <c r="T884">
        <v>1</v>
      </c>
    </row>
    <row r="885" spans="1:20" ht="30" x14ac:dyDescent="0.25">
      <c r="A885" t="s">
        <v>1775</v>
      </c>
      <c r="B885">
        <v>1</v>
      </c>
      <c r="C885" s="2" t="s">
        <v>1776</v>
      </c>
      <c r="D885" s="3">
        <v>11350</v>
      </c>
      <c r="E885" s="4">
        <v>0</v>
      </c>
      <c r="F885" t="s">
        <v>23</v>
      </c>
      <c r="G885" s="3">
        <f t="shared" si="65"/>
        <v>11350</v>
      </c>
      <c r="H885" s="3">
        <v>0</v>
      </c>
      <c r="I885" s="3">
        <f t="shared" si="66"/>
        <v>11350</v>
      </c>
      <c r="J885" s="2" t="s">
        <v>27</v>
      </c>
      <c r="K885" s="5">
        <v>46220.583333333343</v>
      </c>
      <c r="L885">
        <v>1</v>
      </c>
      <c r="M885" s="3">
        <f t="shared" si="67"/>
        <v>11350</v>
      </c>
      <c r="N885" t="str">
        <f t="shared" si="68"/>
        <v>ставка</v>
      </c>
      <c r="O885" s="3">
        <f t="shared" si="69"/>
        <v>222.55</v>
      </c>
      <c r="P885" s="5">
        <v>46221.5</v>
      </c>
      <c r="Q885" t="s">
        <v>23</v>
      </c>
      <c r="R885" s="2" t="s">
        <v>40</v>
      </c>
      <c r="S885">
        <v>46</v>
      </c>
      <c r="T885">
        <v>1</v>
      </c>
    </row>
    <row r="886" spans="1:20" x14ac:dyDescent="0.25">
      <c r="A886" t="s">
        <v>1777</v>
      </c>
      <c r="B886">
        <v>1</v>
      </c>
      <c r="C886" s="2" t="s">
        <v>1778</v>
      </c>
      <c r="D886" s="3">
        <v>32752.5</v>
      </c>
      <c r="E886" s="4">
        <v>4</v>
      </c>
      <c r="F886" t="s">
        <v>55</v>
      </c>
      <c r="G886" s="3">
        <f t="shared" si="65"/>
        <v>34117.19</v>
      </c>
      <c r="H886" s="3">
        <v>0</v>
      </c>
      <c r="I886" s="3">
        <f t="shared" si="66"/>
        <v>34117.19</v>
      </c>
      <c r="J886" s="2" t="s">
        <v>27</v>
      </c>
      <c r="K886" s="5">
        <v>46262.625</v>
      </c>
      <c r="L886">
        <v>2</v>
      </c>
      <c r="M886" s="3">
        <f t="shared" si="67"/>
        <v>17058.595000000001</v>
      </c>
      <c r="N886" t="str">
        <f t="shared" si="68"/>
        <v>ставка</v>
      </c>
      <c r="O886" s="3">
        <f t="shared" si="69"/>
        <v>668.96</v>
      </c>
      <c r="P886" s="5">
        <v>46264.5</v>
      </c>
      <c r="Q886" t="s">
        <v>55</v>
      </c>
      <c r="R886" s="2" t="s">
        <v>49</v>
      </c>
      <c r="S886">
        <v>25</v>
      </c>
      <c r="T886">
        <v>1</v>
      </c>
    </row>
    <row r="887" spans="1:20" ht="30" x14ac:dyDescent="0.25">
      <c r="A887" t="s">
        <v>1291</v>
      </c>
      <c r="B887">
        <v>1</v>
      </c>
      <c r="C887" s="2" t="s">
        <v>1779</v>
      </c>
      <c r="D887" s="3">
        <v>33879.75</v>
      </c>
      <c r="E887" s="4">
        <v>4</v>
      </c>
      <c r="F887" t="s">
        <v>55</v>
      </c>
      <c r="G887" s="3">
        <f t="shared" si="65"/>
        <v>35291.410000000003</v>
      </c>
      <c r="H887" s="3">
        <v>0</v>
      </c>
      <c r="I887" s="3">
        <f t="shared" si="66"/>
        <v>35291.410000000003</v>
      </c>
      <c r="J887" s="2" t="s">
        <v>27</v>
      </c>
      <c r="K887" s="5">
        <v>46237.583333333343</v>
      </c>
      <c r="L887">
        <v>3</v>
      </c>
      <c r="M887" s="3">
        <f t="shared" si="67"/>
        <v>11763.803333333335</v>
      </c>
      <c r="N887" t="str">
        <f t="shared" si="68"/>
        <v>ставка</v>
      </c>
      <c r="O887" s="3">
        <f t="shared" si="69"/>
        <v>691.99</v>
      </c>
      <c r="P887" s="5">
        <v>46240.5</v>
      </c>
      <c r="Q887" t="s">
        <v>55</v>
      </c>
      <c r="R887" s="2" t="s">
        <v>40</v>
      </c>
      <c r="S887" s="6"/>
    </row>
    <row r="888" spans="1:20" x14ac:dyDescent="0.25">
      <c r="A888" t="s">
        <v>1780</v>
      </c>
      <c r="B888">
        <v>1</v>
      </c>
      <c r="C888" s="2" t="s">
        <v>1781</v>
      </c>
      <c r="D888" s="3">
        <v>11600</v>
      </c>
      <c r="E888" s="4">
        <v>20</v>
      </c>
      <c r="F888" t="s">
        <v>48</v>
      </c>
      <c r="G888" s="3">
        <f t="shared" si="65"/>
        <v>14500</v>
      </c>
      <c r="H888" s="3">
        <v>0</v>
      </c>
      <c r="I888" s="3">
        <f t="shared" si="66"/>
        <v>14500</v>
      </c>
      <c r="J888" s="2" t="s">
        <v>27</v>
      </c>
      <c r="K888" s="5">
        <v>46274.583333333343</v>
      </c>
      <c r="L888">
        <v>1</v>
      </c>
      <c r="M888" s="3">
        <f t="shared" si="67"/>
        <v>14500</v>
      </c>
      <c r="N888" t="str">
        <f t="shared" si="68"/>
        <v>ставка</v>
      </c>
      <c r="O888" s="3">
        <f t="shared" si="69"/>
        <v>284.31</v>
      </c>
      <c r="P888" s="5">
        <v>46275.5</v>
      </c>
      <c r="Q888" t="s">
        <v>48</v>
      </c>
      <c r="R888" s="2" t="s">
        <v>49</v>
      </c>
      <c r="S888">
        <v>35</v>
      </c>
      <c r="T888">
        <v>1</v>
      </c>
    </row>
    <row r="889" spans="1:20" x14ac:dyDescent="0.25">
      <c r="A889" t="s">
        <v>1782</v>
      </c>
      <c r="B889">
        <v>1</v>
      </c>
      <c r="C889" s="2" t="s">
        <v>1783</v>
      </c>
      <c r="D889" s="3">
        <v>15800</v>
      </c>
      <c r="E889" s="4">
        <v>0</v>
      </c>
      <c r="F889" t="s">
        <v>23</v>
      </c>
      <c r="G889" s="3">
        <f t="shared" si="65"/>
        <v>15800</v>
      </c>
      <c r="H889" s="3">
        <v>0</v>
      </c>
      <c r="I889" s="3">
        <f t="shared" si="66"/>
        <v>15800</v>
      </c>
      <c r="J889" s="2" t="s">
        <v>27</v>
      </c>
      <c r="K889" s="5">
        <v>46284.583333333343</v>
      </c>
      <c r="L889">
        <v>1</v>
      </c>
      <c r="M889" s="3">
        <f t="shared" si="67"/>
        <v>15800</v>
      </c>
      <c r="N889" t="str">
        <f t="shared" si="68"/>
        <v>ставка</v>
      </c>
      <c r="O889" s="3">
        <f t="shared" si="69"/>
        <v>309.8</v>
      </c>
      <c r="P889" s="5">
        <v>46285.5</v>
      </c>
      <c r="Q889" t="s">
        <v>23</v>
      </c>
      <c r="R889" s="2" t="s">
        <v>45</v>
      </c>
      <c r="S889">
        <v>53</v>
      </c>
      <c r="T889">
        <v>2</v>
      </c>
    </row>
    <row r="890" spans="1:20" ht="30" x14ac:dyDescent="0.25">
      <c r="A890" t="s">
        <v>1784</v>
      </c>
      <c r="B890">
        <v>1</v>
      </c>
      <c r="C890" s="2" t="s">
        <v>1785</v>
      </c>
      <c r="D890" s="3">
        <v>49252.5</v>
      </c>
      <c r="E890" s="4">
        <v>4</v>
      </c>
      <c r="F890" t="s">
        <v>55</v>
      </c>
      <c r="G890" s="3">
        <f t="shared" si="65"/>
        <v>51304.69</v>
      </c>
      <c r="H890" s="3">
        <v>3440</v>
      </c>
      <c r="I890" s="3">
        <f t="shared" si="66"/>
        <v>54744.69</v>
      </c>
      <c r="J890" s="2" t="s">
        <v>1786</v>
      </c>
      <c r="K890" s="5">
        <v>46207.708333333343</v>
      </c>
      <c r="L890">
        <v>3</v>
      </c>
      <c r="M890" s="3">
        <f t="shared" si="67"/>
        <v>18248.23</v>
      </c>
      <c r="N890" t="str">
        <f t="shared" si="68"/>
        <v>ставка</v>
      </c>
      <c r="O890" s="3">
        <f t="shared" si="69"/>
        <v>1073.43</v>
      </c>
      <c r="P890" s="5">
        <v>46210.666666666657</v>
      </c>
      <c r="Q890" t="s">
        <v>55</v>
      </c>
      <c r="R890" s="2" t="s">
        <v>45</v>
      </c>
      <c r="S890">
        <v>54</v>
      </c>
      <c r="T890">
        <v>2</v>
      </c>
    </row>
    <row r="891" spans="1:20" x14ac:dyDescent="0.25">
      <c r="A891" t="s">
        <v>1787</v>
      </c>
      <c r="B891">
        <v>1</v>
      </c>
      <c r="C891" s="2" t="s">
        <v>1788</v>
      </c>
      <c r="D891" s="3">
        <v>29904</v>
      </c>
      <c r="E891" s="4">
        <v>16</v>
      </c>
      <c r="F891" t="s">
        <v>36</v>
      </c>
      <c r="G891" s="3">
        <f t="shared" si="65"/>
        <v>35600</v>
      </c>
      <c r="H891" s="3">
        <v>0</v>
      </c>
      <c r="I891" s="3">
        <f t="shared" si="66"/>
        <v>35600</v>
      </c>
      <c r="J891" s="2" t="s">
        <v>27</v>
      </c>
      <c r="K891" s="5">
        <v>46253.583333333343</v>
      </c>
      <c r="L891">
        <v>2</v>
      </c>
      <c r="M891" s="3">
        <f t="shared" si="67"/>
        <v>17800</v>
      </c>
      <c r="N891" t="str">
        <f t="shared" si="68"/>
        <v>ставка</v>
      </c>
      <c r="O891" s="3">
        <f t="shared" si="69"/>
        <v>698.04</v>
      </c>
      <c r="P891" s="5">
        <v>46255.5</v>
      </c>
      <c r="Q891" t="s">
        <v>36</v>
      </c>
      <c r="R891" s="2" t="s">
        <v>45</v>
      </c>
      <c r="S891">
        <v>54</v>
      </c>
      <c r="T891">
        <v>2</v>
      </c>
    </row>
    <row r="892" spans="1:20" ht="30" x14ac:dyDescent="0.25">
      <c r="A892" t="s">
        <v>1789</v>
      </c>
      <c r="B892">
        <v>1</v>
      </c>
      <c r="C892" s="2" t="s">
        <v>1790</v>
      </c>
      <c r="D892" s="3">
        <v>58905</v>
      </c>
      <c r="E892" s="4">
        <v>0</v>
      </c>
      <c r="F892" t="s">
        <v>180</v>
      </c>
      <c r="G892" s="3">
        <f t="shared" si="65"/>
        <v>58905</v>
      </c>
      <c r="H892" s="3">
        <v>0</v>
      </c>
      <c r="I892" s="3">
        <f t="shared" si="66"/>
        <v>58905</v>
      </c>
      <c r="J892" s="2" t="s">
        <v>181</v>
      </c>
      <c r="K892" s="5">
        <v>46244.583333333343</v>
      </c>
      <c r="L892">
        <v>7</v>
      </c>
      <c r="M892" s="3">
        <f t="shared" si="67"/>
        <v>8415</v>
      </c>
      <c r="N892" t="str">
        <f t="shared" si="68"/>
        <v>ставка</v>
      </c>
      <c r="O892" s="3">
        <f t="shared" si="69"/>
        <v>1155</v>
      </c>
      <c r="P892" s="5">
        <v>46251.5</v>
      </c>
      <c r="Q892" t="s">
        <v>180</v>
      </c>
      <c r="R892" s="2" t="s">
        <v>33</v>
      </c>
      <c r="S892">
        <v>43</v>
      </c>
      <c r="T892">
        <v>1</v>
      </c>
    </row>
    <row r="893" spans="1:20" ht="30" x14ac:dyDescent="0.25">
      <c r="A893" t="s">
        <v>1791</v>
      </c>
      <c r="B893">
        <v>1</v>
      </c>
      <c r="C893" s="2" t="s">
        <v>1792</v>
      </c>
      <c r="D893" s="3">
        <v>89782</v>
      </c>
      <c r="E893" s="4">
        <v>17</v>
      </c>
      <c r="F893" t="s">
        <v>394</v>
      </c>
      <c r="G893" s="3">
        <f t="shared" si="65"/>
        <v>108171.08</v>
      </c>
      <c r="H893" s="3">
        <v>0</v>
      </c>
      <c r="I893" s="3">
        <f t="shared" si="66"/>
        <v>108171.08</v>
      </c>
      <c r="J893" s="2" t="s">
        <v>27</v>
      </c>
      <c r="K893" s="5">
        <v>46240.583333333343</v>
      </c>
      <c r="L893">
        <v>6</v>
      </c>
      <c r="M893" s="3">
        <f t="shared" si="67"/>
        <v>18028.513333333332</v>
      </c>
      <c r="N893" t="str">
        <f t="shared" si="68"/>
        <v>ставка</v>
      </c>
      <c r="O893" s="3">
        <f t="shared" si="69"/>
        <v>2121</v>
      </c>
      <c r="P893" s="5">
        <v>46246.5</v>
      </c>
      <c r="Q893" t="s">
        <v>394</v>
      </c>
      <c r="R893" s="2" t="s">
        <v>24</v>
      </c>
      <c r="S893">
        <v>21</v>
      </c>
      <c r="T893">
        <v>1</v>
      </c>
    </row>
    <row r="894" spans="1:20" ht="30" x14ac:dyDescent="0.25">
      <c r="A894" t="s">
        <v>1793</v>
      </c>
      <c r="B894">
        <v>1</v>
      </c>
      <c r="C894" s="2" t="s">
        <v>1794</v>
      </c>
      <c r="D894" s="3">
        <v>14240</v>
      </c>
      <c r="E894" s="4">
        <v>18</v>
      </c>
      <c r="F894" t="s">
        <v>32</v>
      </c>
      <c r="G894" s="3">
        <f t="shared" si="65"/>
        <v>17365.849999999999</v>
      </c>
      <c r="H894" s="3">
        <v>8900</v>
      </c>
      <c r="I894" s="3">
        <f t="shared" si="66"/>
        <v>26265.85</v>
      </c>
      <c r="J894" s="2" t="s">
        <v>1795</v>
      </c>
      <c r="K894" s="5">
        <v>46234.583333333343</v>
      </c>
      <c r="L894">
        <v>1</v>
      </c>
      <c r="M894" s="3">
        <f t="shared" si="67"/>
        <v>26265.85</v>
      </c>
      <c r="N894" t="str">
        <f t="shared" si="68"/>
        <v>ставка</v>
      </c>
      <c r="O894" s="3">
        <f t="shared" si="69"/>
        <v>515.02</v>
      </c>
      <c r="P894" s="5">
        <v>46235.791666666657</v>
      </c>
      <c r="Q894" t="s">
        <v>32</v>
      </c>
      <c r="R894" s="2" t="s">
        <v>45</v>
      </c>
      <c r="S894">
        <v>54</v>
      </c>
      <c r="T894">
        <v>2</v>
      </c>
    </row>
    <row r="895" spans="1:20" ht="45" x14ac:dyDescent="0.25">
      <c r="A895" t="s">
        <v>1796</v>
      </c>
      <c r="B895">
        <v>1</v>
      </c>
      <c r="C895" s="2" t="s">
        <v>1797</v>
      </c>
      <c r="D895" s="3">
        <v>11205</v>
      </c>
      <c r="E895" s="4">
        <v>0</v>
      </c>
      <c r="F895" t="s">
        <v>23</v>
      </c>
      <c r="G895" s="3">
        <f t="shared" si="65"/>
        <v>11205</v>
      </c>
      <c r="H895" s="3">
        <v>0</v>
      </c>
      <c r="I895" s="3">
        <f t="shared" si="66"/>
        <v>11205</v>
      </c>
      <c r="J895" s="2" t="s">
        <v>27</v>
      </c>
      <c r="K895" s="5">
        <v>46288.583333333343</v>
      </c>
      <c r="L895">
        <v>1</v>
      </c>
      <c r="M895" s="3">
        <f t="shared" si="67"/>
        <v>11205</v>
      </c>
      <c r="N895" t="str">
        <f t="shared" si="68"/>
        <v>ставка</v>
      </c>
      <c r="O895" s="3">
        <f t="shared" si="69"/>
        <v>219.71</v>
      </c>
      <c r="P895" s="5">
        <v>46289.5</v>
      </c>
      <c r="Q895" t="s">
        <v>23</v>
      </c>
      <c r="R895" s="2" t="s">
        <v>87</v>
      </c>
      <c r="S895">
        <v>50</v>
      </c>
      <c r="T895">
        <v>2</v>
      </c>
    </row>
    <row r="896" spans="1:20" x14ac:dyDescent="0.25">
      <c r="A896" t="s">
        <v>1798</v>
      </c>
      <c r="B896">
        <v>1</v>
      </c>
      <c r="C896" s="2" t="s">
        <v>1799</v>
      </c>
      <c r="D896" s="3">
        <v>11600</v>
      </c>
      <c r="E896" s="4">
        <v>20</v>
      </c>
      <c r="F896" t="s">
        <v>173</v>
      </c>
      <c r="G896" s="3">
        <f t="shared" si="65"/>
        <v>14500</v>
      </c>
      <c r="H896" s="3">
        <v>0</v>
      </c>
      <c r="I896" s="3">
        <f t="shared" si="66"/>
        <v>14500</v>
      </c>
      <c r="J896" s="2" t="s">
        <v>27</v>
      </c>
      <c r="K896" s="5">
        <v>46281.583333333343</v>
      </c>
      <c r="L896">
        <v>1</v>
      </c>
      <c r="M896" s="3">
        <f t="shared" si="67"/>
        <v>14500</v>
      </c>
      <c r="N896" t="str">
        <f t="shared" si="68"/>
        <v>ставка</v>
      </c>
      <c r="O896" s="3">
        <f t="shared" si="69"/>
        <v>284.31</v>
      </c>
      <c r="P896" s="5">
        <v>46282.5</v>
      </c>
      <c r="Q896" t="s">
        <v>173</v>
      </c>
      <c r="R896" s="2" t="s">
        <v>49</v>
      </c>
      <c r="S896">
        <v>35</v>
      </c>
      <c r="T896">
        <v>1</v>
      </c>
    </row>
    <row r="897" spans="1:20" ht="30" x14ac:dyDescent="0.25">
      <c r="A897" t="s">
        <v>1800</v>
      </c>
      <c r="B897">
        <v>1</v>
      </c>
      <c r="C897" s="2" t="s">
        <v>1801</v>
      </c>
      <c r="D897" s="3">
        <v>9647.5</v>
      </c>
      <c r="E897" s="4">
        <v>15</v>
      </c>
      <c r="F897" t="s">
        <v>487</v>
      </c>
      <c r="G897" s="3">
        <f t="shared" si="65"/>
        <v>11350</v>
      </c>
      <c r="H897" s="3">
        <v>0</v>
      </c>
      <c r="I897" s="3">
        <f t="shared" si="66"/>
        <v>11350</v>
      </c>
      <c r="J897" s="2" t="s">
        <v>27</v>
      </c>
      <c r="K897" s="5">
        <v>46246.583333333343</v>
      </c>
      <c r="L897">
        <v>1</v>
      </c>
      <c r="M897" s="3">
        <f t="shared" si="67"/>
        <v>11350</v>
      </c>
      <c r="N897" t="str">
        <f t="shared" si="68"/>
        <v>ставка</v>
      </c>
      <c r="O897" s="3">
        <f t="shared" si="69"/>
        <v>222.55</v>
      </c>
      <c r="P897" s="5">
        <v>46247.5</v>
      </c>
      <c r="Q897" t="s">
        <v>487</v>
      </c>
      <c r="R897" s="2" t="s">
        <v>40</v>
      </c>
      <c r="S897">
        <v>52</v>
      </c>
      <c r="T897">
        <v>2</v>
      </c>
    </row>
    <row r="898" spans="1:20" ht="45" x14ac:dyDescent="0.25">
      <c r="A898" t="s">
        <v>1802</v>
      </c>
      <c r="B898">
        <v>1</v>
      </c>
      <c r="C898" s="2" t="s">
        <v>1803</v>
      </c>
      <c r="D898" s="3">
        <v>24805</v>
      </c>
      <c r="E898" s="4">
        <v>18</v>
      </c>
      <c r="F898" t="s">
        <v>147</v>
      </c>
      <c r="G898" s="3">
        <f t="shared" ref="G898:G961" si="70">ROUND(D898/(100-E898)*100,2)</f>
        <v>30250</v>
      </c>
      <c r="H898" s="3">
        <v>6000</v>
      </c>
      <c r="I898" s="3">
        <f t="shared" ref="I898:I961" si="71">ROUND(G898+H898,2)</f>
        <v>36250</v>
      </c>
      <c r="J898" s="2" t="s">
        <v>1134</v>
      </c>
      <c r="K898" s="5">
        <v>46228.583333333343</v>
      </c>
      <c r="L898">
        <v>3</v>
      </c>
      <c r="M898" s="3">
        <f t="shared" ref="M898:M961" si="72">I898/L898</f>
        <v>12083.333333333334</v>
      </c>
      <c r="N898" t="str">
        <f t="shared" ref="N898:N961" si="73">IF(M898&gt;=5100,"ставка","мин.ставка")</f>
        <v>ставка</v>
      </c>
      <c r="O898" s="3">
        <f t="shared" ref="O898:O961" si="74">ROUND(IF(N898="мин.ставка",L898*100,I898/102*2),2)</f>
        <v>710.78</v>
      </c>
      <c r="P898" s="5">
        <v>46231.5</v>
      </c>
      <c r="Q898" t="s">
        <v>147</v>
      </c>
      <c r="R898" s="2" t="s">
        <v>87</v>
      </c>
      <c r="S898">
        <v>51</v>
      </c>
      <c r="T898">
        <v>2</v>
      </c>
    </row>
    <row r="899" spans="1:20" x14ac:dyDescent="0.25">
      <c r="A899" t="s">
        <v>1804</v>
      </c>
      <c r="B899">
        <v>1</v>
      </c>
      <c r="C899" s="2" t="s">
        <v>1805</v>
      </c>
      <c r="D899" s="3">
        <v>12180</v>
      </c>
      <c r="E899" s="4">
        <v>16</v>
      </c>
      <c r="F899" t="s">
        <v>36</v>
      </c>
      <c r="G899" s="3">
        <f t="shared" si="70"/>
        <v>14500</v>
      </c>
      <c r="H899" s="3">
        <v>0</v>
      </c>
      <c r="I899" s="3">
        <f t="shared" si="71"/>
        <v>14500</v>
      </c>
      <c r="J899" s="2" t="s">
        <v>27</v>
      </c>
      <c r="K899" s="5">
        <v>46292.583333333343</v>
      </c>
      <c r="L899">
        <v>1</v>
      </c>
      <c r="M899" s="3">
        <f t="shared" si="72"/>
        <v>14500</v>
      </c>
      <c r="N899" t="str">
        <f t="shared" si="73"/>
        <v>ставка</v>
      </c>
      <c r="O899" s="3">
        <f t="shared" si="74"/>
        <v>284.31</v>
      </c>
      <c r="P899" s="5">
        <v>46293.5</v>
      </c>
      <c r="Q899" t="s">
        <v>36</v>
      </c>
      <c r="R899" s="2" t="s">
        <v>49</v>
      </c>
      <c r="S899">
        <v>25</v>
      </c>
      <c r="T899">
        <v>1</v>
      </c>
    </row>
    <row r="900" spans="1:20" x14ac:dyDescent="0.25">
      <c r="A900" t="s">
        <v>1806</v>
      </c>
      <c r="B900">
        <v>1</v>
      </c>
      <c r="C900" s="2" t="s">
        <v>1805</v>
      </c>
      <c r="D900" s="3">
        <v>23200</v>
      </c>
      <c r="E900" s="4">
        <v>20</v>
      </c>
      <c r="F900" t="s">
        <v>48</v>
      </c>
      <c r="G900" s="3">
        <f t="shared" si="70"/>
        <v>29000</v>
      </c>
      <c r="H900" s="3">
        <v>0</v>
      </c>
      <c r="I900" s="3">
        <f t="shared" si="71"/>
        <v>29000</v>
      </c>
      <c r="J900" s="2" t="s">
        <v>27</v>
      </c>
      <c r="K900" s="5">
        <v>46272.583333333343</v>
      </c>
      <c r="L900">
        <v>2</v>
      </c>
      <c r="M900" s="3">
        <f t="shared" si="72"/>
        <v>14500</v>
      </c>
      <c r="N900" t="str">
        <f t="shared" si="73"/>
        <v>ставка</v>
      </c>
      <c r="O900" s="3">
        <f t="shared" si="74"/>
        <v>568.63</v>
      </c>
      <c r="P900" s="5">
        <v>46274.5</v>
      </c>
      <c r="Q900" t="s">
        <v>48</v>
      </c>
      <c r="R900" s="2" t="s">
        <v>49</v>
      </c>
      <c r="S900">
        <v>35</v>
      </c>
      <c r="T900">
        <v>1</v>
      </c>
    </row>
    <row r="901" spans="1:20" x14ac:dyDescent="0.25">
      <c r="A901" t="s">
        <v>1807</v>
      </c>
      <c r="B901">
        <v>1</v>
      </c>
      <c r="C901" s="2" t="s">
        <v>1808</v>
      </c>
      <c r="D901" s="3">
        <v>13856.7</v>
      </c>
      <c r="E901" s="4">
        <v>4</v>
      </c>
      <c r="F901" t="s">
        <v>55</v>
      </c>
      <c r="G901" s="3">
        <f t="shared" si="70"/>
        <v>14434.06</v>
      </c>
      <c r="H901" s="3">
        <v>0</v>
      </c>
      <c r="I901" s="3">
        <f t="shared" si="71"/>
        <v>14434.06</v>
      </c>
      <c r="J901" s="2"/>
      <c r="K901" s="5">
        <v>46232.583333333343</v>
      </c>
      <c r="L901">
        <v>1</v>
      </c>
      <c r="M901" s="3">
        <f t="shared" si="72"/>
        <v>14434.06</v>
      </c>
      <c r="N901" t="str">
        <f t="shared" si="73"/>
        <v>ставка</v>
      </c>
      <c r="O901" s="3">
        <f t="shared" si="74"/>
        <v>283.02</v>
      </c>
      <c r="P901" s="5">
        <v>46233.5</v>
      </c>
      <c r="Q901" t="s">
        <v>55</v>
      </c>
      <c r="R901" s="2" t="s">
        <v>45</v>
      </c>
      <c r="S901">
        <v>57</v>
      </c>
      <c r="T901">
        <v>2</v>
      </c>
    </row>
    <row r="902" spans="1:20" x14ac:dyDescent="0.25">
      <c r="A902" t="s">
        <v>1809</v>
      </c>
      <c r="B902">
        <v>1</v>
      </c>
      <c r="C902" s="2" t="s">
        <v>1810</v>
      </c>
      <c r="D902" s="3">
        <v>28550.5</v>
      </c>
      <c r="E902" s="4">
        <v>4</v>
      </c>
      <c r="F902" t="s">
        <v>55</v>
      </c>
      <c r="G902" s="3">
        <f t="shared" si="70"/>
        <v>29740.1</v>
      </c>
      <c r="H902" s="3">
        <v>0</v>
      </c>
      <c r="I902" s="3">
        <f t="shared" si="71"/>
        <v>29740.1</v>
      </c>
      <c r="J902" s="2"/>
      <c r="K902" s="5">
        <v>46262.583333333343</v>
      </c>
      <c r="L902">
        <v>2</v>
      </c>
      <c r="M902" s="3">
        <f t="shared" si="72"/>
        <v>14870.05</v>
      </c>
      <c r="N902" t="str">
        <f t="shared" si="73"/>
        <v>ставка</v>
      </c>
      <c r="O902" s="3">
        <f t="shared" si="74"/>
        <v>583.14</v>
      </c>
      <c r="P902" s="5">
        <v>46264.5</v>
      </c>
      <c r="Q902" t="s">
        <v>55</v>
      </c>
      <c r="R902" s="2" t="s">
        <v>45</v>
      </c>
      <c r="S902">
        <v>53</v>
      </c>
      <c r="T902">
        <v>2</v>
      </c>
    </row>
    <row r="903" spans="1:20" x14ac:dyDescent="0.25">
      <c r="A903" t="s">
        <v>1811</v>
      </c>
      <c r="B903">
        <v>1</v>
      </c>
      <c r="C903" s="2" t="s">
        <v>1812</v>
      </c>
      <c r="D903" s="3">
        <v>43050.5</v>
      </c>
      <c r="E903" s="4">
        <v>4</v>
      </c>
      <c r="F903" t="s">
        <v>55</v>
      </c>
      <c r="G903" s="3">
        <f t="shared" si="70"/>
        <v>44844.27</v>
      </c>
      <c r="H903" s="3">
        <v>0</v>
      </c>
      <c r="I903" s="3">
        <f t="shared" si="71"/>
        <v>44844.27</v>
      </c>
      <c r="J903" s="2" t="s">
        <v>27</v>
      </c>
      <c r="K903" s="5">
        <v>46282.583333333343</v>
      </c>
      <c r="L903">
        <v>3</v>
      </c>
      <c r="M903" s="3">
        <f t="shared" si="72"/>
        <v>14948.089999999998</v>
      </c>
      <c r="N903" t="str">
        <f t="shared" si="73"/>
        <v>ставка</v>
      </c>
      <c r="O903" s="3">
        <f t="shared" si="74"/>
        <v>879.3</v>
      </c>
      <c r="P903" s="5">
        <v>46285.5</v>
      </c>
      <c r="Q903" t="s">
        <v>55</v>
      </c>
      <c r="R903" s="2" t="s">
        <v>49</v>
      </c>
      <c r="S903">
        <v>11</v>
      </c>
      <c r="T903">
        <v>1</v>
      </c>
    </row>
    <row r="904" spans="1:20" ht="30" x14ac:dyDescent="0.25">
      <c r="A904" t="s">
        <v>1813</v>
      </c>
      <c r="B904">
        <v>1</v>
      </c>
      <c r="C904" s="2" t="s">
        <v>1814</v>
      </c>
      <c r="D904" s="3">
        <v>30322.6</v>
      </c>
      <c r="E904" s="4">
        <v>4</v>
      </c>
      <c r="F904" t="s">
        <v>55</v>
      </c>
      <c r="G904" s="3">
        <f t="shared" si="70"/>
        <v>31586.04</v>
      </c>
      <c r="H904" s="3">
        <v>0</v>
      </c>
      <c r="I904" s="3">
        <f t="shared" si="71"/>
        <v>31586.04</v>
      </c>
      <c r="J904" s="2" t="s">
        <v>27</v>
      </c>
      <c r="K904" s="5">
        <v>46218.583333333343</v>
      </c>
      <c r="L904">
        <v>2</v>
      </c>
      <c r="M904" s="3">
        <f t="shared" si="72"/>
        <v>15793.02</v>
      </c>
      <c r="N904" t="str">
        <f t="shared" si="73"/>
        <v>ставка</v>
      </c>
      <c r="O904" s="3">
        <f t="shared" si="74"/>
        <v>619.33000000000004</v>
      </c>
      <c r="P904" s="5">
        <v>46220.5</v>
      </c>
      <c r="Q904" t="s">
        <v>55</v>
      </c>
      <c r="R904" s="2" t="s">
        <v>24</v>
      </c>
      <c r="S904">
        <v>59</v>
      </c>
      <c r="T904">
        <v>2</v>
      </c>
    </row>
    <row r="905" spans="1:20" ht="30" x14ac:dyDescent="0.25">
      <c r="A905" t="s">
        <v>1815</v>
      </c>
      <c r="B905">
        <v>1</v>
      </c>
      <c r="C905" s="2" t="s">
        <v>1816</v>
      </c>
      <c r="D905" s="3">
        <v>18160</v>
      </c>
      <c r="E905" s="4">
        <v>20</v>
      </c>
      <c r="F905" t="s">
        <v>48</v>
      </c>
      <c r="G905" s="3">
        <f t="shared" si="70"/>
        <v>22700</v>
      </c>
      <c r="H905" s="3">
        <v>9080</v>
      </c>
      <c r="I905" s="3">
        <f t="shared" si="71"/>
        <v>31780</v>
      </c>
      <c r="J905" s="2" t="s">
        <v>1817</v>
      </c>
      <c r="K905" s="5">
        <v>46272.333333333343</v>
      </c>
      <c r="L905">
        <v>2</v>
      </c>
      <c r="M905" s="3">
        <f t="shared" si="72"/>
        <v>15890</v>
      </c>
      <c r="N905" t="str">
        <f t="shared" si="73"/>
        <v>ставка</v>
      </c>
      <c r="O905" s="3">
        <f t="shared" si="74"/>
        <v>623.14</v>
      </c>
      <c r="P905" s="5">
        <v>46274.5</v>
      </c>
      <c r="Q905" t="s">
        <v>48</v>
      </c>
      <c r="R905" s="2" t="s">
        <v>40</v>
      </c>
      <c r="S905">
        <v>36</v>
      </c>
      <c r="T905">
        <v>1</v>
      </c>
    </row>
    <row r="906" spans="1:20" ht="30" x14ac:dyDescent="0.25">
      <c r="A906" t="s">
        <v>1818</v>
      </c>
      <c r="B906">
        <v>1</v>
      </c>
      <c r="C906" s="2" t="s">
        <v>1819</v>
      </c>
      <c r="D906" s="3">
        <v>19295</v>
      </c>
      <c r="E906" s="4">
        <v>15</v>
      </c>
      <c r="F906" t="s">
        <v>487</v>
      </c>
      <c r="G906" s="3">
        <f t="shared" si="70"/>
        <v>22700</v>
      </c>
      <c r="H906" s="3">
        <v>0</v>
      </c>
      <c r="I906" s="3">
        <f t="shared" si="71"/>
        <v>22700</v>
      </c>
      <c r="J906" s="2" t="s">
        <v>27</v>
      </c>
      <c r="K906" s="5">
        <v>46266.583333333343</v>
      </c>
      <c r="L906">
        <v>2</v>
      </c>
      <c r="M906" s="3">
        <f t="shared" si="72"/>
        <v>11350</v>
      </c>
      <c r="N906" t="str">
        <f t="shared" si="73"/>
        <v>ставка</v>
      </c>
      <c r="O906" s="3">
        <f t="shared" si="74"/>
        <v>445.1</v>
      </c>
      <c r="P906" s="5">
        <v>46268.5</v>
      </c>
      <c r="Q906" t="s">
        <v>487</v>
      </c>
      <c r="R906" s="2" t="s">
        <v>24</v>
      </c>
      <c r="S906">
        <v>31</v>
      </c>
      <c r="T906">
        <v>1</v>
      </c>
    </row>
    <row r="907" spans="1:20" ht="30" x14ac:dyDescent="0.25">
      <c r="A907" t="s">
        <v>1820</v>
      </c>
      <c r="B907">
        <v>1</v>
      </c>
      <c r="C907" s="2" t="s">
        <v>1819</v>
      </c>
      <c r="D907" s="3">
        <v>20145</v>
      </c>
      <c r="E907" s="4">
        <v>15</v>
      </c>
      <c r="F907" t="s">
        <v>487</v>
      </c>
      <c r="G907" s="3">
        <f t="shared" si="70"/>
        <v>23700</v>
      </c>
      <c r="H907" s="3">
        <v>0</v>
      </c>
      <c r="I907" s="3">
        <f t="shared" si="71"/>
        <v>23700</v>
      </c>
      <c r="J907" s="2" t="s">
        <v>27</v>
      </c>
      <c r="K907" s="5">
        <v>46237.583333333343</v>
      </c>
      <c r="L907">
        <v>3</v>
      </c>
      <c r="M907" s="3">
        <f t="shared" si="72"/>
        <v>7900</v>
      </c>
      <c r="N907" t="str">
        <f t="shared" si="73"/>
        <v>ставка</v>
      </c>
      <c r="O907" s="3">
        <f t="shared" si="74"/>
        <v>464.71</v>
      </c>
      <c r="P907" s="5">
        <v>46240.5</v>
      </c>
      <c r="Q907" t="s">
        <v>487</v>
      </c>
      <c r="R907" s="2" t="s">
        <v>33</v>
      </c>
      <c r="S907">
        <v>41</v>
      </c>
      <c r="T907">
        <v>1</v>
      </c>
    </row>
    <row r="908" spans="1:20" x14ac:dyDescent="0.25">
      <c r="A908" t="s">
        <v>1821</v>
      </c>
      <c r="B908">
        <v>1</v>
      </c>
      <c r="C908" s="2" t="s">
        <v>1822</v>
      </c>
      <c r="D908" s="3">
        <v>31500</v>
      </c>
      <c r="E908" s="4">
        <v>16</v>
      </c>
      <c r="F908" t="s">
        <v>36</v>
      </c>
      <c r="G908" s="3">
        <f t="shared" si="70"/>
        <v>37500</v>
      </c>
      <c r="H908" s="3">
        <v>0</v>
      </c>
      <c r="I908" s="3">
        <f t="shared" si="71"/>
        <v>37500</v>
      </c>
      <c r="J908" s="2"/>
      <c r="K908" s="5">
        <v>46275.583333333343</v>
      </c>
      <c r="L908">
        <v>3</v>
      </c>
      <c r="M908" s="3">
        <f t="shared" si="72"/>
        <v>12500</v>
      </c>
      <c r="N908" t="str">
        <f t="shared" si="73"/>
        <v>ставка</v>
      </c>
      <c r="O908" s="3">
        <f t="shared" si="74"/>
        <v>735.29</v>
      </c>
      <c r="P908" s="5">
        <v>46278.5</v>
      </c>
      <c r="Q908" t="s">
        <v>36</v>
      </c>
      <c r="R908" s="2" t="s">
        <v>45</v>
      </c>
      <c r="S908">
        <v>54</v>
      </c>
      <c r="T908">
        <v>2</v>
      </c>
    </row>
    <row r="909" spans="1:20" ht="30" x14ac:dyDescent="0.25">
      <c r="A909" t="s">
        <v>1823</v>
      </c>
      <c r="B909">
        <v>1</v>
      </c>
      <c r="C909" s="2" t="s">
        <v>1824</v>
      </c>
      <c r="D909" s="3">
        <v>6930</v>
      </c>
      <c r="E909" s="4">
        <v>0</v>
      </c>
      <c r="F909" t="s">
        <v>23</v>
      </c>
      <c r="G909" s="3">
        <f t="shared" si="70"/>
        <v>6930</v>
      </c>
      <c r="H909" s="3">
        <v>0</v>
      </c>
      <c r="I909" s="3">
        <f t="shared" si="71"/>
        <v>6930</v>
      </c>
      <c r="J909" s="2" t="s">
        <v>27</v>
      </c>
      <c r="K909" s="5">
        <v>46257.583333333343</v>
      </c>
      <c r="L909">
        <v>1</v>
      </c>
      <c r="M909" s="3">
        <f t="shared" si="72"/>
        <v>6930</v>
      </c>
      <c r="N909" t="str">
        <f t="shared" si="73"/>
        <v>ставка</v>
      </c>
      <c r="O909" s="3">
        <f t="shared" si="74"/>
        <v>135.88</v>
      </c>
      <c r="P909" s="5">
        <v>46258.5</v>
      </c>
      <c r="Q909" t="s">
        <v>23</v>
      </c>
      <c r="R909" s="2" t="s">
        <v>58</v>
      </c>
      <c r="S909">
        <v>34</v>
      </c>
      <c r="T909">
        <v>1</v>
      </c>
    </row>
    <row r="910" spans="1:20" ht="30" x14ac:dyDescent="0.25">
      <c r="A910" t="s">
        <v>1825</v>
      </c>
      <c r="B910">
        <v>1</v>
      </c>
      <c r="C910" s="2" t="s">
        <v>1824</v>
      </c>
      <c r="D910" s="3">
        <v>56523</v>
      </c>
      <c r="E910" s="4">
        <v>20</v>
      </c>
      <c r="F910" t="s">
        <v>173</v>
      </c>
      <c r="G910" s="3">
        <f t="shared" si="70"/>
        <v>70653.75</v>
      </c>
      <c r="H910" s="3">
        <v>0</v>
      </c>
      <c r="I910" s="3">
        <f t="shared" si="71"/>
        <v>70653.75</v>
      </c>
      <c r="J910" s="2" t="s">
        <v>27</v>
      </c>
      <c r="K910" s="5">
        <v>46251.583333333343</v>
      </c>
      <c r="L910">
        <v>6</v>
      </c>
      <c r="M910" s="3">
        <f t="shared" si="72"/>
        <v>11775.625</v>
      </c>
      <c r="N910" t="str">
        <f t="shared" si="73"/>
        <v>ставка</v>
      </c>
      <c r="O910" s="3">
        <f t="shared" si="74"/>
        <v>1385.37</v>
      </c>
      <c r="P910" s="5">
        <v>46257.5</v>
      </c>
      <c r="Q910" t="s">
        <v>173</v>
      </c>
      <c r="R910" s="2" t="s">
        <v>40</v>
      </c>
      <c r="S910">
        <v>44</v>
      </c>
      <c r="T910">
        <v>1</v>
      </c>
    </row>
    <row r="911" spans="1:20" ht="30" x14ac:dyDescent="0.25">
      <c r="A911" t="s">
        <v>1826</v>
      </c>
      <c r="B911">
        <v>1</v>
      </c>
      <c r="C911" s="2" t="s">
        <v>1827</v>
      </c>
      <c r="D911" s="3">
        <v>18614</v>
      </c>
      <c r="E911" s="4">
        <v>18</v>
      </c>
      <c r="F911" t="s">
        <v>147</v>
      </c>
      <c r="G911" s="3">
        <f t="shared" si="70"/>
        <v>22700</v>
      </c>
      <c r="H911" s="3">
        <v>0</v>
      </c>
      <c r="I911" s="3">
        <f t="shared" si="71"/>
        <v>22700</v>
      </c>
      <c r="J911" s="2" t="s">
        <v>27</v>
      </c>
      <c r="K911" s="5">
        <v>46251.583333333343</v>
      </c>
      <c r="L911">
        <v>2</v>
      </c>
      <c r="M911" s="3">
        <f t="shared" si="72"/>
        <v>11350</v>
      </c>
      <c r="N911" t="str">
        <f t="shared" si="73"/>
        <v>ставка</v>
      </c>
      <c r="O911" s="3">
        <f t="shared" si="74"/>
        <v>445.1</v>
      </c>
      <c r="P911" s="5">
        <v>46253.5</v>
      </c>
      <c r="Q911" t="s">
        <v>147</v>
      </c>
      <c r="R911" s="2" t="s">
        <v>40</v>
      </c>
      <c r="S911">
        <v>46</v>
      </c>
      <c r="T911">
        <v>1</v>
      </c>
    </row>
    <row r="912" spans="1:20" ht="30" x14ac:dyDescent="0.25">
      <c r="A912" t="s">
        <v>1828</v>
      </c>
      <c r="B912">
        <v>1</v>
      </c>
      <c r="C912" s="2" t="s">
        <v>1829</v>
      </c>
      <c r="D912" s="3">
        <v>32040</v>
      </c>
      <c r="E912" s="4">
        <v>18</v>
      </c>
      <c r="F912" t="s">
        <v>32</v>
      </c>
      <c r="G912" s="3">
        <f t="shared" si="70"/>
        <v>39073.17</v>
      </c>
      <c r="H912" s="3">
        <v>0</v>
      </c>
      <c r="I912" s="3">
        <f t="shared" si="71"/>
        <v>39073.17</v>
      </c>
      <c r="J912" s="2" t="s">
        <v>27</v>
      </c>
      <c r="K912" s="5">
        <v>46224.583333333343</v>
      </c>
      <c r="L912">
        <v>3</v>
      </c>
      <c r="M912" s="3">
        <f t="shared" si="72"/>
        <v>13024.39</v>
      </c>
      <c r="N912" t="str">
        <f t="shared" si="73"/>
        <v>ставка</v>
      </c>
      <c r="O912" s="3">
        <f t="shared" si="74"/>
        <v>766.14</v>
      </c>
      <c r="P912" s="5">
        <v>46227.5</v>
      </c>
      <c r="Q912" t="s">
        <v>32</v>
      </c>
      <c r="R912" s="2" t="s">
        <v>40</v>
      </c>
      <c r="S912">
        <v>36</v>
      </c>
      <c r="T912">
        <v>1</v>
      </c>
    </row>
    <row r="913" spans="1:20" ht="30" x14ac:dyDescent="0.25">
      <c r="A913" t="s">
        <v>1830</v>
      </c>
      <c r="B913">
        <v>1</v>
      </c>
      <c r="C913" s="2" t="s">
        <v>1831</v>
      </c>
      <c r="D913" s="3">
        <v>22695</v>
      </c>
      <c r="E913" s="4">
        <v>15</v>
      </c>
      <c r="F913" t="s">
        <v>411</v>
      </c>
      <c r="G913" s="3">
        <f t="shared" si="70"/>
        <v>26700</v>
      </c>
      <c r="H913" s="3">
        <v>0</v>
      </c>
      <c r="I913" s="3">
        <f t="shared" si="71"/>
        <v>26700</v>
      </c>
      <c r="J913" s="2" t="s">
        <v>27</v>
      </c>
      <c r="K913" s="5">
        <v>46241.583333333343</v>
      </c>
      <c r="L913">
        <v>2</v>
      </c>
      <c r="M913" s="3">
        <f t="shared" si="72"/>
        <v>13350</v>
      </c>
      <c r="N913" t="str">
        <f t="shared" si="73"/>
        <v>ставка</v>
      </c>
      <c r="O913" s="3">
        <f t="shared" si="74"/>
        <v>523.53</v>
      </c>
      <c r="P913" s="5">
        <v>46243.5</v>
      </c>
      <c r="Q913" t="s">
        <v>411</v>
      </c>
      <c r="R913" s="2" t="s">
        <v>40</v>
      </c>
      <c r="S913">
        <v>33</v>
      </c>
      <c r="T913">
        <v>1</v>
      </c>
    </row>
    <row r="914" spans="1:20" ht="30" x14ac:dyDescent="0.25">
      <c r="A914" t="s">
        <v>1832</v>
      </c>
      <c r="B914">
        <v>1</v>
      </c>
      <c r="C914" s="2" t="s">
        <v>1833</v>
      </c>
      <c r="D914" s="3">
        <v>24651</v>
      </c>
      <c r="E914" s="4">
        <v>17</v>
      </c>
      <c r="F914" t="s">
        <v>130</v>
      </c>
      <c r="G914" s="3">
        <f t="shared" si="70"/>
        <v>29700</v>
      </c>
      <c r="H914" s="3">
        <v>0</v>
      </c>
      <c r="I914" s="3">
        <f t="shared" si="71"/>
        <v>29700</v>
      </c>
      <c r="J914" s="2" t="s">
        <v>27</v>
      </c>
      <c r="K914" s="5">
        <v>46263.583333333343</v>
      </c>
      <c r="L914">
        <v>3</v>
      </c>
      <c r="M914" s="3">
        <f t="shared" si="72"/>
        <v>9900</v>
      </c>
      <c r="N914" t="str">
        <f t="shared" si="73"/>
        <v>ставка</v>
      </c>
      <c r="O914" s="3">
        <f t="shared" si="74"/>
        <v>582.35</v>
      </c>
      <c r="P914" s="5">
        <v>46266.5</v>
      </c>
      <c r="Q914" t="s">
        <v>130</v>
      </c>
      <c r="R914" s="2" t="s">
        <v>33</v>
      </c>
      <c r="S914">
        <v>41</v>
      </c>
      <c r="T914">
        <v>1</v>
      </c>
    </row>
    <row r="915" spans="1:20" ht="30" x14ac:dyDescent="0.25">
      <c r="A915" t="s">
        <v>1834</v>
      </c>
      <c r="B915">
        <v>1</v>
      </c>
      <c r="C915" s="2" t="s">
        <v>1835</v>
      </c>
      <c r="D915" s="3">
        <v>19635</v>
      </c>
      <c r="E915" s="4">
        <v>15</v>
      </c>
      <c r="F915" t="s">
        <v>73</v>
      </c>
      <c r="G915" s="3">
        <f t="shared" si="70"/>
        <v>23100</v>
      </c>
      <c r="H915" s="3">
        <v>0</v>
      </c>
      <c r="I915" s="3">
        <f t="shared" si="71"/>
        <v>23100</v>
      </c>
      <c r="J915" s="2" t="s">
        <v>27</v>
      </c>
      <c r="K915" s="5">
        <v>46276.583333333343</v>
      </c>
      <c r="L915">
        <v>3</v>
      </c>
      <c r="M915" s="3">
        <f t="shared" si="72"/>
        <v>7700</v>
      </c>
      <c r="N915" t="str">
        <f t="shared" si="73"/>
        <v>ставка</v>
      </c>
      <c r="O915" s="3">
        <f t="shared" si="74"/>
        <v>452.94</v>
      </c>
      <c r="P915" s="5">
        <v>46279.5</v>
      </c>
      <c r="Q915" t="s">
        <v>73</v>
      </c>
      <c r="R915" s="2" t="s">
        <v>58</v>
      </c>
      <c r="S915">
        <v>34</v>
      </c>
      <c r="T915">
        <v>1</v>
      </c>
    </row>
    <row r="916" spans="1:20" ht="30" x14ac:dyDescent="0.25">
      <c r="A916" t="s">
        <v>1836</v>
      </c>
      <c r="B916">
        <v>1</v>
      </c>
      <c r="C916" s="2" t="s">
        <v>1837</v>
      </c>
      <c r="D916" s="3">
        <v>28602</v>
      </c>
      <c r="E916" s="4">
        <v>16</v>
      </c>
      <c r="F916" t="s">
        <v>36</v>
      </c>
      <c r="G916" s="3">
        <f t="shared" si="70"/>
        <v>34050</v>
      </c>
      <c r="H916" s="3">
        <v>0</v>
      </c>
      <c r="I916" s="3">
        <f t="shared" si="71"/>
        <v>34050</v>
      </c>
      <c r="J916" s="2" t="s">
        <v>27</v>
      </c>
      <c r="K916" s="5">
        <v>46284.583333333343</v>
      </c>
      <c r="L916">
        <v>3</v>
      </c>
      <c r="M916" s="3">
        <f t="shared" si="72"/>
        <v>11350</v>
      </c>
      <c r="N916" t="str">
        <f t="shared" si="73"/>
        <v>ставка</v>
      </c>
      <c r="O916" s="3">
        <f t="shared" si="74"/>
        <v>667.65</v>
      </c>
      <c r="P916" s="5">
        <v>46287.5</v>
      </c>
      <c r="Q916" t="s">
        <v>36</v>
      </c>
      <c r="R916" s="2" t="s">
        <v>40</v>
      </c>
      <c r="S916">
        <v>32</v>
      </c>
      <c r="T916">
        <v>1</v>
      </c>
    </row>
    <row r="917" spans="1:20" ht="30" x14ac:dyDescent="0.25">
      <c r="A917" t="s">
        <v>1838</v>
      </c>
      <c r="B917">
        <v>1</v>
      </c>
      <c r="C917" s="2" t="s">
        <v>1839</v>
      </c>
      <c r="D917" s="3">
        <v>26286.15</v>
      </c>
      <c r="E917" s="4">
        <v>4</v>
      </c>
      <c r="F917" t="s">
        <v>55</v>
      </c>
      <c r="G917" s="3">
        <f t="shared" si="70"/>
        <v>27381.41</v>
      </c>
      <c r="H917" s="3">
        <v>90</v>
      </c>
      <c r="I917" s="3">
        <f t="shared" si="71"/>
        <v>27471.41</v>
      </c>
      <c r="J917" s="2" t="s">
        <v>1840</v>
      </c>
      <c r="K917" s="5">
        <v>46238.583333333343</v>
      </c>
      <c r="L917">
        <v>2</v>
      </c>
      <c r="M917" s="3">
        <f t="shared" si="72"/>
        <v>13735.705</v>
      </c>
      <c r="N917" t="str">
        <f t="shared" si="73"/>
        <v>ставка</v>
      </c>
      <c r="O917" s="3">
        <f t="shared" si="74"/>
        <v>538.66</v>
      </c>
      <c r="P917" s="5">
        <v>46240.5</v>
      </c>
      <c r="Q917" t="s">
        <v>55</v>
      </c>
      <c r="R917" s="2" t="s">
        <v>40</v>
      </c>
      <c r="S917">
        <v>52</v>
      </c>
      <c r="T917">
        <v>2</v>
      </c>
    </row>
    <row r="918" spans="1:20" ht="30" x14ac:dyDescent="0.25">
      <c r="A918" t="s">
        <v>1841</v>
      </c>
      <c r="B918">
        <v>1</v>
      </c>
      <c r="C918" s="2" t="s">
        <v>1842</v>
      </c>
      <c r="D918" s="3">
        <v>22695</v>
      </c>
      <c r="E918" s="4">
        <v>15</v>
      </c>
      <c r="F918" t="s">
        <v>36</v>
      </c>
      <c r="G918" s="3">
        <f t="shared" si="70"/>
        <v>26700</v>
      </c>
      <c r="H918" s="3">
        <v>1300</v>
      </c>
      <c r="I918" s="3">
        <f t="shared" si="71"/>
        <v>28000</v>
      </c>
      <c r="J918" s="2" t="s">
        <v>1843</v>
      </c>
      <c r="K918" s="5">
        <v>46227.583333333343</v>
      </c>
      <c r="L918">
        <v>2</v>
      </c>
      <c r="M918" s="3">
        <f t="shared" si="72"/>
        <v>14000</v>
      </c>
      <c r="N918" t="str">
        <f t="shared" si="73"/>
        <v>ставка</v>
      </c>
      <c r="O918" s="3">
        <f t="shared" si="74"/>
        <v>549.02</v>
      </c>
      <c r="P918" s="5">
        <v>46229.5</v>
      </c>
      <c r="Q918" t="s">
        <v>36</v>
      </c>
      <c r="R918" s="2" t="s">
        <v>40</v>
      </c>
      <c r="S918">
        <v>36</v>
      </c>
      <c r="T918">
        <v>1</v>
      </c>
    </row>
    <row r="919" spans="1:20" ht="30" x14ac:dyDescent="0.25">
      <c r="A919" t="s">
        <v>1844</v>
      </c>
      <c r="B919">
        <v>1</v>
      </c>
      <c r="C919" s="2" t="s">
        <v>1845</v>
      </c>
      <c r="D919" s="3">
        <v>9593.1</v>
      </c>
      <c r="E919" s="4">
        <v>4</v>
      </c>
      <c r="F919" t="s">
        <v>55</v>
      </c>
      <c r="G919" s="3">
        <f t="shared" si="70"/>
        <v>9992.81</v>
      </c>
      <c r="H919" s="3">
        <v>0</v>
      </c>
      <c r="I919" s="3">
        <f t="shared" si="71"/>
        <v>9992.81</v>
      </c>
      <c r="J919" s="2" t="s">
        <v>27</v>
      </c>
      <c r="K919" s="5">
        <v>46224.583333333343</v>
      </c>
      <c r="L919">
        <v>1</v>
      </c>
      <c r="M919" s="3">
        <f t="shared" si="72"/>
        <v>9992.81</v>
      </c>
      <c r="N919" t="str">
        <f t="shared" si="73"/>
        <v>ставка</v>
      </c>
      <c r="O919" s="3">
        <f t="shared" si="74"/>
        <v>195.94</v>
      </c>
      <c r="P919" s="5">
        <v>46225.5</v>
      </c>
      <c r="Q919" t="s">
        <v>55</v>
      </c>
      <c r="R919" s="2" t="s">
        <v>33</v>
      </c>
      <c r="S919">
        <v>41</v>
      </c>
      <c r="T919">
        <v>1</v>
      </c>
    </row>
    <row r="920" spans="1:20" ht="30" x14ac:dyDescent="0.25">
      <c r="A920" t="s">
        <v>1846</v>
      </c>
      <c r="B920">
        <v>1</v>
      </c>
      <c r="C920" s="2" t="s">
        <v>1847</v>
      </c>
      <c r="D920" s="3">
        <v>45390</v>
      </c>
      <c r="E920" s="4">
        <v>16</v>
      </c>
      <c r="F920" t="s">
        <v>36</v>
      </c>
      <c r="G920" s="3">
        <f t="shared" si="70"/>
        <v>54035.71</v>
      </c>
      <c r="H920" s="3">
        <v>0</v>
      </c>
      <c r="I920" s="3">
        <f t="shared" si="71"/>
        <v>54035.71</v>
      </c>
      <c r="J920" s="2" t="s">
        <v>27</v>
      </c>
      <c r="K920" s="5">
        <v>46256.583333333343</v>
      </c>
      <c r="L920">
        <v>4</v>
      </c>
      <c r="M920" s="3">
        <f t="shared" si="72"/>
        <v>13508.9275</v>
      </c>
      <c r="N920" t="str">
        <f t="shared" si="73"/>
        <v>ставка</v>
      </c>
      <c r="O920" s="3">
        <f t="shared" si="74"/>
        <v>1059.52</v>
      </c>
      <c r="P920" s="5">
        <v>46260.5</v>
      </c>
      <c r="Q920" t="s">
        <v>36</v>
      </c>
      <c r="R920" s="2" t="s">
        <v>40</v>
      </c>
      <c r="S920">
        <v>42</v>
      </c>
      <c r="T920">
        <v>1</v>
      </c>
    </row>
    <row r="921" spans="1:20" ht="30" x14ac:dyDescent="0.25">
      <c r="A921" t="s">
        <v>1848</v>
      </c>
      <c r="B921">
        <v>1</v>
      </c>
      <c r="C921" s="2" t="s">
        <v>1849</v>
      </c>
      <c r="D921" s="3">
        <v>7900</v>
      </c>
      <c r="E921" s="4">
        <v>0</v>
      </c>
      <c r="F921" t="s">
        <v>23</v>
      </c>
      <c r="G921" s="3">
        <f t="shared" si="70"/>
        <v>7900</v>
      </c>
      <c r="H921" s="3">
        <v>0</v>
      </c>
      <c r="I921" s="3">
        <f t="shared" si="71"/>
        <v>7900</v>
      </c>
      <c r="J921" s="2" t="s">
        <v>27</v>
      </c>
      <c r="K921" s="5">
        <v>46215.583333333343</v>
      </c>
      <c r="L921">
        <v>1</v>
      </c>
      <c r="M921" s="3">
        <f t="shared" si="72"/>
        <v>7900</v>
      </c>
      <c r="N921" t="str">
        <f t="shared" si="73"/>
        <v>ставка</v>
      </c>
      <c r="O921" s="3">
        <f t="shared" si="74"/>
        <v>154.9</v>
      </c>
      <c r="P921" s="5">
        <v>46216.5</v>
      </c>
      <c r="Q921" t="s">
        <v>23</v>
      </c>
      <c r="R921" s="2" t="s">
        <v>33</v>
      </c>
      <c r="S921">
        <v>47</v>
      </c>
      <c r="T921">
        <v>1</v>
      </c>
    </row>
    <row r="922" spans="1:20" ht="30" x14ac:dyDescent="0.25">
      <c r="A922" t="s">
        <v>1850</v>
      </c>
      <c r="B922">
        <v>1</v>
      </c>
      <c r="C922" s="2" t="s">
        <v>1851</v>
      </c>
      <c r="D922" s="3">
        <v>37228</v>
      </c>
      <c r="E922" s="4">
        <v>18</v>
      </c>
      <c r="F922" t="s">
        <v>147</v>
      </c>
      <c r="G922" s="3">
        <f t="shared" si="70"/>
        <v>45400</v>
      </c>
      <c r="H922" s="3">
        <v>0</v>
      </c>
      <c r="I922" s="3">
        <f t="shared" si="71"/>
        <v>45400</v>
      </c>
      <c r="J922" s="2" t="s">
        <v>27</v>
      </c>
      <c r="K922" s="5">
        <v>46216.583333333343</v>
      </c>
      <c r="L922">
        <v>4</v>
      </c>
      <c r="M922" s="3">
        <f t="shared" si="72"/>
        <v>11350</v>
      </c>
      <c r="N922" t="str">
        <f t="shared" si="73"/>
        <v>ставка</v>
      </c>
      <c r="O922" s="3">
        <f t="shared" si="74"/>
        <v>890.2</v>
      </c>
      <c r="P922" s="5">
        <v>46220.5</v>
      </c>
      <c r="Q922" t="s">
        <v>147</v>
      </c>
      <c r="R922" s="2" t="s">
        <v>40</v>
      </c>
      <c r="S922">
        <v>23</v>
      </c>
      <c r="T922">
        <v>1</v>
      </c>
    </row>
    <row r="923" spans="1:20" ht="30" x14ac:dyDescent="0.25">
      <c r="A923" t="s">
        <v>1366</v>
      </c>
      <c r="B923">
        <v>1</v>
      </c>
      <c r="C923" s="2" t="s">
        <v>1852</v>
      </c>
      <c r="D923" s="3">
        <v>56826</v>
      </c>
      <c r="E923" s="4">
        <v>18</v>
      </c>
      <c r="F923" t="s">
        <v>32</v>
      </c>
      <c r="G923" s="3">
        <f t="shared" si="70"/>
        <v>69300</v>
      </c>
      <c r="H923" s="3">
        <v>0</v>
      </c>
      <c r="I923" s="3">
        <f t="shared" si="71"/>
        <v>69300</v>
      </c>
      <c r="J923" s="2" t="s">
        <v>27</v>
      </c>
      <c r="K923" s="5">
        <v>46223.583333333343</v>
      </c>
      <c r="L923">
        <v>7</v>
      </c>
      <c r="M923" s="3">
        <f t="shared" si="72"/>
        <v>9900</v>
      </c>
      <c r="N923" t="str">
        <f t="shared" si="73"/>
        <v>ставка</v>
      </c>
      <c r="O923" s="3">
        <f t="shared" si="74"/>
        <v>1358.82</v>
      </c>
      <c r="P923" s="5">
        <v>46230.5</v>
      </c>
      <c r="Q923" t="s">
        <v>32</v>
      </c>
      <c r="R923" s="2" t="s">
        <v>33</v>
      </c>
      <c r="S923" s="6"/>
    </row>
    <row r="924" spans="1:20" ht="30" x14ac:dyDescent="0.25">
      <c r="A924" t="s">
        <v>1853</v>
      </c>
      <c r="B924">
        <v>1</v>
      </c>
      <c r="C924" s="2" t="s">
        <v>1854</v>
      </c>
      <c r="D924" s="3">
        <v>7425</v>
      </c>
      <c r="E924" s="4">
        <v>18</v>
      </c>
      <c r="F924" t="s">
        <v>32</v>
      </c>
      <c r="G924" s="3">
        <f t="shared" si="70"/>
        <v>9054.8799999999992</v>
      </c>
      <c r="H924" s="3">
        <v>0</v>
      </c>
      <c r="I924" s="3">
        <f t="shared" si="71"/>
        <v>9054.8799999999992</v>
      </c>
      <c r="J924" s="2" t="s">
        <v>27</v>
      </c>
      <c r="K924" s="5">
        <v>46291.583333333343</v>
      </c>
      <c r="L924">
        <v>1</v>
      </c>
      <c r="M924" s="3">
        <f t="shared" si="72"/>
        <v>9054.8799999999992</v>
      </c>
      <c r="N924" t="str">
        <f t="shared" si="73"/>
        <v>ставка</v>
      </c>
      <c r="O924" s="3">
        <f t="shared" si="74"/>
        <v>177.55</v>
      </c>
      <c r="P924" s="5">
        <v>46292.5</v>
      </c>
      <c r="Q924" t="s">
        <v>32</v>
      </c>
      <c r="R924" s="2" t="s">
        <v>33</v>
      </c>
      <c r="S924">
        <v>41</v>
      </c>
      <c r="T924">
        <v>1</v>
      </c>
    </row>
    <row r="925" spans="1:20" ht="30" x14ac:dyDescent="0.25">
      <c r="A925" t="s">
        <v>1855</v>
      </c>
      <c r="B925">
        <v>1</v>
      </c>
      <c r="C925" s="2" t="s">
        <v>1856</v>
      </c>
      <c r="D925" s="3">
        <v>16252.5</v>
      </c>
      <c r="E925" s="4">
        <v>4</v>
      </c>
      <c r="F925" t="s">
        <v>55</v>
      </c>
      <c r="G925" s="3">
        <f t="shared" si="70"/>
        <v>16929.689999999999</v>
      </c>
      <c r="H925" s="3">
        <v>0</v>
      </c>
      <c r="I925" s="3">
        <f t="shared" si="71"/>
        <v>16929.689999999999</v>
      </c>
      <c r="J925" s="2" t="s">
        <v>27</v>
      </c>
      <c r="K925" s="5">
        <v>46241.583333333343</v>
      </c>
      <c r="L925">
        <v>1</v>
      </c>
      <c r="M925" s="3">
        <f t="shared" si="72"/>
        <v>16929.689999999999</v>
      </c>
      <c r="N925" t="str">
        <f t="shared" si="73"/>
        <v>ставка</v>
      </c>
      <c r="O925" s="3">
        <f t="shared" si="74"/>
        <v>331.95</v>
      </c>
      <c r="P925" s="5">
        <v>46242.5</v>
      </c>
      <c r="Q925" t="s">
        <v>55</v>
      </c>
      <c r="R925" s="2" t="s">
        <v>49</v>
      </c>
      <c r="S925">
        <v>25</v>
      </c>
      <c r="T925">
        <v>1</v>
      </c>
    </row>
    <row r="926" spans="1:20" ht="30" x14ac:dyDescent="0.25">
      <c r="A926" t="s">
        <v>1857</v>
      </c>
      <c r="B926">
        <v>1</v>
      </c>
      <c r="C926" s="2" t="s">
        <v>1858</v>
      </c>
      <c r="D926" s="3">
        <v>66549.75</v>
      </c>
      <c r="E926" s="4">
        <v>4</v>
      </c>
      <c r="F926" t="s">
        <v>55</v>
      </c>
      <c r="G926" s="3">
        <f t="shared" si="70"/>
        <v>69322.66</v>
      </c>
      <c r="H926" s="3">
        <v>0</v>
      </c>
      <c r="I926" s="3">
        <f t="shared" si="71"/>
        <v>69322.66</v>
      </c>
      <c r="J926" s="2" t="s">
        <v>27</v>
      </c>
      <c r="K926" s="5">
        <v>46253.625</v>
      </c>
      <c r="L926">
        <v>5</v>
      </c>
      <c r="M926" s="3">
        <f t="shared" si="72"/>
        <v>13864.532000000001</v>
      </c>
      <c r="N926" t="str">
        <f t="shared" si="73"/>
        <v>ставка</v>
      </c>
      <c r="O926" s="3">
        <f t="shared" si="74"/>
        <v>1359.27</v>
      </c>
      <c r="P926" s="5">
        <v>46258.5</v>
      </c>
      <c r="Q926" t="s">
        <v>55</v>
      </c>
      <c r="R926" s="2" t="s">
        <v>40</v>
      </c>
      <c r="S926">
        <v>46</v>
      </c>
      <c r="T926">
        <v>1</v>
      </c>
    </row>
    <row r="927" spans="1:20" ht="30" x14ac:dyDescent="0.25">
      <c r="A927" t="s">
        <v>1859</v>
      </c>
      <c r="B927">
        <v>1</v>
      </c>
      <c r="C927" s="2" t="s">
        <v>1860</v>
      </c>
      <c r="D927" s="3">
        <v>9080</v>
      </c>
      <c r="E927" s="4">
        <v>20</v>
      </c>
      <c r="F927" t="s">
        <v>103</v>
      </c>
      <c r="G927" s="3">
        <f t="shared" si="70"/>
        <v>11350</v>
      </c>
      <c r="H927" s="3">
        <v>0</v>
      </c>
      <c r="I927" s="3">
        <f t="shared" si="71"/>
        <v>11350</v>
      </c>
      <c r="J927" s="2" t="s">
        <v>27</v>
      </c>
      <c r="K927" s="5">
        <v>46280.583333333343</v>
      </c>
      <c r="L927">
        <v>1</v>
      </c>
      <c r="M927" s="3">
        <f t="shared" si="72"/>
        <v>11350</v>
      </c>
      <c r="N927" t="str">
        <f t="shared" si="73"/>
        <v>ставка</v>
      </c>
      <c r="O927" s="3">
        <f t="shared" si="74"/>
        <v>222.55</v>
      </c>
      <c r="P927" s="5">
        <v>46281.5</v>
      </c>
      <c r="Q927" t="s">
        <v>103</v>
      </c>
      <c r="R927" s="2" t="s">
        <v>40</v>
      </c>
      <c r="S927">
        <v>22</v>
      </c>
      <c r="T927">
        <v>1</v>
      </c>
    </row>
    <row r="928" spans="1:20" ht="30" x14ac:dyDescent="0.25">
      <c r="A928" t="s">
        <v>1861</v>
      </c>
      <c r="B928">
        <v>1</v>
      </c>
      <c r="C928" s="2" t="s">
        <v>1862</v>
      </c>
      <c r="D928" s="3">
        <v>19295</v>
      </c>
      <c r="E928" s="4">
        <v>15</v>
      </c>
      <c r="F928" t="s">
        <v>168</v>
      </c>
      <c r="G928" s="3">
        <f t="shared" si="70"/>
        <v>22700</v>
      </c>
      <c r="H928" s="3">
        <v>0</v>
      </c>
      <c r="I928" s="3">
        <f t="shared" si="71"/>
        <v>22700</v>
      </c>
      <c r="J928" s="2" t="s">
        <v>27</v>
      </c>
      <c r="K928" s="5">
        <v>46203.583333333343</v>
      </c>
      <c r="L928">
        <v>2</v>
      </c>
      <c r="M928" s="3">
        <f t="shared" si="72"/>
        <v>11350</v>
      </c>
      <c r="N928" t="str">
        <f t="shared" si="73"/>
        <v>ставка</v>
      </c>
      <c r="O928" s="3">
        <f t="shared" si="74"/>
        <v>445.1</v>
      </c>
      <c r="P928" s="5">
        <v>46205.5</v>
      </c>
      <c r="Q928" t="s">
        <v>168</v>
      </c>
      <c r="R928" s="2" t="s">
        <v>40</v>
      </c>
      <c r="S928">
        <v>22</v>
      </c>
      <c r="T928">
        <v>1</v>
      </c>
    </row>
    <row r="929" spans="1:20" ht="30" x14ac:dyDescent="0.25">
      <c r="A929" t="s">
        <v>1863</v>
      </c>
      <c r="B929">
        <v>1</v>
      </c>
      <c r="C929" s="2" t="s">
        <v>1864</v>
      </c>
      <c r="D929" s="3">
        <v>11550</v>
      </c>
      <c r="E929" s="4">
        <v>18</v>
      </c>
      <c r="F929" t="s">
        <v>32</v>
      </c>
      <c r="G929" s="3">
        <f t="shared" si="70"/>
        <v>14085.37</v>
      </c>
      <c r="H929" s="3">
        <v>0</v>
      </c>
      <c r="I929" s="3">
        <f t="shared" si="71"/>
        <v>14085.37</v>
      </c>
      <c r="J929" s="2" t="s">
        <v>27</v>
      </c>
      <c r="K929" s="5">
        <v>46276.583333333343</v>
      </c>
      <c r="L929">
        <v>1</v>
      </c>
      <c r="M929" s="3">
        <f t="shared" si="72"/>
        <v>14085.37</v>
      </c>
      <c r="N929" t="str">
        <f t="shared" si="73"/>
        <v>ставка</v>
      </c>
      <c r="O929" s="3">
        <f t="shared" si="74"/>
        <v>276.18</v>
      </c>
      <c r="P929" s="5">
        <v>46277.5</v>
      </c>
      <c r="Q929" t="s">
        <v>32</v>
      </c>
      <c r="R929" s="2" t="s">
        <v>24</v>
      </c>
      <c r="S929">
        <v>56</v>
      </c>
      <c r="T929">
        <v>2</v>
      </c>
    </row>
    <row r="930" spans="1:20" ht="30" x14ac:dyDescent="0.25">
      <c r="A930" t="s">
        <v>1865</v>
      </c>
      <c r="B930">
        <v>1</v>
      </c>
      <c r="C930" s="2" t="s">
        <v>1866</v>
      </c>
      <c r="D930" s="3">
        <v>11347.5</v>
      </c>
      <c r="E930" s="4">
        <v>0</v>
      </c>
      <c r="F930" t="s">
        <v>245</v>
      </c>
      <c r="G930" s="3">
        <f t="shared" si="70"/>
        <v>11347.5</v>
      </c>
      <c r="H930" s="3">
        <v>0</v>
      </c>
      <c r="I930" s="3">
        <f t="shared" si="71"/>
        <v>11347.5</v>
      </c>
      <c r="J930" s="2" t="s">
        <v>27</v>
      </c>
      <c r="K930" s="5">
        <v>46217.583333333343</v>
      </c>
      <c r="L930">
        <v>1</v>
      </c>
      <c r="M930" s="3">
        <f t="shared" si="72"/>
        <v>11347.5</v>
      </c>
      <c r="N930" t="str">
        <f t="shared" si="73"/>
        <v>ставка</v>
      </c>
      <c r="O930" s="3">
        <f t="shared" si="74"/>
        <v>222.5</v>
      </c>
      <c r="P930" s="5">
        <v>46218.5</v>
      </c>
      <c r="Q930" t="s">
        <v>245</v>
      </c>
      <c r="R930" s="2" t="s">
        <v>40</v>
      </c>
      <c r="S930">
        <v>22</v>
      </c>
      <c r="T930">
        <v>1</v>
      </c>
    </row>
    <row r="931" spans="1:20" ht="30" x14ac:dyDescent="0.25">
      <c r="A931" t="s">
        <v>1867</v>
      </c>
      <c r="B931">
        <v>1</v>
      </c>
      <c r="C931" s="2" t="s">
        <v>1866</v>
      </c>
      <c r="D931" s="3">
        <v>33660</v>
      </c>
      <c r="E931" s="4">
        <v>0</v>
      </c>
      <c r="F931" t="s">
        <v>245</v>
      </c>
      <c r="G931" s="3">
        <f t="shared" si="70"/>
        <v>33660</v>
      </c>
      <c r="H931" s="3">
        <v>0</v>
      </c>
      <c r="I931" s="3">
        <f t="shared" si="71"/>
        <v>33660</v>
      </c>
      <c r="J931" s="2" t="s">
        <v>27</v>
      </c>
      <c r="K931" s="5">
        <v>46218.583333333343</v>
      </c>
      <c r="L931">
        <v>4</v>
      </c>
      <c r="M931" s="3">
        <f t="shared" si="72"/>
        <v>8415</v>
      </c>
      <c r="N931" t="str">
        <f t="shared" si="73"/>
        <v>ставка</v>
      </c>
      <c r="O931" s="3">
        <f t="shared" si="74"/>
        <v>660</v>
      </c>
      <c r="P931" s="5">
        <v>46222.5</v>
      </c>
      <c r="Q931" t="s">
        <v>245</v>
      </c>
      <c r="R931" s="2" t="s">
        <v>33</v>
      </c>
      <c r="S931">
        <v>45</v>
      </c>
      <c r="T931">
        <v>1</v>
      </c>
    </row>
    <row r="932" spans="1:20" ht="30" x14ac:dyDescent="0.25">
      <c r="A932" t="s">
        <v>1868</v>
      </c>
      <c r="B932">
        <v>1</v>
      </c>
      <c r="C932" s="2" t="s">
        <v>1869</v>
      </c>
      <c r="D932" s="3">
        <v>45390</v>
      </c>
      <c r="E932" s="4">
        <v>0</v>
      </c>
      <c r="F932" t="s">
        <v>245</v>
      </c>
      <c r="G932" s="3">
        <f t="shared" si="70"/>
        <v>45390</v>
      </c>
      <c r="H932" s="3">
        <v>0</v>
      </c>
      <c r="I932" s="3">
        <f t="shared" si="71"/>
        <v>45390</v>
      </c>
      <c r="J932" s="2" t="s">
        <v>27</v>
      </c>
      <c r="K932" s="5">
        <v>46221.583333333343</v>
      </c>
      <c r="L932">
        <v>4</v>
      </c>
      <c r="M932" s="3">
        <f t="shared" si="72"/>
        <v>11347.5</v>
      </c>
      <c r="N932" t="str">
        <f t="shared" si="73"/>
        <v>ставка</v>
      </c>
      <c r="O932" s="3">
        <f t="shared" si="74"/>
        <v>890</v>
      </c>
      <c r="P932" s="5">
        <v>46225.5</v>
      </c>
      <c r="Q932" t="s">
        <v>245</v>
      </c>
      <c r="R932" s="2" t="s">
        <v>40</v>
      </c>
      <c r="S932">
        <v>42</v>
      </c>
      <c r="T932">
        <v>1</v>
      </c>
    </row>
    <row r="933" spans="1:20" ht="30" x14ac:dyDescent="0.25">
      <c r="A933" t="s">
        <v>871</v>
      </c>
      <c r="B933">
        <v>1</v>
      </c>
      <c r="C933" s="2" t="s">
        <v>1870</v>
      </c>
      <c r="D933" s="3">
        <v>22161</v>
      </c>
      <c r="E933" s="4">
        <v>18</v>
      </c>
      <c r="F933" t="s">
        <v>32</v>
      </c>
      <c r="G933" s="3">
        <f t="shared" si="70"/>
        <v>27025.61</v>
      </c>
      <c r="H933" s="3">
        <v>0</v>
      </c>
      <c r="I933" s="3">
        <f t="shared" si="71"/>
        <v>27025.61</v>
      </c>
      <c r="J933" s="2" t="s">
        <v>27</v>
      </c>
      <c r="K933" s="5">
        <v>46248.583333333343</v>
      </c>
      <c r="L933">
        <v>2</v>
      </c>
      <c r="M933" s="3">
        <f t="shared" si="72"/>
        <v>13512.805</v>
      </c>
      <c r="N933" t="str">
        <f t="shared" si="73"/>
        <v>ставка</v>
      </c>
      <c r="O933" s="3">
        <f t="shared" si="74"/>
        <v>529.91</v>
      </c>
      <c r="P933" s="5">
        <v>46250.5</v>
      </c>
      <c r="Q933" t="s">
        <v>32</v>
      </c>
      <c r="R933" s="2" t="s">
        <v>40</v>
      </c>
      <c r="S933" s="6"/>
    </row>
    <row r="934" spans="1:20" ht="30" x14ac:dyDescent="0.25">
      <c r="A934" t="s">
        <v>1871</v>
      </c>
      <c r="B934">
        <v>1</v>
      </c>
      <c r="C934" s="2" t="s">
        <v>1872</v>
      </c>
      <c r="D934" s="3">
        <v>10900</v>
      </c>
      <c r="E934" s="4">
        <v>0</v>
      </c>
      <c r="F934" t="s">
        <v>23</v>
      </c>
      <c r="G934" s="3">
        <f t="shared" si="70"/>
        <v>10900</v>
      </c>
      <c r="H934" s="3">
        <v>0</v>
      </c>
      <c r="I934" s="3">
        <f t="shared" si="71"/>
        <v>10900</v>
      </c>
      <c r="J934" s="2" t="s">
        <v>27</v>
      </c>
      <c r="K934" s="5">
        <v>46228.583333333343</v>
      </c>
      <c r="L934">
        <v>1</v>
      </c>
      <c r="M934" s="3">
        <f t="shared" si="72"/>
        <v>10900</v>
      </c>
      <c r="N934" t="str">
        <f t="shared" si="73"/>
        <v>ставка</v>
      </c>
      <c r="O934" s="3">
        <f t="shared" si="74"/>
        <v>213.73</v>
      </c>
      <c r="P934" s="5">
        <v>46229.5</v>
      </c>
      <c r="Q934" t="s">
        <v>23</v>
      </c>
      <c r="R934" s="2" t="s">
        <v>40</v>
      </c>
      <c r="S934">
        <v>32</v>
      </c>
      <c r="T934">
        <v>1</v>
      </c>
    </row>
    <row r="935" spans="1:20" ht="30" x14ac:dyDescent="0.25">
      <c r="A935" t="s">
        <v>1873</v>
      </c>
      <c r="B935">
        <v>1</v>
      </c>
      <c r="C935" s="2" t="s">
        <v>1874</v>
      </c>
      <c r="D935" s="3">
        <v>13400</v>
      </c>
      <c r="E935" s="4">
        <v>0</v>
      </c>
      <c r="F935" t="s">
        <v>23</v>
      </c>
      <c r="G935" s="3">
        <f t="shared" si="70"/>
        <v>13400</v>
      </c>
      <c r="H935" s="3">
        <v>0</v>
      </c>
      <c r="I935" s="3">
        <f t="shared" si="71"/>
        <v>13400</v>
      </c>
      <c r="J935" s="2" t="s">
        <v>27</v>
      </c>
      <c r="K935" s="5">
        <v>46295.583333333343</v>
      </c>
      <c r="L935">
        <v>1</v>
      </c>
      <c r="M935" s="3">
        <f t="shared" si="72"/>
        <v>13400</v>
      </c>
      <c r="N935" t="str">
        <f t="shared" si="73"/>
        <v>ставка</v>
      </c>
      <c r="O935" s="3">
        <f t="shared" si="74"/>
        <v>262.75</v>
      </c>
      <c r="P935" s="5">
        <v>46296.5</v>
      </c>
      <c r="Q935" t="s">
        <v>23</v>
      </c>
      <c r="R935" s="2" t="s">
        <v>24</v>
      </c>
      <c r="S935">
        <v>59</v>
      </c>
      <c r="T935">
        <v>2</v>
      </c>
    </row>
    <row r="936" spans="1:20" ht="30" x14ac:dyDescent="0.25">
      <c r="A936" t="s">
        <v>1875</v>
      </c>
      <c r="B936">
        <v>1</v>
      </c>
      <c r="C936" s="2" t="s">
        <v>1876</v>
      </c>
      <c r="D936" s="3">
        <v>9751.5</v>
      </c>
      <c r="E936" s="4">
        <v>4</v>
      </c>
      <c r="F936" t="s">
        <v>55</v>
      </c>
      <c r="G936" s="3">
        <f t="shared" si="70"/>
        <v>10157.81</v>
      </c>
      <c r="H936" s="3">
        <v>0</v>
      </c>
      <c r="I936" s="3">
        <f t="shared" si="71"/>
        <v>10157.81</v>
      </c>
      <c r="J936" s="2" t="s">
        <v>27</v>
      </c>
      <c r="K936" s="5">
        <v>46221.583333333343</v>
      </c>
      <c r="L936">
        <v>1</v>
      </c>
      <c r="M936" s="3">
        <f t="shared" si="72"/>
        <v>10157.81</v>
      </c>
      <c r="N936" t="str">
        <f t="shared" si="73"/>
        <v>ставка</v>
      </c>
      <c r="O936" s="3">
        <f t="shared" si="74"/>
        <v>199.17</v>
      </c>
      <c r="P936" s="5">
        <v>46222.5</v>
      </c>
      <c r="Q936" t="s">
        <v>55</v>
      </c>
      <c r="R936" s="2" t="s">
        <v>33</v>
      </c>
      <c r="S936">
        <v>43</v>
      </c>
      <c r="T936">
        <v>1</v>
      </c>
    </row>
    <row r="937" spans="1:20" ht="30" x14ac:dyDescent="0.25">
      <c r="A937" t="s">
        <v>1877</v>
      </c>
      <c r="B937">
        <v>1</v>
      </c>
      <c r="C937" s="2" t="s">
        <v>1878</v>
      </c>
      <c r="D937" s="3">
        <v>27921</v>
      </c>
      <c r="E937" s="4">
        <v>18</v>
      </c>
      <c r="F937" t="s">
        <v>147</v>
      </c>
      <c r="G937" s="3">
        <f t="shared" si="70"/>
        <v>34050</v>
      </c>
      <c r="H937" s="3">
        <v>0</v>
      </c>
      <c r="I937" s="3">
        <f t="shared" si="71"/>
        <v>34050</v>
      </c>
      <c r="J937" s="2" t="s">
        <v>27</v>
      </c>
      <c r="K937" s="5">
        <v>46258.583333333343</v>
      </c>
      <c r="L937">
        <v>3</v>
      </c>
      <c r="M937" s="3">
        <f t="shared" si="72"/>
        <v>11350</v>
      </c>
      <c r="N937" t="str">
        <f t="shared" si="73"/>
        <v>ставка</v>
      </c>
      <c r="O937" s="3">
        <f t="shared" si="74"/>
        <v>667.65</v>
      </c>
      <c r="P937" s="5">
        <v>46261.5</v>
      </c>
      <c r="Q937" t="s">
        <v>147</v>
      </c>
      <c r="R937" s="2" t="s">
        <v>24</v>
      </c>
      <c r="S937">
        <v>56</v>
      </c>
      <c r="T937">
        <v>2</v>
      </c>
    </row>
    <row r="938" spans="1:20" ht="30" x14ac:dyDescent="0.25">
      <c r="A938" t="s">
        <v>1879</v>
      </c>
      <c r="B938">
        <v>1</v>
      </c>
      <c r="C938" s="2" t="s">
        <v>1880</v>
      </c>
      <c r="D938" s="3">
        <v>30037.5</v>
      </c>
      <c r="E938" s="4">
        <v>18</v>
      </c>
      <c r="F938" t="s">
        <v>32</v>
      </c>
      <c r="G938" s="3">
        <f t="shared" si="70"/>
        <v>36631.1</v>
      </c>
      <c r="H938" s="3">
        <v>0</v>
      </c>
      <c r="I938" s="3">
        <f t="shared" si="71"/>
        <v>36631.1</v>
      </c>
      <c r="J938" s="2" t="s">
        <v>27</v>
      </c>
      <c r="K938" s="5">
        <v>46291.583333333343</v>
      </c>
      <c r="L938">
        <v>3</v>
      </c>
      <c r="M938" s="3">
        <f t="shared" si="72"/>
        <v>12210.366666666667</v>
      </c>
      <c r="N938" t="str">
        <f t="shared" si="73"/>
        <v>ставка</v>
      </c>
      <c r="O938" s="3">
        <f t="shared" si="74"/>
        <v>718.26</v>
      </c>
      <c r="P938" s="5">
        <v>46294.5</v>
      </c>
      <c r="Q938" t="s">
        <v>32</v>
      </c>
      <c r="R938" s="2" t="s">
        <v>40</v>
      </c>
      <c r="S938">
        <v>22</v>
      </c>
      <c r="T938">
        <v>1</v>
      </c>
    </row>
    <row r="939" spans="1:20" ht="30" x14ac:dyDescent="0.25">
      <c r="A939" t="s">
        <v>1881</v>
      </c>
      <c r="B939">
        <v>1</v>
      </c>
      <c r="C939" s="2" t="s">
        <v>1882</v>
      </c>
      <c r="D939" s="3">
        <v>6320</v>
      </c>
      <c r="E939" s="4">
        <v>20</v>
      </c>
      <c r="F939" t="s">
        <v>103</v>
      </c>
      <c r="G939" s="3">
        <f t="shared" si="70"/>
        <v>7900</v>
      </c>
      <c r="H939" s="3">
        <v>0</v>
      </c>
      <c r="I939" s="3">
        <f t="shared" si="71"/>
        <v>7900</v>
      </c>
      <c r="J939" s="2" t="s">
        <v>27</v>
      </c>
      <c r="K939" s="5">
        <v>46282.583333333343</v>
      </c>
      <c r="L939">
        <v>1</v>
      </c>
      <c r="M939" s="3">
        <f t="shared" si="72"/>
        <v>7900</v>
      </c>
      <c r="N939" t="str">
        <f t="shared" si="73"/>
        <v>ставка</v>
      </c>
      <c r="O939" s="3">
        <f t="shared" si="74"/>
        <v>154.9</v>
      </c>
      <c r="P939" s="5">
        <v>46283.5</v>
      </c>
      <c r="Q939" t="s">
        <v>103</v>
      </c>
      <c r="R939" s="2" t="s">
        <v>33</v>
      </c>
      <c r="S939">
        <v>41</v>
      </c>
      <c r="T939">
        <v>1</v>
      </c>
    </row>
    <row r="940" spans="1:20" ht="30" x14ac:dyDescent="0.25">
      <c r="A940" t="s">
        <v>1883</v>
      </c>
      <c r="B940">
        <v>1</v>
      </c>
      <c r="C940" s="2" t="s">
        <v>1884</v>
      </c>
      <c r="D940" s="3">
        <v>27240</v>
      </c>
      <c r="E940" s="4">
        <v>18</v>
      </c>
      <c r="F940" t="s">
        <v>32</v>
      </c>
      <c r="G940" s="3">
        <f t="shared" si="70"/>
        <v>33219.51</v>
      </c>
      <c r="H940" s="3">
        <v>0</v>
      </c>
      <c r="I940" s="3">
        <f t="shared" si="71"/>
        <v>33219.51</v>
      </c>
      <c r="J940" s="2" t="s">
        <v>27</v>
      </c>
      <c r="K940" s="5">
        <v>46216.583333333343</v>
      </c>
      <c r="L940">
        <v>3</v>
      </c>
      <c r="M940" s="3">
        <f t="shared" si="72"/>
        <v>11073.17</v>
      </c>
      <c r="N940" t="str">
        <f t="shared" si="73"/>
        <v>ставка</v>
      </c>
      <c r="O940" s="3">
        <f t="shared" si="74"/>
        <v>651.36</v>
      </c>
      <c r="P940" s="5">
        <v>46219.5</v>
      </c>
      <c r="Q940" t="s">
        <v>32</v>
      </c>
      <c r="R940" s="2" t="s">
        <v>40</v>
      </c>
      <c r="S940">
        <v>36</v>
      </c>
      <c r="T940">
        <v>1</v>
      </c>
    </row>
    <row r="941" spans="1:20" ht="30" x14ac:dyDescent="0.25">
      <c r="A941" t="s">
        <v>1885</v>
      </c>
      <c r="B941">
        <v>1</v>
      </c>
      <c r="C941" s="2" t="s">
        <v>1886</v>
      </c>
      <c r="D941" s="3">
        <v>56737.5</v>
      </c>
      <c r="E941" s="4">
        <v>0</v>
      </c>
      <c r="F941" t="s">
        <v>180</v>
      </c>
      <c r="G941" s="3">
        <f t="shared" si="70"/>
        <v>56737.5</v>
      </c>
      <c r="H941" s="3">
        <v>0</v>
      </c>
      <c r="I941" s="3">
        <f t="shared" si="71"/>
        <v>56737.5</v>
      </c>
      <c r="J941" s="2" t="s">
        <v>181</v>
      </c>
      <c r="K941" s="5">
        <v>46216.583333333343</v>
      </c>
      <c r="L941">
        <v>5</v>
      </c>
      <c r="M941" s="3">
        <f t="shared" si="72"/>
        <v>11347.5</v>
      </c>
      <c r="N941" t="str">
        <f t="shared" si="73"/>
        <v>ставка</v>
      </c>
      <c r="O941" s="3">
        <f t="shared" si="74"/>
        <v>1112.5</v>
      </c>
      <c r="P941" s="5">
        <v>46221.5</v>
      </c>
      <c r="Q941" t="s">
        <v>180</v>
      </c>
      <c r="R941" s="2" t="s">
        <v>40</v>
      </c>
      <c r="S941">
        <v>26</v>
      </c>
      <c r="T941">
        <v>1</v>
      </c>
    </row>
    <row r="942" spans="1:20" ht="30" x14ac:dyDescent="0.25">
      <c r="A942" t="s">
        <v>1887</v>
      </c>
      <c r="B942">
        <v>1</v>
      </c>
      <c r="C942" s="2" t="s">
        <v>1888</v>
      </c>
      <c r="D942" s="3">
        <v>27700</v>
      </c>
      <c r="E942" s="4">
        <v>0</v>
      </c>
      <c r="F942" t="s">
        <v>23</v>
      </c>
      <c r="G942" s="3">
        <f t="shared" si="70"/>
        <v>27700</v>
      </c>
      <c r="H942" s="3">
        <v>3445</v>
      </c>
      <c r="I942" s="3">
        <f t="shared" si="71"/>
        <v>31145</v>
      </c>
      <c r="J942" s="2" t="s">
        <v>1889</v>
      </c>
      <c r="K942" s="5">
        <v>46211.583333333343</v>
      </c>
      <c r="L942">
        <v>2</v>
      </c>
      <c r="M942" s="3">
        <f t="shared" si="72"/>
        <v>15572.5</v>
      </c>
      <c r="N942" t="str">
        <f t="shared" si="73"/>
        <v>ставка</v>
      </c>
      <c r="O942" s="3">
        <f t="shared" si="74"/>
        <v>610.69000000000005</v>
      </c>
      <c r="P942" s="5">
        <v>46213.708333333343</v>
      </c>
      <c r="Q942" t="s">
        <v>23</v>
      </c>
      <c r="R942" s="2" t="s">
        <v>49</v>
      </c>
      <c r="S942">
        <v>11</v>
      </c>
      <c r="T942">
        <v>1</v>
      </c>
    </row>
    <row r="943" spans="1:20" ht="30" x14ac:dyDescent="0.25">
      <c r="A943" t="s">
        <v>1890</v>
      </c>
      <c r="B943">
        <v>1</v>
      </c>
      <c r="C943" s="2" t="s">
        <v>1891</v>
      </c>
      <c r="D943" s="3">
        <v>10215</v>
      </c>
      <c r="E943" s="4">
        <v>0</v>
      </c>
      <c r="F943" t="s">
        <v>23</v>
      </c>
      <c r="G943" s="3">
        <f t="shared" si="70"/>
        <v>10215</v>
      </c>
      <c r="H943" s="3">
        <v>0</v>
      </c>
      <c r="I943" s="3">
        <f t="shared" si="71"/>
        <v>10215</v>
      </c>
      <c r="J943" s="2" t="s">
        <v>27</v>
      </c>
      <c r="K943" s="5">
        <v>46252.583333333343</v>
      </c>
      <c r="L943">
        <v>1</v>
      </c>
      <c r="M943" s="3">
        <f t="shared" si="72"/>
        <v>10215</v>
      </c>
      <c r="N943" t="str">
        <f t="shared" si="73"/>
        <v>ставка</v>
      </c>
      <c r="O943" s="3">
        <f t="shared" si="74"/>
        <v>200.29</v>
      </c>
      <c r="P943" s="5">
        <v>46253.5</v>
      </c>
      <c r="Q943" t="s">
        <v>23</v>
      </c>
      <c r="R943" s="2" t="s">
        <v>40</v>
      </c>
      <c r="S943">
        <v>23</v>
      </c>
      <c r="T943">
        <v>1</v>
      </c>
    </row>
    <row r="944" spans="1:20" ht="45" x14ac:dyDescent="0.25">
      <c r="A944" t="s">
        <v>1892</v>
      </c>
      <c r="B944">
        <v>1</v>
      </c>
      <c r="C944" s="2" t="s">
        <v>1891</v>
      </c>
      <c r="D944" s="3">
        <v>9960</v>
      </c>
      <c r="E944" s="4">
        <v>20</v>
      </c>
      <c r="F944" t="s">
        <v>173</v>
      </c>
      <c r="G944" s="3">
        <f t="shared" si="70"/>
        <v>12450</v>
      </c>
      <c r="H944" s="3">
        <v>0</v>
      </c>
      <c r="I944" s="3">
        <f t="shared" si="71"/>
        <v>12450</v>
      </c>
      <c r="J944" s="2" t="s">
        <v>27</v>
      </c>
      <c r="K944" s="5">
        <v>46249.583333333343</v>
      </c>
      <c r="L944">
        <v>1</v>
      </c>
      <c r="M944" s="3">
        <f t="shared" si="72"/>
        <v>12450</v>
      </c>
      <c r="N944" t="str">
        <f t="shared" si="73"/>
        <v>ставка</v>
      </c>
      <c r="O944" s="3">
        <f t="shared" si="74"/>
        <v>244.12</v>
      </c>
      <c r="P944" s="5">
        <v>46250.583333333343</v>
      </c>
      <c r="Q944" t="s">
        <v>173</v>
      </c>
      <c r="R944" s="2" t="s">
        <v>87</v>
      </c>
      <c r="S944">
        <v>51</v>
      </c>
      <c r="T944">
        <v>2</v>
      </c>
    </row>
    <row r="945" spans="1:20" ht="45" x14ac:dyDescent="0.25">
      <c r="A945" t="s">
        <v>1892</v>
      </c>
      <c r="B945">
        <v>1</v>
      </c>
      <c r="C945" s="2" t="s">
        <v>1891</v>
      </c>
      <c r="D945" s="3">
        <v>19920</v>
      </c>
      <c r="E945" s="4">
        <v>20</v>
      </c>
      <c r="F945" t="s">
        <v>173</v>
      </c>
      <c r="G945" s="3">
        <f t="shared" si="70"/>
        <v>24900</v>
      </c>
      <c r="H945" s="3">
        <v>0</v>
      </c>
      <c r="I945" s="3">
        <f t="shared" si="71"/>
        <v>24900</v>
      </c>
      <c r="J945" s="2" t="s">
        <v>27</v>
      </c>
      <c r="K945" s="5">
        <v>46250.583333333343</v>
      </c>
      <c r="L945">
        <v>2</v>
      </c>
      <c r="M945" s="3">
        <f t="shared" si="72"/>
        <v>12450</v>
      </c>
      <c r="N945" t="str">
        <f t="shared" si="73"/>
        <v>ставка</v>
      </c>
      <c r="O945" s="3">
        <f t="shared" si="74"/>
        <v>488.24</v>
      </c>
      <c r="P945" s="5">
        <v>46252.5</v>
      </c>
      <c r="Q945" t="s">
        <v>173</v>
      </c>
      <c r="R945" s="2" t="s">
        <v>87</v>
      </c>
      <c r="S945">
        <v>50</v>
      </c>
      <c r="T945">
        <v>2</v>
      </c>
    </row>
    <row r="946" spans="1:20" ht="30" x14ac:dyDescent="0.25">
      <c r="A946" t="s">
        <v>1893</v>
      </c>
      <c r="B946">
        <v>1</v>
      </c>
      <c r="C946" s="2" t="s">
        <v>1894</v>
      </c>
      <c r="D946" s="3">
        <v>36045</v>
      </c>
      <c r="E946" s="4">
        <v>0</v>
      </c>
      <c r="F946" t="s">
        <v>23</v>
      </c>
      <c r="G946" s="3">
        <f t="shared" si="70"/>
        <v>36045</v>
      </c>
      <c r="H946" s="3">
        <v>0</v>
      </c>
      <c r="I946" s="3">
        <f t="shared" si="71"/>
        <v>36045</v>
      </c>
      <c r="J946" s="2" t="s">
        <v>27</v>
      </c>
      <c r="K946" s="5">
        <v>46219.583333333343</v>
      </c>
      <c r="L946">
        <v>3</v>
      </c>
      <c r="M946" s="3">
        <f t="shared" si="72"/>
        <v>12015</v>
      </c>
      <c r="N946" t="str">
        <f t="shared" si="73"/>
        <v>ставка</v>
      </c>
      <c r="O946" s="3">
        <f t="shared" si="74"/>
        <v>706.76</v>
      </c>
      <c r="P946" s="5">
        <v>46222.5</v>
      </c>
      <c r="Q946" t="s">
        <v>23</v>
      </c>
      <c r="R946" s="2" t="s">
        <v>40</v>
      </c>
      <c r="S946">
        <v>33</v>
      </c>
      <c r="T946">
        <v>1</v>
      </c>
    </row>
    <row r="947" spans="1:20" ht="30" x14ac:dyDescent="0.25">
      <c r="A947" t="s">
        <v>1895</v>
      </c>
      <c r="B947">
        <v>1</v>
      </c>
      <c r="C947" s="2" t="s">
        <v>1896</v>
      </c>
      <c r="D947" s="3">
        <v>25720</v>
      </c>
      <c r="E947" s="4">
        <v>20</v>
      </c>
      <c r="F947" t="s">
        <v>48</v>
      </c>
      <c r="G947" s="3">
        <f t="shared" si="70"/>
        <v>32150</v>
      </c>
      <c r="H947" s="3">
        <v>0</v>
      </c>
      <c r="I947" s="3">
        <f t="shared" si="71"/>
        <v>32150</v>
      </c>
      <c r="J947" s="2" t="s">
        <v>27</v>
      </c>
      <c r="K947" s="5">
        <v>46294.583333333343</v>
      </c>
      <c r="L947">
        <v>3</v>
      </c>
      <c r="M947" s="3">
        <f t="shared" si="72"/>
        <v>10716.666666666666</v>
      </c>
      <c r="N947" t="str">
        <f t="shared" si="73"/>
        <v>ставка</v>
      </c>
      <c r="O947" s="3">
        <f t="shared" si="74"/>
        <v>630.39</v>
      </c>
      <c r="P947" s="5">
        <v>46297.5</v>
      </c>
      <c r="Q947" t="s">
        <v>48</v>
      </c>
      <c r="R947" s="2" t="s">
        <v>40</v>
      </c>
      <c r="S947">
        <v>36</v>
      </c>
      <c r="T947">
        <v>1</v>
      </c>
    </row>
    <row r="948" spans="1:20" ht="30" x14ac:dyDescent="0.25">
      <c r="A948" t="s">
        <v>1897</v>
      </c>
      <c r="B948">
        <v>1</v>
      </c>
      <c r="C948" s="2" t="s">
        <v>1898</v>
      </c>
      <c r="D948" s="3">
        <v>30000</v>
      </c>
      <c r="E948" s="4">
        <v>0</v>
      </c>
      <c r="F948" t="s">
        <v>23</v>
      </c>
      <c r="G948" s="3">
        <f t="shared" si="70"/>
        <v>30000</v>
      </c>
      <c r="H948" s="3">
        <v>0</v>
      </c>
      <c r="I948" s="3">
        <f t="shared" si="71"/>
        <v>30000</v>
      </c>
      <c r="J948" s="2" t="s">
        <v>27</v>
      </c>
      <c r="K948" s="5">
        <v>46209.583333333343</v>
      </c>
      <c r="L948">
        <v>2</v>
      </c>
      <c r="M948" s="3">
        <f t="shared" si="72"/>
        <v>15000</v>
      </c>
      <c r="N948" t="str">
        <f t="shared" si="73"/>
        <v>ставка</v>
      </c>
      <c r="O948" s="3">
        <f t="shared" si="74"/>
        <v>588.24</v>
      </c>
      <c r="P948" s="5">
        <v>46211.5</v>
      </c>
      <c r="Q948" t="s">
        <v>23</v>
      </c>
      <c r="R948" s="2" t="s">
        <v>40</v>
      </c>
      <c r="S948">
        <v>58</v>
      </c>
      <c r="T948">
        <v>2</v>
      </c>
    </row>
    <row r="949" spans="1:20" ht="30" x14ac:dyDescent="0.25">
      <c r="A949" t="s">
        <v>1899</v>
      </c>
      <c r="B949">
        <v>1</v>
      </c>
      <c r="C949" s="2" t="s">
        <v>1900</v>
      </c>
      <c r="D949" s="3">
        <v>18160</v>
      </c>
      <c r="E949" s="4">
        <v>20</v>
      </c>
      <c r="F949" t="s">
        <v>48</v>
      </c>
      <c r="G949" s="3">
        <f t="shared" si="70"/>
        <v>22700</v>
      </c>
      <c r="H949" s="3">
        <v>0</v>
      </c>
      <c r="I949" s="3">
        <f t="shared" si="71"/>
        <v>22700</v>
      </c>
      <c r="J949" s="2" t="s">
        <v>27</v>
      </c>
      <c r="K949" s="5">
        <v>46211.583333333343</v>
      </c>
      <c r="L949">
        <v>2</v>
      </c>
      <c r="M949" s="3">
        <f t="shared" si="72"/>
        <v>11350</v>
      </c>
      <c r="N949" t="str">
        <f t="shared" si="73"/>
        <v>ставка</v>
      </c>
      <c r="O949" s="3">
        <f t="shared" si="74"/>
        <v>445.1</v>
      </c>
      <c r="P949" s="5">
        <v>46213.5</v>
      </c>
      <c r="Q949" t="s">
        <v>48</v>
      </c>
      <c r="R949" s="2" t="s">
        <v>40</v>
      </c>
      <c r="S949">
        <v>46</v>
      </c>
      <c r="T949">
        <v>1</v>
      </c>
    </row>
    <row r="950" spans="1:20" ht="30" x14ac:dyDescent="0.25">
      <c r="A950" t="s">
        <v>1901</v>
      </c>
      <c r="B950">
        <v>1</v>
      </c>
      <c r="C950" s="2" t="s">
        <v>1902</v>
      </c>
      <c r="D950" s="3">
        <v>61122.6</v>
      </c>
      <c r="E950" s="4">
        <v>4</v>
      </c>
      <c r="F950" t="s">
        <v>55</v>
      </c>
      <c r="G950" s="3">
        <f t="shared" si="70"/>
        <v>63669.38</v>
      </c>
      <c r="H950" s="3">
        <v>0</v>
      </c>
      <c r="I950" s="3">
        <f t="shared" si="71"/>
        <v>63669.38</v>
      </c>
      <c r="J950" s="2" t="s">
        <v>27</v>
      </c>
      <c r="K950" s="5">
        <v>46232.854166666657</v>
      </c>
      <c r="L950">
        <v>4</v>
      </c>
      <c r="M950" s="3">
        <f t="shared" si="72"/>
        <v>15917.344999999999</v>
      </c>
      <c r="N950" t="str">
        <f t="shared" si="73"/>
        <v>ставка</v>
      </c>
      <c r="O950" s="3">
        <f t="shared" si="74"/>
        <v>1248.42</v>
      </c>
      <c r="P950" s="5">
        <v>46236.5</v>
      </c>
      <c r="Q950" t="s">
        <v>55</v>
      </c>
      <c r="R950" s="2" t="s">
        <v>24</v>
      </c>
      <c r="S950">
        <v>56</v>
      </c>
      <c r="T950">
        <v>2</v>
      </c>
    </row>
    <row r="951" spans="1:20" ht="30" x14ac:dyDescent="0.25">
      <c r="A951" t="s">
        <v>1903</v>
      </c>
      <c r="B951">
        <v>1</v>
      </c>
      <c r="C951" s="2" t="s">
        <v>1904</v>
      </c>
      <c r="D951" s="3">
        <v>9080</v>
      </c>
      <c r="E951" s="4">
        <v>20</v>
      </c>
      <c r="F951" t="s">
        <v>103</v>
      </c>
      <c r="G951" s="3">
        <f t="shared" si="70"/>
        <v>11350</v>
      </c>
      <c r="H951" s="3">
        <v>0</v>
      </c>
      <c r="I951" s="3">
        <f t="shared" si="71"/>
        <v>11350</v>
      </c>
      <c r="J951" s="2" t="s">
        <v>27</v>
      </c>
      <c r="K951" s="5">
        <v>46281.583333333343</v>
      </c>
      <c r="L951">
        <v>1</v>
      </c>
      <c r="M951" s="3">
        <f t="shared" si="72"/>
        <v>11350</v>
      </c>
      <c r="N951" t="str">
        <f t="shared" si="73"/>
        <v>ставка</v>
      </c>
      <c r="O951" s="3">
        <f t="shared" si="74"/>
        <v>222.55</v>
      </c>
      <c r="P951" s="5">
        <v>46282.5</v>
      </c>
      <c r="Q951" t="s">
        <v>103</v>
      </c>
      <c r="R951" s="2" t="s">
        <v>40</v>
      </c>
      <c r="S951">
        <v>22</v>
      </c>
      <c r="T951">
        <v>1</v>
      </c>
    </row>
    <row r="952" spans="1:20" ht="30" x14ac:dyDescent="0.25">
      <c r="A952" t="s">
        <v>1905</v>
      </c>
      <c r="B952">
        <v>1</v>
      </c>
      <c r="C952" s="2" t="s">
        <v>1906</v>
      </c>
      <c r="D952" s="3">
        <v>32040</v>
      </c>
      <c r="E952" s="4">
        <v>18</v>
      </c>
      <c r="F952" t="s">
        <v>32</v>
      </c>
      <c r="G952" s="3">
        <f t="shared" si="70"/>
        <v>39073.17</v>
      </c>
      <c r="H952" s="3">
        <v>0</v>
      </c>
      <c r="I952" s="3">
        <f t="shared" si="71"/>
        <v>39073.17</v>
      </c>
      <c r="J952" s="2" t="s">
        <v>27</v>
      </c>
      <c r="K952" s="5">
        <v>46220.583333333343</v>
      </c>
      <c r="L952">
        <v>3</v>
      </c>
      <c r="M952" s="3">
        <f t="shared" si="72"/>
        <v>13024.39</v>
      </c>
      <c r="N952" t="str">
        <f t="shared" si="73"/>
        <v>ставка</v>
      </c>
      <c r="O952" s="3">
        <f t="shared" si="74"/>
        <v>766.14</v>
      </c>
      <c r="P952" s="5">
        <v>46223.5</v>
      </c>
      <c r="Q952" t="s">
        <v>32</v>
      </c>
      <c r="R952" s="2" t="s">
        <v>40</v>
      </c>
      <c r="S952">
        <v>52</v>
      </c>
      <c r="T952">
        <v>2</v>
      </c>
    </row>
    <row r="953" spans="1:20" ht="30" x14ac:dyDescent="0.25">
      <c r="A953" t="s">
        <v>276</v>
      </c>
      <c r="B953">
        <v>1</v>
      </c>
      <c r="C953" s="2" t="s">
        <v>1907</v>
      </c>
      <c r="D953" s="3">
        <v>11214</v>
      </c>
      <c r="E953" s="4">
        <v>16</v>
      </c>
      <c r="F953" t="s">
        <v>36</v>
      </c>
      <c r="G953" s="3">
        <f t="shared" si="70"/>
        <v>13350</v>
      </c>
      <c r="H953" s="3">
        <v>0</v>
      </c>
      <c r="I953" s="3">
        <f t="shared" si="71"/>
        <v>13350</v>
      </c>
      <c r="J953" s="2" t="s">
        <v>27</v>
      </c>
      <c r="K953" s="5">
        <v>46284.583333333343</v>
      </c>
      <c r="L953">
        <v>1</v>
      </c>
      <c r="M953" s="3">
        <f t="shared" si="72"/>
        <v>13350</v>
      </c>
      <c r="N953" t="str">
        <f t="shared" si="73"/>
        <v>ставка</v>
      </c>
      <c r="O953" s="3">
        <f t="shared" si="74"/>
        <v>261.76</v>
      </c>
      <c r="P953" s="5">
        <v>46285.5</v>
      </c>
      <c r="Q953" t="s">
        <v>36</v>
      </c>
      <c r="R953" s="2" t="s">
        <v>40</v>
      </c>
      <c r="S953" s="6"/>
    </row>
    <row r="954" spans="1:20" ht="30" x14ac:dyDescent="0.25">
      <c r="A954" t="s">
        <v>1908</v>
      </c>
      <c r="B954">
        <v>1</v>
      </c>
      <c r="C954" s="2" t="s">
        <v>1909</v>
      </c>
      <c r="D954" s="3">
        <v>19754</v>
      </c>
      <c r="E954" s="4">
        <v>17</v>
      </c>
      <c r="F954" t="s">
        <v>130</v>
      </c>
      <c r="G954" s="3">
        <f t="shared" si="70"/>
        <v>23800</v>
      </c>
      <c r="H954" s="3">
        <v>2480</v>
      </c>
      <c r="I954" s="3">
        <f t="shared" si="71"/>
        <v>26280</v>
      </c>
      <c r="J954" s="2" t="s">
        <v>1910</v>
      </c>
      <c r="K954" s="5">
        <v>46228.583333333343</v>
      </c>
      <c r="L954">
        <v>2</v>
      </c>
      <c r="M954" s="3">
        <f t="shared" si="72"/>
        <v>13140</v>
      </c>
      <c r="N954" t="str">
        <f t="shared" si="73"/>
        <v>ставка</v>
      </c>
      <c r="O954" s="3">
        <f t="shared" si="74"/>
        <v>515.29</v>
      </c>
      <c r="P954" s="5">
        <v>46230.708333333343</v>
      </c>
      <c r="Q954" t="s">
        <v>130</v>
      </c>
      <c r="R954" s="2" t="s">
        <v>24</v>
      </c>
      <c r="S954">
        <v>31</v>
      </c>
      <c r="T954">
        <v>1</v>
      </c>
    </row>
    <row r="955" spans="1:20" x14ac:dyDescent="0.25">
      <c r="A955" t="s">
        <v>1911</v>
      </c>
      <c r="B955">
        <v>1</v>
      </c>
      <c r="C955" s="2" t="s">
        <v>1912</v>
      </c>
      <c r="D955" s="3">
        <v>14850</v>
      </c>
      <c r="E955" s="4">
        <v>0</v>
      </c>
      <c r="F955" t="s">
        <v>23</v>
      </c>
      <c r="G955" s="3">
        <f t="shared" si="70"/>
        <v>14850</v>
      </c>
      <c r="H955" s="3">
        <v>0</v>
      </c>
      <c r="I955" s="3">
        <f t="shared" si="71"/>
        <v>14850</v>
      </c>
      <c r="J955" s="2" t="s">
        <v>27</v>
      </c>
      <c r="K955" s="5">
        <v>46254.583333333343</v>
      </c>
      <c r="L955">
        <v>1</v>
      </c>
      <c r="M955" s="3">
        <f t="shared" si="72"/>
        <v>14850</v>
      </c>
      <c r="N955" t="str">
        <f t="shared" si="73"/>
        <v>ставка</v>
      </c>
      <c r="O955" s="3">
        <f t="shared" si="74"/>
        <v>291.18</v>
      </c>
      <c r="P955" s="5">
        <v>46255.5</v>
      </c>
      <c r="Q955" t="s">
        <v>23</v>
      </c>
      <c r="R955" s="2" t="s">
        <v>49</v>
      </c>
      <c r="S955">
        <v>35</v>
      </c>
      <c r="T955">
        <v>1</v>
      </c>
    </row>
    <row r="956" spans="1:20" ht="45" x14ac:dyDescent="0.25">
      <c r="A956" t="s">
        <v>1913</v>
      </c>
      <c r="B956">
        <v>1</v>
      </c>
      <c r="C956" s="2" t="s">
        <v>1914</v>
      </c>
      <c r="D956" s="3">
        <v>6247.5</v>
      </c>
      <c r="E956" s="4">
        <v>15</v>
      </c>
      <c r="F956" t="s">
        <v>36</v>
      </c>
      <c r="G956" s="3">
        <f t="shared" si="70"/>
        <v>7350</v>
      </c>
      <c r="H956" s="3">
        <v>0</v>
      </c>
      <c r="I956" s="3">
        <f t="shared" si="71"/>
        <v>7350</v>
      </c>
      <c r="J956" s="2"/>
      <c r="K956" s="5">
        <v>46208.583333333343</v>
      </c>
      <c r="L956">
        <v>1</v>
      </c>
      <c r="M956" s="3">
        <f t="shared" si="72"/>
        <v>7350</v>
      </c>
      <c r="N956" t="str">
        <f t="shared" si="73"/>
        <v>ставка</v>
      </c>
      <c r="O956" s="3">
        <f t="shared" si="74"/>
        <v>144.12</v>
      </c>
      <c r="P956" s="5">
        <v>46209.5</v>
      </c>
      <c r="Q956" t="s">
        <v>36</v>
      </c>
      <c r="R956" s="2" t="s">
        <v>87</v>
      </c>
      <c r="S956">
        <v>50</v>
      </c>
      <c r="T956">
        <v>2</v>
      </c>
    </row>
    <row r="957" spans="1:20" x14ac:dyDescent="0.25">
      <c r="A957" t="s">
        <v>332</v>
      </c>
      <c r="B957">
        <v>1</v>
      </c>
      <c r="C957" s="2" t="s">
        <v>1915</v>
      </c>
      <c r="D957" s="3">
        <v>69600</v>
      </c>
      <c r="E957" s="4">
        <v>20</v>
      </c>
      <c r="F957" t="s">
        <v>173</v>
      </c>
      <c r="G957" s="3">
        <f t="shared" si="70"/>
        <v>87000</v>
      </c>
      <c r="H957" s="3">
        <v>0</v>
      </c>
      <c r="I957" s="3">
        <f t="shared" si="71"/>
        <v>87000</v>
      </c>
      <c r="J957" s="2" t="s">
        <v>27</v>
      </c>
      <c r="K957" s="5">
        <v>46295.583333333343</v>
      </c>
      <c r="L957">
        <v>6</v>
      </c>
      <c r="M957" s="3">
        <f t="shared" si="72"/>
        <v>14500</v>
      </c>
      <c r="N957" t="str">
        <f t="shared" si="73"/>
        <v>ставка</v>
      </c>
      <c r="O957" s="3">
        <f t="shared" si="74"/>
        <v>1705.88</v>
      </c>
      <c r="P957" s="5">
        <v>46301.5</v>
      </c>
      <c r="Q957" t="s">
        <v>173</v>
      </c>
      <c r="R957" s="2" t="s">
        <v>49</v>
      </c>
      <c r="S957" s="6"/>
    </row>
    <row r="958" spans="1:20" ht="30" x14ac:dyDescent="0.25">
      <c r="A958" t="s">
        <v>1916</v>
      </c>
      <c r="B958">
        <v>1</v>
      </c>
      <c r="C958" s="2" t="s">
        <v>1917</v>
      </c>
      <c r="D958" s="3">
        <v>21360</v>
      </c>
      <c r="E958" s="4">
        <v>0</v>
      </c>
      <c r="F958" t="s">
        <v>23</v>
      </c>
      <c r="G958" s="3">
        <f t="shared" si="70"/>
        <v>21360</v>
      </c>
      <c r="H958" s="3">
        <v>0</v>
      </c>
      <c r="I958" s="3">
        <f t="shared" si="71"/>
        <v>21360</v>
      </c>
      <c r="J958" s="2" t="s">
        <v>27</v>
      </c>
      <c r="K958" s="5">
        <v>46248.583333333343</v>
      </c>
      <c r="L958">
        <v>2</v>
      </c>
      <c r="M958" s="3">
        <f t="shared" si="72"/>
        <v>10680</v>
      </c>
      <c r="N958" t="str">
        <f t="shared" si="73"/>
        <v>ставка</v>
      </c>
      <c r="O958" s="3">
        <f t="shared" si="74"/>
        <v>418.82</v>
      </c>
      <c r="P958" s="5">
        <v>46250.5</v>
      </c>
      <c r="Q958" t="s">
        <v>23</v>
      </c>
      <c r="R958" s="2" t="s">
        <v>40</v>
      </c>
      <c r="S958">
        <v>23</v>
      </c>
      <c r="T958">
        <v>1</v>
      </c>
    </row>
    <row r="959" spans="1:20" ht="30" x14ac:dyDescent="0.25">
      <c r="A959" t="s">
        <v>1918</v>
      </c>
      <c r="B959">
        <v>1</v>
      </c>
      <c r="C959" s="2" t="s">
        <v>1919</v>
      </c>
      <c r="D959" s="3">
        <v>6468</v>
      </c>
      <c r="E959" s="4">
        <v>16</v>
      </c>
      <c r="F959" t="s">
        <v>36</v>
      </c>
      <c r="G959" s="3">
        <f t="shared" si="70"/>
        <v>7700</v>
      </c>
      <c r="H959" s="3">
        <v>0</v>
      </c>
      <c r="I959" s="3">
        <f t="shared" si="71"/>
        <v>7700</v>
      </c>
      <c r="J959" s="2" t="s">
        <v>27</v>
      </c>
      <c r="K959" s="5">
        <v>46271.583333333343</v>
      </c>
      <c r="L959">
        <v>1</v>
      </c>
      <c r="M959" s="3">
        <f t="shared" si="72"/>
        <v>7700</v>
      </c>
      <c r="N959" t="str">
        <f t="shared" si="73"/>
        <v>ставка</v>
      </c>
      <c r="O959" s="3">
        <f t="shared" si="74"/>
        <v>150.97999999999999</v>
      </c>
      <c r="P959" s="5">
        <v>46272.5</v>
      </c>
      <c r="Q959" t="s">
        <v>36</v>
      </c>
      <c r="R959" s="2" t="s">
        <v>58</v>
      </c>
      <c r="S959">
        <v>34</v>
      </c>
      <c r="T959">
        <v>1</v>
      </c>
    </row>
    <row r="960" spans="1:20" ht="30" x14ac:dyDescent="0.25">
      <c r="A960" t="s">
        <v>1920</v>
      </c>
      <c r="B960">
        <v>1</v>
      </c>
      <c r="C960" s="2" t="s">
        <v>1921</v>
      </c>
      <c r="D960" s="3">
        <v>11214</v>
      </c>
      <c r="E960" s="4">
        <v>16</v>
      </c>
      <c r="F960" t="s">
        <v>36</v>
      </c>
      <c r="G960" s="3">
        <f t="shared" si="70"/>
        <v>13350</v>
      </c>
      <c r="H960" s="3">
        <v>0</v>
      </c>
      <c r="I960" s="3">
        <f t="shared" si="71"/>
        <v>13350</v>
      </c>
      <c r="J960" s="2" t="s">
        <v>27</v>
      </c>
      <c r="K960" s="5">
        <v>46269.583333333343</v>
      </c>
      <c r="L960">
        <v>1</v>
      </c>
      <c r="M960" s="3">
        <f t="shared" si="72"/>
        <v>13350</v>
      </c>
      <c r="N960" t="str">
        <f t="shared" si="73"/>
        <v>ставка</v>
      </c>
      <c r="O960" s="3">
        <f t="shared" si="74"/>
        <v>261.76</v>
      </c>
      <c r="P960" s="5">
        <v>46270.5</v>
      </c>
      <c r="Q960" t="s">
        <v>36</v>
      </c>
      <c r="R960" s="2" t="s">
        <v>40</v>
      </c>
      <c r="S960">
        <v>46</v>
      </c>
      <c r="T960">
        <v>1</v>
      </c>
    </row>
    <row r="961" spans="1:20" ht="30" x14ac:dyDescent="0.25">
      <c r="A961" t="s">
        <v>1922</v>
      </c>
      <c r="B961">
        <v>1</v>
      </c>
      <c r="C961" s="2" t="s">
        <v>1923</v>
      </c>
      <c r="D961" s="3">
        <v>9080</v>
      </c>
      <c r="E961" s="4">
        <v>20</v>
      </c>
      <c r="F961" t="s">
        <v>103</v>
      </c>
      <c r="G961" s="3">
        <f t="shared" si="70"/>
        <v>11350</v>
      </c>
      <c r="H961" s="3">
        <v>0</v>
      </c>
      <c r="I961" s="3">
        <f t="shared" si="71"/>
        <v>11350</v>
      </c>
      <c r="J961" s="2" t="s">
        <v>27</v>
      </c>
      <c r="K961" s="5">
        <v>46283.583333333343</v>
      </c>
      <c r="L961">
        <v>1</v>
      </c>
      <c r="M961" s="3">
        <f t="shared" si="72"/>
        <v>11350</v>
      </c>
      <c r="N961" t="str">
        <f t="shared" si="73"/>
        <v>ставка</v>
      </c>
      <c r="O961" s="3">
        <f t="shared" si="74"/>
        <v>222.55</v>
      </c>
      <c r="P961" s="5">
        <v>46284.5</v>
      </c>
      <c r="Q961" t="s">
        <v>103</v>
      </c>
      <c r="R961" s="2" t="s">
        <v>40</v>
      </c>
      <c r="S961">
        <v>23</v>
      </c>
      <c r="T961">
        <v>1</v>
      </c>
    </row>
    <row r="962" spans="1:20" ht="30" x14ac:dyDescent="0.25">
      <c r="A962" t="s">
        <v>1924</v>
      </c>
      <c r="B962">
        <v>1</v>
      </c>
      <c r="C962" s="2" t="s">
        <v>1925</v>
      </c>
      <c r="D962" s="3">
        <v>9080</v>
      </c>
      <c r="E962" s="4">
        <v>20</v>
      </c>
      <c r="F962" t="s">
        <v>48</v>
      </c>
      <c r="G962" s="3">
        <f t="shared" ref="G962:G978" si="75">ROUND(D962/(100-E962)*100,2)</f>
        <v>11350</v>
      </c>
      <c r="H962" s="3">
        <v>0</v>
      </c>
      <c r="I962" s="3">
        <f t="shared" ref="I962:I978" si="76">ROUND(G962+H962,2)</f>
        <v>11350</v>
      </c>
      <c r="J962" s="2" t="s">
        <v>27</v>
      </c>
      <c r="K962" s="5">
        <v>46290.583333333343</v>
      </c>
      <c r="L962">
        <v>1</v>
      </c>
      <c r="M962" s="3">
        <f t="shared" ref="M962:M978" si="77">I962/L962</f>
        <v>11350</v>
      </c>
      <c r="N962" t="str">
        <f t="shared" ref="N962:N978" si="78">IF(M962&gt;=5100,"ставка","мин.ставка")</f>
        <v>ставка</v>
      </c>
      <c r="O962" s="3">
        <f t="shared" ref="O962:O978" si="79">ROUND(IF(N962="мин.ставка",L962*100,I962/102*2),2)</f>
        <v>222.55</v>
      </c>
      <c r="P962" s="5">
        <v>46291.5</v>
      </c>
      <c r="Q962" t="s">
        <v>48</v>
      </c>
      <c r="R962" s="2" t="s">
        <v>40</v>
      </c>
      <c r="S962">
        <v>23</v>
      </c>
      <c r="T962">
        <v>1</v>
      </c>
    </row>
    <row r="963" spans="1:20" ht="45" x14ac:dyDescent="0.25">
      <c r="A963" t="s">
        <v>1926</v>
      </c>
      <c r="B963">
        <v>1</v>
      </c>
      <c r="C963" s="2" t="s">
        <v>1927</v>
      </c>
      <c r="D963" s="3">
        <v>12138</v>
      </c>
      <c r="E963" s="4">
        <v>16</v>
      </c>
      <c r="F963" t="s">
        <v>36</v>
      </c>
      <c r="G963" s="3">
        <f t="shared" si="75"/>
        <v>14450</v>
      </c>
      <c r="H963" s="3">
        <v>0</v>
      </c>
      <c r="I963" s="3">
        <f t="shared" si="76"/>
        <v>14450</v>
      </c>
      <c r="J963" s="2" t="s">
        <v>27</v>
      </c>
      <c r="K963" s="5">
        <v>46268.583333333343</v>
      </c>
      <c r="L963">
        <v>1</v>
      </c>
      <c r="M963" s="3">
        <f t="shared" si="77"/>
        <v>14450</v>
      </c>
      <c r="N963" t="str">
        <f t="shared" si="78"/>
        <v>ставка</v>
      </c>
      <c r="O963" s="3">
        <f t="shared" si="79"/>
        <v>283.33</v>
      </c>
      <c r="P963" s="5">
        <v>46269.5</v>
      </c>
      <c r="Q963" t="s">
        <v>36</v>
      </c>
      <c r="R963" s="2" t="s">
        <v>87</v>
      </c>
      <c r="S963">
        <v>51</v>
      </c>
      <c r="T963">
        <v>2</v>
      </c>
    </row>
    <row r="964" spans="1:20" ht="30" x14ac:dyDescent="0.25">
      <c r="A964" t="s">
        <v>1928</v>
      </c>
      <c r="B964">
        <v>1</v>
      </c>
      <c r="C964" s="2" t="s">
        <v>1929</v>
      </c>
      <c r="D964" s="3">
        <v>22428</v>
      </c>
      <c r="E964" s="4">
        <v>16</v>
      </c>
      <c r="F964" t="s">
        <v>36</v>
      </c>
      <c r="G964" s="3">
        <f t="shared" si="75"/>
        <v>26700</v>
      </c>
      <c r="H964" s="3">
        <v>0</v>
      </c>
      <c r="I964" s="3">
        <f t="shared" si="76"/>
        <v>26700</v>
      </c>
      <c r="J964" s="2" t="s">
        <v>27</v>
      </c>
      <c r="K964" s="5">
        <v>46269.583333333343</v>
      </c>
      <c r="L964">
        <v>2</v>
      </c>
      <c r="M964" s="3">
        <f t="shared" si="77"/>
        <v>13350</v>
      </c>
      <c r="N964" t="str">
        <f t="shared" si="78"/>
        <v>ставка</v>
      </c>
      <c r="O964" s="3">
        <f t="shared" si="79"/>
        <v>523.53</v>
      </c>
      <c r="P964" s="5">
        <v>46271.5</v>
      </c>
      <c r="Q964" t="s">
        <v>36</v>
      </c>
      <c r="R964" s="2" t="s">
        <v>40</v>
      </c>
      <c r="S964">
        <v>32</v>
      </c>
      <c r="T964">
        <v>1</v>
      </c>
    </row>
    <row r="965" spans="1:20" x14ac:dyDescent="0.25">
      <c r="A965" t="s">
        <v>1930</v>
      </c>
      <c r="B965">
        <v>1</v>
      </c>
      <c r="C965" s="2" t="s">
        <v>1931</v>
      </c>
      <c r="D965" s="3">
        <v>170880</v>
      </c>
      <c r="E965" s="4">
        <v>0</v>
      </c>
      <c r="F965" t="s">
        <v>23</v>
      </c>
      <c r="G965" s="3">
        <f t="shared" si="75"/>
        <v>170880</v>
      </c>
      <c r="H965" s="3">
        <v>0</v>
      </c>
      <c r="I965" s="3">
        <f t="shared" si="76"/>
        <v>170880</v>
      </c>
      <c r="J965" s="2" t="s">
        <v>27</v>
      </c>
      <c r="K965" s="5">
        <v>46245.583333333343</v>
      </c>
      <c r="L965">
        <v>12</v>
      </c>
      <c r="M965" s="3">
        <f t="shared" si="77"/>
        <v>14240</v>
      </c>
      <c r="N965" t="str">
        <f t="shared" si="78"/>
        <v>ставка</v>
      </c>
      <c r="O965" s="3">
        <f t="shared" si="79"/>
        <v>3350.59</v>
      </c>
      <c r="P965" s="5">
        <v>46257.5</v>
      </c>
      <c r="Q965" t="s">
        <v>23</v>
      </c>
      <c r="R965" s="2" t="s">
        <v>37</v>
      </c>
      <c r="S965">
        <v>57</v>
      </c>
      <c r="T965">
        <v>2</v>
      </c>
    </row>
    <row r="966" spans="1:20" ht="30" x14ac:dyDescent="0.25">
      <c r="A966" t="s">
        <v>1932</v>
      </c>
      <c r="B966">
        <v>1</v>
      </c>
      <c r="C966" s="2" t="s">
        <v>1933</v>
      </c>
      <c r="D966" s="3">
        <v>61600</v>
      </c>
      <c r="E966" s="4">
        <v>20</v>
      </c>
      <c r="F966" t="s">
        <v>48</v>
      </c>
      <c r="G966" s="3">
        <f t="shared" si="75"/>
        <v>77000</v>
      </c>
      <c r="H966" s="3">
        <v>0</v>
      </c>
      <c r="I966" s="3">
        <f t="shared" si="76"/>
        <v>77000</v>
      </c>
      <c r="J966" s="2" t="s">
        <v>27</v>
      </c>
      <c r="K966" s="5">
        <v>46252.583333333343</v>
      </c>
      <c r="L966">
        <v>5</v>
      </c>
      <c r="M966" s="3">
        <f t="shared" si="77"/>
        <v>15400</v>
      </c>
      <c r="N966" t="str">
        <f t="shared" si="78"/>
        <v>ставка</v>
      </c>
      <c r="O966" s="3">
        <f t="shared" si="79"/>
        <v>1509.8</v>
      </c>
      <c r="P966" s="5">
        <v>46257.5</v>
      </c>
      <c r="Q966" t="s">
        <v>48</v>
      </c>
      <c r="R966" s="2" t="s">
        <v>24</v>
      </c>
      <c r="S966">
        <v>59</v>
      </c>
      <c r="T966">
        <v>2</v>
      </c>
    </row>
    <row r="967" spans="1:20" ht="30" x14ac:dyDescent="0.25">
      <c r="A967" t="s">
        <v>1934</v>
      </c>
      <c r="B967">
        <v>1</v>
      </c>
      <c r="C967" s="2" t="s">
        <v>1935</v>
      </c>
      <c r="D967" s="3">
        <v>40584</v>
      </c>
      <c r="E967" s="4">
        <v>18</v>
      </c>
      <c r="F967" t="s">
        <v>32</v>
      </c>
      <c r="G967" s="3">
        <f t="shared" si="75"/>
        <v>49492.68</v>
      </c>
      <c r="H967" s="3">
        <v>0</v>
      </c>
      <c r="I967" s="3">
        <f t="shared" si="76"/>
        <v>49492.68</v>
      </c>
      <c r="J967" s="2" t="s">
        <v>27</v>
      </c>
      <c r="K967" s="5">
        <v>46236.583333333343</v>
      </c>
      <c r="L967">
        <v>4</v>
      </c>
      <c r="M967" s="3">
        <f t="shared" si="77"/>
        <v>12373.17</v>
      </c>
      <c r="N967" t="str">
        <f t="shared" si="78"/>
        <v>ставка</v>
      </c>
      <c r="O967" s="3">
        <f t="shared" si="79"/>
        <v>970.44</v>
      </c>
      <c r="P967" s="5">
        <v>46240.5</v>
      </c>
      <c r="Q967" t="s">
        <v>32</v>
      </c>
      <c r="R967" s="2" t="s">
        <v>40</v>
      </c>
      <c r="S967">
        <v>23</v>
      </c>
      <c r="T967">
        <v>1</v>
      </c>
    </row>
    <row r="968" spans="1:20" ht="30" x14ac:dyDescent="0.25">
      <c r="A968" t="s">
        <v>1936</v>
      </c>
      <c r="B968">
        <v>1</v>
      </c>
      <c r="C968" s="2" t="s">
        <v>1937</v>
      </c>
      <c r="D968" s="3">
        <v>45390</v>
      </c>
      <c r="E968" s="4">
        <v>15</v>
      </c>
      <c r="F968" t="s">
        <v>73</v>
      </c>
      <c r="G968" s="3">
        <f t="shared" si="75"/>
        <v>53400</v>
      </c>
      <c r="H968" s="3">
        <v>0</v>
      </c>
      <c r="I968" s="3">
        <f t="shared" si="76"/>
        <v>53400</v>
      </c>
      <c r="J968" s="2" t="s">
        <v>27</v>
      </c>
      <c r="K968" s="5">
        <v>46230.583333333343</v>
      </c>
      <c r="L968">
        <v>4</v>
      </c>
      <c r="M968" s="3">
        <f t="shared" si="77"/>
        <v>13350</v>
      </c>
      <c r="N968" t="str">
        <f t="shared" si="78"/>
        <v>ставка</v>
      </c>
      <c r="O968" s="3">
        <f t="shared" si="79"/>
        <v>1047.06</v>
      </c>
      <c r="P968" s="5">
        <v>46234.5</v>
      </c>
      <c r="Q968" t="s">
        <v>73</v>
      </c>
      <c r="R968" s="2" t="s">
        <v>40</v>
      </c>
      <c r="S968">
        <v>26</v>
      </c>
      <c r="T968">
        <v>1</v>
      </c>
    </row>
    <row r="969" spans="1:20" ht="30" x14ac:dyDescent="0.25">
      <c r="A969" t="s">
        <v>1938</v>
      </c>
      <c r="B969">
        <v>1</v>
      </c>
      <c r="C969" s="2" t="s">
        <v>1939</v>
      </c>
      <c r="D969" s="3">
        <v>12320</v>
      </c>
      <c r="E969" s="4">
        <v>20</v>
      </c>
      <c r="F969" t="s">
        <v>48</v>
      </c>
      <c r="G969" s="3">
        <f t="shared" si="75"/>
        <v>15400</v>
      </c>
      <c r="H969" s="3">
        <v>0</v>
      </c>
      <c r="I969" s="3">
        <f t="shared" si="76"/>
        <v>15400</v>
      </c>
      <c r="J969" s="2" t="s">
        <v>27</v>
      </c>
      <c r="K969" s="5">
        <v>46259.583333333343</v>
      </c>
      <c r="L969">
        <v>2</v>
      </c>
      <c r="M969" s="3">
        <f t="shared" si="77"/>
        <v>7700</v>
      </c>
      <c r="N969" t="str">
        <f t="shared" si="78"/>
        <v>ставка</v>
      </c>
      <c r="O969" s="3">
        <f t="shared" si="79"/>
        <v>301.95999999999998</v>
      </c>
      <c r="P969" s="5">
        <v>46261.5</v>
      </c>
      <c r="Q969" t="s">
        <v>48</v>
      </c>
      <c r="R969" s="2" t="s">
        <v>58</v>
      </c>
      <c r="S969">
        <v>24</v>
      </c>
      <c r="T969">
        <v>1</v>
      </c>
    </row>
    <row r="970" spans="1:20" x14ac:dyDescent="0.25">
      <c r="A970" t="s">
        <v>1940</v>
      </c>
      <c r="B970">
        <v>1</v>
      </c>
      <c r="C970" s="2" t="s">
        <v>1941</v>
      </c>
      <c r="D970" s="3">
        <v>17800</v>
      </c>
      <c r="E970" s="4">
        <v>0</v>
      </c>
      <c r="F970" t="s">
        <v>23</v>
      </c>
      <c r="G970" s="3">
        <f t="shared" si="75"/>
        <v>17800</v>
      </c>
      <c r="H970" s="3">
        <v>0</v>
      </c>
      <c r="I970" s="3">
        <f t="shared" si="76"/>
        <v>17800</v>
      </c>
      <c r="J970" s="2" t="s">
        <v>27</v>
      </c>
      <c r="K970" s="5">
        <v>46227.583333333343</v>
      </c>
      <c r="L970">
        <v>1</v>
      </c>
      <c r="M970" s="3">
        <f t="shared" si="77"/>
        <v>17800</v>
      </c>
      <c r="N970" t="str">
        <f t="shared" si="78"/>
        <v>ставка</v>
      </c>
      <c r="O970" s="3">
        <f t="shared" si="79"/>
        <v>349.02</v>
      </c>
      <c r="P970" s="5">
        <v>46228.5</v>
      </c>
      <c r="Q970" t="s">
        <v>23</v>
      </c>
      <c r="R970" s="2" t="s">
        <v>45</v>
      </c>
      <c r="S970">
        <v>57</v>
      </c>
      <c r="T970">
        <v>2</v>
      </c>
    </row>
    <row r="971" spans="1:20" ht="30" x14ac:dyDescent="0.25">
      <c r="A971" t="s">
        <v>1942</v>
      </c>
      <c r="B971">
        <v>1</v>
      </c>
      <c r="C971" s="2" t="s">
        <v>1943</v>
      </c>
      <c r="D971" s="3">
        <v>9240</v>
      </c>
      <c r="E971" s="4">
        <v>20</v>
      </c>
      <c r="F971" t="s">
        <v>103</v>
      </c>
      <c r="G971" s="3">
        <f t="shared" si="75"/>
        <v>11550</v>
      </c>
      <c r="H971" s="3">
        <v>1812</v>
      </c>
      <c r="I971" s="3">
        <f t="shared" si="76"/>
        <v>13362</v>
      </c>
      <c r="J971" s="2" t="s">
        <v>1944</v>
      </c>
      <c r="K971" s="5">
        <v>46210.583333333343</v>
      </c>
      <c r="L971">
        <v>1</v>
      </c>
      <c r="M971" s="3">
        <f t="shared" si="77"/>
        <v>13362</v>
      </c>
      <c r="N971" t="str">
        <f t="shared" si="78"/>
        <v>ставка</v>
      </c>
      <c r="O971" s="3">
        <f t="shared" si="79"/>
        <v>262</v>
      </c>
      <c r="P971" s="5">
        <v>46211.5</v>
      </c>
      <c r="Q971" t="s">
        <v>103</v>
      </c>
      <c r="R971" s="2" t="s">
        <v>49</v>
      </c>
      <c r="S971">
        <v>35</v>
      </c>
      <c r="T971">
        <v>1</v>
      </c>
    </row>
    <row r="972" spans="1:20" ht="30" x14ac:dyDescent="0.25">
      <c r="A972" t="s">
        <v>1945</v>
      </c>
      <c r="B972">
        <v>1</v>
      </c>
      <c r="C972" s="2" t="s">
        <v>1946</v>
      </c>
      <c r="D972" s="3">
        <v>27240</v>
      </c>
      <c r="E972" s="4">
        <v>20</v>
      </c>
      <c r="F972" t="s">
        <v>48</v>
      </c>
      <c r="G972" s="3">
        <f t="shared" si="75"/>
        <v>34050</v>
      </c>
      <c r="H972" s="3">
        <v>0</v>
      </c>
      <c r="I972" s="3">
        <f t="shared" si="76"/>
        <v>34050</v>
      </c>
      <c r="J972" s="2" t="s">
        <v>27</v>
      </c>
      <c r="K972" s="5">
        <v>46247.583333333343</v>
      </c>
      <c r="L972">
        <v>3</v>
      </c>
      <c r="M972" s="3">
        <f t="shared" si="77"/>
        <v>11350</v>
      </c>
      <c r="N972" t="str">
        <f t="shared" si="78"/>
        <v>ставка</v>
      </c>
      <c r="O972" s="3">
        <f t="shared" si="79"/>
        <v>667.65</v>
      </c>
      <c r="P972" s="5">
        <v>46250.5</v>
      </c>
      <c r="Q972" t="s">
        <v>48</v>
      </c>
      <c r="R972" s="2" t="s">
        <v>40</v>
      </c>
      <c r="S972">
        <v>52</v>
      </c>
      <c r="T972">
        <v>2</v>
      </c>
    </row>
    <row r="973" spans="1:20" ht="30" x14ac:dyDescent="0.25">
      <c r="A973" t="s">
        <v>1947</v>
      </c>
      <c r="B973">
        <v>1</v>
      </c>
      <c r="C973" s="2" t="s">
        <v>1948</v>
      </c>
      <c r="D973" s="3">
        <v>47520</v>
      </c>
      <c r="E973" s="4">
        <v>18</v>
      </c>
      <c r="F973" t="s">
        <v>32</v>
      </c>
      <c r="G973" s="3">
        <f t="shared" si="75"/>
        <v>57951.22</v>
      </c>
      <c r="H973" s="3">
        <v>0</v>
      </c>
      <c r="I973" s="3">
        <f t="shared" si="76"/>
        <v>57951.22</v>
      </c>
      <c r="J973" s="2" t="s">
        <v>27</v>
      </c>
      <c r="K973" s="5">
        <v>46276.583333333343</v>
      </c>
      <c r="L973">
        <v>6</v>
      </c>
      <c r="M973" s="3">
        <f t="shared" si="77"/>
        <v>9658.5366666666669</v>
      </c>
      <c r="N973" t="str">
        <f t="shared" si="78"/>
        <v>ставка</v>
      </c>
      <c r="O973" s="3">
        <f t="shared" si="79"/>
        <v>1136.3</v>
      </c>
      <c r="P973" s="5">
        <v>46282.5</v>
      </c>
      <c r="Q973" t="s">
        <v>32</v>
      </c>
      <c r="R973" s="2" t="s">
        <v>33</v>
      </c>
      <c r="S973">
        <v>45</v>
      </c>
      <c r="T973">
        <v>1</v>
      </c>
    </row>
    <row r="974" spans="1:20" ht="30" x14ac:dyDescent="0.25">
      <c r="A974" t="s">
        <v>1949</v>
      </c>
      <c r="B974">
        <v>1</v>
      </c>
      <c r="C974" s="2" t="s">
        <v>1950</v>
      </c>
      <c r="D974" s="3">
        <v>27921</v>
      </c>
      <c r="E974" s="4">
        <v>18</v>
      </c>
      <c r="F974" t="s">
        <v>147</v>
      </c>
      <c r="G974" s="3">
        <f t="shared" si="75"/>
        <v>34050</v>
      </c>
      <c r="H974" s="3">
        <v>0</v>
      </c>
      <c r="I974" s="3">
        <f t="shared" si="76"/>
        <v>34050</v>
      </c>
      <c r="J974" s="2" t="s">
        <v>27</v>
      </c>
      <c r="K974" s="5">
        <v>46202.583333333343</v>
      </c>
      <c r="L974">
        <v>3</v>
      </c>
      <c r="M974" s="3">
        <f t="shared" si="77"/>
        <v>11350</v>
      </c>
      <c r="N974" t="str">
        <f t="shared" si="78"/>
        <v>ставка</v>
      </c>
      <c r="O974" s="3">
        <f t="shared" si="79"/>
        <v>667.65</v>
      </c>
      <c r="P974" s="5">
        <v>46205.5</v>
      </c>
      <c r="Q974" t="s">
        <v>147</v>
      </c>
      <c r="R974" s="2" t="s">
        <v>40</v>
      </c>
      <c r="S974">
        <v>32</v>
      </c>
      <c r="T974">
        <v>1</v>
      </c>
    </row>
    <row r="975" spans="1:20" ht="30" x14ac:dyDescent="0.25">
      <c r="A975" t="s">
        <v>1433</v>
      </c>
      <c r="B975">
        <v>1</v>
      </c>
      <c r="C975" s="2" t="s">
        <v>1951</v>
      </c>
      <c r="D975" s="3">
        <v>68085</v>
      </c>
      <c r="E975" s="4">
        <v>16</v>
      </c>
      <c r="F975" t="s">
        <v>36</v>
      </c>
      <c r="G975" s="3">
        <f t="shared" si="75"/>
        <v>81053.570000000007</v>
      </c>
      <c r="H975" s="3">
        <v>0</v>
      </c>
      <c r="I975" s="3">
        <f t="shared" si="76"/>
        <v>81053.570000000007</v>
      </c>
      <c r="J975" s="2" t="s">
        <v>27</v>
      </c>
      <c r="K975" s="5">
        <v>46243.583333333343</v>
      </c>
      <c r="L975">
        <v>6</v>
      </c>
      <c r="M975" s="3">
        <f t="shared" si="77"/>
        <v>13508.928333333335</v>
      </c>
      <c r="N975" t="str">
        <f t="shared" si="78"/>
        <v>ставка</v>
      </c>
      <c r="O975" s="3">
        <f t="shared" si="79"/>
        <v>1589.29</v>
      </c>
      <c r="P975" s="5">
        <v>46249.5</v>
      </c>
      <c r="Q975" t="s">
        <v>36</v>
      </c>
      <c r="R975" s="2" t="s">
        <v>40</v>
      </c>
      <c r="S975" s="6"/>
    </row>
    <row r="976" spans="1:20" ht="30" x14ac:dyDescent="0.25">
      <c r="A976" t="s">
        <v>1952</v>
      </c>
      <c r="B976">
        <v>1</v>
      </c>
      <c r="C976" s="2" t="s">
        <v>1953</v>
      </c>
      <c r="D976" s="3">
        <v>39816</v>
      </c>
      <c r="E976" s="4">
        <v>16</v>
      </c>
      <c r="F976" t="s">
        <v>36</v>
      </c>
      <c r="G976" s="3">
        <f t="shared" si="75"/>
        <v>47400</v>
      </c>
      <c r="H976" s="3">
        <v>3300</v>
      </c>
      <c r="I976" s="3">
        <f t="shared" si="76"/>
        <v>50700</v>
      </c>
      <c r="J976" s="2" t="s">
        <v>1954</v>
      </c>
      <c r="K976" s="5">
        <v>46247.583333333343</v>
      </c>
      <c r="L976">
        <v>3</v>
      </c>
      <c r="M976" s="3">
        <f t="shared" si="77"/>
        <v>16900</v>
      </c>
      <c r="N976" t="str">
        <f t="shared" si="78"/>
        <v>ставка</v>
      </c>
      <c r="O976" s="3">
        <f t="shared" si="79"/>
        <v>994.12</v>
      </c>
      <c r="P976" s="5">
        <v>46250.708333333343</v>
      </c>
      <c r="Q976" t="s">
        <v>36</v>
      </c>
      <c r="R976" s="2" t="s">
        <v>45</v>
      </c>
      <c r="S976">
        <v>53</v>
      </c>
      <c r="T976">
        <v>2</v>
      </c>
    </row>
    <row r="977" spans="1:21" ht="30" x14ac:dyDescent="0.25">
      <c r="A977" t="s">
        <v>1955</v>
      </c>
      <c r="B977">
        <v>1</v>
      </c>
      <c r="C977" s="2" t="s">
        <v>1956</v>
      </c>
      <c r="D977" s="3">
        <v>34042.5</v>
      </c>
      <c r="E977" s="4">
        <v>0</v>
      </c>
      <c r="F977" t="s">
        <v>245</v>
      </c>
      <c r="G977" s="3">
        <f t="shared" si="75"/>
        <v>34042.5</v>
      </c>
      <c r="H977" s="3">
        <v>0</v>
      </c>
      <c r="I977" s="3">
        <f t="shared" si="76"/>
        <v>34042.5</v>
      </c>
      <c r="J977" s="2" t="s">
        <v>27</v>
      </c>
      <c r="K977" s="5">
        <v>46208.583333333343</v>
      </c>
      <c r="L977">
        <v>3</v>
      </c>
      <c r="M977" s="3">
        <f t="shared" si="77"/>
        <v>11347.5</v>
      </c>
      <c r="N977" t="str">
        <f t="shared" si="78"/>
        <v>ставка</v>
      </c>
      <c r="O977" s="3">
        <f t="shared" si="79"/>
        <v>667.5</v>
      </c>
      <c r="P977" s="5">
        <v>46211.5</v>
      </c>
      <c r="Q977" t="s">
        <v>245</v>
      </c>
      <c r="R977" s="2" t="s">
        <v>40</v>
      </c>
      <c r="S977">
        <v>42</v>
      </c>
      <c r="T977">
        <v>1</v>
      </c>
    </row>
    <row r="978" spans="1:21" ht="30" x14ac:dyDescent="0.25">
      <c r="A978" t="s">
        <v>1957</v>
      </c>
      <c r="B978">
        <v>1</v>
      </c>
      <c r="C978" s="2" t="s">
        <v>1958</v>
      </c>
      <c r="D978" s="3">
        <v>7900</v>
      </c>
      <c r="E978" s="4">
        <v>0</v>
      </c>
      <c r="F978" t="s">
        <v>23</v>
      </c>
      <c r="G978" s="3">
        <f t="shared" si="75"/>
        <v>7900</v>
      </c>
      <c r="H978" s="3">
        <v>0</v>
      </c>
      <c r="I978" s="3">
        <f t="shared" si="76"/>
        <v>7900</v>
      </c>
      <c r="J978" s="2" t="s">
        <v>27</v>
      </c>
      <c r="K978" s="5">
        <v>46204.583333333343</v>
      </c>
      <c r="L978">
        <v>1</v>
      </c>
      <c r="M978" s="3">
        <f t="shared" si="77"/>
        <v>7900</v>
      </c>
      <c r="N978" t="str">
        <f t="shared" si="78"/>
        <v>ставка</v>
      </c>
      <c r="O978" s="3">
        <f t="shared" si="79"/>
        <v>154.9</v>
      </c>
      <c r="P978" s="5">
        <v>46205.5</v>
      </c>
      <c r="Q978" t="s">
        <v>23</v>
      </c>
      <c r="R978" s="2" t="s">
        <v>33</v>
      </c>
      <c r="S978">
        <v>43</v>
      </c>
      <c r="T978">
        <v>1</v>
      </c>
    </row>
    <row r="979" spans="1:21" x14ac:dyDescent="0.25">
      <c r="A979" s="9"/>
      <c r="B979" s="9">
        <f>SUM(B2:B978)</f>
        <v>977</v>
      </c>
      <c r="C979" s="9" t="s">
        <v>1137</v>
      </c>
      <c r="D979" s="9">
        <f>SUM(D2:D978)</f>
        <v>24977726.740000002</v>
      </c>
      <c r="E979" s="9"/>
      <c r="F979" s="9"/>
      <c r="G979" s="9">
        <f>SUM(G2:G978)</f>
        <v>28069579.440000009</v>
      </c>
      <c r="H979" s="9">
        <f>SUM(H2:H978)</f>
        <v>408008</v>
      </c>
      <c r="I979" s="9">
        <f>SUM(I2:I978)</f>
        <v>28477587.440000013</v>
      </c>
      <c r="J979" s="9"/>
      <c r="K979" s="9"/>
      <c r="L979" s="9">
        <f>SUM(L2:L978)</f>
        <v>2328</v>
      </c>
      <c r="M979" s="9"/>
      <c r="N979" s="9"/>
      <c r="O979" s="9" t="e">
        <f>SUM(O2:O978)</f>
        <v>#DIV/0!</v>
      </c>
      <c r="P979" s="9"/>
      <c r="Q979" s="9"/>
      <c r="R979" s="9"/>
      <c r="S979" s="9"/>
      <c r="T979" s="9"/>
      <c r="U979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35" customWidth="1"/>
    <col min="4" max="4" width="18" customWidth="1"/>
    <col min="5" max="5" width="10" customWidth="1"/>
    <col min="6" max="6" width="32" customWidth="1"/>
    <col min="7" max="7" width="20" customWidth="1"/>
    <col min="8" max="8" width="16" customWidth="1"/>
    <col min="9" max="9" width="24" customWidth="1"/>
    <col min="10" max="10" width="48" customWidth="1"/>
    <col min="11" max="11" width="12" customWidth="1"/>
    <col min="12" max="12" width="10" customWidth="1"/>
    <col min="13" max="13" width="16" customWidth="1"/>
    <col min="14" max="16" width="12" customWidth="1"/>
    <col min="17" max="17" width="25" customWidth="1"/>
    <col min="18" max="18" width="30" customWidth="1"/>
    <col min="19" max="19" width="10" customWidth="1"/>
    <col min="20" max="20" width="8" customWidth="1"/>
    <col min="21" max="21" width="4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0" x14ac:dyDescent="0.25">
      <c r="A2" t="s">
        <v>171</v>
      </c>
      <c r="B2">
        <v>1</v>
      </c>
      <c r="C2" s="2" t="s">
        <v>172</v>
      </c>
      <c r="D2" s="3">
        <v>56737.5</v>
      </c>
      <c r="E2" s="4">
        <v>20</v>
      </c>
      <c r="F2" t="s">
        <v>173</v>
      </c>
      <c r="G2" s="3">
        <f t="shared" ref="G2:G45" si="0">ROUND(D2/(100-E2)*100,2)</f>
        <v>70921.88</v>
      </c>
      <c r="H2" s="3">
        <v>0</v>
      </c>
      <c r="I2" s="3">
        <f t="shared" ref="I2:I45" si="1">ROUND(G2+H2,2)</f>
        <v>70921.88</v>
      </c>
      <c r="J2" s="2" t="s">
        <v>27</v>
      </c>
      <c r="K2" s="5">
        <v>46236.583333333343</v>
      </c>
      <c r="L2">
        <v>5</v>
      </c>
      <c r="M2" s="3">
        <f t="shared" ref="M2:M45" si="2">I2/L2</f>
        <v>14184.376</v>
      </c>
      <c r="N2" t="str">
        <f t="shared" ref="N2:N45" si="3">IF(M2&gt;=5100,"ставка","мин.ставка")</f>
        <v>ставка</v>
      </c>
      <c r="O2" s="3">
        <f t="shared" ref="O2:O45" si="4">ROUND(IF(N2="мин.ставка",L2*100,I2/102*2),2)</f>
        <v>1390.63</v>
      </c>
      <c r="P2" s="5">
        <v>46241.5</v>
      </c>
      <c r="Q2" t="s">
        <v>173</v>
      </c>
      <c r="R2" s="2" t="s">
        <v>40</v>
      </c>
      <c r="S2" s="6"/>
    </row>
    <row r="3" spans="1:21" ht="30" x14ac:dyDescent="0.25">
      <c r="A3" t="s">
        <v>224</v>
      </c>
      <c r="B3">
        <v>1</v>
      </c>
      <c r="C3" s="2" t="s">
        <v>225</v>
      </c>
      <c r="D3" s="3">
        <v>45400</v>
      </c>
      <c r="E3" s="4">
        <v>4</v>
      </c>
      <c r="F3" t="s">
        <v>55</v>
      </c>
      <c r="G3" s="3">
        <f t="shared" si="0"/>
        <v>47291.67</v>
      </c>
      <c r="H3" s="3">
        <v>0</v>
      </c>
      <c r="I3" s="3">
        <f t="shared" si="1"/>
        <v>47291.67</v>
      </c>
      <c r="J3" s="2" t="s">
        <v>27</v>
      </c>
      <c r="K3" s="5">
        <v>46216.583333333343</v>
      </c>
      <c r="L3">
        <v>4</v>
      </c>
      <c r="M3" s="3">
        <f t="shared" si="2"/>
        <v>11822.9175</v>
      </c>
      <c r="N3" t="str">
        <f t="shared" si="3"/>
        <v>ставка</v>
      </c>
      <c r="O3" s="3">
        <f t="shared" si="4"/>
        <v>927.29</v>
      </c>
      <c r="P3" s="5">
        <v>46220.5</v>
      </c>
      <c r="Q3" t="s">
        <v>55</v>
      </c>
      <c r="R3" s="2" t="s">
        <v>40</v>
      </c>
      <c r="S3" s="6"/>
    </row>
    <row r="4" spans="1:21" ht="30" x14ac:dyDescent="0.25">
      <c r="A4" t="s">
        <v>265</v>
      </c>
      <c r="B4">
        <v>1</v>
      </c>
      <c r="C4" s="2" t="s">
        <v>266</v>
      </c>
      <c r="D4" s="3">
        <v>36045</v>
      </c>
      <c r="E4" s="4">
        <v>0</v>
      </c>
      <c r="F4" t="s">
        <v>23</v>
      </c>
      <c r="G4" s="3">
        <f t="shared" si="0"/>
        <v>36045</v>
      </c>
      <c r="H4" s="3">
        <v>0</v>
      </c>
      <c r="I4" s="3">
        <f t="shared" si="1"/>
        <v>36045</v>
      </c>
      <c r="J4" s="2" t="s">
        <v>27</v>
      </c>
      <c r="K4" s="5">
        <v>46275.583333333343</v>
      </c>
      <c r="L4">
        <v>3</v>
      </c>
      <c r="M4" s="3">
        <f t="shared" si="2"/>
        <v>12015</v>
      </c>
      <c r="N4" t="str">
        <f t="shared" si="3"/>
        <v>ставка</v>
      </c>
      <c r="O4" s="3">
        <f t="shared" si="4"/>
        <v>706.76</v>
      </c>
      <c r="P4" s="5">
        <v>46278.5</v>
      </c>
      <c r="Q4" t="s">
        <v>23</v>
      </c>
      <c r="R4" s="2" t="s">
        <v>40</v>
      </c>
      <c r="S4" s="6"/>
    </row>
    <row r="5" spans="1:21" ht="30" x14ac:dyDescent="0.25">
      <c r="A5" t="s">
        <v>265</v>
      </c>
      <c r="B5">
        <v>1</v>
      </c>
      <c r="C5" s="2" t="s">
        <v>269</v>
      </c>
      <c r="D5" s="3">
        <v>36045</v>
      </c>
      <c r="E5" s="4">
        <v>0</v>
      </c>
      <c r="F5" t="s">
        <v>23</v>
      </c>
      <c r="G5" s="3">
        <f t="shared" si="0"/>
        <v>36045</v>
      </c>
      <c r="H5" s="3">
        <v>0</v>
      </c>
      <c r="I5" s="3">
        <f t="shared" si="1"/>
        <v>36045</v>
      </c>
      <c r="J5" s="2" t="s">
        <v>27</v>
      </c>
      <c r="K5" s="5">
        <v>46275.583333333343</v>
      </c>
      <c r="L5">
        <v>3</v>
      </c>
      <c r="M5" s="3">
        <f t="shared" si="2"/>
        <v>12015</v>
      </c>
      <c r="N5" t="str">
        <f t="shared" si="3"/>
        <v>ставка</v>
      </c>
      <c r="O5" s="3">
        <f t="shared" si="4"/>
        <v>706.76</v>
      </c>
      <c r="P5" s="5">
        <v>46278.5</v>
      </c>
      <c r="Q5" t="s">
        <v>23</v>
      </c>
      <c r="R5" s="2" t="s">
        <v>40</v>
      </c>
      <c r="S5" s="6"/>
    </row>
    <row r="6" spans="1:21" ht="30" x14ac:dyDescent="0.25">
      <c r="A6" t="s">
        <v>272</v>
      </c>
      <c r="B6">
        <v>1</v>
      </c>
      <c r="C6" s="2" t="s">
        <v>273</v>
      </c>
      <c r="D6" s="3">
        <v>18160</v>
      </c>
      <c r="E6" s="4">
        <v>20</v>
      </c>
      <c r="F6" t="s">
        <v>173</v>
      </c>
      <c r="G6" s="3">
        <f t="shared" si="0"/>
        <v>22700</v>
      </c>
      <c r="H6" s="3">
        <v>0</v>
      </c>
      <c r="I6" s="3">
        <f t="shared" si="1"/>
        <v>22700</v>
      </c>
      <c r="J6" s="2" t="s">
        <v>27</v>
      </c>
      <c r="K6" s="5">
        <v>46289.583333333343</v>
      </c>
      <c r="L6">
        <v>2</v>
      </c>
      <c r="M6" s="3">
        <f t="shared" si="2"/>
        <v>11350</v>
      </c>
      <c r="N6" t="str">
        <f t="shared" si="3"/>
        <v>ставка</v>
      </c>
      <c r="O6" s="3">
        <f t="shared" si="4"/>
        <v>445.1</v>
      </c>
      <c r="P6" s="5">
        <v>46291.5</v>
      </c>
      <c r="Q6" t="s">
        <v>173</v>
      </c>
      <c r="R6" s="2" t="s">
        <v>40</v>
      </c>
      <c r="S6" s="6"/>
    </row>
    <row r="7" spans="1:21" ht="30" x14ac:dyDescent="0.25">
      <c r="A7" t="s">
        <v>276</v>
      </c>
      <c r="B7">
        <v>1</v>
      </c>
      <c r="C7" s="2" t="s">
        <v>277</v>
      </c>
      <c r="D7" s="3">
        <v>9534</v>
      </c>
      <c r="E7" s="4">
        <v>16</v>
      </c>
      <c r="F7" t="s">
        <v>36</v>
      </c>
      <c r="G7" s="3">
        <f t="shared" si="0"/>
        <v>11350</v>
      </c>
      <c r="H7" s="3">
        <v>0</v>
      </c>
      <c r="I7" s="3">
        <f t="shared" si="1"/>
        <v>11350</v>
      </c>
      <c r="J7" s="2" t="s">
        <v>27</v>
      </c>
      <c r="K7" s="5">
        <v>46284.583333333343</v>
      </c>
      <c r="L7">
        <v>1</v>
      </c>
      <c r="M7" s="3">
        <f t="shared" si="2"/>
        <v>11350</v>
      </c>
      <c r="N7" t="str">
        <f t="shared" si="3"/>
        <v>ставка</v>
      </c>
      <c r="O7" s="3">
        <f t="shared" si="4"/>
        <v>222.55</v>
      </c>
      <c r="P7" s="5">
        <v>46285.5</v>
      </c>
      <c r="Q7" t="s">
        <v>36</v>
      </c>
      <c r="R7" s="2" t="s">
        <v>40</v>
      </c>
      <c r="S7" s="6"/>
    </row>
    <row r="8" spans="1:21" x14ac:dyDescent="0.25">
      <c r="A8" t="s">
        <v>332</v>
      </c>
      <c r="B8">
        <v>1</v>
      </c>
      <c r="C8" s="2" t="s">
        <v>333</v>
      </c>
      <c r="D8" s="3">
        <v>69600</v>
      </c>
      <c r="E8" s="4">
        <v>20</v>
      </c>
      <c r="F8" t="s">
        <v>173</v>
      </c>
      <c r="G8" s="3">
        <f t="shared" si="0"/>
        <v>87000</v>
      </c>
      <c r="H8" s="3">
        <v>0</v>
      </c>
      <c r="I8" s="3">
        <f t="shared" si="1"/>
        <v>87000</v>
      </c>
      <c r="J8" s="2" t="s">
        <v>27</v>
      </c>
      <c r="K8" s="5">
        <v>46295.583333333343</v>
      </c>
      <c r="L8">
        <v>6</v>
      </c>
      <c r="M8" s="3">
        <f t="shared" si="2"/>
        <v>14500</v>
      </c>
      <c r="N8" t="str">
        <f t="shared" si="3"/>
        <v>ставка</v>
      </c>
      <c r="O8" s="3">
        <f t="shared" si="4"/>
        <v>1705.88</v>
      </c>
      <c r="P8" s="5">
        <v>46301.5</v>
      </c>
      <c r="Q8" t="s">
        <v>173</v>
      </c>
      <c r="R8" s="2" t="s">
        <v>49</v>
      </c>
      <c r="S8" s="6"/>
    </row>
    <row r="9" spans="1:21" ht="30" x14ac:dyDescent="0.25">
      <c r="A9" t="s">
        <v>224</v>
      </c>
      <c r="B9">
        <v>1</v>
      </c>
      <c r="C9" s="2" t="s">
        <v>384</v>
      </c>
      <c r="D9" s="3">
        <v>45400</v>
      </c>
      <c r="E9" s="4">
        <v>4</v>
      </c>
      <c r="F9" t="s">
        <v>55</v>
      </c>
      <c r="G9" s="3">
        <f t="shared" si="0"/>
        <v>47291.67</v>
      </c>
      <c r="H9" s="3">
        <v>0</v>
      </c>
      <c r="I9" s="3">
        <f t="shared" si="1"/>
        <v>47291.67</v>
      </c>
      <c r="J9" s="2" t="s">
        <v>27</v>
      </c>
      <c r="K9" s="5">
        <v>46216.583333333343</v>
      </c>
      <c r="L9">
        <v>4</v>
      </c>
      <c r="M9" s="3">
        <f t="shared" si="2"/>
        <v>11822.9175</v>
      </c>
      <c r="N9" t="str">
        <f t="shared" si="3"/>
        <v>ставка</v>
      </c>
      <c r="O9" s="3">
        <f t="shared" si="4"/>
        <v>927.29</v>
      </c>
      <c r="P9" s="5">
        <v>46220.5</v>
      </c>
      <c r="Q9" t="s">
        <v>55</v>
      </c>
      <c r="R9" s="2" t="s">
        <v>40</v>
      </c>
      <c r="S9" s="6"/>
    </row>
    <row r="10" spans="1:21" ht="30" x14ac:dyDescent="0.25">
      <c r="A10" t="s">
        <v>395</v>
      </c>
      <c r="B10">
        <v>1</v>
      </c>
      <c r="C10" s="2" t="s">
        <v>396</v>
      </c>
      <c r="D10" s="3">
        <v>54480</v>
      </c>
      <c r="E10" s="4">
        <v>18</v>
      </c>
      <c r="F10" t="s">
        <v>32</v>
      </c>
      <c r="G10" s="3">
        <f t="shared" si="0"/>
        <v>66439.02</v>
      </c>
      <c r="H10" s="3">
        <v>0</v>
      </c>
      <c r="I10" s="3">
        <f t="shared" si="1"/>
        <v>66439.02</v>
      </c>
      <c r="J10" s="2" t="s">
        <v>27</v>
      </c>
      <c r="K10" s="5">
        <v>46252.583333333343</v>
      </c>
      <c r="L10">
        <v>6</v>
      </c>
      <c r="M10" s="3">
        <f t="shared" si="2"/>
        <v>11073.17</v>
      </c>
      <c r="N10" t="str">
        <f t="shared" si="3"/>
        <v>ставка</v>
      </c>
      <c r="O10" s="3">
        <f t="shared" si="4"/>
        <v>1302.73</v>
      </c>
      <c r="P10" s="5">
        <v>46258.5</v>
      </c>
      <c r="Q10" t="s">
        <v>32</v>
      </c>
      <c r="R10" s="2" t="s">
        <v>40</v>
      </c>
      <c r="S10" s="6"/>
    </row>
    <row r="11" spans="1:21" ht="30" x14ac:dyDescent="0.25">
      <c r="A11" t="s">
        <v>405</v>
      </c>
      <c r="B11">
        <v>1</v>
      </c>
      <c r="C11" s="2" t="s">
        <v>406</v>
      </c>
      <c r="D11" s="3">
        <v>53399</v>
      </c>
      <c r="E11" s="4">
        <v>4</v>
      </c>
      <c r="F11" t="s">
        <v>55</v>
      </c>
      <c r="G11" s="3">
        <f t="shared" si="0"/>
        <v>55623.96</v>
      </c>
      <c r="H11" s="3">
        <v>0</v>
      </c>
      <c r="I11" s="3">
        <f t="shared" si="1"/>
        <v>55623.96</v>
      </c>
      <c r="J11" s="2" t="s">
        <v>27</v>
      </c>
      <c r="K11" s="5">
        <v>46251.583333333343</v>
      </c>
      <c r="L11">
        <v>4</v>
      </c>
      <c r="M11" s="3">
        <f t="shared" si="2"/>
        <v>13905.99</v>
      </c>
      <c r="N11" t="str">
        <f t="shared" si="3"/>
        <v>ставка</v>
      </c>
      <c r="O11" s="3">
        <f t="shared" si="4"/>
        <v>1090.67</v>
      </c>
      <c r="P11" s="5">
        <v>46255.5</v>
      </c>
      <c r="Q11" t="s">
        <v>55</v>
      </c>
      <c r="R11" s="2" t="s">
        <v>24</v>
      </c>
      <c r="S11" s="6"/>
    </row>
    <row r="12" spans="1:21" ht="30" x14ac:dyDescent="0.25">
      <c r="A12" t="s">
        <v>485</v>
      </c>
      <c r="B12">
        <v>1</v>
      </c>
      <c r="C12" s="2" t="s">
        <v>486</v>
      </c>
      <c r="D12" s="3">
        <v>28942.5</v>
      </c>
      <c r="E12" s="4">
        <v>15</v>
      </c>
      <c r="F12" t="s">
        <v>487</v>
      </c>
      <c r="G12" s="3">
        <f t="shared" si="0"/>
        <v>34050</v>
      </c>
      <c r="H12" s="3">
        <v>0</v>
      </c>
      <c r="I12" s="3">
        <f t="shared" si="1"/>
        <v>34050</v>
      </c>
      <c r="J12" s="2" t="s">
        <v>27</v>
      </c>
      <c r="K12" s="5">
        <v>46240.583333333343</v>
      </c>
      <c r="L12">
        <v>3</v>
      </c>
      <c r="M12" s="3">
        <f t="shared" si="2"/>
        <v>11350</v>
      </c>
      <c r="N12" t="str">
        <f t="shared" si="3"/>
        <v>ставка</v>
      </c>
      <c r="O12" s="3">
        <f t="shared" si="4"/>
        <v>667.65</v>
      </c>
      <c r="P12" s="5">
        <v>46243.5</v>
      </c>
      <c r="Q12" t="s">
        <v>487</v>
      </c>
      <c r="R12" s="2" t="s">
        <v>40</v>
      </c>
      <c r="S12" s="6"/>
    </row>
    <row r="13" spans="1:21" ht="30" x14ac:dyDescent="0.25">
      <c r="A13" t="s">
        <v>576</v>
      </c>
      <c r="B13">
        <v>1</v>
      </c>
      <c r="C13" s="2" t="s">
        <v>577</v>
      </c>
      <c r="D13" s="3">
        <v>7655.1</v>
      </c>
      <c r="E13" s="4">
        <v>4</v>
      </c>
      <c r="F13" t="s">
        <v>55</v>
      </c>
      <c r="G13" s="3">
        <f t="shared" si="0"/>
        <v>7974.06</v>
      </c>
      <c r="H13" s="3">
        <v>0</v>
      </c>
      <c r="I13" s="3">
        <f t="shared" si="1"/>
        <v>7974.06</v>
      </c>
      <c r="J13" s="2" t="s">
        <v>27</v>
      </c>
      <c r="K13" s="5">
        <v>46258.583333333343</v>
      </c>
      <c r="L13">
        <v>1</v>
      </c>
      <c r="M13" s="3">
        <f t="shared" si="2"/>
        <v>7974.06</v>
      </c>
      <c r="N13" t="str">
        <f t="shared" si="3"/>
        <v>ставка</v>
      </c>
      <c r="O13" s="3">
        <f t="shared" si="4"/>
        <v>156.35</v>
      </c>
      <c r="P13" s="5">
        <v>46259.5</v>
      </c>
      <c r="Q13" t="s">
        <v>55</v>
      </c>
      <c r="R13" s="2" t="s">
        <v>33</v>
      </c>
      <c r="S13" s="6"/>
    </row>
    <row r="14" spans="1:21" ht="30" x14ac:dyDescent="0.25">
      <c r="A14" t="s">
        <v>612</v>
      </c>
      <c r="B14">
        <v>1</v>
      </c>
      <c r="C14" s="2" t="s">
        <v>613</v>
      </c>
      <c r="D14" s="3">
        <v>60876</v>
      </c>
      <c r="E14" s="4">
        <v>18</v>
      </c>
      <c r="F14" t="s">
        <v>32</v>
      </c>
      <c r="G14" s="3">
        <f t="shared" si="0"/>
        <v>74239.02</v>
      </c>
      <c r="H14" s="3">
        <v>0</v>
      </c>
      <c r="I14" s="3">
        <f t="shared" si="1"/>
        <v>74239.02</v>
      </c>
      <c r="J14" s="2" t="s">
        <v>27</v>
      </c>
      <c r="K14" s="5">
        <v>46256.583333333343</v>
      </c>
      <c r="L14">
        <v>6</v>
      </c>
      <c r="M14" s="3">
        <f t="shared" si="2"/>
        <v>12373.17</v>
      </c>
      <c r="N14" t="str">
        <f t="shared" si="3"/>
        <v>ставка</v>
      </c>
      <c r="O14" s="3">
        <f t="shared" si="4"/>
        <v>1455.67</v>
      </c>
      <c r="P14" s="5">
        <v>46262.5</v>
      </c>
      <c r="Q14" t="s">
        <v>32</v>
      </c>
      <c r="R14" s="2" t="s">
        <v>40</v>
      </c>
      <c r="S14" s="6"/>
    </row>
    <row r="15" spans="1:21" ht="30" x14ac:dyDescent="0.25">
      <c r="A15" t="s">
        <v>696</v>
      </c>
      <c r="B15">
        <v>1</v>
      </c>
      <c r="C15" s="2" t="s">
        <v>697</v>
      </c>
      <c r="D15" s="3">
        <v>97515</v>
      </c>
      <c r="E15" s="4">
        <v>17</v>
      </c>
      <c r="F15" t="s">
        <v>394</v>
      </c>
      <c r="G15" s="3">
        <f t="shared" si="0"/>
        <v>117487.95</v>
      </c>
      <c r="H15" s="3">
        <v>0</v>
      </c>
      <c r="I15" s="3">
        <f t="shared" si="1"/>
        <v>117487.95</v>
      </c>
      <c r="J15" s="2" t="s">
        <v>27</v>
      </c>
      <c r="K15" s="5">
        <v>46204.583333333343</v>
      </c>
      <c r="L15">
        <v>10</v>
      </c>
      <c r="M15" s="3">
        <f t="shared" si="2"/>
        <v>11748.795</v>
      </c>
      <c r="N15" t="str">
        <f t="shared" si="3"/>
        <v>ставка</v>
      </c>
      <c r="O15" s="3">
        <f t="shared" si="4"/>
        <v>2303.69</v>
      </c>
      <c r="P15" s="5">
        <v>46214.5</v>
      </c>
      <c r="Q15" t="s">
        <v>394</v>
      </c>
      <c r="R15" s="2" t="s">
        <v>33</v>
      </c>
      <c r="S15" s="6"/>
    </row>
    <row r="16" spans="1:21" ht="30" x14ac:dyDescent="0.25">
      <c r="A16" t="s">
        <v>265</v>
      </c>
      <c r="B16">
        <v>1</v>
      </c>
      <c r="C16" s="2" t="s">
        <v>728</v>
      </c>
      <c r="D16" s="3">
        <v>36045</v>
      </c>
      <c r="E16" s="4">
        <v>0</v>
      </c>
      <c r="F16" t="s">
        <v>23</v>
      </c>
      <c r="G16" s="3">
        <f t="shared" si="0"/>
        <v>36045</v>
      </c>
      <c r="H16" s="3">
        <v>0</v>
      </c>
      <c r="I16" s="3">
        <f t="shared" si="1"/>
        <v>36045</v>
      </c>
      <c r="J16" s="2" t="s">
        <v>27</v>
      </c>
      <c r="K16" s="5">
        <v>46275.583333333343</v>
      </c>
      <c r="L16">
        <v>3</v>
      </c>
      <c r="M16" s="3">
        <f t="shared" si="2"/>
        <v>12015</v>
      </c>
      <c r="N16" t="str">
        <f t="shared" si="3"/>
        <v>ставка</v>
      </c>
      <c r="O16" s="3">
        <f t="shared" si="4"/>
        <v>706.76</v>
      </c>
      <c r="P16" s="5">
        <v>46278.5</v>
      </c>
      <c r="Q16" t="s">
        <v>23</v>
      </c>
      <c r="R16" s="2" t="s">
        <v>40</v>
      </c>
      <c r="S16" s="6"/>
    </row>
    <row r="17" spans="1:19" ht="30" x14ac:dyDescent="0.25">
      <c r="A17" t="s">
        <v>272</v>
      </c>
      <c r="B17">
        <v>1</v>
      </c>
      <c r="C17" s="2" t="s">
        <v>754</v>
      </c>
      <c r="D17" s="3">
        <v>18160</v>
      </c>
      <c r="E17" s="4">
        <v>20</v>
      </c>
      <c r="F17" t="s">
        <v>173</v>
      </c>
      <c r="G17" s="3">
        <f t="shared" si="0"/>
        <v>22700</v>
      </c>
      <c r="H17" s="3">
        <v>0</v>
      </c>
      <c r="I17" s="3">
        <f t="shared" si="1"/>
        <v>22700</v>
      </c>
      <c r="J17" s="2" t="s">
        <v>27</v>
      </c>
      <c r="K17" s="5">
        <v>46289.583333333343</v>
      </c>
      <c r="L17">
        <v>2</v>
      </c>
      <c r="M17" s="3">
        <f t="shared" si="2"/>
        <v>11350</v>
      </c>
      <c r="N17" t="str">
        <f t="shared" si="3"/>
        <v>ставка</v>
      </c>
      <c r="O17" s="3">
        <f t="shared" si="4"/>
        <v>445.1</v>
      </c>
      <c r="P17" s="5">
        <v>46291.5</v>
      </c>
      <c r="Q17" t="s">
        <v>173</v>
      </c>
      <c r="R17" s="2" t="s">
        <v>40</v>
      </c>
      <c r="S17" s="6"/>
    </row>
    <row r="18" spans="1:19" ht="30" x14ac:dyDescent="0.25">
      <c r="A18" t="s">
        <v>871</v>
      </c>
      <c r="B18">
        <v>1</v>
      </c>
      <c r="C18" s="2" t="s">
        <v>872</v>
      </c>
      <c r="D18" s="3">
        <v>22161</v>
      </c>
      <c r="E18" s="4">
        <v>18</v>
      </c>
      <c r="F18" t="s">
        <v>32</v>
      </c>
      <c r="G18" s="3">
        <f t="shared" si="0"/>
        <v>27025.61</v>
      </c>
      <c r="H18" s="3">
        <v>0</v>
      </c>
      <c r="I18" s="3">
        <f t="shared" si="1"/>
        <v>27025.61</v>
      </c>
      <c r="J18" s="2" t="s">
        <v>27</v>
      </c>
      <c r="K18" s="5">
        <v>46248.583333333343</v>
      </c>
      <c r="L18">
        <v>2</v>
      </c>
      <c r="M18" s="3">
        <f t="shared" si="2"/>
        <v>13512.805</v>
      </c>
      <c r="N18" t="str">
        <f t="shared" si="3"/>
        <v>ставка</v>
      </c>
      <c r="O18" s="3">
        <f t="shared" si="4"/>
        <v>529.91</v>
      </c>
      <c r="P18" s="5">
        <v>46250.5</v>
      </c>
      <c r="Q18" t="s">
        <v>32</v>
      </c>
      <c r="R18" s="2" t="s">
        <v>40</v>
      </c>
      <c r="S18" s="6"/>
    </row>
    <row r="19" spans="1:19" ht="30" x14ac:dyDescent="0.25">
      <c r="A19" t="s">
        <v>485</v>
      </c>
      <c r="B19">
        <v>1</v>
      </c>
      <c r="C19" s="2" t="s">
        <v>943</v>
      </c>
      <c r="D19" s="3">
        <v>28942.5</v>
      </c>
      <c r="E19" s="4">
        <v>15</v>
      </c>
      <c r="F19" t="s">
        <v>487</v>
      </c>
      <c r="G19" s="3">
        <f t="shared" si="0"/>
        <v>34050</v>
      </c>
      <c r="H19" s="3">
        <v>0</v>
      </c>
      <c r="I19" s="3">
        <f t="shared" si="1"/>
        <v>34050</v>
      </c>
      <c r="J19" s="2" t="s">
        <v>27</v>
      </c>
      <c r="K19" s="5">
        <v>46240.583333333343</v>
      </c>
      <c r="L19">
        <v>3</v>
      </c>
      <c r="M19" s="3">
        <f t="shared" si="2"/>
        <v>11350</v>
      </c>
      <c r="N19" t="str">
        <f t="shared" si="3"/>
        <v>ставка</v>
      </c>
      <c r="O19" s="3">
        <f t="shared" si="4"/>
        <v>667.65</v>
      </c>
      <c r="P19" s="5">
        <v>46243.5</v>
      </c>
      <c r="Q19" t="s">
        <v>487</v>
      </c>
      <c r="R19" s="2" t="s">
        <v>40</v>
      </c>
      <c r="S19" s="6"/>
    </row>
    <row r="20" spans="1:19" ht="30" x14ac:dyDescent="0.25">
      <c r="A20" t="s">
        <v>405</v>
      </c>
      <c r="B20">
        <v>1</v>
      </c>
      <c r="C20" s="2" t="s">
        <v>1023</v>
      </c>
      <c r="D20" s="3">
        <v>45229.75</v>
      </c>
      <c r="E20" s="4">
        <v>4</v>
      </c>
      <c r="F20" t="s">
        <v>55</v>
      </c>
      <c r="G20" s="3">
        <f t="shared" si="0"/>
        <v>47114.32</v>
      </c>
      <c r="H20" s="3">
        <v>0</v>
      </c>
      <c r="I20" s="3">
        <f t="shared" si="1"/>
        <v>47114.32</v>
      </c>
      <c r="J20" s="2" t="s">
        <v>27</v>
      </c>
      <c r="K20" s="5">
        <v>46251.583333333343</v>
      </c>
      <c r="L20">
        <v>4</v>
      </c>
      <c r="M20" s="3">
        <f t="shared" si="2"/>
        <v>11778.58</v>
      </c>
      <c r="N20" t="str">
        <f t="shared" si="3"/>
        <v>ставка</v>
      </c>
      <c r="O20" s="3">
        <f t="shared" si="4"/>
        <v>923.81</v>
      </c>
      <c r="P20" s="5">
        <v>46255.5</v>
      </c>
      <c r="Q20" t="s">
        <v>55</v>
      </c>
      <c r="R20" s="2" t="s">
        <v>40</v>
      </c>
      <c r="S20" s="6"/>
    </row>
    <row r="21" spans="1:19" x14ac:dyDescent="0.25">
      <c r="A21" t="s">
        <v>576</v>
      </c>
      <c r="B21">
        <v>1</v>
      </c>
      <c r="C21" s="2" t="s">
        <v>1027</v>
      </c>
      <c r="D21" s="3">
        <v>17248.2</v>
      </c>
      <c r="E21" s="4">
        <v>4</v>
      </c>
      <c r="F21" t="s">
        <v>55</v>
      </c>
      <c r="G21" s="3">
        <f t="shared" si="0"/>
        <v>17966.88</v>
      </c>
      <c r="H21" s="3">
        <v>0</v>
      </c>
      <c r="I21" s="3">
        <f t="shared" si="1"/>
        <v>17966.88</v>
      </c>
      <c r="J21" s="2" t="s">
        <v>27</v>
      </c>
      <c r="K21" s="5">
        <v>46258.583333333343</v>
      </c>
      <c r="L21">
        <v>1</v>
      </c>
      <c r="M21" s="3">
        <f t="shared" si="2"/>
        <v>17966.88</v>
      </c>
      <c r="N21" t="str">
        <f t="shared" si="3"/>
        <v>ставка</v>
      </c>
      <c r="O21" s="3">
        <f t="shared" si="4"/>
        <v>352.29</v>
      </c>
      <c r="P21" s="5">
        <v>46259.5</v>
      </c>
      <c r="Q21" t="s">
        <v>55</v>
      </c>
      <c r="R21" s="2" t="s">
        <v>45</v>
      </c>
      <c r="S21" s="6"/>
    </row>
    <row r="22" spans="1:19" ht="30" x14ac:dyDescent="0.25">
      <c r="A22" t="s">
        <v>612</v>
      </c>
      <c r="B22">
        <v>1</v>
      </c>
      <c r="C22" s="2" t="s">
        <v>1065</v>
      </c>
      <c r="D22" s="3">
        <v>60876</v>
      </c>
      <c r="E22" s="4">
        <v>18</v>
      </c>
      <c r="F22" t="s">
        <v>32</v>
      </c>
      <c r="G22" s="3">
        <f t="shared" si="0"/>
        <v>74239.02</v>
      </c>
      <c r="H22" s="3">
        <v>0</v>
      </c>
      <c r="I22" s="3">
        <f t="shared" si="1"/>
        <v>74239.02</v>
      </c>
      <c r="J22" s="2" t="s">
        <v>27</v>
      </c>
      <c r="K22" s="5">
        <v>46256.583333333343</v>
      </c>
      <c r="L22">
        <v>6</v>
      </c>
      <c r="M22" s="3">
        <f t="shared" si="2"/>
        <v>12373.17</v>
      </c>
      <c r="N22" t="str">
        <f t="shared" si="3"/>
        <v>ставка</v>
      </c>
      <c r="O22" s="3">
        <f t="shared" si="4"/>
        <v>1455.67</v>
      </c>
      <c r="P22" s="5">
        <v>46262.5</v>
      </c>
      <c r="Q22" t="s">
        <v>32</v>
      </c>
      <c r="R22" s="2" t="s">
        <v>40</v>
      </c>
      <c r="S22" s="6"/>
    </row>
    <row r="23" spans="1:19" x14ac:dyDescent="0.25">
      <c r="B23">
        <v>1</v>
      </c>
      <c r="C23" s="2" t="s">
        <v>1137</v>
      </c>
      <c r="D23" s="7"/>
      <c r="E23" s="4">
        <v>0</v>
      </c>
      <c r="G23" s="3">
        <f t="shared" si="0"/>
        <v>0</v>
      </c>
      <c r="H23" s="3">
        <v>0</v>
      </c>
      <c r="I23" s="3">
        <f t="shared" si="1"/>
        <v>0</v>
      </c>
      <c r="J23" s="2"/>
      <c r="K23" s="8"/>
      <c r="M23" s="3" t="e">
        <f t="shared" si="2"/>
        <v>#DIV/0!</v>
      </c>
      <c r="N23" t="e">
        <f t="shared" si="3"/>
        <v>#DIV/0!</v>
      </c>
      <c r="O23" s="3" t="e">
        <f t="shared" si="4"/>
        <v>#DIV/0!</v>
      </c>
      <c r="P23" s="8"/>
      <c r="R23" s="2"/>
      <c r="S23" s="6"/>
    </row>
    <row r="24" spans="1:19" ht="30" x14ac:dyDescent="0.25">
      <c r="A24" t="s">
        <v>696</v>
      </c>
      <c r="B24">
        <v>1</v>
      </c>
      <c r="C24" s="2" t="s">
        <v>1154</v>
      </c>
      <c r="D24" s="3">
        <v>97515</v>
      </c>
      <c r="E24" s="4">
        <v>17</v>
      </c>
      <c r="F24" t="s">
        <v>394</v>
      </c>
      <c r="G24" s="3">
        <f t="shared" si="0"/>
        <v>117487.95</v>
      </c>
      <c r="H24" s="3">
        <v>0</v>
      </c>
      <c r="I24" s="3">
        <f t="shared" si="1"/>
        <v>117487.95</v>
      </c>
      <c r="J24" s="2" t="s">
        <v>27</v>
      </c>
      <c r="K24" s="5">
        <v>46204.583333333343</v>
      </c>
      <c r="L24">
        <v>10</v>
      </c>
      <c r="M24" s="3">
        <f t="shared" si="2"/>
        <v>11748.795</v>
      </c>
      <c r="N24" t="str">
        <f t="shared" si="3"/>
        <v>ставка</v>
      </c>
      <c r="O24" s="3">
        <f t="shared" si="4"/>
        <v>2303.69</v>
      </c>
      <c r="P24" s="5">
        <v>46214.5</v>
      </c>
      <c r="Q24" t="s">
        <v>394</v>
      </c>
      <c r="R24" s="2" t="s">
        <v>33</v>
      </c>
      <c r="S24" s="6"/>
    </row>
    <row r="25" spans="1:19" ht="30" x14ac:dyDescent="0.25">
      <c r="A25" t="s">
        <v>1195</v>
      </c>
      <c r="B25">
        <v>1</v>
      </c>
      <c r="C25" s="2" t="s">
        <v>1196</v>
      </c>
      <c r="D25" s="3">
        <v>26286.15</v>
      </c>
      <c r="E25" s="4">
        <v>4</v>
      </c>
      <c r="F25" t="s">
        <v>55</v>
      </c>
      <c r="G25" s="3">
        <f t="shared" si="0"/>
        <v>27381.41</v>
      </c>
      <c r="H25" s="3">
        <v>0</v>
      </c>
      <c r="I25" s="3">
        <f t="shared" si="1"/>
        <v>27381.41</v>
      </c>
      <c r="J25" s="2" t="s">
        <v>27</v>
      </c>
      <c r="K25" s="5">
        <v>46269.583333333343</v>
      </c>
      <c r="L25">
        <v>2</v>
      </c>
      <c r="M25" s="3">
        <f t="shared" si="2"/>
        <v>13690.705</v>
      </c>
      <c r="N25" t="str">
        <f t="shared" si="3"/>
        <v>ставка</v>
      </c>
      <c r="O25" s="3">
        <f t="shared" si="4"/>
        <v>536.89</v>
      </c>
      <c r="P25" s="5">
        <v>46271.5</v>
      </c>
      <c r="Q25" t="s">
        <v>55</v>
      </c>
      <c r="R25" s="2" t="s">
        <v>40</v>
      </c>
      <c r="S25" s="6"/>
    </row>
    <row r="26" spans="1:19" ht="30" x14ac:dyDescent="0.25">
      <c r="A26" t="s">
        <v>276</v>
      </c>
      <c r="B26">
        <v>1</v>
      </c>
      <c r="C26" s="2" t="s">
        <v>1210</v>
      </c>
      <c r="D26" s="3">
        <v>11214</v>
      </c>
      <c r="E26" s="4">
        <v>16</v>
      </c>
      <c r="F26" t="s">
        <v>36</v>
      </c>
      <c r="G26" s="3">
        <f t="shared" si="0"/>
        <v>13350</v>
      </c>
      <c r="H26" s="3">
        <v>0</v>
      </c>
      <c r="I26" s="3">
        <f t="shared" si="1"/>
        <v>13350</v>
      </c>
      <c r="J26" s="2" t="s">
        <v>27</v>
      </c>
      <c r="K26" s="5">
        <v>46284.583333333343</v>
      </c>
      <c r="L26">
        <v>1</v>
      </c>
      <c r="M26" s="3">
        <f t="shared" si="2"/>
        <v>13350</v>
      </c>
      <c r="N26" t="str">
        <f t="shared" si="3"/>
        <v>ставка</v>
      </c>
      <c r="O26" s="3">
        <f t="shared" si="4"/>
        <v>261.76</v>
      </c>
      <c r="P26" s="5">
        <v>46285.5</v>
      </c>
      <c r="Q26" t="s">
        <v>36</v>
      </c>
      <c r="R26" s="2" t="s">
        <v>40</v>
      </c>
      <c r="S26" s="6"/>
    </row>
    <row r="27" spans="1:19" ht="30" x14ac:dyDescent="0.25">
      <c r="A27" t="s">
        <v>1291</v>
      </c>
      <c r="B27">
        <v>1</v>
      </c>
      <c r="C27" s="2" t="s">
        <v>1292</v>
      </c>
      <c r="D27" s="3">
        <v>39849.75</v>
      </c>
      <c r="E27" s="4">
        <v>4</v>
      </c>
      <c r="F27" t="s">
        <v>55</v>
      </c>
      <c r="G27" s="3">
        <f t="shared" si="0"/>
        <v>41510.160000000003</v>
      </c>
      <c r="H27" s="3">
        <v>0</v>
      </c>
      <c r="I27" s="3">
        <f t="shared" si="1"/>
        <v>41510.160000000003</v>
      </c>
      <c r="J27" s="2" t="s">
        <v>27</v>
      </c>
      <c r="K27" s="5">
        <v>46237.583333333343</v>
      </c>
      <c r="L27">
        <v>3</v>
      </c>
      <c r="M27" s="3">
        <f t="shared" si="2"/>
        <v>13836.720000000001</v>
      </c>
      <c r="N27" t="str">
        <f t="shared" si="3"/>
        <v>ставка</v>
      </c>
      <c r="O27" s="3">
        <f t="shared" si="4"/>
        <v>813.92</v>
      </c>
      <c r="P27" s="5">
        <v>46240.5</v>
      </c>
      <c r="Q27" t="s">
        <v>55</v>
      </c>
      <c r="R27" s="2" t="s">
        <v>40</v>
      </c>
      <c r="S27" s="6"/>
    </row>
    <row r="28" spans="1:19" ht="30" x14ac:dyDescent="0.25">
      <c r="A28" t="s">
        <v>265</v>
      </c>
      <c r="B28">
        <v>1</v>
      </c>
      <c r="C28" s="2" t="s">
        <v>1339</v>
      </c>
      <c r="D28" s="3">
        <v>36045</v>
      </c>
      <c r="E28" s="4">
        <v>0</v>
      </c>
      <c r="F28" t="s">
        <v>23</v>
      </c>
      <c r="G28" s="3">
        <f t="shared" si="0"/>
        <v>36045</v>
      </c>
      <c r="H28" s="3">
        <v>0</v>
      </c>
      <c r="I28" s="3">
        <f t="shared" si="1"/>
        <v>36045</v>
      </c>
      <c r="J28" s="2" t="s">
        <v>27</v>
      </c>
      <c r="K28" s="5">
        <v>46275.583333333343</v>
      </c>
      <c r="L28">
        <v>3</v>
      </c>
      <c r="M28" s="3">
        <f t="shared" si="2"/>
        <v>12015</v>
      </c>
      <c r="N28" t="str">
        <f t="shared" si="3"/>
        <v>ставка</v>
      </c>
      <c r="O28" s="3">
        <f t="shared" si="4"/>
        <v>706.76</v>
      </c>
      <c r="P28" s="5">
        <v>46278.5</v>
      </c>
      <c r="Q28" t="s">
        <v>23</v>
      </c>
      <c r="R28" s="2" t="s">
        <v>40</v>
      </c>
      <c r="S28" s="6"/>
    </row>
    <row r="29" spans="1:19" ht="30" x14ac:dyDescent="0.25">
      <c r="A29" t="s">
        <v>1366</v>
      </c>
      <c r="B29">
        <v>1</v>
      </c>
      <c r="C29" s="2" t="s">
        <v>1367</v>
      </c>
      <c r="D29" s="3">
        <v>56826</v>
      </c>
      <c r="E29" s="4">
        <v>18</v>
      </c>
      <c r="F29" t="s">
        <v>32</v>
      </c>
      <c r="G29" s="3">
        <f t="shared" si="0"/>
        <v>69300</v>
      </c>
      <c r="H29" s="3">
        <v>0</v>
      </c>
      <c r="I29" s="3">
        <f t="shared" si="1"/>
        <v>69300</v>
      </c>
      <c r="J29" s="2" t="s">
        <v>27</v>
      </c>
      <c r="K29" s="5">
        <v>46223.583333333343</v>
      </c>
      <c r="L29">
        <v>7</v>
      </c>
      <c r="M29" s="3">
        <f t="shared" si="2"/>
        <v>9900</v>
      </c>
      <c r="N29" t="str">
        <f t="shared" si="3"/>
        <v>ставка</v>
      </c>
      <c r="O29" s="3">
        <f t="shared" si="4"/>
        <v>1358.82</v>
      </c>
      <c r="P29" s="5">
        <v>46230.5</v>
      </c>
      <c r="Q29" t="s">
        <v>32</v>
      </c>
      <c r="R29" s="2" t="s">
        <v>33</v>
      </c>
      <c r="S29" s="6"/>
    </row>
    <row r="30" spans="1:19" ht="30" x14ac:dyDescent="0.25">
      <c r="A30" t="s">
        <v>612</v>
      </c>
      <c r="B30">
        <v>1</v>
      </c>
      <c r="C30" s="2" t="s">
        <v>1378</v>
      </c>
      <c r="D30" s="3">
        <v>60876</v>
      </c>
      <c r="E30" s="4">
        <v>18</v>
      </c>
      <c r="F30" t="s">
        <v>32</v>
      </c>
      <c r="G30" s="3">
        <f t="shared" si="0"/>
        <v>74239.02</v>
      </c>
      <c r="H30" s="3">
        <v>300</v>
      </c>
      <c r="I30" s="3">
        <f t="shared" si="1"/>
        <v>74539.02</v>
      </c>
      <c r="J30" s="2" t="s">
        <v>1159</v>
      </c>
      <c r="K30" s="5">
        <v>46256.583333333343</v>
      </c>
      <c r="L30">
        <v>6</v>
      </c>
      <c r="M30" s="3">
        <f t="shared" si="2"/>
        <v>12423.17</v>
      </c>
      <c r="N30" t="str">
        <f t="shared" si="3"/>
        <v>ставка</v>
      </c>
      <c r="O30" s="3">
        <f t="shared" si="4"/>
        <v>1461.55</v>
      </c>
      <c r="P30" s="5">
        <v>46262.5</v>
      </c>
      <c r="Q30" t="s">
        <v>32</v>
      </c>
      <c r="R30" s="2" t="s">
        <v>40</v>
      </c>
      <c r="S30" s="6"/>
    </row>
    <row r="31" spans="1:19" ht="30" x14ac:dyDescent="0.25">
      <c r="A31" t="s">
        <v>265</v>
      </c>
      <c r="B31">
        <v>1</v>
      </c>
      <c r="C31" s="2" t="s">
        <v>1391</v>
      </c>
      <c r="D31" s="3">
        <v>36045</v>
      </c>
      <c r="E31" s="4">
        <v>0</v>
      </c>
      <c r="F31" t="s">
        <v>23</v>
      </c>
      <c r="G31" s="3">
        <f t="shared" si="0"/>
        <v>36045</v>
      </c>
      <c r="H31" s="3">
        <v>0</v>
      </c>
      <c r="I31" s="3">
        <f t="shared" si="1"/>
        <v>36045</v>
      </c>
      <c r="J31" s="2" t="s">
        <v>27</v>
      </c>
      <c r="K31" s="5">
        <v>46275.583333333343</v>
      </c>
      <c r="L31">
        <v>3</v>
      </c>
      <c r="M31" s="3">
        <f t="shared" si="2"/>
        <v>12015</v>
      </c>
      <c r="N31" t="str">
        <f t="shared" si="3"/>
        <v>ставка</v>
      </c>
      <c r="O31" s="3">
        <f t="shared" si="4"/>
        <v>706.76</v>
      </c>
      <c r="P31" s="5">
        <v>46278.5</v>
      </c>
      <c r="Q31" t="s">
        <v>23</v>
      </c>
      <c r="R31" s="2" t="s">
        <v>40</v>
      </c>
      <c r="S31" s="6"/>
    </row>
    <row r="32" spans="1:19" ht="30" x14ac:dyDescent="0.25">
      <c r="A32" t="s">
        <v>1433</v>
      </c>
      <c r="B32">
        <v>1</v>
      </c>
      <c r="C32" s="2" t="s">
        <v>1434</v>
      </c>
      <c r="D32" s="3">
        <v>68085</v>
      </c>
      <c r="E32" s="4">
        <v>16</v>
      </c>
      <c r="F32" t="s">
        <v>36</v>
      </c>
      <c r="G32" s="3">
        <f t="shared" si="0"/>
        <v>81053.570000000007</v>
      </c>
      <c r="H32" s="3">
        <v>0</v>
      </c>
      <c r="I32" s="3">
        <f t="shared" si="1"/>
        <v>81053.570000000007</v>
      </c>
      <c r="J32" s="2" t="s">
        <v>27</v>
      </c>
      <c r="K32" s="5">
        <v>46243.583333333343</v>
      </c>
      <c r="L32">
        <v>6</v>
      </c>
      <c r="M32" s="3">
        <f t="shared" si="2"/>
        <v>13508.928333333335</v>
      </c>
      <c r="N32" t="str">
        <f t="shared" si="3"/>
        <v>ставка</v>
      </c>
      <c r="O32" s="3">
        <f t="shared" si="4"/>
        <v>1589.29</v>
      </c>
      <c r="P32" s="5">
        <v>46249.5</v>
      </c>
      <c r="Q32" t="s">
        <v>36</v>
      </c>
      <c r="R32" s="2" t="s">
        <v>40</v>
      </c>
      <c r="S32" s="6"/>
    </row>
    <row r="33" spans="1:21" ht="30" x14ac:dyDescent="0.25">
      <c r="A33" t="s">
        <v>1195</v>
      </c>
      <c r="B33">
        <v>1</v>
      </c>
      <c r="C33" s="2" t="s">
        <v>1514</v>
      </c>
      <c r="D33" s="3">
        <v>19493.099999999999</v>
      </c>
      <c r="E33" s="4">
        <v>4</v>
      </c>
      <c r="F33" t="s">
        <v>55</v>
      </c>
      <c r="G33" s="3">
        <f t="shared" si="0"/>
        <v>20305.310000000001</v>
      </c>
      <c r="H33" s="3">
        <v>0</v>
      </c>
      <c r="I33" s="3">
        <f t="shared" si="1"/>
        <v>20305.310000000001</v>
      </c>
      <c r="J33" s="2" t="s">
        <v>27</v>
      </c>
      <c r="K33" s="5">
        <v>46269.583333333343</v>
      </c>
      <c r="L33">
        <v>2</v>
      </c>
      <c r="M33" s="3">
        <f t="shared" si="2"/>
        <v>10152.655000000001</v>
      </c>
      <c r="N33" t="str">
        <f t="shared" si="3"/>
        <v>ставка</v>
      </c>
      <c r="O33" s="3">
        <f t="shared" si="4"/>
        <v>398.14</v>
      </c>
      <c r="P33" s="5">
        <v>46271.5</v>
      </c>
      <c r="Q33" t="s">
        <v>55</v>
      </c>
      <c r="R33" s="2" t="s">
        <v>24</v>
      </c>
      <c r="S33" s="6"/>
    </row>
    <row r="34" spans="1:21" ht="30" x14ac:dyDescent="0.25">
      <c r="A34" t="s">
        <v>485</v>
      </c>
      <c r="B34">
        <v>1</v>
      </c>
      <c r="C34" s="2" t="s">
        <v>1586</v>
      </c>
      <c r="D34" s="3">
        <v>28942.5</v>
      </c>
      <c r="E34" s="4">
        <v>15</v>
      </c>
      <c r="F34" t="s">
        <v>487</v>
      </c>
      <c r="G34" s="3">
        <f t="shared" si="0"/>
        <v>34050</v>
      </c>
      <c r="H34" s="3">
        <v>0</v>
      </c>
      <c r="I34" s="3">
        <f t="shared" si="1"/>
        <v>34050</v>
      </c>
      <c r="J34" s="2" t="s">
        <v>27</v>
      </c>
      <c r="K34" s="5">
        <v>46240.583333333343</v>
      </c>
      <c r="L34">
        <v>3</v>
      </c>
      <c r="M34" s="3">
        <f t="shared" si="2"/>
        <v>11350</v>
      </c>
      <c r="N34" t="str">
        <f t="shared" si="3"/>
        <v>ставка</v>
      </c>
      <c r="O34" s="3">
        <f t="shared" si="4"/>
        <v>667.65</v>
      </c>
      <c r="P34" s="5">
        <v>46243.5</v>
      </c>
      <c r="Q34" t="s">
        <v>487</v>
      </c>
      <c r="R34" s="2" t="s">
        <v>40</v>
      </c>
      <c r="S34" s="6"/>
    </row>
    <row r="35" spans="1:21" ht="30" x14ac:dyDescent="0.25">
      <c r="A35" t="s">
        <v>265</v>
      </c>
      <c r="B35">
        <v>1</v>
      </c>
      <c r="C35" s="2" t="s">
        <v>1591</v>
      </c>
      <c r="D35" s="3">
        <v>36045</v>
      </c>
      <c r="E35" s="4">
        <v>0</v>
      </c>
      <c r="F35" t="s">
        <v>23</v>
      </c>
      <c r="G35" s="3">
        <f t="shared" si="0"/>
        <v>36045</v>
      </c>
      <c r="H35" s="3">
        <v>0</v>
      </c>
      <c r="I35" s="3">
        <f t="shared" si="1"/>
        <v>36045</v>
      </c>
      <c r="J35" s="2" t="s">
        <v>27</v>
      </c>
      <c r="K35" s="5">
        <v>46275.583333333343</v>
      </c>
      <c r="L35">
        <v>3</v>
      </c>
      <c r="M35" s="3">
        <f t="shared" si="2"/>
        <v>12015</v>
      </c>
      <c r="N35" t="str">
        <f t="shared" si="3"/>
        <v>ставка</v>
      </c>
      <c r="O35" s="3">
        <f t="shared" si="4"/>
        <v>706.76</v>
      </c>
      <c r="P35" s="5">
        <v>46278.5</v>
      </c>
      <c r="Q35" t="s">
        <v>23</v>
      </c>
      <c r="R35" s="2" t="s">
        <v>40</v>
      </c>
      <c r="S35" s="6"/>
    </row>
    <row r="36" spans="1:21" ht="30" x14ac:dyDescent="0.25">
      <c r="A36" t="s">
        <v>1645</v>
      </c>
      <c r="B36">
        <v>1</v>
      </c>
      <c r="C36" s="2" t="s">
        <v>1646</v>
      </c>
      <c r="D36" s="3">
        <v>26286.15</v>
      </c>
      <c r="E36" s="4">
        <v>4</v>
      </c>
      <c r="F36" t="s">
        <v>55</v>
      </c>
      <c r="G36" s="3">
        <f t="shared" si="0"/>
        <v>27381.41</v>
      </c>
      <c r="H36" s="3">
        <v>0</v>
      </c>
      <c r="I36" s="3">
        <f t="shared" si="1"/>
        <v>27381.41</v>
      </c>
      <c r="J36" s="2" t="s">
        <v>27</v>
      </c>
      <c r="K36" s="5">
        <v>46261.583333333343</v>
      </c>
      <c r="L36">
        <v>2</v>
      </c>
      <c r="M36" s="3">
        <f t="shared" si="2"/>
        <v>13690.705</v>
      </c>
      <c r="N36" t="str">
        <f t="shared" si="3"/>
        <v>ставка</v>
      </c>
      <c r="O36" s="3">
        <f t="shared" si="4"/>
        <v>536.89</v>
      </c>
      <c r="P36" s="5">
        <v>46263.5</v>
      </c>
      <c r="Q36" t="s">
        <v>55</v>
      </c>
      <c r="R36" s="2" t="s">
        <v>40</v>
      </c>
      <c r="S36" s="6"/>
    </row>
    <row r="37" spans="1:21" ht="30" x14ac:dyDescent="0.25">
      <c r="A37" t="s">
        <v>395</v>
      </c>
      <c r="B37">
        <v>1</v>
      </c>
      <c r="C37" s="2" t="s">
        <v>1651</v>
      </c>
      <c r="D37" s="3">
        <v>64080</v>
      </c>
      <c r="E37" s="4">
        <v>18</v>
      </c>
      <c r="F37" t="s">
        <v>32</v>
      </c>
      <c r="G37" s="3">
        <f t="shared" si="0"/>
        <v>78146.34</v>
      </c>
      <c r="H37" s="3">
        <v>0</v>
      </c>
      <c r="I37" s="3">
        <f t="shared" si="1"/>
        <v>78146.34</v>
      </c>
      <c r="J37" s="2" t="s">
        <v>27</v>
      </c>
      <c r="K37" s="5">
        <v>46252.583333333343</v>
      </c>
      <c r="L37">
        <v>6</v>
      </c>
      <c r="M37" s="3">
        <f t="shared" si="2"/>
        <v>13024.39</v>
      </c>
      <c r="N37" t="str">
        <f t="shared" si="3"/>
        <v>ставка</v>
      </c>
      <c r="O37" s="3">
        <f t="shared" si="4"/>
        <v>1532.28</v>
      </c>
      <c r="P37" s="5">
        <v>46258.5</v>
      </c>
      <c r="Q37" t="s">
        <v>32</v>
      </c>
      <c r="R37" s="2" t="s">
        <v>40</v>
      </c>
      <c r="S37" s="6"/>
    </row>
    <row r="38" spans="1:21" ht="30" x14ac:dyDescent="0.25">
      <c r="A38" t="s">
        <v>171</v>
      </c>
      <c r="B38">
        <v>1</v>
      </c>
      <c r="C38" s="2" t="s">
        <v>1710</v>
      </c>
      <c r="D38" s="3">
        <v>56737.5</v>
      </c>
      <c r="E38" s="4">
        <v>20</v>
      </c>
      <c r="F38" t="s">
        <v>173</v>
      </c>
      <c r="G38" s="3">
        <f t="shared" si="0"/>
        <v>70921.88</v>
      </c>
      <c r="H38" s="3">
        <v>0</v>
      </c>
      <c r="I38" s="3">
        <f t="shared" si="1"/>
        <v>70921.88</v>
      </c>
      <c r="J38" s="2" t="s">
        <v>27</v>
      </c>
      <c r="K38" s="5">
        <v>46236.583333333343</v>
      </c>
      <c r="L38">
        <v>5</v>
      </c>
      <c r="M38" s="3">
        <f t="shared" si="2"/>
        <v>14184.376</v>
      </c>
      <c r="N38" t="str">
        <f t="shared" si="3"/>
        <v>ставка</v>
      </c>
      <c r="O38" s="3">
        <f t="shared" si="4"/>
        <v>1390.63</v>
      </c>
      <c r="P38" s="5">
        <v>46241.5</v>
      </c>
      <c r="Q38" t="s">
        <v>173</v>
      </c>
      <c r="R38" s="2" t="s">
        <v>40</v>
      </c>
      <c r="S38" s="6"/>
    </row>
    <row r="39" spans="1:21" ht="30" x14ac:dyDescent="0.25">
      <c r="A39" t="s">
        <v>1645</v>
      </c>
      <c r="B39">
        <v>1</v>
      </c>
      <c r="C39" s="2" t="s">
        <v>1711</v>
      </c>
      <c r="D39" s="3">
        <v>22348.15</v>
      </c>
      <c r="E39" s="4">
        <v>4</v>
      </c>
      <c r="F39" t="s">
        <v>55</v>
      </c>
      <c r="G39" s="3">
        <f t="shared" si="0"/>
        <v>23279.32</v>
      </c>
      <c r="H39" s="3">
        <v>0</v>
      </c>
      <c r="I39" s="3">
        <f t="shared" si="1"/>
        <v>23279.32</v>
      </c>
      <c r="J39" s="2" t="s">
        <v>27</v>
      </c>
      <c r="K39" s="5">
        <v>46261.583333333343</v>
      </c>
      <c r="L39">
        <v>2</v>
      </c>
      <c r="M39" s="3">
        <f t="shared" si="2"/>
        <v>11639.66</v>
      </c>
      <c r="N39" t="str">
        <f t="shared" si="3"/>
        <v>ставка</v>
      </c>
      <c r="O39" s="3">
        <f t="shared" si="4"/>
        <v>456.46</v>
      </c>
      <c r="P39" s="5">
        <v>46263.5</v>
      </c>
      <c r="Q39" t="s">
        <v>55</v>
      </c>
      <c r="R39" s="2" t="s">
        <v>40</v>
      </c>
      <c r="S39" s="6"/>
    </row>
    <row r="40" spans="1:21" ht="30" x14ac:dyDescent="0.25">
      <c r="A40" t="s">
        <v>1291</v>
      </c>
      <c r="B40">
        <v>1</v>
      </c>
      <c r="C40" s="2" t="s">
        <v>1779</v>
      </c>
      <c r="D40" s="3">
        <v>33879.75</v>
      </c>
      <c r="E40" s="4">
        <v>4</v>
      </c>
      <c r="F40" t="s">
        <v>55</v>
      </c>
      <c r="G40" s="3">
        <f t="shared" si="0"/>
        <v>35291.410000000003</v>
      </c>
      <c r="H40" s="3">
        <v>0</v>
      </c>
      <c r="I40" s="3">
        <f t="shared" si="1"/>
        <v>35291.410000000003</v>
      </c>
      <c r="J40" s="2" t="s">
        <v>27</v>
      </c>
      <c r="K40" s="5">
        <v>46237.583333333343</v>
      </c>
      <c r="L40">
        <v>3</v>
      </c>
      <c r="M40" s="3">
        <f t="shared" si="2"/>
        <v>11763.803333333335</v>
      </c>
      <c r="N40" t="str">
        <f t="shared" si="3"/>
        <v>ставка</v>
      </c>
      <c r="O40" s="3">
        <f t="shared" si="4"/>
        <v>691.99</v>
      </c>
      <c r="P40" s="5">
        <v>46240.5</v>
      </c>
      <c r="Q40" t="s">
        <v>55</v>
      </c>
      <c r="R40" s="2" t="s">
        <v>40</v>
      </c>
      <c r="S40" s="6"/>
    </row>
    <row r="41" spans="1:21" ht="30" x14ac:dyDescent="0.25">
      <c r="A41" t="s">
        <v>1366</v>
      </c>
      <c r="B41">
        <v>1</v>
      </c>
      <c r="C41" s="2" t="s">
        <v>1852</v>
      </c>
      <c r="D41" s="3">
        <v>56826</v>
      </c>
      <c r="E41" s="4">
        <v>18</v>
      </c>
      <c r="F41" t="s">
        <v>32</v>
      </c>
      <c r="G41" s="3">
        <f t="shared" si="0"/>
        <v>69300</v>
      </c>
      <c r="H41" s="3">
        <v>0</v>
      </c>
      <c r="I41" s="3">
        <f t="shared" si="1"/>
        <v>69300</v>
      </c>
      <c r="J41" s="2" t="s">
        <v>27</v>
      </c>
      <c r="K41" s="5">
        <v>46223.583333333343</v>
      </c>
      <c r="L41">
        <v>7</v>
      </c>
      <c r="M41" s="3">
        <f t="shared" si="2"/>
        <v>9900</v>
      </c>
      <c r="N41" t="str">
        <f t="shared" si="3"/>
        <v>ставка</v>
      </c>
      <c r="O41" s="3">
        <f t="shared" si="4"/>
        <v>1358.82</v>
      </c>
      <c r="P41" s="5">
        <v>46230.5</v>
      </c>
      <c r="Q41" t="s">
        <v>32</v>
      </c>
      <c r="R41" s="2" t="s">
        <v>33</v>
      </c>
      <c r="S41" s="6"/>
    </row>
    <row r="42" spans="1:21" ht="30" x14ac:dyDescent="0.25">
      <c r="A42" t="s">
        <v>871</v>
      </c>
      <c r="B42">
        <v>1</v>
      </c>
      <c r="C42" s="2" t="s">
        <v>1870</v>
      </c>
      <c r="D42" s="3">
        <v>22161</v>
      </c>
      <c r="E42" s="4">
        <v>18</v>
      </c>
      <c r="F42" t="s">
        <v>32</v>
      </c>
      <c r="G42" s="3">
        <f t="shared" si="0"/>
        <v>27025.61</v>
      </c>
      <c r="H42" s="3">
        <v>0</v>
      </c>
      <c r="I42" s="3">
        <f t="shared" si="1"/>
        <v>27025.61</v>
      </c>
      <c r="J42" s="2" t="s">
        <v>27</v>
      </c>
      <c r="K42" s="5">
        <v>46248.583333333343</v>
      </c>
      <c r="L42">
        <v>2</v>
      </c>
      <c r="M42" s="3">
        <f t="shared" si="2"/>
        <v>13512.805</v>
      </c>
      <c r="N42" t="str">
        <f t="shared" si="3"/>
        <v>ставка</v>
      </c>
      <c r="O42" s="3">
        <f t="shared" si="4"/>
        <v>529.91</v>
      </c>
      <c r="P42" s="5">
        <v>46250.5</v>
      </c>
      <c r="Q42" t="s">
        <v>32</v>
      </c>
      <c r="R42" s="2" t="s">
        <v>40</v>
      </c>
      <c r="S42" s="6"/>
    </row>
    <row r="43" spans="1:21" ht="30" x14ac:dyDescent="0.25">
      <c r="A43" t="s">
        <v>276</v>
      </c>
      <c r="B43">
        <v>1</v>
      </c>
      <c r="C43" s="2" t="s">
        <v>1907</v>
      </c>
      <c r="D43" s="3">
        <v>11214</v>
      </c>
      <c r="E43" s="4">
        <v>16</v>
      </c>
      <c r="F43" t="s">
        <v>36</v>
      </c>
      <c r="G43" s="3">
        <f t="shared" si="0"/>
        <v>13350</v>
      </c>
      <c r="H43" s="3">
        <v>0</v>
      </c>
      <c r="I43" s="3">
        <f t="shared" si="1"/>
        <v>13350</v>
      </c>
      <c r="J43" s="2" t="s">
        <v>27</v>
      </c>
      <c r="K43" s="5">
        <v>46284.583333333343</v>
      </c>
      <c r="L43">
        <v>1</v>
      </c>
      <c r="M43" s="3">
        <f t="shared" si="2"/>
        <v>13350</v>
      </c>
      <c r="N43" t="str">
        <f t="shared" si="3"/>
        <v>ставка</v>
      </c>
      <c r="O43" s="3">
        <f t="shared" si="4"/>
        <v>261.76</v>
      </c>
      <c r="P43" s="5">
        <v>46285.5</v>
      </c>
      <c r="Q43" t="s">
        <v>36</v>
      </c>
      <c r="R43" s="2" t="s">
        <v>40</v>
      </c>
      <c r="S43" s="6"/>
    </row>
    <row r="44" spans="1:21" x14ac:dyDescent="0.25">
      <c r="A44" t="s">
        <v>332</v>
      </c>
      <c r="B44">
        <v>1</v>
      </c>
      <c r="C44" s="2" t="s">
        <v>1915</v>
      </c>
      <c r="D44" s="3">
        <v>69600</v>
      </c>
      <c r="E44" s="4">
        <v>20</v>
      </c>
      <c r="F44" t="s">
        <v>173</v>
      </c>
      <c r="G44" s="3">
        <f t="shared" si="0"/>
        <v>87000</v>
      </c>
      <c r="H44" s="3">
        <v>0</v>
      </c>
      <c r="I44" s="3">
        <f t="shared" si="1"/>
        <v>87000</v>
      </c>
      <c r="J44" s="2" t="s">
        <v>27</v>
      </c>
      <c r="K44" s="5">
        <v>46295.583333333343</v>
      </c>
      <c r="L44">
        <v>6</v>
      </c>
      <c r="M44" s="3">
        <f t="shared" si="2"/>
        <v>14500</v>
      </c>
      <c r="N44" t="str">
        <f t="shared" si="3"/>
        <v>ставка</v>
      </c>
      <c r="O44" s="3">
        <f t="shared" si="4"/>
        <v>1705.88</v>
      </c>
      <c r="P44" s="5">
        <v>46301.5</v>
      </c>
      <c r="Q44" t="s">
        <v>173</v>
      </c>
      <c r="R44" s="2" t="s">
        <v>49</v>
      </c>
      <c r="S44" s="6"/>
    </row>
    <row r="45" spans="1:21" ht="30" x14ac:dyDescent="0.25">
      <c r="A45" t="s">
        <v>1433</v>
      </c>
      <c r="B45">
        <v>1</v>
      </c>
      <c r="C45" s="2" t="s">
        <v>1951</v>
      </c>
      <c r="D45" s="3">
        <v>68085</v>
      </c>
      <c r="E45" s="4">
        <v>16</v>
      </c>
      <c r="F45" t="s">
        <v>36</v>
      </c>
      <c r="G45" s="3">
        <f t="shared" si="0"/>
        <v>81053.570000000007</v>
      </c>
      <c r="H45" s="3">
        <v>0</v>
      </c>
      <c r="I45" s="3">
        <f t="shared" si="1"/>
        <v>81053.570000000007</v>
      </c>
      <c r="J45" s="2" t="s">
        <v>27</v>
      </c>
      <c r="K45" s="5">
        <v>46243.583333333343</v>
      </c>
      <c r="L45">
        <v>6</v>
      </c>
      <c r="M45" s="3">
        <f t="shared" si="2"/>
        <v>13508.928333333335</v>
      </c>
      <c r="N45" t="str">
        <f t="shared" si="3"/>
        <v>ставка</v>
      </c>
      <c r="O45" s="3">
        <f t="shared" si="4"/>
        <v>1589.29</v>
      </c>
      <c r="P45" s="5">
        <v>46249.5</v>
      </c>
      <c r="Q45" t="s">
        <v>36</v>
      </c>
      <c r="R45" s="2" t="s">
        <v>40</v>
      </c>
      <c r="S45" s="6"/>
    </row>
    <row r="46" spans="1:21" x14ac:dyDescent="0.25">
      <c r="A46" s="9"/>
      <c r="B46" s="9">
        <f>SUM(B2:B45)</f>
        <v>44</v>
      </c>
      <c r="C46" s="9" t="s">
        <v>1137</v>
      </c>
      <c r="D46" s="9">
        <f>SUM(D2:D45)</f>
        <v>1796891.5999999999</v>
      </c>
      <c r="E46" s="9"/>
      <c r="F46" s="9"/>
      <c r="G46" s="9">
        <f>SUM(G2:G45)</f>
        <v>2073162.02</v>
      </c>
      <c r="H46" s="9">
        <f>SUM(H2:H45)</f>
        <v>300</v>
      </c>
      <c r="I46" s="9">
        <f>SUM(I2:I45)</f>
        <v>2073462.02</v>
      </c>
      <c r="J46" s="9"/>
      <c r="K46" s="9"/>
      <c r="L46" s="9">
        <f>SUM(L2:L45)</f>
        <v>168</v>
      </c>
      <c r="M46" s="9"/>
      <c r="N46" s="9"/>
      <c r="O46" s="9" t="e">
        <f>SUM(O2:O45)</f>
        <v>#DIV/0!</v>
      </c>
      <c r="P46" s="9"/>
      <c r="Q46" s="9"/>
      <c r="R46" s="9"/>
      <c r="S46" s="9"/>
      <c r="T46" s="9"/>
      <c r="U46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4"/>
  <sheetViews>
    <sheetView topLeftCell="C1" workbookViewId="0">
      <pane ySplit="1" topLeftCell="A515" activePane="bottomLeft" state="frozen"/>
      <selection pane="bottomLeft" activeCell="M1" sqref="M1"/>
    </sheetView>
  </sheetViews>
  <sheetFormatPr defaultRowHeight="15" x14ac:dyDescent="0.25"/>
  <cols>
    <col min="1" max="1" width="24" customWidth="1"/>
    <col min="2" max="2" width="9" customWidth="1"/>
    <col min="3" max="3" width="35" customWidth="1"/>
    <col min="4" max="4" width="18" customWidth="1"/>
    <col min="5" max="5" width="10" customWidth="1"/>
    <col min="6" max="6" width="36.7109375" customWidth="1"/>
    <col min="7" max="7" width="20" customWidth="1"/>
    <col min="8" max="8" width="16" customWidth="1"/>
    <col min="9" max="9" width="24" customWidth="1"/>
    <col min="10" max="10" width="40.7109375" customWidth="1"/>
    <col min="11" max="11" width="16.85546875" customWidth="1"/>
    <col min="12" max="12" width="10" customWidth="1"/>
    <col min="13" max="13" width="16" customWidth="1"/>
    <col min="14" max="15" width="12" customWidth="1"/>
    <col min="16" max="16" width="16.28515625" customWidth="1"/>
    <col min="17" max="17" width="25" customWidth="1"/>
    <col min="18" max="18" width="30" customWidth="1"/>
    <col min="19" max="19" width="10" customWidth="1"/>
    <col min="20" max="20" width="8" customWidth="1"/>
    <col min="21" max="21" width="45" customWidth="1"/>
  </cols>
  <sheetData>
    <row r="1" spans="1:21" s="11" customFormat="1" x14ac:dyDescent="0.25">
      <c r="A1" s="10" t="s">
        <v>0</v>
      </c>
      <c r="B1" s="10" t="s">
        <v>1</v>
      </c>
      <c r="C1" s="10" t="s">
        <v>2</v>
      </c>
      <c r="D1" s="16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5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ht="30" x14ac:dyDescent="0.25">
      <c r="A2" t="s">
        <v>28</v>
      </c>
      <c r="B2">
        <v>1</v>
      </c>
      <c r="C2" s="2" t="s">
        <v>29</v>
      </c>
      <c r="D2" s="3">
        <v>13860</v>
      </c>
      <c r="E2" s="4">
        <v>0</v>
      </c>
      <c r="F2" t="s">
        <v>23</v>
      </c>
      <c r="G2" s="3">
        <f t="shared" ref="G2:G65" si="0">ROUND(D2/(100-E2)*100,2)</f>
        <v>13860</v>
      </c>
      <c r="H2" s="3">
        <v>0</v>
      </c>
      <c r="I2" s="3">
        <f t="shared" ref="I2:I65" si="1">ROUND(G2+H2,2)</f>
        <v>13860</v>
      </c>
      <c r="J2" s="2" t="s">
        <v>27</v>
      </c>
      <c r="K2" s="5">
        <v>46259.583333333343</v>
      </c>
      <c r="L2">
        <v>1</v>
      </c>
      <c r="M2" s="3">
        <f t="shared" ref="M2:M65" si="2">I2/L2</f>
        <v>13860</v>
      </c>
      <c r="N2" t="str">
        <f t="shared" ref="N2:N65" si="3">IF(M2&gt;=5100,"ставка","мин.ставка")</f>
        <v>ставка</v>
      </c>
      <c r="O2" s="3">
        <f t="shared" ref="O2:O65" si="4">ROUND(IF(N2="мин.ставка",L2*100,I2/102*2),2)</f>
        <v>271.76</v>
      </c>
      <c r="P2" s="5">
        <v>46260.5</v>
      </c>
      <c r="Q2" t="s">
        <v>23</v>
      </c>
      <c r="R2" s="2" t="s">
        <v>24</v>
      </c>
      <c r="S2">
        <v>21</v>
      </c>
      <c r="T2">
        <v>1</v>
      </c>
    </row>
    <row r="3" spans="1:21" ht="30" x14ac:dyDescent="0.25">
      <c r="A3" t="s">
        <v>30</v>
      </c>
      <c r="B3">
        <v>1</v>
      </c>
      <c r="C3" s="2" t="s">
        <v>31</v>
      </c>
      <c r="D3" s="3">
        <v>7920</v>
      </c>
      <c r="E3" s="4">
        <v>20</v>
      </c>
      <c r="F3" t="s">
        <v>32</v>
      </c>
      <c r="G3" s="3">
        <f t="shared" si="0"/>
        <v>9900</v>
      </c>
      <c r="H3" s="3">
        <v>0</v>
      </c>
      <c r="I3" s="3">
        <f t="shared" si="1"/>
        <v>9900</v>
      </c>
      <c r="J3" s="2" t="s">
        <v>27</v>
      </c>
      <c r="K3" s="5">
        <v>46241.583333333343</v>
      </c>
      <c r="L3">
        <v>1</v>
      </c>
      <c r="M3" s="3">
        <f t="shared" si="2"/>
        <v>9900</v>
      </c>
      <c r="N3" t="str">
        <f t="shared" si="3"/>
        <v>ставка</v>
      </c>
      <c r="O3" s="3">
        <f t="shared" si="4"/>
        <v>194.12</v>
      </c>
      <c r="P3" s="5">
        <v>46242.5</v>
      </c>
      <c r="Q3" t="s">
        <v>32</v>
      </c>
      <c r="R3" s="2" t="s">
        <v>33</v>
      </c>
      <c r="S3">
        <v>47</v>
      </c>
      <c r="T3">
        <v>1</v>
      </c>
    </row>
    <row r="4" spans="1:21" ht="30" x14ac:dyDescent="0.25">
      <c r="A4" t="s">
        <v>41</v>
      </c>
      <c r="B4">
        <v>1</v>
      </c>
      <c r="C4" s="2" t="s">
        <v>42</v>
      </c>
      <c r="D4" s="3">
        <v>6557</v>
      </c>
      <c r="E4" s="4">
        <v>0</v>
      </c>
      <c r="F4" t="s">
        <v>23</v>
      </c>
      <c r="G4" s="3">
        <f t="shared" si="0"/>
        <v>6557</v>
      </c>
      <c r="H4" s="3">
        <v>0</v>
      </c>
      <c r="I4" s="3">
        <f t="shared" si="1"/>
        <v>6557</v>
      </c>
      <c r="J4" s="2" t="s">
        <v>27</v>
      </c>
      <c r="K4" s="5">
        <v>46215.583333333343</v>
      </c>
      <c r="L4">
        <v>1</v>
      </c>
      <c r="M4" s="3">
        <f t="shared" si="2"/>
        <v>6557</v>
      </c>
      <c r="N4" t="str">
        <f t="shared" si="3"/>
        <v>ставка</v>
      </c>
      <c r="O4" s="3">
        <f t="shared" si="4"/>
        <v>128.57</v>
      </c>
      <c r="P4" s="5">
        <v>46216.5</v>
      </c>
      <c r="Q4" t="s">
        <v>23</v>
      </c>
      <c r="R4" s="2" t="s">
        <v>33</v>
      </c>
      <c r="S4">
        <v>45</v>
      </c>
      <c r="T4">
        <v>1</v>
      </c>
    </row>
    <row r="5" spans="1:21" x14ac:dyDescent="0.25">
      <c r="A5" t="s">
        <v>46</v>
      </c>
      <c r="B5">
        <v>1</v>
      </c>
      <c r="C5" s="2" t="s">
        <v>47</v>
      </c>
      <c r="D5" s="3">
        <v>39600</v>
      </c>
      <c r="E5" s="4">
        <v>20</v>
      </c>
      <c r="F5" t="s">
        <v>48</v>
      </c>
      <c r="G5" s="3">
        <f t="shared" si="0"/>
        <v>49500</v>
      </c>
      <c r="H5" s="3">
        <v>0</v>
      </c>
      <c r="I5" s="3">
        <f t="shared" si="1"/>
        <v>49500</v>
      </c>
      <c r="J5" s="2" t="s">
        <v>27</v>
      </c>
      <c r="K5" s="5">
        <v>46257.583333333343</v>
      </c>
      <c r="L5">
        <v>3</v>
      </c>
      <c r="M5" s="3">
        <f t="shared" si="2"/>
        <v>16500</v>
      </c>
      <c r="N5" t="str">
        <f t="shared" si="3"/>
        <v>ставка</v>
      </c>
      <c r="O5" s="3">
        <f t="shared" si="4"/>
        <v>970.59</v>
      </c>
      <c r="P5" s="5">
        <v>46260.5</v>
      </c>
      <c r="Q5" t="s">
        <v>48</v>
      </c>
      <c r="R5" s="2" t="s">
        <v>49</v>
      </c>
      <c r="S5">
        <v>35</v>
      </c>
      <c r="T5">
        <v>1</v>
      </c>
    </row>
    <row r="6" spans="1:21" ht="30" x14ac:dyDescent="0.25">
      <c r="A6" t="s">
        <v>50</v>
      </c>
      <c r="B6">
        <v>1</v>
      </c>
      <c r="C6" s="2" t="s">
        <v>51</v>
      </c>
      <c r="D6" s="3">
        <v>22695</v>
      </c>
      <c r="E6" s="4">
        <v>15</v>
      </c>
      <c r="F6" t="s">
        <v>52</v>
      </c>
      <c r="G6" s="3">
        <f t="shared" si="0"/>
        <v>26700</v>
      </c>
      <c r="H6" s="3">
        <v>0</v>
      </c>
      <c r="I6" s="3">
        <f t="shared" si="1"/>
        <v>26700</v>
      </c>
      <c r="J6" s="2" t="s">
        <v>27</v>
      </c>
      <c r="K6" s="5">
        <v>46205.583333333343</v>
      </c>
      <c r="L6">
        <v>2</v>
      </c>
      <c r="M6" s="3">
        <f t="shared" si="2"/>
        <v>13350</v>
      </c>
      <c r="N6" t="str">
        <f t="shared" si="3"/>
        <v>ставка</v>
      </c>
      <c r="O6" s="3">
        <f t="shared" si="4"/>
        <v>523.53</v>
      </c>
      <c r="P6" s="5">
        <v>46207.5</v>
      </c>
      <c r="Q6" t="s">
        <v>52</v>
      </c>
      <c r="R6" s="2" t="s">
        <v>40</v>
      </c>
      <c r="S6">
        <v>26</v>
      </c>
      <c r="T6">
        <v>1</v>
      </c>
    </row>
    <row r="7" spans="1:21" ht="30" x14ac:dyDescent="0.25">
      <c r="A7" t="s">
        <v>56</v>
      </c>
      <c r="B7">
        <v>1</v>
      </c>
      <c r="C7" s="2" t="s">
        <v>57</v>
      </c>
      <c r="D7" s="3">
        <v>7700</v>
      </c>
      <c r="E7" s="4">
        <v>0</v>
      </c>
      <c r="F7" t="s">
        <v>23</v>
      </c>
      <c r="G7" s="3">
        <f t="shared" si="0"/>
        <v>7700</v>
      </c>
      <c r="H7" s="3">
        <v>0</v>
      </c>
      <c r="I7" s="3">
        <f t="shared" si="1"/>
        <v>7700</v>
      </c>
      <c r="J7" s="2" t="s">
        <v>27</v>
      </c>
      <c r="K7" s="5">
        <v>46230.583333333343</v>
      </c>
      <c r="L7">
        <v>1</v>
      </c>
      <c r="M7" s="3">
        <f t="shared" si="2"/>
        <v>7700</v>
      </c>
      <c r="N7" t="str">
        <f t="shared" si="3"/>
        <v>ставка</v>
      </c>
      <c r="O7" s="3">
        <f t="shared" si="4"/>
        <v>150.97999999999999</v>
      </c>
      <c r="P7" s="5">
        <v>46231.5</v>
      </c>
      <c r="Q7" t="s">
        <v>23</v>
      </c>
      <c r="R7" s="2" t="s">
        <v>58</v>
      </c>
      <c r="S7">
        <v>34</v>
      </c>
      <c r="T7">
        <v>1</v>
      </c>
    </row>
    <row r="8" spans="1:21" ht="30" x14ac:dyDescent="0.25">
      <c r="A8" t="s">
        <v>59</v>
      </c>
      <c r="B8">
        <v>1</v>
      </c>
      <c r="C8" s="2" t="s">
        <v>60</v>
      </c>
      <c r="D8" s="3">
        <v>7900</v>
      </c>
      <c r="E8" s="4">
        <v>0</v>
      </c>
      <c r="F8" t="s">
        <v>23</v>
      </c>
      <c r="G8" s="3">
        <f t="shared" si="0"/>
        <v>7900</v>
      </c>
      <c r="H8" s="3">
        <v>0</v>
      </c>
      <c r="I8" s="3">
        <f t="shared" si="1"/>
        <v>7900</v>
      </c>
      <c r="J8" s="2" t="s">
        <v>27</v>
      </c>
      <c r="K8" s="5">
        <v>46223.583333333343</v>
      </c>
      <c r="L8">
        <v>1</v>
      </c>
      <c r="M8" s="3">
        <f t="shared" si="2"/>
        <v>7900</v>
      </c>
      <c r="N8" t="str">
        <f t="shared" si="3"/>
        <v>ставка</v>
      </c>
      <c r="O8" s="3">
        <f t="shared" si="4"/>
        <v>154.9</v>
      </c>
      <c r="P8" s="5">
        <v>46224.5</v>
      </c>
      <c r="Q8" t="s">
        <v>23</v>
      </c>
      <c r="R8" s="2" t="s">
        <v>40</v>
      </c>
      <c r="S8">
        <v>36</v>
      </c>
      <c r="T8">
        <v>1</v>
      </c>
    </row>
    <row r="9" spans="1:21" x14ac:dyDescent="0.25">
      <c r="A9" t="s">
        <v>63</v>
      </c>
      <c r="B9">
        <v>1</v>
      </c>
      <c r="C9" s="2" t="s">
        <v>64</v>
      </c>
      <c r="D9" s="3">
        <v>29000</v>
      </c>
      <c r="E9" s="4">
        <v>0</v>
      </c>
      <c r="F9" t="s">
        <v>23</v>
      </c>
      <c r="G9" s="3">
        <f t="shared" si="0"/>
        <v>29000</v>
      </c>
      <c r="H9" s="3">
        <v>0</v>
      </c>
      <c r="I9" s="3">
        <f t="shared" si="1"/>
        <v>29000</v>
      </c>
      <c r="J9" s="2" t="s">
        <v>27</v>
      </c>
      <c r="K9" s="5">
        <v>46218.583333333343</v>
      </c>
      <c r="L9">
        <v>2</v>
      </c>
      <c r="M9" s="3">
        <f t="shared" si="2"/>
        <v>14500</v>
      </c>
      <c r="N9" t="str">
        <f t="shared" si="3"/>
        <v>ставка</v>
      </c>
      <c r="O9" s="3">
        <f t="shared" si="4"/>
        <v>568.63</v>
      </c>
      <c r="P9" s="5">
        <v>46220.5</v>
      </c>
      <c r="Q9" t="s">
        <v>23</v>
      </c>
      <c r="R9" s="2" t="s">
        <v>49</v>
      </c>
      <c r="S9">
        <v>11</v>
      </c>
      <c r="T9">
        <v>1</v>
      </c>
    </row>
    <row r="10" spans="1:21" ht="30" x14ac:dyDescent="0.25">
      <c r="A10" t="s">
        <v>65</v>
      </c>
      <c r="B10">
        <v>1</v>
      </c>
      <c r="C10" s="2" t="s">
        <v>66</v>
      </c>
      <c r="D10" s="3">
        <v>9534</v>
      </c>
      <c r="E10" s="4">
        <v>16</v>
      </c>
      <c r="F10" t="s">
        <v>36</v>
      </c>
      <c r="G10" s="3">
        <f t="shared" si="0"/>
        <v>11350</v>
      </c>
      <c r="H10" s="3">
        <v>0</v>
      </c>
      <c r="I10" s="3">
        <f t="shared" si="1"/>
        <v>11350</v>
      </c>
      <c r="J10" s="2" t="s">
        <v>27</v>
      </c>
      <c r="K10" s="5">
        <v>46247.583333333343</v>
      </c>
      <c r="L10">
        <v>1</v>
      </c>
      <c r="M10" s="3">
        <f t="shared" si="2"/>
        <v>11350</v>
      </c>
      <c r="N10" t="str">
        <f t="shared" si="3"/>
        <v>ставка</v>
      </c>
      <c r="O10" s="3">
        <f t="shared" si="4"/>
        <v>222.55</v>
      </c>
      <c r="P10" s="5">
        <v>46248.5</v>
      </c>
      <c r="Q10" t="s">
        <v>36</v>
      </c>
      <c r="R10" s="2" t="s">
        <v>40</v>
      </c>
      <c r="S10">
        <v>36</v>
      </c>
      <c r="T10">
        <v>1</v>
      </c>
    </row>
    <row r="11" spans="1:21" ht="30" x14ac:dyDescent="0.25">
      <c r="A11" t="s">
        <v>67</v>
      </c>
      <c r="B11">
        <v>1</v>
      </c>
      <c r="C11" s="2" t="s">
        <v>68</v>
      </c>
      <c r="D11" s="3">
        <v>9080</v>
      </c>
      <c r="E11" s="4">
        <v>20</v>
      </c>
      <c r="F11" t="s">
        <v>32</v>
      </c>
      <c r="G11" s="3">
        <f t="shared" si="0"/>
        <v>11350</v>
      </c>
      <c r="H11" s="3">
        <v>0</v>
      </c>
      <c r="I11" s="3">
        <f t="shared" si="1"/>
        <v>11350</v>
      </c>
      <c r="J11" s="2" t="s">
        <v>27</v>
      </c>
      <c r="K11" s="5">
        <v>46294.583333333343</v>
      </c>
      <c r="L11">
        <v>1</v>
      </c>
      <c r="M11" s="3">
        <f t="shared" si="2"/>
        <v>11350</v>
      </c>
      <c r="N11" t="str">
        <f t="shared" si="3"/>
        <v>ставка</v>
      </c>
      <c r="O11" s="3">
        <f t="shared" si="4"/>
        <v>222.55</v>
      </c>
      <c r="P11" s="5">
        <v>46295.5</v>
      </c>
      <c r="Q11" t="s">
        <v>32</v>
      </c>
      <c r="R11" s="2" t="s">
        <v>40</v>
      </c>
      <c r="S11">
        <v>22</v>
      </c>
      <c r="T11">
        <v>1</v>
      </c>
    </row>
    <row r="12" spans="1:21" x14ac:dyDescent="0.25">
      <c r="A12" t="s">
        <v>69</v>
      </c>
      <c r="B12">
        <v>1</v>
      </c>
      <c r="C12" s="2" t="s">
        <v>70</v>
      </c>
      <c r="D12" s="3">
        <v>23035</v>
      </c>
      <c r="E12" s="4">
        <v>15</v>
      </c>
      <c r="F12" t="s">
        <v>36</v>
      </c>
      <c r="G12" s="3">
        <f t="shared" si="0"/>
        <v>27100</v>
      </c>
      <c r="H12" s="3">
        <v>0</v>
      </c>
      <c r="I12" s="3">
        <f t="shared" si="1"/>
        <v>27100</v>
      </c>
      <c r="J12" s="2" t="s">
        <v>27</v>
      </c>
      <c r="K12" s="5">
        <v>46209.583333333343</v>
      </c>
      <c r="L12">
        <v>2</v>
      </c>
      <c r="M12" s="3">
        <f t="shared" si="2"/>
        <v>13550</v>
      </c>
      <c r="N12" t="str">
        <f t="shared" si="3"/>
        <v>ставка</v>
      </c>
      <c r="O12" s="3">
        <f t="shared" si="4"/>
        <v>531.37</v>
      </c>
      <c r="P12" s="5">
        <v>46211.5</v>
      </c>
      <c r="Q12" t="s">
        <v>36</v>
      </c>
      <c r="R12" s="2" t="s">
        <v>49</v>
      </c>
      <c r="S12">
        <v>25</v>
      </c>
      <c r="T12">
        <v>1</v>
      </c>
    </row>
    <row r="13" spans="1:21" ht="30" x14ac:dyDescent="0.25">
      <c r="A13" t="s">
        <v>71</v>
      </c>
      <c r="B13">
        <v>1</v>
      </c>
      <c r="C13" s="2" t="s">
        <v>72</v>
      </c>
      <c r="D13" s="3">
        <v>6545</v>
      </c>
      <c r="E13" s="4">
        <v>15</v>
      </c>
      <c r="F13" t="s">
        <v>73</v>
      </c>
      <c r="G13" s="3">
        <f t="shared" si="0"/>
        <v>7700</v>
      </c>
      <c r="H13" s="3">
        <v>0</v>
      </c>
      <c r="I13" s="3">
        <f t="shared" si="1"/>
        <v>7700</v>
      </c>
      <c r="J13" s="2" t="s">
        <v>27</v>
      </c>
      <c r="K13" s="5">
        <v>46271.583333333343</v>
      </c>
      <c r="L13">
        <v>1</v>
      </c>
      <c r="M13" s="3">
        <f t="shared" si="2"/>
        <v>7700</v>
      </c>
      <c r="N13" t="str">
        <f t="shared" si="3"/>
        <v>ставка</v>
      </c>
      <c r="O13" s="3">
        <f t="shared" si="4"/>
        <v>150.97999999999999</v>
      </c>
      <c r="P13" s="5">
        <v>46272.5</v>
      </c>
      <c r="Q13" t="s">
        <v>73</v>
      </c>
      <c r="R13" s="2" t="s">
        <v>58</v>
      </c>
      <c r="S13">
        <v>24</v>
      </c>
      <c r="T13">
        <v>1</v>
      </c>
    </row>
    <row r="14" spans="1:21" ht="30" x14ac:dyDescent="0.25">
      <c r="A14" t="s">
        <v>76</v>
      </c>
      <c r="B14">
        <v>1</v>
      </c>
      <c r="C14" s="2" t="s">
        <v>77</v>
      </c>
      <c r="D14" s="3">
        <v>10215</v>
      </c>
      <c r="E14" s="4">
        <v>0</v>
      </c>
      <c r="F14" t="s">
        <v>23</v>
      </c>
      <c r="G14" s="3">
        <f t="shared" si="0"/>
        <v>10215</v>
      </c>
      <c r="H14" s="3">
        <v>0</v>
      </c>
      <c r="I14" s="3">
        <f t="shared" si="1"/>
        <v>10215</v>
      </c>
      <c r="J14" s="2" t="s">
        <v>27</v>
      </c>
      <c r="K14" s="5">
        <v>46287.583333333343</v>
      </c>
      <c r="L14">
        <v>1</v>
      </c>
      <c r="M14" s="3">
        <f t="shared" si="2"/>
        <v>10215</v>
      </c>
      <c r="N14" t="str">
        <f t="shared" si="3"/>
        <v>ставка</v>
      </c>
      <c r="O14" s="3">
        <f t="shared" si="4"/>
        <v>200.29</v>
      </c>
      <c r="P14" s="5">
        <v>46288.5</v>
      </c>
      <c r="Q14" t="s">
        <v>23</v>
      </c>
      <c r="R14" s="2" t="s">
        <v>40</v>
      </c>
      <c r="S14">
        <v>36</v>
      </c>
      <c r="T14">
        <v>1</v>
      </c>
    </row>
    <row r="15" spans="1:21" ht="30" x14ac:dyDescent="0.25">
      <c r="A15" t="s">
        <v>78</v>
      </c>
      <c r="B15">
        <v>1</v>
      </c>
      <c r="C15" s="2" t="s">
        <v>79</v>
      </c>
      <c r="D15" s="3">
        <v>47670</v>
      </c>
      <c r="E15" s="4">
        <v>16</v>
      </c>
      <c r="F15" t="s">
        <v>36</v>
      </c>
      <c r="G15" s="3">
        <f>ROUND(D15/(100-E15)*100,2)</f>
        <v>56750</v>
      </c>
      <c r="H15" s="3">
        <v>8000</v>
      </c>
      <c r="I15" s="3">
        <f t="shared" si="1"/>
        <v>64750</v>
      </c>
      <c r="J15" s="2" t="s">
        <v>80</v>
      </c>
      <c r="K15" s="5">
        <v>46282.583333333343</v>
      </c>
      <c r="L15">
        <v>5</v>
      </c>
      <c r="M15" s="3">
        <v>11350</v>
      </c>
      <c r="N15" t="str">
        <f t="shared" si="3"/>
        <v>ставка</v>
      </c>
      <c r="O15" s="3">
        <f t="shared" si="4"/>
        <v>1269.6099999999999</v>
      </c>
      <c r="P15" s="5">
        <v>46287.5</v>
      </c>
      <c r="Q15" t="s">
        <v>36</v>
      </c>
      <c r="R15" s="2" t="s">
        <v>40</v>
      </c>
      <c r="S15">
        <v>42</v>
      </c>
      <c r="T15">
        <v>1</v>
      </c>
    </row>
    <row r="16" spans="1:21" ht="30" x14ac:dyDescent="0.25">
      <c r="A16" t="s">
        <v>83</v>
      </c>
      <c r="B16">
        <v>1</v>
      </c>
      <c r="C16" s="2" t="s">
        <v>84</v>
      </c>
      <c r="D16" s="3">
        <v>30322.6</v>
      </c>
      <c r="E16" s="4">
        <v>4</v>
      </c>
      <c r="F16" t="s">
        <v>55</v>
      </c>
      <c r="G16" s="3">
        <f t="shared" si="0"/>
        <v>31586.04</v>
      </c>
      <c r="H16" s="3">
        <v>0</v>
      </c>
      <c r="I16" s="3">
        <f t="shared" si="1"/>
        <v>31586.04</v>
      </c>
      <c r="J16" s="2" t="s">
        <v>27</v>
      </c>
      <c r="K16" s="5">
        <v>46209.583333333343</v>
      </c>
      <c r="L16">
        <v>2</v>
      </c>
      <c r="M16" s="18" t="s">
        <v>1959</v>
      </c>
      <c r="N16" t="str">
        <f t="shared" si="3"/>
        <v>ставка</v>
      </c>
      <c r="O16" s="3">
        <f t="shared" si="4"/>
        <v>619.33000000000004</v>
      </c>
      <c r="P16" s="5">
        <v>46211.5</v>
      </c>
      <c r="Q16" t="s">
        <v>55</v>
      </c>
      <c r="R16" s="2" t="s">
        <v>24</v>
      </c>
      <c r="S16">
        <v>21</v>
      </c>
      <c r="T16">
        <v>1</v>
      </c>
    </row>
    <row r="17" spans="1:20" ht="30" x14ac:dyDescent="0.25">
      <c r="A17" t="s">
        <v>90</v>
      </c>
      <c r="B17">
        <v>1</v>
      </c>
      <c r="C17" s="2" t="s">
        <v>91</v>
      </c>
      <c r="D17" s="3">
        <v>28560</v>
      </c>
      <c r="E17" s="4">
        <v>20</v>
      </c>
      <c r="F17" t="s">
        <v>32</v>
      </c>
      <c r="G17" s="3">
        <f t="shared" si="0"/>
        <v>35700</v>
      </c>
      <c r="H17" s="3">
        <v>0</v>
      </c>
      <c r="I17" s="3">
        <f t="shared" si="1"/>
        <v>35700</v>
      </c>
      <c r="J17" s="2" t="s">
        <v>27</v>
      </c>
      <c r="K17" s="5">
        <v>46211.583333333343</v>
      </c>
      <c r="L17">
        <v>3</v>
      </c>
      <c r="M17" s="3">
        <f t="shared" si="2"/>
        <v>11900</v>
      </c>
      <c r="N17" t="str">
        <f t="shared" si="3"/>
        <v>ставка</v>
      </c>
      <c r="O17" s="3">
        <f t="shared" si="4"/>
        <v>700</v>
      </c>
      <c r="P17" s="5">
        <v>46214.5</v>
      </c>
      <c r="Q17" t="s">
        <v>32</v>
      </c>
      <c r="R17" s="2" t="s">
        <v>24</v>
      </c>
      <c r="S17">
        <v>31</v>
      </c>
      <c r="T17">
        <v>1</v>
      </c>
    </row>
    <row r="18" spans="1:20" ht="30" x14ac:dyDescent="0.25">
      <c r="A18" t="s">
        <v>94</v>
      </c>
      <c r="B18">
        <v>1</v>
      </c>
      <c r="C18" s="2" t="s">
        <v>93</v>
      </c>
      <c r="D18" s="3">
        <v>8900</v>
      </c>
      <c r="E18" s="4">
        <v>0</v>
      </c>
      <c r="F18" t="s">
        <v>23</v>
      </c>
      <c r="G18" s="3">
        <f t="shared" si="0"/>
        <v>8900</v>
      </c>
      <c r="H18" s="3">
        <v>0</v>
      </c>
      <c r="I18" s="3">
        <f t="shared" si="1"/>
        <v>8900</v>
      </c>
      <c r="J18" s="2" t="s">
        <v>27</v>
      </c>
      <c r="K18" s="5">
        <v>46229.583333333343</v>
      </c>
      <c r="L18">
        <v>1</v>
      </c>
      <c r="M18" s="3">
        <f t="shared" si="2"/>
        <v>8900</v>
      </c>
      <c r="N18" t="str">
        <f t="shared" si="3"/>
        <v>ставка</v>
      </c>
      <c r="O18" s="3">
        <f t="shared" si="4"/>
        <v>174.51</v>
      </c>
      <c r="P18" s="5">
        <v>46230.5</v>
      </c>
      <c r="Q18" t="s">
        <v>23</v>
      </c>
      <c r="R18" s="2" t="s">
        <v>40</v>
      </c>
      <c r="S18">
        <v>23</v>
      </c>
      <c r="T18">
        <v>1</v>
      </c>
    </row>
    <row r="19" spans="1:20" ht="30" x14ac:dyDescent="0.25">
      <c r="A19" t="s">
        <v>95</v>
      </c>
      <c r="B19">
        <v>1</v>
      </c>
      <c r="C19" s="2" t="s">
        <v>96</v>
      </c>
      <c r="D19" s="3">
        <v>45390</v>
      </c>
      <c r="E19" s="4">
        <v>15</v>
      </c>
      <c r="F19" t="s">
        <v>36</v>
      </c>
      <c r="G19" s="3">
        <f t="shared" si="0"/>
        <v>53400</v>
      </c>
      <c r="H19" s="3">
        <v>0</v>
      </c>
      <c r="I19" s="3">
        <f t="shared" si="1"/>
        <v>53400</v>
      </c>
      <c r="J19" s="2" t="s">
        <v>27</v>
      </c>
      <c r="K19" s="5">
        <v>46218.583333333343</v>
      </c>
      <c r="L19">
        <v>4</v>
      </c>
      <c r="M19" s="3">
        <f t="shared" si="2"/>
        <v>13350</v>
      </c>
      <c r="N19" t="str">
        <f t="shared" si="3"/>
        <v>ставка</v>
      </c>
      <c r="O19" s="3">
        <f t="shared" si="4"/>
        <v>1047.06</v>
      </c>
      <c r="P19" s="5">
        <v>46222.5</v>
      </c>
      <c r="Q19" t="s">
        <v>36</v>
      </c>
      <c r="R19" s="2" t="s">
        <v>40</v>
      </c>
      <c r="S19">
        <v>22</v>
      </c>
      <c r="T19">
        <v>1</v>
      </c>
    </row>
    <row r="20" spans="1:20" ht="30" x14ac:dyDescent="0.25">
      <c r="A20" t="s">
        <v>99</v>
      </c>
      <c r="B20">
        <v>1</v>
      </c>
      <c r="C20" s="2" t="s">
        <v>100</v>
      </c>
      <c r="D20" s="3">
        <v>15800</v>
      </c>
      <c r="E20" s="4">
        <v>0</v>
      </c>
      <c r="F20" t="s">
        <v>23</v>
      </c>
      <c r="G20" s="3">
        <f t="shared" si="0"/>
        <v>15800</v>
      </c>
      <c r="H20" s="3">
        <v>0</v>
      </c>
      <c r="I20" s="3">
        <f t="shared" si="1"/>
        <v>15800</v>
      </c>
      <c r="J20" s="2" t="s">
        <v>27</v>
      </c>
      <c r="K20" s="5">
        <v>46273.583333333343</v>
      </c>
      <c r="L20">
        <v>2</v>
      </c>
      <c r="M20" s="3">
        <f t="shared" si="2"/>
        <v>7900</v>
      </c>
      <c r="N20" t="str">
        <f t="shared" si="3"/>
        <v>ставка</v>
      </c>
      <c r="O20" s="3">
        <f t="shared" si="4"/>
        <v>309.8</v>
      </c>
      <c r="P20" s="5">
        <v>46275.5</v>
      </c>
      <c r="Q20" t="s">
        <v>23</v>
      </c>
      <c r="R20" s="2" t="s">
        <v>33</v>
      </c>
      <c r="S20">
        <v>47</v>
      </c>
      <c r="T20">
        <v>1</v>
      </c>
    </row>
    <row r="21" spans="1:20" ht="30" x14ac:dyDescent="0.25">
      <c r="A21" t="s">
        <v>101</v>
      </c>
      <c r="B21">
        <v>1</v>
      </c>
      <c r="C21" s="2" t="s">
        <v>102</v>
      </c>
      <c r="D21" s="3">
        <v>9080</v>
      </c>
      <c r="E21" s="4">
        <v>20</v>
      </c>
      <c r="F21" t="s">
        <v>103</v>
      </c>
      <c r="G21" s="3">
        <f t="shared" si="0"/>
        <v>11350</v>
      </c>
      <c r="H21" s="3">
        <v>0</v>
      </c>
      <c r="I21" s="3">
        <f t="shared" si="1"/>
        <v>11350</v>
      </c>
      <c r="J21" s="2" t="s">
        <v>27</v>
      </c>
      <c r="K21" s="5">
        <v>46219.583333333343</v>
      </c>
      <c r="L21">
        <v>1</v>
      </c>
      <c r="M21" s="3">
        <f t="shared" si="2"/>
        <v>11350</v>
      </c>
      <c r="N21" t="str">
        <f t="shared" si="3"/>
        <v>ставка</v>
      </c>
      <c r="O21" s="3">
        <f t="shared" si="4"/>
        <v>222.55</v>
      </c>
      <c r="P21" s="5">
        <v>46220.5</v>
      </c>
      <c r="Q21" t="s">
        <v>103</v>
      </c>
      <c r="R21" s="2" t="s">
        <v>40</v>
      </c>
      <c r="S21">
        <v>46</v>
      </c>
      <c r="T21">
        <v>1</v>
      </c>
    </row>
    <row r="22" spans="1:20" ht="30" x14ac:dyDescent="0.25">
      <c r="A22" t="s">
        <v>104</v>
      </c>
      <c r="B22">
        <v>1</v>
      </c>
      <c r="C22" s="2" t="s">
        <v>105</v>
      </c>
      <c r="D22" s="3">
        <v>7110</v>
      </c>
      <c r="E22" s="4">
        <v>0</v>
      </c>
      <c r="F22" t="s">
        <v>23</v>
      </c>
      <c r="G22" s="3">
        <f t="shared" si="0"/>
        <v>7110</v>
      </c>
      <c r="H22" s="3">
        <v>0</v>
      </c>
      <c r="I22" s="3">
        <f t="shared" si="1"/>
        <v>7110</v>
      </c>
      <c r="J22" s="2" t="s">
        <v>27</v>
      </c>
      <c r="K22" s="5">
        <v>46257.583333333343</v>
      </c>
      <c r="L22">
        <v>1</v>
      </c>
      <c r="M22" s="3">
        <f t="shared" si="2"/>
        <v>7110</v>
      </c>
      <c r="N22" t="str">
        <f t="shared" si="3"/>
        <v>ставка</v>
      </c>
      <c r="O22" s="3">
        <f t="shared" si="4"/>
        <v>139.41</v>
      </c>
      <c r="P22" s="5">
        <v>46258.583333333343</v>
      </c>
      <c r="Q22" t="s">
        <v>23</v>
      </c>
      <c r="R22" s="2" t="s">
        <v>33</v>
      </c>
      <c r="S22">
        <v>45</v>
      </c>
      <c r="T22">
        <v>1</v>
      </c>
    </row>
    <row r="23" spans="1:20" ht="30" x14ac:dyDescent="0.25">
      <c r="A23" t="s">
        <v>104</v>
      </c>
      <c r="B23">
        <v>1</v>
      </c>
      <c r="C23" s="2" t="s">
        <v>105</v>
      </c>
      <c r="D23" s="3">
        <v>21330</v>
      </c>
      <c r="E23" s="4">
        <v>0</v>
      </c>
      <c r="F23" t="s">
        <v>23</v>
      </c>
      <c r="G23" s="3">
        <f t="shared" si="0"/>
        <v>21330</v>
      </c>
      <c r="H23" s="3">
        <v>0</v>
      </c>
      <c r="I23" s="3">
        <f t="shared" si="1"/>
        <v>21330</v>
      </c>
      <c r="J23" s="2" t="s">
        <v>27</v>
      </c>
      <c r="K23" s="5">
        <v>46258.583333333343</v>
      </c>
      <c r="L23">
        <v>3</v>
      </c>
      <c r="M23" s="3">
        <f t="shared" si="2"/>
        <v>7110</v>
      </c>
      <c r="N23" t="str">
        <f t="shared" si="3"/>
        <v>ставка</v>
      </c>
      <c r="O23" s="3">
        <f t="shared" si="4"/>
        <v>418.24</v>
      </c>
      <c r="P23" s="5">
        <v>46261.5</v>
      </c>
      <c r="Q23" t="s">
        <v>23</v>
      </c>
      <c r="R23" s="2" t="s">
        <v>24</v>
      </c>
      <c r="S23">
        <v>31</v>
      </c>
      <c r="T23">
        <v>1</v>
      </c>
    </row>
    <row r="24" spans="1:20" x14ac:dyDescent="0.25">
      <c r="A24" t="s">
        <v>108</v>
      </c>
      <c r="B24">
        <v>1</v>
      </c>
      <c r="C24" s="2" t="s">
        <v>109</v>
      </c>
      <c r="D24" s="3">
        <v>12325</v>
      </c>
      <c r="E24" s="4">
        <v>15</v>
      </c>
      <c r="F24" t="s">
        <v>110</v>
      </c>
      <c r="G24" s="3">
        <f t="shared" si="0"/>
        <v>14500</v>
      </c>
      <c r="H24" s="3">
        <v>0</v>
      </c>
      <c r="I24" s="3">
        <f t="shared" si="1"/>
        <v>14500</v>
      </c>
      <c r="J24" s="2" t="s">
        <v>27</v>
      </c>
      <c r="K24" s="5">
        <v>46285.583333333343</v>
      </c>
      <c r="L24">
        <v>1</v>
      </c>
      <c r="M24" s="3">
        <f t="shared" si="2"/>
        <v>14500</v>
      </c>
      <c r="N24" t="str">
        <f t="shared" si="3"/>
        <v>ставка</v>
      </c>
      <c r="O24" s="3">
        <f t="shared" si="4"/>
        <v>284.31</v>
      </c>
      <c r="P24" s="5">
        <v>46286.5</v>
      </c>
      <c r="Q24" t="s">
        <v>110</v>
      </c>
      <c r="R24" s="2" t="s">
        <v>49</v>
      </c>
      <c r="S24">
        <v>25</v>
      </c>
      <c r="T24">
        <v>1</v>
      </c>
    </row>
    <row r="25" spans="1:20" ht="30" x14ac:dyDescent="0.25">
      <c r="A25" t="s">
        <v>111</v>
      </c>
      <c r="B25">
        <v>1</v>
      </c>
      <c r="C25" s="2" t="s">
        <v>112</v>
      </c>
      <c r="D25" s="3">
        <v>6160</v>
      </c>
      <c r="E25" s="4">
        <v>20</v>
      </c>
      <c r="F25" t="s">
        <v>103</v>
      </c>
      <c r="G25" s="3">
        <f t="shared" si="0"/>
        <v>7700</v>
      </c>
      <c r="H25" s="3">
        <v>0</v>
      </c>
      <c r="I25" s="3">
        <f t="shared" si="1"/>
        <v>7700</v>
      </c>
      <c r="J25" s="2" t="s">
        <v>27</v>
      </c>
      <c r="K25" s="5">
        <v>46240.583333333343</v>
      </c>
      <c r="L25">
        <v>1</v>
      </c>
      <c r="M25" s="3">
        <f t="shared" si="2"/>
        <v>7700</v>
      </c>
      <c r="N25" t="str">
        <f t="shared" si="3"/>
        <v>ставка</v>
      </c>
      <c r="O25" s="3">
        <f t="shared" si="4"/>
        <v>150.97999999999999</v>
      </c>
      <c r="P25" s="5">
        <v>46241.5</v>
      </c>
      <c r="Q25" t="s">
        <v>103</v>
      </c>
      <c r="R25" s="2" t="s">
        <v>58</v>
      </c>
      <c r="S25">
        <v>24</v>
      </c>
      <c r="T25">
        <v>1</v>
      </c>
    </row>
    <row r="26" spans="1:20" ht="30" x14ac:dyDescent="0.25">
      <c r="A26" t="s">
        <v>116</v>
      </c>
      <c r="B26">
        <v>1</v>
      </c>
      <c r="C26" s="2" t="s">
        <v>117</v>
      </c>
      <c r="D26" s="3">
        <v>22695</v>
      </c>
      <c r="E26" s="4">
        <v>16</v>
      </c>
      <c r="F26" t="s">
        <v>36</v>
      </c>
      <c r="G26" s="3">
        <f t="shared" si="0"/>
        <v>27017.86</v>
      </c>
      <c r="H26" s="3">
        <v>0</v>
      </c>
      <c r="I26" s="3">
        <f t="shared" si="1"/>
        <v>27017.86</v>
      </c>
      <c r="J26" s="2" t="s">
        <v>27</v>
      </c>
      <c r="K26" s="5">
        <v>46271.583333333343</v>
      </c>
      <c r="L26">
        <v>2</v>
      </c>
      <c r="M26" s="3">
        <f t="shared" si="2"/>
        <v>13508.93</v>
      </c>
      <c r="N26" t="str">
        <f t="shared" si="3"/>
        <v>ставка</v>
      </c>
      <c r="O26" s="3">
        <f t="shared" si="4"/>
        <v>529.76</v>
      </c>
      <c r="P26" s="5">
        <v>46273.5</v>
      </c>
      <c r="Q26" t="s">
        <v>36</v>
      </c>
      <c r="R26" s="2" t="s">
        <v>40</v>
      </c>
      <c r="S26">
        <v>32</v>
      </c>
      <c r="T26">
        <v>1</v>
      </c>
    </row>
    <row r="27" spans="1:20" ht="30" x14ac:dyDescent="0.25">
      <c r="A27" t="s">
        <v>122</v>
      </c>
      <c r="B27">
        <v>1</v>
      </c>
      <c r="C27" s="2" t="s">
        <v>123</v>
      </c>
      <c r="D27" s="3">
        <v>39849.75</v>
      </c>
      <c r="E27" s="4">
        <v>4</v>
      </c>
      <c r="F27" t="s">
        <v>55</v>
      </c>
      <c r="G27" s="3">
        <f t="shared" si="0"/>
        <v>41510.160000000003</v>
      </c>
      <c r="H27" s="3">
        <v>0</v>
      </c>
      <c r="I27" s="3">
        <f t="shared" si="1"/>
        <v>41510.160000000003</v>
      </c>
      <c r="J27" s="2" t="s">
        <v>27</v>
      </c>
      <c r="K27" s="5">
        <v>46284.583333333343</v>
      </c>
      <c r="L27">
        <v>3</v>
      </c>
      <c r="M27" s="3">
        <f t="shared" si="2"/>
        <v>13836.720000000001</v>
      </c>
      <c r="N27" t="str">
        <f t="shared" si="3"/>
        <v>ставка</v>
      </c>
      <c r="O27" s="3">
        <f t="shared" si="4"/>
        <v>813.92</v>
      </c>
      <c r="P27" s="5">
        <v>46287.5</v>
      </c>
      <c r="Q27" t="s">
        <v>55</v>
      </c>
      <c r="R27" s="2" t="s">
        <v>40</v>
      </c>
      <c r="S27">
        <v>36</v>
      </c>
      <c r="T27">
        <v>1</v>
      </c>
    </row>
    <row r="28" spans="1:20" ht="30" x14ac:dyDescent="0.25">
      <c r="A28" t="s">
        <v>128</v>
      </c>
      <c r="B28">
        <v>1</v>
      </c>
      <c r="C28" s="2" t="s">
        <v>129</v>
      </c>
      <c r="D28" s="3">
        <v>63910</v>
      </c>
      <c r="E28" s="4">
        <v>17</v>
      </c>
      <c r="F28" t="s">
        <v>130</v>
      </c>
      <c r="G28" s="3">
        <f t="shared" si="0"/>
        <v>77000</v>
      </c>
      <c r="H28" s="3">
        <v>0</v>
      </c>
      <c r="I28" s="3">
        <f t="shared" si="1"/>
        <v>77000</v>
      </c>
      <c r="J28" s="2" t="s">
        <v>27</v>
      </c>
      <c r="K28" s="5">
        <v>46212.583333333343</v>
      </c>
      <c r="L28">
        <v>5</v>
      </c>
      <c r="M28" s="3">
        <f t="shared" si="2"/>
        <v>15400</v>
      </c>
      <c r="N28" t="str">
        <f t="shared" si="3"/>
        <v>ставка</v>
      </c>
      <c r="O28" s="3">
        <f t="shared" si="4"/>
        <v>1509.8</v>
      </c>
      <c r="P28" s="5">
        <v>46217.5</v>
      </c>
      <c r="Q28" t="s">
        <v>130</v>
      </c>
      <c r="R28" s="2" t="s">
        <v>24</v>
      </c>
      <c r="S28">
        <v>21</v>
      </c>
      <c r="T28">
        <v>1</v>
      </c>
    </row>
    <row r="29" spans="1:20" ht="30" x14ac:dyDescent="0.25">
      <c r="A29" t="s">
        <v>137</v>
      </c>
      <c r="B29">
        <v>1</v>
      </c>
      <c r="C29" s="2" t="s">
        <v>138</v>
      </c>
      <c r="D29" s="3">
        <v>26286.15</v>
      </c>
      <c r="E29" s="4">
        <v>4</v>
      </c>
      <c r="F29" t="s">
        <v>55</v>
      </c>
      <c r="G29" s="3">
        <f t="shared" si="0"/>
        <v>27381.41</v>
      </c>
      <c r="H29" s="3">
        <v>0</v>
      </c>
      <c r="I29" s="3">
        <f t="shared" si="1"/>
        <v>27381.41</v>
      </c>
      <c r="J29" s="2" t="s">
        <v>27</v>
      </c>
      <c r="K29" s="5">
        <v>46206.583333333343</v>
      </c>
      <c r="L29">
        <v>2</v>
      </c>
      <c r="M29" s="3">
        <f t="shared" si="2"/>
        <v>13690.705</v>
      </c>
      <c r="N29" t="str">
        <f t="shared" si="3"/>
        <v>ставка</v>
      </c>
      <c r="O29" s="3">
        <f t="shared" si="4"/>
        <v>536.89</v>
      </c>
      <c r="P29" s="5">
        <v>46208.5</v>
      </c>
      <c r="Q29" t="s">
        <v>55</v>
      </c>
      <c r="R29" s="2" t="s">
        <v>40</v>
      </c>
      <c r="S29">
        <v>42</v>
      </c>
      <c r="T29">
        <v>1</v>
      </c>
    </row>
    <row r="30" spans="1:20" ht="30" x14ac:dyDescent="0.25">
      <c r="A30" t="s">
        <v>141</v>
      </c>
      <c r="B30">
        <v>1</v>
      </c>
      <c r="C30" s="2" t="s">
        <v>142</v>
      </c>
      <c r="D30" s="3">
        <v>11347.5</v>
      </c>
      <c r="E30" s="4">
        <v>15</v>
      </c>
      <c r="F30" t="s">
        <v>36</v>
      </c>
      <c r="G30" s="3">
        <f t="shared" si="0"/>
        <v>13350</v>
      </c>
      <c r="H30" s="3">
        <v>0</v>
      </c>
      <c r="I30" s="3">
        <f t="shared" si="1"/>
        <v>13350</v>
      </c>
      <c r="J30" s="2" t="s">
        <v>27</v>
      </c>
      <c r="K30" s="5">
        <v>46217.583333333343</v>
      </c>
      <c r="L30">
        <v>1</v>
      </c>
      <c r="M30" s="3">
        <f t="shared" si="2"/>
        <v>13350</v>
      </c>
      <c r="N30" t="str">
        <f t="shared" si="3"/>
        <v>ставка</v>
      </c>
      <c r="O30" s="3">
        <f t="shared" si="4"/>
        <v>261.76</v>
      </c>
      <c r="P30" s="5">
        <v>46218.5</v>
      </c>
      <c r="Q30" t="s">
        <v>36</v>
      </c>
      <c r="R30" s="2" t="s">
        <v>40</v>
      </c>
      <c r="S30">
        <v>42</v>
      </c>
      <c r="T30">
        <v>1</v>
      </c>
    </row>
    <row r="31" spans="1:20" ht="30" x14ac:dyDescent="0.25">
      <c r="A31" t="s">
        <v>148</v>
      </c>
      <c r="B31">
        <v>1</v>
      </c>
      <c r="C31" s="2" t="s">
        <v>149</v>
      </c>
      <c r="D31" s="3">
        <v>6320</v>
      </c>
      <c r="E31" s="4">
        <v>20</v>
      </c>
      <c r="F31" t="s">
        <v>32</v>
      </c>
      <c r="G31" s="3">
        <f t="shared" si="0"/>
        <v>7900</v>
      </c>
      <c r="H31" s="3">
        <v>0</v>
      </c>
      <c r="I31" s="3">
        <f t="shared" si="1"/>
        <v>7900</v>
      </c>
      <c r="J31" s="2" t="s">
        <v>27</v>
      </c>
      <c r="K31" s="5">
        <v>46217.583333333343</v>
      </c>
      <c r="L31">
        <v>1</v>
      </c>
      <c r="M31" s="3">
        <f t="shared" si="2"/>
        <v>7900</v>
      </c>
      <c r="N31" t="str">
        <f t="shared" si="3"/>
        <v>ставка</v>
      </c>
      <c r="O31" s="3">
        <f t="shared" si="4"/>
        <v>154.9</v>
      </c>
      <c r="P31" s="5">
        <v>46218.5</v>
      </c>
      <c r="Q31" t="s">
        <v>32</v>
      </c>
      <c r="R31" s="2" t="s">
        <v>33</v>
      </c>
      <c r="S31">
        <v>43</v>
      </c>
      <c r="T31">
        <v>1</v>
      </c>
    </row>
    <row r="32" spans="1:20" ht="30" x14ac:dyDescent="0.25">
      <c r="A32" t="s">
        <v>150</v>
      </c>
      <c r="B32">
        <v>1</v>
      </c>
      <c r="C32" s="2" t="s">
        <v>151</v>
      </c>
      <c r="D32" s="3">
        <v>23760</v>
      </c>
      <c r="E32" s="4">
        <v>20</v>
      </c>
      <c r="F32" t="s">
        <v>32</v>
      </c>
      <c r="G32" s="3">
        <f t="shared" si="0"/>
        <v>29700</v>
      </c>
      <c r="H32" s="3">
        <v>0</v>
      </c>
      <c r="I32" s="3">
        <f t="shared" si="1"/>
        <v>29700</v>
      </c>
      <c r="J32" s="2" t="s">
        <v>27</v>
      </c>
      <c r="K32" s="5">
        <v>46232.583333333343</v>
      </c>
      <c r="L32">
        <v>3</v>
      </c>
      <c r="M32" s="3">
        <f t="shared" si="2"/>
        <v>9900</v>
      </c>
      <c r="N32" t="str">
        <f t="shared" si="3"/>
        <v>ставка</v>
      </c>
      <c r="O32" s="3">
        <f t="shared" si="4"/>
        <v>582.35</v>
      </c>
      <c r="P32" s="5">
        <v>46235.5</v>
      </c>
      <c r="Q32" t="s">
        <v>32</v>
      </c>
      <c r="R32" s="2" t="s">
        <v>33</v>
      </c>
      <c r="S32">
        <v>45</v>
      </c>
      <c r="T32">
        <v>1</v>
      </c>
    </row>
    <row r="33" spans="1:20" ht="30" x14ac:dyDescent="0.25">
      <c r="A33" t="s">
        <v>152</v>
      </c>
      <c r="B33">
        <v>1</v>
      </c>
      <c r="C33" s="2" t="s">
        <v>153</v>
      </c>
      <c r="D33" s="3">
        <v>24640</v>
      </c>
      <c r="E33" s="4">
        <v>20</v>
      </c>
      <c r="F33" t="s">
        <v>32</v>
      </c>
      <c r="G33" s="3">
        <f t="shared" si="0"/>
        <v>30800</v>
      </c>
      <c r="H33" s="3">
        <v>0</v>
      </c>
      <c r="I33" s="3">
        <f t="shared" si="1"/>
        <v>30800</v>
      </c>
      <c r="J33" s="2" t="s">
        <v>27</v>
      </c>
      <c r="K33" s="5">
        <v>46289.583333333343</v>
      </c>
      <c r="L33">
        <v>2</v>
      </c>
      <c r="M33" s="3">
        <f t="shared" si="2"/>
        <v>15400</v>
      </c>
      <c r="N33" t="str">
        <f t="shared" si="3"/>
        <v>ставка</v>
      </c>
      <c r="O33" s="3">
        <f t="shared" si="4"/>
        <v>603.91999999999996</v>
      </c>
      <c r="P33" s="5">
        <v>46291.5</v>
      </c>
      <c r="Q33" t="s">
        <v>32</v>
      </c>
      <c r="R33" s="2" t="s">
        <v>24</v>
      </c>
      <c r="S33">
        <v>21</v>
      </c>
      <c r="T33">
        <v>1</v>
      </c>
    </row>
    <row r="34" spans="1:20" ht="30" x14ac:dyDescent="0.25">
      <c r="A34" t="s">
        <v>154</v>
      </c>
      <c r="B34">
        <v>1</v>
      </c>
      <c r="C34" s="2" t="s">
        <v>155</v>
      </c>
      <c r="D34" s="3">
        <v>49193.1</v>
      </c>
      <c r="E34" s="4">
        <v>4</v>
      </c>
      <c r="F34" t="s">
        <v>55</v>
      </c>
      <c r="G34" s="3">
        <f t="shared" si="0"/>
        <v>51242.81</v>
      </c>
      <c r="H34" s="3">
        <v>0</v>
      </c>
      <c r="I34" s="3">
        <f t="shared" si="1"/>
        <v>51242.81</v>
      </c>
      <c r="J34" s="2" t="s">
        <v>27</v>
      </c>
      <c r="K34" s="5">
        <v>46219.583333333343</v>
      </c>
      <c r="L34">
        <v>5</v>
      </c>
      <c r="M34" s="3">
        <f t="shared" si="2"/>
        <v>10248.562</v>
      </c>
      <c r="N34" t="str">
        <f t="shared" si="3"/>
        <v>ставка</v>
      </c>
      <c r="O34" s="3">
        <f t="shared" si="4"/>
        <v>1004.76</v>
      </c>
      <c r="P34" s="5">
        <v>46224.5</v>
      </c>
      <c r="Q34" t="s">
        <v>55</v>
      </c>
      <c r="R34" s="2" t="s">
        <v>33</v>
      </c>
      <c r="S34">
        <v>41</v>
      </c>
      <c r="T34">
        <v>1</v>
      </c>
    </row>
    <row r="35" spans="1:20" ht="30" x14ac:dyDescent="0.25">
      <c r="A35" t="s">
        <v>156</v>
      </c>
      <c r="B35">
        <v>1</v>
      </c>
      <c r="C35" s="2" t="s">
        <v>157</v>
      </c>
      <c r="D35" s="3">
        <v>9751.5</v>
      </c>
      <c r="E35" s="4">
        <v>4</v>
      </c>
      <c r="F35" t="s">
        <v>55</v>
      </c>
      <c r="G35" s="3">
        <f t="shared" si="0"/>
        <v>10157.81</v>
      </c>
      <c r="H35" s="3">
        <v>0</v>
      </c>
      <c r="I35" s="3">
        <f t="shared" si="1"/>
        <v>10157.81</v>
      </c>
      <c r="J35" s="2" t="s">
        <v>27</v>
      </c>
      <c r="K35" s="5">
        <v>46246.583333333343</v>
      </c>
      <c r="L35">
        <v>1</v>
      </c>
      <c r="M35" s="3">
        <f t="shared" si="2"/>
        <v>10157.81</v>
      </c>
      <c r="N35" t="str">
        <f t="shared" si="3"/>
        <v>ставка</v>
      </c>
      <c r="O35" s="3">
        <f t="shared" si="4"/>
        <v>199.17</v>
      </c>
      <c r="P35" s="5">
        <v>46247.5</v>
      </c>
      <c r="Q35" t="s">
        <v>55</v>
      </c>
      <c r="R35" s="2" t="s">
        <v>33</v>
      </c>
      <c r="S35">
        <v>41</v>
      </c>
      <c r="T35">
        <v>1</v>
      </c>
    </row>
    <row r="36" spans="1:20" ht="30" x14ac:dyDescent="0.25">
      <c r="A36" t="s">
        <v>158</v>
      </c>
      <c r="B36">
        <v>1</v>
      </c>
      <c r="C36" s="2" t="s">
        <v>159</v>
      </c>
      <c r="D36" s="3">
        <v>8900</v>
      </c>
      <c r="E36" s="4">
        <v>0</v>
      </c>
      <c r="F36" t="s">
        <v>23</v>
      </c>
      <c r="G36" s="3">
        <f t="shared" si="0"/>
        <v>8900</v>
      </c>
      <c r="H36" s="3">
        <v>0</v>
      </c>
      <c r="I36" s="3">
        <f t="shared" si="1"/>
        <v>8900</v>
      </c>
      <c r="J36" s="2" t="s">
        <v>27</v>
      </c>
      <c r="K36" s="5">
        <v>46230.583333333343</v>
      </c>
      <c r="L36">
        <v>1</v>
      </c>
      <c r="M36" s="3">
        <f t="shared" si="2"/>
        <v>8900</v>
      </c>
      <c r="N36" t="str">
        <f t="shared" si="3"/>
        <v>ставка</v>
      </c>
      <c r="O36" s="3">
        <f t="shared" si="4"/>
        <v>174.51</v>
      </c>
      <c r="P36" s="5">
        <v>46231.5</v>
      </c>
      <c r="Q36" t="s">
        <v>23</v>
      </c>
      <c r="R36" s="2" t="s">
        <v>40</v>
      </c>
      <c r="S36">
        <v>22</v>
      </c>
      <c r="T36">
        <v>1</v>
      </c>
    </row>
    <row r="37" spans="1:20" ht="30" x14ac:dyDescent="0.25">
      <c r="A37" t="s">
        <v>160</v>
      </c>
      <c r="B37">
        <v>1</v>
      </c>
      <c r="C37" s="2" t="s">
        <v>159</v>
      </c>
      <c r="D37" s="3">
        <v>13400</v>
      </c>
      <c r="E37" s="4">
        <v>0</v>
      </c>
      <c r="F37" t="s">
        <v>23</v>
      </c>
      <c r="G37" s="3">
        <f t="shared" si="0"/>
        <v>13400</v>
      </c>
      <c r="H37" s="3">
        <v>0</v>
      </c>
      <c r="I37" s="3">
        <f t="shared" si="1"/>
        <v>13400</v>
      </c>
      <c r="J37" s="2" t="s">
        <v>27</v>
      </c>
      <c r="K37" s="5">
        <v>46295.583333333343</v>
      </c>
      <c r="L37">
        <v>1</v>
      </c>
      <c r="M37" s="3">
        <f t="shared" si="2"/>
        <v>13400</v>
      </c>
      <c r="N37" t="str">
        <f t="shared" si="3"/>
        <v>ставка</v>
      </c>
      <c r="O37" s="3">
        <f t="shared" si="4"/>
        <v>262.75</v>
      </c>
      <c r="P37" s="5">
        <v>46296.5</v>
      </c>
      <c r="Q37" t="s">
        <v>23</v>
      </c>
      <c r="R37" s="2" t="s">
        <v>24</v>
      </c>
      <c r="S37">
        <v>31</v>
      </c>
      <c r="T37">
        <v>1</v>
      </c>
    </row>
    <row r="38" spans="1:20" ht="30" x14ac:dyDescent="0.25">
      <c r="A38" t="s">
        <v>161</v>
      </c>
      <c r="B38">
        <v>1</v>
      </c>
      <c r="C38" s="2" t="s">
        <v>162</v>
      </c>
      <c r="D38" s="3">
        <v>9080</v>
      </c>
      <c r="E38" s="4">
        <v>20</v>
      </c>
      <c r="F38" t="s">
        <v>48</v>
      </c>
      <c r="G38" s="3">
        <f t="shared" si="0"/>
        <v>11350</v>
      </c>
      <c r="H38" s="3">
        <v>5675</v>
      </c>
      <c r="I38" s="3">
        <f t="shared" si="1"/>
        <v>17025</v>
      </c>
      <c r="J38" s="2" t="s">
        <v>163</v>
      </c>
      <c r="K38" s="5">
        <v>46285.583333333343</v>
      </c>
      <c r="L38">
        <v>1</v>
      </c>
      <c r="M38" s="3">
        <f t="shared" si="2"/>
        <v>17025</v>
      </c>
      <c r="N38" t="str">
        <f t="shared" si="3"/>
        <v>ставка</v>
      </c>
      <c r="O38" s="3">
        <f t="shared" si="4"/>
        <v>333.82</v>
      </c>
      <c r="P38" s="5">
        <v>46286.75</v>
      </c>
      <c r="Q38" t="s">
        <v>48</v>
      </c>
      <c r="R38" s="2" t="s">
        <v>40</v>
      </c>
      <c r="S38">
        <v>22</v>
      </c>
      <c r="T38">
        <v>1</v>
      </c>
    </row>
    <row r="39" spans="1:20" ht="30" x14ac:dyDescent="0.25">
      <c r="A39" t="s">
        <v>174</v>
      </c>
      <c r="B39">
        <v>1</v>
      </c>
      <c r="C39" s="2" t="s">
        <v>175</v>
      </c>
      <c r="D39" s="3">
        <v>30800</v>
      </c>
      <c r="E39" s="4">
        <v>20</v>
      </c>
      <c r="F39" t="s">
        <v>32</v>
      </c>
      <c r="G39" s="3">
        <f t="shared" si="0"/>
        <v>38500</v>
      </c>
      <c r="H39" s="3">
        <v>0</v>
      </c>
      <c r="I39" s="3">
        <f t="shared" si="1"/>
        <v>38500</v>
      </c>
      <c r="J39" s="2" t="s">
        <v>27</v>
      </c>
      <c r="K39" s="5">
        <v>46285.583333333343</v>
      </c>
      <c r="L39">
        <v>5</v>
      </c>
      <c r="M39" s="3">
        <f t="shared" si="2"/>
        <v>7700</v>
      </c>
      <c r="N39" t="str">
        <f t="shared" si="3"/>
        <v>ставка</v>
      </c>
      <c r="O39" s="3">
        <f t="shared" si="4"/>
        <v>754.9</v>
      </c>
      <c r="P39" s="5">
        <v>46290.5</v>
      </c>
      <c r="Q39" t="s">
        <v>32</v>
      </c>
      <c r="R39" s="2" t="s">
        <v>58</v>
      </c>
      <c r="S39">
        <v>24</v>
      </c>
      <c r="T39">
        <v>1</v>
      </c>
    </row>
    <row r="40" spans="1:20" ht="30" x14ac:dyDescent="0.25">
      <c r="A40" t="s">
        <v>178</v>
      </c>
      <c r="B40">
        <v>1</v>
      </c>
      <c r="C40" s="2" t="s">
        <v>179</v>
      </c>
      <c r="D40" s="3">
        <v>68085</v>
      </c>
      <c r="E40" s="4">
        <v>0</v>
      </c>
      <c r="F40" t="s">
        <v>180</v>
      </c>
      <c r="G40" s="3">
        <f t="shared" si="0"/>
        <v>68085</v>
      </c>
      <c r="H40" s="3">
        <v>0</v>
      </c>
      <c r="I40" s="3">
        <f t="shared" si="1"/>
        <v>68085</v>
      </c>
      <c r="J40" s="2" t="s">
        <v>181</v>
      </c>
      <c r="K40" s="5">
        <v>46236.583333333343</v>
      </c>
      <c r="L40">
        <v>6</v>
      </c>
      <c r="M40" s="3">
        <f t="shared" si="2"/>
        <v>11347.5</v>
      </c>
      <c r="N40" t="str">
        <f t="shared" si="3"/>
        <v>ставка</v>
      </c>
      <c r="O40" s="3">
        <f t="shared" si="4"/>
        <v>1335</v>
      </c>
      <c r="P40" s="5">
        <v>46242.5</v>
      </c>
      <c r="Q40" t="s">
        <v>180</v>
      </c>
      <c r="R40" s="2" t="s">
        <v>40</v>
      </c>
      <c r="S40">
        <v>44</v>
      </c>
      <c r="T40">
        <v>1</v>
      </c>
    </row>
    <row r="41" spans="1:20" ht="30" x14ac:dyDescent="0.25">
      <c r="A41" t="s">
        <v>186</v>
      </c>
      <c r="B41">
        <v>1</v>
      </c>
      <c r="C41" s="2" t="s">
        <v>187</v>
      </c>
      <c r="D41" s="3">
        <v>25245</v>
      </c>
      <c r="E41" s="4">
        <v>15</v>
      </c>
      <c r="F41" t="s">
        <v>168</v>
      </c>
      <c r="G41" s="3">
        <f t="shared" si="0"/>
        <v>29700</v>
      </c>
      <c r="H41" s="3">
        <v>0</v>
      </c>
      <c r="I41" s="3">
        <f t="shared" si="1"/>
        <v>29700</v>
      </c>
      <c r="J41" s="2" t="s">
        <v>27</v>
      </c>
      <c r="K41" s="5">
        <v>46227.583333333343</v>
      </c>
      <c r="L41">
        <v>3</v>
      </c>
      <c r="M41" s="3">
        <f t="shared" si="2"/>
        <v>9900</v>
      </c>
      <c r="N41" t="str">
        <f t="shared" si="3"/>
        <v>ставка</v>
      </c>
      <c r="O41" s="3">
        <f t="shared" si="4"/>
        <v>582.35</v>
      </c>
      <c r="P41" s="5">
        <v>46230.5</v>
      </c>
      <c r="Q41" t="s">
        <v>168</v>
      </c>
      <c r="R41" s="2" t="s">
        <v>33</v>
      </c>
      <c r="S41">
        <v>47</v>
      </c>
      <c r="T41">
        <v>1</v>
      </c>
    </row>
    <row r="42" spans="1:20" ht="30" x14ac:dyDescent="0.25">
      <c r="A42" t="s">
        <v>188</v>
      </c>
      <c r="B42">
        <v>1</v>
      </c>
      <c r="C42" s="2" t="s">
        <v>189</v>
      </c>
      <c r="D42" s="3">
        <v>11080.5</v>
      </c>
      <c r="E42" s="4">
        <v>17</v>
      </c>
      <c r="F42" t="s">
        <v>130</v>
      </c>
      <c r="G42" s="3">
        <f t="shared" si="0"/>
        <v>13350</v>
      </c>
      <c r="H42" s="3">
        <v>0</v>
      </c>
      <c r="I42" s="3">
        <f t="shared" si="1"/>
        <v>13350</v>
      </c>
      <c r="J42" s="2" t="s">
        <v>27</v>
      </c>
      <c r="K42" s="5">
        <v>46261.583333333343</v>
      </c>
      <c r="L42">
        <v>1</v>
      </c>
      <c r="M42" s="3">
        <f t="shared" si="2"/>
        <v>13350</v>
      </c>
      <c r="N42" t="str">
        <f t="shared" si="3"/>
        <v>ставка</v>
      </c>
      <c r="O42" s="3">
        <f t="shared" si="4"/>
        <v>261.76</v>
      </c>
      <c r="P42" s="5">
        <v>46262.5</v>
      </c>
      <c r="Q42" t="s">
        <v>130</v>
      </c>
      <c r="R42" s="2" t="s">
        <v>49</v>
      </c>
      <c r="S42">
        <v>25</v>
      </c>
      <c r="T42">
        <v>1</v>
      </c>
    </row>
    <row r="43" spans="1:20" ht="30" x14ac:dyDescent="0.25">
      <c r="A43" t="s">
        <v>190</v>
      </c>
      <c r="B43">
        <v>1</v>
      </c>
      <c r="C43" s="2" t="s">
        <v>191</v>
      </c>
      <c r="D43" s="3">
        <v>25564</v>
      </c>
      <c r="E43" s="4">
        <v>20</v>
      </c>
      <c r="F43" t="s">
        <v>173</v>
      </c>
      <c r="G43" s="3">
        <f t="shared" si="0"/>
        <v>31955</v>
      </c>
      <c r="H43" s="3">
        <v>0</v>
      </c>
      <c r="I43" s="3">
        <f t="shared" si="1"/>
        <v>31955</v>
      </c>
      <c r="J43" s="2" t="s">
        <v>27</v>
      </c>
      <c r="K43" s="5">
        <v>46235.583333333343</v>
      </c>
      <c r="L43">
        <v>2</v>
      </c>
      <c r="M43" s="3">
        <f t="shared" si="2"/>
        <v>15977.5</v>
      </c>
      <c r="N43" t="str">
        <f t="shared" si="3"/>
        <v>ставка</v>
      </c>
      <c r="O43" s="3">
        <f t="shared" si="4"/>
        <v>626.57000000000005</v>
      </c>
      <c r="P43" s="5">
        <v>46237.5</v>
      </c>
      <c r="Q43" t="s">
        <v>173</v>
      </c>
      <c r="R43" s="2" t="s">
        <v>24</v>
      </c>
      <c r="S43">
        <v>21</v>
      </c>
      <c r="T43">
        <v>1</v>
      </c>
    </row>
    <row r="44" spans="1:20" ht="30" x14ac:dyDescent="0.25">
      <c r="A44" t="s">
        <v>192</v>
      </c>
      <c r="B44">
        <v>1</v>
      </c>
      <c r="C44" s="2" t="s">
        <v>193</v>
      </c>
      <c r="D44" s="3">
        <v>16500</v>
      </c>
      <c r="E44" s="4">
        <v>0</v>
      </c>
      <c r="F44" t="s">
        <v>23</v>
      </c>
      <c r="G44" s="3">
        <f t="shared" si="0"/>
        <v>16500</v>
      </c>
      <c r="H44" s="3">
        <v>0</v>
      </c>
      <c r="I44" s="3">
        <f t="shared" si="1"/>
        <v>16500</v>
      </c>
      <c r="J44" s="2" t="s">
        <v>27</v>
      </c>
      <c r="K44" s="5">
        <v>46235.583333333343</v>
      </c>
      <c r="L44">
        <v>1</v>
      </c>
      <c r="M44" s="3">
        <f t="shared" si="2"/>
        <v>16500</v>
      </c>
      <c r="N44" t="str">
        <f t="shared" si="3"/>
        <v>ставка</v>
      </c>
      <c r="O44" s="3">
        <f t="shared" si="4"/>
        <v>323.52999999999997</v>
      </c>
      <c r="P44" s="5">
        <v>46236.5</v>
      </c>
      <c r="Q44" t="s">
        <v>23</v>
      </c>
      <c r="R44" s="2" t="s">
        <v>49</v>
      </c>
      <c r="S44">
        <v>35</v>
      </c>
      <c r="T44">
        <v>1</v>
      </c>
    </row>
    <row r="45" spans="1:20" x14ac:dyDescent="0.25">
      <c r="A45" t="s">
        <v>194</v>
      </c>
      <c r="B45">
        <v>1</v>
      </c>
      <c r="C45" s="2" t="s">
        <v>195</v>
      </c>
      <c r="D45" s="3">
        <v>32160</v>
      </c>
      <c r="E45" s="4">
        <v>20</v>
      </c>
      <c r="F45" t="s">
        <v>32</v>
      </c>
      <c r="G45" s="3">
        <f t="shared" si="0"/>
        <v>40200</v>
      </c>
      <c r="H45" s="3">
        <v>0</v>
      </c>
      <c r="I45" s="3">
        <f t="shared" si="1"/>
        <v>40200</v>
      </c>
      <c r="J45" s="2" t="s">
        <v>27</v>
      </c>
      <c r="K45" s="5">
        <v>46214.583333333343</v>
      </c>
      <c r="L45">
        <v>3</v>
      </c>
      <c r="M45" s="3">
        <f t="shared" si="2"/>
        <v>13400</v>
      </c>
      <c r="N45" t="str">
        <f t="shared" si="3"/>
        <v>ставка</v>
      </c>
      <c r="O45" s="3">
        <f t="shared" si="4"/>
        <v>788.24</v>
      </c>
      <c r="P45" s="5">
        <v>46217.5</v>
      </c>
      <c r="Q45" t="s">
        <v>32</v>
      </c>
      <c r="R45" s="2" t="s">
        <v>49</v>
      </c>
      <c r="S45">
        <v>11</v>
      </c>
      <c r="T45">
        <v>1</v>
      </c>
    </row>
    <row r="46" spans="1:20" ht="30" x14ac:dyDescent="0.25">
      <c r="A46" t="s">
        <v>196</v>
      </c>
      <c r="B46">
        <v>1</v>
      </c>
      <c r="C46" s="2" t="s">
        <v>197</v>
      </c>
      <c r="D46" s="3">
        <v>6160</v>
      </c>
      <c r="E46" s="4">
        <v>20</v>
      </c>
      <c r="F46" t="s">
        <v>48</v>
      </c>
      <c r="G46" s="3">
        <f t="shared" si="0"/>
        <v>7700</v>
      </c>
      <c r="H46" s="3">
        <v>0</v>
      </c>
      <c r="I46" s="3">
        <f t="shared" si="1"/>
        <v>7700</v>
      </c>
      <c r="J46" s="2" t="s">
        <v>27</v>
      </c>
      <c r="K46" s="5">
        <v>46217.583333333343</v>
      </c>
      <c r="L46">
        <v>1</v>
      </c>
      <c r="M46" s="3">
        <f t="shared" si="2"/>
        <v>7700</v>
      </c>
      <c r="N46" t="str">
        <f t="shared" si="3"/>
        <v>ставка</v>
      </c>
      <c r="O46" s="3">
        <f t="shared" si="4"/>
        <v>150.97999999999999</v>
      </c>
      <c r="P46" s="5">
        <v>46218.5</v>
      </c>
      <c r="Q46" t="s">
        <v>48</v>
      </c>
      <c r="R46" s="2" t="s">
        <v>58</v>
      </c>
      <c r="S46">
        <v>34</v>
      </c>
      <c r="T46">
        <v>1</v>
      </c>
    </row>
    <row r="47" spans="1:20" ht="30" x14ac:dyDescent="0.25">
      <c r="A47" t="s">
        <v>200</v>
      </c>
      <c r="B47">
        <v>1</v>
      </c>
      <c r="C47" s="2" t="s">
        <v>201</v>
      </c>
      <c r="D47" s="3">
        <v>79279.75</v>
      </c>
      <c r="E47" s="4">
        <v>4</v>
      </c>
      <c r="F47" t="s">
        <v>55</v>
      </c>
      <c r="G47" s="3">
        <f t="shared" si="0"/>
        <v>82583.070000000007</v>
      </c>
      <c r="H47" s="3">
        <v>0</v>
      </c>
      <c r="I47" s="3">
        <f t="shared" si="1"/>
        <v>82583.070000000007</v>
      </c>
      <c r="J47" s="2" t="s">
        <v>27</v>
      </c>
      <c r="K47" s="5">
        <v>46235.583333333343</v>
      </c>
      <c r="L47">
        <v>7</v>
      </c>
      <c r="M47" s="3">
        <f t="shared" si="2"/>
        <v>11797.58142857143</v>
      </c>
      <c r="N47" t="str">
        <f t="shared" si="3"/>
        <v>ставка</v>
      </c>
      <c r="O47" s="3">
        <f t="shared" si="4"/>
        <v>1619.28</v>
      </c>
      <c r="P47" s="5">
        <v>46242.5</v>
      </c>
      <c r="Q47" t="s">
        <v>55</v>
      </c>
      <c r="R47" s="2" t="s">
        <v>40</v>
      </c>
      <c r="S47">
        <v>26</v>
      </c>
      <c r="T47">
        <v>1</v>
      </c>
    </row>
    <row r="48" spans="1:20" ht="30" x14ac:dyDescent="0.25">
      <c r="A48" t="s">
        <v>204</v>
      </c>
      <c r="B48">
        <v>1</v>
      </c>
      <c r="C48" s="2" t="s">
        <v>205</v>
      </c>
      <c r="D48" s="3">
        <v>53661.3</v>
      </c>
      <c r="E48" s="4">
        <v>4</v>
      </c>
      <c r="F48" t="s">
        <v>55</v>
      </c>
      <c r="G48" s="3">
        <f t="shared" si="0"/>
        <v>55897.19</v>
      </c>
      <c r="H48" s="3">
        <v>0</v>
      </c>
      <c r="I48" s="3">
        <f t="shared" si="1"/>
        <v>55897.19</v>
      </c>
      <c r="J48" s="2" t="s">
        <v>27</v>
      </c>
      <c r="K48" s="5">
        <v>46228.666666666657</v>
      </c>
      <c r="L48">
        <v>7</v>
      </c>
      <c r="M48" s="3">
        <f t="shared" si="2"/>
        <v>7985.3128571428579</v>
      </c>
      <c r="N48" t="str">
        <f t="shared" si="3"/>
        <v>ставка</v>
      </c>
      <c r="O48" s="3">
        <f t="shared" si="4"/>
        <v>1096.02</v>
      </c>
      <c r="P48" s="5">
        <v>46235.375</v>
      </c>
      <c r="Q48" t="s">
        <v>55</v>
      </c>
      <c r="R48" s="2" t="s">
        <v>58</v>
      </c>
      <c r="S48">
        <v>24</v>
      </c>
      <c r="T48">
        <v>1</v>
      </c>
    </row>
    <row r="49" spans="1:20" x14ac:dyDescent="0.25">
      <c r="A49" t="s">
        <v>206</v>
      </c>
      <c r="B49">
        <v>1</v>
      </c>
      <c r="C49" s="2" t="s">
        <v>207</v>
      </c>
      <c r="D49" s="3">
        <v>13050</v>
      </c>
      <c r="E49" s="4">
        <v>0</v>
      </c>
      <c r="F49" t="s">
        <v>23</v>
      </c>
      <c r="G49" s="3">
        <f t="shared" si="0"/>
        <v>13050</v>
      </c>
      <c r="H49" s="3">
        <v>0</v>
      </c>
      <c r="I49" s="3">
        <f t="shared" si="1"/>
        <v>13050</v>
      </c>
      <c r="J49" s="2" t="s">
        <v>27</v>
      </c>
      <c r="K49" s="5">
        <v>46274.583333333343</v>
      </c>
      <c r="L49">
        <v>1</v>
      </c>
      <c r="M49" s="3">
        <f t="shared" si="2"/>
        <v>13050</v>
      </c>
      <c r="N49" t="str">
        <f t="shared" si="3"/>
        <v>ставка</v>
      </c>
      <c r="O49" s="3">
        <f t="shared" si="4"/>
        <v>255.88</v>
      </c>
      <c r="P49" s="5">
        <v>46275.5</v>
      </c>
      <c r="Q49" t="s">
        <v>23</v>
      </c>
      <c r="R49" s="2" t="s">
        <v>49</v>
      </c>
      <c r="S49">
        <v>25</v>
      </c>
      <c r="T49">
        <v>1</v>
      </c>
    </row>
    <row r="50" spans="1:20" ht="30" x14ac:dyDescent="0.25">
      <c r="A50" t="s">
        <v>208</v>
      </c>
      <c r="B50">
        <v>1</v>
      </c>
      <c r="C50" s="2" t="s">
        <v>209</v>
      </c>
      <c r="D50" s="3">
        <v>31481.5</v>
      </c>
      <c r="E50" s="4">
        <v>4</v>
      </c>
      <c r="F50" t="s">
        <v>55</v>
      </c>
      <c r="G50" s="3">
        <f t="shared" si="0"/>
        <v>32793.230000000003</v>
      </c>
      <c r="H50" s="3">
        <v>0</v>
      </c>
      <c r="I50" s="3">
        <f t="shared" si="1"/>
        <v>32793.230000000003</v>
      </c>
      <c r="J50" s="2" t="s">
        <v>27</v>
      </c>
      <c r="K50" s="5">
        <v>46286.583333333343</v>
      </c>
      <c r="L50">
        <v>4</v>
      </c>
      <c r="M50" s="3">
        <f t="shared" si="2"/>
        <v>8198.3075000000008</v>
      </c>
      <c r="N50" t="str">
        <f t="shared" si="3"/>
        <v>ставка</v>
      </c>
      <c r="O50" s="3">
        <f t="shared" si="4"/>
        <v>643</v>
      </c>
      <c r="P50" s="5">
        <v>46290.5</v>
      </c>
      <c r="Q50" t="s">
        <v>55</v>
      </c>
      <c r="R50" s="2" t="s">
        <v>33</v>
      </c>
      <c r="S50">
        <v>45</v>
      </c>
      <c r="T50">
        <v>1</v>
      </c>
    </row>
    <row r="51" spans="1:20" ht="30" x14ac:dyDescent="0.25">
      <c r="A51" t="s">
        <v>210</v>
      </c>
      <c r="B51">
        <v>1</v>
      </c>
      <c r="C51" s="2" t="s">
        <v>211</v>
      </c>
      <c r="D51" s="3">
        <v>16830</v>
      </c>
      <c r="E51" s="4">
        <v>15</v>
      </c>
      <c r="F51" t="s">
        <v>52</v>
      </c>
      <c r="G51" s="3">
        <f t="shared" si="0"/>
        <v>19800</v>
      </c>
      <c r="H51" s="3">
        <v>0</v>
      </c>
      <c r="I51" s="3">
        <f t="shared" si="1"/>
        <v>19800</v>
      </c>
      <c r="J51" s="2" t="s">
        <v>27</v>
      </c>
      <c r="K51" s="5">
        <v>46283.916666666657</v>
      </c>
      <c r="L51">
        <v>2</v>
      </c>
      <c r="M51" s="3">
        <f t="shared" si="2"/>
        <v>9900</v>
      </c>
      <c r="N51" t="str">
        <f t="shared" si="3"/>
        <v>ставка</v>
      </c>
      <c r="O51" s="3">
        <f t="shared" si="4"/>
        <v>388.24</v>
      </c>
      <c r="P51" s="5">
        <v>46285.5</v>
      </c>
      <c r="Q51" t="s">
        <v>52</v>
      </c>
      <c r="R51" s="2" t="s">
        <v>33</v>
      </c>
      <c r="S51">
        <v>41</v>
      </c>
      <c r="T51">
        <v>1</v>
      </c>
    </row>
    <row r="52" spans="1:20" ht="30" x14ac:dyDescent="0.25">
      <c r="A52" t="s">
        <v>212</v>
      </c>
      <c r="B52">
        <v>1</v>
      </c>
      <c r="C52" s="2" t="s">
        <v>213</v>
      </c>
      <c r="D52" s="3">
        <v>10012.5</v>
      </c>
      <c r="E52" s="4">
        <v>25</v>
      </c>
      <c r="F52" t="s">
        <v>32</v>
      </c>
      <c r="G52" s="3">
        <f t="shared" si="0"/>
        <v>13350</v>
      </c>
      <c r="H52" s="3">
        <v>0</v>
      </c>
      <c r="I52" s="3">
        <f t="shared" si="1"/>
        <v>13350</v>
      </c>
      <c r="J52" s="2" t="s">
        <v>27</v>
      </c>
      <c r="K52" s="5">
        <v>46270.583333333343</v>
      </c>
      <c r="L52">
        <v>1</v>
      </c>
      <c r="M52" s="3">
        <f t="shared" si="2"/>
        <v>13350</v>
      </c>
      <c r="N52" t="str">
        <f t="shared" si="3"/>
        <v>ставка</v>
      </c>
      <c r="O52" s="3">
        <f t="shared" si="4"/>
        <v>261.76</v>
      </c>
      <c r="P52" s="5">
        <v>46271.5</v>
      </c>
      <c r="Q52" t="s">
        <v>32</v>
      </c>
      <c r="R52" s="2" t="s">
        <v>40</v>
      </c>
      <c r="S52">
        <v>26</v>
      </c>
      <c r="T52">
        <v>1</v>
      </c>
    </row>
    <row r="53" spans="1:20" ht="30" x14ac:dyDescent="0.25">
      <c r="A53" t="s">
        <v>214</v>
      </c>
      <c r="B53">
        <v>1</v>
      </c>
      <c r="C53" s="2" t="s">
        <v>215</v>
      </c>
      <c r="D53" s="3">
        <v>86827.5</v>
      </c>
      <c r="E53" s="4">
        <v>16</v>
      </c>
      <c r="F53" t="s">
        <v>36</v>
      </c>
      <c r="G53" s="3">
        <f t="shared" si="0"/>
        <v>103366.07</v>
      </c>
      <c r="H53" s="3">
        <v>0</v>
      </c>
      <c r="I53" s="3">
        <f t="shared" si="1"/>
        <v>103366.07</v>
      </c>
      <c r="J53" s="2" t="s">
        <v>27</v>
      </c>
      <c r="K53" s="5">
        <v>46249.583333333343</v>
      </c>
      <c r="L53">
        <v>9</v>
      </c>
      <c r="M53" s="3">
        <f t="shared" si="2"/>
        <v>11485.11888888889</v>
      </c>
      <c r="N53" t="str">
        <f t="shared" si="3"/>
        <v>ставка</v>
      </c>
      <c r="O53" s="3">
        <f t="shared" si="4"/>
        <v>2026.79</v>
      </c>
      <c r="P53" s="5">
        <v>46258.5</v>
      </c>
      <c r="Q53" t="s">
        <v>36</v>
      </c>
      <c r="R53" s="2" t="s">
        <v>40</v>
      </c>
      <c r="S53">
        <v>32</v>
      </c>
      <c r="T53">
        <v>1</v>
      </c>
    </row>
    <row r="54" spans="1:20" ht="30" x14ac:dyDescent="0.25">
      <c r="A54" t="s">
        <v>218</v>
      </c>
      <c r="B54">
        <v>1</v>
      </c>
      <c r="C54" s="2" t="s">
        <v>219</v>
      </c>
      <c r="D54" s="3">
        <v>15840</v>
      </c>
      <c r="E54" s="4">
        <v>20</v>
      </c>
      <c r="F54" t="s">
        <v>32</v>
      </c>
      <c r="G54" s="3">
        <f t="shared" si="0"/>
        <v>19800</v>
      </c>
      <c r="H54" s="3">
        <v>0</v>
      </c>
      <c r="I54" s="3">
        <f t="shared" si="1"/>
        <v>19800</v>
      </c>
      <c r="J54" s="2" t="s">
        <v>27</v>
      </c>
      <c r="K54" s="5">
        <v>46235.583333333343</v>
      </c>
      <c r="L54">
        <v>2</v>
      </c>
      <c r="M54" s="3">
        <f t="shared" si="2"/>
        <v>9900</v>
      </c>
      <c r="N54" t="str">
        <f t="shared" si="3"/>
        <v>ставка</v>
      </c>
      <c r="O54" s="3">
        <f t="shared" si="4"/>
        <v>388.24</v>
      </c>
      <c r="P54" s="5">
        <v>46237.5</v>
      </c>
      <c r="Q54" t="s">
        <v>32</v>
      </c>
      <c r="R54" s="2" t="s">
        <v>33</v>
      </c>
      <c r="S54">
        <v>47</v>
      </c>
      <c r="T54">
        <v>1</v>
      </c>
    </row>
    <row r="55" spans="1:20" ht="30" x14ac:dyDescent="0.25">
      <c r="A55" t="s">
        <v>220</v>
      </c>
      <c r="B55">
        <v>1</v>
      </c>
      <c r="C55" s="2" t="s">
        <v>221</v>
      </c>
      <c r="D55" s="3">
        <v>19295</v>
      </c>
      <c r="E55" s="4">
        <v>15</v>
      </c>
      <c r="F55" t="s">
        <v>110</v>
      </c>
      <c r="G55" s="3">
        <f t="shared" si="0"/>
        <v>22700</v>
      </c>
      <c r="H55" s="3">
        <v>0</v>
      </c>
      <c r="I55" s="3">
        <f t="shared" si="1"/>
        <v>22700</v>
      </c>
      <c r="J55" s="2" t="s">
        <v>27</v>
      </c>
      <c r="K55" s="5">
        <v>46211.583333333343</v>
      </c>
      <c r="L55">
        <v>2</v>
      </c>
      <c r="M55" s="3">
        <f t="shared" si="2"/>
        <v>11350</v>
      </c>
      <c r="N55" t="str">
        <f t="shared" si="3"/>
        <v>ставка</v>
      </c>
      <c r="O55" s="3">
        <f t="shared" si="4"/>
        <v>445.1</v>
      </c>
      <c r="P55" s="5">
        <v>46213.5</v>
      </c>
      <c r="Q55" t="s">
        <v>110</v>
      </c>
      <c r="R55" s="2" t="s">
        <v>40</v>
      </c>
      <c r="S55">
        <v>36</v>
      </c>
      <c r="T55">
        <v>1</v>
      </c>
    </row>
    <row r="56" spans="1:20" ht="30" x14ac:dyDescent="0.25">
      <c r="A56" t="s">
        <v>228</v>
      </c>
      <c r="B56">
        <v>1</v>
      </c>
      <c r="C56" s="2" t="s">
        <v>229</v>
      </c>
      <c r="D56" s="3">
        <v>8217</v>
      </c>
      <c r="E56" s="4">
        <v>17</v>
      </c>
      <c r="F56" t="s">
        <v>173</v>
      </c>
      <c r="G56" s="3">
        <f t="shared" si="0"/>
        <v>9900</v>
      </c>
      <c r="H56" s="3">
        <v>0</v>
      </c>
      <c r="I56" s="3">
        <f t="shared" si="1"/>
        <v>9900</v>
      </c>
      <c r="J56" s="2" t="s">
        <v>27</v>
      </c>
      <c r="K56" s="5">
        <v>46223.583333333343</v>
      </c>
      <c r="L56">
        <v>1</v>
      </c>
      <c r="M56" s="3">
        <f t="shared" si="2"/>
        <v>9900</v>
      </c>
      <c r="N56" t="str">
        <f t="shared" si="3"/>
        <v>ставка</v>
      </c>
      <c r="O56" s="3">
        <f t="shared" si="4"/>
        <v>194.12</v>
      </c>
      <c r="P56" s="5">
        <v>46224.5</v>
      </c>
      <c r="Q56" t="s">
        <v>173</v>
      </c>
      <c r="R56" s="2" t="s">
        <v>40</v>
      </c>
      <c r="S56">
        <v>44</v>
      </c>
      <c r="T56">
        <v>1</v>
      </c>
    </row>
    <row r="57" spans="1:20" ht="30" x14ac:dyDescent="0.25">
      <c r="A57" t="s">
        <v>230</v>
      </c>
      <c r="B57">
        <v>1</v>
      </c>
      <c r="C57" s="2" t="s">
        <v>231</v>
      </c>
      <c r="D57" s="3">
        <v>11080.5</v>
      </c>
      <c r="E57" s="4">
        <v>17</v>
      </c>
      <c r="F57" t="s">
        <v>173</v>
      </c>
      <c r="G57" s="3">
        <f t="shared" si="0"/>
        <v>13350</v>
      </c>
      <c r="H57" s="3">
        <v>0</v>
      </c>
      <c r="I57" s="3">
        <f t="shared" si="1"/>
        <v>13350</v>
      </c>
      <c r="J57" s="2" t="s">
        <v>27</v>
      </c>
      <c r="K57" s="5">
        <v>46221.583333333343</v>
      </c>
      <c r="L57">
        <v>1</v>
      </c>
      <c r="M57" s="3">
        <f t="shared" si="2"/>
        <v>13350</v>
      </c>
      <c r="N57" t="str">
        <f t="shared" si="3"/>
        <v>ставка</v>
      </c>
      <c r="O57" s="3">
        <f t="shared" si="4"/>
        <v>261.76</v>
      </c>
      <c r="P57" s="5">
        <v>46222.5</v>
      </c>
      <c r="Q57" t="s">
        <v>173</v>
      </c>
      <c r="R57" s="2" t="s">
        <v>24</v>
      </c>
      <c r="S57">
        <v>21</v>
      </c>
      <c r="T57">
        <v>1</v>
      </c>
    </row>
    <row r="58" spans="1:20" ht="30" x14ac:dyDescent="0.25">
      <c r="A58" t="s">
        <v>234</v>
      </c>
      <c r="B58">
        <v>1</v>
      </c>
      <c r="C58" s="2" t="s">
        <v>235</v>
      </c>
      <c r="D58" s="3">
        <v>18160</v>
      </c>
      <c r="E58" s="4">
        <v>20</v>
      </c>
      <c r="F58" t="s">
        <v>48</v>
      </c>
      <c r="G58" s="3">
        <f t="shared" si="0"/>
        <v>22700</v>
      </c>
      <c r="H58" s="3">
        <v>0</v>
      </c>
      <c r="I58" s="3">
        <f t="shared" si="1"/>
        <v>22700</v>
      </c>
      <c r="J58" s="2" t="s">
        <v>27</v>
      </c>
      <c r="K58" s="5">
        <v>46272.583333333343</v>
      </c>
      <c r="L58">
        <v>2</v>
      </c>
      <c r="M58" s="3">
        <f t="shared" si="2"/>
        <v>11350</v>
      </c>
      <c r="N58" t="str">
        <f t="shared" si="3"/>
        <v>ставка</v>
      </c>
      <c r="O58" s="3">
        <f t="shared" si="4"/>
        <v>445.1</v>
      </c>
      <c r="P58" s="5">
        <v>46274.5</v>
      </c>
      <c r="Q58" t="s">
        <v>48</v>
      </c>
      <c r="R58" s="2" t="s">
        <v>40</v>
      </c>
      <c r="S58">
        <v>22</v>
      </c>
      <c r="T58">
        <v>1</v>
      </c>
    </row>
    <row r="59" spans="1:20" ht="30" x14ac:dyDescent="0.25">
      <c r="A59" t="s">
        <v>236</v>
      </c>
      <c r="B59">
        <v>1</v>
      </c>
      <c r="C59" s="2" t="s">
        <v>237</v>
      </c>
      <c r="D59" s="3">
        <v>28942.5</v>
      </c>
      <c r="E59" s="4">
        <v>15</v>
      </c>
      <c r="F59" t="s">
        <v>168</v>
      </c>
      <c r="G59" s="3">
        <f t="shared" si="0"/>
        <v>34050</v>
      </c>
      <c r="H59" s="3">
        <v>0</v>
      </c>
      <c r="I59" s="3">
        <f t="shared" si="1"/>
        <v>34050</v>
      </c>
      <c r="J59" s="2" t="s">
        <v>27</v>
      </c>
      <c r="K59" s="5">
        <v>46257.583333333343</v>
      </c>
      <c r="L59">
        <v>3</v>
      </c>
      <c r="M59" s="3">
        <f t="shared" si="2"/>
        <v>11350</v>
      </c>
      <c r="N59" t="str">
        <f t="shared" si="3"/>
        <v>ставка</v>
      </c>
      <c r="O59" s="3">
        <f t="shared" si="4"/>
        <v>667.65</v>
      </c>
      <c r="P59" s="5">
        <v>46260.5</v>
      </c>
      <c r="Q59" t="s">
        <v>168</v>
      </c>
      <c r="R59" s="2" t="s">
        <v>40</v>
      </c>
      <c r="S59">
        <v>44</v>
      </c>
      <c r="T59">
        <v>1</v>
      </c>
    </row>
    <row r="60" spans="1:20" ht="30" x14ac:dyDescent="0.25">
      <c r="A60" t="s">
        <v>238</v>
      </c>
      <c r="B60">
        <v>1</v>
      </c>
      <c r="C60" s="2" t="s">
        <v>239</v>
      </c>
      <c r="D60" s="3">
        <v>25878</v>
      </c>
      <c r="E60" s="4">
        <v>20</v>
      </c>
      <c r="F60" t="s">
        <v>32</v>
      </c>
      <c r="G60" s="3">
        <f t="shared" si="0"/>
        <v>32347.5</v>
      </c>
      <c r="H60" s="3">
        <v>0</v>
      </c>
      <c r="I60" s="3">
        <f t="shared" si="1"/>
        <v>32347.5</v>
      </c>
      <c r="J60" s="2" t="s">
        <v>27</v>
      </c>
      <c r="K60" s="5">
        <v>46212.583333333343</v>
      </c>
      <c r="L60">
        <v>3</v>
      </c>
      <c r="M60" s="3">
        <f t="shared" si="2"/>
        <v>10782.5</v>
      </c>
      <c r="N60" t="str">
        <f t="shared" si="3"/>
        <v>ставка</v>
      </c>
      <c r="O60" s="3">
        <f t="shared" si="4"/>
        <v>634.26</v>
      </c>
      <c r="P60" s="5">
        <v>46215.5</v>
      </c>
      <c r="Q60" t="s">
        <v>32</v>
      </c>
      <c r="R60" s="2" t="s">
        <v>40</v>
      </c>
      <c r="S60">
        <v>22</v>
      </c>
      <c r="T60">
        <v>1</v>
      </c>
    </row>
    <row r="61" spans="1:20" ht="30" x14ac:dyDescent="0.25">
      <c r="A61" t="s">
        <v>243</v>
      </c>
      <c r="B61">
        <v>1</v>
      </c>
      <c r="C61" s="2" t="s">
        <v>244</v>
      </c>
      <c r="D61" s="3">
        <v>45390</v>
      </c>
      <c r="E61" s="4">
        <v>0</v>
      </c>
      <c r="F61" t="s">
        <v>245</v>
      </c>
      <c r="G61" s="3">
        <f t="shared" si="0"/>
        <v>45390</v>
      </c>
      <c r="H61" s="3">
        <v>0</v>
      </c>
      <c r="I61" s="3">
        <f t="shared" si="1"/>
        <v>45390</v>
      </c>
      <c r="J61" s="2" t="s">
        <v>27</v>
      </c>
      <c r="K61" s="5">
        <v>46241.583333333343</v>
      </c>
      <c r="L61">
        <v>4</v>
      </c>
      <c r="M61" s="3">
        <f t="shared" si="2"/>
        <v>11347.5</v>
      </c>
      <c r="N61" t="str">
        <f t="shared" si="3"/>
        <v>ставка</v>
      </c>
      <c r="O61" s="3">
        <f t="shared" si="4"/>
        <v>890</v>
      </c>
      <c r="P61" s="5">
        <v>46245.5</v>
      </c>
      <c r="Q61" t="s">
        <v>245</v>
      </c>
      <c r="R61" s="2" t="s">
        <v>40</v>
      </c>
      <c r="S61">
        <v>32</v>
      </c>
      <c r="T61">
        <v>1</v>
      </c>
    </row>
    <row r="62" spans="1:20" ht="30" x14ac:dyDescent="0.25">
      <c r="A62" t="s">
        <v>246</v>
      </c>
      <c r="B62">
        <v>1</v>
      </c>
      <c r="C62" s="2" t="s">
        <v>247</v>
      </c>
      <c r="D62" s="3">
        <v>9307</v>
      </c>
      <c r="E62" s="4">
        <v>18</v>
      </c>
      <c r="F62" t="s">
        <v>248</v>
      </c>
      <c r="G62" s="3">
        <f t="shared" si="0"/>
        <v>11350</v>
      </c>
      <c r="H62" s="3">
        <v>0</v>
      </c>
      <c r="I62" s="3">
        <f t="shared" si="1"/>
        <v>11350</v>
      </c>
      <c r="J62" s="2" t="s">
        <v>27</v>
      </c>
      <c r="K62" s="5">
        <v>46266.583333333343</v>
      </c>
      <c r="L62">
        <v>1</v>
      </c>
      <c r="M62" s="3">
        <f t="shared" si="2"/>
        <v>11350</v>
      </c>
      <c r="N62" t="str">
        <f t="shared" si="3"/>
        <v>ставка</v>
      </c>
      <c r="O62" s="3">
        <f t="shared" si="4"/>
        <v>222.55</v>
      </c>
      <c r="P62" s="5">
        <v>46267.5</v>
      </c>
      <c r="Q62" t="s">
        <v>248</v>
      </c>
      <c r="R62" s="2" t="s">
        <v>40</v>
      </c>
      <c r="S62">
        <v>32</v>
      </c>
      <c r="T62">
        <v>1</v>
      </c>
    </row>
    <row r="63" spans="1:20" ht="30" x14ac:dyDescent="0.25">
      <c r="A63" t="s">
        <v>249</v>
      </c>
      <c r="B63">
        <v>1</v>
      </c>
      <c r="C63" s="2" t="s">
        <v>250</v>
      </c>
      <c r="D63" s="3">
        <v>8415</v>
      </c>
      <c r="E63" s="4">
        <v>15</v>
      </c>
      <c r="F63" t="s">
        <v>52</v>
      </c>
      <c r="G63" s="3">
        <f t="shared" si="0"/>
        <v>9900</v>
      </c>
      <c r="H63" s="3">
        <v>0</v>
      </c>
      <c r="I63" s="3">
        <f t="shared" si="1"/>
        <v>9900</v>
      </c>
      <c r="J63" s="2" t="s">
        <v>27</v>
      </c>
      <c r="K63" s="5">
        <v>46278.583333333343</v>
      </c>
      <c r="L63">
        <v>1</v>
      </c>
      <c r="M63" s="3">
        <f t="shared" si="2"/>
        <v>9900</v>
      </c>
      <c r="N63" t="str">
        <f t="shared" si="3"/>
        <v>ставка</v>
      </c>
      <c r="O63" s="3">
        <f t="shared" si="4"/>
        <v>194.12</v>
      </c>
      <c r="P63" s="5">
        <v>46279.5</v>
      </c>
      <c r="Q63" t="s">
        <v>52</v>
      </c>
      <c r="R63" s="2" t="s">
        <v>33</v>
      </c>
      <c r="S63">
        <v>43</v>
      </c>
      <c r="T63">
        <v>1</v>
      </c>
    </row>
    <row r="64" spans="1:20" ht="30" x14ac:dyDescent="0.25">
      <c r="A64" t="s">
        <v>251</v>
      </c>
      <c r="B64">
        <v>1</v>
      </c>
      <c r="C64" s="2" t="s">
        <v>252</v>
      </c>
      <c r="D64" s="3">
        <v>19295</v>
      </c>
      <c r="E64" s="4">
        <v>15</v>
      </c>
      <c r="F64" t="s">
        <v>168</v>
      </c>
      <c r="G64" s="3">
        <f t="shared" si="0"/>
        <v>22700</v>
      </c>
      <c r="H64" s="3">
        <v>0</v>
      </c>
      <c r="I64" s="3">
        <f t="shared" si="1"/>
        <v>22700</v>
      </c>
      <c r="J64" s="2" t="s">
        <v>27</v>
      </c>
      <c r="K64" s="5">
        <v>46203.583333333343</v>
      </c>
      <c r="L64">
        <v>2</v>
      </c>
      <c r="M64" s="3">
        <f t="shared" si="2"/>
        <v>11350</v>
      </c>
      <c r="N64" t="str">
        <f t="shared" si="3"/>
        <v>ставка</v>
      </c>
      <c r="O64" s="3">
        <f t="shared" si="4"/>
        <v>445.1</v>
      </c>
      <c r="P64" s="5">
        <v>46205.5</v>
      </c>
      <c r="Q64" t="s">
        <v>168</v>
      </c>
      <c r="R64" s="2" t="s">
        <v>40</v>
      </c>
      <c r="S64">
        <v>23</v>
      </c>
      <c r="T64">
        <v>1</v>
      </c>
    </row>
    <row r="65" spans="1:20" ht="30" x14ac:dyDescent="0.25">
      <c r="A65" t="s">
        <v>255</v>
      </c>
      <c r="B65">
        <v>1</v>
      </c>
      <c r="C65" s="2" t="s">
        <v>256</v>
      </c>
      <c r="D65" s="3">
        <v>68085</v>
      </c>
      <c r="E65" s="4">
        <v>15</v>
      </c>
      <c r="F65" t="s">
        <v>73</v>
      </c>
      <c r="G65" s="3">
        <f t="shared" si="0"/>
        <v>80100</v>
      </c>
      <c r="H65" s="3">
        <v>0</v>
      </c>
      <c r="I65" s="3">
        <f t="shared" si="1"/>
        <v>80100</v>
      </c>
      <c r="J65" s="2" t="s">
        <v>27</v>
      </c>
      <c r="K65" s="5">
        <v>46249.583333333343</v>
      </c>
      <c r="L65">
        <v>6</v>
      </c>
      <c r="M65" s="3">
        <f t="shared" si="2"/>
        <v>13350</v>
      </c>
      <c r="N65" t="str">
        <f t="shared" si="3"/>
        <v>ставка</v>
      </c>
      <c r="O65" s="3">
        <f t="shared" si="4"/>
        <v>1570.59</v>
      </c>
      <c r="P65" s="5">
        <v>46255.5</v>
      </c>
      <c r="Q65" t="s">
        <v>73</v>
      </c>
      <c r="R65" s="2" t="s">
        <v>40</v>
      </c>
      <c r="S65">
        <v>42</v>
      </c>
      <c r="T65">
        <v>1</v>
      </c>
    </row>
    <row r="66" spans="1:20" ht="30" x14ac:dyDescent="0.25">
      <c r="A66" t="s">
        <v>257</v>
      </c>
      <c r="B66">
        <v>1</v>
      </c>
      <c r="C66" s="2" t="s">
        <v>258</v>
      </c>
      <c r="D66" s="3">
        <v>53400</v>
      </c>
      <c r="E66" s="4">
        <v>20</v>
      </c>
      <c r="F66" t="s">
        <v>103</v>
      </c>
      <c r="G66" s="3">
        <f t="shared" ref="G66:G129" si="5">ROUND(D66/(100-E66)*100,2)</f>
        <v>66750</v>
      </c>
      <c r="H66" s="3">
        <v>0</v>
      </c>
      <c r="I66" s="3">
        <f t="shared" ref="I66:I129" si="6">ROUND(G66+H66,2)</f>
        <v>66750</v>
      </c>
      <c r="J66" s="2" t="s">
        <v>27</v>
      </c>
      <c r="K66" s="5">
        <v>46242.583333333343</v>
      </c>
      <c r="L66">
        <v>5</v>
      </c>
      <c r="M66" s="3">
        <f t="shared" ref="M66:M129" si="7">I66/L66</f>
        <v>13350</v>
      </c>
      <c r="N66" t="str">
        <f t="shared" ref="N66:N129" si="8">IF(M66&gt;=5100,"ставка","мин.ставка")</f>
        <v>ставка</v>
      </c>
      <c r="O66" s="3">
        <f t="shared" ref="O66:O129" si="9">ROUND(IF(N66="мин.ставка",L66*100,I66/102*2),2)</f>
        <v>1308.82</v>
      </c>
      <c r="P66" s="5">
        <v>46247.5</v>
      </c>
      <c r="Q66" t="s">
        <v>103</v>
      </c>
      <c r="R66" s="2" t="s">
        <v>40</v>
      </c>
      <c r="S66">
        <v>36</v>
      </c>
      <c r="T66">
        <v>1</v>
      </c>
    </row>
    <row r="67" spans="1:20" ht="30" x14ac:dyDescent="0.25">
      <c r="A67" t="s">
        <v>259</v>
      </c>
      <c r="B67">
        <v>1</v>
      </c>
      <c r="C67" s="2" t="s">
        <v>260</v>
      </c>
      <c r="D67" s="3">
        <v>13272</v>
      </c>
      <c r="E67" s="4">
        <v>16</v>
      </c>
      <c r="F67" t="s">
        <v>36</v>
      </c>
      <c r="G67" s="3">
        <f t="shared" si="5"/>
        <v>15800</v>
      </c>
      <c r="H67" s="3">
        <v>0</v>
      </c>
      <c r="I67" s="3">
        <f t="shared" si="6"/>
        <v>15800</v>
      </c>
      <c r="J67" s="2" t="s">
        <v>27</v>
      </c>
      <c r="K67" s="5">
        <v>46286.583333333343</v>
      </c>
      <c r="L67">
        <v>2</v>
      </c>
      <c r="M67" s="3">
        <f t="shared" si="7"/>
        <v>7900</v>
      </c>
      <c r="N67" t="str">
        <f t="shared" si="8"/>
        <v>ставка</v>
      </c>
      <c r="O67" s="3">
        <f t="shared" si="9"/>
        <v>309.8</v>
      </c>
      <c r="P67" s="5">
        <v>46288.5</v>
      </c>
      <c r="Q67" t="s">
        <v>36</v>
      </c>
      <c r="R67" s="2" t="s">
        <v>33</v>
      </c>
      <c r="S67">
        <v>41</v>
      </c>
      <c r="T67">
        <v>1</v>
      </c>
    </row>
    <row r="68" spans="1:20" ht="30" x14ac:dyDescent="0.25">
      <c r="A68" t="s">
        <v>261</v>
      </c>
      <c r="B68">
        <v>1</v>
      </c>
      <c r="C68" s="2" t="s">
        <v>262</v>
      </c>
      <c r="D68" s="3">
        <v>12008</v>
      </c>
      <c r="E68" s="4">
        <v>20</v>
      </c>
      <c r="F68" t="s">
        <v>32</v>
      </c>
      <c r="G68" s="3">
        <f t="shared" si="5"/>
        <v>15010</v>
      </c>
      <c r="H68" s="3">
        <v>0</v>
      </c>
      <c r="I68" s="3">
        <f t="shared" si="6"/>
        <v>15010</v>
      </c>
      <c r="J68" s="2" t="s">
        <v>27</v>
      </c>
      <c r="K68" s="5">
        <v>46282.583333333343</v>
      </c>
      <c r="L68">
        <v>2</v>
      </c>
      <c r="M68" s="3">
        <f t="shared" si="7"/>
        <v>7505</v>
      </c>
      <c r="N68" t="str">
        <f t="shared" si="8"/>
        <v>ставка</v>
      </c>
      <c r="O68" s="3">
        <f t="shared" si="9"/>
        <v>294.31</v>
      </c>
      <c r="P68" s="5">
        <v>46284.5</v>
      </c>
      <c r="Q68" t="s">
        <v>32</v>
      </c>
      <c r="R68" s="2" t="s">
        <v>33</v>
      </c>
      <c r="S68">
        <v>47</v>
      </c>
      <c r="T68">
        <v>1</v>
      </c>
    </row>
    <row r="69" spans="1:20" ht="30" x14ac:dyDescent="0.25">
      <c r="A69" t="s">
        <v>263</v>
      </c>
      <c r="B69">
        <v>1</v>
      </c>
      <c r="C69" s="2" t="s">
        <v>264</v>
      </c>
      <c r="D69" s="3">
        <v>10998.15</v>
      </c>
      <c r="E69" s="4">
        <v>4</v>
      </c>
      <c r="F69" t="s">
        <v>55</v>
      </c>
      <c r="G69" s="3">
        <f t="shared" si="5"/>
        <v>11456.41</v>
      </c>
      <c r="H69" s="3">
        <v>0</v>
      </c>
      <c r="I69" s="3">
        <f t="shared" si="6"/>
        <v>11456.41</v>
      </c>
      <c r="J69" s="2" t="s">
        <v>27</v>
      </c>
      <c r="K69" s="5">
        <v>46262.583333333343</v>
      </c>
      <c r="L69">
        <v>1</v>
      </c>
      <c r="M69" s="3">
        <f t="shared" si="7"/>
        <v>11456.41</v>
      </c>
      <c r="N69" t="str">
        <f t="shared" si="8"/>
        <v>ставка</v>
      </c>
      <c r="O69" s="3">
        <f t="shared" si="9"/>
        <v>224.64</v>
      </c>
      <c r="P69" s="5">
        <v>46263.5</v>
      </c>
      <c r="Q69" t="s">
        <v>55</v>
      </c>
      <c r="R69" s="2" t="s">
        <v>40</v>
      </c>
      <c r="S69">
        <v>23</v>
      </c>
      <c r="T69">
        <v>1</v>
      </c>
    </row>
    <row r="70" spans="1:20" ht="30" x14ac:dyDescent="0.25">
      <c r="A70" t="s">
        <v>267</v>
      </c>
      <c r="B70">
        <v>1</v>
      </c>
      <c r="C70" s="2" t="s">
        <v>268</v>
      </c>
      <c r="D70" s="3">
        <v>59400</v>
      </c>
      <c r="E70" s="4">
        <v>0</v>
      </c>
      <c r="F70" t="s">
        <v>23</v>
      </c>
      <c r="G70" s="3">
        <f t="shared" si="5"/>
        <v>59400</v>
      </c>
      <c r="H70" s="3">
        <v>0</v>
      </c>
      <c r="I70" s="3">
        <f t="shared" si="6"/>
        <v>59400</v>
      </c>
      <c r="J70" s="2" t="s">
        <v>27</v>
      </c>
      <c r="K70" s="5">
        <v>46218.583333333343</v>
      </c>
      <c r="L70">
        <v>4</v>
      </c>
      <c r="M70" s="3">
        <f t="shared" si="7"/>
        <v>14850</v>
      </c>
      <c r="N70" t="str">
        <f t="shared" si="8"/>
        <v>ставка</v>
      </c>
      <c r="O70" s="3">
        <f t="shared" si="9"/>
        <v>1164.71</v>
      </c>
      <c r="P70" s="5">
        <v>46222.5</v>
      </c>
      <c r="Q70" t="s">
        <v>23</v>
      </c>
      <c r="R70" s="2" t="s">
        <v>49</v>
      </c>
      <c r="S70">
        <v>25</v>
      </c>
      <c r="T70">
        <v>1</v>
      </c>
    </row>
    <row r="71" spans="1:20" ht="30" x14ac:dyDescent="0.25">
      <c r="A71" t="s">
        <v>270</v>
      </c>
      <c r="B71">
        <v>1</v>
      </c>
      <c r="C71" s="2" t="s">
        <v>271</v>
      </c>
      <c r="D71" s="3">
        <v>42075</v>
      </c>
      <c r="E71" s="4">
        <v>0</v>
      </c>
      <c r="F71" t="s">
        <v>245</v>
      </c>
      <c r="G71" s="3">
        <f t="shared" si="5"/>
        <v>42075</v>
      </c>
      <c r="H71" s="3">
        <v>0</v>
      </c>
      <c r="I71" s="3">
        <f t="shared" si="6"/>
        <v>42075</v>
      </c>
      <c r="J71" s="2" t="s">
        <v>27</v>
      </c>
      <c r="K71" s="5">
        <v>46239.583333333343</v>
      </c>
      <c r="L71">
        <v>5</v>
      </c>
      <c r="M71" s="3">
        <f t="shared" si="7"/>
        <v>8415</v>
      </c>
      <c r="N71" t="str">
        <f t="shared" si="8"/>
        <v>ставка</v>
      </c>
      <c r="O71" s="3">
        <f t="shared" si="9"/>
        <v>825</v>
      </c>
      <c r="P71" s="5">
        <v>46244.5</v>
      </c>
      <c r="Q71" t="s">
        <v>245</v>
      </c>
      <c r="R71" s="2" t="s">
        <v>33</v>
      </c>
      <c r="S71">
        <v>43</v>
      </c>
      <c r="T71">
        <v>1</v>
      </c>
    </row>
    <row r="72" spans="1:20" ht="30" x14ac:dyDescent="0.25">
      <c r="A72" t="s">
        <v>278</v>
      </c>
      <c r="B72">
        <v>1</v>
      </c>
      <c r="C72" s="2" t="s">
        <v>279</v>
      </c>
      <c r="D72" s="3">
        <v>22695</v>
      </c>
      <c r="E72" s="4">
        <v>15</v>
      </c>
      <c r="F72" t="s">
        <v>52</v>
      </c>
      <c r="G72" s="3">
        <f t="shared" si="5"/>
        <v>26700</v>
      </c>
      <c r="H72" s="3">
        <v>0</v>
      </c>
      <c r="I72" s="3">
        <f t="shared" si="6"/>
        <v>26700</v>
      </c>
      <c r="J72" s="2" t="s">
        <v>27</v>
      </c>
      <c r="K72" s="5">
        <v>46221.583333333343</v>
      </c>
      <c r="L72">
        <v>2</v>
      </c>
      <c r="M72" s="3">
        <f t="shared" si="7"/>
        <v>13350</v>
      </c>
      <c r="N72" t="str">
        <f t="shared" si="8"/>
        <v>ставка</v>
      </c>
      <c r="O72" s="3">
        <f t="shared" si="9"/>
        <v>523.53</v>
      </c>
      <c r="P72" s="5">
        <v>46223.5</v>
      </c>
      <c r="Q72" t="s">
        <v>52</v>
      </c>
      <c r="R72" s="2" t="s">
        <v>40</v>
      </c>
      <c r="S72">
        <v>26</v>
      </c>
      <c r="T72">
        <v>1</v>
      </c>
    </row>
    <row r="73" spans="1:20" ht="30" x14ac:dyDescent="0.25">
      <c r="A73" t="s">
        <v>280</v>
      </c>
      <c r="B73">
        <v>1</v>
      </c>
      <c r="C73" s="2" t="s">
        <v>281</v>
      </c>
      <c r="D73" s="3">
        <v>39636.15</v>
      </c>
      <c r="E73" s="4">
        <v>4</v>
      </c>
      <c r="F73" t="s">
        <v>55</v>
      </c>
      <c r="G73" s="3">
        <f t="shared" si="5"/>
        <v>41287.660000000003</v>
      </c>
      <c r="H73" s="3">
        <v>0</v>
      </c>
      <c r="I73" s="3">
        <f t="shared" si="6"/>
        <v>41287.660000000003</v>
      </c>
      <c r="J73" s="2" t="s">
        <v>27</v>
      </c>
      <c r="K73" s="5">
        <v>46205.583333333343</v>
      </c>
      <c r="L73">
        <v>3</v>
      </c>
      <c r="M73" s="3">
        <f t="shared" si="7"/>
        <v>13762.553333333335</v>
      </c>
      <c r="N73" t="str">
        <f t="shared" si="8"/>
        <v>ставка</v>
      </c>
      <c r="O73" s="3">
        <f t="shared" si="9"/>
        <v>809.56</v>
      </c>
      <c r="P73" s="5">
        <v>46208.5</v>
      </c>
      <c r="Q73" t="s">
        <v>55</v>
      </c>
      <c r="R73" s="2" t="s">
        <v>40</v>
      </c>
      <c r="S73">
        <v>22</v>
      </c>
      <c r="T73">
        <v>1</v>
      </c>
    </row>
    <row r="74" spans="1:20" ht="30" x14ac:dyDescent="0.25">
      <c r="A74" t="s">
        <v>282</v>
      </c>
      <c r="B74">
        <v>1</v>
      </c>
      <c r="C74" s="2" t="s">
        <v>283</v>
      </c>
      <c r="D74" s="3">
        <v>18160</v>
      </c>
      <c r="E74" s="4">
        <v>20</v>
      </c>
      <c r="F74" t="s">
        <v>48</v>
      </c>
      <c r="G74" s="3">
        <f t="shared" si="5"/>
        <v>22700</v>
      </c>
      <c r="H74" s="3">
        <v>0</v>
      </c>
      <c r="I74" s="3">
        <f t="shared" si="6"/>
        <v>22700</v>
      </c>
      <c r="J74" s="2" t="s">
        <v>27</v>
      </c>
      <c r="K74" s="5">
        <v>46210.583333333343</v>
      </c>
      <c r="L74">
        <v>2</v>
      </c>
      <c r="M74" s="3">
        <f t="shared" si="7"/>
        <v>11350</v>
      </c>
      <c r="N74" t="str">
        <f t="shared" si="8"/>
        <v>ставка</v>
      </c>
      <c r="O74" s="3">
        <f t="shared" si="9"/>
        <v>445.1</v>
      </c>
      <c r="P74" s="5">
        <v>46212.5</v>
      </c>
      <c r="Q74" t="s">
        <v>48</v>
      </c>
      <c r="R74" s="2" t="s">
        <v>40</v>
      </c>
      <c r="S74">
        <v>23</v>
      </c>
      <c r="T74">
        <v>1</v>
      </c>
    </row>
    <row r="75" spans="1:20" ht="30" x14ac:dyDescent="0.25">
      <c r="A75" t="s">
        <v>284</v>
      </c>
      <c r="B75">
        <v>1</v>
      </c>
      <c r="C75" s="2" t="s">
        <v>283</v>
      </c>
      <c r="D75" s="3">
        <v>12320</v>
      </c>
      <c r="E75" s="4">
        <v>20</v>
      </c>
      <c r="F75" t="s">
        <v>48</v>
      </c>
      <c r="G75" s="3">
        <f t="shared" si="5"/>
        <v>15400</v>
      </c>
      <c r="H75" s="3">
        <v>0</v>
      </c>
      <c r="I75" s="3">
        <f t="shared" si="6"/>
        <v>15400</v>
      </c>
      <c r="J75" s="2" t="s">
        <v>27</v>
      </c>
      <c r="K75" s="5">
        <v>46215.583333333343</v>
      </c>
      <c r="L75">
        <v>2</v>
      </c>
      <c r="M75" s="3">
        <f t="shared" si="7"/>
        <v>7700</v>
      </c>
      <c r="N75" t="str">
        <f t="shared" si="8"/>
        <v>ставка</v>
      </c>
      <c r="O75" s="3">
        <f t="shared" si="9"/>
        <v>301.95999999999998</v>
      </c>
      <c r="P75" s="5">
        <v>46217.5</v>
      </c>
      <c r="Q75" t="s">
        <v>48</v>
      </c>
      <c r="R75" s="2" t="s">
        <v>58</v>
      </c>
      <c r="S75">
        <v>34</v>
      </c>
      <c r="T75">
        <v>1</v>
      </c>
    </row>
    <row r="76" spans="1:20" ht="30" x14ac:dyDescent="0.25">
      <c r="A76" t="s">
        <v>285</v>
      </c>
      <c r="B76">
        <v>1</v>
      </c>
      <c r="C76" s="2" t="s">
        <v>286</v>
      </c>
      <c r="D76" s="3">
        <v>8217</v>
      </c>
      <c r="E76" s="4">
        <v>20</v>
      </c>
      <c r="F76" t="s">
        <v>32</v>
      </c>
      <c r="G76" s="3">
        <f t="shared" si="5"/>
        <v>10271.25</v>
      </c>
      <c r="H76" s="3">
        <v>0</v>
      </c>
      <c r="I76" s="3">
        <f t="shared" si="6"/>
        <v>10271.25</v>
      </c>
      <c r="J76" s="2" t="s">
        <v>27</v>
      </c>
      <c r="K76" s="5">
        <v>46248.583333333343</v>
      </c>
      <c r="L76">
        <v>1</v>
      </c>
      <c r="M76" s="3">
        <f t="shared" si="7"/>
        <v>10271.25</v>
      </c>
      <c r="N76" t="str">
        <f t="shared" si="8"/>
        <v>ставка</v>
      </c>
      <c r="O76" s="3">
        <f t="shared" si="9"/>
        <v>201.4</v>
      </c>
      <c r="P76" s="5">
        <v>46249.5</v>
      </c>
      <c r="Q76" t="s">
        <v>32</v>
      </c>
      <c r="R76" s="2" t="s">
        <v>33</v>
      </c>
      <c r="S76">
        <v>47</v>
      </c>
      <c r="T76">
        <v>1</v>
      </c>
    </row>
    <row r="77" spans="1:20" ht="30" x14ac:dyDescent="0.25">
      <c r="A77" t="s">
        <v>287</v>
      </c>
      <c r="B77">
        <v>1</v>
      </c>
      <c r="C77" s="2" t="s">
        <v>288</v>
      </c>
      <c r="D77" s="3">
        <v>38384.5</v>
      </c>
      <c r="E77" s="4">
        <v>4</v>
      </c>
      <c r="F77" t="s">
        <v>55</v>
      </c>
      <c r="G77" s="3">
        <f t="shared" si="5"/>
        <v>39983.85</v>
      </c>
      <c r="H77" s="3">
        <v>0</v>
      </c>
      <c r="I77" s="3">
        <f t="shared" si="6"/>
        <v>39983.85</v>
      </c>
      <c r="J77" s="2" t="s">
        <v>27</v>
      </c>
      <c r="K77" s="5">
        <v>46272.583333333343</v>
      </c>
      <c r="L77">
        <v>5</v>
      </c>
      <c r="M77" s="3">
        <f t="shared" si="7"/>
        <v>7996.7699999999995</v>
      </c>
      <c r="N77" t="str">
        <f t="shared" si="8"/>
        <v>ставка</v>
      </c>
      <c r="O77" s="3">
        <f t="shared" si="9"/>
        <v>784</v>
      </c>
      <c r="P77" s="5">
        <v>46277.5</v>
      </c>
      <c r="Q77" t="s">
        <v>55</v>
      </c>
      <c r="R77" s="2" t="s">
        <v>58</v>
      </c>
      <c r="S77">
        <v>24</v>
      </c>
      <c r="T77">
        <v>1</v>
      </c>
    </row>
    <row r="78" spans="1:20" ht="30" x14ac:dyDescent="0.25">
      <c r="A78" t="s">
        <v>289</v>
      </c>
      <c r="B78">
        <v>1</v>
      </c>
      <c r="C78" s="2" t="s">
        <v>290</v>
      </c>
      <c r="D78" s="3">
        <v>47102.5</v>
      </c>
      <c r="E78" s="4">
        <v>17</v>
      </c>
      <c r="F78" t="s">
        <v>130</v>
      </c>
      <c r="G78" s="3">
        <f t="shared" si="5"/>
        <v>56750</v>
      </c>
      <c r="H78" s="3">
        <v>0</v>
      </c>
      <c r="I78" s="3">
        <f t="shared" si="6"/>
        <v>56750</v>
      </c>
      <c r="J78" s="2" t="s">
        <v>27</v>
      </c>
      <c r="K78" s="5">
        <v>46269.583333333343</v>
      </c>
      <c r="L78">
        <v>5</v>
      </c>
      <c r="M78" s="3">
        <f t="shared" si="7"/>
        <v>11350</v>
      </c>
      <c r="N78" t="str">
        <f t="shared" si="8"/>
        <v>ставка</v>
      </c>
      <c r="O78" s="3">
        <f t="shared" si="9"/>
        <v>1112.75</v>
      </c>
      <c r="P78" s="5">
        <v>46274.5</v>
      </c>
      <c r="Q78" t="s">
        <v>130</v>
      </c>
      <c r="R78" s="2" t="s">
        <v>40</v>
      </c>
      <c r="S78">
        <v>42</v>
      </c>
      <c r="T78">
        <v>1</v>
      </c>
    </row>
    <row r="79" spans="1:20" ht="30" x14ac:dyDescent="0.25">
      <c r="A79" t="s">
        <v>291</v>
      </c>
      <c r="B79">
        <v>1</v>
      </c>
      <c r="C79" s="2" t="s">
        <v>292</v>
      </c>
      <c r="D79" s="3">
        <v>6160</v>
      </c>
      <c r="E79" s="4">
        <v>20</v>
      </c>
      <c r="F79" t="s">
        <v>293</v>
      </c>
      <c r="G79" s="3">
        <f t="shared" si="5"/>
        <v>7700</v>
      </c>
      <c r="H79" s="3">
        <v>0</v>
      </c>
      <c r="I79" s="3">
        <f t="shared" si="6"/>
        <v>7700</v>
      </c>
      <c r="J79" s="2" t="s">
        <v>294</v>
      </c>
      <c r="K79" s="5">
        <v>46280.583333333343</v>
      </c>
      <c r="L79">
        <v>1</v>
      </c>
      <c r="M79" s="3">
        <f t="shared" si="7"/>
        <v>7700</v>
      </c>
      <c r="N79" t="str">
        <f t="shared" si="8"/>
        <v>ставка</v>
      </c>
      <c r="O79" s="3">
        <f t="shared" si="9"/>
        <v>150.97999999999999</v>
      </c>
      <c r="P79" s="5">
        <v>46281.5</v>
      </c>
      <c r="Q79" t="s">
        <v>293</v>
      </c>
      <c r="R79" s="2" t="s">
        <v>58</v>
      </c>
      <c r="S79">
        <v>34</v>
      </c>
      <c r="T79">
        <v>1</v>
      </c>
    </row>
    <row r="80" spans="1:20" x14ac:dyDescent="0.25">
      <c r="A80" t="s">
        <v>295</v>
      </c>
      <c r="B80">
        <v>1</v>
      </c>
      <c r="C80" s="2" t="s">
        <v>296</v>
      </c>
      <c r="D80" s="3">
        <v>13050</v>
      </c>
      <c r="E80" s="4">
        <v>0</v>
      </c>
      <c r="F80" t="s">
        <v>23</v>
      </c>
      <c r="G80" s="3">
        <f t="shared" si="5"/>
        <v>13050</v>
      </c>
      <c r="H80" s="3">
        <v>0</v>
      </c>
      <c r="I80" s="3">
        <f t="shared" si="6"/>
        <v>13050</v>
      </c>
      <c r="J80" s="2" t="s">
        <v>27</v>
      </c>
      <c r="K80" s="5">
        <v>46239.583333333343</v>
      </c>
      <c r="L80">
        <v>1</v>
      </c>
      <c r="M80" s="3">
        <f t="shared" si="7"/>
        <v>13050</v>
      </c>
      <c r="N80" t="str">
        <f t="shared" si="8"/>
        <v>ставка</v>
      </c>
      <c r="O80" s="3">
        <f t="shared" si="9"/>
        <v>255.88</v>
      </c>
      <c r="P80" s="5">
        <v>46240.5</v>
      </c>
      <c r="Q80" t="s">
        <v>23</v>
      </c>
      <c r="R80" s="2" t="s">
        <v>49</v>
      </c>
      <c r="S80">
        <v>11</v>
      </c>
      <c r="T80">
        <v>1</v>
      </c>
    </row>
    <row r="81" spans="1:20" ht="30" x14ac:dyDescent="0.25">
      <c r="A81" t="s">
        <v>297</v>
      </c>
      <c r="B81">
        <v>1</v>
      </c>
      <c r="C81" s="2" t="s">
        <v>298</v>
      </c>
      <c r="D81" s="3">
        <v>6320</v>
      </c>
      <c r="E81" s="4">
        <v>20</v>
      </c>
      <c r="F81" t="s">
        <v>48</v>
      </c>
      <c r="G81" s="3">
        <f t="shared" si="5"/>
        <v>7900</v>
      </c>
      <c r="H81" s="3">
        <v>0</v>
      </c>
      <c r="I81" s="3">
        <f t="shared" si="6"/>
        <v>7900</v>
      </c>
      <c r="J81" s="2" t="s">
        <v>27</v>
      </c>
      <c r="K81" s="5">
        <v>46262.583333333343</v>
      </c>
      <c r="L81">
        <v>1</v>
      </c>
      <c r="M81" s="3">
        <f t="shared" si="7"/>
        <v>7900</v>
      </c>
      <c r="N81" t="str">
        <f t="shared" si="8"/>
        <v>ставка</v>
      </c>
      <c r="O81" s="3">
        <f t="shared" si="9"/>
        <v>154.9</v>
      </c>
      <c r="P81" s="5">
        <v>46263.5</v>
      </c>
      <c r="Q81" t="s">
        <v>48</v>
      </c>
      <c r="R81" s="2" t="s">
        <v>40</v>
      </c>
      <c r="S81">
        <v>42</v>
      </c>
      <c r="T81">
        <v>1</v>
      </c>
    </row>
    <row r="82" spans="1:20" x14ac:dyDescent="0.25">
      <c r="A82" t="s">
        <v>301</v>
      </c>
      <c r="B82">
        <v>1</v>
      </c>
      <c r="C82" s="2" t="s">
        <v>302</v>
      </c>
      <c r="D82" s="3">
        <v>16252.5</v>
      </c>
      <c r="E82" s="4">
        <v>0</v>
      </c>
      <c r="F82" t="s">
        <v>23</v>
      </c>
      <c r="G82" s="3">
        <f t="shared" si="5"/>
        <v>16252.5</v>
      </c>
      <c r="H82" s="3">
        <v>0</v>
      </c>
      <c r="I82" s="3">
        <f t="shared" si="6"/>
        <v>16252.5</v>
      </c>
      <c r="J82" s="2" t="s">
        <v>27</v>
      </c>
      <c r="K82" s="5">
        <v>46244.583333333343</v>
      </c>
      <c r="L82">
        <v>1</v>
      </c>
      <c r="M82" s="3">
        <f t="shared" si="7"/>
        <v>16252.5</v>
      </c>
      <c r="N82" t="str">
        <f t="shared" si="8"/>
        <v>ставка</v>
      </c>
      <c r="O82" s="3">
        <f t="shared" si="9"/>
        <v>318.68</v>
      </c>
      <c r="P82" s="5">
        <v>46245.5</v>
      </c>
      <c r="Q82" t="s">
        <v>23</v>
      </c>
      <c r="R82" s="2" t="s">
        <v>49</v>
      </c>
      <c r="S82">
        <v>35</v>
      </c>
      <c r="T82">
        <v>1</v>
      </c>
    </row>
    <row r="83" spans="1:20" ht="30" x14ac:dyDescent="0.25">
      <c r="A83" t="s">
        <v>310</v>
      </c>
      <c r="B83">
        <v>1</v>
      </c>
      <c r="C83" s="2" t="s">
        <v>311</v>
      </c>
      <c r="D83" s="3">
        <v>13350</v>
      </c>
      <c r="E83" s="4">
        <v>0</v>
      </c>
      <c r="F83" t="s">
        <v>23</v>
      </c>
      <c r="G83" s="3">
        <f t="shared" si="5"/>
        <v>13350</v>
      </c>
      <c r="H83" s="3">
        <v>0</v>
      </c>
      <c r="I83" s="3">
        <f t="shared" si="6"/>
        <v>13350</v>
      </c>
      <c r="J83" s="2" t="s">
        <v>27</v>
      </c>
      <c r="K83" s="5">
        <v>46234.583333333343</v>
      </c>
      <c r="L83">
        <v>1</v>
      </c>
      <c r="M83" s="3">
        <f t="shared" si="7"/>
        <v>13350</v>
      </c>
      <c r="N83" t="str">
        <f t="shared" si="8"/>
        <v>ставка</v>
      </c>
      <c r="O83" s="3">
        <f t="shared" si="9"/>
        <v>261.76</v>
      </c>
      <c r="P83" s="5">
        <v>46235.5</v>
      </c>
      <c r="Q83" t="s">
        <v>23</v>
      </c>
      <c r="R83" s="2" t="s">
        <v>40</v>
      </c>
      <c r="S83">
        <v>36</v>
      </c>
      <c r="T83">
        <v>1</v>
      </c>
    </row>
    <row r="84" spans="1:20" ht="30" x14ac:dyDescent="0.25">
      <c r="A84" t="s">
        <v>312</v>
      </c>
      <c r="B84">
        <v>1</v>
      </c>
      <c r="C84" s="2" t="s">
        <v>311</v>
      </c>
      <c r="D84" s="3">
        <v>23760</v>
      </c>
      <c r="E84" s="4">
        <v>20</v>
      </c>
      <c r="F84" t="s">
        <v>48</v>
      </c>
      <c r="G84" s="3">
        <f t="shared" si="5"/>
        <v>29700</v>
      </c>
      <c r="H84" s="3">
        <v>0</v>
      </c>
      <c r="I84" s="3">
        <f t="shared" si="6"/>
        <v>29700</v>
      </c>
      <c r="J84" s="2" t="s">
        <v>27</v>
      </c>
      <c r="K84" s="5">
        <v>46231.583333333343</v>
      </c>
      <c r="L84">
        <v>3</v>
      </c>
      <c r="M84" s="3">
        <f t="shared" si="7"/>
        <v>9900</v>
      </c>
      <c r="N84" t="str">
        <f t="shared" si="8"/>
        <v>ставка</v>
      </c>
      <c r="O84" s="3">
        <f t="shared" si="9"/>
        <v>582.35</v>
      </c>
      <c r="P84" s="5">
        <v>46234.5</v>
      </c>
      <c r="Q84" t="s">
        <v>48</v>
      </c>
      <c r="R84" s="2" t="s">
        <v>33</v>
      </c>
      <c r="S84">
        <v>47</v>
      </c>
      <c r="T84">
        <v>1</v>
      </c>
    </row>
    <row r="85" spans="1:20" ht="30" x14ac:dyDescent="0.25">
      <c r="A85" t="s">
        <v>313</v>
      </c>
      <c r="B85">
        <v>1</v>
      </c>
      <c r="C85" s="2" t="s">
        <v>314</v>
      </c>
      <c r="D85" s="3">
        <v>9080</v>
      </c>
      <c r="E85" s="4">
        <v>20</v>
      </c>
      <c r="F85" t="s">
        <v>48</v>
      </c>
      <c r="G85" s="3">
        <f t="shared" si="5"/>
        <v>11350</v>
      </c>
      <c r="H85" s="3">
        <v>0</v>
      </c>
      <c r="I85" s="3">
        <f t="shared" si="6"/>
        <v>11350</v>
      </c>
      <c r="J85" s="2" t="s">
        <v>27</v>
      </c>
      <c r="K85" s="5">
        <v>46236.583333333343</v>
      </c>
      <c r="L85">
        <v>1</v>
      </c>
      <c r="M85" s="3">
        <f t="shared" si="7"/>
        <v>11350</v>
      </c>
      <c r="N85" t="str">
        <f t="shared" si="8"/>
        <v>ставка</v>
      </c>
      <c r="O85" s="3">
        <f t="shared" si="9"/>
        <v>222.55</v>
      </c>
      <c r="P85" s="5">
        <v>46237.5</v>
      </c>
      <c r="Q85" t="s">
        <v>48</v>
      </c>
      <c r="R85" s="2" t="s">
        <v>40</v>
      </c>
      <c r="S85">
        <v>42</v>
      </c>
      <c r="T85">
        <v>1</v>
      </c>
    </row>
    <row r="86" spans="1:20" ht="30" x14ac:dyDescent="0.25">
      <c r="A86" t="s">
        <v>315</v>
      </c>
      <c r="B86">
        <v>1</v>
      </c>
      <c r="C86" s="2" t="s">
        <v>316</v>
      </c>
      <c r="D86" s="3">
        <v>10146</v>
      </c>
      <c r="E86" s="4">
        <v>18</v>
      </c>
      <c r="F86" t="s">
        <v>32</v>
      </c>
      <c r="G86" s="3">
        <f t="shared" si="5"/>
        <v>12373.17</v>
      </c>
      <c r="H86" s="3">
        <v>0</v>
      </c>
      <c r="I86" s="3">
        <f t="shared" si="6"/>
        <v>12373.17</v>
      </c>
      <c r="J86" s="2" t="s">
        <v>27</v>
      </c>
      <c r="K86" s="5">
        <v>46215.583333333343</v>
      </c>
      <c r="L86">
        <v>1</v>
      </c>
      <c r="M86" s="3">
        <f t="shared" si="7"/>
        <v>12373.17</v>
      </c>
      <c r="N86" t="str">
        <f t="shared" si="8"/>
        <v>ставка</v>
      </c>
      <c r="O86" s="3">
        <f t="shared" si="9"/>
        <v>242.61</v>
      </c>
      <c r="P86" s="5">
        <v>46216.5</v>
      </c>
      <c r="Q86" t="s">
        <v>32</v>
      </c>
      <c r="R86" s="2" t="s">
        <v>40</v>
      </c>
      <c r="S86">
        <v>22</v>
      </c>
      <c r="T86">
        <v>1</v>
      </c>
    </row>
    <row r="87" spans="1:20" ht="30" x14ac:dyDescent="0.25">
      <c r="A87" t="s">
        <v>319</v>
      </c>
      <c r="B87">
        <v>1</v>
      </c>
      <c r="C87" s="2" t="s">
        <v>320</v>
      </c>
      <c r="D87" s="3">
        <v>33366</v>
      </c>
      <c r="E87" s="4">
        <v>0</v>
      </c>
      <c r="F87" t="s">
        <v>23</v>
      </c>
      <c r="G87" s="3">
        <f t="shared" si="5"/>
        <v>33366</v>
      </c>
      <c r="H87" s="3">
        <v>0</v>
      </c>
      <c r="I87" s="3">
        <f t="shared" si="6"/>
        <v>33366</v>
      </c>
      <c r="J87" s="2" t="s">
        <v>27</v>
      </c>
      <c r="K87" s="5">
        <v>46255.583333333343</v>
      </c>
      <c r="L87">
        <v>3</v>
      </c>
      <c r="M87" s="3">
        <f t="shared" si="7"/>
        <v>11122</v>
      </c>
      <c r="N87" t="str">
        <f t="shared" si="8"/>
        <v>ставка</v>
      </c>
      <c r="O87" s="3">
        <f t="shared" si="9"/>
        <v>654.24</v>
      </c>
      <c r="P87" s="5">
        <v>46258.5</v>
      </c>
      <c r="Q87" t="s">
        <v>23</v>
      </c>
      <c r="R87" s="2" t="s">
        <v>24</v>
      </c>
      <c r="S87">
        <v>31</v>
      </c>
      <c r="T87">
        <v>1</v>
      </c>
    </row>
    <row r="88" spans="1:20" ht="30" x14ac:dyDescent="0.25">
      <c r="A88" t="s">
        <v>321</v>
      </c>
      <c r="B88">
        <v>1</v>
      </c>
      <c r="C88" s="2" t="s">
        <v>322</v>
      </c>
      <c r="D88" s="3">
        <v>7900</v>
      </c>
      <c r="E88" s="4">
        <v>0</v>
      </c>
      <c r="F88" t="s">
        <v>23</v>
      </c>
      <c r="G88" s="3">
        <f t="shared" si="5"/>
        <v>7900</v>
      </c>
      <c r="H88" s="3">
        <v>0</v>
      </c>
      <c r="I88" s="3">
        <f t="shared" si="6"/>
        <v>7900</v>
      </c>
      <c r="J88" s="2" t="s">
        <v>27</v>
      </c>
      <c r="K88" s="5">
        <v>46222.583333333343</v>
      </c>
      <c r="L88">
        <v>1</v>
      </c>
      <c r="M88" s="3">
        <f t="shared" si="7"/>
        <v>7900</v>
      </c>
      <c r="N88" t="str">
        <f t="shared" si="8"/>
        <v>ставка</v>
      </c>
      <c r="O88" s="3">
        <f t="shared" si="9"/>
        <v>154.9</v>
      </c>
      <c r="P88" s="5">
        <v>46223.5</v>
      </c>
      <c r="Q88" t="s">
        <v>23</v>
      </c>
      <c r="R88" s="2" t="s">
        <v>33</v>
      </c>
      <c r="S88">
        <v>45</v>
      </c>
      <c r="T88">
        <v>1</v>
      </c>
    </row>
    <row r="89" spans="1:20" ht="30" x14ac:dyDescent="0.25">
      <c r="A89" t="s">
        <v>326</v>
      </c>
      <c r="B89">
        <v>1</v>
      </c>
      <c r="C89" s="2" t="s">
        <v>327</v>
      </c>
      <c r="D89" s="3">
        <v>13400</v>
      </c>
      <c r="E89" s="4">
        <v>0</v>
      </c>
      <c r="F89" t="s">
        <v>23</v>
      </c>
      <c r="G89" s="3">
        <f t="shared" si="5"/>
        <v>13400</v>
      </c>
      <c r="H89" s="3">
        <v>0</v>
      </c>
      <c r="I89" s="3">
        <f t="shared" si="6"/>
        <v>13400</v>
      </c>
      <c r="J89" s="2" t="s">
        <v>27</v>
      </c>
      <c r="K89" s="5">
        <v>46267.583333333343</v>
      </c>
      <c r="L89">
        <v>1</v>
      </c>
      <c r="M89" s="3">
        <f t="shared" si="7"/>
        <v>13400</v>
      </c>
      <c r="N89" t="str">
        <f t="shared" si="8"/>
        <v>ставка</v>
      </c>
      <c r="O89" s="3">
        <f t="shared" si="9"/>
        <v>262.75</v>
      </c>
      <c r="P89" s="5">
        <v>46268.5</v>
      </c>
      <c r="Q89" t="s">
        <v>23</v>
      </c>
      <c r="R89" s="2" t="s">
        <v>24</v>
      </c>
      <c r="S89">
        <v>21</v>
      </c>
      <c r="T89">
        <v>1</v>
      </c>
    </row>
    <row r="90" spans="1:20" ht="30" x14ac:dyDescent="0.25">
      <c r="A90" t="s">
        <v>328</v>
      </c>
      <c r="B90">
        <v>1</v>
      </c>
      <c r="C90" s="2" t="s">
        <v>329</v>
      </c>
      <c r="D90" s="3">
        <v>10998.15</v>
      </c>
      <c r="E90" s="4">
        <v>4</v>
      </c>
      <c r="F90" t="s">
        <v>55</v>
      </c>
      <c r="G90" s="3">
        <f t="shared" si="5"/>
        <v>11456.41</v>
      </c>
      <c r="H90" s="3">
        <v>0</v>
      </c>
      <c r="I90" s="3">
        <f t="shared" si="6"/>
        <v>11456.41</v>
      </c>
      <c r="J90" s="2" t="s">
        <v>27</v>
      </c>
      <c r="K90" s="5">
        <v>46276.75</v>
      </c>
      <c r="L90">
        <v>1</v>
      </c>
      <c r="M90" s="3">
        <f t="shared" si="7"/>
        <v>11456.41</v>
      </c>
      <c r="N90" t="str">
        <f t="shared" si="8"/>
        <v>ставка</v>
      </c>
      <c r="O90" s="3">
        <f t="shared" si="9"/>
        <v>224.64</v>
      </c>
      <c r="P90" s="5">
        <v>46277.5</v>
      </c>
      <c r="Q90" t="s">
        <v>55</v>
      </c>
      <c r="R90" s="2" t="s">
        <v>40</v>
      </c>
      <c r="S90">
        <v>44</v>
      </c>
      <c r="T90">
        <v>1</v>
      </c>
    </row>
    <row r="91" spans="1:20" x14ac:dyDescent="0.25">
      <c r="A91" t="s">
        <v>330</v>
      </c>
      <c r="B91">
        <v>1</v>
      </c>
      <c r="C91" s="2" t="s">
        <v>331</v>
      </c>
      <c r="D91" s="3">
        <v>14050.5</v>
      </c>
      <c r="E91" s="4">
        <v>4</v>
      </c>
      <c r="F91" t="s">
        <v>55</v>
      </c>
      <c r="G91" s="3">
        <f t="shared" si="5"/>
        <v>14635.94</v>
      </c>
      <c r="H91" s="3">
        <v>0</v>
      </c>
      <c r="I91" s="3">
        <f t="shared" si="6"/>
        <v>14635.94</v>
      </c>
      <c r="J91" s="2" t="s">
        <v>27</v>
      </c>
      <c r="K91" s="5">
        <v>46281.791666666657</v>
      </c>
      <c r="L91">
        <v>1</v>
      </c>
      <c r="M91" s="3">
        <f t="shared" si="7"/>
        <v>14635.94</v>
      </c>
      <c r="N91" t="str">
        <f t="shared" si="8"/>
        <v>ставка</v>
      </c>
      <c r="O91" s="3">
        <f t="shared" si="9"/>
        <v>286.98</v>
      </c>
      <c r="P91" s="5">
        <v>46282.5</v>
      </c>
      <c r="Q91" t="s">
        <v>55</v>
      </c>
      <c r="R91" s="2" t="s">
        <v>49</v>
      </c>
      <c r="S91">
        <v>11</v>
      </c>
      <c r="T91">
        <v>1</v>
      </c>
    </row>
    <row r="92" spans="1:20" x14ac:dyDescent="0.25">
      <c r="A92" t="s">
        <v>334</v>
      </c>
      <c r="B92">
        <v>1</v>
      </c>
      <c r="C92" s="2" t="s">
        <v>335</v>
      </c>
      <c r="D92" s="3">
        <v>24650</v>
      </c>
      <c r="E92" s="4">
        <v>15</v>
      </c>
      <c r="F92" t="s">
        <v>36</v>
      </c>
      <c r="G92" s="3">
        <f t="shared" si="5"/>
        <v>29000</v>
      </c>
      <c r="H92" s="3">
        <v>0</v>
      </c>
      <c r="I92" s="3">
        <f t="shared" si="6"/>
        <v>29000</v>
      </c>
      <c r="J92" s="2" t="s">
        <v>27</v>
      </c>
      <c r="K92" s="5">
        <v>46232.583333333343</v>
      </c>
      <c r="L92">
        <v>2</v>
      </c>
      <c r="M92" s="3">
        <f t="shared" si="7"/>
        <v>14500</v>
      </c>
      <c r="N92" t="str">
        <f t="shared" si="8"/>
        <v>ставка</v>
      </c>
      <c r="O92" s="3">
        <f t="shared" si="9"/>
        <v>568.63</v>
      </c>
      <c r="P92" s="5">
        <v>46234.5</v>
      </c>
      <c r="Q92" t="s">
        <v>36</v>
      </c>
      <c r="R92" s="2" t="s">
        <v>49</v>
      </c>
      <c r="S92">
        <v>35</v>
      </c>
      <c r="T92">
        <v>1</v>
      </c>
    </row>
    <row r="93" spans="1:20" ht="30" x14ac:dyDescent="0.25">
      <c r="A93" t="s">
        <v>337</v>
      </c>
      <c r="B93">
        <v>1</v>
      </c>
      <c r="C93" s="2" t="s">
        <v>338</v>
      </c>
      <c r="D93" s="3">
        <v>43280</v>
      </c>
      <c r="E93" s="4">
        <v>20</v>
      </c>
      <c r="F93" t="s">
        <v>48</v>
      </c>
      <c r="G93" s="3">
        <f t="shared" si="5"/>
        <v>54100</v>
      </c>
      <c r="H93" s="3">
        <v>0</v>
      </c>
      <c r="I93" s="3">
        <f t="shared" si="6"/>
        <v>54100</v>
      </c>
      <c r="J93" s="2"/>
      <c r="K93" s="5">
        <v>46295.583333333343</v>
      </c>
      <c r="L93">
        <v>6</v>
      </c>
      <c r="M93" s="3">
        <f t="shared" si="7"/>
        <v>9016.6666666666661</v>
      </c>
      <c r="N93" t="str">
        <f t="shared" si="8"/>
        <v>ставка</v>
      </c>
      <c r="O93" s="3">
        <f t="shared" si="9"/>
        <v>1060.78</v>
      </c>
      <c r="P93" s="5">
        <v>46301.5</v>
      </c>
      <c r="Q93" t="s">
        <v>48</v>
      </c>
      <c r="R93" s="2" t="s">
        <v>40</v>
      </c>
      <c r="S93">
        <v>32</v>
      </c>
      <c r="T93">
        <v>1</v>
      </c>
    </row>
    <row r="94" spans="1:20" ht="30" x14ac:dyDescent="0.25">
      <c r="A94" t="s">
        <v>339</v>
      </c>
      <c r="B94">
        <v>1</v>
      </c>
      <c r="C94" s="2" t="s">
        <v>340</v>
      </c>
      <c r="D94" s="3">
        <v>56750</v>
      </c>
      <c r="E94" s="4">
        <v>0</v>
      </c>
      <c r="F94" t="s">
        <v>23</v>
      </c>
      <c r="G94" s="3">
        <f t="shared" si="5"/>
        <v>56750</v>
      </c>
      <c r="H94" s="3">
        <v>5675</v>
      </c>
      <c r="I94" s="3">
        <f t="shared" si="6"/>
        <v>62425</v>
      </c>
      <c r="J94" s="2" t="s">
        <v>341</v>
      </c>
      <c r="K94" s="5">
        <v>46278.583333333343</v>
      </c>
      <c r="L94">
        <v>5</v>
      </c>
      <c r="M94" s="3">
        <f t="shared" si="7"/>
        <v>12485</v>
      </c>
      <c r="N94" t="str">
        <f t="shared" si="8"/>
        <v>ставка</v>
      </c>
      <c r="O94" s="3">
        <f t="shared" si="9"/>
        <v>1224.02</v>
      </c>
      <c r="P94" s="5">
        <v>46283.75</v>
      </c>
      <c r="Q94" t="s">
        <v>23</v>
      </c>
      <c r="R94" s="2" t="s">
        <v>40</v>
      </c>
      <c r="S94">
        <v>33</v>
      </c>
      <c r="T94">
        <v>1</v>
      </c>
    </row>
    <row r="95" spans="1:20" ht="30" x14ac:dyDescent="0.25">
      <c r="A95" t="s">
        <v>342</v>
      </c>
      <c r="B95">
        <v>1</v>
      </c>
      <c r="C95" s="2" t="s">
        <v>343</v>
      </c>
      <c r="D95" s="3">
        <v>9880</v>
      </c>
      <c r="E95" s="4">
        <v>18</v>
      </c>
      <c r="F95" t="s">
        <v>32</v>
      </c>
      <c r="G95" s="3">
        <f t="shared" si="5"/>
        <v>12048.78</v>
      </c>
      <c r="H95" s="3">
        <v>0</v>
      </c>
      <c r="I95" s="3">
        <f t="shared" si="6"/>
        <v>12048.78</v>
      </c>
      <c r="J95" s="2" t="s">
        <v>27</v>
      </c>
      <c r="K95" s="5">
        <v>46213.583333333343</v>
      </c>
      <c r="L95">
        <v>1</v>
      </c>
      <c r="M95" s="3">
        <f t="shared" si="7"/>
        <v>12048.78</v>
      </c>
      <c r="N95" t="str">
        <f t="shared" si="8"/>
        <v>ставка</v>
      </c>
      <c r="O95" s="3">
        <f t="shared" si="9"/>
        <v>236.25</v>
      </c>
      <c r="P95" s="5">
        <v>46214.5</v>
      </c>
      <c r="Q95" t="s">
        <v>32</v>
      </c>
      <c r="R95" s="2" t="s">
        <v>40</v>
      </c>
      <c r="S95">
        <v>36</v>
      </c>
      <c r="T95">
        <v>1</v>
      </c>
    </row>
    <row r="96" spans="1:20" x14ac:dyDescent="0.25">
      <c r="A96" t="s">
        <v>348</v>
      </c>
      <c r="B96">
        <v>1</v>
      </c>
      <c r="C96" s="2" t="s">
        <v>347</v>
      </c>
      <c r="D96" s="3">
        <v>13050</v>
      </c>
      <c r="E96" s="4">
        <v>0</v>
      </c>
      <c r="F96" t="s">
        <v>23</v>
      </c>
      <c r="G96" s="3">
        <f t="shared" si="5"/>
        <v>13050</v>
      </c>
      <c r="H96" s="3">
        <v>0</v>
      </c>
      <c r="I96" s="3">
        <f t="shared" si="6"/>
        <v>13050</v>
      </c>
      <c r="J96" s="2" t="s">
        <v>27</v>
      </c>
      <c r="K96" s="5">
        <v>46227.583333333343</v>
      </c>
      <c r="L96">
        <v>1</v>
      </c>
      <c r="M96" s="3">
        <f t="shared" si="7"/>
        <v>13050</v>
      </c>
      <c r="N96" t="str">
        <f t="shared" si="8"/>
        <v>ставка</v>
      </c>
      <c r="O96" s="3">
        <f t="shared" si="9"/>
        <v>255.88</v>
      </c>
      <c r="P96" s="5">
        <v>46228.5</v>
      </c>
      <c r="Q96" t="s">
        <v>23</v>
      </c>
      <c r="R96" s="2" t="s">
        <v>49</v>
      </c>
      <c r="S96">
        <v>25</v>
      </c>
      <c r="T96">
        <v>1</v>
      </c>
    </row>
    <row r="97" spans="1:20" ht="30" x14ac:dyDescent="0.25">
      <c r="A97" t="s">
        <v>349</v>
      </c>
      <c r="B97">
        <v>1</v>
      </c>
      <c r="C97" s="2" t="s">
        <v>347</v>
      </c>
      <c r="D97" s="3">
        <v>10215</v>
      </c>
      <c r="E97" s="4">
        <v>0</v>
      </c>
      <c r="F97" t="s">
        <v>23</v>
      </c>
      <c r="G97" s="3">
        <f t="shared" si="5"/>
        <v>10215</v>
      </c>
      <c r="H97" s="3">
        <v>0</v>
      </c>
      <c r="I97" s="3">
        <f t="shared" si="6"/>
        <v>10215</v>
      </c>
      <c r="J97" s="2" t="s">
        <v>27</v>
      </c>
      <c r="K97" s="5">
        <v>46255.583333333343</v>
      </c>
      <c r="L97">
        <v>1</v>
      </c>
      <c r="M97" s="3">
        <f t="shared" si="7"/>
        <v>10215</v>
      </c>
      <c r="N97" t="str">
        <f t="shared" si="8"/>
        <v>ставка</v>
      </c>
      <c r="O97" s="3">
        <f t="shared" si="9"/>
        <v>200.29</v>
      </c>
      <c r="P97" s="5">
        <v>46256.5</v>
      </c>
      <c r="Q97" t="s">
        <v>23</v>
      </c>
      <c r="R97" s="2" t="s">
        <v>40</v>
      </c>
      <c r="S97">
        <v>33</v>
      </c>
      <c r="T97">
        <v>1</v>
      </c>
    </row>
    <row r="98" spans="1:20" ht="30" x14ac:dyDescent="0.25">
      <c r="A98" t="s">
        <v>350</v>
      </c>
      <c r="B98">
        <v>1</v>
      </c>
      <c r="C98" s="2" t="s">
        <v>351</v>
      </c>
      <c r="D98" s="3">
        <v>16500</v>
      </c>
      <c r="E98" s="4">
        <v>0</v>
      </c>
      <c r="F98" t="s">
        <v>23</v>
      </c>
      <c r="G98" s="3">
        <f t="shared" si="5"/>
        <v>16500</v>
      </c>
      <c r="H98" s="3">
        <v>0</v>
      </c>
      <c r="I98" s="3">
        <f t="shared" si="6"/>
        <v>16500</v>
      </c>
      <c r="J98" s="2" t="s">
        <v>27</v>
      </c>
      <c r="K98" s="5">
        <v>46235.583333333343</v>
      </c>
      <c r="L98">
        <v>1</v>
      </c>
      <c r="M98" s="3">
        <f t="shared" si="7"/>
        <v>16500</v>
      </c>
      <c r="N98" t="str">
        <f t="shared" si="8"/>
        <v>ставка</v>
      </c>
      <c r="O98" s="3">
        <f t="shared" si="9"/>
        <v>323.52999999999997</v>
      </c>
      <c r="P98" s="5">
        <v>46236.5</v>
      </c>
      <c r="Q98" t="s">
        <v>23</v>
      </c>
      <c r="R98" s="2" t="s">
        <v>49</v>
      </c>
      <c r="S98">
        <v>25</v>
      </c>
      <c r="T98">
        <v>1</v>
      </c>
    </row>
    <row r="99" spans="1:20" ht="30" x14ac:dyDescent="0.25">
      <c r="A99" t="s">
        <v>352</v>
      </c>
      <c r="B99">
        <v>1</v>
      </c>
      <c r="C99" s="2" t="s">
        <v>353</v>
      </c>
      <c r="D99" s="3">
        <v>67284</v>
      </c>
      <c r="E99" s="4">
        <v>16</v>
      </c>
      <c r="F99" t="s">
        <v>36</v>
      </c>
      <c r="G99" s="3">
        <f t="shared" si="5"/>
        <v>80100</v>
      </c>
      <c r="H99" s="3">
        <v>0</v>
      </c>
      <c r="I99" s="3">
        <f t="shared" si="6"/>
        <v>80100</v>
      </c>
      <c r="J99" s="2" t="s">
        <v>27</v>
      </c>
      <c r="K99" s="5">
        <v>46263.583333333343</v>
      </c>
      <c r="L99">
        <v>6</v>
      </c>
      <c r="M99" s="3">
        <f t="shared" si="7"/>
        <v>13350</v>
      </c>
      <c r="N99" t="str">
        <f t="shared" si="8"/>
        <v>ставка</v>
      </c>
      <c r="O99" s="3">
        <f t="shared" si="9"/>
        <v>1570.59</v>
      </c>
      <c r="P99" s="5">
        <v>46269.5</v>
      </c>
      <c r="Q99" t="s">
        <v>36</v>
      </c>
      <c r="R99" s="2" t="s">
        <v>40</v>
      </c>
      <c r="S99">
        <v>42</v>
      </c>
      <c r="T99">
        <v>1</v>
      </c>
    </row>
    <row r="100" spans="1:20" ht="30" x14ac:dyDescent="0.25">
      <c r="A100" t="s">
        <v>354</v>
      </c>
      <c r="B100">
        <v>1</v>
      </c>
      <c r="C100" s="2" t="s">
        <v>355</v>
      </c>
      <c r="D100" s="3">
        <v>12015</v>
      </c>
      <c r="E100" s="4">
        <v>0</v>
      </c>
      <c r="F100" t="s">
        <v>23</v>
      </c>
      <c r="G100" s="3">
        <f t="shared" si="5"/>
        <v>12015</v>
      </c>
      <c r="H100" s="3">
        <v>0</v>
      </c>
      <c r="I100" s="3">
        <f t="shared" si="6"/>
        <v>12015</v>
      </c>
      <c r="J100" s="2" t="s">
        <v>27</v>
      </c>
      <c r="K100" s="5">
        <v>46232.583333333343</v>
      </c>
      <c r="L100">
        <v>1</v>
      </c>
      <c r="M100" s="3">
        <f t="shared" si="7"/>
        <v>12015</v>
      </c>
      <c r="N100" t="str">
        <f t="shared" si="8"/>
        <v>ставка</v>
      </c>
      <c r="O100" s="3">
        <f t="shared" si="9"/>
        <v>235.59</v>
      </c>
      <c r="P100" s="5">
        <v>46233.5</v>
      </c>
      <c r="Q100" t="s">
        <v>23</v>
      </c>
      <c r="R100" s="2" t="s">
        <v>40</v>
      </c>
      <c r="S100">
        <v>33</v>
      </c>
      <c r="T100">
        <v>1</v>
      </c>
    </row>
    <row r="101" spans="1:20" ht="30" x14ac:dyDescent="0.25">
      <c r="A101" t="s">
        <v>356</v>
      </c>
      <c r="B101">
        <v>1</v>
      </c>
      <c r="C101" s="2" t="s">
        <v>357</v>
      </c>
      <c r="D101" s="3">
        <v>56826</v>
      </c>
      <c r="E101" s="4">
        <v>18</v>
      </c>
      <c r="F101" t="s">
        <v>32</v>
      </c>
      <c r="G101" s="3">
        <f t="shared" si="5"/>
        <v>69300</v>
      </c>
      <c r="H101" s="3">
        <v>0</v>
      </c>
      <c r="I101" s="3">
        <f t="shared" si="6"/>
        <v>69300</v>
      </c>
      <c r="J101" s="2" t="s">
        <v>27</v>
      </c>
      <c r="K101" s="5">
        <v>46204.583333333343</v>
      </c>
      <c r="L101">
        <v>7</v>
      </c>
      <c r="M101" s="3">
        <f t="shared" si="7"/>
        <v>9900</v>
      </c>
      <c r="N101" t="str">
        <f t="shared" si="8"/>
        <v>ставка</v>
      </c>
      <c r="O101" s="3">
        <f t="shared" si="9"/>
        <v>1358.82</v>
      </c>
      <c r="P101" s="5">
        <v>46211.5</v>
      </c>
      <c r="Q101" t="s">
        <v>32</v>
      </c>
      <c r="R101" s="2" t="s">
        <v>33</v>
      </c>
      <c r="S101">
        <v>41</v>
      </c>
      <c r="T101">
        <v>1</v>
      </c>
    </row>
    <row r="102" spans="1:20" ht="30" x14ac:dyDescent="0.25">
      <c r="A102" t="s">
        <v>358</v>
      </c>
      <c r="B102">
        <v>1</v>
      </c>
      <c r="C102" s="2" t="s">
        <v>359</v>
      </c>
      <c r="D102" s="3">
        <v>24640</v>
      </c>
      <c r="E102" s="4">
        <v>20</v>
      </c>
      <c r="F102" t="s">
        <v>293</v>
      </c>
      <c r="G102" s="3">
        <f t="shared" si="5"/>
        <v>30800</v>
      </c>
      <c r="H102" s="3">
        <v>30800</v>
      </c>
      <c r="I102" s="3">
        <f t="shared" si="6"/>
        <v>61600</v>
      </c>
      <c r="J102" s="2" t="s">
        <v>360</v>
      </c>
      <c r="K102" s="5">
        <v>46261.583333333343</v>
      </c>
      <c r="L102">
        <v>4</v>
      </c>
      <c r="M102" s="3">
        <f t="shared" si="7"/>
        <v>15400</v>
      </c>
      <c r="N102" t="str">
        <f t="shared" si="8"/>
        <v>ставка</v>
      </c>
      <c r="O102" s="3">
        <f t="shared" si="9"/>
        <v>1207.8399999999999</v>
      </c>
      <c r="P102" s="5">
        <v>46265.5</v>
      </c>
      <c r="Q102" t="s">
        <v>293</v>
      </c>
      <c r="R102" s="2" t="s">
        <v>24</v>
      </c>
      <c r="S102">
        <v>21</v>
      </c>
      <c r="T102">
        <v>1</v>
      </c>
    </row>
    <row r="103" spans="1:20" ht="30" x14ac:dyDescent="0.25">
      <c r="A103" t="s">
        <v>361</v>
      </c>
      <c r="B103">
        <v>1</v>
      </c>
      <c r="C103" s="2" t="s">
        <v>362</v>
      </c>
      <c r="D103" s="3">
        <v>26499.75</v>
      </c>
      <c r="E103" s="4">
        <v>4</v>
      </c>
      <c r="F103" t="s">
        <v>55</v>
      </c>
      <c r="G103" s="3">
        <f t="shared" si="5"/>
        <v>27603.91</v>
      </c>
      <c r="H103" s="3">
        <v>0</v>
      </c>
      <c r="I103" s="3">
        <f t="shared" si="6"/>
        <v>27603.91</v>
      </c>
      <c r="J103" s="2" t="s">
        <v>27</v>
      </c>
      <c r="K103" s="5">
        <v>46241.583333333343</v>
      </c>
      <c r="L103">
        <v>2</v>
      </c>
      <c r="M103" s="3">
        <f t="shared" si="7"/>
        <v>13801.955</v>
      </c>
      <c r="N103" t="str">
        <f t="shared" si="8"/>
        <v>ставка</v>
      </c>
      <c r="O103" s="3">
        <f t="shared" si="9"/>
        <v>541.25</v>
      </c>
      <c r="P103" s="5">
        <v>46243.5</v>
      </c>
      <c r="Q103" t="s">
        <v>55</v>
      </c>
      <c r="R103" s="2" t="s">
        <v>40</v>
      </c>
      <c r="S103">
        <v>42</v>
      </c>
      <c r="T103">
        <v>1</v>
      </c>
    </row>
    <row r="104" spans="1:20" ht="30" x14ac:dyDescent="0.25">
      <c r="A104" t="s">
        <v>363</v>
      </c>
      <c r="B104">
        <v>1</v>
      </c>
      <c r="C104" s="2" t="s">
        <v>364</v>
      </c>
      <c r="D104" s="3">
        <v>11350</v>
      </c>
      <c r="E104" s="4">
        <v>0</v>
      </c>
      <c r="F104" t="s">
        <v>23</v>
      </c>
      <c r="G104" s="3">
        <f t="shared" si="5"/>
        <v>11350</v>
      </c>
      <c r="H104" s="3">
        <v>0</v>
      </c>
      <c r="I104" s="3">
        <f t="shared" si="6"/>
        <v>11350</v>
      </c>
      <c r="J104" s="2" t="s">
        <v>27</v>
      </c>
      <c r="K104" s="5">
        <v>46251.583333333343</v>
      </c>
      <c r="L104">
        <v>1</v>
      </c>
      <c r="M104" s="3">
        <f t="shared" si="7"/>
        <v>11350</v>
      </c>
      <c r="N104" t="str">
        <f t="shared" si="8"/>
        <v>ставка</v>
      </c>
      <c r="O104" s="3">
        <f t="shared" si="9"/>
        <v>222.55</v>
      </c>
      <c r="P104" s="5">
        <v>46252.5</v>
      </c>
      <c r="Q104" t="s">
        <v>23</v>
      </c>
      <c r="R104" s="2" t="s">
        <v>40</v>
      </c>
      <c r="S104">
        <v>23</v>
      </c>
      <c r="T104">
        <v>1</v>
      </c>
    </row>
    <row r="105" spans="1:20" ht="30" x14ac:dyDescent="0.25">
      <c r="A105" t="s">
        <v>368</v>
      </c>
      <c r="B105">
        <v>1</v>
      </c>
      <c r="C105" s="2" t="s">
        <v>369</v>
      </c>
      <c r="D105" s="3">
        <v>13090</v>
      </c>
      <c r="E105" s="4">
        <v>15</v>
      </c>
      <c r="F105" t="s">
        <v>52</v>
      </c>
      <c r="G105" s="3">
        <f t="shared" si="5"/>
        <v>15400</v>
      </c>
      <c r="H105" s="3">
        <v>0</v>
      </c>
      <c r="I105" s="3">
        <f t="shared" si="6"/>
        <v>15400</v>
      </c>
      <c r="J105" s="2" t="s">
        <v>27</v>
      </c>
      <c r="K105" s="5">
        <v>46285.75</v>
      </c>
      <c r="L105">
        <v>2</v>
      </c>
      <c r="M105" s="3">
        <f t="shared" si="7"/>
        <v>7700</v>
      </c>
      <c r="N105" t="str">
        <f t="shared" si="8"/>
        <v>ставка</v>
      </c>
      <c r="O105" s="3">
        <f t="shared" si="9"/>
        <v>301.95999999999998</v>
      </c>
      <c r="P105" s="5">
        <v>46287.5</v>
      </c>
      <c r="Q105" t="s">
        <v>52</v>
      </c>
      <c r="R105" s="2" t="s">
        <v>58</v>
      </c>
      <c r="S105">
        <v>34</v>
      </c>
      <c r="T105">
        <v>1</v>
      </c>
    </row>
    <row r="106" spans="1:20" x14ac:dyDescent="0.25">
      <c r="A106" t="s">
        <v>382</v>
      </c>
      <c r="B106">
        <v>1</v>
      </c>
      <c r="C106" s="2" t="s">
        <v>383</v>
      </c>
      <c r="D106" s="3">
        <v>47560</v>
      </c>
      <c r="E106" s="4">
        <v>18</v>
      </c>
      <c r="F106" t="s">
        <v>147</v>
      </c>
      <c r="G106" s="3">
        <f t="shared" si="5"/>
        <v>58000</v>
      </c>
      <c r="H106" s="3">
        <v>0</v>
      </c>
      <c r="I106" s="3">
        <f t="shared" si="6"/>
        <v>58000</v>
      </c>
      <c r="J106" s="2" t="s">
        <v>27</v>
      </c>
      <c r="K106" s="5">
        <v>46251.583333333343</v>
      </c>
      <c r="L106">
        <v>4</v>
      </c>
      <c r="M106" s="3">
        <f t="shared" si="7"/>
        <v>14500</v>
      </c>
      <c r="N106" t="str">
        <f t="shared" si="8"/>
        <v>ставка</v>
      </c>
      <c r="O106" s="3">
        <f t="shared" si="9"/>
        <v>1137.25</v>
      </c>
      <c r="P106" s="5">
        <v>46255.5</v>
      </c>
      <c r="Q106" t="s">
        <v>147</v>
      </c>
      <c r="R106" s="2" t="s">
        <v>49</v>
      </c>
      <c r="S106">
        <v>11</v>
      </c>
      <c r="T106">
        <v>1</v>
      </c>
    </row>
    <row r="107" spans="1:20" ht="30" x14ac:dyDescent="0.25">
      <c r="A107" t="s">
        <v>385</v>
      </c>
      <c r="B107">
        <v>1</v>
      </c>
      <c r="C107" s="2" t="s">
        <v>386</v>
      </c>
      <c r="D107" s="3">
        <v>9593.1</v>
      </c>
      <c r="E107" s="4">
        <v>4</v>
      </c>
      <c r="F107" t="s">
        <v>55</v>
      </c>
      <c r="G107" s="3">
        <f t="shared" si="5"/>
        <v>9992.81</v>
      </c>
      <c r="H107" s="3">
        <v>0</v>
      </c>
      <c r="I107" s="3">
        <f t="shared" si="6"/>
        <v>9992.81</v>
      </c>
      <c r="J107" s="2" t="s">
        <v>27</v>
      </c>
      <c r="K107" s="5">
        <v>46251.583333333343</v>
      </c>
      <c r="L107">
        <v>1</v>
      </c>
      <c r="M107" s="3">
        <f t="shared" si="7"/>
        <v>9992.81</v>
      </c>
      <c r="N107" t="str">
        <f t="shared" si="8"/>
        <v>ставка</v>
      </c>
      <c r="O107" s="3">
        <f t="shared" si="9"/>
        <v>195.94</v>
      </c>
      <c r="P107" s="5">
        <v>46252.5</v>
      </c>
      <c r="Q107" t="s">
        <v>55</v>
      </c>
      <c r="R107" s="2" t="s">
        <v>33</v>
      </c>
      <c r="S107">
        <v>43</v>
      </c>
      <c r="T107">
        <v>1</v>
      </c>
    </row>
    <row r="108" spans="1:20" ht="45" x14ac:dyDescent="0.25">
      <c r="A108" t="s">
        <v>387</v>
      </c>
      <c r="B108">
        <v>1</v>
      </c>
      <c r="C108" s="2" t="s">
        <v>388</v>
      </c>
      <c r="D108" s="3">
        <v>67000</v>
      </c>
      <c r="E108" s="4">
        <v>0</v>
      </c>
      <c r="F108" t="s">
        <v>23</v>
      </c>
      <c r="G108" s="3">
        <f t="shared" si="5"/>
        <v>67000</v>
      </c>
      <c r="H108" s="3">
        <v>1300</v>
      </c>
      <c r="I108" s="3">
        <f t="shared" si="6"/>
        <v>68300</v>
      </c>
      <c r="J108" s="2" t="s">
        <v>389</v>
      </c>
      <c r="K108" s="5">
        <v>46273.583333333343</v>
      </c>
      <c r="L108">
        <v>5</v>
      </c>
      <c r="M108" s="3">
        <f t="shared" si="7"/>
        <v>13660</v>
      </c>
      <c r="N108" t="str">
        <f t="shared" si="8"/>
        <v>ставка</v>
      </c>
      <c r="O108" s="3">
        <f t="shared" si="9"/>
        <v>1339.22</v>
      </c>
      <c r="P108" s="5">
        <v>46278.5</v>
      </c>
      <c r="Q108" t="s">
        <v>23</v>
      </c>
      <c r="R108" s="2" t="s">
        <v>24</v>
      </c>
      <c r="S108">
        <v>21</v>
      </c>
      <c r="T108">
        <v>1</v>
      </c>
    </row>
    <row r="109" spans="1:20" ht="30" x14ac:dyDescent="0.25">
      <c r="A109" t="s">
        <v>390</v>
      </c>
      <c r="B109">
        <v>1</v>
      </c>
      <c r="C109" s="2" t="s">
        <v>391</v>
      </c>
      <c r="D109" s="3">
        <v>22161</v>
      </c>
      <c r="E109" s="4">
        <v>18</v>
      </c>
      <c r="F109" t="s">
        <v>32</v>
      </c>
      <c r="G109" s="3">
        <f t="shared" si="5"/>
        <v>27025.61</v>
      </c>
      <c r="H109" s="3">
        <v>0</v>
      </c>
      <c r="I109" s="3">
        <f t="shared" si="6"/>
        <v>27025.61</v>
      </c>
      <c r="J109" s="2" t="s">
        <v>27</v>
      </c>
      <c r="K109" s="5">
        <v>46263.583333333343</v>
      </c>
      <c r="L109">
        <v>2</v>
      </c>
      <c r="M109" s="3">
        <f t="shared" si="7"/>
        <v>13512.805</v>
      </c>
      <c r="N109" t="str">
        <f t="shared" si="8"/>
        <v>ставка</v>
      </c>
      <c r="O109" s="3">
        <f t="shared" si="9"/>
        <v>529.91</v>
      </c>
      <c r="P109" s="5">
        <v>46265.5</v>
      </c>
      <c r="Q109" t="s">
        <v>32</v>
      </c>
      <c r="R109" s="2" t="s">
        <v>40</v>
      </c>
      <c r="S109">
        <v>23</v>
      </c>
      <c r="T109">
        <v>1</v>
      </c>
    </row>
    <row r="110" spans="1:20" ht="30" x14ac:dyDescent="0.25">
      <c r="A110" t="s">
        <v>392</v>
      </c>
      <c r="B110">
        <v>1</v>
      </c>
      <c r="C110" s="2" t="s">
        <v>393</v>
      </c>
      <c r="D110" s="3">
        <v>28182</v>
      </c>
      <c r="E110" s="4">
        <v>17</v>
      </c>
      <c r="F110" t="s">
        <v>394</v>
      </c>
      <c r="G110" s="3">
        <f t="shared" si="5"/>
        <v>33954.22</v>
      </c>
      <c r="H110" s="3">
        <v>0</v>
      </c>
      <c r="I110" s="3">
        <f t="shared" si="6"/>
        <v>33954.22</v>
      </c>
      <c r="J110" s="2" t="s">
        <v>27</v>
      </c>
      <c r="K110" s="5">
        <v>46245.583333333343</v>
      </c>
      <c r="L110">
        <v>2</v>
      </c>
      <c r="M110" s="3">
        <f t="shared" si="7"/>
        <v>16977.11</v>
      </c>
      <c r="N110" t="str">
        <f t="shared" si="8"/>
        <v>ставка</v>
      </c>
      <c r="O110" s="3">
        <f t="shared" si="9"/>
        <v>665.77</v>
      </c>
      <c r="P110" s="5">
        <v>46247.5</v>
      </c>
      <c r="Q110" t="s">
        <v>394</v>
      </c>
      <c r="R110" s="2" t="s">
        <v>24</v>
      </c>
      <c r="S110">
        <v>31</v>
      </c>
      <c r="T110">
        <v>1</v>
      </c>
    </row>
    <row r="111" spans="1:20" ht="30" x14ac:dyDescent="0.25">
      <c r="A111" t="s">
        <v>403</v>
      </c>
      <c r="B111">
        <v>1</v>
      </c>
      <c r="C111" s="2" t="s">
        <v>404</v>
      </c>
      <c r="D111" s="3">
        <v>9080</v>
      </c>
      <c r="E111" s="4">
        <v>20</v>
      </c>
      <c r="F111" t="s">
        <v>48</v>
      </c>
      <c r="G111" s="3">
        <f t="shared" si="5"/>
        <v>11350</v>
      </c>
      <c r="H111" s="3">
        <v>0</v>
      </c>
      <c r="I111" s="3">
        <f t="shared" si="6"/>
        <v>11350</v>
      </c>
      <c r="J111" s="2" t="s">
        <v>27</v>
      </c>
      <c r="K111" s="5">
        <v>46271.583333333343</v>
      </c>
      <c r="L111">
        <v>1</v>
      </c>
      <c r="M111" s="3">
        <f t="shared" si="7"/>
        <v>11350</v>
      </c>
      <c r="N111" t="str">
        <f t="shared" si="8"/>
        <v>ставка</v>
      </c>
      <c r="O111" s="3">
        <f t="shared" si="9"/>
        <v>222.55</v>
      </c>
      <c r="P111" s="5">
        <v>46272.5</v>
      </c>
      <c r="Q111" t="s">
        <v>48</v>
      </c>
      <c r="R111" s="2" t="s">
        <v>40</v>
      </c>
      <c r="S111">
        <v>26</v>
      </c>
      <c r="T111">
        <v>1</v>
      </c>
    </row>
    <row r="112" spans="1:20" ht="30" x14ac:dyDescent="0.25">
      <c r="A112" t="s">
        <v>407</v>
      </c>
      <c r="B112">
        <v>1</v>
      </c>
      <c r="C112" s="2" t="s">
        <v>408</v>
      </c>
      <c r="D112" s="3">
        <v>33660</v>
      </c>
      <c r="E112" s="4">
        <v>15</v>
      </c>
      <c r="F112" t="s">
        <v>52</v>
      </c>
      <c r="G112" s="3">
        <f t="shared" si="5"/>
        <v>39600</v>
      </c>
      <c r="H112" s="3">
        <v>0</v>
      </c>
      <c r="I112" s="3">
        <f t="shared" si="6"/>
        <v>39600</v>
      </c>
      <c r="J112" s="2" t="s">
        <v>27</v>
      </c>
      <c r="K112" s="5">
        <v>46259.583333333343</v>
      </c>
      <c r="L112">
        <v>4</v>
      </c>
      <c r="M112" s="3">
        <f t="shared" si="7"/>
        <v>9900</v>
      </c>
      <c r="N112" t="str">
        <f t="shared" si="8"/>
        <v>ставка</v>
      </c>
      <c r="O112" s="3">
        <f t="shared" si="9"/>
        <v>776.47</v>
      </c>
      <c r="P112" s="5">
        <v>46263.5</v>
      </c>
      <c r="Q112" t="s">
        <v>52</v>
      </c>
      <c r="R112" s="2" t="s">
        <v>33</v>
      </c>
      <c r="S112">
        <v>47</v>
      </c>
      <c r="T112">
        <v>1</v>
      </c>
    </row>
    <row r="113" spans="1:20" ht="30" x14ac:dyDescent="0.25">
      <c r="A113" t="s">
        <v>409</v>
      </c>
      <c r="B113">
        <v>1</v>
      </c>
      <c r="C113" s="2" t="s">
        <v>410</v>
      </c>
      <c r="D113" s="3">
        <v>34042.5</v>
      </c>
      <c r="E113" s="4">
        <v>15</v>
      </c>
      <c r="F113" t="s">
        <v>411</v>
      </c>
      <c r="G113" s="3">
        <f t="shared" si="5"/>
        <v>40050</v>
      </c>
      <c r="H113" s="3">
        <v>0</v>
      </c>
      <c r="I113" s="3">
        <f t="shared" si="6"/>
        <v>40050</v>
      </c>
      <c r="J113" s="2" t="s">
        <v>27</v>
      </c>
      <c r="K113" s="5">
        <v>46291.583333333343</v>
      </c>
      <c r="L113">
        <v>3</v>
      </c>
      <c r="M113" s="3">
        <f t="shared" si="7"/>
        <v>13350</v>
      </c>
      <c r="N113" t="str">
        <f t="shared" si="8"/>
        <v>ставка</v>
      </c>
      <c r="O113" s="3">
        <f t="shared" si="9"/>
        <v>785.29</v>
      </c>
      <c r="P113" s="5">
        <v>46294.5</v>
      </c>
      <c r="Q113" t="s">
        <v>411</v>
      </c>
      <c r="R113" s="2" t="s">
        <v>40</v>
      </c>
      <c r="S113">
        <v>42</v>
      </c>
      <c r="T113">
        <v>1</v>
      </c>
    </row>
    <row r="114" spans="1:20" ht="30" x14ac:dyDescent="0.25">
      <c r="A114" t="s">
        <v>414</v>
      </c>
      <c r="B114">
        <v>1</v>
      </c>
      <c r="C114" s="2" t="s">
        <v>415</v>
      </c>
      <c r="D114" s="3">
        <v>108960</v>
      </c>
      <c r="E114" s="4">
        <v>0</v>
      </c>
      <c r="F114" t="s">
        <v>23</v>
      </c>
      <c r="G114" s="3">
        <f t="shared" si="5"/>
        <v>108960</v>
      </c>
      <c r="H114" s="3">
        <v>0</v>
      </c>
      <c r="I114" s="3">
        <f t="shared" si="6"/>
        <v>108960</v>
      </c>
      <c r="J114" s="2" t="s">
        <v>27</v>
      </c>
      <c r="K114" s="5">
        <v>46245.583333333343</v>
      </c>
      <c r="L114">
        <v>12</v>
      </c>
      <c r="M114" s="3">
        <f t="shared" si="7"/>
        <v>9080</v>
      </c>
      <c r="N114" t="str">
        <f t="shared" si="8"/>
        <v>ставка</v>
      </c>
      <c r="O114" s="3">
        <f t="shared" si="9"/>
        <v>2136.4699999999998</v>
      </c>
      <c r="P114" s="5">
        <v>46257.5</v>
      </c>
      <c r="Q114" t="s">
        <v>23</v>
      </c>
      <c r="R114" s="2" t="s">
        <v>40</v>
      </c>
      <c r="S114">
        <v>22</v>
      </c>
      <c r="T114">
        <v>1</v>
      </c>
    </row>
    <row r="115" spans="1:20" ht="30" x14ac:dyDescent="0.25">
      <c r="A115" t="s">
        <v>416</v>
      </c>
      <c r="B115">
        <v>1</v>
      </c>
      <c r="C115" s="2" t="s">
        <v>417</v>
      </c>
      <c r="D115" s="3">
        <v>24640</v>
      </c>
      <c r="E115" s="4">
        <v>18</v>
      </c>
      <c r="F115" t="s">
        <v>32</v>
      </c>
      <c r="G115" s="3">
        <f t="shared" si="5"/>
        <v>30048.78</v>
      </c>
      <c r="H115" s="3">
        <v>0</v>
      </c>
      <c r="I115" s="3">
        <f t="shared" si="6"/>
        <v>30048.78</v>
      </c>
      <c r="J115" s="2" t="s">
        <v>27</v>
      </c>
      <c r="K115" s="5">
        <v>46248.583333333343</v>
      </c>
      <c r="L115">
        <v>2</v>
      </c>
      <c r="M115" s="3">
        <f t="shared" si="7"/>
        <v>15024.39</v>
      </c>
      <c r="N115" t="str">
        <f t="shared" si="8"/>
        <v>ставка</v>
      </c>
      <c r="O115" s="3">
        <f t="shared" si="9"/>
        <v>589.19000000000005</v>
      </c>
      <c r="P115" s="5">
        <v>46250.5</v>
      </c>
      <c r="Q115" t="s">
        <v>32</v>
      </c>
      <c r="R115" s="2" t="s">
        <v>24</v>
      </c>
      <c r="S115">
        <v>21</v>
      </c>
      <c r="T115">
        <v>1</v>
      </c>
    </row>
    <row r="116" spans="1:20" ht="30" x14ac:dyDescent="0.25">
      <c r="A116" t="s">
        <v>420</v>
      </c>
      <c r="B116">
        <v>1</v>
      </c>
      <c r="C116" s="2" t="s">
        <v>421</v>
      </c>
      <c r="D116" s="3">
        <v>6320</v>
      </c>
      <c r="E116" s="4">
        <v>20</v>
      </c>
      <c r="F116" t="s">
        <v>173</v>
      </c>
      <c r="G116" s="3">
        <f t="shared" si="5"/>
        <v>7900</v>
      </c>
      <c r="H116" s="3">
        <v>0</v>
      </c>
      <c r="I116" s="3">
        <f t="shared" si="6"/>
        <v>7900</v>
      </c>
      <c r="J116" s="2" t="s">
        <v>27</v>
      </c>
      <c r="K116" s="5">
        <v>46254.583333333343</v>
      </c>
      <c r="L116">
        <v>1</v>
      </c>
      <c r="M116" s="3">
        <f t="shared" si="7"/>
        <v>7900</v>
      </c>
      <c r="N116" t="str">
        <f t="shared" si="8"/>
        <v>ставка</v>
      </c>
      <c r="O116" s="3">
        <f t="shared" si="9"/>
        <v>154.9</v>
      </c>
      <c r="P116" s="5">
        <v>46255.5</v>
      </c>
      <c r="Q116" t="s">
        <v>173</v>
      </c>
      <c r="R116" s="2" t="s">
        <v>33</v>
      </c>
      <c r="S116">
        <v>41</v>
      </c>
      <c r="T116">
        <v>1</v>
      </c>
    </row>
    <row r="117" spans="1:20" ht="30" x14ac:dyDescent="0.25">
      <c r="A117" t="s">
        <v>422</v>
      </c>
      <c r="B117">
        <v>1</v>
      </c>
      <c r="C117" s="2" t="s">
        <v>423</v>
      </c>
      <c r="D117" s="3">
        <v>12015</v>
      </c>
      <c r="E117" s="4">
        <v>0</v>
      </c>
      <c r="F117" t="s">
        <v>23</v>
      </c>
      <c r="G117" s="3">
        <f t="shared" si="5"/>
        <v>12015</v>
      </c>
      <c r="H117" s="3">
        <v>0</v>
      </c>
      <c r="I117" s="3">
        <f t="shared" si="6"/>
        <v>12015</v>
      </c>
      <c r="J117" s="2" t="s">
        <v>27</v>
      </c>
      <c r="K117" s="5">
        <v>46232.583333333343</v>
      </c>
      <c r="L117">
        <v>1</v>
      </c>
      <c r="M117" s="3">
        <f t="shared" si="7"/>
        <v>12015</v>
      </c>
      <c r="N117" t="str">
        <f t="shared" si="8"/>
        <v>ставка</v>
      </c>
      <c r="O117" s="3">
        <f t="shared" si="9"/>
        <v>235.59</v>
      </c>
      <c r="P117" s="5">
        <v>46233.5</v>
      </c>
      <c r="Q117" t="s">
        <v>23</v>
      </c>
      <c r="R117" s="2" t="s">
        <v>40</v>
      </c>
      <c r="S117">
        <v>22</v>
      </c>
      <c r="T117">
        <v>1</v>
      </c>
    </row>
    <row r="118" spans="1:20" ht="30" x14ac:dyDescent="0.25">
      <c r="A118" t="s">
        <v>424</v>
      </c>
      <c r="B118">
        <v>1</v>
      </c>
      <c r="C118" s="2" t="s">
        <v>425</v>
      </c>
      <c r="D118" s="3">
        <v>68085</v>
      </c>
      <c r="E118" s="4">
        <v>0</v>
      </c>
      <c r="F118" t="s">
        <v>180</v>
      </c>
      <c r="G118" s="3">
        <f t="shared" si="5"/>
        <v>68085</v>
      </c>
      <c r="H118" s="3">
        <v>0</v>
      </c>
      <c r="I118" s="3">
        <f t="shared" si="6"/>
        <v>68085</v>
      </c>
      <c r="J118" s="2" t="s">
        <v>181</v>
      </c>
      <c r="K118" s="5">
        <v>46216.583333333343</v>
      </c>
      <c r="L118">
        <v>6</v>
      </c>
      <c r="M118" s="3">
        <f t="shared" si="7"/>
        <v>11347.5</v>
      </c>
      <c r="N118" t="str">
        <f t="shared" si="8"/>
        <v>ставка</v>
      </c>
      <c r="O118" s="3">
        <f t="shared" si="9"/>
        <v>1335</v>
      </c>
      <c r="P118" s="5">
        <v>46222.5</v>
      </c>
      <c r="Q118" t="s">
        <v>180</v>
      </c>
      <c r="R118" s="2" t="s">
        <v>40</v>
      </c>
      <c r="S118">
        <v>44</v>
      </c>
      <c r="T118">
        <v>1</v>
      </c>
    </row>
    <row r="119" spans="1:20" ht="30" x14ac:dyDescent="0.25">
      <c r="A119" t="s">
        <v>429</v>
      </c>
      <c r="B119">
        <v>1</v>
      </c>
      <c r="C119" s="2" t="s">
        <v>430</v>
      </c>
      <c r="D119" s="3">
        <v>59661.15</v>
      </c>
      <c r="E119" s="4">
        <v>4</v>
      </c>
      <c r="F119" t="s">
        <v>55</v>
      </c>
      <c r="G119" s="3">
        <f t="shared" si="5"/>
        <v>62147.03</v>
      </c>
      <c r="H119" s="3">
        <v>0</v>
      </c>
      <c r="I119" s="3">
        <f t="shared" si="6"/>
        <v>62147.03</v>
      </c>
      <c r="J119" s="2" t="s">
        <v>27</v>
      </c>
      <c r="K119" s="5">
        <v>46258.583333333343</v>
      </c>
      <c r="L119">
        <v>4</v>
      </c>
      <c r="M119" s="3">
        <f t="shared" si="7"/>
        <v>15536.7575</v>
      </c>
      <c r="N119" t="str">
        <f t="shared" si="8"/>
        <v>ставка</v>
      </c>
      <c r="O119" s="3">
        <f t="shared" si="9"/>
        <v>1218.57</v>
      </c>
      <c r="P119" s="5">
        <v>46262.791666666657</v>
      </c>
      <c r="Q119" t="s">
        <v>55</v>
      </c>
      <c r="R119" s="2" t="s">
        <v>40</v>
      </c>
      <c r="S119">
        <v>46</v>
      </c>
      <c r="T119">
        <v>1</v>
      </c>
    </row>
    <row r="120" spans="1:20" ht="30" x14ac:dyDescent="0.25">
      <c r="A120" t="s">
        <v>431</v>
      </c>
      <c r="B120">
        <v>1</v>
      </c>
      <c r="C120" s="2" t="s">
        <v>432</v>
      </c>
      <c r="D120" s="3">
        <v>10680</v>
      </c>
      <c r="E120" s="4">
        <v>18</v>
      </c>
      <c r="F120" t="s">
        <v>32</v>
      </c>
      <c r="G120" s="3">
        <f t="shared" si="5"/>
        <v>13024.39</v>
      </c>
      <c r="H120" s="3">
        <v>0</v>
      </c>
      <c r="I120" s="3">
        <f t="shared" si="6"/>
        <v>13024.39</v>
      </c>
      <c r="J120" s="2" t="s">
        <v>27</v>
      </c>
      <c r="K120" s="5">
        <v>46214.583333333343</v>
      </c>
      <c r="L120">
        <v>1</v>
      </c>
      <c r="M120" s="3">
        <f t="shared" si="7"/>
        <v>13024.39</v>
      </c>
      <c r="N120" t="str">
        <f t="shared" si="8"/>
        <v>ставка</v>
      </c>
      <c r="O120" s="3">
        <f t="shared" si="9"/>
        <v>255.38</v>
      </c>
      <c r="P120" s="5">
        <v>46215.5</v>
      </c>
      <c r="Q120" t="s">
        <v>32</v>
      </c>
      <c r="R120" s="2" t="s">
        <v>40</v>
      </c>
      <c r="S120">
        <v>42</v>
      </c>
      <c r="T120">
        <v>1</v>
      </c>
    </row>
    <row r="121" spans="1:20" ht="30" x14ac:dyDescent="0.25">
      <c r="A121" t="s">
        <v>433</v>
      </c>
      <c r="B121">
        <v>1</v>
      </c>
      <c r="C121" s="2" t="s">
        <v>434</v>
      </c>
      <c r="D121" s="3">
        <v>6320</v>
      </c>
      <c r="E121" s="4">
        <v>20</v>
      </c>
      <c r="F121" t="s">
        <v>48</v>
      </c>
      <c r="G121" s="3">
        <f t="shared" si="5"/>
        <v>7900</v>
      </c>
      <c r="H121" s="3">
        <v>0</v>
      </c>
      <c r="I121" s="3">
        <f t="shared" si="6"/>
        <v>7900</v>
      </c>
      <c r="J121" s="2" t="s">
        <v>27</v>
      </c>
      <c r="K121" s="5">
        <v>46259.583333333343</v>
      </c>
      <c r="L121">
        <v>1</v>
      </c>
      <c r="M121" s="3">
        <f t="shared" si="7"/>
        <v>7900</v>
      </c>
      <c r="N121" t="str">
        <f t="shared" si="8"/>
        <v>ставка</v>
      </c>
      <c r="O121" s="3">
        <f t="shared" si="9"/>
        <v>154.9</v>
      </c>
      <c r="P121" s="5">
        <v>46260.5</v>
      </c>
      <c r="Q121" t="s">
        <v>48</v>
      </c>
      <c r="R121" s="2" t="s">
        <v>33</v>
      </c>
      <c r="S121">
        <v>41</v>
      </c>
      <c r="T121">
        <v>1</v>
      </c>
    </row>
    <row r="122" spans="1:20" ht="30" x14ac:dyDescent="0.25">
      <c r="A122" t="s">
        <v>437</v>
      </c>
      <c r="B122">
        <v>1</v>
      </c>
      <c r="C122" s="2" t="s">
        <v>438</v>
      </c>
      <c r="D122" s="3">
        <v>12782</v>
      </c>
      <c r="E122" s="4">
        <v>17</v>
      </c>
      <c r="F122" t="s">
        <v>394</v>
      </c>
      <c r="G122" s="3">
        <f t="shared" si="5"/>
        <v>15400</v>
      </c>
      <c r="H122" s="3">
        <v>0</v>
      </c>
      <c r="I122" s="3">
        <f t="shared" si="6"/>
        <v>15400</v>
      </c>
      <c r="J122" s="2" t="s">
        <v>27</v>
      </c>
      <c r="K122" s="5">
        <v>46213.583333333343</v>
      </c>
      <c r="L122">
        <v>2</v>
      </c>
      <c r="M122" s="3">
        <f t="shared" si="7"/>
        <v>7700</v>
      </c>
      <c r="N122" t="str">
        <f t="shared" si="8"/>
        <v>ставка</v>
      </c>
      <c r="O122" s="3">
        <f t="shared" si="9"/>
        <v>301.95999999999998</v>
      </c>
      <c r="P122" s="5">
        <v>46215.5</v>
      </c>
      <c r="Q122" t="s">
        <v>394</v>
      </c>
      <c r="R122" s="2" t="s">
        <v>58</v>
      </c>
      <c r="S122">
        <v>34</v>
      </c>
      <c r="T122">
        <v>1</v>
      </c>
    </row>
    <row r="123" spans="1:20" ht="30" x14ac:dyDescent="0.25">
      <c r="A123" t="s">
        <v>439</v>
      </c>
      <c r="B123">
        <v>1</v>
      </c>
      <c r="C123" s="2" t="s">
        <v>440</v>
      </c>
      <c r="D123" s="3">
        <v>17252</v>
      </c>
      <c r="E123" s="4">
        <v>18</v>
      </c>
      <c r="F123" t="s">
        <v>32</v>
      </c>
      <c r="G123" s="3">
        <f t="shared" si="5"/>
        <v>21039.02</v>
      </c>
      <c r="H123" s="3">
        <v>0</v>
      </c>
      <c r="I123" s="3">
        <f t="shared" si="6"/>
        <v>21039.02</v>
      </c>
      <c r="J123" s="2" t="s">
        <v>27</v>
      </c>
      <c r="K123" s="5">
        <v>46289.583333333343</v>
      </c>
      <c r="L123">
        <v>2</v>
      </c>
      <c r="M123" s="3">
        <f t="shared" si="7"/>
        <v>10519.51</v>
      </c>
      <c r="N123" t="str">
        <f t="shared" si="8"/>
        <v>ставка</v>
      </c>
      <c r="O123" s="3">
        <f t="shared" si="9"/>
        <v>412.53</v>
      </c>
      <c r="P123" s="5">
        <v>46291.5</v>
      </c>
      <c r="Q123" t="s">
        <v>32</v>
      </c>
      <c r="R123" s="2" t="s">
        <v>40</v>
      </c>
      <c r="S123">
        <v>32</v>
      </c>
      <c r="T123">
        <v>1</v>
      </c>
    </row>
    <row r="124" spans="1:20" ht="30" x14ac:dyDescent="0.25">
      <c r="A124" t="s">
        <v>441</v>
      </c>
      <c r="B124">
        <v>1</v>
      </c>
      <c r="C124" s="2" t="s">
        <v>442</v>
      </c>
      <c r="D124" s="3">
        <v>32040</v>
      </c>
      <c r="E124" s="4">
        <v>0</v>
      </c>
      <c r="F124" t="s">
        <v>23</v>
      </c>
      <c r="G124" s="3">
        <f t="shared" si="5"/>
        <v>32040</v>
      </c>
      <c r="H124" s="3">
        <v>0</v>
      </c>
      <c r="I124" s="3">
        <f t="shared" si="6"/>
        <v>32040</v>
      </c>
      <c r="J124" s="2" t="s">
        <v>27</v>
      </c>
      <c r="K124" s="5">
        <v>46290.583333333343</v>
      </c>
      <c r="L124">
        <v>3</v>
      </c>
      <c r="M124" s="3">
        <f t="shared" si="7"/>
        <v>10680</v>
      </c>
      <c r="N124" t="str">
        <f t="shared" si="8"/>
        <v>ставка</v>
      </c>
      <c r="O124" s="3">
        <f t="shared" si="9"/>
        <v>628.24</v>
      </c>
      <c r="P124" s="5">
        <v>46293.5</v>
      </c>
      <c r="Q124" t="s">
        <v>23</v>
      </c>
      <c r="R124" s="2" t="s">
        <v>40</v>
      </c>
      <c r="S124">
        <v>36</v>
      </c>
      <c r="T124">
        <v>1</v>
      </c>
    </row>
    <row r="125" spans="1:20" ht="30" x14ac:dyDescent="0.25">
      <c r="A125" t="s">
        <v>443</v>
      </c>
      <c r="B125">
        <v>1</v>
      </c>
      <c r="C125" s="2" t="s">
        <v>444</v>
      </c>
      <c r="D125" s="3">
        <v>17025</v>
      </c>
      <c r="E125" s="4">
        <v>18</v>
      </c>
      <c r="F125" t="s">
        <v>32</v>
      </c>
      <c r="G125" s="3">
        <f t="shared" si="5"/>
        <v>20762.2</v>
      </c>
      <c r="H125" s="3">
        <v>0</v>
      </c>
      <c r="I125" s="3">
        <f t="shared" si="6"/>
        <v>20762.2</v>
      </c>
      <c r="J125" s="2" t="s">
        <v>27</v>
      </c>
      <c r="K125" s="5">
        <v>46289.583333333343</v>
      </c>
      <c r="L125">
        <v>2</v>
      </c>
      <c r="M125" s="3">
        <f t="shared" si="7"/>
        <v>10381.1</v>
      </c>
      <c r="N125" t="str">
        <f t="shared" si="8"/>
        <v>ставка</v>
      </c>
      <c r="O125" s="3">
        <f t="shared" si="9"/>
        <v>407.1</v>
      </c>
      <c r="P125" s="5">
        <v>46291.5</v>
      </c>
      <c r="Q125" t="s">
        <v>32</v>
      </c>
      <c r="R125" s="2" t="s">
        <v>40</v>
      </c>
      <c r="S125">
        <v>26</v>
      </c>
      <c r="T125">
        <v>1</v>
      </c>
    </row>
    <row r="126" spans="1:20" ht="30" x14ac:dyDescent="0.25">
      <c r="A126" t="s">
        <v>445</v>
      </c>
      <c r="B126">
        <v>1</v>
      </c>
      <c r="C126" s="2" t="s">
        <v>446</v>
      </c>
      <c r="D126" s="3">
        <v>8415</v>
      </c>
      <c r="E126" s="4">
        <v>15</v>
      </c>
      <c r="F126" t="s">
        <v>52</v>
      </c>
      <c r="G126" s="3">
        <f t="shared" si="5"/>
        <v>9900</v>
      </c>
      <c r="H126" s="3">
        <v>0</v>
      </c>
      <c r="I126" s="3">
        <f t="shared" si="6"/>
        <v>9900</v>
      </c>
      <c r="J126" s="2" t="s">
        <v>27</v>
      </c>
      <c r="K126" s="5">
        <v>46252.583333333343</v>
      </c>
      <c r="L126">
        <v>1</v>
      </c>
      <c r="M126" s="3">
        <f t="shared" si="7"/>
        <v>9900</v>
      </c>
      <c r="N126" t="str">
        <f t="shared" si="8"/>
        <v>ставка</v>
      </c>
      <c r="O126" s="3">
        <f t="shared" si="9"/>
        <v>194.12</v>
      </c>
      <c r="P126" s="5">
        <v>46253.5</v>
      </c>
      <c r="Q126" t="s">
        <v>52</v>
      </c>
      <c r="R126" s="2" t="s">
        <v>33</v>
      </c>
      <c r="S126">
        <v>45</v>
      </c>
      <c r="T126">
        <v>1</v>
      </c>
    </row>
    <row r="127" spans="1:20" ht="30" x14ac:dyDescent="0.25">
      <c r="A127" t="s">
        <v>447</v>
      </c>
      <c r="B127">
        <v>1</v>
      </c>
      <c r="C127" s="2" t="s">
        <v>448</v>
      </c>
      <c r="D127" s="3">
        <v>6468</v>
      </c>
      <c r="E127" s="4">
        <v>16</v>
      </c>
      <c r="F127" t="s">
        <v>36</v>
      </c>
      <c r="G127" s="3">
        <f t="shared" si="5"/>
        <v>7700</v>
      </c>
      <c r="H127" s="3">
        <v>0</v>
      </c>
      <c r="I127" s="3">
        <f t="shared" si="6"/>
        <v>7700</v>
      </c>
      <c r="J127" s="2" t="s">
        <v>27</v>
      </c>
      <c r="K127" s="5">
        <v>46290.583333333343</v>
      </c>
      <c r="L127">
        <v>1</v>
      </c>
      <c r="M127" s="3">
        <f t="shared" si="7"/>
        <v>7700</v>
      </c>
      <c r="N127" t="str">
        <f t="shared" si="8"/>
        <v>ставка</v>
      </c>
      <c r="O127" s="3">
        <f t="shared" si="9"/>
        <v>150.97999999999999</v>
      </c>
      <c r="P127" s="5">
        <v>46291.5</v>
      </c>
      <c r="Q127" t="s">
        <v>36</v>
      </c>
      <c r="R127" s="2" t="s">
        <v>58</v>
      </c>
      <c r="S127">
        <v>24</v>
      </c>
      <c r="T127">
        <v>1</v>
      </c>
    </row>
    <row r="128" spans="1:20" ht="30" x14ac:dyDescent="0.25">
      <c r="A128" t="s">
        <v>449</v>
      </c>
      <c r="B128">
        <v>1</v>
      </c>
      <c r="C128" s="2" t="s">
        <v>450</v>
      </c>
      <c r="D128" s="3">
        <v>22348.15</v>
      </c>
      <c r="E128" s="4">
        <v>4</v>
      </c>
      <c r="F128" t="s">
        <v>55</v>
      </c>
      <c r="G128" s="3">
        <f t="shared" si="5"/>
        <v>23279.32</v>
      </c>
      <c r="H128" s="3">
        <v>0</v>
      </c>
      <c r="I128" s="3">
        <f t="shared" si="6"/>
        <v>23279.32</v>
      </c>
      <c r="J128" s="2" t="s">
        <v>27</v>
      </c>
      <c r="K128" s="5">
        <v>46233.583333333343</v>
      </c>
      <c r="L128">
        <v>2</v>
      </c>
      <c r="M128" s="3">
        <f t="shared" si="7"/>
        <v>11639.66</v>
      </c>
      <c r="N128" t="str">
        <f t="shared" si="8"/>
        <v>ставка</v>
      </c>
      <c r="O128" s="3">
        <f t="shared" si="9"/>
        <v>456.46</v>
      </c>
      <c r="P128" s="5">
        <v>46235.5</v>
      </c>
      <c r="Q128" t="s">
        <v>55</v>
      </c>
      <c r="R128" s="2" t="s">
        <v>40</v>
      </c>
      <c r="S128">
        <v>44</v>
      </c>
      <c r="T128">
        <v>1</v>
      </c>
    </row>
    <row r="129" spans="1:20" ht="30" x14ac:dyDescent="0.25">
      <c r="A129" t="s">
        <v>451</v>
      </c>
      <c r="B129">
        <v>1</v>
      </c>
      <c r="C129" s="2" t="s">
        <v>452</v>
      </c>
      <c r="D129" s="3">
        <v>24640</v>
      </c>
      <c r="E129" s="4">
        <v>18</v>
      </c>
      <c r="F129" t="s">
        <v>32</v>
      </c>
      <c r="G129" s="3">
        <f t="shared" si="5"/>
        <v>30048.78</v>
      </c>
      <c r="H129" s="3">
        <v>0</v>
      </c>
      <c r="I129" s="3">
        <f t="shared" si="6"/>
        <v>30048.78</v>
      </c>
      <c r="J129" s="2" t="s">
        <v>27</v>
      </c>
      <c r="K129" s="5">
        <v>46247.583333333343</v>
      </c>
      <c r="L129">
        <v>4</v>
      </c>
      <c r="M129" s="3">
        <f t="shared" si="7"/>
        <v>7512.1949999999997</v>
      </c>
      <c r="N129" t="str">
        <f t="shared" si="8"/>
        <v>ставка</v>
      </c>
      <c r="O129" s="3">
        <f t="shared" si="9"/>
        <v>589.19000000000005</v>
      </c>
      <c r="P129" s="5">
        <v>46251.5</v>
      </c>
      <c r="Q129" t="s">
        <v>32</v>
      </c>
      <c r="R129" s="2" t="s">
        <v>58</v>
      </c>
      <c r="S129">
        <v>34</v>
      </c>
      <c r="T129">
        <v>1</v>
      </c>
    </row>
    <row r="130" spans="1:20" ht="30" x14ac:dyDescent="0.25">
      <c r="A130" t="s">
        <v>453</v>
      </c>
      <c r="B130">
        <v>1</v>
      </c>
      <c r="C130" s="2" t="s">
        <v>454</v>
      </c>
      <c r="D130" s="3">
        <v>11550</v>
      </c>
      <c r="E130" s="4">
        <v>18</v>
      </c>
      <c r="F130" t="s">
        <v>32</v>
      </c>
      <c r="G130" s="3">
        <f t="shared" ref="G130:G193" si="10">ROUND(D130/(100-E130)*100,2)</f>
        <v>14085.37</v>
      </c>
      <c r="H130" s="3">
        <v>0</v>
      </c>
      <c r="I130" s="3">
        <f t="shared" ref="I130:I193" si="11">ROUND(G130+H130,2)</f>
        <v>14085.37</v>
      </c>
      <c r="J130" s="2" t="s">
        <v>27</v>
      </c>
      <c r="K130" s="5">
        <v>46286.583333333343</v>
      </c>
      <c r="L130">
        <v>1</v>
      </c>
      <c r="M130" s="3">
        <f t="shared" ref="M130:M193" si="12">I130/L130</f>
        <v>14085.37</v>
      </c>
      <c r="N130" t="str">
        <f t="shared" ref="N130:N193" si="13">IF(M130&gt;=5100,"ставка","мин.ставка")</f>
        <v>ставка</v>
      </c>
      <c r="O130" s="3">
        <f t="shared" ref="O130:O193" si="14">ROUND(IF(N130="мин.ставка",L130*100,I130/102*2),2)</f>
        <v>276.18</v>
      </c>
      <c r="P130" s="5">
        <v>46287.5</v>
      </c>
      <c r="Q130" t="s">
        <v>32</v>
      </c>
      <c r="R130" s="2" t="s">
        <v>24</v>
      </c>
      <c r="S130">
        <v>31</v>
      </c>
      <c r="T130">
        <v>1</v>
      </c>
    </row>
    <row r="131" spans="1:20" ht="30" x14ac:dyDescent="0.25">
      <c r="A131" t="s">
        <v>455</v>
      </c>
      <c r="B131">
        <v>1</v>
      </c>
      <c r="C131" s="2" t="s">
        <v>456</v>
      </c>
      <c r="D131" s="3">
        <v>49252.5</v>
      </c>
      <c r="E131" s="4">
        <v>4</v>
      </c>
      <c r="F131" t="s">
        <v>55</v>
      </c>
      <c r="G131" s="3">
        <f t="shared" si="10"/>
        <v>51304.69</v>
      </c>
      <c r="H131" s="3">
        <v>3560</v>
      </c>
      <c r="I131" s="3">
        <f t="shared" si="11"/>
        <v>54864.69</v>
      </c>
      <c r="J131" s="2" t="s">
        <v>457</v>
      </c>
      <c r="K131" s="5">
        <v>46226.583333333343</v>
      </c>
      <c r="L131">
        <v>3</v>
      </c>
      <c r="M131" s="3">
        <f t="shared" si="12"/>
        <v>18288.23</v>
      </c>
      <c r="N131" t="str">
        <f t="shared" si="13"/>
        <v>ставка</v>
      </c>
      <c r="O131" s="3">
        <f t="shared" si="14"/>
        <v>1075.78</v>
      </c>
      <c r="P131" s="5">
        <v>46229.5</v>
      </c>
      <c r="Q131" t="s">
        <v>55</v>
      </c>
      <c r="R131" s="2" t="s">
        <v>49</v>
      </c>
      <c r="S131">
        <v>11</v>
      </c>
      <c r="T131">
        <v>1</v>
      </c>
    </row>
    <row r="132" spans="1:20" ht="30" x14ac:dyDescent="0.25">
      <c r="A132" t="s">
        <v>458</v>
      </c>
      <c r="B132">
        <v>1</v>
      </c>
      <c r="C132" s="2" t="s">
        <v>459</v>
      </c>
      <c r="D132" s="3">
        <v>31600</v>
      </c>
      <c r="E132" s="4">
        <v>0</v>
      </c>
      <c r="F132" t="s">
        <v>23</v>
      </c>
      <c r="G132" s="3">
        <f t="shared" si="10"/>
        <v>31600</v>
      </c>
      <c r="H132" s="3">
        <v>0</v>
      </c>
      <c r="I132" s="3">
        <f t="shared" si="11"/>
        <v>31600</v>
      </c>
      <c r="J132" s="2" t="s">
        <v>27</v>
      </c>
      <c r="K132" s="5">
        <v>46272.583333333343</v>
      </c>
      <c r="L132">
        <v>4</v>
      </c>
      <c r="M132" s="3">
        <f t="shared" si="12"/>
        <v>7900</v>
      </c>
      <c r="N132" t="str">
        <f t="shared" si="13"/>
        <v>ставка</v>
      </c>
      <c r="O132" s="3">
        <f t="shared" si="14"/>
        <v>619.61</v>
      </c>
      <c r="P132" s="5">
        <v>46276.5</v>
      </c>
      <c r="Q132" t="s">
        <v>23</v>
      </c>
      <c r="R132" s="2" t="s">
        <v>40</v>
      </c>
      <c r="S132">
        <v>44</v>
      </c>
      <c r="T132">
        <v>1</v>
      </c>
    </row>
    <row r="133" spans="1:20" x14ac:dyDescent="0.25">
      <c r="A133" t="s">
        <v>460</v>
      </c>
      <c r="B133">
        <v>1</v>
      </c>
      <c r="C133" s="2" t="s">
        <v>461</v>
      </c>
      <c r="D133" s="3">
        <v>23200</v>
      </c>
      <c r="E133" s="4">
        <v>20</v>
      </c>
      <c r="F133" t="s">
        <v>103</v>
      </c>
      <c r="G133" s="3">
        <f t="shared" si="10"/>
        <v>29000</v>
      </c>
      <c r="H133" s="3">
        <v>0</v>
      </c>
      <c r="I133" s="3">
        <f t="shared" si="11"/>
        <v>29000</v>
      </c>
      <c r="J133" s="2" t="s">
        <v>27</v>
      </c>
      <c r="K133" s="5">
        <v>46204.583333333343</v>
      </c>
      <c r="L133">
        <v>2</v>
      </c>
      <c r="M133" s="3">
        <f t="shared" si="12"/>
        <v>14500</v>
      </c>
      <c r="N133" t="str">
        <f t="shared" si="13"/>
        <v>ставка</v>
      </c>
      <c r="O133" s="3">
        <f t="shared" si="14"/>
        <v>568.63</v>
      </c>
      <c r="P133" s="5">
        <v>46206.5</v>
      </c>
      <c r="Q133" t="s">
        <v>103</v>
      </c>
      <c r="R133" s="2" t="s">
        <v>49</v>
      </c>
      <c r="S133">
        <v>35</v>
      </c>
      <c r="T133">
        <v>1</v>
      </c>
    </row>
    <row r="134" spans="1:20" ht="30" x14ac:dyDescent="0.25">
      <c r="A134" t="s">
        <v>462</v>
      </c>
      <c r="B134">
        <v>1</v>
      </c>
      <c r="C134" s="2" t="s">
        <v>463</v>
      </c>
      <c r="D134" s="3">
        <v>25245</v>
      </c>
      <c r="E134" s="4">
        <v>15</v>
      </c>
      <c r="F134" t="s">
        <v>52</v>
      </c>
      <c r="G134" s="3">
        <f t="shared" si="10"/>
        <v>29700</v>
      </c>
      <c r="H134" s="3">
        <v>4500</v>
      </c>
      <c r="I134" s="3">
        <f t="shared" si="11"/>
        <v>34200</v>
      </c>
      <c r="J134" s="2" t="s">
        <v>464</v>
      </c>
      <c r="K134" s="5">
        <v>46251.583333333343</v>
      </c>
      <c r="L134">
        <v>3</v>
      </c>
      <c r="M134" s="3">
        <f t="shared" si="12"/>
        <v>11400</v>
      </c>
      <c r="N134" t="str">
        <f t="shared" si="13"/>
        <v>ставка</v>
      </c>
      <c r="O134" s="3">
        <f t="shared" si="14"/>
        <v>670.59</v>
      </c>
      <c r="P134" s="5">
        <v>46254.5</v>
      </c>
      <c r="Q134" t="s">
        <v>52</v>
      </c>
      <c r="R134" s="2" t="s">
        <v>33</v>
      </c>
      <c r="S134">
        <v>41</v>
      </c>
      <c r="T134">
        <v>1</v>
      </c>
    </row>
    <row r="135" spans="1:20" ht="30" x14ac:dyDescent="0.25">
      <c r="A135" t="s">
        <v>465</v>
      </c>
      <c r="B135">
        <v>1</v>
      </c>
      <c r="C135" s="2" t="s">
        <v>466</v>
      </c>
      <c r="D135" s="3">
        <v>12320</v>
      </c>
      <c r="E135" s="4">
        <v>18</v>
      </c>
      <c r="F135" t="s">
        <v>32</v>
      </c>
      <c r="G135" s="3">
        <f t="shared" si="10"/>
        <v>15024.39</v>
      </c>
      <c r="H135" s="3">
        <v>0</v>
      </c>
      <c r="I135" s="3">
        <f t="shared" si="11"/>
        <v>15024.39</v>
      </c>
      <c r="J135" s="2" t="s">
        <v>27</v>
      </c>
      <c r="K135" s="5">
        <v>46265.583333333343</v>
      </c>
      <c r="L135">
        <v>2</v>
      </c>
      <c r="M135" s="3">
        <f t="shared" si="12"/>
        <v>7512.1949999999997</v>
      </c>
      <c r="N135" t="str">
        <f t="shared" si="13"/>
        <v>ставка</v>
      </c>
      <c r="O135" s="3">
        <f t="shared" si="14"/>
        <v>294.60000000000002</v>
      </c>
      <c r="P135" s="5">
        <v>46267.5</v>
      </c>
      <c r="Q135" t="s">
        <v>32</v>
      </c>
      <c r="R135" s="2" t="s">
        <v>58</v>
      </c>
      <c r="S135">
        <v>24</v>
      </c>
      <c r="T135">
        <v>1</v>
      </c>
    </row>
    <row r="136" spans="1:20" ht="30" x14ac:dyDescent="0.25">
      <c r="A136" t="s">
        <v>467</v>
      </c>
      <c r="B136">
        <v>1</v>
      </c>
      <c r="C136" s="2" t="s">
        <v>468</v>
      </c>
      <c r="D136" s="3">
        <v>6320</v>
      </c>
      <c r="E136" s="4">
        <v>18</v>
      </c>
      <c r="F136" t="s">
        <v>32</v>
      </c>
      <c r="G136" s="3">
        <f t="shared" si="10"/>
        <v>7707.32</v>
      </c>
      <c r="H136" s="3">
        <v>0</v>
      </c>
      <c r="I136" s="3">
        <f t="shared" si="11"/>
        <v>7707.32</v>
      </c>
      <c r="J136" s="2" t="s">
        <v>27</v>
      </c>
      <c r="K136" s="5">
        <v>46230.583333333343</v>
      </c>
      <c r="L136">
        <v>1</v>
      </c>
      <c r="M136" s="3">
        <f t="shared" si="12"/>
        <v>7707.32</v>
      </c>
      <c r="N136" t="str">
        <f t="shared" si="13"/>
        <v>ставка</v>
      </c>
      <c r="O136" s="3">
        <f t="shared" si="14"/>
        <v>151.12</v>
      </c>
      <c r="P136" s="5">
        <v>46231.5</v>
      </c>
      <c r="Q136" t="s">
        <v>32</v>
      </c>
      <c r="R136" s="2" t="s">
        <v>33</v>
      </c>
      <c r="S136">
        <v>47</v>
      </c>
      <c r="T136">
        <v>1</v>
      </c>
    </row>
    <row r="137" spans="1:20" ht="30" x14ac:dyDescent="0.25">
      <c r="A137" t="s">
        <v>471</v>
      </c>
      <c r="B137">
        <v>1</v>
      </c>
      <c r="C137" s="2" t="s">
        <v>470</v>
      </c>
      <c r="D137" s="3">
        <v>10720</v>
      </c>
      <c r="E137" s="4">
        <v>18</v>
      </c>
      <c r="F137" t="s">
        <v>32</v>
      </c>
      <c r="G137" s="3">
        <f t="shared" si="10"/>
        <v>13073.17</v>
      </c>
      <c r="H137" s="3">
        <v>0</v>
      </c>
      <c r="I137" s="3">
        <f t="shared" si="11"/>
        <v>13073.17</v>
      </c>
      <c r="J137" s="2" t="s">
        <v>27</v>
      </c>
      <c r="K137" s="5">
        <v>46294.583333333343</v>
      </c>
      <c r="L137">
        <v>1</v>
      </c>
      <c r="M137" s="3">
        <f t="shared" si="12"/>
        <v>13073.17</v>
      </c>
      <c r="N137" t="str">
        <f t="shared" si="13"/>
        <v>ставка</v>
      </c>
      <c r="O137" s="3">
        <f t="shared" si="14"/>
        <v>256.33999999999997</v>
      </c>
      <c r="P137" s="5">
        <v>46295.5</v>
      </c>
      <c r="Q137" t="s">
        <v>32</v>
      </c>
      <c r="R137" s="2" t="s">
        <v>24</v>
      </c>
      <c r="S137">
        <v>21</v>
      </c>
      <c r="T137">
        <v>1</v>
      </c>
    </row>
    <row r="138" spans="1:20" ht="30" x14ac:dyDescent="0.25">
      <c r="A138" t="s">
        <v>474</v>
      </c>
      <c r="B138">
        <v>1</v>
      </c>
      <c r="C138" s="2" t="s">
        <v>475</v>
      </c>
      <c r="D138" s="3">
        <v>12782</v>
      </c>
      <c r="E138" s="4">
        <v>0</v>
      </c>
      <c r="F138" t="s">
        <v>23</v>
      </c>
      <c r="G138" s="3">
        <f t="shared" si="10"/>
        <v>12782</v>
      </c>
      <c r="H138" s="3">
        <v>0</v>
      </c>
      <c r="I138" s="3">
        <f t="shared" si="11"/>
        <v>12782</v>
      </c>
      <c r="J138" s="2" t="s">
        <v>27</v>
      </c>
      <c r="K138" s="5">
        <v>46241.583333333343</v>
      </c>
      <c r="L138">
        <v>2</v>
      </c>
      <c r="M138" s="3">
        <f t="shared" si="12"/>
        <v>6391</v>
      </c>
      <c r="N138" t="str">
        <f t="shared" si="13"/>
        <v>ставка</v>
      </c>
      <c r="O138" s="3">
        <f t="shared" si="14"/>
        <v>250.63</v>
      </c>
      <c r="P138" s="5">
        <v>46243.5</v>
      </c>
      <c r="Q138" t="s">
        <v>23</v>
      </c>
      <c r="R138" s="2" t="s">
        <v>58</v>
      </c>
      <c r="S138">
        <v>34</v>
      </c>
      <c r="T138">
        <v>1</v>
      </c>
    </row>
    <row r="139" spans="1:20" ht="30" x14ac:dyDescent="0.25">
      <c r="A139" t="s">
        <v>476</v>
      </c>
      <c r="B139">
        <v>1</v>
      </c>
      <c r="C139" s="2" t="s">
        <v>477</v>
      </c>
      <c r="D139" s="3">
        <v>27921</v>
      </c>
      <c r="E139" s="4">
        <v>18</v>
      </c>
      <c r="F139" t="s">
        <v>248</v>
      </c>
      <c r="G139" s="3">
        <f t="shared" si="10"/>
        <v>34050</v>
      </c>
      <c r="H139" s="3">
        <v>9307</v>
      </c>
      <c r="I139" s="3">
        <f t="shared" si="11"/>
        <v>43357</v>
      </c>
      <c r="J139" s="2" t="s">
        <v>478</v>
      </c>
      <c r="K139" s="5">
        <v>46287.291666666657</v>
      </c>
      <c r="L139">
        <v>3</v>
      </c>
      <c r="M139" s="3">
        <f t="shared" si="12"/>
        <v>14452.333333333334</v>
      </c>
      <c r="N139" t="str">
        <f t="shared" si="13"/>
        <v>ставка</v>
      </c>
      <c r="O139" s="3">
        <f t="shared" si="14"/>
        <v>850.14</v>
      </c>
      <c r="P139" s="5">
        <v>46290.5</v>
      </c>
      <c r="Q139" t="s">
        <v>248</v>
      </c>
      <c r="R139" s="2" t="s">
        <v>40</v>
      </c>
      <c r="S139">
        <v>46</v>
      </c>
      <c r="T139">
        <v>1</v>
      </c>
    </row>
    <row r="140" spans="1:20" ht="30" x14ac:dyDescent="0.25">
      <c r="A140" t="s">
        <v>479</v>
      </c>
      <c r="B140">
        <v>1</v>
      </c>
      <c r="C140" s="2" t="s">
        <v>480</v>
      </c>
      <c r="D140" s="3">
        <v>64080</v>
      </c>
      <c r="E140" s="4">
        <v>18</v>
      </c>
      <c r="F140" t="s">
        <v>32</v>
      </c>
      <c r="G140" s="3">
        <f t="shared" si="10"/>
        <v>78146.34</v>
      </c>
      <c r="H140" s="3">
        <v>0</v>
      </c>
      <c r="I140" s="3">
        <f t="shared" si="11"/>
        <v>78146.34</v>
      </c>
      <c r="J140" s="2" t="s">
        <v>27</v>
      </c>
      <c r="K140" s="5">
        <v>46215.583333333343</v>
      </c>
      <c r="L140">
        <v>6</v>
      </c>
      <c r="M140" s="3">
        <f t="shared" si="12"/>
        <v>13024.39</v>
      </c>
      <c r="N140" t="str">
        <f t="shared" si="13"/>
        <v>ставка</v>
      </c>
      <c r="O140" s="3">
        <f t="shared" si="14"/>
        <v>1532.28</v>
      </c>
      <c r="P140" s="5">
        <v>46221.5</v>
      </c>
      <c r="Q140" t="s">
        <v>32</v>
      </c>
      <c r="R140" s="2" t="s">
        <v>40</v>
      </c>
      <c r="S140">
        <v>32</v>
      </c>
      <c r="T140">
        <v>1</v>
      </c>
    </row>
    <row r="141" spans="1:20" ht="30" x14ac:dyDescent="0.25">
      <c r="A141" t="s">
        <v>481</v>
      </c>
      <c r="B141">
        <v>1</v>
      </c>
      <c r="C141" s="2" t="s">
        <v>482</v>
      </c>
      <c r="D141" s="3">
        <v>26180</v>
      </c>
      <c r="E141" s="4">
        <v>15</v>
      </c>
      <c r="F141" t="s">
        <v>52</v>
      </c>
      <c r="G141" s="3">
        <f t="shared" si="10"/>
        <v>30800</v>
      </c>
      <c r="H141" s="3">
        <v>0</v>
      </c>
      <c r="I141" s="3">
        <f t="shared" si="11"/>
        <v>30800</v>
      </c>
      <c r="J141" s="2" t="s">
        <v>27</v>
      </c>
      <c r="K141" s="5">
        <v>46280.916666666657</v>
      </c>
      <c r="L141">
        <v>2</v>
      </c>
      <c r="M141" s="3">
        <f t="shared" si="12"/>
        <v>15400</v>
      </c>
      <c r="N141" t="str">
        <f t="shared" si="13"/>
        <v>ставка</v>
      </c>
      <c r="O141" s="3">
        <f t="shared" si="14"/>
        <v>603.91999999999996</v>
      </c>
      <c r="P141" s="5">
        <v>46282.5</v>
      </c>
      <c r="Q141" t="s">
        <v>52</v>
      </c>
      <c r="R141" s="2" t="s">
        <v>24</v>
      </c>
      <c r="S141">
        <v>31</v>
      </c>
      <c r="T141">
        <v>1</v>
      </c>
    </row>
    <row r="142" spans="1:20" ht="30" x14ac:dyDescent="0.25">
      <c r="A142" t="s">
        <v>483</v>
      </c>
      <c r="B142">
        <v>1</v>
      </c>
      <c r="C142" s="2" t="s">
        <v>484</v>
      </c>
      <c r="D142" s="3">
        <v>6478</v>
      </c>
      <c r="E142" s="4">
        <v>18</v>
      </c>
      <c r="F142" t="s">
        <v>147</v>
      </c>
      <c r="G142" s="3">
        <f t="shared" si="10"/>
        <v>7900</v>
      </c>
      <c r="H142" s="3">
        <v>0</v>
      </c>
      <c r="I142" s="3">
        <f t="shared" si="11"/>
        <v>7900</v>
      </c>
      <c r="J142" s="2" t="s">
        <v>27</v>
      </c>
      <c r="K142" s="5">
        <v>46216.583333333343</v>
      </c>
      <c r="L142">
        <v>1</v>
      </c>
      <c r="M142" s="3">
        <f t="shared" si="12"/>
        <v>7900</v>
      </c>
      <c r="N142" t="str">
        <f t="shared" si="13"/>
        <v>ставка</v>
      </c>
      <c r="O142" s="3">
        <f t="shared" si="14"/>
        <v>154.9</v>
      </c>
      <c r="P142" s="5">
        <v>46217.5</v>
      </c>
      <c r="Q142" t="s">
        <v>147</v>
      </c>
      <c r="R142" s="2" t="s">
        <v>33</v>
      </c>
      <c r="S142">
        <v>47</v>
      </c>
      <c r="T142">
        <v>1</v>
      </c>
    </row>
    <row r="143" spans="1:20" ht="30" x14ac:dyDescent="0.25">
      <c r="A143" t="s">
        <v>488</v>
      </c>
      <c r="B143">
        <v>1</v>
      </c>
      <c r="C143" s="2" t="s">
        <v>489</v>
      </c>
      <c r="D143" s="3">
        <v>6320</v>
      </c>
      <c r="E143" s="4">
        <v>20</v>
      </c>
      <c r="F143" t="s">
        <v>293</v>
      </c>
      <c r="G143" s="3">
        <f t="shared" si="10"/>
        <v>7900</v>
      </c>
      <c r="H143" s="3">
        <v>0</v>
      </c>
      <c r="I143" s="3">
        <f t="shared" si="11"/>
        <v>7900</v>
      </c>
      <c r="J143" s="2" t="s">
        <v>294</v>
      </c>
      <c r="K143" s="5">
        <v>46231.583333333343</v>
      </c>
      <c r="L143">
        <v>1</v>
      </c>
      <c r="M143" s="3">
        <f t="shared" si="12"/>
        <v>7900</v>
      </c>
      <c r="N143" t="str">
        <f t="shared" si="13"/>
        <v>ставка</v>
      </c>
      <c r="O143" s="3">
        <f t="shared" si="14"/>
        <v>154.9</v>
      </c>
      <c r="P143" s="5">
        <v>46232.5</v>
      </c>
      <c r="Q143" t="s">
        <v>293</v>
      </c>
      <c r="R143" s="2" t="s">
        <v>33</v>
      </c>
      <c r="S143">
        <v>41</v>
      </c>
      <c r="T143">
        <v>1</v>
      </c>
    </row>
    <row r="144" spans="1:20" ht="30" x14ac:dyDescent="0.25">
      <c r="A144" t="s">
        <v>490</v>
      </c>
      <c r="B144">
        <v>1</v>
      </c>
      <c r="C144" s="2" t="s">
        <v>491</v>
      </c>
      <c r="D144" s="3">
        <v>22695</v>
      </c>
      <c r="E144" s="4">
        <v>15</v>
      </c>
      <c r="F144" t="s">
        <v>36</v>
      </c>
      <c r="G144" s="3">
        <f t="shared" si="10"/>
        <v>26700</v>
      </c>
      <c r="H144" s="3">
        <v>0</v>
      </c>
      <c r="I144" s="3">
        <f t="shared" si="11"/>
        <v>26700</v>
      </c>
      <c r="J144" s="2" t="s">
        <v>27</v>
      </c>
      <c r="K144" s="5">
        <v>46226.583333333343</v>
      </c>
      <c r="L144">
        <v>2</v>
      </c>
      <c r="M144" s="3">
        <f t="shared" si="12"/>
        <v>13350</v>
      </c>
      <c r="N144" t="str">
        <f t="shared" si="13"/>
        <v>ставка</v>
      </c>
      <c r="O144" s="3">
        <f t="shared" si="14"/>
        <v>523.53</v>
      </c>
      <c r="P144" s="5">
        <v>46228.5</v>
      </c>
      <c r="Q144" t="s">
        <v>36</v>
      </c>
      <c r="R144" s="2" t="s">
        <v>40</v>
      </c>
      <c r="S144">
        <v>42</v>
      </c>
      <c r="T144">
        <v>1</v>
      </c>
    </row>
    <row r="145" spans="1:20" ht="30" x14ac:dyDescent="0.25">
      <c r="A145" t="s">
        <v>496</v>
      </c>
      <c r="B145">
        <v>1</v>
      </c>
      <c r="C145" s="2" t="s">
        <v>497</v>
      </c>
      <c r="D145" s="3">
        <v>47281.5</v>
      </c>
      <c r="E145" s="4">
        <v>4</v>
      </c>
      <c r="F145" t="s">
        <v>55</v>
      </c>
      <c r="G145" s="3">
        <f t="shared" si="10"/>
        <v>49251.56</v>
      </c>
      <c r="H145" s="3">
        <v>0</v>
      </c>
      <c r="I145" s="3">
        <f t="shared" si="11"/>
        <v>49251.56</v>
      </c>
      <c r="J145" s="2" t="s">
        <v>27</v>
      </c>
      <c r="K145" s="5">
        <v>46258.583333333343</v>
      </c>
      <c r="L145">
        <v>6</v>
      </c>
      <c r="M145" s="3">
        <f t="shared" si="12"/>
        <v>8208.5933333333323</v>
      </c>
      <c r="N145" t="str">
        <f t="shared" si="13"/>
        <v>ставка</v>
      </c>
      <c r="O145" s="3">
        <f t="shared" si="14"/>
        <v>965.72</v>
      </c>
      <c r="P145" s="5">
        <v>46264.5</v>
      </c>
      <c r="Q145" t="s">
        <v>55</v>
      </c>
      <c r="R145" s="2" t="s">
        <v>33</v>
      </c>
      <c r="S145">
        <v>43</v>
      </c>
      <c r="T145">
        <v>1</v>
      </c>
    </row>
    <row r="146" spans="1:20" ht="30" x14ac:dyDescent="0.25">
      <c r="A146" t="s">
        <v>500</v>
      </c>
      <c r="B146">
        <v>1</v>
      </c>
      <c r="C146" s="2" t="s">
        <v>501</v>
      </c>
      <c r="D146" s="3">
        <v>8900</v>
      </c>
      <c r="E146" s="4">
        <v>0</v>
      </c>
      <c r="F146" t="s">
        <v>23</v>
      </c>
      <c r="G146" s="3">
        <f t="shared" si="10"/>
        <v>8900</v>
      </c>
      <c r="H146" s="3">
        <v>0</v>
      </c>
      <c r="I146" s="3">
        <f t="shared" si="11"/>
        <v>8900</v>
      </c>
      <c r="J146" s="2" t="s">
        <v>27</v>
      </c>
      <c r="K146" s="5">
        <v>46231.583333333343</v>
      </c>
      <c r="L146">
        <v>1</v>
      </c>
      <c r="M146" s="3">
        <f t="shared" si="12"/>
        <v>8900</v>
      </c>
      <c r="N146" t="str">
        <f t="shared" si="13"/>
        <v>ставка</v>
      </c>
      <c r="O146" s="3">
        <f t="shared" si="14"/>
        <v>174.51</v>
      </c>
      <c r="P146" s="5">
        <v>46232.5</v>
      </c>
      <c r="Q146" t="s">
        <v>23</v>
      </c>
      <c r="R146" s="2" t="s">
        <v>40</v>
      </c>
      <c r="S146">
        <v>23</v>
      </c>
      <c r="T146">
        <v>1</v>
      </c>
    </row>
    <row r="147" spans="1:20" ht="30" x14ac:dyDescent="0.25">
      <c r="A147" t="s">
        <v>504</v>
      </c>
      <c r="B147">
        <v>1</v>
      </c>
      <c r="C147" s="2" t="s">
        <v>505</v>
      </c>
      <c r="D147" s="3">
        <v>8217</v>
      </c>
      <c r="E147" s="4">
        <v>18</v>
      </c>
      <c r="F147" t="s">
        <v>32</v>
      </c>
      <c r="G147" s="3">
        <f t="shared" si="10"/>
        <v>10020.73</v>
      </c>
      <c r="H147" s="3">
        <v>0</v>
      </c>
      <c r="I147" s="3">
        <f t="shared" si="11"/>
        <v>10020.73</v>
      </c>
      <c r="J147" s="2" t="s">
        <v>27</v>
      </c>
      <c r="K147" s="5">
        <v>46241.583333333343</v>
      </c>
      <c r="L147">
        <v>1</v>
      </c>
      <c r="M147" s="3">
        <f t="shared" si="12"/>
        <v>10020.73</v>
      </c>
      <c r="N147" t="str">
        <f t="shared" si="13"/>
        <v>ставка</v>
      </c>
      <c r="O147" s="3">
        <f t="shared" si="14"/>
        <v>196.48</v>
      </c>
      <c r="P147" s="5">
        <v>46242.5</v>
      </c>
      <c r="Q147" t="s">
        <v>32</v>
      </c>
      <c r="R147" s="2" t="s">
        <v>33</v>
      </c>
      <c r="S147">
        <v>41</v>
      </c>
      <c r="T147">
        <v>1</v>
      </c>
    </row>
    <row r="148" spans="1:20" ht="30" x14ac:dyDescent="0.25">
      <c r="A148" t="s">
        <v>506</v>
      </c>
      <c r="B148">
        <v>1</v>
      </c>
      <c r="C148" s="2" t="s">
        <v>507</v>
      </c>
      <c r="D148" s="3">
        <v>6764</v>
      </c>
      <c r="E148" s="4">
        <v>17</v>
      </c>
      <c r="F148" t="s">
        <v>130</v>
      </c>
      <c r="G148" s="3">
        <f t="shared" si="10"/>
        <v>8149.4</v>
      </c>
      <c r="H148" s="3">
        <v>0</v>
      </c>
      <c r="I148" s="3">
        <f t="shared" si="11"/>
        <v>8149.4</v>
      </c>
      <c r="J148" s="2" t="s">
        <v>27</v>
      </c>
      <c r="K148" s="5">
        <v>46255.583333333343</v>
      </c>
      <c r="L148">
        <v>1</v>
      </c>
      <c r="M148" s="3">
        <f t="shared" si="12"/>
        <v>8149.4</v>
      </c>
      <c r="N148" t="str">
        <f t="shared" si="13"/>
        <v>ставка</v>
      </c>
      <c r="O148" s="3">
        <f t="shared" si="14"/>
        <v>159.79</v>
      </c>
      <c r="P148" s="5">
        <v>46256.5</v>
      </c>
      <c r="Q148" t="s">
        <v>130</v>
      </c>
      <c r="R148" s="2" t="s">
        <v>33</v>
      </c>
      <c r="S148">
        <v>43</v>
      </c>
      <c r="T148">
        <v>1</v>
      </c>
    </row>
    <row r="149" spans="1:20" ht="30" x14ac:dyDescent="0.25">
      <c r="A149" t="s">
        <v>508</v>
      </c>
      <c r="B149">
        <v>1</v>
      </c>
      <c r="C149" s="2" t="s">
        <v>507</v>
      </c>
      <c r="D149" s="3">
        <v>6557</v>
      </c>
      <c r="E149" s="4">
        <v>17</v>
      </c>
      <c r="F149" t="s">
        <v>130</v>
      </c>
      <c r="G149" s="3">
        <f t="shared" si="10"/>
        <v>7900</v>
      </c>
      <c r="H149" s="3">
        <v>0</v>
      </c>
      <c r="I149" s="3">
        <f t="shared" si="11"/>
        <v>7900</v>
      </c>
      <c r="J149" s="2" t="s">
        <v>27</v>
      </c>
      <c r="K149" s="5">
        <v>46256.583333333343</v>
      </c>
      <c r="L149">
        <v>1</v>
      </c>
      <c r="M149" s="3">
        <f t="shared" si="12"/>
        <v>7900</v>
      </c>
      <c r="N149" t="str">
        <f t="shared" si="13"/>
        <v>ставка</v>
      </c>
      <c r="O149" s="3">
        <f t="shared" si="14"/>
        <v>154.9</v>
      </c>
      <c r="P149" s="5">
        <v>46257.5</v>
      </c>
      <c r="Q149" t="s">
        <v>130</v>
      </c>
      <c r="R149" s="2" t="s">
        <v>33</v>
      </c>
      <c r="S149">
        <v>43</v>
      </c>
      <c r="T149">
        <v>1</v>
      </c>
    </row>
    <row r="150" spans="1:20" ht="30" x14ac:dyDescent="0.25">
      <c r="A150" t="s">
        <v>509</v>
      </c>
      <c r="B150">
        <v>1</v>
      </c>
      <c r="C150" s="2" t="s">
        <v>510</v>
      </c>
      <c r="D150" s="3">
        <v>11680</v>
      </c>
      <c r="E150" s="4">
        <v>20</v>
      </c>
      <c r="F150" t="s">
        <v>103</v>
      </c>
      <c r="G150" s="3">
        <f t="shared" si="10"/>
        <v>14600</v>
      </c>
      <c r="H150" s="3">
        <v>0</v>
      </c>
      <c r="I150" s="3">
        <f t="shared" si="11"/>
        <v>14600</v>
      </c>
      <c r="J150" s="2" t="s">
        <v>27</v>
      </c>
      <c r="K150" s="5">
        <v>46295.583333333343</v>
      </c>
      <c r="L150">
        <v>2</v>
      </c>
      <c r="M150" s="3">
        <f t="shared" si="12"/>
        <v>7300</v>
      </c>
      <c r="N150" t="str">
        <f t="shared" si="13"/>
        <v>ставка</v>
      </c>
      <c r="O150" s="3">
        <f t="shared" si="14"/>
        <v>286.27</v>
      </c>
      <c r="P150" s="5">
        <v>46297.5</v>
      </c>
      <c r="Q150" t="s">
        <v>103</v>
      </c>
      <c r="R150" s="2" t="s">
        <v>58</v>
      </c>
      <c r="S150">
        <v>34</v>
      </c>
      <c r="T150">
        <v>1</v>
      </c>
    </row>
    <row r="151" spans="1:20" ht="30" x14ac:dyDescent="0.25">
      <c r="A151" t="s">
        <v>511</v>
      </c>
      <c r="B151">
        <v>1</v>
      </c>
      <c r="C151" s="2" t="s">
        <v>512</v>
      </c>
      <c r="D151" s="3">
        <v>21945</v>
      </c>
      <c r="E151" s="4">
        <v>18</v>
      </c>
      <c r="F151" t="s">
        <v>32</v>
      </c>
      <c r="G151" s="3">
        <f t="shared" si="10"/>
        <v>26762.2</v>
      </c>
      <c r="H151" s="3">
        <v>0</v>
      </c>
      <c r="I151" s="3">
        <f t="shared" si="11"/>
        <v>26762.2</v>
      </c>
      <c r="J151" s="2" t="s">
        <v>27</v>
      </c>
      <c r="K151" s="5">
        <v>46287.583333333343</v>
      </c>
      <c r="L151">
        <v>2</v>
      </c>
      <c r="M151" s="3">
        <f t="shared" si="12"/>
        <v>13381.1</v>
      </c>
      <c r="N151" t="str">
        <f t="shared" si="13"/>
        <v>ставка</v>
      </c>
      <c r="O151" s="3">
        <f t="shared" si="14"/>
        <v>524.75</v>
      </c>
      <c r="P151" s="5">
        <v>46289.5</v>
      </c>
      <c r="Q151" t="s">
        <v>32</v>
      </c>
      <c r="R151" s="2" t="s">
        <v>24</v>
      </c>
      <c r="S151">
        <v>21</v>
      </c>
      <c r="T151">
        <v>1</v>
      </c>
    </row>
    <row r="152" spans="1:20" ht="30" x14ac:dyDescent="0.25">
      <c r="A152" t="s">
        <v>513</v>
      </c>
      <c r="B152">
        <v>1</v>
      </c>
      <c r="C152" s="2" t="s">
        <v>514</v>
      </c>
      <c r="D152" s="3">
        <v>40584</v>
      </c>
      <c r="E152" s="4">
        <v>18</v>
      </c>
      <c r="F152" t="s">
        <v>32</v>
      </c>
      <c r="G152" s="3">
        <f t="shared" si="10"/>
        <v>49492.68</v>
      </c>
      <c r="H152" s="3">
        <v>0</v>
      </c>
      <c r="I152" s="3">
        <f t="shared" si="11"/>
        <v>49492.68</v>
      </c>
      <c r="J152" s="2" t="s">
        <v>27</v>
      </c>
      <c r="K152" s="5">
        <v>46230.583333333343</v>
      </c>
      <c r="L152">
        <v>4</v>
      </c>
      <c r="M152" s="3">
        <f t="shared" si="12"/>
        <v>12373.17</v>
      </c>
      <c r="N152" t="str">
        <f t="shared" si="13"/>
        <v>ставка</v>
      </c>
      <c r="O152" s="3">
        <f t="shared" si="14"/>
        <v>970.44</v>
      </c>
      <c r="P152" s="5">
        <v>46234.5</v>
      </c>
      <c r="Q152" t="s">
        <v>32</v>
      </c>
      <c r="R152" s="2" t="s">
        <v>40</v>
      </c>
      <c r="S152">
        <v>36</v>
      </c>
      <c r="T152">
        <v>1</v>
      </c>
    </row>
    <row r="153" spans="1:20" ht="30" x14ac:dyDescent="0.25">
      <c r="A153" t="s">
        <v>518</v>
      </c>
      <c r="B153">
        <v>1</v>
      </c>
      <c r="C153" s="2" t="s">
        <v>519</v>
      </c>
      <c r="D153" s="3">
        <v>21360</v>
      </c>
      <c r="E153" s="4">
        <v>20</v>
      </c>
      <c r="F153" t="s">
        <v>48</v>
      </c>
      <c r="G153" s="3">
        <f t="shared" si="10"/>
        <v>26700</v>
      </c>
      <c r="H153" s="3">
        <v>0</v>
      </c>
      <c r="I153" s="3">
        <f t="shared" si="11"/>
        <v>26700</v>
      </c>
      <c r="J153" s="2" t="s">
        <v>27</v>
      </c>
      <c r="K153" s="5">
        <v>46262.583333333343</v>
      </c>
      <c r="L153">
        <v>2</v>
      </c>
      <c r="M153" s="3">
        <f t="shared" si="12"/>
        <v>13350</v>
      </c>
      <c r="N153" t="str">
        <f t="shared" si="13"/>
        <v>ставка</v>
      </c>
      <c r="O153" s="3">
        <f t="shared" si="14"/>
        <v>523.53</v>
      </c>
      <c r="P153" s="5">
        <v>46264.5</v>
      </c>
      <c r="Q153" t="s">
        <v>48</v>
      </c>
      <c r="R153" s="2" t="s">
        <v>40</v>
      </c>
      <c r="S153">
        <v>22</v>
      </c>
      <c r="T153">
        <v>1</v>
      </c>
    </row>
    <row r="154" spans="1:20" ht="30" x14ac:dyDescent="0.25">
      <c r="A154" t="s">
        <v>522</v>
      </c>
      <c r="B154">
        <v>1</v>
      </c>
      <c r="C154" s="2" t="s">
        <v>523</v>
      </c>
      <c r="D154" s="3">
        <v>8217</v>
      </c>
      <c r="E154" s="4">
        <v>17</v>
      </c>
      <c r="F154" t="s">
        <v>173</v>
      </c>
      <c r="G154" s="3">
        <f t="shared" si="10"/>
        <v>9900</v>
      </c>
      <c r="H154" s="3">
        <v>0</v>
      </c>
      <c r="I154" s="3">
        <f t="shared" si="11"/>
        <v>9900</v>
      </c>
      <c r="J154" s="2" t="s">
        <v>27</v>
      </c>
      <c r="K154" s="5">
        <v>46230.583333333343</v>
      </c>
      <c r="L154">
        <v>1</v>
      </c>
      <c r="M154" s="3">
        <f t="shared" si="12"/>
        <v>9900</v>
      </c>
      <c r="N154" t="str">
        <f t="shared" si="13"/>
        <v>ставка</v>
      </c>
      <c r="O154" s="3">
        <f t="shared" si="14"/>
        <v>194.12</v>
      </c>
      <c r="P154" s="5">
        <v>46231.5</v>
      </c>
      <c r="Q154" t="s">
        <v>173</v>
      </c>
      <c r="R154" s="2" t="s">
        <v>33</v>
      </c>
      <c r="S154">
        <v>41</v>
      </c>
      <c r="T154">
        <v>1</v>
      </c>
    </row>
    <row r="155" spans="1:20" ht="30" x14ac:dyDescent="0.25">
      <c r="A155" t="s">
        <v>524</v>
      </c>
      <c r="B155">
        <v>1</v>
      </c>
      <c r="C155" s="2" t="s">
        <v>525</v>
      </c>
      <c r="D155" s="3">
        <v>12015</v>
      </c>
      <c r="E155" s="4">
        <v>0</v>
      </c>
      <c r="F155" t="s">
        <v>23</v>
      </c>
      <c r="G155" s="3">
        <f t="shared" si="10"/>
        <v>12015</v>
      </c>
      <c r="H155" s="3">
        <v>0</v>
      </c>
      <c r="I155" s="3">
        <f t="shared" si="11"/>
        <v>12015</v>
      </c>
      <c r="J155" s="2" t="s">
        <v>27</v>
      </c>
      <c r="K155" s="5">
        <v>46263.583333333343</v>
      </c>
      <c r="L155">
        <v>1</v>
      </c>
      <c r="M155" s="3">
        <f t="shared" si="12"/>
        <v>12015</v>
      </c>
      <c r="N155" t="str">
        <f t="shared" si="13"/>
        <v>ставка</v>
      </c>
      <c r="O155" s="3">
        <f t="shared" si="14"/>
        <v>235.59</v>
      </c>
      <c r="P155" s="5">
        <v>46264.5</v>
      </c>
      <c r="Q155" t="s">
        <v>23</v>
      </c>
      <c r="R155" s="2" t="s">
        <v>40</v>
      </c>
      <c r="S155">
        <v>36</v>
      </c>
      <c r="T155">
        <v>1</v>
      </c>
    </row>
    <row r="156" spans="1:20" x14ac:dyDescent="0.25">
      <c r="A156" t="s">
        <v>528</v>
      </c>
      <c r="B156">
        <v>1</v>
      </c>
      <c r="C156" s="2" t="s">
        <v>529</v>
      </c>
      <c r="D156" s="3">
        <v>33000</v>
      </c>
      <c r="E156" s="4">
        <v>0</v>
      </c>
      <c r="F156" t="s">
        <v>23</v>
      </c>
      <c r="G156" s="3">
        <f t="shared" si="10"/>
        <v>33000</v>
      </c>
      <c r="H156" s="3">
        <v>0</v>
      </c>
      <c r="I156" s="3">
        <f t="shared" si="11"/>
        <v>33000</v>
      </c>
      <c r="J156" s="2" t="s">
        <v>27</v>
      </c>
      <c r="K156" s="5">
        <v>46233.583333333343</v>
      </c>
      <c r="L156">
        <v>2</v>
      </c>
      <c r="M156" s="3">
        <f t="shared" si="12"/>
        <v>16500</v>
      </c>
      <c r="N156" t="str">
        <f t="shared" si="13"/>
        <v>ставка</v>
      </c>
      <c r="O156" s="3">
        <f t="shared" si="14"/>
        <v>647.05999999999995</v>
      </c>
      <c r="P156" s="5">
        <v>46235.5</v>
      </c>
      <c r="Q156" t="s">
        <v>23</v>
      </c>
      <c r="R156" s="2" t="s">
        <v>49</v>
      </c>
      <c r="S156">
        <v>25</v>
      </c>
      <c r="T156">
        <v>1</v>
      </c>
    </row>
    <row r="157" spans="1:20" ht="30" x14ac:dyDescent="0.25">
      <c r="A157" t="s">
        <v>532</v>
      </c>
      <c r="B157">
        <v>1</v>
      </c>
      <c r="C157" s="2" t="s">
        <v>533</v>
      </c>
      <c r="D157" s="3">
        <v>6636</v>
      </c>
      <c r="E157" s="4">
        <v>16</v>
      </c>
      <c r="F157" t="s">
        <v>36</v>
      </c>
      <c r="G157" s="3">
        <f t="shared" si="10"/>
        <v>7900</v>
      </c>
      <c r="H157" s="3">
        <v>0</v>
      </c>
      <c r="I157" s="3">
        <f t="shared" si="11"/>
        <v>7900</v>
      </c>
      <c r="J157" s="2" t="s">
        <v>27</v>
      </c>
      <c r="K157" s="5">
        <v>46264.583333333343</v>
      </c>
      <c r="L157">
        <v>1</v>
      </c>
      <c r="M157" s="3">
        <f t="shared" si="12"/>
        <v>7900</v>
      </c>
      <c r="N157" t="str">
        <f t="shared" si="13"/>
        <v>ставка</v>
      </c>
      <c r="O157" s="3">
        <f t="shared" si="14"/>
        <v>154.9</v>
      </c>
      <c r="P157" s="5">
        <v>46265.5</v>
      </c>
      <c r="Q157" t="s">
        <v>36</v>
      </c>
      <c r="R157" s="2" t="s">
        <v>40</v>
      </c>
      <c r="S157">
        <v>36</v>
      </c>
      <c r="T157">
        <v>1</v>
      </c>
    </row>
    <row r="158" spans="1:20" x14ac:dyDescent="0.25">
      <c r="A158" t="s">
        <v>537</v>
      </c>
      <c r="B158">
        <v>1</v>
      </c>
      <c r="C158" s="2" t="s">
        <v>538</v>
      </c>
      <c r="D158" s="3">
        <v>32752.5</v>
      </c>
      <c r="E158" s="4">
        <v>4</v>
      </c>
      <c r="F158" t="s">
        <v>55</v>
      </c>
      <c r="G158" s="3">
        <f t="shared" si="10"/>
        <v>34117.19</v>
      </c>
      <c r="H158" s="3">
        <v>0</v>
      </c>
      <c r="I158" s="3">
        <f t="shared" si="11"/>
        <v>34117.19</v>
      </c>
      <c r="J158" s="2" t="s">
        <v>27</v>
      </c>
      <c r="K158" s="5">
        <v>46250.583333333343</v>
      </c>
      <c r="L158">
        <v>2</v>
      </c>
      <c r="M158" s="3">
        <f t="shared" si="12"/>
        <v>17058.595000000001</v>
      </c>
      <c r="N158" t="str">
        <f t="shared" si="13"/>
        <v>ставка</v>
      </c>
      <c r="O158" s="3">
        <f t="shared" si="14"/>
        <v>668.96</v>
      </c>
      <c r="P158" s="5">
        <v>46252.5</v>
      </c>
      <c r="Q158" t="s">
        <v>55</v>
      </c>
      <c r="R158" s="2" t="s">
        <v>49</v>
      </c>
      <c r="S158">
        <v>25</v>
      </c>
      <c r="T158">
        <v>1</v>
      </c>
    </row>
    <row r="159" spans="1:20" ht="30" x14ac:dyDescent="0.25">
      <c r="A159" t="s">
        <v>541</v>
      </c>
      <c r="B159">
        <v>1</v>
      </c>
      <c r="C159" s="2" t="s">
        <v>542</v>
      </c>
      <c r="D159" s="3">
        <v>32160</v>
      </c>
      <c r="E159" s="4">
        <v>20</v>
      </c>
      <c r="F159" t="s">
        <v>293</v>
      </c>
      <c r="G159" s="3">
        <f t="shared" si="10"/>
        <v>40200</v>
      </c>
      <c r="H159" s="3">
        <v>6000</v>
      </c>
      <c r="I159" s="3">
        <f t="shared" si="11"/>
        <v>46200</v>
      </c>
      <c r="J159" s="2" t="s">
        <v>543</v>
      </c>
      <c r="K159" s="5">
        <v>46203.583333333343</v>
      </c>
      <c r="L159">
        <v>3</v>
      </c>
      <c r="M159" s="3">
        <f t="shared" si="12"/>
        <v>15400</v>
      </c>
      <c r="N159" t="str">
        <f t="shared" si="13"/>
        <v>ставка</v>
      </c>
      <c r="O159" s="3">
        <f t="shared" si="14"/>
        <v>905.88</v>
      </c>
      <c r="P159" s="5">
        <v>46206.5</v>
      </c>
      <c r="Q159" t="s">
        <v>293</v>
      </c>
      <c r="R159" s="2" t="s">
        <v>49</v>
      </c>
      <c r="S159">
        <v>11</v>
      </c>
      <c r="T159">
        <v>1</v>
      </c>
    </row>
    <row r="160" spans="1:20" ht="30" x14ac:dyDescent="0.25">
      <c r="A160" t="s">
        <v>544</v>
      </c>
      <c r="B160">
        <v>1</v>
      </c>
      <c r="C160" s="2" t="s">
        <v>545</v>
      </c>
      <c r="D160" s="3">
        <v>9080</v>
      </c>
      <c r="E160" s="4">
        <v>20</v>
      </c>
      <c r="F160" t="s">
        <v>48</v>
      </c>
      <c r="G160" s="3">
        <f t="shared" si="10"/>
        <v>11350</v>
      </c>
      <c r="H160" s="3">
        <v>0</v>
      </c>
      <c r="I160" s="3">
        <f t="shared" si="11"/>
        <v>11350</v>
      </c>
      <c r="J160" s="2" t="s">
        <v>27</v>
      </c>
      <c r="K160" s="5">
        <v>46268.583333333343</v>
      </c>
      <c r="L160">
        <v>1</v>
      </c>
      <c r="M160" s="3">
        <f t="shared" si="12"/>
        <v>11350</v>
      </c>
      <c r="N160" t="str">
        <f t="shared" si="13"/>
        <v>ставка</v>
      </c>
      <c r="O160" s="3">
        <f t="shared" si="14"/>
        <v>222.55</v>
      </c>
      <c r="P160" s="5">
        <v>46269.5</v>
      </c>
      <c r="Q160" t="s">
        <v>48</v>
      </c>
      <c r="R160" s="2" t="s">
        <v>40</v>
      </c>
      <c r="S160">
        <v>33</v>
      </c>
      <c r="T160">
        <v>1</v>
      </c>
    </row>
    <row r="161" spans="1:20" x14ac:dyDescent="0.25">
      <c r="A161" t="s">
        <v>546</v>
      </c>
      <c r="B161">
        <v>1</v>
      </c>
      <c r="C161" s="2" t="s">
        <v>547</v>
      </c>
      <c r="D161" s="3">
        <v>13200</v>
      </c>
      <c r="E161" s="4">
        <v>18</v>
      </c>
      <c r="F161" t="s">
        <v>32</v>
      </c>
      <c r="G161" s="3">
        <f t="shared" si="10"/>
        <v>16097.56</v>
      </c>
      <c r="H161" s="3">
        <v>0</v>
      </c>
      <c r="I161" s="3">
        <f t="shared" si="11"/>
        <v>16097.56</v>
      </c>
      <c r="J161" s="2" t="s">
        <v>27</v>
      </c>
      <c r="K161" s="5">
        <v>46270.583333333343</v>
      </c>
      <c r="L161">
        <v>1</v>
      </c>
      <c r="M161" s="3">
        <f t="shared" si="12"/>
        <v>16097.56</v>
      </c>
      <c r="N161" t="str">
        <f t="shared" si="13"/>
        <v>ставка</v>
      </c>
      <c r="O161" s="3">
        <f t="shared" si="14"/>
        <v>315.64</v>
      </c>
      <c r="P161" s="5">
        <v>46271.5</v>
      </c>
      <c r="Q161" t="s">
        <v>32</v>
      </c>
      <c r="R161" s="2" t="s">
        <v>49</v>
      </c>
      <c r="S161">
        <v>35</v>
      </c>
      <c r="T161">
        <v>1</v>
      </c>
    </row>
    <row r="162" spans="1:20" ht="30" x14ac:dyDescent="0.25">
      <c r="A162" t="s">
        <v>548</v>
      </c>
      <c r="B162">
        <v>1</v>
      </c>
      <c r="C162" s="2" t="s">
        <v>549</v>
      </c>
      <c r="D162" s="3">
        <v>55402.5</v>
      </c>
      <c r="E162" s="4">
        <v>17</v>
      </c>
      <c r="F162" t="s">
        <v>130</v>
      </c>
      <c r="G162" s="3">
        <f t="shared" si="10"/>
        <v>66750</v>
      </c>
      <c r="H162" s="3">
        <v>600</v>
      </c>
      <c r="I162" s="3">
        <f t="shared" si="11"/>
        <v>67350</v>
      </c>
      <c r="J162" s="2" t="s">
        <v>550</v>
      </c>
      <c r="K162" s="5">
        <v>46242.583333333343</v>
      </c>
      <c r="L162">
        <v>5</v>
      </c>
      <c r="M162" s="3">
        <f t="shared" si="12"/>
        <v>13470</v>
      </c>
      <c r="N162" t="str">
        <f t="shared" si="13"/>
        <v>ставка</v>
      </c>
      <c r="O162" s="3">
        <f t="shared" si="14"/>
        <v>1320.59</v>
      </c>
      <c r="P162" s="5">
        <v>46247.5</v>
      </c>
      <c r="Q162" t="s">
        <v>130</v>
      </c>
      <c r="R162" s="2" t="s">
        <v>40</v>
      </c>
      <c r="S162">
        <v>26</v>
      </c>
      <c r="T162">
        <v>1</v>
      </c>
    </row>
    <row r="163" spans="1:20" ht="30" x14ac:dyDescent="0.25">
      <c r="A163" t="s">
        <v>551</v>
      </c>
      <c r="B163">
        <v>1</v>
      </c>
      <c r="C163" s="2" t="s">
        <v>552</v>
      </c>
      <c r="D163" s="3">
        <v>12350</v>
      </c>
      <c r="E163" s="4">
        <v>0</v>
      </c>
      <c r="F163" t="s">
        <v>23</v>
      </c>
      <c r="G163" s="3">
        <f t="shared" si="10"/>
        <v>12350</v>
      </c>
      <c r="H163" s="3">
        <v>0</v>
      </c>
      <c r="I163" s="3">
        <f t="shared" si="11"/>
        <v>12350</v>
      </c>
      <c r="J163" s="2" t="s">
        <v>27</v>
      </c>
      <c r="K163" s="5">
        <v>46213.583333333343</v>
      </c>
      <c r="L163">
        <v>1</v>
      </c>
      <c r="M163" s="3">
        <f t="shared" si="12"/>
        <v>12350</v>
      </c>
      <c r="N163" t="str">
        <f t="shared" si="13"/>
        <v>ставка</v>
      </c>
      <c r="O163" s="3">
        <f t="shared" si="14"/>
        <v>242.16</v>
      </c>
      <c r="P163" s="5">
        <v>46214.5</v>
      </c>
      <c r="Q163" t="s">
        <v>23</v>
      </c>
      <c r="R163" s="2" t="s">
        <v>40</v>
      </c>
      <c r="S163">
        <v>46</v>
      </c>
      <c r="T163">
        <v>1</v>
      </c>
    </row>
    <row r="164" spans="1:20" ht="30" x14ac:dyDescent="0.25">
      <c r="A164" t="s">
        <v>553</v>
      </c>
      <c r="B164">
        <v>1</v>
      </c>
      <c r="C164" s="2" t="s">
        <v>554</v>
      </c>
      <c r="D164" s="3">
        <v>7920</v>
      </c>
      <c r="E164" s="4">
        <v>18</v>
      </c>
      <c r="F164" t="s">
        <v>32</v>
      </c>
      <c r="G164" s="3">
        <f t="shared" si="10"/>
        <v>9658.5400000000009</v>
      </c>
      <c r="H164" s="3">
        <v>0</v>
      </c>
      <c r="I164" s="3">
        <f t="shared" si="11"/>
        <v>9658.5400000000009</v>
      </c>
      <c r="J164" s="2" t="s">
        <v>27</v>
      </c>
      <c r="K164" s="5">
        <v>46234.583333333343</v>
      </c>
      <c r="L164">
        <v>1</v>
      </c>
      <c r="M164" s="3">
        <f t="shared" si="12"/>
        <v>9658.5400000000009</v>
      </c>
      <c r="N164" t="str">
        <f t="shared" si="13"/>
        <v>ставка</v>
      </c>
      <c r="O164" s="3">
        <f t="shared" si="14"/>
        <v>189.38</v>
      </c>
      <c r="P164" s="5">
        <v>46235.5</v>
      </c>
      <c r="Q164" t="s">
        <v>32</v>
      </c>
      <c r="R164" s="2" t="s">
        <v>33</v>
      </c>
      <c r="S164">
        <v>47</v>
      </c>
      <c r="T164">
        <v>1</v>
      </c>
    </row>
    <row r="165" spans="1:20" ht="30" x14ac:dyDescent="0.25">
      <c r="A165" t="s">
        <v>555</v>
      </c>
      <c r="B165">
        <v>1</v>
      </c>
      <c r="C165" s="2" t="s">
        <v>556</v>
      </c>
      <c r="D165" s="3">
        <v>7700</v>
      </c>
      <c r="E165" s="4">
        <v>4</v>
      </c>
      <c r="F165" t="s">
        <v>55</v>
      </c>
      <c r="G165" s="3">
        <f t="shared" si="10"/>
        <v>8020.83</v>
      </c>
      <c r="H165" s="3">
        <v>0</v>
      </c>
      <c r="I165" s="3">
        <f t="shared" si="11"/>
        <v>8020.83</v>
      </c>
      <c r="J165" s="2" t="s">
        <v>27</v>
      </c>
      <c r="K165" s="5">
        <v>46221.895833333343</v>
      </c>
      <c r="L165">
        <v>1</v>
      </c>
      <c r="M165" s="3">
        <f t="shared" si="12"/>
        <v>8020.83</v>
      </c>
      <c r="N165" t="str">
        <f t="shared" si="13"/>
        <v>ставка</v>
      </c>
      <c r="O165" s="3">
        <f t="shared" si="14"/>
        <v>157.27000000000001</v>
      </c>
      <c r="P165" s="5">
        <v>46222.5</v>
      </c>
      <c r="Q165" t="s">
        <v>55</v>
      </c>
      <c r="R165" s="2" t="s">
        <v>58</v>
      </c>
      <c r="S165">
        <v>34</v>
      </c>
      <c r="T165">
        <v>1</v>
      </c>
    </row>
    <row r="166" spans="1:20" ht="30" x14ac:dyDescent="0.25">
      <c r="A166" t="s">
        <v>557</v>
      </c>
      <c r="B166">
        <v>1</v>
      </c>
      <c r="C166" s="2" t="s">
        <v>558</v>
      </c>
      <c r="D166" s="3">
        <v>11347.5</v>
      </c>
      <c r="E166" s="4">
        <v>20</v>
      </c>
      <c r="F166" t="s">
        <v>173</v>
      </c>
      <c r="G166" s="3">
        <f t="shared" si="10"/>
        <v>14184.38</v>
      </c>
      <c r="H166" s="3">
        <v>0</v>
      </c>
      <c r="I166" s="3">
        <f t="shared" si="11"/>
        <v>14184.38</v>
      </c>
      <c r="J166" s="2" t="s">
        <v>27</v>
      </c>
      <c r="K166" s="5">
        <v>46254.583333333343</v>
      </c>
      <c r="L166">
        <v>1</v>
      </c>
      <c r="M166" s="3">
        <f t="shared" si="12"/>
        <v>14184.38</v>
      </c>
      <c r="N166" t="str">
        <f t="shared" si="13"/>
        <v>ставка</v>
      </c>
      <c r="O166" s="3">
        <f t="shared" si="14"/>
        <v>278.13</v>
      </c>
      <c r="P166" s="5">
        <v>46255.5</v>
      </c>
      <c r="Q166" t="s">
        <v>173</v>
      </c>
      <c r="R166" s="2" t="s">
        <v>40</v>
      </c>
      <c r="S166">
        <v>23</v>
      </c>
      <c r="T166">
        <v>1</v>
      </c>
    </row>
    <row r="167" spans="1:20" ht="30" x14ac:dyDescent="0.25">
      <c r="A167" t="s">
        <v>559</v>
      </c>
      <c r="B167">
        <v>1</v>
      </c>
      <c r="C167" s="2" t="s">
        <v>560</v>
      </c>
      <c r="D167" s="3">
        <v>26180</v>
      </c>
      <c r="E167" s="4">
        <v>15</v>
      </c>
      <c r="F167" t="s">
        <v>52</v>
      </c>
      <c r="G167" s="3">
        <f t="shared" si="10"/>
        <v>30800</v>
      </c>
      <c r="H167" s="3">
        <v>0</v>
      </c>
      <c r="I167" s="3">
        <f t="shared" si="11"/>
        <v>30800</v>
      </c>
      <c r="J167" s="2" t="s">
        <v>27</v>
      </c>
      <c r="K167" s="5">
        <v>46272.583333333343</v>
      </c>
      <c r="L167">
        <v>4</v>
      </c>
      <c r="M167" s="3">
        <f t="shared" si="12"/>
        <v>7700</v>
      </c>
      <c r="N167" t="str">
        <f t="shared" si="13"/>
        <v>ставка</v>
      </c>
      <c r="O167" s="3">
        <f t="shared" si="14"/>
        <v>603.91999999999996</v>
      </c>
      <c r="P167" s="5">
        <v>46276.5</v>
      </c>
      <c r="Q167" t="s">
        <v>52</v>
      </c>
      <c r="R167" s="2" t="s">
        <v>58</v>
      </c>
      <c r="S167">
        <v>34</v>
      </c>
      <c r="T167">
        <v>1</v>
      </c>
    </row>
    <row r="168" spans="1:20" ht="30" x14ac:dyDescent="0.25">
      <c r="A168" t="s">
        <v>561</v>
      </c>
      <c r="B168">
        <v>1</v>
      </c>
      <c r="C168" s="2" t="s">
        <v>562</v>
      </c>
      <c r="D168" s="3">
        <v>18160</v>
      </c>
      <c r="E168" s="4">
        <v>20</v>
      </c>
      <c r="F168" t="s">
        <v>103</v>
      </c>
      <c r="G168" s="3">
        <f t="shared" si="10"/>
        <v>22700</v>
      </c>
      <c r="H168" s="3">
        <v>4000</v>
      </c>
      <c r="I168" s="3">
        <f t="shared" si="11"/>
        <v>26700</v>
      </c>
      <c r="J168" s="2" t="s">
        <v>563</v>
      </c>
      <c r="K168" s="5">
        <v>46272.583333333343</v>
      </c>
      <c r="L168">
        <v>2</v>
      </c>
      <c r="M168" s="3">
        <f t="shared" si="12"/>
        <v>13350</v>
      </c>
      <c r="N168" t="str">
        <f t="shared" si="13"/>
        <v>ставка</v>
      </c>
      <c r="O168" s="3">
        <f t="shared" si="14"/>
        <v>523.53</v>
      </c>
      <c r="P168" s="5">
        <v>46274.5</v>
      </c>
      <c r="Q168" t="s">
        <v>103</v>
      </c>
      <c r="R168" s="2" t="s">
        <v>40</v>
      </c>
      <c r="S168">
        <v>26</v>
      </c>
      <c r="T168">
        <v>1</v>
      </c>
    </row>
    <row r="169" spans="1:20" ht="30" x14ac:dyDescent="0.25">
      <c r="A169" t="s">
        <v>568</v>
      </c>
      <c r="B169">
        <v>1</v>
      </c>
      <c r="C169" s="2" t="s">
        <v>569</v>
      </c>
      <c r="D169" s="3">
        <v>35028</v>
      </c>
      <c r="E169" s="4">
        <v>16</v>
      </c>
      <c r="F169" t="s">
        <v>36</v>
      </c>
      <c r="G169" s="3">
        <f t="shared" si="10"/>
        <v>41700</v>
      </c>
      <c r="H169" s="3">
        <v>3000</v>
      </c>
      <c r="I169" s="3">
        <f t="shared" si="11"/>
        <v>44700</v>
      </c>
      <c r="J169" s="2" t="s">
        <v>570</v>
      </c>
      <c r="K169" s="5">
        <v>46261.583333333343</v>
      </c>
      <c r="L169">
        <v>3</v>
      </c>
      <c r="M169" s="3">
        <f t="shared" si="12"/>
        <v>14900</v>
      </c>
      <c r="N169" t="str">
        <f t="shared" si="13"/>
        <v>ставка</v>
      </c>
      <c r="O169" s="3">
        <f t="shared" si="14"/>
        <v>876.47</v>
      </c>
      <c r="P169" s="5">
        <v>46264.5</v>
      </c>
      <c r="Q169" t="s">
        <v>36</v>
      </c>
      <c r="R169" s="2" t="s">
        <v>24</v>
      </c>
      <c r="S169">
        <v>31</v>
      </c>
      <c r="T169">
        <v>1</v>
      </c>
    </row>
    <row r="170" spans="1:20" ht="30" x14ac:dyDescent="0.25">
      <c r="A170" t="s">
        <v>571</v>
      </c>
      <c r="B170">
        <v>1</v>
      </c>
      <c r="C170" s="2" t="s">
        <v>572</v>
      </c>
      <c r="D170" s="3">
        <v>11347.5</v>
      </c>
      <c r="E170" s="4">
        <v>15</v>
      </c>
      <c r="F170" t="s">
        <v>168</v>
      </c>
      <c r="G170" s="3">
        <f t="shared" si="10"/>
        <v>13350</v>
      </c>
      <c r="H170" s="3">
        <v>0</v>
      </c>
      <c r="I170" s="3">
        <f t="shared" si="11"/>
        <v>13350</v>
      </c>
      <c r="J170" s="2" t="s">
        <v>27</v>
      </c>
      <c r="K170" s="5">
        <v>46275.583333333343</v>
      </c>
      <c r="L170">
        <v>1</v>
      </c>
      <c r="M170" s="3">
        <f t="shared" si="12"/>
        <v>13350</v>
      </c>
      <c r="N170" t="str">
        <f t="shared" si="13"/>
        <v>ставка</v>
      </c>
      <c r="O170" s="3">
        <f t="shared" si="14"/>
        <v>261.76</v>
      </c>
      <c r="P170" s="5">
        <v>46276.583333333343</v>
      </c>
      <c r="Q170" t="s">
        <v>168</v>
      </c>
      <c r="R170" s="2" t="s">
        <v>40</v>
      </c>
      <c r="S170">
        <v>46</v>
      </c>
      <c r="T170">
        <v>1</v>
      </c>
    </row>
    <row r="171" spans="1:20" ht="30" x14ac:dyDescent="0.25">
      <c r="A171" t="s">
        <v>571</v>
      </c>
      <c r="B171">
        <v>1</v>
      </c>
      <c r="C171" s="2" t="s">
        <v>572</v>
      </c>
      <c r="D171" s="3">
        <v>34042.5</v>
      </c>
      <c r="E171" s="4">
        <v>15</v>
      </c>
      <c r="F171" t="s">
        <v>168</v>
      </c>
      <c r="G171" s="3">
        <f t="shared" si="10"/>
        <v>40050</v>
      </c>
      <c r="H171" s="3">
        <v>7425</v>
      </c>
      <c r="I171" s="3">
        <f t="shared" si="11"/>
        <v>47475</v>
      </c>
      <c r="J171" s="2" t="s">
        <v>573</v>
      </c>
      <c r="K171" s="5">
        <v>46276.583333333343</v>
      </c>
      <c r="L171">
        <v>3</v>
      </c>
      <c r="M171" s="3">
        <f t="shared" si="12"/>
        <v>15825</v>
      </c>
      <c r="N171" t="str">
        <f t="shared" si="13"/>
        <v>ставка</v>
      </c>
      <c r="O171" s="3">
        <f t="shared" si="14"/>
        <v>930.88</v>
      </c>
      <c r="P171" s="5">
        <v>46279.791666666657</v>
      </c>
      <c r="Q171" t="s">
        <v>168</v>
      </c>
      <c r="R171" s="2" t="s">
        <v>49</v>
      </c>
      <c r="S171">
        <v>11</v>
      </c>
      <c r="T171">
        <v>1</v>
      </c>
    </row>
    <row r="172" spans="1:20" ht="30" x14ac:dyDescent="0.25">
      <c r="A172" t="s">
        <v>574</v>
      </c>
      <c r="B172">
        <v>1</v>
      </c>
      <c r="C172" s="2" t="s">
        <v>575</v>
      </c>
      <c r="D172" s="3">
        <v>45390</v>
      </c>
      <c r="E172" s="4">
        <v>0</v>
      </c>
      <c r="F172" t="s">
        <v>180</v>
      </c>
      <c r="G172" s="3">
        <f t="shared" si="10"/>
        <v>45390</v>
      </c>
      <c r="H172" s="3">
        <v>0</v>
      </c>
      <c r="I172" s="3">
        <f t="shared" si="11"/>
        <v>45390</v>
      </c>
      <c r="J172" s="2" t="s">
        <v>181</v>
      </c>
      <c r="K172" s="5">
        <v>46266.583333333343</v>
      </c>
      <c r="L172">
        <v>4</v>
      </c>
      <c r="M172" s="3">
        <f t="shared" si="12"/>
        <v>11347.5</v>
      </c>
      <c r="N172" t="str">
        <f t="shared" si="13"/>
        <v>ставка</v>
      </c>
      <c r="O172" s="3">
        <f t="shared" si="14"/>
        <v>890</v>
      </c>
      <c r="P172" s="5">
        <v>46270.5</v>
      </c>
      <c r="Q172" t="s">
        <v>180</v>
      </c>
      <c r="R172" s="2" t="s">
        <v>40</v>
      </c>
      <c r="S172">
        <v>23</v>
      </c>
      <c r="T172">
        <v>1</v>
      </c>
    </row>
    <row r="173" spans="1:20" ht="30" x14ac:dyDescent="0.25">
      <c r="A173" t="s">
        <v>578</v>
      </c>
      <c r="B173">
        <v>1</v>
      </c>
      <c r="C173" s="2" t="s">
        <v>579</v>
      </c>
      <c r="D173" s="3">
        <v>27921</v>
      </c>
      <c r="E173" s="4">
        <v>18</v>
      </c>
      <c r="F173" t="s">
        <v>147</v>
      </c>
      <c r="G173" s="3">
        <f t="shared" si="10"/>
        <v>34050</v>
      </c>
      <c r="H173" s="3">
        <v>0</v>
      </c>
      <c r="I173" s="3">
        <f t="shared" si="11"/>
        <v>34050</v>
      </c>
      <c r="J173" s="2" t="s">
        <v>27</v>
      </c>
      <c r="K173" s="5">
        <v>46293.583333333343</v>
      </c>
      <c r="L173">
        <v>3</v>
      </c>
      <c r="M173" s="3">
        <f t="shared" si="12"/>
        <v>11350</v>
      </c>
      <c r="N173" t="str">
        <f t="shared" si="13"/>
        <v>ставка</v>
      </c>
      <c r="O173" s="3">
        <f t="shared" si="14"/>
        <v>667.65</v>
      </c>
      <c r="P173" s="5">
        <v>46296.5</v>
      </c>
      <c r="Q173" t="s">
        <v>147</v>
      </c>
      <c r="R173" s="2" t="s">
        <v>40</v>
      </c>
      <c r="S173">
        <v>33</v>
      </c>
      <c r="T173">
        <v>1</v>
      </c>
    </row>
    <row r="174" spans="1:20" ht="30" x14ac:dyDescent="0.25">
      <c r="A174" t="s">
        <v>580</v>
      </c>
      <c r="B174">
        <v>1</v>
      </c>
      <c r="C174" s="2" t="s">
        <v>581</v>
      </c>
      <c r="D174" s="3">
        <v>39636.15</v>
      </c>
      <c r="E174" s="4">
        <v>4</v>
      </c>
      <c r="F174" t="s">
        <v>55</v>
      </c>
      <c r="G174" s="3">
        <f t="shared" si="10"/>
        <v>41287.660000000003</v>
      </c>
      <c r="H174" s="3">
        <v>0</v>
      </c>
      <c r="I174" s="3">
        <f t="shared" si="11"/>
        <v>41287.660000000003</v>
      </c>
      <c r="J174" s="2" t="s">
        <v>27</v>
      </c>
      <c r="K174" s="5">
        <v>46245.583333333343</v>
      </c>
      <c r="L174">
        <v>3</v>
      </c>
      <c r="M174" s="3">
        <f t="shared" si="12"/>
        <v>13762.553333333335</v>
      </c>
      <c r="N174" t="str">
        <f t="shared" si="13"/>
        <v>ставка</v>
      </c>
      <c r="O174" s="3">
        <f t="shared" si="14"/>
        <v>809.56</v>
      </c>
      <c r="P174" s="5">
        <v>46248.5</v>
      </c>
      <c r="Q174" t="s">
        <v>55</v>
      </c>
      <c r="R174" s="2" t="s">
        <v>40</v>
      </c>
      <c r="S174">
        <v>32</v>
      </c>
      <c r="T174">
        <v>1</v>
      </c>
    </row>
    <row r="175" spans="1:20" ht="30" x14ac:dyDescent="0.25">
      <c r="A175" t="s">
        <v>587</v>
      </c>
      <c r="B175">
        <v>1</v>
      </c>
      <c r="C175" s="2" t="s">
        <v>588</v>
      </c>
      <c r="D175" s="3">
        <v>13860</v>
      </c>
      <c r="E175" s="4">
        <v>0</v>
      </c>
      <c r="F175" t="s">
        <v>23</v>
      </c>
      <c r="G175" s="3">
        <f t="shared" si="10"/>
        <v>13860</v>
      </c>
      <c r="H175" s="3">
        <v>0</v>
      </c>
      <c r="I175" s="3">
        <f t="shared" si="11"/>
        <v>13860</v>
      </c>
      <c r="J175" s="2" t="s">
        <v>27</v>
      </c>
      <c r="K175" s="5">
        <v>46249.583333333343</v>
      </c>
      <c r="L175">
        <v>1</v>
      </c>
      <c r="M175" s="3">
        <f t="shared" si="12"/>
        <v>13860</v>
      </c>
      <c r="N175" t="str">
        <f t="shared" si="13"/>
        <v>ставка</v>
      </c>
      <c r="O175" s="3">
        <f t="shared" si="14"/>
        <v>271.76</v>
      </c>
      <c r="P175" s="5">
        <v>46250.5</v>
      </c>
      <c r="Q175" t="s">
        <v>23</v>
      </c>
      <c r="R175" s="2" t="s">
        <v>24</v>
      </c>
      <c r="S175">
        <v>31</v>
      </c>
      <c r="T175">
        <v>1</v>
      </c>
    </row>
    <row r="176" spans="1:20" ht="30" x14ac:dyDescent="0.25">
      <c r="A176" t="s">
        <v>593</v>
      </c>
      <c r="B176">
        <v>1</v>
      </c>
      <c r="C176" s="2" t="s">
        <v>594</v>
      </c>
      <c r="D176" s="3">
        <v>55440</v>
      </c>
      <c r="E176" s="4">
        <v>0</v>
      </c>
      <c r="F176" t="s">
        <v>23</v>
      </c>
      <c r="G176" s="3">
        <f t="shared" si="10"/>
        <v>55440</v>
      </c>
      <c r="H176" s="3">
        <v>0</v>
      </c>
      <c r="I176" s="3">
        <f t="shared" si="11"/>
        <v>55440</v>
      </c>
      <c r="J176" s="2" t="s">
        <v>27</v>
      </c>
      <c r="K176" s="5">
        <v>46235.583333333343</v>
      </c>
      <c r="L176">
        <v>7</v>
      </c>
      <c r="M176" s="3">
        <f t="shared" si="12"/>
        <v>7920</v>
      </c>
      <c r="N176" t="str">
        <f t="shared" si="13"/>
        <v>ставка</v>
      </c>
      <c r="O176" s="3">
        <f t="shared" si="14"/>
        <v>1087.06</v>
      </c>
      <c r="P176" s="5">
        <v>46242.5</v>
      </c>
      <c r="Q176" t="s">
        <v>23</v>
      </c>
      <c r="R176" s="2" t="s">
        <v>33</v>
      </c>
      <c r="S176">
        <v>45</v>
      </c>
      <c r="T176">
        <v>1</v>
      </c>
    </row>
    <row r="177" spans="1:20" x14ac:dyDescent="0.25">
      <c r="A177" t="s">
        <v>595</v>
      </c>
      <c r="B177">
        <v>1</v>
      </c>
      <c r="C177" s="2" t="s">
        <v>596</v>
      </c>
      <c r="D177" s="3">
        <v>46400</v>
      </c>
      <c r="E177" s="4">
        <v>18</v>
      </c>
      <c r="F177" t="s">
        <v>32</v>
      </c>
      <c r="G177" s="3">
        <f t="shared" si="10"/>
        <v>56585.37</v>
      </c>
      <c r="H177" s="3">
        <v>0</v>
      </c>
      <c r="I177" s="3">
        <f t="shared" si="11"/>
        <v>56585.37</v>
      </c>
      <c r="J177" s="2" t="s">
        <v>27</v>
      </c>
      <c r="K177" s="5">
        <v>46204.583333333343</v>
      </c>
      <c r="L177">
        <v>4</v>
      </c>
      <c r="M177" s="3">
        <f t="shared" si="12"/>
        <v>14146.342500000001</v>
      </c>
      <c r="N177" t="str">
        <f t="shared" si="13"/>
        <v>ставка</v>
      </c>
      <c r="O177" s="3">
        <f t="shared" si="14"/>
        <v>1109.52</v>
      </c>
      <c r="P177" s="5">
        <v>46208.5</v>
      </c>
      <c r="Q177" t="s">
        <v>32</v>
      </c>
      <c r="R177" s="2" t="s">
        <v>49</v>
      </c>
      <c r="S177">
        <v>25</v>
      </c>
      <c r="T177">
        <v>1</v>
      </c>
    </row>
    <row r="178" spans="1:20" ht="30" x14ac:dyDescent="0.25">
      <c r="A178" t="s">
        <v>597</v>
      </c>
      <c r="B178">
        <v>1</v>
      </c>
      <c r="C178" s="2" t="s">
        <v>598</v>
      </c>
      <c r="D178" s="3">
        <v>9534</v>
      </c>
      <c r="E178" s="4">
        <v>16</v>
      </c>
      <c r="F178" t="s">
        <v>36</v>
      </c>
      <c r="G178" s="3">
        <f t="shared" si="10"/>
        <v>11350</v>
      </c>
      <c r="H178" s="3">
        <v>0</v>
      </c>
      <c r="I178" s="3">
        <f t="shared" si="11"/>
        <v>11350</v>
      </c>
      <c r="J178" s="2" t="s">
        <v>27</v>
      </c>
      <c r="K178" s="5">
        <v>46290.583333333343</v>
      </c>
      <c r="L178">
        <v>1</v>
      </c>
      <c r="M178" s="3">
        <f t="shared" si="12"/>
        <v>11350</v>
      </c>
      <c r="N178" t="str">
        <f t="shared" si="13"/>
        <v>ставка</v>
      </c>
      <c r="O178" s="3">
        <f t="shared" si="14"/>
        <v>222.55</v>
      </c>
      <c r="P178" s="5">
        <v>46291.5</v>
      </c>
      <c r="Q178" t="s">
        <v>36</v>
      </c>
      <c r="R178" s="2" t="s">
        <v>40</v>
      </c>
      <c r="S178">
        <v>46</v>
      </c>
      <c r="T178">
        <v>1</v>
      </c>
    </row>
    <row r="179" spans="1:20" ht="30" x14ac:dyDescent="0.25">
      <c r="A179" t="s">
        <v>599</v>
      </c>
      <c r="B179">
        <v>1</v>
      </c>
      <c r="C179" s="2" t="s">
        <v>600</v>
      </c>
      <c r="D179" s="3">
        <v>19805</v>
      </c>
      <c r="E179" s="4">
        <v>15</v>
      </c>
      <c r="F179" t="s">
        <v>52</v>
      </c>
      <c r="G179" s="3">
        <f t="shared" si="10"/>
        <v>23300</v>
      </c>
      <c r="H179" s="3">
        <v>0</v>
      </c>
      <c r="I179" s="3">
        <f t="shared" si="11"/>
        <v>23300</v>
      </c>
      <c r="J179" s="2" t="s">
        <v>27</v>
      </c>
      <c r="K179" s="5">
        <v>46209.583333333343</v>
      </c>
      <c r="L179">
        <v>2</v>
      </c>
      <c r="M179" s="3">
        <f t="shared" si="12"/>
        <v>11650</v>
      </c>
      <c r="N179" t="str">
        <f t="shared" si="13"/>
        <v>ставка</v>
      </c>
      <c r="O179" s="3">
        <f t="shared" si="14"/>
        <v>456.86</v>
      </c>
      <c r="P179" s="5">
        <v>46211.5</v>
      </c>
      <c r="Q179" t="s">
        <v>52</v>
      </c>
      <c r="R179" s="2" t="s">
        <v>24</v>
      </c>
      <c r="S179">
        <v>31</v>
      </c>
      <c r="T179">
        <v>1</v>
      </c>
    </row>
    <row r="180" spans="1:20" ht="45" x14ac:dyDescent="0.25">
      <c r="A180" t="s">
        <v>601</v>
      </c>
      <c r="B180">
        <v>1</v>
      </c>
      <c r="C180" s="2" t="s">
        <v>602</v>
      </c>
      <c r="D180" s="3">
        <v>22780</v>
      </c>
      <c r="E180" s="4">
        <v>15</v>
      </c>
      <c r="F180" t="s">
        <v>168</v>
      </c>
      <c r="G180" s="3">
        <f t="shared" si="10"/>
        <v>26800</v>
      </c>
      <c r="H180" s="3">
        <v>10700</v>
      </c>
      <c r="I180" s="3">
        <f t="shared" si="11"/>
        <v>37500</v>
      </c>
      <c r="J180" s="2" t="s">
        <v>603</v>
      </c>
      <c r="K180" s="5">
        <v>46283.583333333343</v>
      </c>
      <c r="L180">
        <v>2</v>
      </c>
      <c r="M180" s="3">
        <f t="shared" si="12"/>
        <v>18750</v>
      </c>
      <c r="N180" t="str">
        <f t="shared" si="13"/>
        <v>ставка</v>
      </c>
      <c r="O180" s="3">
        <f t="shared" si="14"/>
        <v>735.29</v>
      </c>
      <c r="P180" s="5">
        <v>46285.875</v>
      </c>
      <c r="Q180" t="s">
        <v>168</v>
      </c>
      <c r="R180" s="2" t="s">
        <v>24</v>
      </c>
      <c r="S180">
        <v>21</v>
      </c>
      <c r="T180">
        <v>1</v>
      </c>
    </row>
    <row r="181" spans="1:20" ht="30" x14ac:dyDescent="0.25">
      <c r="A181" t="s">
        <v>604</v>
      </c>
      <c r="B181">
        <v>1</v>
      </c>
      <c r="C181" s="2" t="s">
        <v>605</v>
      </c>
      <c r="D181" s="3">
        <v>19295</v>
      </c>
      <c r="E181" s="4">
        <v>15</v>
      </c>
      <c r="F181" t="s">
        <v>487</v>
      </c>
      <c r="G181" s="3">
        <f t="shared" si="10"/>
        <v>22700</v>
      </c>
      <c r="H181" s="3">
        <v>0</v>
      </c>
      <c r="I181" s="3">
        <f t="shared" si="11"/>
        <v>22700</v>
      </c>
      <c r="J181" s="2" t="s">
        <v>27</v>
      </c>
      <c r="K181" s="5">
        <v>46266.583333333343</v>
      </c>
      <c r="L181">
        <v>2</v>
      </c>
      <c r="M181" s="3">
        <f t="shared" si="12"/>
        <v>11350</v>
      </c>
      <c r="N181" t="str">
        <f t="shared" si="13"/>
        <v>ставка</v>
      </c>
      <c r="O181" s="3">
        <f t="shared" si="14"/>
        <v>445.1</v>
      </c>
      <c r="P181" s="5">
        <v>46268.5</v>
      </c>
      <c r="Q181" t="s">
        <v>487</v>
      </c>
      <c r="R181" s="2" t="s">
        <v>40</v>
      </c>
      <c r="S181">
        <v>33</v>
      </c>
      <c r="T181">
        <v>1</v>
      </c>
    </row>
    <row r="182" spans="1:20" ht="30" x14ac:dyDescent="0.25">
      <c r="A182" t="s">
        <v>606</v>
      </c>
      <c r="B182">
        <v>1</v>
      </c>
      <c r="C182" s="2" t="s">
        <v>607</v>
      </c>
      <c r="D182" s="3">
        <v>74760</v>
      </c>
      <c r="E182" s="4">
        <v>18</v>
      </c>
      <c r="F182" t="s">
        <v>32</v>
      </c>
      <c r="G182" s="3">
        <f t="shared" si="10"/>
        <v>91170.73</v>
      </c>
      <c r="H182" s="3">
        <v>0</v>
      </c>
      <c r="I182" s="3">
        <f t="shared" si="11"/>
        <v>91170.73</v>
      </c>
      <c r="J182" s="2" t="s">
        <v>27</v>
      </c>
      <c r="K182" s="5">
        <v>46225.583333333343</v>
      </c>
      <c r="L182">
        <v>7</v>
      </c>
      <c r="M182" s="3">
        <f t="shared" si="12"/>
        <v>13024.39</v>
      </c>
      <c r="N182" t="str">
        <f t="shared" si="13"/>
        <v>ставка</v>
      </c>
      <c r="O182" s="3">
        <f t="shared" si="14"/>
        <v>1787.66</v>
      </c>
      <c r="P182" s="5">
        <v>46232.5</v>
      </c>
      <c r="Q182" t="s">
        <v>32</v>
      </c>
      <c r="R182" s="2" t="s">
        <v>40</v>
      </c>
      <c r="S182">
        <v>33</v>
      </c>
      <c r="T182">
        <v>1</v>
      </c>
    </row>
    <row r="183" spans="1:20" ht="30" x14ac:dyDescent="0.25">
      <c r="A183" t="s">
        <v>608</v>
      </c>
      <c r="B183">
        <v>1</v>
      </c>
      <c r="C183" s="2" t="s">
        <v>609</v>
      </c>
      <c r="D183" s="3">
        <v>18160</v>
      </c>
      <c r="E183" s="4">
        <v>18</v>
      </c>
      <c r="F183" t="s">
        <v>32</v>
      </c>
      <c r="G183" s="3">
        <f t="shared" si="10"/>
        <v>22146.34</v>
      </c>
      <c r="H183" s="3">
        <v>0</v>
      </c>
      <c r="I183" s="3">
        <f t="shared" si="11"/>
        <v>22146.34</v>
      </c>
      <c r="J183" s="2" t="s">
        <v>27</v>
      </c>
      <c r="K183" s="5">
        <v>46243.583333333343</v>
      </c>
      <c r="L183">
        <v>2</v>
      </c>
      <c r="M183" s="3">
        <f t="shared" si="12"/>
        <v>11073.17</v>
      </c>
      <c r="N183" t="str">
        <f t="shared" si="13"/>
        <v>ставка</v>
      </c>
      <c r="O183" s="3">
        <f t="shared" si="14"/>
        <v>434.24</v>
      </c>
      <c r="P183" s="5">
        <v>46245.5</v>
      </c>
      <c r="Q183" t="s">
        <v>32</v>
      </c>
      <c r="R183" s="2" t="s">
        <v>40</v>
      </c>
      <c r="S183">
        <v>46</v>
      </c>
      <c r="T183">
        <v>1</v>
      </c>
    </row>
    <row r="184" spans="1:20" ht="30" x14ac:dyDescent="0.25">
      <c r="A184" t="s">
        <v>619</v>
      </c>
      <c r="B184">
        <v>1</v>
      </c>
      <c r="C184" s="2" t="s">
        <v>620</v>
      </c>
      <c r="D184" s="3">
        <v>13114</v>
      </c>
      <c r="E184" s="4">
        <v>0</v>
      </c>
      <c r="F184" t="s">
        <v>23</v>
      </c>
      <c r="G184" s="3">
        <f t="shared" si="10"/>
        <v>13114</v>
      </c>
      <c r="H184" s="3">
        <v>0</v>
      </c>
      <c r="I184" s="3">
        <f t="shared" si="11"/>
        <v>13114</v>
      </c>
      <c r="J184" s="2" t="s">
        <v>27</v>
      </c>
      <c r="K184" s="5">
        <v>46215.583333333343</v>
      </c>
      <c r="L184">
        <v>2</v>
      </c>
      <c r="M184" s="3">
        <f t="shared" si="12"/>
        <v>6557</v>
      </c>
      <c r="N184" t="str">
        <f t="shared" si="13"/>
        <v>ставка</v>
      </c>
      <c r="O184" s="3">
        <f t="shared" si="14"/>
        <v>257.14</v>
      </c>
      <c r="P184" s="5">
        <v>46217.5</v>
      </c>
      <c r="Q184" t="s">
        <v>23</v>
      </c>
      <c r="R184" s="2" t="s">
        <v>33</v>
      </c>
      <c r="S184">
        <v>41</v>
      </c>
      <c r="T184">
        <v>1</v>
      </c>
    </row>
    <row r="185" spans="1:20" ht="30" x14ac:dyDescent="0.25">
      <c r="A185" t="s">
        <v>621</v>
      </c>
      <c r="B185">
        <v>1</v>
      </c>
      <c r="C185" s="2" t="s">
        <v>622</v>
      </c>
      <c r="D185" s="3">
        <v>37682</v>
      </c>
      <c r="E185" s="4">
        <v>17</v>
      </c>
      <c r="F185" t="s">
        <v>173</v>
      </c>
      <c r="G185" s="3">
        <f t="shared" si="10"/>
        <v>45400</v>
      </c>
      <c r="H185" s="3">
        <v>0</v>
      </c>
      <c r="I185" s="3">
        <f t="shared" si="11"/>
        <v>45400</v>
      </c>
      <c r="J185" s="2" t="s">
        <v>27</v>
      </c>
      <c r="K185" s="5">
        <v>46214.583333333343</v>
      </c>
      <c r="L185">
        <v>4</v>
      </c>
      <c r="M185" s="3">
        <f t="shared" si="12"/>
        <v>11350</v>
      </c>
      <c r="N185" t="str">
        <f t="shared" si="13"/>
        <v>ставка</v>
      </c>
      <c r="O185" s="3">
        <f t="shared" si="14"/>
        <v>890.2</v>
      </c>
      <c r="P185" s="5">
        <v>46218.5</v>
      </c>
      <c r="Q185" t="s">
        <v>173</v>
      </c>
      <c r="R185" s="2" t="s">
        <v>40</v>
      </c>
      <c r="S185">
        <v>46</v>
      </c>
      <c r="T185">
        <v>1</v>
      </c>
    </row>
    <row r="186" spans="1:20" ht="30" x14ac:dyDescent="0.25">
      <c r="A186" t="s">
        <v>623</v>
      </c>
      <c r="B186">
        <v>1</v>
      </c>
      <c r="C186" s="2" t="s">
        <v>624</v>
      </c>
      <c r="D186" s="3">
        <v>19651.5</v>
      </c>
      <c r="E186" s="4">
        <v>4</v>
      </c>
      <c r="F186" t="s">
        <v>55</v>
      </c>
      <c r="G186" s="3">
        <f t="shared" si="10"/>
        <v>20470.310000000001</v>
      </c>
      <c r="H186" s="3">
        <v>0</v>
      </c>
      <c r="I186" s="3">
        <f t="shared" si="11"/>
        <v>20470.310000000001</v>
      </c>
      <c r="J186" s="2" t="s">
        <v>27</v>
      </c>
      <c r="K186" s="5">
        <v>46276.583333333343</v>
      </c>
      <c r="L186">
        <v>2</v>
      </c>
      <c r="M186" s="3">
        <f t="shared" si="12"/>
        <v>10235.155000000001</v>
      </c>
      <c r="N186" t="str">
        <f t="shared" si="13"/>
        <v>ставка</v>
      </c>
      <c r="O186" s="3">
        <f t="shared" si="14"/>
        <v>401.38</v>
      </c>
      <c r="P186" s="5">
        <v>46278.5</v>
      </c>
      <c r="Q186" t="s">
        <v>55</v>
      </c>
      <c r="R186" s="2" t="s">
        <v>33</v>
      </c>
      <c r="S186">
        <v>43</v>
      </c>
      <c r="T186">
        <v>1</v>
      </c>
    </row>
    <row r="187" spans="1:20" ht="30" x14ac:dyDescent="0.25">
      <c r="A187" t="s">
        <v>625</v>
      </c>
      <c r="B187">
        <v>1</v>
      </c>
      <c r="C187" s="2" t="s">
        <v>626</v>
      </c>
      <c r="D187" s="3">
        <v>9534</v>
      </c>
      <c r="E187" s="4">
        <v>16</v>
      </c>
      <c r="F187" t="s">
        <v>36</v>
      </c>
      <c r="G187" s="3">
        <f t="shared" si="10"/>
        <v>11350</v>
      </c>
      <c r="H187" s="3">
        <v>0</v>
      </c>
      <c r="I187" s="3">
        <f t="shared" si="11"/>
        <v>11350</v>
      </c>
      <c r="J187" s="2" t="s">
        <v>27</v>
      </c>
      <c r="K187" s="5">
        <v>46282.583333333343</v>
      </c>
      <c r="L187">
        <v>1</v>
      </c>
      <c r="M187" s="3">
        <f t="shared" si="12"/>
        <v>11350</v>
      </c>
      <c r="N187" t="str">
        <f t="shared" si="13"/>
        <v>ставка</v>
      </c>
      <c r="O187" s="3">
        <f t="shared" si="14"/>
        <v>222.55</v>
      </c>
      <c r="P187" s="5">
        <v>46283.5</v>
      </c>
      <c r="Q187" t="s">
        <v>36</v>
      </c>
      <c r="R187" s="2" t="s">
        <v>40</v>
      </c>
      <c r="S187">
        <v>22</v>
      </c>
      <c r="T187">
        <v>1</v>
      </c>
    </row>
    <row r="188" spans="1:20" ht="30" x14ac:dyDescent="0.25">
      <c r="A188" t="s">
        <v>629</v>
      </c>
      <c r="B188">
        <v>1</v>
      </c>
      <c r="C188" s="2" t="s">
        <v>630</v>
      </c>
      <c r="D188" s="3">
        <v>23760</v>
      </c>
      <c r="E188" s="4">
        <v>0</v>
      </c>
      <c r="F188" t="s">
        <v>23</v>
      </c>
      <c r="G188" s="3">
        <f t="shared" si="10"/>
        <v>23760</v>
      </c>
      <c r="H188" s="3">
        <v>0</v>
      </c>
      <c r="I188" s="3">
        <f t="shared" si="11"/>
        <v>23760</v>
      </c>
      <c r="J188" s="2" t="s">
        <v>27</v>
      </c>
      <c r="K188" s="5">
        <v>46252.583333333343</v>
      </c>
      <c r="L188">
        <v>3</v>
      </c>
      <c r="M188" s="3">
        <f t="shared" si="12"/>
        <v>7920</v>
      </c>
      <c r="N188" t="str">
        <f t="shared" si="13"/>
        <v>ставка</v>
      </c>
      <c r="O188" s="3">
        <f t="shared" si="14"/>
        <v>465.88</v>
      </c>
      <c r="P188" s="5">
        <v>46255.5</v>
      </c>
      <c r="Q188" t="s">
        <v>23</v>
      </c>
      <c r="R188" s="2" t="s">
        <v>33</v>
      </c>
      <c r="S188">
        <v>43</v>
      </c>
      <c r="T188">
        <v>1</v>
      </c>
    </row>
    <row r="189" spans="1:20" x14ac:dyDescent="0.25">
      <c r="A189" t="s">
        <v>631</v>
      </c>
      <c r="B189">
        <v>1</v>
      </c>
      <c r="C189" s="2" t="s">
        <v>632</v>
      </c>
      <c r="D189" s="3">
        <v>79200</v>
      </c>
      <c r="E189" s="4">
        <v>20</v>
      </c>
      <c r="F189" t="s">
        <v>48</v>
      </c>
      <c r="G189" s="3">
        <f t="shared" si="10"/>
        <v>99000</v>
      </c>
      <c r="H189" s="3">
        <v>0</v>
      </c>
      <c r="I189" s="3">
        <f t="shared" si="11"/>
        <v>99000</v>
      </c>
      <c r="J189" s="2" t="s">
        <v>27</v>
      </c>
      <c r="K189" s="5">
        <v>46253.583333333343</v>
      </c>
      <c r="L189">
        <v>6</v>
      </c>
      <c r="M189" s="3">
        <f t="shared" si="12"/>
        <v>16500</v>
      </c>
      <c r="N189" t="str">
        <f t="shared" si="13"/>
        <v>ставка</v>
      </c>
      <c r="O189" s="3">
        <f t="shared" si="14"/>
        <v>1941.18</v>
      </c>
      <c r="P189" s="5">
        <v>46259.5</v>
      </c>
      <c r="Q189" t="s">
        <v>48</v>
      </c>
      <c r="R189" s="2" t="s">
        <v>49</v>
      </c>
      <c r="S189">
        <v>25</v>
      </c>
      <c r="T189">
        <v>1</v>
      </c>
    </row>
    <row r="190" spans="1:20" ht="30" x14ac:dyDescent="0.25">
      <c r="A190" t="s">
        <v>633</v>
      </c>
      <c r="B190">
        <v>1</v>
      </c>
      <c r="C190" s="2" t="s">
        <v>634</v>
      </c>
      <c r="D190" s="3">
        <v>34042.5</v>
      </c>
      <c r="E190" s="4">
        <v>15</v>
      </c>
      <c r="F190" t="s">
        <v>52</v>
      </c>
      <c r="G190" s="3">
        <f t="shared" si="10"/>
        <v>40050</v>
      </c>
      <c r="H190" s="3">
        <v>0</v>
      </c>
      <c r="I190" s="3">
        <f t="shared" si="11"/>
        <v>40050</v>
      </c>
      <c r="J190" s="2" t="s">
        <v>27</v>
      </c>
      <c r="K190" s="5">
        <v>46230.666666666657</v>
      </c>
      <c r="L190">
        <v>3</v>
      </c>
      <c r="M190" s="3">
        <f t="shared" si="12"/>
        <v>13350</v>
      </c>
      <c r="N190" t="str">
        <f t="shared" si="13"/>
        <v>ставка</v>
      </c>
      <c r="O190" s="3">
        <f t="shared" si="14"/>
        <v>785.29</v>
      </c>
      <c r="P190" s="5">
        <v>46233.5</v>
      </c>
      <c r="Q190" t="s">
        <v>52</v>
      </c>
      <c r="R190" s="2" t="s">
        <v>40</v>
      </c>
      <c r="S190">
        <v>44</v>
      </c>
      <c r="T190">
        <v>1</v>
      </c>
    </row>
    <row r="191" spans="1:20" ht="30" x14ac:dyDescent="0.25">
      <c r="A191" t="s">
        <v>635</v>
      </c>
      <c r="B191">
        <v>1</v>
      </c>
      <c r="C191" s="2" t="s">
        <v>636</v>
      </c>
      <c r="D191" s="3">
        <v>10215</v>
      </c>
      <c r="E191" s="4">
        <v>0</v>
      </c>
      <c r="F191" t="s">
        <v>23</v>
      </c>
      <c r="G191" s="3">
        <f t="shared" si="10"/>
        <v>10215</v>
      </c>
      <c r="H191" s="3">
        <v>0</v>
      </c>
      <c r="I191" s="3">
        <f t="shared" si="11"/>
        <v>10215</v>
      </c>
      <c r="J191" s="2" t="s">
        <v>27</v>
      </c>
      <c r="K191" s="5">
        <v>46284.583333333343</v>
      </c>
      <c r="L191">
        <v>1</v>
      </c>
      <c r="M191" s="3">
        <f t="shared" si="12"/>
        <v>10215</v>
      </c>
      <c r="N191" t="str">
        <f t="shared" si="13"/>
        <v>ставка</v>
      </c>
      <c r="O191" s="3">
        <f t="shared" si="14"/>
        <v>200.29</v>
      </c>
      <c r="P191" s="5">
        <v>46285.5</v>
      </c>
      <c r="Q191" t="s">
        <v>23</v>
      </c>
      <c r="R191" s="2" t="s">
        <v>40</v>
      </c>
      <c r="S191">
        <v>23</v>
      </c>
      <c r="T191">
        <v>1</v>
      </c>
    </row>
    <row r="192" spans="1:20" ht="30" x14ac:dyDescent="0.25">
      <c r="A192" t="s">
        <v>637</v>
      </c>
      <c r="B192">
        <v>1</v>
      </c>
      <c r="C192" s="2" t="s">
        <v>638</v>
      </c>
      <c r="D192" s="3">
        <v>21360</v>
      </c>
      <c r="E192" s="4">
        <v>20</v>
      </c>
      <c r="F192" t="s">
        <v>48</v>
      </c>
      <c r="G192" s="3">
        <f t="shared" si="10"/>
        <v>26700</v>
      </c>
      <c r="H192" s="3">
        <v>0</v>
      </c>
      <c r="I192" s="3">
        <f t="shared" si="11"/>
        <v>26700</v>
      </c>
      <c r="J192" s="2" t="s">
        <v>27</v>
      </c>
      <c r="K192" s="5">
        <v>46205.583333333343</v>
      </c>
      <c r="L192">
        <v>2</v>
      </c>
      <c r="M192" s="3">
        <f t="shared" si="12"/>
        <v>13350</v>
      </c>
      <c r="N192" t="str">
        <f t="shared" si="13"/>
        <v>ставка</v>
      </c>
      <c r="O192" s="3">
        <f t="shared" si="14"/>
        <v>523.53</v>
      </c>
      <c r="P192" s="5">
        <v>46207.5</v>
      </c>
      <c r="Q192" t="s">
        <v>48</v>
      </c>
      <c r="R192" s="2" t="s">
        <v>40</v>
      </c>
      <c r="S192">
        <v>36</v>
      </c>
      <c r="T192">
        <v>1</v>
      </c>
    </row>
    <row r="193" spans="1:20" ht="30" x14ac:dyDescent="0.25">
      <c r="A193" t="s">
        <v>639</v>
      </c>
      <c r="B193">
        <v>1</v>
      </c>
      <c r="C193" s="2" t="s">
        <v>640</v>
      </c>
      <c r="D193" s="3">
        <v>8415</v>
      </c>
      <c r="E193" s="4">
        <v>15</v>
      </c>
      <c r="F193" t="s">
        <v>52</v>
      </c>
      <c r="G193" s="3">
        <f t="shared" si="10"/>
        <v>9900</v>
      </c>
      <c r="H193" s="3">
        <v>0</v>
      </c>
      <c r="I193" s="3">
        <f t="shared" si="11"/>
        <v>9900</v>
      </c>
      <c r="J193" s="2" t="s">
        <v>27</v>
      </c>
      <c r="K193" s="5">
        <v>46211.75</v>
      </c>
      <c r="L193">
        <v>1</v>
      </c>
      <c r="M193" s="3">
        <f t="shared" si="12"/>
        <v>9900</v>
      </c>
      <c r="N193" t="str">
        <f t="shared" si="13"/>
        <v>ставка</v>
      </c>
      <c r="O193" s="3">
        <f t="shared" si="14"/>
        <v>194.12</v>
      </c>
      <c r="P193" s="5">
        <v>46212.5</v>
      </c>
      <c r="Q193" t="s">
        <v>52</v>
      </c>
      <c r="R193" s="2" t="s">
        <v>33</v>
      </c>
      <c r="S193">
        <v>41</v>
      </c>
      <c r="T193">
        <v>1</v>
      </c>
    </row>
    <row r="194" spans="1:20" ht="30" x14ac:dyDescent="0.25">
      <c r="A194" t="s">
        <v>641</v>
      </c>
      <c r="B194">
        <v>1</v>
      </c>
      <c r="C194" s="2" t="s">
        <v>642</v>
      </c>
      <c r="D194" s="3">
        <v>26180</v>
      </c>
      <c r="E194" s="4">
        <v>15</v>
      </c>
      <c r="F194" t="s">
        <v>52</v>
      </c>
      <c r="G194" s="3">
        <f t="shared" ref="G194:G257" si="15">ROUND(D194/(100-E194)*100,2)</f>
        <v>30800</v>
      </c>
      <c r="H194" s="3">
        <v>0</v>
      </c>
      <c r="I194" s="3">
        <f t="shared" ref="I194:I257" si="16">ROUND(G194+H194,2)</f>
        <v>30800</v>
      </c>
      <c r="J194" s="2" t="s">
        <v>27</v>
      </c>
      <c r="K194" s="5">
        <v>46257.583333333343</v>
      </c>
      <c r="L194">
        <v>2</v>
      </c>
      <c r="M194" s="3">
        <f t="shared" ref="M194:M257" si="17">I194/L194</f>
        <v>15400</v>
      </c>
      <c r="N194" t="str">
        <f t="shared" ref="N194:N257" si="18">IF(M194&gt;=5100,"ставка","мин.ставка")</f>
        <v>ставка</v>
      </c>
      <c r="O194" s="3">
        <f t="shared" ref="O194:O257" si="19">ROUND(IF(N194="мин.ставка",L194*100,I194/102*2),2)</f>
        <v>603.91999999999996</v>
      </c>
      <c r="P194" s="5">
        <v>46259.5</v>
      </c>
      <c r="Q194" t="s">
        <v>52</v>
      </c>
      <c r="R194" s="2" t="s">
        <v>24</v>
      </c>
      <c r="S194">
        <v>21</v>
      </c>
      <c r="T194">
        <v>1</v>
      </c>
    </row>
    <row r="195" spans="1:20" ht="30" x14ac:dyDescent="0.25">
      <c r="A195" t="s">
        <v>644</v>
      </c>
      <c r="B195">
        <v>1</v>
      </c>
      <c r="C195" s="2" t="s">
        <v>645</v>
      </c>
      <c r="D195" s="3">
        <v>11214</v>
      </c>
      <c r="E195" s="4">
        <v>16</v>
      </c>
      <c r="F195" t="s">
        <v>36</v>
      </c>
      <c r="G195" s="3">
        <f t="shared" si="15"/>
        <v>13350</v>
      </c>
      <c r="H195" s="3">
        <v>0</v>
      </c>
      <c r="I195" s="3">
        <f t="shared" si="16"/>
        <v>13350</v>
      </c>
      <c r="J195" s="2" t="s">
        <v>27</v>
      </c>
      <c r="K195" s="5">
        <v>46267.583333333343</v>
      </c>
      <c r="L195">
        <v>1</v>
      </c>
      <c r="M195" s="3">
        <f t="shared" si="17"/>
        <v>13350</v>
      </c>
      <c r="N195" t="str">
        <f t="shared" si="18"/>
        <v>ставка</v>
      </c>
      <c r="O195" s="3">
        <f t="shared" si="19"/>
        <v>261.76</v>
      </c>
      <c r="P195" s="5">
        <v>46268.5</v>
      </c>
      <c r="Q195" t="s">
        <v>36</v>
      </c>
      <c r="R195" s="2" t="s">
        <v>40</v>
      </c>
      <c r="S195">
        <v>44</v>
      </c>
      <c r="T195">
        <v>1</v>
      </c>
    </row>
    <row r="196" spans="1:20" ht="30" x14ac:dyDescent="0.25">
      <c r="A196" t="s">
        <v>646</v>
      </c>
      <c r="B196">
        <v>1</v>
      </c>
      <c r="C196" s="2" t="s">
        <v>647</v>
      </c>
      <c r="D196" s="3">
        <v>42720</v>
      </c>
      <c r="E196" s="4">
        <v>18</v>
      </c>
      <c r="F196" t="s">
        <v>32</v>
      </c>
      <c r="G196" s="3">
        <f t="shared" si="15"/>
        <v>52097.56</v>
      </c>
      <c r="H196" s="3">
        <v>0</v>
      </c>
      <c r="I196" s="3">
        <f t="shared" si="16"/>
        <v>52097.56</v>
      </c>
      <c r="J196" s="2" t="s">
        <v>27</v>
      </c>
      <c r="K196" s="5">
        <v>46208.583333333343</v>
      </c>
      <c r="L196">
        <v>4</v>
      </c>
      <c r="M196" s="3">
        <f t="shared" si="17"/>
        <v>13024.39</v>
      </c>
      <c r="N196" t="str">
        <f t="shared" si="18"/>
        <v>ставка</v>
      </c>
      <c r="O196" s="3">
        <f t="shared" si="19"/>
        <v>1021.52</v>
      </c>
      <c r="P196" s="5">
        <v>46212.5</v>
      </c>
      <c r="Q196" t="s">
        <v>32</v>
      </c>
      <c r="R196" s="2" t="s">
        <v>40</v>
      </c>
      <c r="S196">
        <v>33</v>
      </c>
      <c r="T196">
        <v>1</v>
      </c>
    </row>
    <row r="197" spans="1:20" ht="30" x14ac:dyDescent="0.25">
      <c r="A197" t="s">
        <v>650</v>
      </c>
      <c r="B197">
        <v>1</v>
      </c>
      <c r="C197" s="2" t="s">
        <v>651</v>
      </c>
      <c r="D197" s="3">
        <v>56750</v>
      </c>
      <c r="E197" s="4">
        <v>0</v>
      </c>
      <c r="F197" t="s">
        <v>23</v>
      </c>
      <c r="G197" s="3">
        <f t="shared" si="15"/>
        <v>56750</v>
      </c>
      <c r="H197" s="3">
        <v>5675</v>
      </c>
      <c r="I197" s="3">
        <f t="shared" si="16"/>
        <v>62425</v>
      </c>
      <c r="J197" s="2" t="s">
        <v>341</v>
      </c>
      <c r="K197" s="5">
        <v>46278.583333333343</v>
      </c>
      <c r="L197">
        <v>5</v>
      </c>
      <c r="M197" s="3">
        <f t="shared" si="17"/>
        <v>12485</v>
      </c>
      <c r="N197" t="str">
        <f t="shared" si="18"/>
        <v>ставка</v>
      </c>
      <c r="O197" s="3">
        <f t="shared" si="19"/>
        <v>1224.02</v>
      </c>
      <c r="P197" s="5">
        <v>46283.75</v>
      </c>
      <c r="Q197" t="s">
        <v>23</v>
      </c>
      <c r="R197" s="2" t="s">
        <v>40</v>
      </c>
      <c r="S197">
        <v>44</v>
      </c>
      <c r="T197">
        <v>1</v>
      </c>
    </row>
    <row r="198" spans="1:20" ht="30" x14ac:dyDescent="0.25">
      <c r="A198" t="s">
        <v>652</v>
      </c>
      <c r="B198">
        <v>1</v>
      </c>
      <c r="C198" s="2" t="s">
        <v>653</v>
      </c>
      <c r="D198" s="3">
        <v>47520</v>
      </c>
      <c r="E198" s="4">
        <v>20</v>
      </c>
      <c r="F198" t="s">
        <v>48</v>
      </c>
      <c r="G198" s="3">
        <f t="shared" si="15"/>
        <v>59400</v>
      </c>
      <c r="H198" s="3">
        <v>600</v>
      </c>
      <c r="I198" s="3">
        <f t="shared" si="16"/>
        <v>60000</v>
      </c>
      <c r="J198" s="2" t="s">
        <v>550</v>
      </c>
      <c r="K198" s="5">
        <v>46276.583333333343</v>
      </c>
      <c r="L198">
        <v>6</v>
      </c>
      <c r="M198" s="3">
        <f t="shared" si="17"/>
        <v>10000</v>
      </c>
      <c r="N198" t="str">
        <f t="shared" si="18"/>
        <v>ставка</v>
      </c>
      <c r="O198" s="3">
        <f t="shared" si="19"/>
        <v>1176.47</v>
      </c>
      <c r="P198" s="5">
        <v>46282.5</v>
      </c>
      <c r="Q198" t="s">
        <v>48</v>
      </c>
      <c r="R198" s="2" t="s">
        <v>33</v>
      </c>
      <c r="S198">
        <v>41</v>
      </c>
      <c r="T198">
        <v>1</v>
      </c>
    </row>
    <row r="199" spans="1:20" ht="30" x14ac:dyDescent="0.25">
      <c r="A199" t="s">
        <v>654</v>
      </c>
      <c r="B199">
        <v>1</v>
      </c>
      <c r="C199" s="2" t="s">
        <v>655</v>
      </c>
      <c r="D199" s="3">
        <v>15840</v>
      </c>
      <c r="E199" s="4">
        <v>18</v>
      </c>
      <c r="F199" t="s">
        <v>32</v>
      </c>
      <c r="G199" s="3">
        <f t="shared" si="15"/>
        <v>19317.07</v>
      </c>
      <c r="H199" s="3">
        <v>0</v>
      </c>
      <c r="I199" s="3">
        <f t="shared" si="16"/>
        <v>19317.07</v>
      </c>
      <c r="J199" s="2" t="s">
        <v>27</v>
      </c>
      <c r="K199" s="5">
        <v>46226.583333333343</v>
      </c>
      <c r="L199">
        <v>2</v>
      </c>
      <c r="M199" s="3">
        <f t="shared" si="17"/>
        <v>9658.5349999999999</v>
      </c>
      <c r="N199" t="str">
        <f t="shared" si="18"/>
        <v>ставка</v>
      </c>
      <c r="O199" s="3">
        <f t="shared" si="19"/>
        <v>378.77</v>
      </c>
      <c r="P199" s="5">
        <v>46228.5</v>
      </c>
      <c r="Q199" t="s">
        <v>32</v>
      </c>
      <c r="R199" s="2" t="s">
        <v>33</v>
      </c>
      <c r="S199">
        <v>41</v>
      </c>
      <c r="T199">
        <v>1</v>
      </c>
    </row>
    <row r="200" spans="1:20" ht="30" x14ac:dyDescent="0.25">
      <c r="A200" t="s">
        <v>656</v>
      </c>
      <c r="B200">
        <v>1</v>
      </c>
      <c r="C200" s="2" t="s">
        <v>657</v>
      </c>
      <c r="D200" s="3">
        <v>27240</v>
      </c>
      <c r="E200" s="4">
        <v>20</v>
      </c>
      <c r="F200" t="s">
        <v>173</v>
      </c>
      <c r="G200" s="3">
        <f t="shared" si="15"/>
        <v>34050</v>
      </c>
      <c r="H200" s="3">
        <v>5675</v>
      </c>
      <c r="I200" s="3">
        <f t="shared" si="16"/>
        <v>39725</v>
      </c>
      <c r="J200" s="2" t="s">
        <v>163</v>
      </c>
      <c r="K200" s="5">
        <v>46286.583333333343</v>
      </c>
      <c r="L200">
        <v>3</v>
      </c>
      <c r="M200" s="3">
        <f t="shared" si="17"/>
        <v>13241.666666666666</v>
      </c>
      <c r="N200" t="str">
        <f t="shared" si="18"/>
        <v>ставка</v>
      </c>
      <c r="O200" s="3">
        <f t="shared" si="19"/>
        <v>778.92</v>
      </c>
      <c r="P200" s="5">
        <v>46289.833333333343</v>
      </c>
      <c r="Q200" t="s">
        <v>173</v>
      </c>
      <c r="R200" s="2" t="s">
        <v>40</v>
      </c>
      <c r="S200">
        <v>23</v>
      </c>
      <c r="T200">
        <v>1</v>
      </c>
    </row>
    <row r="201" spans="1:20" ht="30" x14ac:dyDescent="0.25">
      <c r="A201" t="s">
        <v>660</v>
      </c>
      <c r="B201">
        <v>1</v>
      </c>
      <c r="C201" s="2" t="s">
        <v>661</v>
      </c>
      <c r="D201" s="3">
        <v>7920</v>
      </c>
      <c r="E201" s="4">
        <v>20</v>
      </c>
      <c r="F201" t="s">
        <v>48</v>
      </c>
      <c r="G201" s="3">
        <f t="shared" si="15"/>
        <v>9900</v>
      </c>
      <c r="H201" s="3">
        <v>0</v>
      </c>
      <c r="I201" s="3">
        <f t="shared" si="16"/>
        <v>9900</v>
      </c>
      <c r="J201" s="2" t="s">
        <v>27</v>
      </c>
      <c r="K201" s="5">
        <v>46270.583333333343</v>
      </c>
      <c r="L201">
        <v>1</v>
      </c>
      <c r="M201" s="3">
        <f t="shared" si="17"/>
        <v>9900</v>
      </c>
      <c r="N201" t="str">
        <f t="shared" si="18"/>
        <v>ставка</v>
      </c>
      <c r="O201" s="3">
        <f t="shared" si="19"/>
        <v>194.12</v>
      </c>
      <c r="P201" s="5">
        <v>46271.5</v>
      </c>
      <c r="Q201" t="s">
        <v>48</v>
      </c>
      <c r="R201" s="2" t="s">
        <v>33</v>
      </c>
      <c r="S201">
        <v>47</v>
      </c>
      <c r="T201">
        <v>1</v>
      </c>
    </row>
    <row r="202" spans="1:20" ht="30" x14ac:dyDescent="0.25">
      <c r="A202" t="s">
        <v>662</v>
      </c>
      <c r="B202">
        <v>1</v>
      </c>
      <c r="C202" s="2" t="s">
        <v>663</v>
      </c>
      <c r="D202" s="3">
        <v>55402.5</v>
      </c>
      <c r="E202" s="4">
        <v>17</v>
      </c>
      <c r="F202" t="s">
        <v>130</v>
      </c>
      <c r="G202" s="3">
        <f t="shared" si="15"/>
        <v>66750</v>
      </c>
      <c r="H202" s="3">
        <v>0</v>
      </c>
      <c r="I202" s="3">
        <f t="shared" si="16"/>
        <v>66750</v>
      </c>
      <c r="J202" s="2" t="s">
        <v>27</v>
      </c>
      <c r="K202" s="5">
        <v>46243.583333333343</v>
      </c>
      <c r="L202">
        <v>5</v>
      </c>
      <c r="M202" s="3">
        <f t="shared" si="17"/>
        <v>13350</v>
      </c>
      <c r="N202" t="str">
        <f t="shared" si="18"/>
        <v>ставка</v>
      </c>
      <c r="O202" s="3">
        <f t="shared" si="19"/>
        <v>1308.82</v>
      </c>
      <c r="P202" s="5">
        <v>46248.5</v>
      </c>
      <c r="Q202" t="s">
        <v>130</v>
      </c>
      <c r="R202" s="2" t="s">
        <v>40</v>
      </c>
      <c r="S202">
        <v>23</v>
      </c>
      <c r="T202">
        <v>1</v>
      </c>
    </row>
    <row r="203" spans="1:20" ht="30" x14ac:dyDescent="0.25">
      <c r="A203" t="s">
        <v>666</v>
      </c>
      <c r="B203">
        <v>1</v>
      </c>
      <c r="C203" s="2" t="s">
        <v>667</v>
      </c>
      <c r="D203" s="3">
        <v>12320</v>
      </c>
      <c r="E203" s="4">
        <v>20</v>
      </c>
      <c r="F203" t="s">
        <v>173</v>
      </c>
      <c r="G203" s="3">
        <f t="shared" si="15"/>
        <v>15400</v>
      </c>
      <c r="H203" s="3">
        <v>0</v>
      </c>
      <c r="I203" s="3">
        <f t="shared" si="16"/>
        <v>15400</v>
      </c>
      <c r="J203" s="2" t="s">
        <v>27</v>
      </c>
      <c r="K203" s="5">
        <v>46289.583333333343</v>
      </c>
      <c r="L203">
        <v>2</v>
      </c>
      <c r="M203" s="3">
        <f t="shared" si="17"/>
        <v>7700</v>
      </c>
      <c r="N203" t="str">
        <f t="shared" si="18"/>
        <v>ставка</v>
      </c>
      <c r="O203" s="3">
        <f t="shared" si="19"/>
        <v>301.95999999999998</v>
      </c>
      <c r="P203" s="5">
        <v>46291.5</v>
      </c>
      <c r="Q203" t="s">
        <v>173</v>
      </c>
      <c r="R203" s="2" t="s">
        <v>58</v>
      </c>
      <c r="S203">
        <v>34</v>
      </c>
      <c r="T203">
        <v>1</v>
      </c>
    </row>
    <row r="204" spans="1:20" ht="30" x14ac:dyDescent="0.25">
      <c r="A204" t="s">
        <v>677</v>
      </c>
      <c r="B204">
        <v>1</v>
      </c>
      <c r="C204" s="2" t="s">
        <v>678</v>
      </c>
      <c r="D204" s="3">
        <v>11214</v>
      </c>
      <c r="E204" s="4">
        <v>16</v>
      </c>
      <c r="F204" t="s">
        <v>36</v>
      </c>
      <c r="G204" s="3">
        <f t="shared" si="15"/>
        <v>13350</v>
      </c>
      <c r="H204" s="3">
        <v>0</v>
      </c>
      <c r="I204" s="3">
        <f t="shared" si="16"/>
        <v>13350</v>
      </c>
      <c r="J204" s="2" t="s">
        <v>27</v>
      </c>
      <c r="K204" s="5">
        <v>46255.583333333343</v>
      </c>
      <c r="L204">
        <v>1</v>
      </c>
      <c r="M204" s="3">
        <f t="shared" si="17"/>
        <v>13350</v>
      </c>
      <c r="N204" t="str">
        <f t="shared" si="18"/>
        <v>ставка</v>
      </c>
      <c r="O204" s="3">
        <f t="shared" si="19"/>
        <v>261.76</v>
      </c>
      <c r="P204" s="5">
        <v>46256.5</v>
      </c>
      <c r="Q204" t="s">
        <v>36</v>
      </c>
      <c r="R204" s="2" t="s">
        <v>40</v>
      </c>
      <c r="S204">
        <v>23</v>
      </c>
      <c r="T204">
        <v>1</v>
      </c>
    </row>
    <row r="205" spans="1:20" ht="30" x14ac:dyDescent="0.25">
      <c r="A205" t="s">
        <v>679</v>
      </c>
      <c r="B205">
        <v>1</v>
      </c>
      <c r="C205" s="2" t="s">
        <v>680</v>
      </c>
      <c r="D205" s="3">
        <v>34050</v>
      </c>
      <c r="E205" s="4">
        <v>0</v>
      </c>
      <c r="F205" t="s">
        <v>23</v>
      </c>
      <c r="G205" s="3">
        <f t="shared" si="15"/>
        <v>34050</v>
      </c>
      <c r="H205" s="3">
        <v>0</v>
      </c>
      <c r="I205" s="3">
        <f t="shared" si="16"/>
        <v>34050</v>
      </c>
      <c r="J205" s="2" t="s">
        <v>27</v>
      </c>
      <c r="K205" s="5">
        <v>46207.583333333343</v>
      </c>
      <c r="L205">
        <v>3</v>
      </c>
      <c r="M205" s="3">
        <f t="shared" si="17"/>
        <v>11350</v>
      </c>
      <c r="N205" t="str">
        <f t="shared" si="18"/>
        <v>ставка</v>
      </c>
      <c r="O205" s="3">
        <f t="shared" si="19"/>
        <v>667.65</v>
      </c>
      <c r="P205" s="5">
        <v>46210.5</v>
      </c>
      <c r="Q205" t="s">
        <v>23</v>
      </c>
      <c r="R205" s="2" t="s">
        <v>40</v>
      </c>
      <c r="S205">
        <v>36</v>
      </c>
      <c r="T205">
        <v>1</v>
      </c>
    </row>
    <row r="206" spans="1:20" ht="30" x14ac:dyDescent="0.25">
      <c r="A206" t="s">
        <v>681</v>
      </c>
      <c r="B206">
        <v>1</v>
      </c>
      <c r="C206" s="2" t="s">
        <v>682</v>
      </c>
      <c r="D206" s="3">
        <v>29700</v>
      </c>
      <c r="E206" s="4">
        <v>0</v>
      </c>
      <c r="F206" t="s">
        <v>23</v>
      </c>
      <c r="G206" s="3">
        <f t="shared" si="15"/>
        <v>29700</v>
      </c>
      <c r="H206" s="3">
        <v>0</v>
      </c>
      <c r="I206" s="3">
        <f t="shared" si="16"/>
        <v>29700</v>
      </c>
      <c r="J206" s="2" t="s">
        <v>27</v>
      </c>
      <c r="K206" s="5">
        <v>46283.583333333343</v>
      </c>
      <c r="L206">
        <v>2</v>
      </c>
      <c r="M206" s="3">
        <f t="shared" si="17"/>
        <v>14850</v>
      </c>
      <c r="N206" t="str">
        <f t="shared" si="18"/>
        <v>ставка</v>
      </c>
      <c r="O206" s="3">
        <f t="shared" si="19"/>
        <v>582.35</v>
      </c>
      <c r="P206" s="5">
        <v>46285.5</v>
      </c>
      <c r="Q206" t="s">
        <v>23</v>
      </c>
      <c r="R206" s="2" t="s">
        <v>49</v>
      </c>
      <c r="S206">
        <v>35</v>
      </c>
      <c r="T206">
        <v>1</v>
      </c>
    </row>
    <row r="207" spans="1:20" ht="30" x14ac:dyDescent="0.25">
      <c r="A207" t="s">
        <v>683</v>
      </c>
      <c r="B207">
        <v>1</v>
      </c>
      <c r="C207" s="2" t="s">
        <v>684</v>
      </c>
      <c r="D207" s="3">
        <v>9593.1</v>
      </c>
      <c r="E207" s="4">
        <v>4</v>
      </c>
      <c r="F207" t="s">
        <v>55</v>
      </c>
      <c r="G207" s="3">
        <f t="shared" si="15"/>
        <v>9992.81</v>
      </c>
      <c r="H207" s="3">
        <v>0</v>
      </c>
      <c r="I207" s="3">
        <f t="shared" si="16"/>
        <v>9992.81</v>
      </c>
      <c r="J207" s="2" t="s">
        <v>27</v>
      </c>
      <c r="K207" s="5">
        <v>46231.583333333343</v>
      </c>
      <c r="L207">
        <v>1</v>
      </c>
      <c r="M207" s="3">
        <f t="shared" si="17"/>
        <v>9992.81</v>
      </c>
      <c r="N207" t="str">
        <f t="shared" si="18"/>
        <v>ставка</v>
      </c>
      <c r="O207" s="3">
        <f t="shared" si="19"/>
        <v>195.94</v>
      </c>
      <c r="P207" s="5">
        <v>46232.5</v>
      </c>
      <c r="Q207" t="s">
        <v>55</v>
      </c>
      <c r="R207" s="2" t="s">
        <v>33</v>
      </c>
      <c r="S207">
        <v>45</v>
      </c>
      <c r="T207">
        <v>1</v>
      </c>
    </row>
    <row r="208" spans="1:20" ht="30" x14ac:dyDescent="0.25">
      <c r="A208" t="s">
        <v>685</v>
      </c>
      <c r="B208">
        <v>1</v>
      </c>
      <c r="C208" s="2" t="s">
        <v>686</v>
      </c>
      <c r="D208" s="3">
        <v>66732</v>
      </c>
      <c r="E208" s="4">
        <v>20</v>
      </c>
      <c r="F208" t="s">
        <v>173</v>
      </c>
      <c r="G208" s="3">
        <f t="shared" si="15"/>
        <v>83415</v>
      </c>
      <c r="H208" s="3">
        <v>0</v>
      </c>
      <c r="I208" s="3">
        <f t="shared" si="16"/>
        <v>83415</v>
      </c>
      <c r="J208" s="2" t="s">
        <v>27</v>
      </c>
      <c r="K208" s="5">
        <v>46251.583333333343</v>
      </c>
      <c r="L208">
        <v>6</v>
      </c>
      <c r="M208" s="3">
        <f t="shared" si="17"/>
        <v>13902.5</v>
      </c>
      <c r="N208" t="str">
        <f t="shared" si="18"/>
        <v>ставка</v>
      </c>
      <c r="O208" s="3">
        <f t="shared" si="19"/>
        <v>1635.59</v>
      </c>
      <c r="P208" s="5">
        <v>46257.5</v>
      </c>
      <c r="Q208" t="s">
        <v>173</v>
      </c>
      <c r="R208" s="2" t="s">
        <v>24</v>
      </c>
      <c r="S208">
        <v>21</v>
      </c>
      <c r="T208">
        <v>1</v>
      </c>
    </row>
    <row r="209" spans="1:20" ht="30" x14ac:dyDescent="0.25">
      <c r="A209" t="s">
        <v>687</v>
      </c>
      <c r="B209">
        <v>1</v>
      </c>
      <c r="C209" s="2" t="s">
        <v>688</v>
      </c>
      <c r="D209" s="3">
        <v>31440</v>
      </c>
      <c r="E209" s="4">
        <v>18</v>
      </c>
      <c r="F209" t="s">
        <v>32</v>
      </c>
      <c r="G209" s="3">
        <f t="shared" si="15"/>
        <v>38341.46</v>
      </c>
      <c r="H209" s="3">
        <v>0</v>
      </c>
      <c r="I209" s="3">
        <f t="shared" si="16"/>
        <v>38341.46</v>
      </c>
      <c r="J209" s="2" t="s">
        <v>27</v>
      </c>
      <c r="K209" s="5">
        <v>46292.583333333343</v>
      </c>
      <c r="L209">
        <v>5</v>
      </c>
      <c r="M209" s="3">
        <f t="shared" si="17"/>
        <v>7668.2919999999995</v>
      </c>
      <c r="N209" t="str">
        <f t="shared" si="18"/>
        <v>ставка</v>
      </c>
      <c r="O209" s="3">
        <f t="shared" si="19"/>
        <v>751.79</v>
      </c>
      <c r="P209" s="5">
        <v>46297.5</v>
      </c>
      <c r="Q209" t="s">
        <v>32</v>
      </c>
      <c r="R209" s="2" t="s">
        <v>33</v>
      </c>
      <c r="S209">
        <v>45</v>
      </c>
      <c r="T209">
        <v>1</v>
      </c>
    </row>
    <row r="210" spans="1:20" ht="30" x14ac:dyDescent="0.25">
      <c r="A210" t="s">
        <v>689</v>
      </c>
      <c r="B210">
        <v>1</v>
      </c>
      <c r="C210" s="2" t="s">
        <v>690</v>
      </c>
      <c r="D210" s="3">
        <v>13090</v>
      </c>
      <c r="E210" s="4">
        <v>15</v>
      </c>
      <c r="F210" t="s">
        <v>36</v>
      </c>
      <c r="G210" s="3">
        <f t="shared" si="15"/>
        <v>15400</v>
      </c>
      <c r="H210" s="3">
        <v>0</v>
      </c>
      <c r="I210" s="3">
        <f t="shared" si="16"/>
        <v>15400</v>
      </c>
      <c r="J210" s="2" t="s">
        <v>27</v>
      </c>
      <c r="K210" s="5">
        <v>46227.583333333343</v>
      </c>
      <c r="L210">
        <v>1</v>
      </c>
      <c r="M210" s="3">
        <f t="shared" si="17"/>
        <v>15400</v>
      </c>
      <c r="N210" t="str">
        <f t="shared" si="18"/>
        <v>ставка</v>
      </c>
      <c r="O210" s="3">
        <f t="shared" si="19"/>
        <v>301.95999999999998</v>
      </c>
      <c r="P210" s="5">
        <v>46228.5</v>
      </c>
      <c r="Q210" t="s">
        <v>36</v>
      </c>
      <c r="R210" s="2" t="s">
        <v>24</v>
      </c>
      <c r="S210">
        <v>31</v>
      </c>
      <c r="T210">
        <v>1</v>
      </c>
    </row>
    <row r="211" spans="1:20" ht="30" x14ac:dyDescent="0.25">
      <c r="A211" t="s">
        <v>691</v>
      </c>
      <c r="B211">
        <v>1</v>
      </c>
      <c r="C211" s="2" t="s">
        <v>692</v>
      </c>
      <c r="D211" s="3">
        <v>34050</v>
      </c>
      <c r="E211" s="4">
        <v>0</v>
      </c>
      <c r="F211" t="s">
        <v>23</v>
      </c>
      <c r="G211" s="3">
        <f t="shared" si="15"/>
        <v>34050</v>
      </c>
      <c r="H211" s="3">
        <v>0</v>
      </c>
      <c r="I211" s="3">
        <f t="shared" si="16"/>
        <v>34050</v>
      </c>
      <c r="J211" s="2" t="s">
        <v>27</v>
      </c>
      <c r="K211" s="5">
        <v>46222.583333333343</v>
      </c>
      <c r="L211">
        <v>3</v>
      </c>
      <c r="M211" s="3">
        <f t="shared" si="17"/>
        <v>11350</v>
      </c>
      <c r="N211" t="str">
        <f t="shared" si="18"/>
        <v>ставка</v>
      </c>
      <c r="O211" s="3">
        <f t="shared" si="19"/>
        <v>667.65</v>
      </c>
      <c r="P211" s="5">
        <v>46225.5</v>
      </c>
      <c r="Q211" t="s">
        <v>23</v>
      </c>
      <c r="R211" s="2" t="s">
        <v>40</v>
      </c>
      <c r="S211">
        <v>33</v>
      </c>
      <c r="T211">
        <v>1</v>
      </c>
    </row>
    <row r="212" spans="1:20" x14ac:dyDescent="0.25">
      <c r="A212" t="s">
        <v>698</v>
      </c>
      <c r="B212">
        <v>1</v>
      </c>
      <c r="C212" s="2" t="s">
        <v>699</v>
      </c>
      <c r="D212" s="3">
        <v>59400</v>
      </c>
      <c r="E212" s="4">
        <v>0</v>
      </c>
      <c r="F212" t="s">
        <v>23</v>
      </c>
      <c r="G212" s="3">
        <f t="shared" si="15"/>
        <v>59400</v>
      </c>
      <c r="H212" s="3">
        <v>0</v>
      </c>
      <c r="I212" s="3">
        <f t="shared" si="16"/>
        <v>59400</v>
      </c>
      <c r="J212" s="2" t="s">
        <v>27</v>
      </c>
      <c r="K212" s="5">
        <v>46232.583333333343</v>
      </c>
      <c r="L212">
        <v>4</v>
      </c>
      <c r="M212" s="3">
        <f t="shared" si="17"/>
        <v>14850</v>
      </c>
      <c r="N212" t="str">
        <f t="shared" si="18"/>
        <v>ставка</v>
      </c>
      <c r="O212" s="3">
        <f t="shared" si="19"/>
        <v>1164.71</v>
      </c>
      <c r="P212" s="5">
        <v>46236.5</v>
      </c>
      <c r="Q212" t="s">
        <v>23</v>
      </c>
      <c r="R212" s="2" t="s">
        <v>49</v>
      </c>
      <c r="S212">
        <v>11</v>
      </c>
      <c r="T212">
        <v>1</v>
      </c>
    </row>
    <row r="213" spans="1:20" x14ac:dyDescent="0.25">
      <c r="A213" t="s">
        <v>700</v>
      </c>
      <c r="B213">
        <v>1</v>
      </c>
      <c r="C213" s="2" t="s">
        <v>701</v>
      </c>
      <c r="D213" s="3">
        <v>20368</v>
      </c>
      <c r="E213" s="4">
        <v>18</v>
      </c>
      <c r="F213" t="s">
        <v>32</v>
      </c>
      <c r="G213" s="3">
        <f t="shared" si="15"/>
        <v>24839.02</v>
      </c>
      <c r="H213" s="3">
        <v>0</v>
      </c>
      <c r="I213" s="3">
        <f t="shared" si="16"/>
        <v>24839.02</v>
      </c>
      <c r="J213" s="2" t="s">
        <v>27</v>
      </c>
      <c r="K213" s="5">
        <v>46224.583333333343</v>
      </c>
      <c r="L213">
        <v>2</v>
      </c>
      <c r="M213" s="3">
        <f t="shared" si="17"/>
        <v>12419.51</v>
      </c>
      <c r="N213" t="str">
        <f t="shared" si="18"/>
        <v>ставка</v>
      </c>
      <c r="O213" s="3">
        <f t="shared" si="19"/>
        <v>487.04</v>
      </c>
      <c r="P213" s="5">
        <v>46226.583333333343</v>
      </c>
      <c r="Q213" t="s">
        <v>32</v>
      </c>
      <c r="R213" s="2" t="s">
        <v>49</v>
      </c>
      <c r="S213">
        <v>11</v>
      </c>
      <c r="T213">
        <v>1</v>
      </c>
    </row>
    <row r="214" spans="1:20" ht="30" x14ac:dyDescent="0.25">
      <c r="A214" t="s">
        <v>700</v>
      </c>
      <c r="B214">
        <v>1</v>
      </c>
      <c r="C214" s="2" t="s">
        <v>701</v>
      </c>
      <c r="D214" s="3">
        <v>10184</v>
      </c>
      <c r="E214" s="4">
        <v>18</v>
      </c>
      <c r="F214" t="s">
        <v>32</v>
      </c>
      <c r="G214" s="3">
        <f t="shared" si="15"/>
        <v>12419.51</v>
      </c>
      <c r="H214" s="3">
        <v>0</v>
      </c>
      <c r="I214" s="3">
        <f t="shared" si="16"/>
        <v>12419.51</v>
      </c>
      <c r="J214" s="2" t="s">
        <v>27</v>
      </c>
      <c r="K214" s="5">
        <v>46226.583333333343</v>
      </c>
      <c r="L214">
        <v>1</v>
      </c>
      <c r="M214" s="3">
        <f t="shared" si="17"/>
        <v>12419.51</v>
      </c>
      <c r="N214" t="str">
        <f t="shared" si="18"/>
        <v>ставка</v>
      </c>
      <c r="O214" s="3">
        <f t="shared" si="19"/>
        <v>243.52</v>
      </c>
      <c r="P214" s="5">
        <v>46227.5</v>
      </c>
      <c r="Q214" t="s">
        <v>32</v>
      </c>
      <c r="R214" s="2" t="s">
        <v>24</v>
      </c>
      <c r="S214">
        <v>21</v>
      </c>
      <c r="T214">
        <v>1</v>
      </c>
    </row>
    <row r="215" spans="1:20" ht="30" x14ac:dyDescent="0.25">
      <c r="A215" t="s">
        <v>704</v>
      </c>
      <c r="B215">
        <v>1</v>
      </c>
      <c r="C215" s="2" t="s">
        <v>705</v>
      </c>
      <c r="D215" s="3">
        <v>6160</v>
      </c>
      <c r="E215" s="4">
        <v>20</v>
      </c>
      <c r="F215" t="s">
        <v>48</v>
      </c>
      <c r="G215" s="3">
        <f t="shared" si="15"/>
        <v>7700</v>
      </c>
      <c r="H215" s="3">
        <v>0</v>
      </c>
      <c r="I215" s="3">
        <f t="shared" si="16"/>
        <v>7700</v>
      </c>
      <c r="J215" s="2" t="s">
        <v>27</v>
      </c>
      <c r="K215" s="5">
        <v>46254.583333333343</v>
      </c>
      <c r="L215">
        <v>1</v>
      </c>
      <c r="M215" s="3">
        <f t="shared" si="17"/>
        <v>7700</v>
      </c>
      <c r="N215" t="str">
        <f t="shared" si="18"/>
        <v>ставка</v>
      </c>
      <c r="O215" s="3">
        <f t="shared" si="19"/>
        <v>150.97999999999999</v>
      </c>
      <c r="P215" s="5">
        <v>46255.5</v>
      </c>
      <c r="Q215" t="s">
        <v>48</v>
      </c>
      <c r="R215" s="2" t="s">
        <v>58</v>
      </c>
      <c r="S215">
        <v>34</v>
      </c>
      <c r="T215">
        <v>1</v>
      </c>
    </row>
    <row r="216" spans="1:20" ht="30" x14ac:dyDescent="0.25">
      <c r="A216" t="s">
        <v>706</v>
      </c>
      <c r="B216">
        <v>1</v>
      </c>
      <c r="C216" s="2" t="s">
        <v>707</v>
      </c>
      <c r="D216" s="3">
        <v>7920</v>
      </c>
      <c r="E216" s="4">
        <v>18</v>
      </c>
      <c r="F216" t="s">
        <v>32</v>
      </c>
      <c r="G216" s="3">
        <f t="shared" si="15"/>
        <v>9658.5400000000009</v>
      </c>
      <c r="H216" s="3">
        <v>0</v>
      </c>
      <c r="I216" s="3">
        <f t="shared" si="16"/>
        <v>9658.5400000000009</v>
      </c>
      <c r="J216" s="2" t="s">
        <v>27</v>
      </c>
      <c r="K216" s="5">
        <v>46222.583333333343</v>
      </c>
      <c r="L216">
        <v>1</v>
      </c>
      <c r="M216" s="3">
        <f t="shared" si="17"/>
        <v>9658.5400000000009</v>
      </c>
      <c r="N216" t="str">
        <f t="shared" si="18"/>
        <v>ставка</v>
      </c>
      <c r="O216" s="3">
        <f t="shared" si="19"/>
        <v>189.38</v>
      </c>
      <c r="P216" s="5">
        <v>46223.5</v>
      </c>
      <c r="Q216" t="s">
        <v>32</v>
      </c>
      <c r="R216" s="2" t="s">
        <v>33</v>
      </c>
      <c r="S216">
        <v>43</v>
      </c>
      <c r="T216">
        <v>1</v>
      </c>
    </row>
    <row r="217" spans="1:20" x14ac:dyDescent="0.25">
      <c r="A217" t="s">
        <v>710</v>
      </c>
      <c r="B217">
        <v>1</v>
      </c>
      <c r="C217" s="2" t="s">
        <v>711</v>
      </c>
      <c r="D217" s="3">
        <v>55440</v>
      </c>
      <c r="E217" s="4">
        <v>16</v>
      </c>
      <c r="F217" t="s">
        <v>36</v>
      </c>
      <c r="G217" s="3">
        <f t="shared" si="15"/>
        <v>66000</v>
      </c>
      <c r="H217" s="3">
        <v>0</v>
      </c>
      <c r="I217" s="3">
        <f t="shared" si="16"/>
        <v>66000</v>
      </c>
      <c r="J217" s="2" t="s">
        <v>27</v>
      </c>
      <c r="K217" s="5">
        <v>46292.583333333343</v>
      </c>
      <c r="L217">
        <v>4</v>
      </c>
      <c r="M217" s="3">
        <f t="shared" si="17"/>
        <v>16500</v>
      </c>
      <c r="N217" t="str">
        <f t="shared" si="18"/>
        <v>ставка</v>
      </c>
      <c r="O217" s="3">
        <f t="shared" si="19"/>
        <v>1294.1199999999999</v>
      </c>
      <c r="P217" s="5">
        <v>46296.5</v>
      </c>
      <c r="Q217" t="s">
        <v>36</v>
      </c>
      <c r="R217" s="2" t="s">
        <v>49</v>
      </c>
      <c r="S217">
        <v>11</v>
      </c>
      <c r="T217">
        <v>1</v>
      </c>
    </row>
    <row r="218" spans="1:20" x14ac:dyDescent="0.25">
      <c r="A218" t="s">
        <v>712</v>
      </c>
      <c r="B218">
        <v>1</v>
      </c>
      <c r="C218" s="2" t="s">
        <v>713</v>
      </c>
      <c r="D218" s="3">
        <v>12035</v>
      </c>
      <c r="E218" s="4">
        <v>0</v>
      </c>
      <c r="F218" t="s">
        <v>23</v>
      </c>
      <c r="G218" s="3">
        <f t="shared" si="15"/>
        <v>12035</v>
      </c>
      <c r="H218" s="3">
        <v>0</v>
      </c>
      <c r="I218" s="3">
        <f t="shared" si="16"/>
        <v>12035</v>
      </c>
      <c r="J218" s="2" t="s">
        <v>27</v>
      </c>
      <c r="K218" s="5">
        <v>46245.583333333343</v>
      </c>
      <c r="L218">
        <v>1</v>
      </c>
      <c r="M218" s="3">
        <f t="shared" si="17"/>
        <v>12035</v>
      </c>
      <c r="N218" t="str">
        <f t="shared" si="18"/>
        <v>ставка</v>
      </c>
      <c r="O218" s="3">
        <f t="shared" si="19"/>
        <v>235.98</v>
      </c>
      <c r="P218" s="5">
        <v>46246.5</v>
      </c>
      <c r="Q218" t="s">
        <v>23</v>
      </c>
      <c r="R218" s="2" t="s">
        <v>49</v>
      </c>
      <c r="S218">
        <v>25</v>
      </c>
      <c r="T218">
        <v>1</v>
      </c>
    </row>
    <row r="219" spans="1:20" ht="30" x14ac:dyDescent="0.25">
      <c r="A219" t="s">
        <v>714</v>
      </c>
      <c r="B219">
        <v>1</v>
      </c>
      <c r="C219" s="2" t="s">
        <v>715</v>
      </c>
      <c r="D219" s="3">
        <v>22695</v>
      </c>
      <c r="E219" s="4">
        <v>15</v>
      </c>
      <c r="F219" t="s">
        <v>52</v>
      </c>
      <c r="G219" s="3">
        <f t="shared" si="15"/>
        <v>26700</v>
      </c>
      <c r="H219" s="3">
        <v>0</v>
      </c>
      <c r="I219" s="3">
        <f t="shared" si="16"/>
        <v>26700</v>
      </c>
      <c r="J219" s="2" t="s">
        <v>27</v>
      </c>
      <c r="K219" s="5">
        <v>46243.583333333343</v>
      </c>
      <c r="L219">
        <v>2</v>
      </c>
      <c r="M219" s="3">
        <f t="shared" si="17"/>
        <v>13350</v>
      </c>
      <c r="N219" t="str">
        <f t="shared" si="18"/>
        <v>ставка</v>
      </c>
      <c r="O219" s="3">
        <f t="shared" si="19"/>
        <v>523.53</v>
      </c>
      <c r="P219" s="5">
        <v>46245.5</v>
      </c>
      <c r="Q219" t="s">
        <v>52</v>
      </c>
      <c r="R219" s="2" t="s">
        <v>40</v>
      </c>
      <c r="S219">
        <v>22</v>
      </c>
      <c r="T219">
        <v>1</v>
      </c>
    </row>
    <row r="220" spans="1:20" ht="30" x14ac:dyDescent="0.25">
      <c r="A220" t="s">
        <v>716</v>
      </c>
      <c r="B220">
        <v>1</v>
      </c>
      <c r="C220" s="2" t="s">
        <v>717</v>
      </c>
      <c r="D220" s="3">
        <v>9265</v>
      </c>
      <c r="E220" s="4">
        <v>15</v>
      </c>
      <c r="F220" t="s">
        <v>36</v>
      </c>
      <c r="G220" s="3">
        <f t="shared" si="15"/>
        <v>10900</v>
      </c>
      <c r="H220" s="3">
        <v>0</v>
      </c>
      <c r="I220" s="3">
        <f t="shared" si="16"/>
        <v>10900</v>
      </c>
      <c r="J220" s="2" t="s">
        <v>27</v>
      </c>
      <c r="K220" s="5">
        <v>46229.583333333343</v>
      </c>
      <c r="L220">
        <v>1</v>
      </c>
      <c r="M220" s="3">
        <f t="shared" si="17"/>
        <v>10900</v>
      </c>
      <c r="N220" t="str">
        <f t="shared" si="18"/>
        <v>ставка</v>
      </c>
      <c r="O220" s="3">
        <f t="shared" si="19"/>
        <v>213.73</v>
      </c>
      <c r="P220" s="5">
        <v>46230.5</v>
      </c>
      <c r="Q220" t="s">
        <v>36</v>
      </c>
      <c r="R220" s="2" t="s">
        <v>40</v>
      </c>
      <c r="S220">
        <v>22</v>
      </c>
      <c r="T220">
        <v>1</v>
      </c>
    </row>
    <row r="221" spans="1:20" x14ac:dyDescent="0.25">
      <c r="A221" t="s">
        <v>718</v>
      </c>
      <c r="B221">
        <v>1</v>
      </c>
      <c r="C221" s="2" t="s">
        <v>719</v>
      </c>
      <c r="D221" s="3">
        <v>9080</v>
      </c>
      <c r="E221" s="4">
        <v>20</v>
      </c>
      <c r="F221" t="s">
        <v>103</v>
      </c>
      <c r="G221" s="3">
        <f t="shared" si="15"/>
        <v>11350</v>
      </c>
      <c r="H221" s="3">
        <v>0</v>
      </c>
      <c r="I221" s="3">
        <f t="shared" si="16"/>
        <v>11350</v>
      </c>
      <c r="J221" s="2" t="s">
        <v>27</v>
      </c>
      <c r="K221" s="5">
        <v>46260.583333333343</v>
      </c>
      <c r="L221">
        <v>1</v>
      </c>
      <c r="M221" s="3">
        <f t="shared" si="17"/>
        <v>11350</v>
      </c>
      <c r="N221" t="str">
        <f t="shared" si="18"/>
        <v>ставка</v>
      </c>
      <c r="O221" s="3">
        <f t="shared" si="19"/>
        <v>222.55</v>
      </c>
      <c r="P221" s="5">
        <v>46261.5</v>
      </c>
      <c r="Q221" t="s">
        <v>103</v>
      </c>
      <c r="R221" s="2" t="s">
        <v>49</v>
      </c>
      <c r="S221">
        <v>11</v>
      </c>
      <c r="T221">
        <v>1</v>
      </c>
    </row>
    <row r="222" spans="1:20" ht="30" x14ac:dyDescent="0.25">
      <c r="A222" t="s">
        <v>720</v>
      </c>
      <c r="B222">
        <v>1</v>
      </c>
      <c r="C222" s="2" t="s">
        <v>721</v>
      </c>
      <c r="D222" s="3">
        <v>18160</v>
      </c>
      <c r="E222" s="4">
        <v>20</v>
      </c>
      <c r="F222" t="s">
        <v>103</v>
      </c>
      <c r="G222" s="3">
        <f t="shared" si="15"/>
        <v>22700</v>
      </c>
      <c r="H222" s="3">
        <v>0</v>
      </c>
      <c r="I222" s="3">
        <f t="shared" si="16"/>
        <v>22700</v>
      </c>
      <c r="J222" s="2" t="s">
        <v>27</v>
      </c>
      <c r="K222" s="5">
        <v>46267.583333333343</v>
      </c>
      <c r="L222">
        <v>2</v>
      </c>
      <c r="M222" s="3">
        <f t="shared" si="17"/>
        <v>11350</v>
      </c>
      <c r="N222" t="str">
        <f t="shared" si="18"/>
        <v>ставка</v>
      </c>
      <c r="O222" s="3">
        <f t="shared" si="19"/>
        <v>445.1</v>
      </c>
      <c r="P222" s="5">
        <v>46269.5</v>
      </c>
      <c r="Q222" t="s">
        <v>103</v>
      </c>
      <c r="R222" s="2" t="s">
        <v>40</v>
      </c>
      <c r="S222">
        <v>32</v>
      </c>
      <c r="T222">
        <v>1</v>
      </c>
    </row>
    <row r="223" spans="1:20" ht="30" x14ac:dyDescent="0.25">
      <c r="A223" t="s">
        <v>724</v>
      </c>
      <c r="B223">
        <v>1</v>
      </c>
      <c r="C223" s="2" t="s">
        <v>725</v>
      </c>
      <c r="D223" s="3">
        <v>5687.99</v>
      </c>
      <c r="E223" s="4">
        <v>17</v>
      </c>
      <c r="F223" t="s">
        <v>130</v>
      </c>
      <c r="G223" s="3">
        <f t="shared" si="15"/>
        <v>6853</v>
      </c>
      <c r="H223" s="3">
        <v>0</v>
      </c>
      <c r="I223" s="3">
        <f t="shared" si="16"/>
        <v>6853</v>
      </c>
      <c r="J223" s="2" t="s">
        <v>27</v>
      </c>
      <c r="K223" s="5">
        <v>46265.583333333343</v>
      </c>
      <c r="L223">
        <v>1</v>
      </c>
      <c r="M223" s="3">
        <f t="shared" si="17"/>
        <v>6853</v>
      </c>
      <c r="N223" t="str">
        <f t="shared" si="18"/>
        <v>ставка</v>
      </c>
      <c r="O223" s="3">
        <f t="shared" si="19"/>
        <v>134.37</v>
      </c>
      <c r="P223" s="5">
        <v>46266.5</v>
      </c>
      <c r="Q223" t="s">
        <v>130</v>
      </c>
      <c r="R223" s="2" t="s">
        <v>40</v>
      </c>
      <c r="S223">
        <v>36</v>
      </c>
      <c r="T223">
        <v>1</v>
      </c>
    </row>
    <row r="224" spans="1:20" x14ac:dyDescent="0.25">
      <c r="A224" t="s">
        <v>726</v>
      </c>
      <c r="B224">
        <v>1</v>
      </c>
      <c r="C224" s="2" t="s">
        <v>727</v>
      </c>
      <c r="D224" s="3">
        <v>11020</v>
      </c>
      <c r="E224" s="4">
        <v>18</v>
      </c>
      <c r="F224" t="s">
        <v>32</v>
      </c>
      <c r="G224" s="3">
        <f t="shared" si="15"/>
        <v>13439.02</v>
      </c>
      <c r="H224" s="3">
        <v>0</v>
      </c>
      <c r="I224" s="3">
        <f t="shared" si="16"/>
        <v>13439.02</v>
      </c>
      <c r="J224" s="2" t="s">
        <v>27</v>
      </c>
      <c r="K224" s="5">
        <v>46252.583333333343</v>
      </c>
      <c r="L224">
        <v>1</v>
      </c>
      <c r="M224" s="3">
        <f t="shared" si="17"/>
        <v>13439.02</v>
      </c>
      <c r="N224" t="str">
        <f t="shared" si="18"/>
        <v>ставка</v>
      </c>
      <c r="O224" s="3">
        <f t="shared" si="19"/>
        <v>263.51</v>
      </c>
      <c r="P224" s="5">
        <v>46253.5</v>
      </c>
      <c r="Q224" t="s">
        <v>32</v>
      </c>
      <c r="R224" s="2" t="s">
        <v>49</v>
      </c>
      <c r="S224">
        <v>25</v>
      </c>
      <c r="T224">
        <v>1</v>
      </c>
    </row>
    <row r="225" spans="1:20" ht="30" x14ac:dyDescent="0.25">
      <c r="A225" t="s">
        <v>729</v>
      </c>
      <c r="B225">
        <v>1</v>
      </c>
      <c r="C225" s="2" t="s">
        <v>730</v>
      </c>
      <c r="D225" s="3">
        <v>12264</v>
      </c>
      <c r="E225" s="4">
        <v>16</v>
      </c>
      <c r="F225" t="s">
        <v>36</v>
      </c>
      <c r="G225" s="3">
        <f t="shared" si="15"/>
        <v>14600</v>
      </c>
      <c r="H225" s="3">
        <v>0</v>
      </c>
      <c r="I225" s="3">
        <f t="shared" si="16"/>
        <v>14600</v>
      </c>
      <c r="J225" s="2" t="s">
        <v>27</v>
      </c>
      <c r="K225" s="5">
        <v>46295.583333333343</v>
      </c>
      <c r="L225">
        <v>2</v>
      </c>
      <c r="M225" s="3">
        <f t="shared" si="17"/>
        <v>7300</v>
      </c>
      <c r="N225" t="str">
        <f t="shared" si="18"/>
        <v>ставка</v>
      </c>
      <c r="O225" s="3">
        <f t="shared" si="19"/>
        <v>286.27</v>
      </c>
      <c r="P225" s="5">
        <v>46297.5</v>
      </c>
      <c r="Q225" t="s">
        <v>36</v>
      </c>
      <c r="R225" s="2" t="s">
        <v>58</v>
      </c>
      <c r="S225">
        <v>24</v>
      </c>
      <c r="T225">
        <v>1</v>
      </c>
    </row>
    <row r="226" spans="1:20" ht="30" x14ac:dyDescent="0.25">
      <c r="A226" t="s">
        <v>731</v>
      </c>
      <c r="B226">
        <v>1</v>
      </c>
      <c r="C226" s="2" t="s">
        <v>732</v>
      </c>
      <c r="D226" s="3">
        <v>91922.6</v>
      </c>
      <c r="E226" s="4">
        <v>4</v>
      </c>
      <c r="F226" t="s">
        <v>55</v>
      </c>
      <c r="G226" s="3">
        <f t="shared" si="15"/>
        <v>95752.71</v>
      </c>
      <c r="H226" s="3">
        <v>0</v>
      </c>
      <c r="I226" s="3">
        <f t="shared" si="16"/>
        <v>95752.71</v>
      </c>
      <c r="J226" s="2" t="s">
        <v>27</v>
      </c>
      <c r="K226" s="5">
        <v>46236.729166666657</v>
      </c>
      <c r="L226">
        <v>6</v>
      </c>
      <c r="M226" s="3">
        <f t="shared" si="17"/>
        <v>15958.785000000002</v>
      </c>
      <c r="N226" t="str">
        <f t="shared" si="18"/>
        <v>ставка</v>
      </c>
      <c r="O226" s="3">
        <f t="shared" si="19"/>
        <v>1877.5</v>
      </c>
      <c r="P226" s="5">
        <v>46242.5</v>
      </c>
      <c r="Q226" t="s">
        <v>55</v>
      </c>
      <c r="R226" s="2" t="s">
        <v>24</v>
      </c>
      <c r="S226">
        <v>31</v>
      </c>
      <c r="T226">
        <v>1</v>
      </c>
    </row>
    <row r="227" spans="1:20" ht="30" x14ac:dyDescent="0.25">
      <c r="A227" t="s">
        <v>733</v>
      </c>
      <c r="B227">
        <v>1</v>
      </c>
      <c r="C227" s="2" t="s">
        <v>734</v>
      </c>
      <c r="D227" s="3">
        <v>22161</v>
      </c>
      <c r="E227" s="4">
        <v>17</v>
      </c>
      <c r="F227" t="s">
        <v>173</v>
      </c>
      <c r="G227" s="3">
        <f t="shared" si="15"/>
        <v>26700</v>
      </c>
      <c r="H227" s="3">
        <v>0</v>
      </c>
      <c r="I227" s="3">
        <f t="shared" si="16"/>
        <v>26700</v>
      </c>
      <c r="J227" s="2" t="s">
        <v>27</v>
      </c>
      <c r="K227" s="5">
        <v>46220.583333333343</v>
      </c>
      <c r="L227">
        <v>2</v>
      </c>
      <c r="M227" s="3">
        <f t="shared" si="17"/>
        <v>13350</v>
      </c>
      <c r="N227" t="str">
        <f t="shared" si="18"/>
        <v>ставка</v>
      </c>
      <c r="O227" s="3">
        <f t="shared" si="19"/>
        <v>523.53</v>
      </c>
      <c r="P227" s="5">
        <v>46222.5</v>
      </c>
      <c r="Q227" t="s">
        <v>173</v>
      </c>
      <c r="R227" s="2" t="s">
        <v>40</v>
      </c>
      <c r="S227">
        <v>23</v>
      </c>
      <c r="T227">
        <v>1</v>
      </c>
    </row>
    <row r="228" spans="1:20" ht="30" x14ac:dyDescent="0.25">
      <c r="A228" t="s">
        <v>737</v>
      </c>
      <c r="B228">
        <v>1</v>
      </c>
      <c r="C228" s="2" t="s">
        <v>738</v>
      </c>
      <c r="D228" s="3">
        <v>7120</v>
      </c>
      <c r="E228" s="4">
        <v>20</v>
      </c>
      <c r="F228" t="s">
        <v>293</v>
      </c>
      <c r="G228" s="3">
        <f t="shared" si="15"/>
        <v>8900</v>
      </c>
      <c r="H228" s="3">
        <v>0</v>
      </c>
      <c r="I228" s="3">
        <f t="shared" si="16"/>
        <v>8900</v>
      </c>
      <c r="J228" s="2" t="s">
        <v>294</v>
      </c>
      <c r="K228" s="5">
        <v>46231.583333333343</v>
      </c>
      <c r="L228">
        <v>1</v>
      </c>
      <c r="M228" s="3">
        <f t="shared" si="17"/>
        <v>8900</v>
      </c>
      <c r="N228" t="str">
        <f t="shared" si="18"/>
        <v>ставка</v>
      </c>
      <c r="O228" s="3">
        <f t="shared" si="19"/>
        <v>174.51</v>
      </c>
      <c r="P228" s="5">
        <v>46232.5</v>
      </c>
      <c r="Q228" t="s">
        <v>293</v>
      </c>
      <c r="R228" s="2" t="s">
        <v>40</v>
      </c>
      <c r="S228">
        <v>22</v>
      </c>
      <c r="T228">
        <v>1</v>
      </c>
    </row>
    <row r="229" spans="1:20" ht="30" x14ac:dyDescent="0.25">
      <c r="A229" t="s">
        <v>739</v>
      </c>
      <c r="B229">
        <v>1</v>
      </c>
      <c r="C229" s="2" t="s">
        <v>740</v>
      </c>
      <c r="D229" s="3">
        <v>14850</v>
      </c>
      <c r="E229" s="4">
        <v>18</v>
      </c>
      <c r="F229" t="s">
        <v>32</v>
      </c>
      <c r="G229" s="3">
        <f t="shared" si="15"/>
        <v>18109.759999999998</v>
      </c>
      <c r="H229" s="3">
        <v>0</v>
      </c>
      <c r="I229" s="3">
        <f t="shared" si="16"/>
        <v>18109.759999999998</v>
      </c>
      <c r="J229" s="2" t="s">
        <v>27</v>
      </c>
      <c r="K229" s="5">
        <v>46284.583333333343</v>
      </c>
      <c r="L229">
        <v>2</v>
      </c>
      <c r="M229" s="3">
        <f t="shared" si="17"/>
        <v>9054.8799999999992</v>
      </c>
      <c r="N229" t="str">
        <f t="shared" si="18"/>
        <v>ставка</v>
      </c>
      <c r="O229" s="3">
        <f t="shared" si="19"/>
        <v>355.09</v>
      </c>
      <c r="P229" s="5">
        <v>46286.5</v>
      </c>
      <c r="Q229" t="s">
        <v>32</v>
      </c>
      <c r="R229" s="2" t="s">
        <v>33</v>
      </c>
      <c r="S229">
        <v>45</v>
      </c>
      <c r="T229">
        <v>1</v>
      </c>
    </row>
    <row r="230" spans="1:20" ht="30" x14ac:dyDescent="0.25">
      <c r="A230" t="s">
        <v>741</v>
      </c>
      <c r="B230">
        <v>1</v>
      </c>
      <c r="C230" s="2" t="s">
        <v>742</v>
      </c>
      <c r="D230" s="3">
        <v>45400</v>
      </c>
      <c r="E230" s="4">
        <v>20</v>
      </c>
      <c r="F230" t="s">
        <v>48</v>
      </c>
      <c r="G230" s="3">
        <f t="shared" si="15"/>
        <v>56750</v>
      </c>
      <c r="H230" s="3">
        <v>0</v>
      </c>
      <c r="I230" s="3">
        <f t="shared" si="16"/>
        <v>56750</v>
      </c>
      <c r="J230" s="2" t="s">
        <v>27</v>
      </c>
      <c r="K230" s="5">
        <v>46206.583333333343</v>
      </c>
      <c r="L230">
        <v>5</v>
      </c>
      <c r="M230" s="3">
        <f t="shared" si="17"/>
        <v>11350</v>
      </c>
      <c r="N230" t="str">
        <f t="shared" si="18"/>
        <v>ставка</v>
      </c>
      <c r="O230" s="3">
        <f t="shared" si="19"/>
        <v>1112.75</v>
      </c>
      <c r="P230" s="5">
        <v>46211.5</v>
      </c>
      <c r="Q230" t="s">
        <v>48</v>
      </c>
      <c r="R230" s="2" t="s">
        <v>40</v>
      </c>
      <c r="S230">
        <v>44</v>
      </c>
      <c r="T230">
        <v>1</v>
      </c>
    </row>
    <row r="231" spans="1:20" ht="30" x14ac:dyDescent="0.25">
      <c r="A231" t="s">
        <v>743</v>
      </c>
      <c r="B231">
        <v>1</v>
      </c>
      <c r="C231" s="2" t="s">
        <v>744</v>
      </c>
      <c r="D231" s="3">
        <v>27240</v>
      </c>
      <c r="E231" s="4">
        <v>18</v>
      </c>
      <c r="F231" t="s">
        <v>32</v>
      </c>
      <c r="G231" s="3">
        <f t="shared" si="15"/>
        <v>33219.51</v>
      </c>
      <c r="H231" s="3">
        <v>0</v>
      </c>
      <c r="I231" s="3">
        <f t="shared" si="16"/>
        <v>33219.51</v>
      </c>
      <c r="J231" s="2" t="s">
        <v>27</v>
      </c>
      <c r="K231" s="5">
        <v>46227.583333333343</v>
      </c>
      <c r="L231">
        <v>3</v>
      </c>
      <c r="M231" s="3">
        <f t="shared" si="17"/>
        <v>11073.17</v>
      </c>
      <c r="N231" t="str">
        <f t="shared" si="18"/>
        <v>ставка</v>
      </c>
      <c r="O231" s="3">
        <f t="shared" si="19"/>
        <v>651.36</v>
      </c>
      <c r="P231" s="5">
        <v>46230.5</v>
      </c>
      <c r="Q231" t="s">
        <v>32</v>
      </c>
      <c r="R231" s="2" t="s">
        <v>40</v>
      </c>
      <c r="S231">
        <v>46</v>
      </c>
      <c r="T231">
        <v>1</v>
      </c>
    </row>
    <row r="232" spans="1:20" ht="30" x14ac:dyDescent="0.25">
      <c r="A232" t="s">
        <v>745</v>
      </c>
      <c r="B232">
        <v>1</v>
      </c>
      <c r="C232" s="2" t="s">
        <v>746</v>
      </c>
      <c r="D232" s="3">
        <v>11115</v>
      </c>
      <c r="E232" s="4">
        <v>18</v>
      </c>
      <c r="F232" t="s">
        <v>32</v>
      </c>
      <c r="G232" s="3">
        <f t="shared" si="15"/>
        <v>13554.88</v>
      </c>
      <c r="H232" s="3">
        <v>0</v>
      </c>
      <c r="I232" s="3">
        <f t="shared" si="16"/>
        <v>13554.88</v>
      </c>
      <c r="J232" s="2" t="s">
        <v>27</v>
      </c>
      <c r="K232" s="5">
        <v>46295.583333333343</v>
      </c>
      <c r="L232">
        <v>2</v>
      </c>
      <c r="M232" s="3">
        <f t="shared" si="17"/>
        <v>6777.44</v>
      </c>
      <c r="N232" t="str">
        <f t="shared" si="18"/>
        <v>ставка</v>
      </c>
      <c r="O232" s="3">
        <f t="shared" si="19"/>
        <v>265.77999999999997</v>
      </c>
      <c r="P232" s="5">
        <v>46297.5</v>
      </c>
      <c r="Q232" t="s">
        <v>32</v>
      </c>
      <c r="R232" s="2" t="s">
        <v>33</v>
      </c>
      <c r="S232">
        <v>43</v>
      </c>
      <c r="T232">
        <v>1</v>
      </c>
    </row>
    <row r="233" spans="1:20" ht="30" x14ac:dyDescent="0.25">
      <c r="A233" t="s">
        <v>747</v>
      </c>
      <c r="B233">
        <v>1</v>
      </c>
      <c r="C233" s="2" t="s">
        <v>748</v>
      </c>
      <c r="D233" s="3">
        <v>9751.5</v>
      </c>
      <c r="E233" s="4">
        <v>4</v>
      </c>
      <c r="F233" t="s">
        <v>55</v>
      </c>
      <c r="G233" s="3">
        <f t="shared" si="15"/>
        <v>10157.81</v>
      </c>
      <c r="H233" s="3">
        <v>0</v>
      </c>
      <c r="I233" s="3">
        <f t="shared" si="16"/>
        <v>10157.81</v>
      </c>
      <c r="J233" s="2" t="s">
        <v>27</v>
      </c>
      <c r="K233" s="5">
        <v>46271.583333333343</v>
      </c>
      <c r="L233">
        <v>1</v>
      </c>
      <c r="M233" s="3">
        <f t="shared" si="17"/>
        <v>10157.81</v>
      </c>
      <c r="N233" t="str">
        <f t="shared" si="18"/>
        <v>ставка</v>
      </c>
      <c r="O233" s="3">
        <f t="shared" si="19"/>
        <v>199.17</v>
      </c>
      <c r="P233" s="5">
        <v>46272.5</v>
      </c>
      <c r="Q233" t="s">
        <v>55</v>
      </c>
      <c r="R233" s="2" t="s">
        <v>40</v>
      </c>
      <c r="S233">
        <v>44</v>
      </c>
      <c r="T233">
        <v>1</v>
      </c>
    </row>
    <row r="234" spans="1:20" ht="30" x14ac:dyDescent="0.25">
      <c r="A234" t="s">
        <v>749</v>
      </c>
      <c r="B234">
        <v>1</v>
      </c>
      <c r="C234" s="2" t="s">
        <v>750</v>
      </c>
      <c r="D234" s="3">
        <v>21360</v>
      </c>
      <c r="E234" s="4">
        <v>17</v>
      </c>
      <c r="F234" t="s">
        <v>130</v>
      </c>
      <c r="G234" s="3">
        <f t="shared" si="15"/>
        <v>25734.94</v>
      </c>
      <c r="H234" s="3">
        <v>0</v>
      </c>
      <c r="I234" s="3">
        <f t="shared" si="16"/>
        <v>25734.94</v>
      </c>
      <c r="J234" s="2" t="s">
        <v>27</v>
      </c>
      <c r="K234" s="5">
        <v>46270.583333333343</v>
      </c>
      <c r="L234">
        <v>2</v>
      </c>
      <c r="M234" s="3">
        <f t="shared" si="17"/>
        <v>12867.47</v>
      </c>
      <c r="N234" t="str">
        <f t="shared" si="18"/>
        <v>ставка</v>
      </c>
      <c r="O234" s="3">
        <f t="shared" si="19"/>
        <v>504.61</v>
      </c>
      <c r="P234" s="5">
        <v>46272.5</v>
      </c>
      <c r="Q234" t="s">
        <v>130</v>
      </c>
      <c r="R234" s="2" t="s">
        <v>40</v>
      </c>
      <c r="S234">
        <v>22</v>
      </c>
      <c r="T234">
        <v>1</v>
      </c>
    </row>
    <row r="235" spans="1:20" ht="30" x14ac:dyDescent="0.25">
      <c r="A235" t="s">
        <v>753</v>
      </c>
      <c r="B235">
        <v>1</v>
      </c>
      <c r="C235" s="2" t="s">
        <v>752</v>
      </c>
      <c r="D235" s="3">
        <v>20430</v>
      </c>
      <c r="E235" s="4">
        <v>0</v>
      </c>
      <c r="F235" t="s">
        <v>23</v>
      </c>
      <c r="G235" s="3">
        <f t="shared" si="15"/>
        <v>20430</v>
      </c>
      <c r="H235" s="3">
        <v>0</v>
      </c>
      <c r="I235" s="3">
        <f t="shared" si="16"/>
        <v>20430</v>
      </c>
      <c r="J235" s="2" t="s">
        <v>27</v>
      </c>
      <c r="K235" s="5">
        <v>46227.583333333343</v>
      </c>
      <c r="L235">
        <v>2</v>
      </c>
      <c r="M235" s="3">
        <f t="shared" si="17"/>
        <v>10215</v>
      </c>
      <c r="N235" t="str">
        <f t="shared" si="18"/>
        <v>ставка</v>
      </c>
      <c r="O235" s="3">
        <f t="shared" si="19"/>
        <v>400.59</v>
      </c>
      <c r="P235" s="5">
        <v>46229.5</v>
      </c>
      <c r="Q235" t="s">
        <v>23</v>
      </c>
      <c r="R235" s="2" t="s">
        <v>40</v>
      </c>
      <c r="S235">
        <v>23</v>
      </c>
      <c r="T235">
        <v>1</v>
      </c>
    </row>
    <row r="236" spans="1:20" x14ac:dyDescent="0.25">
      <c r="A236" t="s">
        <v>758</v>
      </c>
      <c r="B236">
        <v>1</v>
      </c>
      <c r="C236" s="2" t="s">
        <v>756</v>
      </c>
      <c r="D236" s="3">
        <v>13050</v>
      </c>
      <c r="E236" s="4">
        <v>0</v>
      </c>
      <c r="F236" t="s">
        <v>23</v>
      </c>
      <c r="G236" s="3">
        <f t="shared" si="15"/>
        <v>13050</v>
      </c>
      <c r="H236" s="3">
        <v>0</v>
      </c>
      <c r="I236" s="3">
        <f t="shared" si="16"/>
        <v>13050</v>
      </c>
      <c r="J236" s="2" t="s">
        <v>27</v>
      </c>
      <c r="K236" s="5">
        <v>46245.583333333343</v>
      </c>
      <c r="L236">
        <v>1</v>
      </c>
      <c r="M236" s="3">
        <f t="shared" si="17"/>
        <v>13050</v>
      </c>
      <c r="N236" t="str">
        <f t="shared" si="18"/>
        <v>ставка</v>
      </c>
      <c r="O236" s="3">
        <f t="shared" si="19"/>
        <v>255.88</v>
      </c>
      <c r="P236" s="5">
        <v>46246.5</v>
      </c>
      <c r="Q236" t="s">
        <v>23</v>
      </c>
      <c r="R236" s="2" t="s">
        <v>49</v>
      </c>
      <c r="S236">
        <v>35</v>
      </c>
      <c r="T236">
        <v>1</v>
      </c>
    </row>
    <row r="237" spans="1:20" x14ac:dyDescent="0.25">
      <c r="A237" t="s">
        <v>759</v>
      </c>
      <c r="B237">
        <v>1</v>
      </c>
      <c r="C237" s="2" t="s">
        <v>756</v>
      </c>
      <c r="D237" s="3">
        <v>13050</v>
      </c>
      <c r="E237" s="4">
        <v>0</v>
      </c>
      <c r="F237" t="s">
        <v>23</v>
      </c>
      <c r="G237" s="3">
        <f t="shared" si="15"/>
        <v>13050</v>
      </c>
      <c r="H237" s="3">
        <v>0</v>
      </c>
      <c r="I237" s="3">
        <f t="shared" si="16"/>
        <v>13050</v>
      </c>
      <c r="J237" s="2" t="s">
        <v>27</v>
      </c>
      <c r="K237" s="5">
        <v>46246.583333333343</v>
      </c>
      <c r="L237">
        <v>1</v>
      </c>
      <c r="M237" s="3">
        <f t="shared" si="17"/>
        <v>13050</v>
      </c>
      <c r="N237" t="str">
        <f t="shared" si="18"/>
        <v>ставка</v>
      </c>
      <c r="O237" s="3">
        <f t="shared" si="19"/>
        <v>255.88</v>
      </c>
      <c r="P237" s="5">
        <v>46247.5</v>
      </c>
      <c r="Q237" t="s">
        <v>23</v>
      </c>
      <c r="R237" s="2" t="s">
        <v>49</v>
      </c>
      <c r="S237">
        <v>35</v>
      </c>
      <c r="T237">
        <v>1</v>
      </c>
    </row>
    <row r="238" spans="1:20" x14ac:dyDescent="0.25">
      <c r="A238" t="s">
        <v>763</v>
      </c>
      <c r="B238">
        <v>1</v>
      </c>
      <c r="C238" s="2" t="s">
        <v>756</v>
      </c>
      <c r="D238" s="3">
        <v>13050</v>
      </c>
      <c r="E238" s="4">
        <v>0</v>
      </c>
      <c r="F238" t="s">
        <v>23</v>
      </c>
      <c r="G238" s="3">
        <f t="shared" si="15"/>
        <v>13050</v>
      </c>
      <c r="H238" s="3">
        <v>0</v>
      </c>
      <c r="I238" s="3">
        <f t="shared" si="16"/>
        <v>13050</v>
      </c>
      <c r="J238" s="2" t="s">
        <v>27</v>
      </c>
      <c r="K238" s="5">
        <v>46280.583333333343</v>
      </c>
      <c r="L238">
        <v>1</v>
      </c>
      <c r="M238" s="3">
        <f t="shared" si="17"/>
        <v>13050</v>
      </c>
      <c r="N238" t="str">
        <f t="shared" si="18"/>
        <v>ставка</v>
      </c>
      <c r="O238" s="3">
        <f t="shared" si="19"/>
        <v>255.88</v>
      </c>
      <c r="P238" s="5">
        <v>46281.5</v>
      </c>
      <c r="Q238" t="s">
        <v>23</v>
      </c>
      <c r="R238" s="2" t="s">
        <v>49</v>
      </c>
      <c r="S238">
        <v>11</v>
      </c>
      <c r="T238">
        <v>1</v>
      </c>
    </row>
    <row r="239" spans="1:20" ht="30" x14ac:dyDescent="0.25">
      <c r="A239" t="s">
        <v>764</v>
      </c>
      <c r="B239">
        <v>1</v>
      </c>
      <c r="C239" s="2" t="s">
        <v>765</v>
      </c>
      <c r="D239" s="3">
        <v>10900</v>
      </c>
      <c r="E239" s="4">
        <v>0</v>
      </c>
      <c r="F239" t="s">
        <v>23</v>
      </c>
      <c r="G239" s="3">
        <f t="shared" si="15"/>
        <v>10900</v>
      </c>
      <c r="H239" s="3">
        <v>0</v>
      </c>
      <c r="I239" s="3">
        <f t="shared" si="16"/>
        <v>10900</v>
      </c>
      <c r="J239" s="2" t="s">
        <v>27</v>
      </c>
      <c r="K239" s="5">
        <v>46229.583333333343</v>
      </c>
      <c r="L239">
        <v>1</v>
      </c>
      <c r="M239" s="3">
        <f t="shared" si="17"/>
        <v>10900</v>
      </c>
      <c r="N239" t="str">
        <f t="shared" si="18"/>
        <v>ставка</v>
      </c>
      <c r="O239" s="3">
        <f t="shared" si="19"/>
        <v>213.73</v>
      </c>
      <c r="P239" s="5">
        <v>46230.5</v>
      </c>
      <c r="Q239" t="s">
        <v>23</v>
      </c>
      <c r="R239" s="2" t="s">
        <v>40</v>
      </c>
      <c r="S239">
        <v>36</v>
      </c>
      <c r="T239">
        <v>1</v>
      </c>
    </row>
    <row r="240" spans="1:20" ht="30" x14ac:dyDescent="0.25">
      <c r="A240" t="s">
        <v>766</v>
      </c>
      <c r="B240">
        <v>1</v>
      </c>
      <c r="C240" s="2" t="s">
        <v>767</v>
      </c>
      <c r="D240" s="3">
        <v>13200</v>
      </c>
      <c r="E240" s="4">
        <v>18</v>
      </c>
      <c r="F240" t="s">
        <v>32</v>
      </c>
      <c r="G240" s="3">
        <f t="shared" si="15"/>
        <v>16097.56</v>
      </c>
      <c r="H240" s="3">
        <v>0</v>
      </c>
      <c r="I240" s="3">
        <f t="shared" si="16"/>
        <v>16097.56</v>
      </c>
      <c r="J240" s="2" t="s">
        <v>27</v>
      </c>
      <c r="K240" s="5">
        <v>46260.583333333343</v>
      </c>
      <c r="L240">
        <v>1</v>
      </c>
      <c r="M240" s="3">
        <f t="shared" si="17"/>
        <v>16097.56</v>
      </c>
      <c r="N240" t="str">
        <f t="shared" si="18"/>
        <v>ставка</v>
      </c>
      <c r="O240" s="3">
        <f t="shared" si="19"/>
        <v>315.64</v>
      </c>
      <c r="P240" s="5">
        <v>46261.5</v>
      </c>
      <c r="Q240" t="s">
        <v>32</v>
      </c>
      <c r="R240" s="2" t="s">
        <v>49</v>
      </c>
      <c r="S240">
        <v>25</v>
      </c>
      <c r="T240">
        <v>1</v>
      </c>
    </row>
    <row r="241" spans="1:20" ht="30" x14ac:dyDescent="0.25">
      <c r="A241" t="s">
        <v>768</v>
      </c>
      <c r="B241">
        <v>1</v>
      </c>
      <c r="C241" s="2" t="s">
        <v>769</v>
      </c>
      <c r="D241" s="3">
        <v>11390</v>
      </c>
      <c r="E241" s="4">
        <v>15</v>
      </c>
      <c r="F241" t="s">
        <v>36</v>
      </c>
      <c r="G241" s="3">
        <f t="shared" si="15"/>
        <v>13400</v>
      </c>
      <c r="H241" s="3">
        <v>0</v>
      </c>
      <c r="I241" s="3">
        <f t="shared" si="16"/>
        <v>13400</v>
      </c>
      <c r="J241" s="2" t="s">
        <v>27</v>
      </c>
      <c r="K241" s="5">
        <v>46223.583333333343</v>
      </c>
      <c r="L241">
        <v>1</v>
      </c>
      <c r="M241" s="3">
        <f t="shared" si="17"/>
        <v>13400</v>
      </c>
      <c r="N241" t="str">
        <f t="shared" si="18"/>
        <v>ставка</v>
      </c>
      <c r="O241" s="3">
        <f t="shared" si="19"/>
        <v>262.75</v>
      </c>
      <c r="P241" s="5">
        <v>46224.5</v>
      </c>
      <c r="Q241" t="s">
        <v>36</v>
      </c>
      <c r="R241" s="2" t="s">
        <v>24</v>
      </c>
      <c r="S241">
        <v>31</v>
      </c>
      <c r="T241">
        <v>1</v>
      </c>
    </row>
    <row r="242" spans="1:20" ht="30" x14ac:dyDescent="0.25">
      <c r="A242" t="s">
        <v>773</v>
      </c>
      <c r="B242">
        <v>1</v>
      </c>
      <c r="C242" s="2" t="s">
        <v>774</v>
      </c>
      <c r="D242" s="3">
        <v>27240</v>
      </c>
      <c r="E242" s="4">
        <v>20</v>
      </c>
      <c r="F242" t="s">
        <v>48</v>
      </c>
      <c r="G242" s="3">
        <f t="shared" si="15"/>
        <v>34050</v>
      </c>
      <c r="H242" s="3">
        <v>9080</v>
      </c>
      <c r="I242" s="3">
        <f t="shared" si="16"/>
        <v>43130</v>
      </c>
      <c r="J242" s="2" t="s">
        <v>775</v>
      </c>
      <c r="K242" s="5">
        <v>46266.583333333343</v>
      </c>
      <c r="L242">
        <v>3</v>
      </c>
      <c r="M242" s="3">
        <f t="shared" si="17"/>
        <v>14376.666666666666</v>
      </c>
      <c r="N242" t="str">
        <f t="shared" si="18"/>
        <v>ставка</v>
      </c>
      <c r="O242" s="3">
        <f t="shared" si="19"/>
        <v>845.69</v>
      </c>
      <c r="P242" s="5">
        <v>46269.875</v>
      </c>
      <c r="Q242" t="s">
        <v>48</v>
      </c>
      <c r="R242" s="2" t="s">
        <v>40</v>
      </c>
      <c r="S242">
        <v>36</v>
      </c>
      <c r="T242">
        <v>1</v>
      </c>
    </row>
    <row r="243" spans="1:20" ht="30" x14ac:dyDescent="0.25">
      <c r="A243" t="s">
        <v>776</v>
      </c>
      <c r="B243">
        <v>1</v>
      </c>
      <c r="C243" s="2" t="s">
        <v>777</v>
      </c>
      <c r="D243" s="3">
        <v>6314</v>
      </c>
      <c r="E243" s="4">
        <v>18</v>
      </c>
      <c r="F243" t="s">
        <v>248</v>
      </c>
      <c r="G243" s="3">
        <f t="shared" si="15"/>
        <v>7700</v>
      </c>
      <c r="H243" s="3">
        <v>0</v>
      </c>
      <c r="I243" s="3">
        <f t="shared" si="16"/>
        <v>7700</v>
      </c>
      <c r="J243" s="2" t="s">
        <v>27</v>
      </c>
      <c r="K243" s="5">
        <v>46245.583333333343</v>
      </c>
      <c r="L243">
        <v>1</v>
      </c>
      <c r="M243" s="3">
        <f t="shared" si="17"/>
        <v>7700</v>
      </c>
      <c r="N243" t="str">
        <f t="shared" si="18"/>
        <v>ставка</v>
      </c>
      <c r="O243" s="3">
        <f t="shared" si="19"/>
        <v>150.97999999999999</v>
      </c>
      <c r="P243" s="5">
        <v>46246.5</v>
      </c>
      <c r="Q243" t="s">
        <v>248</v>
      </c>
      <c r="R243" s="2" t="s">
        <v>58</v>
      </c>
      <c r="S243">
        <v>34</v>
      </c>
      <c r="T243">
        <v>1</v>
      </c>
    </row>
    <row r="244" spans="1:20" x14ac:dyDescent="0.25">
      <c r="A244" t="s">
        <v>778</v>
      </c>
      <c r="B244">
        <v>1</v>
      </c>
      <c r="C244" s="2" t="s">
        <v>779</v>
      </c>
      <c r="D244" s="3">
        <v>13695</v>
      </c>
      <c r="E244" s="4">
        <v>17</v>
      </c>
      <c r="F244" t="s">
        <v>130</v>
      </c>
      <c r="G244" s="3">
        <f t="shared" si="15"/>
        <v>16500</v>
      </c>
      <c r="H244" s="3">
        <v>0</v>
      </c>
      <c r="I244" s="3">
        <f t="shared" si="16"/>
        <v>16500</v>
      </c>
      <c r="J244" s="2" t="s">
        <v>27</v>
      </c>
      <c r="K244" s="5">
        <v>46211.583333333343</v>
      </c>
      <c r="L244">
        <v>1</v>
      </c>
      <c r="M244" s="3">
        <f t="shared" si="17"/>
        <v>16500</v>
      </c>
      <c r="N244" t="str">
        <f t="shared" si="18"/>
        <v>ставка</v>
      </c>
      <c r="O244" s="3">
        <f t="shared" si="19"/>
        <v>323.52999999999997</v>
      </c>
      <c r="P244" s="5">
        <v>46212.5</v>
      </c>
      <c r="Q244" t="s">
        <v>130</v>
      </c>
      <c r="R244" s="2" t="s">
        <v>49</v>
      </c>
      <c r="S244">
        <v>25</v>
      </c>
      <c r="T244">
        <v>1</v>
      </c>
    </row>
    <row r="245" spans="1:20" ht="30" x14ac:dyDescent="0.25">
      <c r="A245" t="s">
        <v>780</v>
      </c>
      <c r="B245">
        <v>1</v>
      </c>
      <c r="C245" s="2" t="s">
        <v>781</v>
      </c>
      <c r="D245" s="3">
        <v>42075</v>
      </c>
      <c r="E245" s="4">
        <v>0</v>
      </c>
      <c r="F245" t="s">
        <v>245</v>
      </c>
      <c r="G245" s="3">
        <f t="shared" si="15"/>
        <v>42075</v>
      </c>
      <c r="H245" s="3">
        <v>0</v>
      </c>
      <c r="I245" s="3">
        <f t="shared" si="16"/>
        <v>42075</v>
      </c>
      <c r="J245" s="2" t="s">
        <v>27</v>
      </c>
      <c r="K245" s="5">
        <v>46244.583333333343</v>
      </c>
      <c r="L245">
        <v>5</v>
      </c>
      <c r="M245" s="3">
        <f t="shared" si="17"/>
        <v>8415</v>
      </c>
      <c r="N245" t="str">
        <f t="shared" si="18"/>
        <v>ставка</v>
      </c>
      <c r="O245" s="3">
        <f t="shared" si="19"/>
        <v>825</v>
      </c>
      <c r="P245" s="5">
        <v>46249.5</v>
      </c>
      <c r="Q245" t="s">
        <v>245</v>
      </c>
      <c r="R245" s="2" t="s">
        <v>33</v>
      </c>
      <c r="S245">
        <v>45</v>
      </c>
      <c r="T245">
        <v>1</v>
      </c>
    </row>
    <row r="246" spans="1:20" ht="30" x14ac:dyDescent="0.25">
      <c r="A246" t="s">
        <v>782</v>
      </c>
      <c r="B246">
        <v>1</v>
      </c>
      <c r="C246" s="2" t="s">
        <v>783</v>
      </c>
      <c r="D246" s="3">
        <v>10680</v>
      </c>
      <c r="E246" s="4">
        <v>18</v>
      </c>
      <c r="F246" t="s">
        <v>32</v>
      </c>
      <c r="G246" s="3">
        <f t="shared" si="15"/>
        <v>13024.39</v>
      </c>
      <c r="H246" s="3">
        <v>0</v>
      </c>
      <c r="I246" s="3">
        <f t="shared" si="16"/>
        <v>13024.39</v>
      </c>
      <c r="J246" s="2" t="s">
        <v>27</v>
      </c>
      <c r="K246" s="5">
        <v>46223.583333333343</v>
      </c>
      <c r="L246">
        <v>1</v>
      </c>
      <c r="M246" s="3">
        <f t="shared" si="17"/>
        <v>13024.39</v>
      </c>
      <c r="N246" t="str">
        <f t="shared" si="18"/>
        <v>ставка</v>
      </c>
      <c r="O246" s="3">
        <f t="shared" si="19"/>
        <v>255.38</v>
      </c>
      <c r="P246" s="5">
        <v>46224.5</v>
      </c>
      <c r="Q246" t="s">
        <v>32</v>
      </c>
      <c r="R246" s="2" t="s">
        <v>40</v>
      </c>
      <c r="S246">
        <v>26</v>
      </c>
      <c r="T246">
        <v>1</v>
      </c>
    </row>
    <row r="247" spans="1:20" ht="30" x14ac:dyDescent="0.25">
      <c r="A247" t="s">
        <v>784</v>
      </c>
      <c r="B247">
        <v>1</v>
      </c>
      <c r="C247" s="2" t="s">
        <v>785</v>
      </c>
      <c r="D247" s="3">
        <v>13350</v>
      </c>
      <c r="E247" s="4">
        <v>0</v>
      </c>
      <c r="F247" t="s">
        <v>23</v>
      </c>
      <c r="G247" s="3">
        <f t="shared" si="15"/>
        <v>13350</v>
      </c>
      <c r="H247" s="3">
        <v>0</v>
      </c>
      <c r="I247" s="3">
        <f t="shared" si="16"/>
        <v>13350</v>
      </c>
      <c r="J247" s="2" t="s">
        <v>27</v>
      </c>
      <c r="K247" s="5">
        <v>46242.583333333343</v>
      </c>
      <c r="L247">
        <v>1</v>
      </c>
      <c r="M247" s="3">
        <f t="shared" si="17"/>
        <v>13350</v>
      </c>
      <c r="N247" t="str">
        <f t="shared" si="18"/>
        <v>ставка</v>
      </c>
      <c r="O247" s="3">
        <f t="shared" si="19"/>
        <v>261.76</v>
      </c>
      <c r="P247" s="5">
        <v>46243.5</v>
      </c>
      <c r="Q247" t="s">
        <v>23</v>
      </c>
      <c r="R247" s="2" t="s">
        <v>40</v>
      </c>
      <c r="S247">
        <v>44</v>
      </c>
      <c r="T247">
        <v>1</v>
      </c>
    </row>
    <row r="248" spans="1:20" ht="30" x14ac:dyDescent="0.25">
      <c r="A248" t="s">
        <v>788</v>
      </c>
      <c r="B248">
        <v>1</v>
      </c>
      <c r="C248" s="2" t="s">
        <v>789</v>
      </c>
      <c r="D248" s="3">
        <v>9900</v>
      </c>
      <c r="E248" s="4">
        <v>0</v>
      </c>
      <c r="F248" t="s">
        <v>23</v>
      </c>
      <c r="G248" s="3">
        <f t="shared" si="15"/>
        <v>9900</v>
      </c>
      <c r="H248" s="3">
        <v>0</v>
      </c>
      <c r="I248" s="3">
        <f t="shared" si="16"/>
        <v>9900</v>
      </c>
      <c r="J248" s="2" t="s">
        <v>27</v>
      </c>
      <c r="K248" s="5">
        <v>46285.583333333343</v>
      </c>
      <c r="L248">
        <v>1</v>
      </c>
      <c r="M248" s="3">
        <f t="shared" si="17"/>
        <v>9900</v>
      </c>
      <c r="N248" t="str">
        <f t="shared" si="18"/>
        <v>ставка</v>
      </c>
      <c r="O248" s="3">
        <f t="shared" si="19"/>
        <v>194.12</v>
      </c>
      <c r="P248" s="5">
        <v>46286.5</v>
      </c>
      <c r="Q248" t="s">
        <v>23</v>
      </c>
      <c r="R248" s="2" t="s">
        <v>33</v>
      </c>
      <c r="S248">
        <v>43</v>
      </c>
      <c r="T248">
        <v>1</v>
      </c>
    </row>
    <row r="249" spans="1:20" ht="30" x14ac:dyDescent="0.25">
      <c r="A249" t="s">
        <v>790</v>
      </c>
      <c r="B249">
        <v>1</v>
      </c>
      <c r="C249" s="2" t="s">
        <v>791</v>
      </c>
      <c r="D249" s="3">
        <v>9647.5</v>
      </c>
      <c r="E249" s="4">
        <v>15</v>
      </c>
      <c r="F249" t="s">
        <v>36</v>
      </c>
      <c r="G249" s="3">
        <f t="shared" si="15"/>
        <v>11350</v>
      </c>
      <c r="H249" s="3">
        <v>0</v>
      </c>
      <c r="I249" s="3">
        <f t="shared" si="16"/>
        <v>11350</v>
      </c>
      <c r="J249" s="2" t="s">
        <v>27</v>
      </c>
      <c r="K249" s="5">
        <v>46216.583333333343</v>
      </c>
      <c r="L249">
        <v>1</v>
      </c>
      <c r="M249" s="3">
        <f t="shared" si="17"/>
        <v>11350</v>
      </c>
      <c r="N249" t="str">
        <f t="shared" si="18"/>
        <v>ставка</v>
      </c>
      <c r="O249" s="3">
        <f t="shared" si="19"/>
        <v>222.55</v>
      </c>
      <c r="P249" s="5">
        <v>46217.5</v>
      </c>
      <c r="Q249" t="s">
        <v>36</v>
      </c>
      <c r="R249" s="2" t="s">
        <v>40</v>
      </c>
      <c r="S249">
        <v>42</v>
      </c>
      <c r="T249">
        <v>1</v>
      </c>
    </row>
    <row r="250" spans="1:20" ht="30" x14ac:dyDescent="0.25">
      <c r="A250" t="s">
        <v>792</v>
      </c>
      <c r="B250">
        <v>1</v>
      </c>
      <c r="C250" s="2" t="s">
        <v>793</v>
      </c>
      <c r="D250" s="3">
        <v>18160</v>
      </c>
      <c r="E250" s="4">
        <v>20</v>
      </c>
      <c r="F250" t="s">
        <v>103</v>
      </c>
      <c r="G250" s="3">
        <f t="shared" si="15"/>
        <v>22700</v>
      </c>
      <c r="H250" s="3">
        <v>0</v>
      </c>
      <c r="I250" s="3">
        <f t="shared" si="16"/>
        <v>22700</v>
      </c>
      <c r="J250" s="2" t="s">
        <v>27</v>
      </c>
      <c r="K250" s="5">
        <v>46225.583333333343</v>
      </c>
      <c r="L250">
        <v>2</v>
      </c>
      <c r="M250" s="3">
        <f t="shared" si="17"/>
        <v>11350</v>
      </c>
      <c r="N250" t="str">
        <f t="shared" si="18"/>
        <v>ставка</v>
      </c>
      <c r="O250" s="3">
        <f t="shared" si="19"/>
        <v>445.1</v>
      </c>
      <c r="P250" s="5">
        <v>46227.5</v>
      </c>
      <c r="Q250" t="s">
        <v>103</v>
      </c>
      <c r="R250" s="2" t="s">
        <v>40</v>
      </c>
      <c r="S250">
        <v>23</v>
      </c>
      <c r="T250">
        <v>1</v>
      </c>
    </row>
    <row r="251" spans="1:20" ht="30" x14ac:dyDescent="0.25">
      <c r="A251" t="s">
        <v>794</v>
      </c>
      <c r="B251">
        <v>1</v>
      </c>
      <c r="C251" s="2" t="s">
        <v>795</v>
      </c>
      <c r="D251" s="3">
        <v>13346.75</v>
      </c>
      <c r="E251" s="4">
        <v>4</v>
      </c>
      <c r="F251" t="s">
        <v>55</v>
      </c>
      <c r="G251" s="3">
        <f t="shared" si="15"/>
        <v>13902.86</v>
      </c>
      <c r="H251" s="3">
        <v>0</v>
      </c>
      <c r="I251" s="3">
        <f t="shared" si="16"/>
        <v>13902.86</v>
      </c>
      <c r="J251" s="2" t="s">
        <v>27</v>
      </c>
      <c r="K251" s="5">
        <v>46209.583333333343</v>
      </c>
      <c r="L251">
        <v>1</v>
      </c>
      <c r="M251" s="3">
        <f t="shared" si="17"/>
        <v>13902.86</v>
      </c>
      <c r="N251" t="str">
        <f t="shared" si="18"/>
        <v>ставка</v>
      </c>
      <c r="O251" s="3">
        <f t="shared" si="19"/>
        <v>272.61</v>
      </c>
      <c r="P251" s="5">
        <v>46210.5</v>
      </c>
      <c r="Q251" t="s">
        <v>55</v>
      </c>
      <c r="R251" s="2" t="s">
        <v>49</v>
      </c>
      <c r="S251">
        <v>35</v>
      </c>
      <c r="T251">
        <v>1</v>
      </c>
    </row>
    <row r="252" spans="1:20" ht="30" x14ac:dyDescent="0.25">
      <c r="A252" t="s">
        <v>798</v>
      </c>
      <c r="B252">
        <v>1</v>
      </c>
      <c r="C252" s="2" t="s">
        <v>799</v>
      </c>
      <c r="D252" s="3">
        <v>11850</v>
      </c>
      <c r="E252" s="4">
        <v>18</v>
      </c>
      <c r="F252" t="s">
        <v>32</v>
      </c>
      <c r="G252" s="3">
        <f t="shared" si="15"/>
        <v>14451.22</v>
      </c>
      <c r="H252" s="3">
        <v>0</v>
      </c>
      <c r="I252" s="3">
        <f t="shared" si="16"/>
        <v>14451.22</v>
      </c>
      <c r="J252" s="2" t="s">
        <v>27</v>
      </c>
      <c r="K252" s="5">
        <v>46284.583333333343</v>
      </c>
      <c r="L252">
        <v>2</v>
      </c>
      <c r="M252" s="3">
        <f t="shared" si="17"/>
        <v>7225.61</v>
      </c>
      <c r="N252" t="str">
        <f t="shared" si="18"/>
        <v>ставка</v>
      </c>
      <c r="O252" s="3">
        <f t="shared" si="19"/>
        <v>283.36</v>
      </c>
      <c r="P252" s="5">
        <v>46286.5</v>
      </c>
      <c r="Q252" t="s">
        <v>32</v>
      </c>
      <c r="R252" s="2" t="s">
        <v>33</v>
      </c>
      <c r="S252">
        <v>47</v>
      </c>
      <c r="T252">
        <v>1</v>
      </c>
    </row>
    <row r="253" spans="1:20" ht="30" x14ac:dyDescent="0.25">
      <c r="A253" t="s">
        <v>800</v>
      </c>
      <c r="B253">
        <v>1</v>
      </c>
      <c r="C253" s="2" t="s">
        <v>801</v>
      </c>
      <c r="D253" s="3">
        <v>16434</v>
      </c>
      <c r="E253" s="4">
        <v>17</v>
      </c>
      <c r="F253" t="s">
        <v>130</v>
      </c>
      <c r="G253" s="3">
        <f t="shared" si="15"/>
        <v>19800</v>
      </c>
      <c r="H253" s="3">
        <v>0</v>
      </c>
      <c r="I253" s="3">
        <f t="shared" si="16"/>
        <v>19800</v>
      </c>
      <c r="J253" s="2" t="s">
        <v>27</v>
      </c>
      <c r="K253" s="5">
        <v>46264.583333333343</v>
      </c>
      <c r="L253">
        <v>2</v>
      </c>
      <c r="M253" s="3">
        <f t="shared" si="17"/>
        <v>9900</v>
      </c>
      <c r="N253" t="str">
        <f t="shared" si="18"/>
        <v>ставка</v>
      </c>
      <c r="O253" s="3">
        <f t="shared" si="19"/>
        <v>388.24</v>
      </c>
      <c r="P253" s="5">
        <v>46266.5</v>
      </c>
      <c r="Q253" t="s">
        <v>130</v>
      </c>
      <c r="R253" s="2" t="s">
        <v>40</v>
      </c>
      <c r="S253">
        <v>46</v>
      </c>
      <c r="T253">
        <v>1</v>
      </c>
    </row>
    <row r="254" spans="1:20" ht="30" x14ac:dyDescent="0.25">
      <c r="A254" t="s">
        <v>802</v>
      </c>
      <c r="B254">
        <v>1</v>
      </c>
      <c r="C254" s="2" t="s">
        <v>803</v>
      </c>
      <c r="D254" s="3">
        <v>7461.3</v>
      </c>
      <c r="E254" s="4">
        <v>4</v>
      </c>
      <c r="F254" t="s">
        <v>55</v>
      </c>
      <c r="G254" s="3">
        <f t="shared" si="15"/>
        <v>7772.19</v>
      </c>
      <c r="H254" s="3">
        <v>0</v>
      </c>
      <c r="I254" s="3">
        <f t="shared" si="16"/>
        <v>7772.19</v>
      </c>
      <c r="J254" s="2" t="s">
        <v>27</v>
      </c>
      <c r="K254" s="5">
        <v>46235.583333333343</v>
      </c>
      <c r="L254">
        <v>1</v>
      </c>
      <c r="M254" s="3">
        <f t="shared" si="17"/>
        <v>7772.19</v>
      </c>
      <c r="N254" t="str">
        <f t="shared" si="18"/>
        <v>ставка</v>
      </c>
      <c r="O254" s="3">
        <f t="shared" si="19"/>
        <v>152.4</v>
      </c>
      <c r="P254" s="5">
        <v>46236.5</v>
      </c>
      <c r="Q254" t="s">
        <v>55</v>
      </c>
      <c r="R254" s="2" t="s">
        <v>58</v>
      </c>
      <c r="S254">
        <v>24</v>
      </c>
      <c r="T254">
        <v>1</v>
      </c>
    </row>
    <row r="255" spans="1:20" x14ac:dyDescent="0.25">
      <c r="A255" t="s">
        <v>804</v>
      </c>
      <c r="B255">
        <v>1</v>
      </c>
      <c r="C255" s="2" t="s">
        <v>805</v>
      </c>
      <c r="D255" s="3">
        <v>33000</v>
      </c>
      <c r="E255" s="4">
        <v>0</v>
      </c>
      <c r="F255" t="s">
        <v>23</v>
      </c>
      <c r="G255" s="3">
        <f t="shared" si="15"/>
        <v>33000</v>
      </c>
      <c r="H255" s="3">
        <v>0</v>
      </c>
      <c r="I255" s="3">
        <f t="shared" si="16"/>
        <v>33000</v>
      </c>
      <c r="J255" s="2" t="s">
        <v>27</v>
      </c>
      <c r="K255" s="5">
        <v>46290.645833333343</v>
      </c>
      <c r="L255">
        <v>2</v>
      </c>
      <c r="M255" s="3">
        <f t="shared" si="17"/>
        <v>16500</v>
      </c>
      <c r="N255" t="str">
        <f t="shared" si="18"/>
        <v>ставка</v>
      </c>
      <c r="O255" s="3">
        <f t="shared" si="19"/>
        <v>647.05999999999995</v>
      </c>
      <c r="P255" s="5">
        <v>46292.5</v>
      </c>
      <c r="Q255" t="s">
        <v>23</v>
      </c>
      <c r="R255" s="2" t="s">
        <v>49</v>
      </c>
      <c r="S255">
        <v>25</v>
      </c>
      <c r="T255">
        <v>1</v>
      </c>
    </row>
    <row r="256" spans="1:20" ht="30" x14ac:dyDescent="0.25">
      <c r="A256" t="s">
        <v>806</v>
      </c>
      <c r="B256">
        <v>1</v>
      </c>
      <c r="C256" s="2" t="s">
        <v>807</v>
      </c>
      <c r="D256" s="3">
        <v>18614</v>
      </c>
      <c r="E256" s="4">
        <v>18</v>
      </c>
      <c r="F256" t="s">
        <v>147</v>
      </c>
      <c r="G256" s="3">
        <f t="shared" si="15"/>
        <v>22700</v>
      </c>
      <c r="H256" s="3">
        <v>0</v>
      </c>
      <c r="I256" s="3">
        <f t="shared" si="16"/>
        <v>22700</v>
      </c>
      <c r="J256" s="2" t="s">
        <v>27</v>
      </c>
      <c r="K256" s="5">
        <v>46260.583333333343</v>
      </c>
      <c r="L256">
        <v>2</v>
      </c>
      <c r="M256" s="3">
        <f t="shared" si="17"/>
        <v>11350</v>
      </c>
      <c r="N256" t="str">
        <f t="shared" si="18"/>
        <v>ставка</v>
      </c>
      <c r="O256" s="3">
        <f t="shared" si="19"/>
        <v>445.1</v>
      </c>
      <c r="P256" s="5">
        <v>46262.5</v>
      </c>
      <c r="Q256" t="s">
        <v>147</v>
      </c>
      <c r="R256" s="2" t="s">
        <v>40</v>
      </c>
      <c r="S256">
        <v>42</v>
      </c>
      <c r="T256">
        <v>1</v>
      </c>
    </row>
    <row r="257" spans="1:20" ht="30" x14ac:dyDescent="0.25">
      <c r="A257" t="s">
        <v>808</v>
      </c>
      <c r="B257">
        <v>1</v>
      </c>
      <c r="C257" s="2" t="s">
        <v>809</v>
      </c>
      <c r="D257" s="3">
        <v>56750</v>
      </c>
      <c r="E257" s="4">
        <v>0</v>
      </c>
      <c r="F257" t="s">
        <v>23</v>
      </c>
      <c r="G257" s="3">
        <f t="shared" si="15"/>
        <v>56750</v>
      </c>
      <c r="H257" s="3">
        <v>5675</v>
      </c>
      <c r="I257" s="3">
        <f t="shared" si="16"/>
        <v>62425</v>
      </c>
      <c r="J257" s="2" t="s">
        <v>341</v>
      </c>
      <c r="K257" s="5">
        <v>46278.583333333343</v>
      </c>
      <c r="L257">
        <v>5</v>
      </c>
      <c r="M257" s="3">
        <f t="shared" si="17"/>
        <v>12485</v>
      </c>
      <c r="N257" t="str">
        <f t="shared" si="18"/>
        <v>ставка</v>
      </c>
      <c r="O257" s="3">
        <f t="shared" si="19"/>
        <v>1224.02</v>
      </c>
      <c r="P257" s="5">
        <v>46283.75</v>
      </c>
      <c r="Q257" t="s">
        <v>23</v>
      </c>
      <c r="R257" s="2" t="s">
        <v>40</v>
      </c>
      <c r="S257">
        <v>32</v>
      </c>
      <c r="T257">
        <v>1</v>
      </c>
    </row>
    <row r="258" spans="1:20" ht="30" x14ac:dyDescent="0.25">
      <c r="A258" t="s">
        <v>812</v>
      </c>
      <c r="B258">
        <v>1</v>
      </c>
      <c r="C258" s="2" t="s">
        <v>813</v>
      </c>
      <c r="D258" s="3">
        <v>30000</v>
      </c>
      <c r="E258" s="4">
        <v>0</v>
      </c>
      <c r="F258" t="s">
        <v>23</v>
      </c>
      <c r="G258" s="3">
        <f t="shared" ref="G258:G321" si="20">ROUND(D258/(100-E258)*100,2)</f>
        <v>30000</v>
      </c>
      <c r="H258" s="3">
        <v>0</v>
      </c>
      <c r="I258" s="3">
        <f t="shared" ref="I258:I321" si="21">ROUND(G258+H258,2)</f>
        <v>30000</v>
      </c>
      <c r="J258" s="2" t="s">
        <v>27</v>
      </c>
      <c r="K258" s="5">
        <v>46209.583333333343</v>
      </c>
      <c r="L258">
        <v>2</v>
      </c>
      <c r="M258" s="3">
        <f t="shared" ref="M258:M321" si="22">I258/L258</f>
        <v>15000</v>
      </c>
      <c r="N258" t="str">
        <f t="shared" ref="N258:N321" si="23">IF(M258&gt;=5100,"ставка","мин.ставка")</f>
        <v>ставка</v>
      </c>
      <c r="O258" s="3">
        <f t="shared" ref="O258:O321" si="24">ROUND(IF(N258="мин.ставка",L258*100,I258/102*2),2)</f>
        <v>588.24</v>
      </c>
      <c r="P258" s="5">
        <v>46211.5</v>
      </c>
      <c r="Q258" t="s">
        <v>23</v>
      </c>
      <c r="R258" s="2" t="s">
        <v>40</v>
      </c>
      <c r="S258">
        <v>46</v>
      </c>
      <c r="T258">
        <v>1</v>
      </c>
    </row>
    <row r="259" spans="1:20" ht="30" x14ac:dyDescent="0.25">
      <c r="A259" t="s">
        <v>814</v>
      </c>
      <c r="B259">
        <v>1</v>
      </c>
      <c r="C259" s="2" t="s">
        <v>815</v>
      </c>
      <c r="D259" s="3">
        <v>21360</v>
      </c>
      <c r="E259" s="4">
        <v>20</v>
      </c>
      <c r="F259" t="s">
        <v>48</v>
      </c>
      <c r="G259" s="3">
        <f t="shared" si="20"/>
        <v>26700</v>
      </c>
      <c r="H259" s="3">
        <v>0</v>
      </c>
      <c r="I259" s="3">
        <f t="shared" si="21"/>
        <v>26700</v>
      </c>
      <c r="J259" s="2" t="s">
        <v>27</v>
      </c>
      <c r="K259" s="5">
        <v>46223.583333333343</v>
      </c>
      <c r="L259">
        <v>2</v>
      </c>
      <c r="M259" s="3">
        <f t="shared" si="22"/>
        <v>13350</v>
      </c>
      <c r="N259" t="str">
        <f t="shared" si="23"/>
        <v>ставка</v>
      </c>
      <c r="O259" s="3">
        <f t="shared" si="24"/>
        <v>523.53</v>
      </c>
      <c r="P259" s="5">
        <v>46225.5</v>
      </c>
      <c r="Q259" t="s">
        <v>48</v>
      </c>
      <c r="R259" s="2" t="s">
        <v>40</v>
      </c>
      <c r="S259">
        <v>23</v>
      </c>
      <c r="T259">
        <v>1</v>
      </c>
    </row>
    <row r="260" spans="1:20" ht="30" x14ac:dyDescent="0.25">
      <c r="A260" t="s">
        <v>818</v>
      </c>
      <c r="B260">
        <v>1</v>
      </c>
      <c r="C260" s="2" t="s">
        <v>819</v>
      </c>
      <c r="D260" s="3">
        <v>31600</v>
      </c>
      <c r="E260" s="4">
        <v>0</v>
      </c>
      <c r="F260" t="s">
        <v>23</v>
      </c>
      <c r="G260" s="3">
        <f t="shared" si="20"/>
        <v>31600</v>
      </c>
      <c r="H260" s="3">
        <v>0</v>
      </c>
      <c r="I260" s="3">
        <f t="shared" si="21"/>
        <v>31600</v>
      </c>
      <c r="J260" s="2" t="s">
        <v>27</v>
      </c>
      <c r="K260" s="5">
        <v>46272.583333333343</v>
      </c>
      <c r="L260">
        <v>4</v>
      </c>
      <c r="M260" s="3">
        <f t="shared" si="22"/>
        <v>7900</v>
      </c>
      <c r="N260" t="str">
        <f t="shared" si="23"/>
        <v>ставка</v>
      </c>
      <c r="O260" s="3">
        <f t="shared" si="24"/>
        <v>619.61</v>
      </c>
      <c r="P260" s="5">
        <v>46276.5</v>
      </c>
      <c r="Q260" t="s">
        <v>23</v>
      </c>
      <c r="R260" s="2" t="s">
        <v>33</v>
      </c>
      <c r="S260">
        <v>43</v>
      </c>
      <c r="T260">
        <v>1</v>
      </c>
    </row>
    <row r="261" spans="1:20" ht="30" x14ac:dyDescent="0.25">
      <c r="A261" t="s">
        <v>827</v>
      </c>
      <c r="B261">
        <v>1</v>
      </c>
      <c r="C261" s="2" t="s">
        <v>828</v>
      </c>
      <c r="D261" s="3">
        <v>13400</v>
      </c>
      <c r="E261" s="4">
        <v>0</v>
      </c>
      <c r="F261" t="s">
        <v>23</v>
      </c>
      <c r="G261" s="3">
        <f t="shared" si="20"/>
        <v>13400</v>
      </c>
      <c r="H261" s="3">
        <v>0</v>
      </c>
      <c r="I261" s="3">
        <f t="shared" si="21"/>
        <v>13400</v>
      </c>
      <c r="J261" s="2" t="s">
        <v>27</v>
      </c>
      <c r="K261" s="5">
        <v>46231.583333333343</v>
      </c>
      <c r="L261">
        <v>1</v>
      </c>
      <c r="M261" s="3">
        <f t="shared" si="22"/>
        <v>13400</v>
      </c>
      <c r="N261" t="str">
        <f t="shared" si="23"/>
        <v>ставка</v>
      </c>
      <c r="O261" s="3">
        <f t="shared" si="24"/>
        <v>262.75</v>
      </c>
      <c r="P261" s="5">
        <v>46232.5</v>
      </c>
      <c r="Q261" t="s">
        <v>23</v>
      </c>
      <c r="R261" s="2" t="s">
        <v>24</v>
      </c>
      <c r="S261">
        <v>31</v>
      </c>
      <c r="T261">
        <v>1</v>
      </c>
    </row>
    <row r="262" spans="1:20" ht="30" x14ac:dyDescent="0.25">
      <c r="A262" t="s">
        <v>829</v>
      </c>
      <c r="B262">
        <v>1</v>
      </c>
      <c r="C262" s="2" t="s">
        <v>830</v>
      </c>
      <c r="D262" s="3">
        <v>45390</v>
      </c>
      <c r="E262" s="4">
        <v>0</v>
      </c>
      <c r="F262" t="s">
        <v>180</v>
      </c>
      <c r="G262" s="3">
        <f t="shared" si="20"/>
        <v>45390</v>
      </c>
      <c r="H262" s="3">
        <v>0</v>
      </c>
      <c r="I262" s="3">
        <f t="shared" si="21"/>
        <v>45390</v>
      </c>
      <c r="J262" s="2" t="s">
        <v>181</v>
      </c>
      <c r="K262" s="5">
        <v>46276.583333333343</v>
      </c>
      <c r="L262">
        <v>4</v>
      </c>
      <c r="M262" s="3">
        <f t="shared" si="22"/>
        <v>11347.5</v>
      </c>
      <c r="N262" t="str">
        <f t="shared" si="23"/>
        <v>ставка</v>
      </c>
      <c r="O262" s="3">
        <f t="shared" si="24"/>
        <v>890</v>
      </c>
      <c r="P262" s="5">
        <v>46280.5</v>
      </c>
      <c r="Q262" t="s">
        <v>180</v>
      </c>
      <c r="R262" s="2" t="s">
        <v>24</v>
      </c>
      <c r="S262">
        <v>31</v>
      </c>
      <c r="T262">
        <v>1</v>
      </c>
    </row>
    <row r="263" spans="1:20" ht="30" x14ac:dyDescent="0.25">
      <c r="A263" t="s">
        <v>837</v>
      </c>
      <c r="B263">
        <v>1</v>
      </c>
      <c r="C263" s="2" t="s">
        <v>838</v>
      </c>
      <c r="D263" s="3">
        <v>26286.15</v>
      </c>
      <c r="E263" s="4">
        <v>4</v>
      </c>
      <c r="F263" t="s">
        <v>55</v>
      </c>
      <c r="G263" s="3">
        <f t="shared" si="20"/>
        <v>27381.41</v>
      </c>
      <c r="H263" s="3">
        <v>0</v>
      </c>
      <c r="I263" s="3">
        <f t="shared" si="21"/>
        <v>27381.41</v>
      </c>
      <c r="J263" s="2" t="s">
        <v>27</v>
      </c>
      <c r="K263" s="5">
        <v>46213.583333333343</v>
      </c>
      <c r="L263">
        <v>2</v>
      </c>
      <c r="M263" s="3">
        <f t="shared" si="22"/>
        <v>13690.705</v>
      </c>
      <c r="N263" t="str">
        <f t="shared" si="23"/>
        <v>ставка</v>
      </c>
      <c r="O263" s="3">
        <f t="shared" si="24"/>
        <v>536.89</v>
      </c>
      <c r="P263" s="5">
        <v>46215.5</v>
      </c>
      <c r="Q263" t="s">
        <v>55</v>
      </c>
      <c r="R263" s="2" t="s">
        <v>40</v>
      </c>
      <c r="S263">
        <v>44</v>
      </c>
      <c r="T263">
        <v>1</v>
      </c>
    </row>
    <row r="264" spans="1:20" ht="30" x14ac:dyDescent="0.25">
      <c r="A264" t="s">
        <v>843</v>
      </c>
      <c r="B264">
        <v>1</v>
      </c>
      <c r="C264" s="2" t="s">
        <v>840</v>
      </c>
      <c r="D264" s="3">
        <v>38136</v>
      </c>
      <c r="E264" s="4">
        <v>16</v>
      </c>
      <c r="F264" t="s">
        <v>36</v>
      </c>
      <c r="G264" s="3">
        <f t="shared" si="20"/>
        <v>45400</v>
      </c>
      <c r="H264" s="3">
        <v>0</v>
      </c>
      <c r="I264" s="3">
        <f t="shared" si="21"/>
        <v>45400</v>
      </c>
      <c r="J264" s="2" t="s">
        <v>27</v>
      </c>
      <c r="K264" s="5">
        <v>46273.583333333343</v>
      </c>
      <c r="L264">
        <v>4</v>
      </c>
      <c r="M264" s="3">
        <f t="shared" si="22"/>
        <v>11350</v>
      </c>
      <c r="N264" t="str">
        <f t="shared" si="23"/>
        <v>ставка</v>
      </c>
      <c r="O264" s="3">
        <f t="shared" si="24"/>
        <v>890.2</v>
      </c>
      <c r="P264" s="5">
        <v>46277.5</v>
      </c>
      <c r="Q264" t="s">
        <v>36</v>
      </c>
      <c r="R264" s="2" t="s">
        <v>40</v>
      </c>
      <c r="S264">
        <v>23</v>
      </c>
      <c r="T264">
        <v>1</v>
      </c>
    </row>
    <row r="265" spans="1:20" ht="30" x14ac:dyDescent="0.25">
      <c r="A265" t="s">
        <v>844</v>
      </c>
      <c r="B265">
        <v>1</v>
      </c>
      <c r="C265" s="2" t="s">
        <v>840</v>
      </c>
      <c r="D265" s="3">
        <v>34050</v>
      </c>
      <c r="E265" s="4">
        <v>0</v>
      </c>
      <c r="F265" t="s">
        <v>23</v>
      </c>
      <c r="G265" s="3">
        <f t="shared" si="20"/>
        <v>34050</v>
      </c>
      <c r="H265" s="3">
        <v>0</v>
      </c>
      <c r="I265" s="3">
        <f t="shared" si="21"/>
        <v>34050</v>
      </c>
      <c r="J265" s="2" t="s">
        <v>27</v>
      </c>
      <c r="K265" s="5">
        <v>46277.583333333343</v>
      </c>
      <c r="L265">
        <v>3</v>
      </c>
      <c r="M265" s="3">
        <f t="shared" si="22"/>
        <v>11350</v>
      </c>
      <c r="N265" t="str">
        <f t="shared" si="23"/>
        <v>ставка</v>
      </c>
      <c r="O265" s="3">
        <f t="shared" si="24"/>
        <v>667.65</v>
      </c>
      <c r="P265" s="5">
        <v>46280.5</v>
      </c>
      <c r="Q265" t="s">
        <v>23</v>
      </c>
      <c r="R265" s="2" t="s">
        <v>40</v>
      </c>
      <c r="S265">
        <v>23</v>
      </c>
      <c r="T265">
        <v>1</v>
      </c>
    </row>
    <row r="266" spans="1:20" ht="30" x14ac:dyDescent="0.25">
      <c r="A266" t="s">
        <v>845</v>
      </c>
      <c r="B266">
        <v>1</v>
      </c>
      <c r="C266" s="2" t="s">
        <v>840</v>
      </c>
      <c r="D266" s="3">
        <v>12180</v>
      </c>
      <c r="E266" s="4">
        <v>16</v>
      </c>
      <c r="F266" t="s">
        <v>36</v>
      </c>
      <c r="G266" s="3">
        <f t="shared" si="20"/>
        <v>14500</v>
      </c>
      <c r="H266" s="3">
        <v>350</v>
      </c>
      <c r="I266" s="3">
        <f t="shared" si="21"/>
        <v>14850</v>
      </c>
      <c r="J266" s="2" t="s">
        <v>846</v>
      </c>
      <c r="K266" s="5">
        <v>46245.583333333343</v>
      </c>
      <c r="L266">
        <v>1</v>
      </c>
      <c r="M266" s="3">
        <f t="shared" si="22"/>
        <v>14850</v>
      </c>
      <c r="N266" t="str">
        <f t="shared" si="23"/>
        <v>ставка</v>
      </c>
      <c r="O266" s="3">
        <f t="shared" si="24"/>
        <v>291.18</v>
      </c>
      <c r="P266" s="5">
        <v>46246.5</v>
      </c>
      <c r="Q266" t="s">
        <v>36</v>
      </c>
      <c r="R266" s="2" t="s">
        <v>49</v>
      </c>
      <c r="S266">
        <v>11</v>
      </c>
      <c r="T266">
        <v>1</v>
      </c>
    </row>
    <row r="267" spans="1:20" x14ac:dyDescent="0.25">
      <c r="A267" t="s">
        <v>847</v>
      </c>
      <c r="B267">
        <v>1</v>
      </c>
      <c r="C267" s="2" t="s">
        <v>840</v>
      </c>
      <c r="D267" s="3">
        <v>12180</v>
      </c>
      <c r="E267" s="4">
        <v>16</v>
      </c>
      <c r="F267" t="s">
        <v>36</v>
      </c>
      <c r="G267" s="3">
        <f t="shared" si="20"/>
        <v>14500</v>
      </c>
      <c r="H267" s="3">
        <v>0</v>
      </c>
      <c r="I267" s="3">
        <f t="shared" si="21"/>
        <v>14500</v>
      </c>
      <c r="J267" s="2" t="s">
        <v>27</v>
      </c>
      <c r="K267" s="5">
        <v>46246.583333333343</v>
      </c>
      <c r="L267">
        <v>1</v>
      </c>
      <c r="M267" s="3">
        <f t="shared" si="22"/>
        <v>14500</v>
      </c>
      <c r="N267" t="str">
        <f t="shared" si="23"/>
        <v>ставка</v>
      </c>
      <c r="O267" s="3">
        <f t="shared" si="24"/>
        <v>284.31</v>
      </c>
      <c r="P267" s="5">
        <v>46247.5</v>
      </c>
      <c r="Q267" t="s">
        <v>36</v>
      </c>
      <c r="R267" s="2" t="s">
        <v>49</v>
      </c>
      <c r="S267">
        <v>11</v>
      </c>
      <c r="T267">
        <v>1</v>
      </c>
    </row>
    <row r="268" spans="1:20" ht="30" x14ac:dyDescent="0.25">
      <c r="A268" t="s">
        <v>853</v>
      </c>
      <c r="B268">
        <v>1</v>
      </c>
      <c r="C268" s="2" t="s">
        <v>854</v>
      </c>
      <c r="D268" s="3">
        <v>6160</v>
      </c>
      <c r="E268" s="4">
        <v>20</v>
      </c>
      <c r="F268" t="s">
        <v>293</v>
      </c>
      <c r="G268" s="3">
        <f t="shared" si="20"/>
        <v>7700</v>
      </c>
      <c r="H268" s="3">
        <v>0</v>
      </c>
      <c r="I268" s="3">
        <f t="shared" si="21"/>
        <v>7700</v>
      </c>
      <c r="J268" s="2" t="s">
        <v>294</v>
      </c>
      <c r="K268" s="5">
        <v>46231.583333333343</v>
      </c>
      <c r="L268">
        <v>1</v>
      </c>
      <c r="M268" s="3">
        <f t="shared" si="22"/>
        <v>7700</v>
      </c>
      <c r="N268" t="str">
        <f t="shared" si="23"/>
        <v>ставка</v>
      </c>
      <c r="O268" s="3">
        <f t="shared" si="24"/>
        <v>150.97999999999999</v>
      </c>
      <c r="P268" s="5">
        <v>46232.5</v>
      </c>
      <c r="Q268" t="s">
        <v>293</v>
      </c>
      <c r="R268" s="2" t="s">
        <v>58</v>
      </c>
      <c r="S268">
        <v>34</v>
      </c>
      <c r="T268">
        <v>1</v>
      </c>
    </row>
    <row r="269" spans="1:20" ht="30" x14ac:dyDescent="0.25">
      <c r="A269" t="s">
        <v>855</v>
      </c>
      <c r="B269">
        <v>1</v>
      </c>
      <c r="C269" s="2" t="s">
        <v>856</v>
      </c>
      <c r="D269" s="3">
        <v>18614</v>
      </c>
      <c r="E269" s="4">
        <v>18</v>
      </c>
      <c r="F269" t="s">
        <v>248</v>
      </c>
      <c r="G269" s="3">
        <f t="shared" si="20"/>
        <v>22700</v>
      </c>
      <c r="H269" s="3">
        <v>0</v>
      </c>
      <c r="I269" s="3">
        <f t="shared" si="21"/>
        <v>22700</v>
      </c>
      <c r="J269" s="2" t="s">
        <v>27</v>
      </c>
      <c r="K269" s="5">
        <v>46245.583333333343</v>
      </c>
      <c r="L269">
        <v>2</v>
      </c>
      <c r="M269" s="3">
        <f t="shared" si="22"/>
        <v>11350</v>
      </c>
      <c r="N269" t="str">
        <f t="shared" si="23"/>
        <v>ставка</v>
      </c>
      <c r="O269" s="3">
        <f t="shared" si="24"/>
        <v>445.1</v>
      </c>
      <c r="P269" s="5">
        <v>46247.5</v>
      </c>
      <c r="Q269" t="s">
        <v>248</v>
      </c>
      <c r="R269" s="2" t="s">
        <v>40</v>
      </c>
      <c r="S269">
        <v>46</v>
      </c>
      <c r="T269">
        <v>1</v>
      </c>
    </row>
    <row r="270" spans="1:20" x14ac:dyDescent="0.25">
      <c r="A270" t="s">
        <v>857</v>
      </c>
      <c r="B270">
        <v>1</v>
      </c>
      <c r="C270" s="2" t="s">
        <v>858</v>
      </c>
      <c r="D270" s="3">
        <v>11600</v>
      </c>
      <c r="E270" s="4">
        <v>20</v>
      </c>
      <c r="F270" t="s">
        <v>48</v>
      </c>
      <c r="G270" s="3">
        <f t="shared" si="20"/>
        <v>14500</v>
      </c>
      <c r="H270" s="3">
        <v>0</v>
      </c>
      <c r="I270" s="3">
        <f t="shared" si="21"/>
        <v>14500</v>
      </c>
      <c r="J270" s="2" t="s">
        <v>27</v>
      </c>
      <c r="K270" s="5">
        <v>46244.583333333343</v>
      </c>
      <c r="L270">
        <v>1</v>
      </c>
      <c r="M270" s="3">
        <f t="shared" si="22"/>
        <v>14500</v>
      </c>
      <c r="N270" t="str">
        <f t="shared" si="23"/>
        <v>ставка</v>
      </c>
      <c r="O270" s="3">
        <f t="shared" si="24"/>
        <v>284.31</v>
      </c>
      <c r="P270" s="5">
        <v>46245.5</v>
      </c>
      <c r="Q270" t="s">
        <v>48</v>
      </c>
      <c r="R270" s="2" t="s">
        <v>49</v>
      </c>
      <c r="S270">
        <v>25</v>
      </c>
      <c r="T270">
        <v>1</v>
      </c>
    </row>
    <row r="271" spans="1:20" ht="30" x14ac:dyDescent="0.25">
      <c r="A271" t="s">
        <v>863</v>
      </c>
      <c r="B271">
        <v>1</v>
      </c>
      <c r="C271" s="2" t="s">
        <v>864</v>
      </c>
      <c r="D271" s="3">
        <v>15400</v>
      </c>
      <c r="E271" s="4">
        <v>0</v>
      </c>
      <c r="F271" t="s">
        <v>23</v>
      </c>
      <c r="G271" s="3">
        <f t="shared" si="20"/>
        <v>15400</v>
      </c>
      <c r="H271" s="3">
        <v>0</v>
      </c>
      <c r="I271" s="3">
        <f t="shared" si="21"/>
        <v>15400</v>
      </c>
      <c r="J271" s="2" t="s">
        <v>27</v>
      </c>
      <c r="K271" s="5">
        <v>46223.583333333343</v>
      </c>
      <c r="L271">
        <v>2</v>
      </c>
      <c r="M271" s="3">
        <f t="shared" si="22"/>
        <v>7700</v>
      </c>
      <c r="N271" t="str">
        <f t="shared" si="23"/>
        <v>ставка</v>
      </c>
      <c r="O271" s="3">
        <f t="shared" si="24"/>
        <v>301.95999999999998</v>
      </c>
      <c r="P271" s="5">
        <v>46225.5</v>
      </c>
      <c r="Q271" t="s">
        <v>23</v>
      </c>
      <c r="R271" s="2" t="s">
        <v>58</v>
      </c>
      <c r="S271">
        <v>24</v>
      </c>
      <c r="T271">
        <v>1</v>
      </c>
    </row>
    <row r="272" spans="1:20" ht="30" x14ac:dyDescent="0.25">
      <c r="A272" t="s">
        <v>866</v>
      </c>
      <c r="B272">
        <v>1</v>
      </c>
      <c r="C272" s="2" t="s">
        <v>864</v>
      </c>
      <c r="D272" s="3">
        <v>15800</v>
      </c>
      <c r="E272" s="4">
        <v>0</v>
      </c>
      <c r="F272" t="s">
        <v>23</v>
      </c>
      <c r="G272" s="3">
        <f t="shared" si="20"/>
        <v>15800</v>
      </c>
      <c r="H272" s="3">
        <v>0</v>
      </c>
      <c r="I272" s="3">
        <f t="shared" si="21"/>
        <v>15800</v>
      </c>
      <c r="J272" s="2" t="s">
        <v>27</v>
      </c>
      <c r="K272" s="5">
        <v>46271.583333333343</v>
      </c>
      <c r="L272">
        <v>2</v>
      </c>
      <c r="M272" s="3">
        <f t="shared" si="22"/>
        <v>7900</v>
      </c>
      <c r="N272" t="str">
        <f t="shared" si="23"/>
        <v>ставка</v>
      </c>
      <c r="O272" s="3">
        <f t="shared" si="24"/>
        <v>309.8</v>
      </c>
      <c r="P272" s="5">
        <v>46273.5</v>
      </c>
      <c r="Q272" t="s">
        <v>23</v>
      </c>
      <c r="R272" s="2" t="s">
        <v>24</v>
      </c>
      <c r="S272">
        <v>21</v>
      </c>
      <c r="T272">
        <v>1</v>
      </c>
    </row>
    <row r="273" spans="1:20" ht="30" x14ac:dyDescent="0.25">
      <c r="A273" t="s">
        <v>867</v>
      </c>
      <c r="B273">
        <v>1</v>
      </c>
      <c r="C273" s="2" t="s">
        <v>868</v>
      </c>
      <c r="D273" s="3">
        <v>7700</v>
      </c>
      <c r="E273" s="4">
        <v>0</v>
      </c>
      <c r="F273" t="s">
        <v>23</v>
      </c>
      <c r="G273" s="3">
        <f t="shared" si="20"/>
        <v>7700</v>
      </c>
      <c r="H273" s="3">
        <v>0</v>
      </c>
      <c r="I273" s="3">
        <f t="shared" si="21"/>
        <v>7700</v>
      </c>
      <c r="J273" s="2" t="s">
        <v>27</v>
      </c>
      <c r="K273" s="5">
        <v>46226.583333333343</v>
      </c>
      <c r="L273">
        <v>1</v>
      </c>
      <c r="M273" s="3">
        <f t="shared" si="22"/>
        <v>7700</v>
      </c>
      <c r="N273" t="str">
        <f t="shared" si="23"/>
        <v>ставка</v>
      </c>
      <c r="O273" s="3">
        <f t="shared" si="24"/>
        <v>150.97999999999999</v>
      </c>
      <c r="P273" s="5">
        <v>46227.5</v>
      </c>
      <c r="Q273" t="s">
        <v>23</v>
      </c>
      <c r="R273" s="2" t="s">
        <v>58</v>
      </c>
      <c r="S273">
        <v>24</v>
      </c>
      <c r="T273">
        <v>1</v>
      </c>
    </row>
    <row r="274" spans="1:20" ht="30" x14ac:dyDescent="0.25">
      <c r="A274" t="s">
        <v>869</v>
      </c>
      <c r="B274">
        <v>1</v>
      </c>
      <c r="C274" s="2" t="s">
        <v>870</v>
      </c>
      <c r="D274" s="3">
        <v>26700</v>
      </c>
      <c r="E274" s="4">
        <v>0</v>
      </c>
      <c r="F274" t="s">
        <v>23</v>
      </c>
      <c r="G274" s="3">
        <f t="shared" si="20"/>
        <v>26700</v>
      </c>
      <c r="H274" s="3">
        <v>0</v>
      </c>
      <c r="I274" s="3">
        <f t="shared" si="21"/>
        <v>26700</v>
      </c>
      <c r="J274" s="2" t="s">
        <v>27</v>
      </c>
      <c r="K274" s="5">
        <v>46208.583333333343</v>
      </c>
      <c r="L274">
        <v>2</v>
      </c>
      <c r="M274" s="3">
        <f t="shared" si="22"/>
        <v>13350</v>
      </c>
      <c r="N274" t="str">
        <f t="shared" si="23"/>
        <v>ставка</v>
      </c>
      <c r="O274" s="3">
        <f t="shared" si="24"/>
        <v>523.53</v>
      </c>
      <c r="P274" s="5">
        <v>46210.5</v>
      </c>
      <c r="Q274" t="s">
        <v>23</v>
      </c>
      <c r="R274" s="2" t="s">
        <v>40</v>
      </c>
      <c r="S274">
        <v>26</v>
      </c>
      <c r="T274">
        <v>1</v>
      </c>
    </row>
    <row r="275" spans="1:20" ht="30" x14ac:dyDescent="0.25">
      <c r="A275" t="s">
        <v>877</v>
      </c>
      <c r="B275">
        <v>1</v>
      </c>
      <c r="C275" s="2" t="s">
        <v>878</v>
      </c>
      <c r="D275" s="3">
        <v>9080</v>
      </c>
      <c r="E275" s="4">
        <v>20</v>
      </c>
      <c r="F275" t="s">
        <v>48</v>
      </c>
      <c r="G275" s="3">
        <f t="shared" si="20"/>
        <v>11350</v>
      </c>
      <c r="H275" s="3">
        <v>0</v>
      </c>
      <c r="I275" s="3">
        <f t="shared" si="21"/>
        <v>11350</v>
      </c>
      <c r="J275" s="2" t="s">
        <v>27</v>
      </c>
      <c r="K275" s="5">
        <v>46287.583333333343</v>
      </c>
      <c r="L275">
        <v>1</v>
      </c>
      <c r="M275" s="3">
        <f t="shared" si="22"/>
        <v>11350</v>
      </c>
      <c r="N275" t="str">
        <f t="shared" si="23"/>
        <v>ставка</v>
      </c>
      <c r="O275" s="3">
        <f t="shared" si="24"/>
        <v>222.55</v>
      </c>
      <c r="P275" s="5">
        <v>46288.5</v>
      </c>
      <c r="Q275" t="s">
        <v>48</v>
      </c>
      <c r="R275" s="2" t="s">
        <v>40</v>
      </c>
      <c r="S275">
        <v>32</v>
      </c>
      <c r="T275">
        <v>1</v>
      </c>
    </row>
    <row r="276" spans="1:20" ht="30" x14ac:dyDescent="0.25">
      <c r="A276" t="s">
        <v>879</v>
      </c>
      <c r="B276">
        <v>1</v>
      </c>
      <c r="C276" s="2" t="s">
        <v>880</v>
      </c>
      <c r="D276" s="3">
        <v>20957.5</v>
      </c>
      <c r="E276" s="4">
        <v>18</v>
      </c>
      <c r="F276" t="s">
        <v>32</v>
      </c>
      <c r="G276" s="3">
        <f t="shared" si="20"/>
        <v>25557.93</v>
      </c>
      <c r="H276" s="3">
        <v>0</v>
      </c>
      <c r="I276" s="3">
        <f t="shared" si="21"/>
        <v>25557.93</v>
      </c>
      <c r="J276" s="2" t="s">
        <v>27</v>
      </c>
      <c r="K276" s="5">
        <v>46295.583333333343</v>
      </c>
      <c r="L276">
        <v>2</v>
      </c>
      <c r="M276" s="3">
        <f t="shared" si="22"/>
        <v>12778.965</v>
      </c>
      <c r="N276" t="str">
        <f t="shared" si="23"/>
        <v>ставка</v>
      </c>
      <c r="O276" s="3">
        <f t="shared" si="24"/>
        <v>501.14</v>
      </c>
      <c r="P276" s="5">
        <v>46297.5</v>
      </c>
      <c r="Q276" t="s">
        <v>32</v>
      </c>
      <c r="R276" s="2" t="s">
        <v>40</v>
      </c>
      <c r="S276">
        <v>22</v>
      </c>
      <c r="T276">
        <v>1</v>
      </c>
    </row>
    <row r="277" spans="1:20" ht="30" x14ac:dyDescent="0.25">
      <c r="A277" t="s">
        <v>881</v>
      </c>
      <c r="B277">
        <v>1</v>
      </c>
      <c r="C277" s="2" t="s">
        <v>882</v>
      </c>
      <c r="D277" s="3">
        <v>25878</v>
      </c>
      <c r="E277" s="4">
        <v>18</v>
      </c>
      <c r="F277" t="s">
        <v>32</v>
      </c>
      <c r="G277" s="3">
        <f t="shared" si="20"/>
        <v>31558.54</v>
      </c>
      <c r="H277" s="3">
        <v>0</v>
      </c>
      <c r="I277" s="3">
        <f t="shared" si="21"/>
        <v>31558.54</v>
      </c>
      <c r="J277" s="2" t="s">
        <v>27</v>
      </c>
      <c r="K277" s="5">
        <v>46212.583333333343</v>
      </c>
      <c r="L277">
        <v>3</v>
      </c>
      <c r="M277" s="3">
        <f t="shared" si="22"/>
        <v>10519.513333333334</v>
      </c>
      <c r="N277" t="str">
        <f t="shared" si="23"/>
        <v>ставка</v>
      </c>
      <c r="O277" s="3">
        <f t="shared" si="24"/>
        <v>618.79</v>
      </c>
      <c r="P277" s="5">
        <v>46215.5</v>
      </c>
      <c r="Q277" t="s">
        <v>32</v>
      </c>
      <c r="R277" s="2" t="s">
        <v>40</v>
      </c>
      <c r="S277">
        <v>23</v>
      </c>
      <c r="T277">
        <v>1</v>
      </c>
    </row>
    <row r="278" spans="1:20" ht="30" x14ac:dyDescent="0.25">
      <c r="A278" t="s">
        <v>883</v>
      </c>
      <c r="B278">
        <v>1</v>
      </c>
      <c r="C278" s="2" t="s">
        <v>884</v>
      </c>
      <c r="D278" s="3">
        <v>8217</v>
      </c>
      <c r="E278" s="4">
        <v>17</v>
      </c>
      <c r="F278" t="s">
        <v>130</v>
      </c>
      <c r="G278" s="3">
        <f t="shared" si="20"/>
        <v>9900</v>
      </c>
      <c r="H278" s="3">
        <v>0</v>
      </c>
      <c r="I278" s="3">
        <f t="shared" si="21"/>
        <v>9900</v>
      </c>
      <c r="J278" s="2" t="s">
        <v>27</v>
      </c>
      <c r="K278" s="5">
        <v>46257.583333333343</v>
      </c>
      <c r="L278">
        <v>1</v>
      </c>
      <c r="M278" s="3">
        <f t="shared" si="22"/>
        <v>9900</v>
      </c>
      <c r="N278" t="str">
        <f t="shared" si="23"/>
        <v>ставка</v>
      </c>
      <c r="O278" s="3">
        <f t="shared" si="24"/>
        <v>194.12</v>
      </c>
      <c r="P278" s="5">
        <v>46258.5</v>
      </c>
      <c r="Q278" t="s">
        <v>130</v>
      </c>
      <c r="R278" s="2" t="s">
        <v>33</v>
      </c>
      <c r="S278">
        <v>43</v>
      </c>
      <c r="T278">
        <v>1</v>
      </c>
    </row>
    <row r="279" spans="1:20" ht="30" x14ac:dyDescent="0.25">
      <c r="A279" t="s">
        <v>885</v>
      </c>
      <c r="B279">
        <v>1</v>
      </c>
      <c r="C279" s="2" t="s">
        <v>886</v>
      </c>
      <c r="D279" s="3">
        <v>42075</v>
      </c>
      <c r="E279" s="4">
        <v>15</v>
      </c>
      <c r="F279" t="s">
        <v>52</v>
      </c>
      <c r="G279" s="3">
        <f t="shared" si="20"/>
        <v>49500</v>
      </c>
      <c r="H279" s="3">
        <v>0</v>
      </c>
      <c r="I279" s="3">
        <f t="shared" si="21"/>
        <v>49500</v>
      </c>
      <c r="J279" s="2" t="s">
        <v>27</v>
      </c>
      <c r="K279" s="5">
        <v>46265.583333333343</v>
      </c>
      <c r="L279">
        <v>5</v>
      </c>
      <c r="M279" s="3">
        <f t="shared" si="22"/>
        <v>9900</v>
      </c>
      <c r="N279" t="str">
        <f t="shared" si="23"/>
        <v>ставка</v>
      </c>
      <c r="O279" s="3">
        <f t="shared" si="24"/>
        <v>970.59</v>
      </c>
      <c r="P279" s="5">
        <v>46270.5</v>
      </c>
      <c r="Q279" t="s">
        <v>52</v>
      </c>
      <c r="R279" s="2" t="s">
        <v>33</v>
      </c>
      <c r="S279">
        <v>47</v>
      </c>
      <c r="T279">
        <v>1</v>
      </c>
    </row>
    <row r="280" spans="1:20" x14ac:dyDescent="0.25">
      <c r="A280" t="s">
        <v>887</v>
      </c>
      <c r="B280">
        <v>1</v>
      </c>
      <c r="C280" s="2" t="s">
        <v>888</v>
      </c>
      <c r="D280" s="3">
        <v>13695</v>
      </c>
      <c r="E280" s="4">
        <v>18</v>
      </c>
      <c r="F280" t="s">
        <v>32</v>
      </c>
      <c r="G280" s="3">
        <f t="shared" si="20"/>
        <v>16701.22</v>
      </c>
      <c r="H280" s="3">
        <v>0</v>
      </c>
      <c r="I280" s="3">
        <f t="shared" si="21"/>
        <v>16701.22</v>
      </c>
      <c r="J280" s="2" t="s">
        <v>27</v>
      </c>
      <c r="K280" s="5">
        <v>46241.583333333343</v>
      </c>
      <c r="L280">
        <v>1</v>
      </c>
      <c r="M280" s="3">
        <f t="shared" si="22"/>
        <v>16701.22</v>
      </c>
      <c r="N280" t="str">
        <f t="shared" si="23"/>
        <v>ставка</v>
      </c>
      <c r="O280" s="3">
        <f t="shared" si="24"/>
        <v>327.47000000000003</v>
      </c>
      <c r="P280" s="5">
        <v>46242.5</v>
      </c>
      <c r="Q280" t="s">
        <v>32</v>
      </c>
      <c r="R280" s="2" t="s">
        <v>49</v>
      </c>
      <c r="S280">
        <v>35</v>
      </c>
      <c r="T280">
        <v>1</v>
      </c>
    </row>
    <row r="281" spans="1:20" x14ac:dyDescent="0.25">
      <c r="A281" t="s">
        <v>891</v>
      </c>
      <c r="B281">
        <v>1</v>
      </c>
      <c r="C281" s="2" t="s">
        <v>892</v>
      </c>
      <c r="D281" s="3">
        <v>52800</v>
      </c>
      <c r="E281" s="4">
        <v>18</v>
      </c>
      <c r="F281" t="s">
        <v>32</v>
      </c>
      <c r="G281" s="3">
        <f t="shared" si="20"/>
        <v>64390.239999999998</v>
      </c>
      <c r="H281" s="3">
        <v>0</v>
      </c>
      <c r="I281" s="3">
        <f t="shared" si="21"/>
        <v>64390.239999999998</v>
      </c>
      <c r="J281" s="2" t="s">
        <v>27</v>
      </c>
      <c r="K281" s="5">
        <v>46270.583333333343</v>
      </c>
      <c r="L281">
        <v>4</v>
      </c>
      <c r="M281" s="3">
        <f t="shared" si="22"/>
        <v>16097.56</v>
      </c>
      <c r="N281" t="str">
        <f t="shared" si="23"/>
        <v>ставка</v>
      </c>
      <c r="O281" s="3">
        <f t="shared" si="24"/>
        <v>1262.55</v>
      </c>
      <c r="P281" s="5">
        <v>46274.5</v>
      </c>
      <c r="Q281" t="s">
        <v>32</v>
      </c>
      <c r="R281" s="2" t="s">
        <v>49</v>
      </c>
      <c r="S281">
        <v>25</v>
      </c>
      <c r="T281">
        <v>1</v>
      </c>
    </row>
    <row r="282" spans="1:20" ht="30" x14ac:dyDescent="0.25">
      <c r="A282" t="s">
        <v>893</v>
      </c>
      <c r="B282">
        <v>1</v>
      </c>
      <c r="C282" s="2" t="s">
        <v>894</v>
      </c>
      <c r="D282" s="3">
        <v>9647.5</v>
      </c>
      <c r="E282" s="4">
        <v>15</v>
      </c>
      <c r="F282" t="s">
        <v>168</v>
      </c>
      <c r="G282" s="3">
        <f t="shared" si="20"/>
        <v>11350</v>
      </c>
      <c r="H282" s="3">
        <v>0</v>
      </c>
      <c r="I282" s="3">
        <f t="shared" si="21"/>
        <v>11350</v>
      </c>
      <c r="J282" s="2" t="s">
        <v>27</v>
      </c>
      <c r="K282" s="5">
        <v>46253.583333333343</v>
      </c>
      <c r="L282">
        <v>1</v>
      </c>
      <c r="M282" s="3">
        <f t="shared" si="22"/>
        <v>11350</v>
      </c>
      <c r="N282" t="str">
        <f t="shared" si="23"/>
        <v>ставка</v>
      </c>
      <c r="O282" s="3">
        <f t="shared" si="24"/>
        <v>222.55</v>
      </c>
      <c r="P282" s="5">
        <v>46254.5</v>
      </c>
      <c r="Q282" t="s">
        <v>168</v>
      </c>
      <c r="R282" s="2" t="s">
        <v>40</v>
      </c>
      <c r="S282">
        <v>23</v>
      </c>
      <c r="T282">
        <v>1</v>
      </c>
    </row>
    <row r="283" spans="1:20" ht="30" x14ac:dyDescent="0.25">
      <c r="A283" t="s">
        <v>895</v>
      </c>
      <c r="B283">
        <v>1</v>
      </c>
      <c r="C283" s="2" t="s">
        <v>896</v>
      </c>
      <c r="D283" s="3">
        <v>11704</v>
      </c>
      <c r="E283" s="4">
        <v>18</v>
      </c>
      <c r="F283" t="s">
        <v>32</v>
      </c>
      <c r="G283" s="3">
        <f t="shared" si="20"/>
        <v>14273.17</v>
      </c>
      <c r="H283" s="3">
        <v>0</v>
      </c>
      <c r="I283" s="3">
        <f t="shared" si="21"/>
        <v>14273.17</v>
      </c>
      <c r="J283" s="2" t="s">
        <v>27</v>
      </c>
      <c r="K283" s="5">
        <v>46287.583333333343</v>
      </c>
      <c r="L283">
        <v>2</v>
      </c>
      <c r="M283" s="3">
        <f t="shared" si="22"/>
        <v>7136.585</v>
      </c>
      <c r="N283" t="str">
        <f t="shared" si="23"/>
        <v>ставка</v>
      </c>
      <c r="O283" s="3">
        <f t="shared" si="24"/>
        <v>279.87</v>
      </c>
      <c r="P283" s="5">
        <v>46289.5</v>
      </c>
      <c r="Q283" t="s">
        <v>32</v>
      </c>
      <c r="R283" s="2" t="s">
        <v>58</v>
      </c>
      <c r="S283">
        <v>34</v>
      </c>
      <c r="T283">
        <v>1</v>
      </c>
    </row>
    <row r="284" spans="1:20" ht="30" x14ac:dyDescent="0.25">
      <c r="A284" t="s">
        <v>897</v>
      </c>
      <c r="B284">
        <v>1</v>
      </c>
      <c r="C284" s="2" t="s">
        <v>898</v>
      </c>
      <c r="D284" s="3">
        <v>25280</v>
      </c>
      <c r="E284" s="4">
        <v>18</v>
      </c>
      <c r="F284" t="s">
        <v>32</v>
      </c>
      <c r="G284" s="3">
        <f t="shared" si="20"/>
        <v>30829.27</v>
      </c>
      <c r="H284" s="3">
        <v>0</v>
      </c>
      <c r="I284" s="3">
        <f t="shared" si="21"/>
        <v>30829.27</v>
      </c>
      <c r="J284" s="2" t="s">
        <v>27</v>
      </c>
      <c r="K284" s="5">
        <v>46218.583333333343</v>
      </c>
      <c r="L284">
        <v>4</v>
      </c>
      <c r="M284" s="3">
        <f t="shared" si="22"/>
        <v>7707.3175000000001</v>
      </c>
      <c r="N284" t="str">
        <f t="shared" si="23"/>
        <v>ставка</v>
      </c>
      <c r="O284" s="3">
        <f t="shared" si="24"/>
        <v>604.5</v>
      </c>
      <c r="P284" s="5">
        <v>46222.5</v>
      </c>
      <c r="Q284" t="s">
        <v>32</v>
      </c>
      <c r="R284" s="2" t="s">
        <v>33</v>
      </c>
      <c r="S284">
        <v>47</v>
      </c>
      <c r="T284">
        <v>1</v>
      </c>
    </row>
    <row r="285" spans="1:20" ht="30" x14ac:dyDescent="0.25">
      <c r="A285" t="s">
        <v>899</v>
      </c>
      <c r="B285">
        <v>1</v>
      </c>
      <c r="C285" s="2" t="s">
        <v>900</v>
      </c>
      <c r="D285" s="3">
        <v>15555.1</v>
      </c>
      <c r="E285" s="4">
        <v>4</v>
      </c>
      <c r="F285" t="s">
        <v>55</v>
      </c>
      <c r="G285" s="3">
        <f t="shared" si="20"/>
        <v>16203.23</v>
      </c>
      <c r="H285" s="3">
        <v>0</v>
      </c>
      <c r="I285" s="3">
        <f t="shared" si="21"/>
        <v>16203.23</v>
      </c>
      <c r="J285" s="2" t="s">
        <v>27</v>
      </c>
      <c r="K285" s="5">
        <v>46263.583333333343</v>
      </c>
      <c r="L285">
        <v>2</v>
      </c>
      <c r="M285" s="3">
        <f t="shared" si="22"/>
        <v>8101.6149999999998</v>
      </c>
      <c r="N285" t="str">
        <f t="shared" si="23"/>
        <v>ставка</v>
      </c>
      <c r="O285" s="3">
        <f t="shared" si="24"/>
        <v>317.70999999999998</v>
      </c>
      <c r="P285" s="5">
        <v>46265.5</v>
      </c>
      <c r="Q285" t="s">
        <v>55</v>
      </c>
      <c r="R285" s="2" t="s">
        <v>33</v>
      </c>
      <c r="S285">
        <v>47</v>
      </c>
      <c r="T285">
        <v>1</v>
      </c>
    </row>
    <row r="286" spans="1:20" ht="30" x14ac:dyDescent="0.25">
      <c r="A286" t="s">
        <v>903</v>
      </c>
      <c r="B286">
        <v>1</v>
      </c>
      <c r="C286" s="2" t="s">
        <v>904</v>
      </c>
      <c r="D286" s="3">
        <v>6160</v>
      </c>
      <c r="E286" s="4">
        <v>20</v>
      </c>
      <c r="F286" t="s">
        <v>48</v>
      </c>
      <c r="G286" s="3">
        <f t="shared" si="20"/>
        <v>7700</v>
      </c>
      <c r="H286" s="3">
        <v>0</v>
      </c>
      <c r="I286" s="3">
        <f t="shared" si="21"/>
        <v>7700</v>
      </c>
      <c r="J286" s="2" t="s">
        <v>27</v>
      </c>
      <c r="K286" s="5">
        <v>46227.583333333343</v>
      </c>
      <c r="L286">
        <v>1</v>
      </c>
      <c r="M286" s="3">
        <f t="shared" si="22"/>
        <v>7700</v>
      </c>
      <c r="N286" t="str">
        <f t="shared" si="23"/>
        <v>ставка</v>
      </c>
      <c r="O286" s="3">
        <f t="shared" si="24"/>
        <v>150.97999999999999</v>
      </c>
      <c r="P286" s="5">
        <v>46228.5</v>
      </c>
      <c r="Q286" t="s">
        <v>48</v>
      </c>
      <c r="R286" s="2" t="s">
        <v>58</v>
      </c>
      <c r="S286">
        <v>24</v>
      </c>
      <c r="T286">
        <v>1</v>
      </c>
    </row>
    <row r="287" spans="1:20" ht="30" x14ac:dyDescent="0.25">
      <c r="A287" t="s">
        <v>905</v>
      </c>
      <c r="B287">
        <v>1</v>
      </c>
      <c r="C287" s="2" t="s">
        <v>906</v>
      </c>
      <c r="D287" s="3">
        <v>21945</v>
      </c>
      <c r="E287" s="4">
        <v>17</v>
      </c>
      <c r="F287" t="s">
        <v>394</v>
      </c>
      <c r="G287" s="3">
        <f t="shared" si="20"/>
        <v>26439.759999999998</v>
      </c>
      <c r="H287" s="3">
        <v>0</v>
      </c>
      <c r="I287" s="3">
        <f t="shared" si="21"/>
        <v>26439.759999999998</v>
      </c>
      <c r="J287" s="2" t="s">
        <v>27</v>
      </c>
      <c r="K287" s="5">
        <v>46210.583333333343</v>
      </c>
      <c r="L287">
        <v>3</v>
      </c>
      <c r="M287" s="3">
        <f t="shared" si="22"/>
        <v>8813.2533333333322</v>
      </c>
      <c r="N287" t="str">
        <f t="shared" si="23"/>
        <v>ставка</v>
      </c>
      <c r="O287" s="3">
        <f t="shared" si="24"/>
        <v>518.42999999999995</v>
      </c>
      <c r="P287" s="5">
        <v>46213.5</v>
      </c>
      <c r="Q287" t="s">
        <v>394</v>
      </c>
      <c r="R287" s="2" t="s">
        <v>58</v>
      </c>
      <c r="S287">
        <v>34</v>
      </c>
      <c r="T287">
        <v>1</v>
      </c>
    </row>
    <row r="288" spans="1:20" ht="30" x14ac:dyDescent="0.25">
      <c r="A288" t="s">
        <v>907</v>
      </c>
      <c r="B288">
        <v>1</v>
      </c>
      <c r="C288" s="2" t="s">
        <v>908</v>
      </c>
      <c r="D288" s="3">
        <v>8217</v>
      </c>
      <c r="E288" s="4">
        <v>18</v>
      </c>
      <c r="F288" t="s">
        <v>32</v>
      </c>
      <c r="G288" s="3">
        <f t="shared" si="20"/>
        <v>10020.73</v>
      </c>
      <c r="H288" s="3">
        <v>0</v>
      </c>
      <c r="I288" s="3">
        <f t="shared" si="21"/>
        <v>10020.73</v>
      </c>
      <c r="J288" s="2" t="s">
        <v>27</v>
      </c>
      <c r="K288" s="5">
        <v>46263.583333333343</v>
      </c>
      <c r="L288">
        <v>1</v>
      </c>
      <c r="M288" s="3">
        <f t="shared" si="22"/>
        <v>10020.73</v>
      </c>
      <c r="N288" t="str">
        <f t="shared" si="23"/>
        <v>ставка</v>
      </c>
      <c r="O288" s="3">
        <f t="shared" si="24"/>
        <v>196.48</v>
      </c>
      <c r="P288" s="5">
        <v>46264.5</v>
      </c>
      <c r="Q288" t="s">
        <v>32</v>
      </c>
      <c r="R288" s="2" t="s">
        <v>40</v>
      </c>
      <c r="S288">
        <v>46</v>
      </c>
      <c r="T288">
        <v>1</v>
      </c>
    </row>
    <row r="289" spans="1:20" ht="30" x14ac:dyDescent="0.25">
      <c r="A289" t="s">
        <v>909</v>
      </c>
      <c r="B289">
        <v>1</v>
      </c>
      <c r="C289" s="2" t="s">
        <v>910</v>
      </c>
      <c r="D289" s="3">
        <v>9080</v>
      </c>
      <c r="E289" s="4">
        <v>20</v>
      </c>
      <c r="F289" t="s">
        <v>103</v>
      </c>
      <c r="G289" s="3">
        <f t="shared" si="20"/>
        <v>11350</v>
      </c>
      <c r="H289" s="3">
        <v>0</v>
      </c>
      <c r="I289" s="3">
        <f t="shared" si="21"/>
        <v>11350</v>
      </c>
      <c r="J289" s="2" t="s">
        <v>27</v>
      </c>
      <c r="K289" s="5">
        <v>46208.583333333343</v>
      </c>
      <c r="L289">
        <v>1</v>
      </c>
      <c r="M289" s="3">
        <f t="shared" si="22"/>
        <v>11350</v>
      </c>
      <c r="N289" t="str">
        <f t="shared" si="23"/>
        <v>ставка</v>
      </c>
      <c r="O289" s="3">
        <f t="shared" si="24"/>
        <v>222.55</v>
      </c>
      <c r="P289" s="5">
        <v>46209.5</v>
      </c>
      <c r="Q289" t="s">
        <v>103</v>
      </c>
      <c r="R289" s="2" t="s">
        <v>40</v>
      </c>
      <c r="S289">
        <v>46</v>
      </c>
      <c r="T289">
        <v>1</v>
      </c>
    </row>
    <row r="290" spans="1:20" ht="30" x14ac:dyDescent="0.25">
      <c r="A290" t="s">
        <v>913</v>
      </c>
      <c r="B290">
        <v>1</v>
      </c>
      <c r="C290" s="2" t="s">
        <v>914</v>
      </c>
      <c r="D290" s="3">
        <v>6545</v>
      </c>
      <c r="E290" s="4">
        <v>15</v>
      </c>
      <c r="F290" t="s">
        <v>487</v>
      </c>
      <c r="G290" s="3">
        <f t="shared" si="20"/>
        <v>7700</v>
      </c>
      <c r="H290" s="3">
        <v>0</v>
      </c>
      <c r="I290" s="3">
        <f t="shared" si="21"/>
        <v>7700</v>
      </c>
      <c r="J290" s="2" t="s">
        <v>27</v>
      </c>
      <c r="K290" s="5">
        <v>46279.583333333343</v>
      </c>
      <c r="L290">
        <v>1</v>
      </c>
      <c r="M290" s="3">
        <f t="shared" si="22"/>
        <v>7700</v>
      </c>
      <c r="N290" t="str">
        <f t="shared" si="23"/>
        <v>ставка</v>
      </c>
      <c r="O290" s="3">
        <f t="shared" si="24"/>
        <v>150.97999999999999</v>
      </c>
      <c r="P290" s="5">
        <v>46280.5</v>
      </c>
      <c r="Q290" t="s">
        <v>487</v>
      </c>
      <c r="R290" s="2" t="s">
        <v>58</v>
      </c>
      <c r="S290">
        <v>34</v>
      </c>
      <c r="T290">
        <v>1</v>
      </c>
    </row>
    <row r="291" spans="1:20" ht="30" x14ac:dyDescent="0.25">
      <c r="A291" t="s">
        <v>915</v>
      </c>
      <c r="B291">
        <v>1</v>
      </c>
      <c r="C291" s="2" t="s">
        <v>916</v>
      </c>
      <c r="D291" s="3">
        <v>7584.5</v>
      </c>
      <c r="E291" s="4">
        <v>4</v>
      </c>
      <c r="F291" t="s">
        <v>55</v>
      </c>
      <c r="G291" s="3">
        <f t="shared" si="20"/>
        <v>7900.52</v>
      </c>
      <c r="H291" s="3">
        <v>0</v>
      </c>
      <c r="I291" s="3">
        <f t="shared" si="21"/>
        <v>7900.52</v>
      </c>
      <c r="J291" s="2" t="s">
        <v>27</v>
      </c>
      <c r="K291" s="5">
        <v>46260.583333333343</v>
      </c>
      <c r="L291">
        <v>1</v>
      </c>
      <c r="M291" s="3">
        <f t="shared" si="22"/>
        <v>7900.52</v>
      </c>
      <c r="N291" t="str">
        <f t="shared" si="23"/>
        <v>ставка</v>
      </c>
      <c r="O291" s="3">
        <f t="shared" si="24"/>
        <v>154.91</v>
      </c>
      <c r="P291" s="5">
        <v>46261.5</v>
      </c>
      <c r="Q291" t="s">
        <v>55</v>
      </c>
      <c r="R291" s="2" t="s">
        <v>58</v>
      </c>
      <c r="S291">
        <v>34</v>
      </c>
      <c r="T291">
        <v>1</v>
      </c>
    </row>
    <row r="292" spans="1:20" ht="30" x14ac:dyDescent="0.25">
      <c r="A292" t="s">
        <v>917</v>
      </c>
      <c r="B292">
        <v>1</v>
      </c>
      <c r="C292" s="2" t="s">
        <v>918</v>
      </c>
      <c r="D292" s="3">
        <v>8415</v>
      </c>
      <c r="E292" s="4">
        <v>15</v>
      </c>
      <c r="F292" t="s">
        <v>36</v>
      </c>
      <c r="G292" s="3">
        <f t="shared" si="20"/>
        <v>9900</v>
      </c>
      <c r="H292" s="3">
        <v>0</v>
      </c>
      <c r="I292" s="3">
        <f t="shared" si="21"/>
        <v>9900</v>
      </c>
      <c r="J292" s="2" t="s">
        <v>27</v>
      </c>
      <c r="K292" s="5">
        <v>46213.583333333343</v>
      </c>
      <c r="L292">
        <v>1</v>
      </c>
      <c r="M292" s="3">
        <f t="shared" si="22"/>
        <v>9900</v>
      </c>
      <c r="N292" t="str">
        <f t="shared" si="23"/>
        <v>ставка</v>
      </c>
      <c r="O292" s="3">
        <f t="shared" si="24"/>
        <v>194.12</v>
      </c>
      <c r="P292" s="5">
        <v>46214.5</v>
      </c>
      <c r="Q292" t="s">
        <v>36</v>
      </c>
      <c r="R292" s="2" t="s">
        <v>33</v>
      </c>
      <c r="S292">
        <v>41</v>
      </c>
      <c r="T292">
        <v>1</v>
      </c>
    </row>
    <row r="293" spans="1:20" ht="30" x14ac:dyDescent="0.25">
      <c r="A293" t="s">
        <v>919</v>
      </c>
      <c r="B293">
        <v>1</v>
      </c>
      <c r="C293" s="2" t="s">
        <v>920</v>
      </c>
      <c r="D293" s="3">
        <v>21100</v>
      </c>
      <c r="E293" s="4">
        <v>18</v>
      </c>
      <c r="F293" t="s">
        <v>32</v>
      </c>
      <c r="G293" s="3">
        <f t="shared" si="20"/>
        <v>25731.71</v>
      </c>
      <c r="H293" s="3">
        <v>0</v>
      </c>
      <c r="I293" s="3">
        <f t="shared" si="21"/>
        <v>25731.71</v>
      </c>
      <c r="J293" s="2"/>
      <c r="K293" s="5">
        <v>46207.583333333343</v>
      </c>
      <c r="L293">
        <v>2</v>
      </c>
      <c r="M293" s="3">
        <f t="shared" si="22"/>
        <v>12865.855</v>
      </c>
      <c r="N293" t="str">
        <f t="shared" si="23"/>
        <v>ставка</v>
      </c>
      <c r="O293" s="3">
        <f t="shared" si="24"/>
        <v>504.54</v>
      </c>
      <c r="P293" s="5">
        <v>46209.5</v>
      </c>
      <c r="Q293" t="s">
        <v>32</v>
      </c>
      <c r="R293" s="2" t="s">
        <v>49</v>
      </c>
      <c r="S293">
        <v>35</v>
      </c>
      <c r="T293">
        <v>1</v>
      </c>
    </row>
    <row r="294" spans="1:20" ht="30" x14ac:dyDescent="0.25">
      <c r="A294" t="s">
        <v>923</v>
      </c>
      <c r="B294">
        <v>1</v>
      </c>
      <c r="C294" s="2" t="s">
        <v>922</v>
      </c>
      <c r="D294" s="3">
        <v>9080</v>
      </c>
      <c r="E294" s="4">
        <v>18</v>
      </c>
      <c r="F294" t="s">
        <v>32</v>
      </c>
      <c r="G294" s="3">
        <f t="shared" si="20"/>
        <v>11073.17</v>
      </c>
      <c r="H294" s="3">
        <v>0</v>
      </c>
      <c r="I294" s="3">
        <f t="shared" si="21"/>
        <v>11073.17</v>
      </c>
      <c r="J294" s="2" t="s">
        <v>27</v>
      </c>
      <c r="K294" s="5">
        <v>46294.583333333343</v>
      </c>
      <c r="L294">
        <v>1</v>
      </c>
      <c r="M294" s="3">
        <f t="shared" si="22"/>
        <v>11073.17</v>
      </c>
      <c r="N294" t="str">
        <f t="shared" si="23"/>
        <v>ставка</v>
      </c>
      <c r="O294" s="3">
        <f t="shared" si="24"/>
        <v>217.12</v>
      </c>
      <c r="P294" s="5">
        <v>46295.5</v>
      </c>
      <c r="Q294" t="s">
        <v>32</v>
      </c>
      <c r="R294" s="2" t="s">
        <v>40</v>
      </c>
      <c r="S294">
        <v>23</v>
      </c>
      <c r="T294">
        <v>1</v>
      </c>
    </row>
    <row r="295" spans="1:20" ht="30" x14ac:dyDescent="0.25">
      <c r="A295" t="s">
        <v>926</v>
      </c>
      <c r="B295">
        <v>1</v>
      </c>
      <c r="C295" s="2" t="s">
        <v>927</v>
      </c>
      <c r="D295" s="3">
        <v>17052</v>
      </c>
      <c r="E295" s="4">
        <v>16</v>
      </c>
      <c r="F295" t="s">
        <v>36</v>
      </c>
      <c r="G295" s="3">
        <f t="shared" si="20"/>
        <v>20300</v>
      </c>
      <c r="H295" s="3">
        <v>0</v>
      </c>
      <c r="I295" s="3">
        <f t="shared" si="21"/>
        <v>20300</v>
      </c>
      <c r="J295" s="2"/>
      <c r="K295" s="5">
        <v>46295.583333333343</v>
      </c>
      <c r="L295">
        <v>2</v>
      </c>
      <c r="M295" s="3">
        <f t="shared" si="22"/>
        <v>10150</v>
      </c>
      <c r="N295" t="str">
        <f t="shared" si="23"/>
        <v>ставка</v>
      </c>
      <c r="O295" s="3">
        <f t="shared" si="24"/>
        <v>398.04</v>
      </c>
      <c r="P295" s="5">
        <v>46297.5</v>
      </c>
      <c r="Q295" t="s">
        <v>36</v>
      </c>
      <c r="R295" s="2" t="s">
        <v>40</v>
      </c>
      <c r="S295">
        <v>44</v>
      </c>
      <c r="T295">
        <v>1</v>
      </c>
    </row>
    <row r="296" spans="1:20" ht="30" x14ac:dyDescent="0.25">
      <c r="A296" t="s">
        <v>930</v>
      </c>
      <c r="B296">
        <v>1</v>
      </c>
      <c r="C296" s="2" t="s">
        <v>931</v>
      </c>
      <c r="D296" s="3">
        <v>7700</v>
      </c>
      <c r="E296" s="4">
        <v>0</v>
      </c>
      <c r="F296" t="s">
        <v>23</v>
      </c>
      <c r="G296" s="3">
        <f t="shared" si="20"/>
        <v>7700</v>
      </c>
      <c r="H296" s="3">
        <v>0</v>
      </c>
      <c r="I296" s="3">
        <f t="shared" si="21"/>
        <v>7700</v>
      </c>
      <c r="J296" s="2" t="s">
        <v>27</v>
      </c>
      <c r="K296" s="5">
        <v>46283.583333333343</v>
      </c>
      <c r="L296">
        <v>1</v>
      </c>
      <c r="M296" s="3">
        <f t="shared" si="22"/>
        <v>7700</v>
      </c>
      <c r="N296" t="str">
        <f t="shared" si="23"/>
        <v>ставка</v>
      </c>
      <c r="O296" s="3">
        <f t="shared" si="24"/>
        <v>150.97999999999999</v>
      </c>
      <c r="P296" s="5">
        <v>46284.5</v>
      </c>
      <c r="Q296" t="s">
        <v>23</v>
      </c>
      <c r="R296" s="2" t="s">
        <v>58</v>
      </c>
      <c r="S296">
        <v>34</v>
      </c>
      <c r="T296">
        <v>1</v>
      </c>
    </row>
    <row r="297" spans="1:20" ht="30" x14ac:dyDescent="0.25">
      <c r="A297" t="s">
        <v>932</v>
      </c>
      <c r="B297">
        <v>1</v>
      </c>
      <c r="C297" s="2" t="s">
        <v>933</v>
      </c>
      <c r="D297" s="3">
        <v>38261.300000000003</v>
      </c>
      <c r="E297" s="4">
        <v>4</v>
      </c>
      <c r="F297" t="s">
        <v>55</v>
      </c>
      <c r="G297" s="3">
        <f t="shared" si="20"/>
        <v>39855.519999999997</v>
      </c>
      <c r="H297" s="3">
        <v>0</v>
      </c>
      <c r="I297" s="3">
        <f t="shared" si="21"/>
        <v>39855.519999999997</v>
      </c>
      <c r="J297" s="2" t="s">
        <v>27</v>
      </c>
      <c r="K297" s="5">
        <v>46213.583333333343</v>
      </c>
      <c r="L297">
        <v>5</v>
      </c>
      <c r="M297" s="3">
        <f t="shared" si="22"/>
        <v>7971.1039999999994</v>
      </c>
      <c r="N297" t="str">
        <f t="shared" si="23"/>
        <v>ставка</v>
      </c>
      <c r="O297" s="3">
        <f t="shared" si="24"/>
        <v>781.48</v>
      </c>
      <c r="P297" s="5">
        <v>46218.5</v>
      </c>
      <c r="Q297" t="s">
        <v>55</v>
      </c>
      <c r="R297" s="2" t="s">
        <v>58</v>
      </c>
      <c r="S297">
        <v>24</v>
      </c>
      <c r="T297">
        <v>1</v>
      </c>
    </row>
    <row r="298" spans="1:20" ht="30" x14ac:dyDescent="0.25">
      <c r="A298" t="s">
        <v>934</v>
      </c>
      <c r="B298">
        <v>1</v>
      </c>
      <c r="C298" s="2" t="s">
        <v>935</v>
      </c>
      <c r="D298" s="3">
        <v>24354</v>
      </c>
      <c r="E298" s="4">
        <v>18</v>
      </c>
      <c r="F298" t="s">
        <v>32</v>
      </c>
      <c r="G298" s="3">
        <f t="shared" si="20"/>
        <v>29700</v>
      </c>
      <c r="H298" s="3">
        <v>0</v>
      </c>
      <c r="I298" s="3">
        <f t="shared" si="21"/>
        <v>29700</v>
      </c>
      <c r="J298" s="2" t="s">
        <v>27</v>
      </c>
      <c r="K298" s="5">
        <v>46253.583333333343</v>
      </c>
      <c r="L298">
        <v>3</v>
      </c>
      <c r="M298" s="3">
        <f t="shared" si="22"/>
        <v>9900</v>
      </c>
      <c r="N298" t="str">
        <f t="shared" si="23"/>
        <v>ставка</v>
      </c>
      <c r="O298" s="3">
        <f t="shared" si="24"/>
        <v>582.35</v>
      </c>
      <c r="P298" s="5">
        <v>46256.583333333343</v>
      </c>
      <c r="Q298" t="s">
        <v>32</v>
      </c>
      <c r="R298" s="2" t="s">
        <v>33</v>
      </c>
      <c r="S298">
        <v>45</v>
      </c>
      <c r="T298">
        <v>1</v>
      </c>
    </row>
    <row r="299" spans="1:20" ht="30" x14ac:dyDescent="0.25">
      <c r="A299" t="s">
        <v>934</v>
      </c>
      <c r="B299">
        <v>1</v>
      </c>
      <c r="C299" s="2" t="s">
        <v>935</v>
      </c>
      <c r="D299" s="3">
        <v>8118</v>
      </c>
      <c r="E299" s="4">
        <v>18</v>
      </c>
      <c r="F299" t="s">
        <v>32</v>
      </c>
      <c r="G299" s="3">
        <f t="shared" si="20"/>
        <v>9900</v>
      </c>
      <c r="H299" s="3">
        <v>0</v>
      </c>
      <c r="I299" s="3">
        <f t="shared" si="21"/>
        <v>9900</v>
      </c>
      <c r="J299" s="2" t="s">
        <v>27</v>
      </c>
      <c r="K299" s="5">
        <v>46256.583333333343</v>
      </c>
      <c r="L299">
        <v>1</v>
      </c>
      <c r="M299" s="3">
        <f t="shared" si="22"/>
        <v>9900</v>
      </c>
      <c r="N299" t="str">
        <f t="shared" si="23"/>
        <v>ставка</v>
      </c>
      <c r="O299" s="3">
        <f t="shared" si="24"/>
        <v>194.12</v>
      </c>
      <c r="P299" s="5">
        <v>46257.5</v>
      </c>
      <c r="Q299" t="s">
        <v>32</v>
      </c>
      <c r="R299" s="2" t="s">
        <v>33</v>
      </c>
      <c r="S299">
        <v>41</v>
      </c>
      <c r="T299">
        <v>1</v>
      </c>
    </row>
    <row r="300" spans="1:20" ht="30" x14ac:dyDescent="0.25">
      <c r="A300" t="s">
        <v>936</v>
      </c>
      <c r="B300">
        <v>1</v>
      </c>
      <c r="C300" s="2" t="s">
        <v>937</v>
      </c>
      <c r="D300" s="3">
        <v>10680</v>
      </c>
      <c r="E300" s="4">
        <v>18</v>
      </c>
      <c r="F300" t="s">
        <v>32</v>
      </c>
      <c r="G300" s="3">
        <f t="shared" si="20"/>
        <v>13024.39</v>
      </c>
      <c r="H300" s="3">
        <v>0</v>
      </c>
      <c r="I300" s="3">
        <f t="shared" si="21"/>
        <v>13024.39</v>
      </c>
      <c r="J300" s="2" t="s">
        <v>27</v>
      </c>
      <c r="K300" s="5">
        <v>46214.583333333343</v>
      </c>
      <c r="L300">
        <v>1</v>
      </c>
      <c r="M300" s="3">
        <f t="shared" si="22"/>
        <v>13024.39</v>
      </c>
      <c r="N300" t="str">
        <f t="shared" si="23"/>
        <v>ставка</v>
      </c>
      <c r="O300" s="3">
        <f t="shared" si="24"/>
        <v>255.38</v>
      </c>
      <c r="P300" s="5">
        <v>46215.5</v>
      </c>
      <c r="Q300" t="s">
        <v>32</v>
      </c>
      <c r="R300" s="2" t="s">
        <v>40</v>
      </c>
      <c r="S300">
        <v>33</v>
      </c>
      <c r="T300">
        <v>1</v>
      </c>
    </row>
    <row r="301" spans="1:20" ht="30" x14ac:dyDescent="0.25">
      <c r="A301" t="s">
        <v>944</v>
      </c>
      <c r="B301">
        <v>1</v>
      </c>
      <c r="C301" s="2" t="s">
        <v>945</v>
      </c>
      <c r="D301" s="3">
        <v>9080</v>
      </c>
      <c r="E301" s="4">
        <v>20</v>
      </c>
      <c r="F301" t="s">
        <v>103</v>
      </c>
      <c r="G301" s="3">
        <f t="shared" si="20"/>
        <v>11350</v>
      </c>
      <c r="H301" s="3">
        <v>0</v>
      </c>
      <c r="I301" s="3">
        <f t="shared" si="21"/>
        <v>11350</v>
      </c>
      <c r="J301" s="2" t="s">
        <v>27</v>
      </c>
      <c r="K301" s="5">
        <v>46281.583333333343</v>
      </c>
      <c r="L301">
        <v>1</v>
      </c>
      <c r="M301" s="3">
        <f t="shared" si="22"/>
        <v>11350</v>
      </c>
      <c r="N301" t="str">
        <f t="shared" si="23"/>
        <v>ставка</v>
      </c>
      <c r="O301" s="3">
        <f t="shared" si="24"/>
        <v>222.55</v>
      </c>
      <c r="P301" s="5">
        <v>46282.5</v>
      </c>
      <c r="Q301" t="s">
        <v>103</v>
      </c>
      <c r="R301" s="2" t="s">
        <v>40</v>
      </c>
      <c r="S301">
        <v>42</v>
      </c>
      <c r="T301">
        <v>1</v>
      </c>
    </row>
    <row r="302" spans="1:20" x14ac:dyDescent="0.25">
      <c r="A302" t="s">
        <v>950</v>
      </c>
      <c r="B302">
        <v>1</v>
      </c>
      <c r="C302" s="2" t="s">
        <v>951</v>
      </c>
      <c r="D302" s="3">
        <v>39600</v>
      </c>
      <c r="E302" s="4">
        <v>0</v>
      </c>
      <c r="F302" t="s">
        <v>23</v>
      </c>
      <c r="G302" s="3">
        <f t="shared" si="20"/>
        <v>39600</v>
      </c>
      <c r="H302" s="3">
        <v>0</v>
      </c>
      <c r="I302" s="3">
        <f t="shared" si="21"/>
        <v>39600</v>
      </c>
      <c r="J302" s="2" t="s">
        <v>27</v>
      </c>
      <c r="K302" s="5">
        <v>46236.583333333343</v>
      </c>
      <c r="L302">
        <v>3</v>
      </c>
      <c r="M302" s="3">
        <f t="shared" si="22"/>
        <v>13200</v>
      </c>
      <c r="N302" t="str">
        <f t="shared" si="23"/>
        <v>ставка</v>
      </c>
      <c r="O302" s="3">
        <f t="shared" si="24"/>
        <v>776.47</v>
      </c>
      <c r="P302" s="5">
        <v>46239.5</v>
      </c>
      <c r="Q302" t="s">
        <v>23</v>
      </c>
      <c r="R302" s="2" t="s">
        <v>49</v>
      </c>
      <c r="S302">
        <v>25</v>
      </c>
      <c r="T302">
        <v>1</v>
      </c>
    </row>
    <row r="303" spans="1:20" ht="30" x14ac:dyDescent="0.25">
      <c r="A303" t="s">
        <v>952</v>
      </c>
      <c r="B303">
        <v>1</v>
      </c>
      <c r="C303" s="2" t="s">
        <v>953</v>
      </c>
      <c r="D303" s="3">
        <v>38590</v>
      </c>
      <c r="E303" s="4">
        <v>15</v>
      </c>
      <c r="F303" t="s">
        <v>487</v>
      </c>
      <c r="G303" s="3">
        <f t="shared" si="20"/>
        <v>45400</v>
      </c>
      <c r="H303" s="3">
        <v>0</v>
      </c>
      <c r="I303" s="3">
        <f t="shared" si="21"/>
        <v>45400</v>
      </c>
      <c r="J303" s="2" t="s">
        <v>27</v>
      </c>
      <c r="K303" s="5">
        <v>46287.583333333343</v>
      </c>
      <c r="L303">
        <v>4</v>
      </c>
      <c r="M303" s="3">
        <f t="shared" si="22"/>
        <v>11350</v>
      </c>
      <c r="N303" t="str">
        <f t="shared" si="23"/>
        <v>ставка</v>
      </c>
      <c r="O303" s="3">
        <f t="shared" si="24"/>
        <v>890.2</v>
      </c>
      <c r="P303" s="5">
        <v>46291.5</v>
      </c>
      <c r="Q303" t="s">
        <v>487</v>
      </c>
      <c r="R303" s="2" t="s">
        <v>40</v>
      </c>
      <c r="S303">
        <v>42</v>
      </c>
      <c r="T303">
        <v>1</v>
      </c>
    </row>
    <row r="304" spans="1:20" ht="30" x14ac:dyDescent="0.25">
      <c r="A304" t="s">
        <v>954</v>
      </c>
      <c r="B304">
        <v>1</v>
      </c>
      <c r="C304" s="2" t="s">
        <v>955</v>
      </c>
      <c r="D304" s="3">
        <v>19493.099999999999</v>
      </c>
      <c r="E304" s="4">
        <v>4</v>
      </c>
      <c r="F304" t="s">
        <v>55</v>
      </c>
      <c r="G304" s="3">
        <f t="shared" si="20"/>
        <v>20305.310000000001</v>
      </c>
      <c r="H304" s="3">
        <v>0</v>
      </c>
      <c r="I304" s="3">
        <f t="shared" si="21"/>
        <v>20305.310000000001</v>
      </c>
      <c r="J304" s="2" t="s">
        <v>27</v>
      </c>
      <c r="K304" s="5">
        <v>46287.729166666657</v>
      </c>
      <c r="L304">
        <v>2</v>
      </c>
      <c r="M304" s="3">
        <f t="shared" si="22"/>
        <v>10152.655000000001</v>
      </c>
      <c r="N304" t="str">
        <f t="shared" si="23"/>
        <v>ставка</v>
      </c>
      <c r="O304" s="3">
        <f t="shared" si="24"/>
        <v>398.14</v>
      </c>
      <c r="P304" s="5">
        <v>46289.5</v>
      </c>
      <c r="Q304" t="s">
        <v>55</v>
      </c>
      <c r="R304" s="2" t="s">
        <v>33</v>
      </c>
      <c r="S304">
        <v>43</v>
      </c>
      <c r="T304">
        <v>1</v>
      </c>
    </row>
    <row r="305" spans="1:20" x14ac:dyDescent="0.25">
      <c r="A305" t="s">
        <v>956</v>
      </c>
      <c r="B305">
        <v>1</v>
      </c>
      <c r="C305" s="2" t="s">
        <v>957</v>
      </c>
      <c r="D305" s="3">
        <v>14025</v>
      </c>
      <c r="E305" s="4">
        <v>15</v>
      </c>
      <c r="F305" t="s">
        <v>52</v>
      </c>
      <c r="G305" s="3">
        <f t="shared" si="20"/>
        <v>16500</v>
      </c>
      <c r="H305" s="3">
        <v>0</v>
      </c>
      <c r="I305" s="3">
        <f t="shared" si="21"/>
        <v>16500</v>
      </c>
      <c r="J305" s="2" t="s">
        <v>27</v>
      </c>
      <c r="K305" s="5">
        <v>46278.666666666657</v>
      </c>
      <c r="L305">
        <v>1</v>
      </c>
      <c r="M305" s="3">
        <f t="shared" si="22"/>
        <v>16500</v>
      </c>
      <c r="N305" t="str">
        <f t="shared" si="23"/>
        <v>ставка</v>
      </c>
      <c r="O305" s="3">
        <f t="shared" si="24"/>
        <v>323.52999999999997</v>
      </c>
      <c r="P305" s="5">
        <v>46279.5</v>
      </c>
      <c r="Q305" t="s">
        <v>52</v>
      </c>
      <c r="R305" s="2" t="s">
        <v>49</v>
      </c>
      <c r="S305">
        <v>35</v>
      </c>
      <c r="T305">
        <v>1</v>
      </c>
    </row>
    <row r="306" spans="1:20" ht="30" x14ac:dyDescent="0.25">
      <c r="A306" t="s">
        <v>958</v>
      </c>
      <c r="B306">
        <v>1</v>
      </c>
      <c r="C306" s="2" t="s">
        <v>959</v>
      </c>
      <c r="D306" s="3">
        <v>19068</v>
      </c>
      <c r="E306" s="4">
        <v>16</v>
      </c>
      <c r="F306" t="s">
        <v>36</v>
      </c>
      <c r="G306" s="3">
        <f t="shared" si="20"/>
        <v>22700</v>
      </c>
      <c r="H306" s="3">
        <v>0</v>
      </c>
      <c r="I306" s="3">
        <f t="shared" si="21"/>
        <v>22700</v>
      </c>
      <c r="J306" s="2" t="s">
        <v>27</v>
      </c>
      <c r="K306" s="5">
        <v>46287.583333333343</v>
      </c>
      <c r="L306">
        <v>2</v>
      </c>
      <c r="M306" s="3">
        <f t="shared" si="22"/>
        <v>11350</v>
      </c>
      <c r="N306" t="str">
        <f t="shared" si="23"/>
        <v>ставка</v>
      </c>
      <c r="O306" s="3">
        <f t="shared" si="24"/>
        <v>445.1</v>
      </c>
      <c r="P306" s="5">
        <v>46289.5</v>
      </c>
      <c r="Q306" t="s">
        <v>36</v>
      </c>
      <c r="R306" s="2" t="s">
        <v>40</v>
      </c>
      <c r="S306">
        <v>44</v>
      </c>
      <c r="T306">
        <v>1</v>
      </c>
    </row>
    <row r="307" spans="1:20" ht="30" x14ac:dyDescent="0.25">
      <c r="A307" t="s">
        <v>960</v>
      </c>
      <c r="B307">
        <v>1</v>
      </c>
      <c r="C307" s="2" t="s">
        <v>961</v>
      </c>
      <c r="D307" s="3">
        <v>30684.5</v>
      </c>
      <c r="E307" s="4">
        <v>4</v>
      </c>
      <c r="F307" t="s">
        <v>55</v>
      </c>
      <c r="G307" s="3">
        <f t="shared" si="20"/>
        <v>31963.02</v>
      </c>
      <c r="H307" s="3">
        <v>0</v>
      </c>
      <c r="I307" s="3">
        <f t="shared" si="21"/>
        <v>31963.02</v>
      </c>
      <c r="J307" s="2" t="s">
        <v>27</v>
      </c>
      <c r="K307" s="5">
        <v>46291.583333333343</v>
      </c>
      <c r="L307">
        <v>4</v>
      </c>
      <c r="M307" s="3">
        <f t="shared" si="22"/>
        <v>7990.7550000000001</v>
      </c>
      <c r="N307" t="str">
        <f t="shared" si="23"/>
        <v>ставка</v>
      </c>
      <c r="O307" s="3">
        <f t="shared" si="24"/>
        <v>626.73</v>
      </c>
      <c r="P307" s="5">
        <v>46295.5</v>
      </c>
      <c r="Q307" t="s">
        <v>55</v>
      </c>
      <c r="R307" s="2" t="s">
        <v>58</v>
      </c>
      <c r="S307">
        <v>34</v>
      </c>
      <c r="T307">
        <v>1</v>
      </c>
    </row>
    <row r="308" spans="1:20" ht="30" x14ac:dyDescent="0.25">
      <c r="A308" t="s">
        <v>962</v>
      </c>
      <c r="B308">
        <v>1</v>
      </c>
      <c r="C308" s="2" t="s">
        <v>963</v>
      </c>
      <c r="D308" s="3">
        <v>13090</v>
      </c>
      <c r="E308" s="4">
        <v>15</v>
      </c>
      <c r="F308" t="s">
        <v>52</v>
      </c>
      <c r="G308" s="3">
        <f t="shared" si="20"/>
        <v>15400</v>
      </c>
      <c r="H308" s="3">
        <v>0</v>
      </c>
      <c r="I308" s="3">
        <f t="shared" si="21"/>
        <v>15400</v>
      </c>
      <c r="J308" s="2" t="s">
        <v>27</v>
      </c>
      <c r="K308" s="5">
        <v>46237.583333333343</v>
      </c>
      <c r="L308">
        <v>2</v>
      </c>
      <c r="M308" s="3">
        <f t="shared" si="22"/>
        <v>7700</v>
      </c>
      <c r="N308" t="str">
        <f t="shared" si="23"/>
        <v>ставка</v>
      </c>
      <c r="O308" s="3">
        <f t="shared" si="24"/>
        <v>301.95999999999998</v>
      </c>
      <c r="P308" s="5">
        <v>46239.5</v>
      </c>
      <c r="Q308" t="s">
        <v>52</v>
      </c>
      <c r="R308" s="2" t="s">
        <v>58</v>
      </c>
      <c r="S308">
        <v>24</v>
      </c>
      <c r="T308">
        <v>1</v>
      </c>
    </row>
    <row r="309" spans="1:20" ht="30" x14ac:dyDescent="0.25">
      <c r="A309" t="s">
        <v>964</v>
      </c>
      <c r="B309">
        <v>1</v>
      </c>
      <c r="C309" s="2" t="s">
        <v>965</v>
      </c>
      <c r="D309" s="3">
        <v>25245</v>
      </c>
      <c r="E309" s="4">
        <v>0</v>
      </c>
      <c r="F309" t="s">
        <v>180</v>
      </c>
      <c r="G309" s="3">
        <f t="shared" si="20"/>
        <v>25245</v>
      </c>
      <c r="H309" s="3">
        <v>0</v>
      </c>
      <c r="I309" s="3">
        <f t="shared" si="21"/>
        <v>25245</v>
      </c>
      <c r="J309" s="2" t="s">
        <v>181</v>
      </c>
      <c r="K309" s="5">
        <v>46266.583333333343</v>
      </c>
      <c r="L309">
        <v>3</v>
      </c>
      <c r="M309" s="3">
        <f t="shared" si="22"/>
        <v>8415</v>
      </c>
      <c r="N309" t="str">
        <f t="shared" si="23"/>
        <v>ставка</v>
      </c>
      <c r="O309" s="3">
        <f t="shared" si="24"/>
        <v>495</v>
      </c>
      <c r="P309" s="5">
        <v>46269.5</v>
      </c>
      <c r="Q309" t="s">
        <v>180</v>
      </c>
      <c r="R309" s="2" t="s">
        <v>40</v>
      </c>
      <c r="S309">
        <v>46</v>
      </c>
      <c r="T309">
        <v>1</v>
      </c>
    </row>
    <row r="310" spans="1:20" ht="30" x14ac:dyDescent="0.25">
      <c r="A310" t="s">
        <v>968</v>
      </c>
      <c r="B310">
        <v>1</v>
      </c>
      <c r="C310" s="2" t="s">
        <v>969</v>
      </c>
      <c r="D310" s="3">
        <v>41085</v>
      </c>
      <c r="E310" s="4">
        <v>20</v>
      </c>
      <c r="F310" t="s">
        <v>173</v>
      </c>
      <c r="G310" s="3">
        <f t="shared" si="20"/>
        <v>51356.25</v>
      </c>
      <c r="H310" s="3">
        <v>0</v>
      </c>
      <c r="I310" s="3">
        <f t="shared" si="21"/>
        <v>51356.25</v>
      </c>
      <c r="J310" s="2" t="s">
        <v>27</v>
      </c>
      <c r="K310" s="5">
        <v>46243.583333333343</v>
      </c>
      <c r="L310">
        <v>5</v>
      </c>
      <c r="M310" s="3">
        <f t="shared" si="22"/>
        <v>10271.25</v>
      </c>
      <c r="N310" t="str">
        <f t="shared" si="23"/>
        <v>ставка</v>
      </c>
      <c r="O310" s="3">
        <f t="shared" si="24"/>
        <v>1006.99</v>
      </c>
      <c r="P310" s="5">
        <v>46248.5</v>
      </c>
      <c r="Q310" t="s">
        <v>173</v>
      </c>
      <c r="R310" s="2" t="s">
        <v>33</v>
      </c>
      <c r="S310">
        <v>47</v>
      </c>
      <c r="T310">
        <v>1</v>
      </c>
    </row>
    <row r="311" spans="1:20" ht="30" x14ac:dyDescent="0.25">
      <c r="A311" t="s">
        <v>970</v>
      </c>
      <c r="B311">
        <v>1</v>
      </c>
      <c r="C311" s="2" t="s">
        <v>971</v>
      </c>
      <c r="D311" s="3">
        <v>6557</v>
      </c>
      <c r="E311" s="4">
        <v>17</v>
      </c>
      <c r="F311" t="s">
        <v>130</v>
      </c>
      <c r="G311" s="3">
        <f t="shared" si="20"/>
        <v>7900</v>
      </c>
      <c r="H311" s="3">
        <v>0</v>
      </c>
      <c r="I311" s="3">
        <f t="shared" si="21"/>
        <v>7900</v>
      </c>
      <c r="J311" s="2" t="s">
        <v>27</v>
      </c>
      <c r="K311" s="5">
        <v>46216.583333333343</v>
      </c>
      <c r="L311">
        <v>1</v>
      </c>
      <c r="M311" s="3">
        <f t="shared" si="22"/>
        <v>7900</v>
      </c>
      <c r="N311" t="str">
        <f t="shared" si="23"/>
        <v>ставка</v>
      </c>
      <c r="O311" s="3">
        <f t="shared" si="24"/>
        <v>154.9</v>
      </c>
      <c r="P311" s="5">
        <v>46217.5</v>
      </c>
      <c r="Q311" t="s">
        <v>130</v>
      </c>
      <c r="R311" s="2" t="s">
        <v>33</v>
      </c>
      <c r="S311">
        <v>45</v>
      </c>
      <c r="T311">
        <v>1</v>
      </c>
    </row>
    <row r="312" spans="1:20" ht="30" x14ac:dyDescent="0.25">
      <c r="A312" t="s">
        <v>972</v>
      </c>
      <c r="B312">
        <v>1</v>
      </c>
      <c r="C312" s="2" t="s">
        <v>973</v>
      </c>
      <c r="D312" s="3">
        <v>34050</v>
      </c>
      <c r="E312" s="4">
        <v>4</v>
      </c>
      <c r="F312" t="s">
        <v>55</v>
      </c>
      <c r="G312" s="3">
        <f t="shared" si="20"/>
        <v>35468.75</v>
      </c>
      <c r="H312" s="3">
        <v>0</v>
      </c>
      <c r="I312" s="3">
        <f t="shared" si="21"/>
        <v>35468.75</v>
      </c>
      <c r="J312" s="2" t="s">
        <v>27</v>
      </c>
      <c r="K312" s="5">
        <v>46209.583333333343</v>
      </c>
      <c r="L312">
        <v>3</v>
      </c>
      <c r="M312" s="3">
        <f t="shared" si="22"/>
        <v>11822.916666666666</v>
      </c>
      <c r="N312" t="str">
        <f t="shared" si="23"/>
        <v>ставка</v>
      </c>
      <c r="O312" s="3">
        <f t="shared" si="24"/>
        <v>695.47</v>
      </c>
      <c r="P312" s="5">
        <v>46212.5</v>
      </c>
      <c r="Q312" t="s">
        <v>55</v>
      </c>
      <c r="R312" s="2" t="s">
        <v>40</v>
      </c>
      <c r="S312">
        <v>22</v>
      </c>
      <c r="T312">
        <v>1</v>
      </c>
    </row>
    <row r="313" spans="1:20" ht="30" x14ac:dyDescent="0.25">
      <c r="A313" t="s">
        <v>974</v>
      </c>
      <c r="B313">
        <v>1</v>
      </c>
      <c r="C313" s="2" t="s">
        <v>975</v>
      </c>
      <c r="D313" s="3">
        <v>11256</v>
      </c>
      <c r="E313" s="4">
        <v>16</v>
      </c>
      <c r="F313" t="s">
        <v>36</v>
      </c>
      <c r="G313" s="3">
        <f t="shared" si="20"/>
        <v>13400</v>
      </c>
      <c r="H313" s="3">
        <v>2240</v>
      </c>
      <c r="I313" s="3">
        <f t="shared" si="21"/>
        <v>15640</v>
      </c>
      <c r="J313" s="2" t="s">
        <v>976</v>
      </c>
      <c r="K313" s="5">
        <v>46263.583333333343</v>
      </c>
      <c r="L313">
        <v>1</v>
      </c>
      <c r="M313" s="3">
        <f t="shared" si="22"/>
        <v>15640</v>
      </c>
      <c r="N313" t="str">
        <f t="shared" si="23"/>
        <v>ставка</v>
      </c>
      <c r="O313" s="3">
        <f t="shared" si="24"/>
        <v>306.67</v>
      </c>
      <c r="P313" s="5">
        <v>46264.666666666657</v>
      </c>
      <c r="Q313" t="s">
        <v>36</v>
      </c>
      <c r="R313" s="2" t="s">
        <v>49</v>
      </c>
      <c r="S313">
        <v>11</v>
      </c>
      <c r="T313">
        <v>1</v>
      </c>
    </row>
    <row r="314" spans="1:20" ht="30" x14ac:dyDescent="0.25">
      <c r="A314" t="s">
        <v>977</v>
      </c>
      <c r="B314">
        <v>1</v>
      </c>
      <c r="C314" s="2" t="s">
        <v>978</v>
      </c>
      <c r="D314" s="3">
        <v>27240</v>
      </c>
      <c r="E314" s="4">
        <v>20</v>
      </c>
      <c r="F314" t="s">
        <v>293</v>
      </c>
      <c r="G314" s="3">
        <f t="shared" si="20"/>
        <v>34050</v>
      </c>
      <c r="H314" s="3">
        <v>0</v>
      </c>
      <c r="I314" s="3">
        <f t="shared" si="21"/>
        <v>34050</v>
      </c>
      <c r="J314" s="2" t="s">
        <v>294</v>
      </c>
      <c r="K314" s="5">
        <v>46206.583333333343</v>
      </c>
      <c r="L314">
        <v>3</v>
      </c>
      <c r="M314" s="3">
        <f t="shared" si="22"/>
        <v>11350</v>
      </c>
      <c r="N314" t="str">
        <f t="shared" si="23"/>
        <v>ставка</v>
      </c>
      <c r="O314" s="3">
        <f t="shared" si="24"/>
        <v>667.65</v>
      </c>
      <c r="P314" s="5">
        <v>46209.5</v>
      </c>
      <c r="Q314" t="s">
        <v>293</v>
      </c>
      <c r="R314" s="2" t="s">
        <v>40</v>
      </c>
      <c r="S314">
        <v>23</v>
      </c>
      <c r="T314">
        <v>1</v>
      </c>
    </row>
    <row r="315" spans="1:20" ht="30" x14ac:dyDescent="0.25">
      <c r="A315" t="s">
        <v>979</v>
      </c>
      <c r="B315">
        <v>1</v>
      </c>
      <c r="C315" s="2" t="s">
        <v>980</v>
      </c>
      <c r="D315" s="3">
        <v>26286.15</v>
      </c>
      <c r="E315" s="4">
        <v>4</v>
      </c>
      <c r="F315" t="s">
        <v>55</v>
      </c>
      <c r="G315" s="3">
        <f t="shared" si="20"/>
        <v>27381.41</v>
      </c>
      <c r="H315" s="3">
        <v>0</v>
      </c>
      <c r="I315" s="3">
        <f t="shared" si="21"/>
        <v>27381.41</v>
      </c>
      <c r="J315" s="2" t="s">
        <v>27</v>
      </c>
      <c r="K315" s="5">
        <v>46233.583333333343</v>
      </c>
      <c r="L315">
        <v>2</v>
      </c>
      <c r="M315" s="3">
        <f t="shared" si="22"/>
        <v>13690.705</v>
      </c>
      <c r="N315" t="str">
        <f t="shared" si="23"/>
        <v>ставка</v>
      </c>
      <c r="O315" s="3">
        <f t="shared" si="24"/>
        <v>536.89</v>
      </c>
      <c r="P315" s="5">
        <v>46235.5</v>
      </c>
      <c r="Q315" t="s">
        <v>55</v>
      </c>
      <c r="R315" s="2" t="s">
        <v>40</v>
      </c>
      <c r="S315">
        <v>32</v>
      </c>
      <c r="T315">
        <v>1</v>
      </c>
    </row>
    <row r="316" spans="1:20" ht="30" x14ac:dyDescent="0.25">
      <c r="A316" t="s">
        <v>981</v>
      </c>
      <c r="B316">
        <v>1</v>
      </c>
      <c r="C316" s="2" t="s">
        <v>982</v>
      </c>
      <c r="D316" s="3">
        <v>6004</v>
      </c>
      <c r="E316" s="4">
        <v>18</v>
      </c>
      <c r="F316" t="s">
        <v>32</v>
      </c>
      <c r="G316" s="3">
        <f t="shared" si="20"/>
        <v>7321.95</v>
      </c>
      <c r="H316" s="3">
        <v>0</v>
      </c>
      <c r="I316" s="3">
        <f t="shared" si="21"/>
        <v>7321.95</v>
      </c>
      <c r="J316" s="2" t="s">
        <v>27</v>
      </c>
      <c r="K316" s="5">
        <v>46240.583333333343</v>
      </c>
      <c r="L316">
        <v>1</v>
      </c>
      <c r="M316" s="3">
        <f t="shared" si="22"/>
        <v>7321.95</v>
      </c>
      <c r="N316" t="str">
        <f t="shared" si="23"/>
        <v>ставка</v>
      </c>
      <c r="O316" s="3">
        <f t="shared" si="24"/>
        <v>143.57</v>
      </c>
      <c r="P316" s="5">
        <v>46241.5</v>
      </c>
      <c r="Q316" t="s">
        <v>32</v>
      </c>
      <c r="R316" s="2" t="s">
        <v>33</v>
      </c>
      <c r="S316">
        <v>41</v>
      </c>
      <c r="T316">
        <v>1</v>
      </c>
    </row>
    <row r="317" spans="1:20" ht="30" x14ac:dyDescent="0.25">
      <c r="A317" t="s">
        <v>983</v>
      </c>
      <c r="B317">
        <v>1</v>
      </c>
      <c r="C317" s="2" t="s">
        <v>984</v>
      </c>
      <c r="D317" s="3">
        <v>106800</v>
      </c>
      <c r="E317" s="4">
        <v>20</v>
      </c>
      <c r="F317" t="s">
        <v>48</v>
      </c>
      <c r="G317" s="3">
        <f t="shared" si="20"/>
        <v>133500</v>
      </c>
      <c r="H317" s="3">
        <v>0</v>
      </c>
      <c r="I317" s="3">
        <f t="shared" si="21"/>
        <v>133500</v>
      </c>
      <c r="J317" s="2" t="s">
        <v>27</v>
      </c>
      <c r="K317" s="5">
        <v>46230.583333333343</v>
      </c>
      <c r="L317">
        <v>10</v>
      </c>
      <c r="M317" s="3">
        <f t="shared" si="22"/>
        <v>13350</v>
      </c>
      <c r="N317" t="str">
        <f t="shared" si="23"/>
        <v>ставка</v>
      </c>
      <c r="O317" s="3">
        <f t="shared" si="24"/>
        <v>2617.65</v>
      </c>
      <c r="P317" s="5">
        <v>46240.5</v>
      </c>
      <c r="Q317" t="s">
        <v>48</v>
      </c>
      <c r="R317" s="2" t="s">
        <v>40</v>
      </c>
      <c r="S317">
        <v>46</v>
      </c>
      <c r="T317">
        <v>1</v>
      </c>
    </row>
    <row r="318" spans="1:20" ht="30" x14ac:dyDescent="0.25">
      <c r="A318" t="s">
        <v>989</v>
      </c>
      <c r="B318">
        <v>1</v>
      </c>
      <c r="C318" s="2" t="s">
        <v>990</v>
      </c>
      <c r="D318" s="3">
        <v>11214</v>
      </c>
      <c r="E318" s="4">
        <v>16</v>
      </c>
      <c r="F318" t="s">
        <v>36</v>
      </c>
      <c r="G318" s="3">
        <f t="shared" si="20"/>
        <v>13350</v>
      </c>
      <c r="H318" s="3">
        <v>0</v>
      </c>
      <c r="I318" s="3">
        <f t="shared" si="21"/>
        <v>13350</v>
      </c>
      <c r="J318" s="2" t="s">
        <v>27</v>
      </c>
      <c r="K318" s="5">
        <v>46282.583333333343</v>
      </c>
      <c r="L318">
        <v>1</v>
      </c>
      <c r="M318" s="3">
        <f t="shared" si="22"/>
        <v>13350</v>
      </c>
      <c r="N318" t="str">
        <f t="shared" si="23"/>
        <v>ставка</v>
      </c>
      <c r="O318" s="3">
        <f t="shared" si="24"/>
        <v>261.76</v>
      </c>
      <c r="P318" s="5">
        <v>46283.5</v>
      </c>
      <c r="Q318" t="s">
        <v>36</v>
      </c>
      <c r="R318" s="2" t="s">
        <v>40</v>
      </c>
      <c r="S318">
        <v>23</v>
      </c>
      <c r="T318">
        <v>1</v>
      </c>
    </row>
    <row r="319" spans="1:20" ht="30" x14ac:dyDescent="0.25">
      <c r="A319" t="s">
        <v>991</v>
      </c>
      <c r="B319">
        <v>1</v>
      </c>
      <c r="C319" s="2" t="s">
        <v>992</v>
      </c>
      <c r="D319" s="3">
        <v>22861.3</v>
      </c>
      <c r="E319" s="4">
        <v>4</v>
      </c>
      <c r="F319" t="s">
        <v>55</v>
      </c>
      <c r="G319" s="3">
        <f t="shared" si="20"/>
        <v>23813.85</v>
      </c>
      <c r="H319" s="3">
        <v>0</v>
      </c>
      <c r="I319" s="3">
        <f t="shared" si="21"/>
        <v>23813.85</v>
      </c>
      <c r="J319" s="2" t="s">
        <v>27</v>
      </c>
      <c r="K319" s="5">
        <v>46218.583333333343</v>
      </c>
      <c r="L319">
        <v>3</v>
      </c>
      <c r="M319" s="3">
        <f t="shared" si="22"/>
        <v>7937.95</v>
      </c>
      <c r="N319" t="str">
        <f t="shared" si="23"/>
        <v>ставка</v>
      </c>
      <c r="O319" s="3">
        <f t="shared" si="24"/>
        <v>466.94</v>
      </c>
      <c r="P319" s="5">
        <v>46221.5</v>
      </c>
      <c r="Q319" t="s">
        <v>55</v>
      </c>
      <c r="R319" s="2" t="s">
        <v>58</v>
      </c>
      <c r="S319">
        <v>34</v>
      </c>
      <c r="T319">
        <v>1</v>
      </c>
    </row>
    <row r="320" spans="1:20" ht="30" x14ac:dyDescent="0.25">
      <c r="A320" t="s">
        <v>993</v>
      </c>
      <c r="B320">
        <v>1</v>
      </c>
      <c r="C320" s="2" t="s">
        <v>994</v>
      </c>
      <c r="D320" s="3">
        <v>29452.5</v>
      </c>
      <c r="E320" s="4">
        <v>4</v>
      </c>
      <c r="F320" t="s">
        <v>55</v>
      </c>
      <c r="G320" s="3">
        <f t="shared" si="20"/>
        <v>30679.69</v>
      </c>
      <c r="H320" s="3">
        <v>0</v>
      </c>
      <c r="I320" s="3">
        <f t="shared" si="21"/>
        <v>30679.69</v>
      </c>
      <c r="J320" s="2" t="s">
        <v>27</v>
      </c>
      <c r="K320" s="5">
        <v>46288.583333333343</v>
      </c>
      <c r="L320">
        <v>3</v>
      </c>
      <c r="M320" s="3">
        <f t="shared" si="22"/>
        <v>10226.563333333334</v>
      </c>
      <c r="N320" t="str">
        <f t="shared" si="23"/>
        <v>ставка</v>
      </c>
      <c r="O320" s="3">
        <f t="shared" si="24"/>
        <v>601.55999999999995</v>
      </c>
      <c r="P320" s="5">
        <v>46291.5</v>
      </c>
      <c r="Q320" t="s">
        <v>55</v>
      </c>
      <c r="R320" s="2" t="s">
        <v>33</v>
      </c>
      <c r="S320">
        <v>41</v>
      </c>
      <c r="T320">
        <v>1</v>
      </c>
    </row>
    <row r="321" spans="1:20" ht="30" x14ac:dyDescent="0.25">
      <c r="A321" t="s">
        <v>995</v>
      </c>
      <c r="B321">
        <v>1</v>
      </c>
      <c r="C321" s="2" t="s">
        <v>996</v>
      </c>
      <c r="D321" s="3">
        <v>16830</v>
      </c>
      <c r="E321" s="4">
        <v>15</v>
      </c>
      <c r="F321" t="s">
        <v>168</v>
      </c>
      <c r="G321" s="3">
        <f t="shared" si="20"/>
        <v>19800</v>
      </c>
      <c r="H321" s="3">
        <v>0</v>
      </c>
      <c r="I321" s="3">
        <f t="shared" si="21"/>
        <v>19800</v>
      </c>
      <c r="J321" s="2" t="s">
        <v>27</v>
      </c>
      <c r="K321" s="5">
        <v>46290.583333333343</v>
      </c>
      <c r="L321">
        <v>2</v>
      </c>
      <c r="M321" s="3">
        <f t="shared" si="22"/>
        <v>9900</v>
      </c>
      <c r="N321" t="str">
        <f t="shared" si="23"/>
        <v>ставка</v>
      </c>
      <c r="O321" s="3">
        <f t="shared" si="24"/>
        <v>388.24</v>
      </c>
      <c r="P321" s="5">
        <v>46292.5</v>
      </c>
      <c r="Q321" t="s">
        <v>168</v>
      </c>
      <c r="R321" s="2" t="s">
        <v>33</v>
      </c>
      <c r="S321">
        <v>45</v>
      </c>
      <c r="T321">
        <v>1</v>
      </c>
    </row>
    <row r="322" spans="1:20" ht="30" x14ac:dyDescent="0.25">
      <c r="A322" t="s">
        <v>997</v>
      </c>
      <c r="B322">
        <v>1</v>
      </c>
      <c r="C322" s="2" t="s">
        <v>998</v>
      </c>
      <c r="D322" s="3">
        <v>31481.5</v>
      </c>
      <c r="E322" s="4">
        <v>4</v>
      </c>
      <c r="F322" t="s">
        <v>55</v>
      </c>
      <c r="G322" s="3">
        <f t="shared" ref="G322:G385" si="25">ROUND(D322/(100-E322)*100,2)</f>
        <v>32793.230000000003</v>
      </c>
      <c r="H322" s="3">
        <v>0</v>
      </c>
      <c r="I322" s="3">
        <f t="shared" ref="I322:I385" si="26">ROUND(G322+H322,2)</f>
        <v>32793.230000000003</v>
      </c>
      <c r="J322" s="2" t="s">
        <v>27</v>
      </c>
      <c r="K322" s="5">
        <v>46252.583333333343</v>
      </c>
      <c r="L322">
        <v>4</v>
      </c>
      <c r="M322" s="3">
        <f t="shared" ref="M322:M385" si="27">I322/L322</f>
        <v>8198.3075000000008</v>
      </c>
      <c r="N322" t="str">
        <f t="shared" ref="N322:N385" si="28">IF(M322&gt;=5100,"ставка","мин.ставка")</f>
        <v>ставка</v>
      </c>
      <c r="O322" s="3">
        <f t="shared" ref="O322:O385" si="29">ROUND(IF(N322="мин.ставка",L322*100,I322/102*2),2)</f>
        <v>643</v>
      </c>
      <c r="P322" s="5">
        <v>46256.5</v>
      </c>
      <c r="Q322" t="s">
        <v>55</v>
      </c>
      <c r="R322" s="2" t="s">
        <v>33</v>
      </c>
      <c r="S322">
        <v>47</v>
      </c>
      <c r="T322">
        <v>1</v>
      </c>
    </row>
    <row r="323" spans="1:20" ht="30" x14ac:dyDescent="0.25">
      <c r="A323" t="s">
        <v>999</v>
      </c>
      <c r="B323">
        <v>1</v>
      </c>
      <c r="C323" s="2" t="s">
        <v>1000</v>
      </c>
      <c r="D323" s="3">
        <v>53400</v>
      </c>
      <c r="E323" s="4">
        <v>18</v>
      </c>
      <c r="F323" t="s">
        <v>32</v>
      </c>
      <c r="G323" s="3">
        <f t="shared" si="25"/>
        <v>65121.95</v>
      </c>
      <c r="H323" s="3">
        <v>0</v>
      </c>
      <c r="I323" s="3">
        <f t="shared" si="26"/>
        <v>65121.95</v>
      </c>
      <c r="J323" s="2" t="s">
        <v>27</v>
      </c>
      <c r="K323" s="5">
        <v>46251.583333333343</v>
      </c>
      <c r="L323">
        <v>5</v>
      </c>
      <c r="M323" s="3">
        <f t="shared" si="27"/>
        <v>13024.39</v>
      </c>
      <c r="N323" t="str">
        <f t="shared" si="28"/>
        <v>ставка</v>
      </c>
      <c r="O323" s="3">
        <f t="shared" si="29"/>
        <v>1276.9000000000001</v>
      </c>
      <c r="P323" s="5">
        <v>46256.5</v>
      </c>
      <c r="Q323" t="s">
        <v>32</v>
      </c>
      <c r="R323" s="2" t="s">
        <v>40</v>
      </c>
      <c r="S323">
        <v>36</v>
      </c>
      <c r="T323">
        <v>1</v>
      </c>
    </row>
    <row r="324" spans="1:20" ht="30" x14ac:dyDescent="0.25">
      <c r="A324" t="s">
        <v>1001</v>
      </c>
      <c r="B324">
        <v>1</v>
      </c>
      <c r="C324" s="2" t="s">
        <v>1002</v>
      </c>
      <c r="D324" s="3">
        <v>29700</v>
      </c>
      <c r="E324" s="4">
        <v>0</v>
      </c>
      <c r="F324" t="s">
        <v>23</v>
      </c>
      <c r="G324" s="3">
        <f t="shared" si="25"/>
        <v>29700</v>
      </c>
      <c r="H324" s="3">
        <v>0</v>
      </c>
      <c r="I324" s="3">
        <f t="shared" si="26"/>
        <v>29700</v>
      </c>
      <c r="J324" s="2" t="s">
        <v>27</v>
      </c>
      <c r="K324" s="5">
        <v>46275.583333333343</v>
      </c>
      <c r="L324">
        <v>2</v>
      </c>
      <c r="M324" s="3">
        <f t="shared" si="27"/>
        <v>14850</v>
      </c>
      <c r="N324" t="str">
        <f t="shared" si="28"/>
        <v>ставка</v>
      </c>
      <c r="O324" s="3">
        <f t="shared" si="29"/>
        <v>582.35</v>
      </c>
      <c r="P324" s="5">
        <v>46277.5</v>
      </c>
      <c r="Q324" t="s">
        <v>23</v>
      </c>
      <c r="R324" s="2" t="s">
        <v>49</v>
      </c>
      <c r="S324">
        <v>35</v>
      </c>
      <c r="T324">
        <v>1</v>
      </c>
    </row>
    <row r="325" spans="1:20" ht="30" x14ac:dyDescent="0.25">
      <c r="A325" t="s">
        <v>1003</v>
      </c>
      <c r="B325">
        <v>1</v>
      </c>
      <c r="C325" s="2" t="s">
        <v>1004</v>
      </c>
      <c r="D325" s="3">
        <v>56750</v>
      </c>
      <c r="E325" s="4">
        <v>0</v>
      </c>
      <c r="F325" t="s">
        <v>23</v>
      </c>
      <c r="G325" s="3">
        <f t="shared" si="25"/>
        <v>56750</v>
      </c>
      <c r="H325" s="3">
        <v>5675</v>
      </c>
      <c r="I325" s="3">
        <f t="shared" si="26"/>
        <v>62425</v>
      </c>
      <c r="J325" s="2" t="s">
        <v>341</v>
      </c>
      <c r="K325" s="5">
        <v>46278.583333333343</v>
      </c>
      <c r="L325">
        <v>5</v>
      </c>
      <c r="M325" s="3">
        <f t="shared" si="27"/>
        <v>12485</v>
      </c>
      <c r="N325" t="str">
        <f t="shared" si="28"/>
        <v>ставка</v>
      </c>
      <c r="O325" s="3">
        <f t="shared" si="29"/>
        <v>1224.02</v>
      </c>
      <c r="P325" s="5">
        <v>46283.75</v>
      </c>
      <c r="Q325" t="s">
        <v>23</v>
      </c>
      <c r="R325" s="2" t="s">
        <v>40</v>
      </c>
      <c r="S325">
        <v>36</v>
      </c>
      <c r="T325">
        <v>1</v>
      </c>
    </row>
    <row r="326" spans="1:20" ht="30" x14ac:dyDescent="0.25">
      <c r="A326" t="s">
        <v>1005</v>
      </c>
      <c r="B326">
        <v>1</v>
      </c>
      <c r="C326" s="2" t="s">
        <v>1006</v>
      </c>
      <c r="D326" s="3">
        <v>6557</v>
      </c>
      <c r="E326" s="4">
        <v>0</v>
      </c>
      <c r="F326" t="s">
        <v>23</v>
      </c>
      <c r="G326" s="3">
        <f t="shared" si="25"/>
        <v>6557</v>
      </c>
      <c r="H326" s="3">
        <v>0</v>
      </c>
      <c r="I326" s="3">
        <f t="shared" si="26"/>
        <v>6557</v>
      </c>
      <c r="J326" s="2" t="s">
        <v>27</v>
      </c>
      <c r="K326" s="5">
        <v>46286.583333333343</v>
      </c>
      <c r="L326">
        <v>1</v>
      </c>
      <c r="M326" s="3">
        <f t="shared" si="27"/>
        <v>6557</v>
      </c>
      <c r="N326" t="str">
        <f t="shared" si="28"/>
        <v>ставка</v>
      </c>
      <c r="O326" s="3">
        <f t="shared" si="29"/>
        <v>128.57</v>
      </c>
      <c r="P326" s="5">
        <v>46287.5</v>
      </c>
      <c r="Q326" t="s">
        <v>23</v>
      </c>
      <c r="R326" s="2" t="s">
        <v>33</v>
      </c>
      <c r="S326">
        <v>43</v>
      </c>
      <c r="T326">
        <v>1</v>
      </c>
    </row>
    <row r="327" spans="1:20" ht="30" x14ac:dyDescent="0.25">
      <c r="A327" t="s">
        <v>1007</v>
      </c>
      <c r="B327">
        <v>1</v>
      </c>
      <c r="C327" s="2" t="s">
        <v>1008</v>
      </c>
      <c r="D327" s="3">
        <v>10680</v>
      </c>
      <c r="E327" s="4">
        <v>18</v>
      </c>
      <c r="F327" t="s">
        <v>32</v>
      </c>
      <c r="G327" s="3">
        <f t="shared" si="25"/>
        <v>13024.39</v>
      </c>
      <c r="H327" s="3">
        <v>0</v>
      </c>
      <c r="I327" s="3">
        <f t="shared" si="26"/>
        <v>13024.39</v>
      </c>
      <c r="J327" s="2" t="s">
        <v>27</v>
      </c>
      <c r="K327" s="5">
        <v>46230.583333333343</v>
      </c>
      <c r="L327">
        <v>1</v>
      </c>
      <c r="M327" s="3">
        <f t="shared" si="27"/>
        <v>13024.39</v>
      </c>
      <c r="N327" t="str">
        <f t="shared" si="28"/>
        <v>ставка</v>
      </c>
      <c r="O327" s="3">
        <f t="shared" si="29"/>
        <v>255.38</v>
      </c>
      <c r="P327" s="5">
        <v>46231.5</v>
      </c>
      <c r="Q327" t="s">
        <v>32</v>
      </c>
      <c r="R327" s="2" t="s">
        <v>40</v>
      </c>
      <c r="S327">
        <v>23</v>
      </c>
      <c r="T327">
        <v>1</v>
      </c>
    </row>
    <row r="328" spans="1:20" ht="30" x14ac:dyDescent="0.25">
      <c r="A328" t="s">
        <v>1009</v>
      </c>
      <c r="B328">
        <v>1</v>
      </c>
      <c r="C328" s="2" t="s">
        <v>1010</v>
      </c>
      <c r="D328" s="3">
        <v>45390</v>
      </c>
      <c r="E328" s="4">
        <v>0</v>
      </c>
      <c r="F328" t="s">
        <v>245</v>
      </c>
      <c r="G328" s="3">
        <f t="shared" si="25"/>
        <v>45390</v>
      </c>
      <c r="H328" s="3">
        <v>0</v>
      </c>
      <c r="I328" s="3">
        <f t="shared" si="26"/>
        <v>45390</v>
      </c>
      <c r="J328" s="2" t="s">
        <v>27</v>
      </c>
      <c r="K328" s="5">
        <v>46233.583333333343</v>
      </c>
      <c r="L328">
        <v>4</v>
      </c>
      <c r="M328" s="3">
        <f t="shared" si="27"/>
        <v>11347.5</v>
      </c>
      <c r="N328" t="str">
        <f t="shared" si="28"/>
        <v>ставка</v>
      </c>
      <c r="O328" s="3">
        <f t="shared" si="29"/>
        <v>890</v>
      </c>
      <c r="P328" s="5">
        <v>46237.5</v>
      </c>
      <c r="Q328" t="s">
        <v>245</v>
      </c>
      <c r="R328" s="2" t="s">
        <v>40</v>
      </c>
      <c r="S328">
        <v>22</v>
      </c>
      <c r="T328">
        <v>1</v>
      </c>
    </row>
    <row r="329" spans="1:20" ht="30" x14ac:dyDescent="0.25">
      <c r="A329" t="s">
        <v>1011</v>
      </c>
      <c r="B329">
        <v>1</v>
      </c>
      <c r="C329" s="2" t="s">
        <v>1012</v>
      </c>
      <c r="D329" s="3">
        <v>26286.15</v>
      </c>
      <c r="E329" s="4">
        <v>4</v>
      </c>
      <c r="F329" t="s">
        <v>55</v>
      </c>
      <c r="G329" s="3">
        <f t="shared" si="25"/>
        <v>27381.41</v>
      </c>
      <c r="H329" s="3">
        <v>0</v>
      </c>
      <c r="I329" s="3">
        <f t="shared" si="26"/>
        <v>27381.41</v>
      </c>
      <c r="J329" s="2" t="s">
        <v>27</v>
      </c>
      <c r="K329" s="5">
        <v>46262.583333333343</v>
      </c>
      <c r="L329">
        <v>2</v>
      </c>
      <c r="M329" s="3">
        <f t="shared" si="27"/>
        <v>13690.705</v>
      </c>
      <c r="N329" t="str">
        <f t="shared" si="28"/>
        <v>ставка</v>
      </c>
      <c r="O329" s="3">
        <f t="shared" si="29"/>
        <v>536.89</v>
      </c>
      <c r="P329" s="5">
        <v>46264.5</v>
      </c>
      <c r="Q329" t="s">
        <v>55</v>
      </c>
      <c r="R329" s="2" t="s">
        <v>40</v>
      </c>
      <c r="S329">
        <v>26</v>
      </c>
      <c r="T329">
        <v>1</v>
      </c>
    </row>
    <row r="330" spans="1:20" ht="30" x14ac:dyDescent="0.25">
      <c r="A330" t="s">
        <v>1013</v>
      </c>
      <c r="B330">
        <v>1</v>
      </c>
      <c r="C330" s="2" t="s">
        <v>1014</v>
      </c>
      <c r="D330" s="3">
        <v>63910</v>
      </c>
      <c r="E330" s="4">
        <v>17</v>
      </c>
      <c r="F330" t="s">
        <v>130</v>
      </c>
      <c r="G330" s="3">
        <f t="shared" si="25"/>
        <v>77000</v>
      </c>
      <c r="H330" s="3">
        <v>0</v>
      </c>
      <c r="I330" s="3">
        <f t="shared" si="26"/>
        <v>77000</v>
      </c>
      <c r="J330" s="2" t="s">
        <v>27</v>
      </c>
      <c r="K330" s="5">
        <v>46278.583333333343</v>
      </c>
      <c r="L330">
        <v>5</v>
      </c>
      <c r="M330" s="3">
        <f t="shared" si="27"/>
        <v>15400</v>
      </c>
      <c r="N330" t="str">
        <f t="shared" si="28"/>
        <v>ставка</v>
      </c>
      <c r="O330" s="3">
        <f t="shared" si="29"/>
        <v>1509.8</v>
      </c>
      <c r="P330" s="5">
        <v>46283.5</v>
      </c>
      <c r="Q330" t="s">
        <v>130</v>
      </c>
      <c r="R330" s="2" t="s">
        <v>24</v>
      </c>
      <c r="S330">
        <v>21</v>
      </c>
      <c r="T330">
        <v>1</v>
      </c>
    </row>
    <row r="331" spans="1:20" ht="30" x14ac:dyDescent="0.25">
      <c r="A331" t="s">
        <v>1015</v>
      </c>
      <c r="B331">
        <v>1</v>
      </c>
      <c r="C331" s="2" t="s">
        <v>1016</v>
      </c>
      <c r="D331" s="3">
        <v>12936</v>
      </c>
      <c r="E331" s="4">
        <v>0</v>
      </c>
      <c r="F331" t="s">
        <v>23</v>
      </c>
      <c r="G331" s="3">
        <f t="shared" si="25"/>
        <v>12936</v>
      </c>
      <c r="H331" s="3">
        <v>0</v>
      </c>
      <c r="I331" s="3">
        <f t="shared" si="26"/>
        <v>12936</v>
      </c>
      <c r="J331" s="2" t="s">
        <v>27</v>
      </c>
      <c r="K331" s="5">
        <v>46268.583333333343</v>
      </c>
      <c r="L331">
        <v>1</v>
      </c>
      <c r="M331" s="3">
        <f t="shared" si="27"/>
        <v>12936</v>
      </c>
      <c r="N331" t="str">
        <f t="shared" si="28"/>
        <v>ставка</v>
      </c>
      <c r="O331" s="3">
        <f t="shared" si="29"/>
        <v>253.65</v>
      </c>
      <c r="P331" s="5">
        <v>46269.5</v>
      </c>
      <c r="Q331" t="s">
        <v>23</v>
      </c>
      <c r="R331" s="2" t="s">
        <v>24</v>
      </c>
      <c r="S331">
        <v>31</v>
      </c>
      <c r="T331">
        <v>1</v>
      </c>
    </row>
    <row r="332" spans="1:20" ht="30" x14ac:dyDescent="0.25">
      <c r="A332" t="s">
        <v>1017</v>
      </c>
      <c r="B332">
        <v>1</v>
      </c>
      <c r="C332" s="2" t="s">
        <v>1018</v>
      </c>
      <c r="D332" s="3">
        <v>13350</v>
      </c>
      <c r="E332" s="4">
        <v>0</v>
      </c>
      <c r="F332" t="s">
        <v>23</v>
      </c>
      <c r="G332" s="3">
        <f t="shared" si="25"/>
        <v>13350</v>
      </c>
      <c r="H332" s="3">
        <v>0</v>
      </c>
      <c r="I332" s="3">
        <f t="shared" si="26"/>
        <v>13350</v>
      </c>
      <c r="J332" s="2" t="s">
        <v>27</v>
      </c>
      <c r="K332" s="5">
        <v>46227.583333333343</v>
      </c>
      <c r="L332">
        <v>1</v>
      </c>
      <c r="M332" s="3">
        <f t="shared" si="27"/>
        <v>13350</v>
      </c>
      <c r="N332" t="str">
        <f t="shared" si="28"/>
        <v>ставка</v>
      </c>
      <c r="O332" s="3">
        <f t="shared" si="29"/>
        <v>261.76</v>
      </c>
      <c r="P332" s="5">
        <v>46228.5</v>
      </c>
      <c r="Q332" t="s">
        <v>23</v>
      </c>
      <c r="R332" s="2" t="s">
        <v>40</v>
      </c>
      <c r="S332">
        <v>32</v>
      </c>
      <c r="T332">
        <v>1</v>
      </c>
    </row>
    <row r="333" spans="1:20" ht="30" x14ac:dyDescent="0.25">
      <c r="A333" t="s">
        <v>1019</v>
      </c>
      <c r="B333">
        <v>1</v>
      </c>
      <c r="C333" s="2" t="s">
        <v>1020</v>
      </c>
      <c r="D333" s="3">
        <v>40050</v>
      </c>
      <c r="E333" s="4">
        <v>0</v>
      </c>
      <c r="F333" t="s">
        <v>23</v>
      </c>
      <c r="G333" s="3">
        <f t="shared" si="25"/>
        <v>40050</v>
      </c>
      <c r="H333" s="3">
        <v>0</v>
      </c>
      <c r="I333" s="3">
        <f t="shared" si="26"/>
        <v>40050</v>
      </c>
      <c r="J333" s="2" t="s">
        <v>27</v>
      </c>
      <c r="K333" s="5">
        <v>46259.583333333343</v>
      </c>
      <c r="L333">
        <v>3</v>
      </c>
      <c r="M333" s="3">
        <f t="shared" si="27"/>
        <v>13350</v>
      </c>
      <c r="N333" t="str">
        <f t="shared" si="28"/>
        <v>ставка</v>
      </c>
      <c r="O333" s="3">
        <f t="shared" si="29"/>
        <v>785.29</v>
      </c>
      <c r="P333" s="5">
        <v>46262.5</v>
      </c>
      <c r="Q333" t="s">
        <v>23</v>
      </c>
      <c r="R333" s="2" t="s">
        <v>40</v>
      </c>
      <c r="S333">
        <v>22</v>
      </c>
      <c r="T333">
        <v>1</v>
      </c>
    </row>
    <row r="334" spans="1:20" ht="30" x14ac:dyDescent="0.25">
      <c r="A334" t="s">
        <v>1021</v>
      </c>
      <c r="B334">
        <v>1</v>
      </c>
      <c r="C334" s="2" t="s">
        <v>1022</v>
      </c>
      <c r="D334" s="3">
        <v>15400</v>
      </c>
      <c r="E334" s="4">
        <v>0</v>
      </c>
      <c r="F334" t="s">
        <v>23</v>
      </c>
      <c r="G334" s="3">
        <f t="shared" si="25"/>
        <v>15400</v>
      </c>
      <c r="H334" s="3">
        <v>0</v>
      </c>
      <c r="I334" s="3">
        <f t="shared" si="26"/>
        <v>15400</v>
      </c>
      <c r="J334" s="2" t="s">
        <v>27</v>
      </c>
      <c r="K334" s="5">
        <v>46239.583333333343</v>
      </c>
      <c r="L334">
        <v>2</v>
      </c>
      <c r="M334" s="3">
        <f t="shared" si="27"/>
        <v>7700</v>
      </c>
      <c r="N334" t="str">
        <f t="shared" si="28"/>
        <v>ставка</v>
      </c>
      <c r="O334" s="3">
        <f t="shared" si="29"/>
        <v>301.95999999999998</v>
      </c>
      <c r="P334" s="5">
        <v>46241.5</v>
      </c>
      <c r="Q334" t="s">
        <v>23</v>
      </c>
      <c r="R334" s="2" t="s">
        <v>58</v>
      </c>
      <c r="S334">
        <v>34</v>
      </c>
      <c r="T334">
        <v>1</v>
      </c>
    </row>
    <row r="335" spans="1:20" ht="30" x14ac:dyDescent="0.25">
      <c r="A335" t="s">
        <v>1024</v>
      </c>
      <c r="B335">
        <v>1</v>
      </c>
      <c r="C335" s="2" t="s">
        <v>1025</v>
      </c>
      <c r="D335" s="3">
        <v>5852</v>
      </c>
      <c r="E335" s="4">
        <v>18</v>
      </c>
      <c r="F335" t="s">
        <v>32</v>
      </c>
      <c r="G335" s="3">
        <f t="shared" si="25"/>
        <v>7136.59</v>
      </c>
      <c r="H335" s="3">
        <v>0</v>
      </c>
      <c r="I335" s="3">
        <f t="shared" si="26"/>
        <v>7136.59</v>
      </c>
      <c r="J335" s="2" t="s">
        <v>27</v>
      </c>
      <c r="K335" s="5">
        <v>46267.583333333343</v>
      </c>
      <c r="L335">
        <v>1</v>
      </c>
      <c r="M335" s="3">
        <f t="shared" si="27"/>
        <v>7136.59</v>
      </c>
      <c r="N335" t="str">
        <f t="shared" si="28"/>
        <v>ставка</v>
      </c>
      <c r="O335" s="3">
        <f t="shared" si="29"/>
        <v>139.93</v>
      </c>
      <c r="P335" s="5">
        <v>46268.5</v>
      </c>
      <c r="Q335" t="s">
        <v>32</v>
      </c>
      <c r="R335" s="2" t="s">
        <v>58</v>
      </c>
      <c r="S335">
        <v>24</v>
      </c>
      <c r="T335">
        <v>1</v>
      </c>
    </row>
    <row r="336" spans="1:20" ht="30" x14ac:dyDescent="0.25">
      <c r="A336" t="s">
        <v>1026</v>
      </c>
      <c r="B336">
        <v>1</v>
      </c>
      <c r="C336" s="2" t="s">
        <v>1025</v>
      </c>
      <c r="D336" s="3">
        <v>5852</v>
      </c>
      <c r="E336" s="4">
        <v>18</v>
      </c>
      <c r="F336" t="s">
        <v>32</v>
      </c>
      <c r="G336" s="3">
        <f t="shared" si="25"/>
        <v>7136.59</v>
      </c>
      <c r="H336" s="3">
        <v>0</v>
      </c>
      <c r="I336" s="3">
        <f t="shared" si="26"/>
        <v>7136.59</v>
      </c>
      <c r="J336" s="2" t="s">
        <v>27</v>
      </c>
      <c r="K336" s="5">
        <v>46239.583333333343</v>
      </c>
      <c r="L336">
        <v>1</v>
      </c>
      <c r="M336" s="3">
        <f t="shared" si="27"/>
        <v>7136.59</v>
      </c>
      <c r="N336" t="str">
        <f t="shared" si="28"/>
        <v>ставка</v>
      </c>
      <c r="O336" s="3">
        <f t="shared" si="29"/>
        <v>139.93</v>
      </c>
      <c r="P336" s="5">
        <v>46240.5</v>
      </c>
      <c r="Q336" t="s">
        <v>32</v>
      </c>
      <c r="R336" s="2" t="s">
        <v>58</v>
      </c>
      <c r="S336">
        <v>24</v>
      </c>
      <c r="T336">
        <v>1</v>
      </c>
    </row>
    <row r="337" spans="1:20" ht="30" x14ac:dyDescent="0.25">
      <c r="A337" t="s">
        <v>1035</v>
      </c>
      <c r="B337">
        <v>1</v>
      </c>
      <c r="C337" s="2" t="s">
        <v>1036</v>
      </c>
      <c r="D337" s="3">
        <v>15284.5</v>
      </c>
      <c r="E337" s="4">
        <v>4</v>
      </c>
      <c r="F337" t="s">
        <v>55</v>
      </c>
      <c r="G337" s="3">
        <f t="shared" si="25"/>
        <v>15921.35</v>
      </c>
      <c r="H337" s="3">
        <v>0</v>
      </c>
      <c r="I337" s="3">
        <f t="shared" si="26"/>
        <v>15921.35</v>
      </c>
      <c r="J337" s="2" t="s">
        <v>27</v>
      </c>
      <c r="K337" s="5">
        <v>46268.583333333343</v>
      </c>
      <c r="L337">
        <v>2</v>
      </c>
      <c r="M337" s="3">
        <f t="shared" si="27"/>
        <v>7960.6750000000002</v>
      </c>
      <c r="N337" t="str">
        <f t="shared" si="28"/>
        <v>ставка</v>
      </c>
      <c r="O337" s="3">
        <f t="shared" si="29"/>
        <v>312.18</v>
      </c>
      <c r="P337" s="5">
        <v>46270.5</v>
      </c>
      <c r="Q337" t="s">
        <v>55</v>
      </c>
      <c r="R337" s="2" t="s">
        <v>58</v>
      </c>
      <c r="S337">
        <v>24</v>
      </c>
      <c r="T337">
        <v>1</v>
      </c>
    </row>
    <row r="338" spans="1:20" ht="30" x14ac:dyDescent="0.25">
      <c r="A338" t="s">
        <v>1039</v>
      </c>
      <c r="B338">
        <v>1</v>
      </c>
      <c r="C338" s="2" t="s">
        <v>1038</v>
      </c>
      <c r="D338" s="3">
        <v>13350</v>
      </c>
      <c r="E338" s="4">
        <v>0</v>
      </c>
      <c r="F338" t="s">
        <v>23</v>
      </c>
      <c r="G338" s="3">
        <f t="shared" si="25"/>
        <v>13350</v>
      </c>
      <c r="H338" s="3">
        <v>0</v>
      </c>
      <c r="I338" s="3">
        <f t="shared" si="26"/>
        <v>13350</v>
      </c>
      <c r="J338" s="2" t="s">
        <v>27</v>
      </c>
      <c r="K338" s="5">
        <v>46276.583333333343</v>
      </c>
      <c r="L338">
        <v>1</v>
      </c>
      <c r="M338" s="3">
        <f t="shared" si="27"/>
        <v>13350</v>
      </c>
      <c r="N338" t="str">
        <f t="shared" si="28"/>
        <v>ставка</v>
      </c>
      <c r="O338" s="3">
        <f t="shared" si="29"/>
        <v>261.76</v>
      </c>
      <c r="P338" s="5">
        <v>46277.5</v>
      </c>
      <c r="Q338" t="s">
        <v>23</v>
      </c>
      <c r="R338" s="2" t="s">
        <v>40</v>
      </c>
      <c r="S338">
        <v>46</v>
      </c>
      <c r="T338">
        <v>1</v>
      </c>
    </row>
    <row r="339" spans="1:20" ht="30" x14ac:dyDescent="0.25">
      <c r="A339" t="s">
        <v>1040</v>
      </c>
      <c r="B339">
        <v>1</v>
      </c>
      <c r="C339" s="2" t="s">
        <v>1041</v>
      </c>
      <c r="D339" s="3">
        <v>6320</v>
      </c>
      <c r="E339" s="4">
        <v>18</v>
      </c>
      <c r="F339" t="s">
        <v>32</v>
      </c>
      <c r="G339" s="3">
        <f t="shared" si="25"/>
        <v>7707.32</v>
      </c>
      <c r="H339" s="3">
        <v>0</v>
      </c>
      <c r="I339" s="3">
        <f t="shared" si="26"/>
        <v>7707.32</v>
      </c>
      <c r="J339" s="2" t="s">
        <v>27</v>
      </c>
      <c r="K339" s="5">
        <v>46230.583333333343</v>
      </c>
      <c r="L339">
        <v>1</v>
      </c>
      <c r="M339" s="3">
        <f t="shared" si="27"/>
        <v>7707.32</v>
      </c>
      <c r="N339" t="str">
        <f t="shared" si="28"/>
        <v>ставка</v>
      </c>
      <c r="O339" s="3">
        <f t="shared" si="29"/>
        <v>151.12</v>
      </c>
      <c r="P339" s="5">
        <v>46231.5</v>
      </c>
      <c r="Q339" t="s">
        <v>32</v>
      </c>
      <c r="R339" s="2" t="s">
        <v>33</v>
      </c>
      <c r="S339">
        <v>45</v>
      </c>
      <c r="T339">
        <v>1</v>
      </c>
    </row>
    <row r="340" spans="1:20" ht="30" x14ac:dyDescent="0.25">
      <c r="A340" t="s">
        <v>1042</v>
      </c>
      <c r="B340">
        <v>1</v>
      </c>
      <c r="C340" s="2" t="s">
        <v>1043</v>
      </c>
      <c r="D340" s="3">
        <v>20160</v>
      </c>
      <c r="E340" s="4">
        <v>17</v>
      </c>
      <c r="F340" t="s">
        <v>130</v>
      </c>
      <c r="G340" s="3">
        <f t="shared" si="25"/>
        <v>24289.16</v>
      </c>
      <c r="H340" s="3">
        <v>0</v>
      </c>
      <c r="I340" s="3">
        <f t="shared" si="26"/>
        <v>24289.16</v>
      </c>
      <c r="J340" s="2" t="s">
        <v>27</v>
      </c>
      <c r="K340" s="5">
        <v>46258.583333333343</v>
      </c>
      <c r="L340">
        <v>2</v>
      </c>
      <c r="M340" s="3">
        <f t="shared" si="27"/>
        <v>12144.58</v>
      </c>
      <c r="N340" t="str">
        <f t="shared" si="28"/>
        <v>ставка</v>
      </c>
      <c r="O340" s="3">
        <f t="shared" si="29"/>
        <v>476.26</v>
      </c>
      <c r="P340" s="5">
        <v>46260.5</v>
      </c>
      <c r="Q340" t="s">
        <v>130</v>
      </c>
      <c r="R340" s="2" t="s">
        <v>40</v>
      </c>
      <c r="S340">
        <v>32</v>
      </c>
      <c r="T340">
        <v>1</v>
      </c>
    </row>
    <row r="341" spans="1:20" x14ac:dyDescent="0.25">
      <c r="A341" t="s">
        <v>1046</v>
      </c>
      <c r="B341">
        <v>1</v>
      </c>
      <c r="C341" s="2" t="s">
        <v>1047</v>
      </c>
      <c r="D341" s="3">
        <v>15988.5</v>
      </c>
      <c r="E341" s="4">
        <v>4</v>
      </c>
      <c r="F341" t="s">
        <v>55</v>
      </c>
      <c r="G341" s="3">
        <f t="shared" si="25"/>
        <v>16654.689999999999</v>
      </c>
      <c r="H341" s="3">
        <v>0</v>
      </c>
      <c r="I341" s="3">
        <f t="shared" si="26"/>
        <v>16654.689999999999</v>
      </c>
      <c r="J341" s="2" t="s">
        <v>27</v>
      </c>
      <c r="K341" s="5">
        <v>46262.583333333343</v>
      </c>
      <c r="L341">
        <v>1</v>
      </c>
      <c r="M341" s="3">
        <f t="shared" si="27"/>
        <v>16654.689999999999</v>
      </c>
      <c r="N341" t="str">
        <f t="shared" si="28"/>
        <v>ставка</v>
      </c>
      <c r="O341" s="3">
        <f t="shared" si="29"/>
        <v>326.56</v>
      </c>
      <c r="P341" s="5">
        <v>46263.5</v>
      </c>
      <c r="Q341" t="s">
        <v>55</v>
      </c>
      <c r="R341" s="2" t="s">
        <v>49</v>
      </c>
      <c r="S341">
        <v>11</v>
      </c>
      <c r="T341">
        <v>1</v>
      </c>
    </row>
    <row r="342" spans="1:20" x14ac:dyDescent="0.25">
      <c r="A342" t="s">
        <v>1050</v>
      </c>
      <c r="B342">
        <v>1</v>
      </c>
      <c r="C342" s="2" t="s">
        <v>1051</v>
      </c>
      <c r="D342" s="3">
        <v>16500</v>
      </c>
      <c r="E342" s="4">
        <v>0</v>
      </c>
      <c r="F342" t="s">
        <v>23</v>
      </c>
      <c r="G342" s="3">
        <f t="shared" si="25"/>
        <v>16500</v>
      </c>
      <c r="H342" s="3">
        <v>0</v>
      </c>
      <c r="I342" s="3">
        <f t="shared" si="26"/>
        <v>16500</v>
      </c>
      <c r="J342" s="2" t="s">
        <v>27</v>
      </c>
      <c r="K342" s="5">
        <v>46249.583333333343</v>
      </c>
      <c r="L342">
        <v>1</v>
      </c>
      <c r="M342" s="3">
        <f t="shared" si="27"/>
        <v>16500</v>
      </c>
      <c r="N342" t="str">
        <f t="shared" si="28"/>
        <v>ставка</v>
      </c>
      <c r="O342" s="3">
        <f t="shared" si="29"/>
        <v>323.52999999999997</v>
      </c>
      <c r="P342" s="5">
        <v>46250.5</v>
      </c>
      <c r="Q342" t="s">
        <v>23</v>
      </c>
      <c r="R342" s="2" t="s">
        <v>49</v>
      </c>
      <c r="S342">
        <v>35</v>
      </c>
      <c r="T342">
        <v>1</v>
      </c>
    </row>
    <row r="343" spans="1:20" ht="30" x14ac:dyDescent="0.25">
      <c r="A343" t="s">
        <v>1052</v>
      </c>
      <c r="B343">
        <v>1</v>
      </c>
      <c r="C343" s="2" t="s">
        <v>1053</v>
      </c>
      <c r="D343" s="3">
        <v>6320</v>
      </c>
      <c r="E343" s="4">
        <v>20</v>
      </c>
      <c r="F343" t="s">
        <v>48</v>
      </c>
      <c r="G343" s="3">
        <f t="shared" si="25"/>
        <v>7900</v>
      </c>
      <c r="H343" s="3">
        <v>6320</v>
      </c>
      <c r="I343" s="3">
        <f t="shared" si="26"/>
        <v>14220</v>
      </c>
      <c r="J343" s="2" t="s">
        <v>1054</v>
      </c>
      <c r="K343" s="5">
        <v>46271.375</v>
      </c>
      <c r="L343">
        <v>1</v>
      </c>
      <c r="M343" s="3">
        <f t="shared" si="27"/>
        <v>14220</v>
      </c>
      <c r="N343" t="str">
        <f t="shared" si="28"/>
        <v>ставка</v>
      </c>
      <c r="O343" s="3">
        <f t="shared" si="29"/>
        <v>278.82</v>
      </c>
      <c r="P343" s="5">
        <v>46272.5</v>
      </c>
      <c r="Q343" t="s">
        <v>48</v>
      </c>
      <c r="R343" s="2" t="s">
        <v>33</v>
      </c>
      <c r="S343">
        <v>43</v>
      </c>
      <c r="T343">
        <v>1</v>
      </c>
    </row>
    <row r="344" spans="1:20" ht="30" x14ac:dyDescent="0.25">
      <c r="A344" t="s">
        <v>1057</v>
      </c>
      <c r="B344">
        <v>1</v>
      </c>
      <c r="C344" s="2" t="s">
        <v>1058</v>
      </c>
      <c r="D344" s="3">
        <v>9900</v>
      </c>
      <c r="E344" s="4">
        <v>15</v>
      </c>
      <c r="F344" t="s">
        <v>487</v>
      </c>
      <c r="G344" s="3">
        <f t="shared" si="25"/>
        <v>11647.06</v>
      </c>
      <c r="H344" s="3">
        <v>0</v>
      </c>
      <c r="I344" s="3">
        <f t="shared" si="26"/>
        <v>11647.06</v>
      </c>
      <c r="J344" s="2" t="s">
        <v>27</v>
      </c>
      <c r="K344" s="5">
        <v>46294.583333333343</v>
      </c>
      <c r="L344">
        <v>1</v>
      </c>
      <c r="M344" s="3">
        <f t="shared" si="27"/>
        <v>11647.06</v>
      </c>
      <c r="N344" t="str">
        <f t="shared" si="28"/>
        <v>ставка</v>
      </c>
      <c r="O344" s="3">
        <f t="shared" si="29"/>
        <v>228.37</v>
      </c>
      <c r="P344" s="5">
        <v>46295.5</v>
      </c>
      <c r="Q344" t="s">
        <v>487</v>
      </c>
      <c r="R344" s="2" t="s">
        <v>33</v>
      </c>
      <c r="S344">
        <v>47</v>
      </c>
      <c r="T344">
        <v>1</v>
      </c>
    </row>
    <row r="345" spans="1:20" ht="30" x14ac:dyDescent="0.25">
      <c r="A345" t="s">
        <v>1059</v>
      </c>
      <c r="B345">
        <v>1</v>
      </c>
      <c r="C345" s="2" t="s">
        <v>1060</v>
      </c>
      <c r="D345" s="3">
        <v>18160</v>
      </c>
      <c r="E345" s="4">
        <v>20</v>
      </c>
      <c r="F345" t="s">
        <v>103</v>
      </c>
      <c r="G345" s="3">
        <f t="shared" si="25"/>
        <v>22700</v>
      </c>
      <c r="H345" s="3">
        <v>0</v>
      </c>
      <c r="I345" s="3">
        <f t="shared" si="26"/>
        <v>22700</v>
      </c>
      <c r="J345" s="2" t="s">
        <v>27</v>
      </c>
      <c r="K345" s="5">
        <v>46210.583333333343</v>
      </c>
      <c r="L345">
        <v>2</v>
      </c>
      <c r="M345" s="3">
        <f t="shared" si="27"/>
        <v>11350</v>
      </c>
      <c r="N345" t="str">
        <f t="shared" si="28"/>
        <v>ставка</v>
      </c>
      <c r="O345" s="3">
        <f t="shared" si="29"/>
        <v>445.1</v>
      </c>
      <c r="P345" s="5">
        <v>46212.5</v>
      </c>
      <c r="Q345" t="s">
        <v>103</v>
      </c>
      <c r="R345" s="2" t="s">
        <v>40</v>
      </c>
      <c r="S345">
        <v>32</v>
      </c>
      <c r="T345">
        <v>1</v>
      </c>
    </row>
    <row r="346" spans="1:20" x14ac:dyDescent="0.25">
      <c r="A346" t="s">
        <v>1061</v>
      </c>
      <c r="B346">
        <v>1</v>
      </c>
      <c r="C346" s="2" t="s">
        <v>1062</v>
      </c>
      <c r="D346" s="3">
        <v>14775</v>
      </c>
      <c r="E346" s="4">
        <v>4</v>
      </c>
      <c r="F346" t="s">
        <v>55</v>
      </c>
      <c r="G346" s="3">
        <f t="shared" si="25"/>
        <v>15390.63</v>
      </c>
      <c r="H346" s="3">
        <v>0</v>
      </c>
      <c r="I346" s="3">
        <f t="shared" si="26"/>
        <v>15390.63</v>
      </c>
      <c r="J346" s="2"/>
      <c r="K346" s="5">
        <v>46216.583333333343</v>
      </c>
      <c r="L346">
        <v>1</v>
      </c>
      <c r="M346" s="3">
        <f t="shared" si="27"/>
        <v>15390.63</v>
      </c>
      <c r="N346" t="str">
        <f t="shared" si="28"/>
        <v>ставка</v>
      </c>
      <c r="O346" s="3">
        <f t="shared" si="29"/>
        <v>301.77999999999997</v>
      </c>
      <c r="P346" s="5">
        <v>46217.5</v>
      </c>
      <c r="Q346" t="s">
        <v>55</v>
      </c>
      <c r="R346" s="2" t="s">
        <v>49</v>
      </c>
      <c r="S346">
        <v>25</v>
      </c>
      <c r="T346">
        <v>1</v>
      </c>
    </row>
    <row r="347" spans="1:20" ht="30" x14ac:dyDescent="0.25">
      <c r="A347" t="s">
        <v>1063</v>
      </c>
      <c r="B347">
        <v>1</v>
      </c>
      <c r="C347" s="2" t="s">
        <v>1064</v>
      </c>
      <c r="D347" s="3">
        <v>22991</v>
      </c>
      <c r="E347" s="4">
        <v>17</v>
      </c>
      <c r="F347" t="s">
        <v>173</v>
      </c>
      <c r="G347" s="3">
        <f t="shared" si="25"/>
        <v>27700</v>
      </c>
      <c r="H347" s="3">
        <v>0</v>
      </c>
      <c r="I347" s="3">
        <f t="shared" si="26"/>
        <v>27700</v>
      </c>
      <c r="J347" s="2" t="s">
        <v>27</v>
      </c>
      <c r="K347" s="5">
        <v>46212.583333333343</v>
      </c>
      <c r="L347">
        <v>2</v>
      </c>
      <c r="M347" s="3">
        <f t="shared" si="27"/>
        <v>13850</v>
      </c>
      <c r="N347" t="str">
        <f t="shared" si="28"/>
        <v>ставка</v>
      </c>
      <c r="O347" s="3">
        <f t="shared" si="29"/>
        <v>543.14</v>
      </c>
      <c r="P347" s="5">
        <v>46214.5</v>
      </c>
      <c r="Q347" t="s">
        <v>173</v>
      </c>
      <c r="R347" s="2" t="s">
        <v>49</v>
      </c>
      <c r="S347">
        <v>35</v>
      </c>
      <c r="T347">
        <v>1</v>
      </c>
    </row>
    <row r="348" spans="1:20" ht="30" x14ac:dyDescent="0.25">
      <c r="A348" t="s">
        <v>1066</v>
      </c>
      <c r="B348">
        <v>1</v>
      </c>
      <c r="C348" s="2" t="s">
        <v>1067</v>
      </c>
      <c r="D348" s="3">
        <v>16252.5</v>
      </c>
      <c r="E348" s="4">
        <v>4</v>
      </c>
      <c r="F348" t="s">
        <v>55</v>
      </c>
      <c r="G348" s="3">
        <f t="shared" si="25"/>
        <v>16929.689999999999</v>
      </c>
      <c r="H348" s="3">
        <v>2064</v>
      </c>
      <c r="I348" s="3">
        <f t="shared" si="26"/>
        <v>18993.689999999999</v>
      </c>
      <c r="J348" s="2" t="s">
        <v>1068</v>
      </c>
      <c r="K348" s="5">
        <v>46289.583333333343</v>
      </c>
      <c r="L348">
        <v>1</v>
      </c>
      <c r="M348" s="3">
        <f t="shared" si="27"/>
        <v>18993.689999999999</v>
      </c>
      <c r="N348" t="str">
        <f t="shared" si="28"/>
        <v>ставка</v>
      </c>
      <c r="O348" s="3">
        <f t="shared" si="29"/>
        <v>372.43</v>
      </c>
      <c r="P348" s="5">
        <v>46290.625</v>
      </c>
      <c r="Q348" t="s">
        <v>55</v>
      </c>
      <c r="R348" s="2" t="s">
        <v>49</v>
      </c>
      <c r="S348">
        <v>25</v>
      </c>
      <c r="T348">
        <v>1</v>
      </c>
    </row>
    <row r="349" spans="1:20" ht="30" x14ac:dyDescent="0.25">
      <c r="A349" t="s">
        <v>1069</v>
      </c>
      <c r="B349">
        <v>1</v>
      </c>
      <c r="C349" s="2" t="s">
        <v>1070</v>
      </c>
      <c r="D349" s="3">
        <v>18960</v>
      </c>
      <c r="E349" s="4">
        <v>20</v>
      </c>
      <c r="F349" t="s">
        <v>48</v>
      </c>
      <c r="G349" s="3">
        <f t="shared" si="25"/>
        <v>23700</v>
      </c>
      <c r="H349" s="3">
        <v>0</v>
      </c>
      <c r="I349" s="3">
        <f t="shared" si="26"/>
        <v>23700</v>
      </c>
      <c r="J349" s="2" t="s">
        <v>27</v>
      </c>
      <c r="K349" s="5">
        <v>46275.583333333343</v>
      </c>
      <c r="L349">
        <v>3</v>
      </c>
      <c r="M349" s="3">
        <f t="shared" si="27"/>
        <v>7900</v>
      </c>
      <c r="N349" t="str">
        <f t="shared" si="28"/>
        <v>ставка</v>
      </c>
      <c r="O349" s="3">
        <f t="shared" si="29"/>
        <v>464.71</v>
      </c>
      <c r="P349" s="5">
        <v>46278.5</v>
      </c>
      <c r="Q349" t="s">
        <v>48</v>
      </c>
      <c r="R349" s="2" t="s">
        <v>33</v>
      </c>
      <c r="S349">
        <v>47</v>
      </c>
      <c r="T349">
        <v>1</v>
      </c>
    </row>
    <row r="350" spans="1:20" ht="30" x14ac:dyDescent="0.25">
      <c r="A350" t="s">
        <v>1073</v>
      </c>
      <c r="B350">
        <v>1</v>
      </c>
      <c r="C350" s="2" t="s">
        <v>1074</v>
      </c>
      <c r="D350" s="3">
        <v>16601.25</v>
      </c>
      <c r="E350" s="4">
        <v>18</v>
      </c>
      <c r="F350" t="s">
        <v>32</v>
      </c>
      <c r="G350" s="3">
        <f t="shared" si="25"/>
        <v>20245.43</v>
      </c>
      <c r="H350" s="3">
        <v>0</v>
      </c>
      <c r="I350" s="3">
        <f t="shared" si="26"/>
        <v>20245.43</v>
      </c>
      <c r="J350" s="2" t="s">
        <v>27</v>
      </c>
      <c r="K350" s="5">
        <v>46295.583333333343</v>
      </c>
      <c r="L350">
        <v>3</v>
      </c>
      <c r="M350" s="3">
        <f t="shared" si="27"/>
        <v>6748.4766666666665</v>
      </c>
      <c r="N350" t="str">
        <f t="shared" si="28"/>
        <v>ставка</v>
      </c>
      <c r="O350" s="3">
        <f t="shared" si="29"/>
        <v>396.97</v>
      </c>
      <c r="P350" s="5">
        <v>46298.5</v>
      </c>
      <c r="Q350" t="s">
        <v>32</v>
      </c>
      <c r="R350" s="2" t="s">
        <v>33</v>
      </c>
      <c r="S350">
        <v>41</v>
      </c>
      <c r="T350">
        <v>1</v>
      </c>
    </row>
    <row r="351" spans="1:20" ht="30" x14ac:dyDescent="0.25">
      <c r="A351" t="s">
        <v>1075</v>
      </c>
      <c r="B351">
        <v>1</v>
      </c>
      <c r="C351" s="2" t="s">
        <v>1076</v>
      </c>
      <c r="D351" s="3">
        <v>12936</v>
      </c>
      <c r="E351" s="4">
        <v>16</v>
      </c>
      <c r="F351" t="s">
        <v>36</v>
      </c>
      <c r="G351" s="3">
        <f t="shared" si="25"/>
        <v>15400</v>
      </c>
      <c r="H351" s="3">
        <v>0</v>
      </c>
      <c r="I351" s="3">
        <f t="shared" si="26"/>
        <v>15400</v>
      </c>
      <c r="J351" s="2" t="s">
        <v>27</v>
      </c>
      <c r="K351" s="5">
        <v>46250.583333333343</v>
      </c>
      <c r="L351">
        <v>1</v>
      </c>
      <c r="M351" s="3">
        <f t="shared" si="27"/>
        <v>15400</v>
      </c>
      <c r="N351" t="str">
        <f t="shared" si="28"/>
        <v>ставка</v>
      </c>
      <c r="O351" s="3">
        <f t="shared" si="29"/>
        <v>301.95999999999998</v>
      </c>
      <c r="P351" s="5">
        <v>46251.5</v>
      </c>
      <c r="Q351" t="s">
        <v>36</v>
      </c>
      <c r="R351" s="2" t="s">
        <v>24</v>
      </c>
      <c r="S351">
        <v>31</v>
      </c>
      <c r="T351">
        <v>1</v>
      </c>
    </row>
    <row r="352" spans="1:20" ht="30" x14ac:dyDescent="0.25">
      <c r="A352" t="s">
        <v>1077</v>
      </c>
      <c r="B352">
        <v>1</v>
      </c>
      <c r="C352" s="2" t="s">
        <v>1078</v>
      </c>
      <c r="D352" s="3">
        <v>8512.5</v>
      </c>
      <c r="E352" s="4">
        <v>18</v>
      </c>
      <c r="F352" t="s">
        <v>32</v>
      </c>
      <c r="G352" s="3">
        <f t="shared" si="25"/>
        <v>10381.1</v>
      </c>
      <c r="H352" s="3">
        <v>0</v>
      </c>
      <c r="I352" s="3">
        <f t="shared" si="26"/>
        <v>10381.1</v>
      </c>
      <c r="J352" s="2" t="s">
        <v>27</v>
      </c>
      <c r="K352" s="5">
        <v>46268.583333333343</v>
      </c>
      <c r="L352">
        <v>1</v>
      </c>
      <c r="M352" s="3">
        <f t="shared" si="27"/>
        <v>10381.1</v>
      </c>
      <c r="N352" t="str">
        <f t="shared" si="28"/>
        <v>ставка</v>
      </c>
      <c r="O352" s="3">
        <f t="shared" si="29"/>
        <v>203.55</v>
      </c>
      <c r="P352" s="5">
        <v>46269.5</v>
      </c>
      <c r="Q352" t="s">
        <v>32</v>
      </c>
      <c r="R352" s="2" t="s">
        <v>40</v>
      </c>
      <c r="S352">
        <v>44</v>
      </c>
      <c r="T352">
        <v>1</v>
      </c>
    </row>
    <row r="353" spans="1:20" x14ac:dyDescent="0.25">
      <c r="A353" t="s">
        <v>1081</v>
      </c>
      <c r="B353">
        <v>1</v>
      </c>
      <c r="C353" s="2" t="s">
        <v>1082</v>
      </c>
      <c r="D353" s="3">
        <v>32488.5</v>
      </c>
      <c r="E353" s="4">
        <v>4</v>
      </c>
      <c r="F353" t="s">
        <v>55</v>
      </c>
      <c r="G353" s="3">
        <f t="shared" si="25"/>
        <v>33842.19</v>
      </c>
      <c r="H353" s="3">
        <v>0</v>
      </c>
      <c r="I353" s="3">
        <f t="shared" si="26"/>
        <v>33842.19</v>
      </c>
      <c r="J353" s="2" t="s">
        <v>27</v>
      </c>
      <c r="K353" s="5">
        <v>46238.583333333343</v>
      </c>
      <c r="L353">
        <v>2</v>
      </c>
      <c r="M353" s="3">
        <f t="shared" si="27"/>
        <v>16921.095000000001</v>
      </c>
      <c r="N353" t="str">
        <f t="shared" si="28"/>
        <v>ставка</v>
      </c>
      <c r="O353" s="3">
        <f t="shared" si="29"/>
        <v>663.57</v>
      </c>
      <c r="P353" s="5">
        <v>46240.5</v>
      </c>
      <c r="Q353" t="s">
        <v>55</v>
      </c>
      <c r="R353" s="2" t="s">
        <v>49</v>
      </c>
      <c r="S353">
        <v>35</v>
      </c>
      <c r="T353">
        <v>1</v>
      </c>
    </row>
    <row r="354" spans="1:20" ht="30" x14ac:dyDescent="0.25">
      <c r="A354" t="s">
        <v>1083</v>
      </c>
      <c r="B354">
        <v>1</v>
      </c>
      <c r="C354" s="2" t="s">
        <v>1084</v>
      </c>
      <c r="D354" s="3">
        <v>15840</v>
      </c>
      <c r="E354" s="4">
        <v>20</v>
      </c>
      <c r="F354" t="s">
        <v>103</v>
      </c>
      <c r="G354" s="3">
        <f t="shared" si="25"/>
        <v>19800</v>
      </c>
      <c r="H354" s="3">
        <v>0</v>
      </c>
      <c r="I354" s="3">
        <f t="shared" si="26"/>
        <v>19800</v>
      </c>
      <c r="J354" s="2" t="s">
        <v>27</v>
      </c>
      <c r="K354" s="5">
        <v>46282.583333333343</v>
      </c>
      <c r="L354">
        <v>2</v>
      </c>
      <c r="M354" s="3">
        <f t="shared" si="27"/>
        <v>9900</v>
      </c>
      <c r="N354" t="str">
        <f t="shared" si="28"/>
        <v>ставка</v>
      </c>
      <c r="O354" s="3">
        <f t="shared" si="29"/>
        <v>388.24</v>
      </c>
      <c r="P354" s="5">
        <v>46284.5</v>
      </c>
      <c r="Q354" t="s">
        <v>103</v>
      </c>
      <c r="R354" s="2" t="s">
        <v>33</v>
      </c>
      <c r="S354">
        <v>45</v>
      </c>
      <c r="T354">
        <v>1</v>
      </c>
    </row>
    <row r="355" spans="1:20" x14ac:dyDescent="0.25">
      <c r="A355" t="s">
        <v>1085</v>
      </c>
      <c r="B355">
        <v>1</v>
      </c>
      <c r="C355" s="2" t="s">
        <v>1086</v>
      </c>
      <c r="D355" s="3">
        <v>14535</v>
      </c>
      <c r="E355" s="4">
        <v>4</v>
      </c>
      <c r="F355" t="s">
        <v>55</v>
      </c>
      <c r="G355" s="3">
        <f t="shared" si="25"/>
        <v>15140.63</v>
      </c>
      <c r="H355" s="3">
        <v>0</v>
      </c>
      <c r="I355" s="3">
        <f t="shared" si="26"/>
        <v>15140.63</v>
      </c>
      <c r="J355" s="2"/>
      <c r="K355" s="5">
        <v>46291.583333333343</v>
      </c>
      <c r="L355">
        <v>1</v>
      </c>
      <c r="M355" s="3">
        <f t="shared" si="27"/>
        <v>15140.63</v>
      </c>
      <c r="N355" t="str">
        <f t="shared" si="28"/>
        <v>ставка</v>
      </c>
      <c r="O355" s="3">
        <f t="shared" si="29"/>
        <v>296.88</v>
      </c>
      <c r="P355" s="5">
        <v>46292.5</v>
      </c>
      <c r="Q355" t="s">
        <v>55</v>
      </c>
      <c r="R355" s="2" t="s">
        <v>49</v>
      </c>
      <c r="S355">
        <v>11</v>
      </c>
      <c r="T355">
        <v>1</v>
      </c>
    </row>
    <row r="356" spans="1:20" ht="30" x14ac:dyDescent="0.25">
      <c r="A356" t="s">
        <v>1087</v>
      </c>
      <c r="B356">
        <v>1</v>
      </c>
      <c r="C356" s="2" t="s">
        <v>1088</v>
      </c>
      <c r="D356" s="3">
        <v>26499.75</v>
      </c>
      <c r="E356" s="4">
        <v>4</v>
      </c>
      <c r="F356" t="s">
        <v>55</v>
      </c>
      <c r="G356" s="3">
        <f t="shared" si="25"/>
        <v>27603.91</v>
      </c>
      <c r="H356" s="3">
        <v>0</v>
      </c>
      <c r="I356" s="3">
        <f t="shared" si="26"/>
        <v>27603.91</v>
      </c>
      <c r="J356" s="2" t="s">
        <v>27</v>
      </c>
      <c r="K356" s="5">
        <v>46205.583333333343</v>
      </c>
      <c r="L356">
        <v>2</v>
      </c>
      <c r="M356" s="3">
        <f t="shared" si="27"/>
        <v>13801.955</v>
      </c>
      <c r="N356" t="str">
        <f t="shared" si="28"/>
        <v>ставка</v>
      </c>
      <c r="O356" s="3">
        <f t="shared" si="29"/>
        <v>541.25</v>
      </c>
      <c r="P356" s="5">
        <v>46207.5</v>
      </c>
      <c r="Q356" t="s">
        <v>55</v>
      </c>
      <c r="R356" s="2" t="s">
        <v>40</v>
      </c>
      <c r="S356">
        <v>32</v>
      </c>
      <c r="T356">
        <v>1</v>
      </c>
    </row>
    <row r="357" spans="1:20" ht="30" x14ac:dyDescent="0.25">
      <c r="A357" t="s">
        <v>1093</v>
      </c>
      <c r="B357">
        <v>1</v>
      </c>
      <c r="C357" s="2" t="s">
        <v>1094</v>
      </c>
      <c r="D357" s="3">
        <v>9647.5</v>
      </c>
      <c r="E357" s="4">
        <v>15</v>
      </c>
      <c r="F357" t="s">
        <v>36</v>
      </c>
      <c r="G357" s="3">
        <f t="shared" si="25"/>
        <v>11350</v>
      </c>
      <c r="H357" s="3">
        <v>0</v>
      </c>
      <c r="I357" s="3">
        <f t="shared" si="26"/>
        <v>11350</v>
      </c>
      <c r="J357" s="2" t="s">
        <v>27</v>
      </c>
      <c r="K357" s="5">
        <v>46213.583333333343</v>
      </c>
      <c r="L357">
        <v>1</v>
      </c>
      <c r="M357" s="3">
        <f t="shared" si="27"/>
        <v>11350</v>
      </c>
      <c r="N357" t="str">
        <f t="shared" si="28"/>
        <v>ставка</v>
      </c>
      <c r="O357" s="3">
        <f t="shared" si="29"/>
        <v>222.55</v>
      </c>
      <c r="P357" s="5">
        <v>46214.5</v>
      </c>
      <c r="Q357" t="s">
        <v>36</v>
      </c>
      <c r="R357" s="2" t="s">
        <v>40</v>
      </c>
      <c r="S357">
        <v>42</v>
      </c>
      <c r="T357">
        <v>1</v>
      </c>
    </row>
    <row r="358" spans="1:20" ht="30" x14ac:dyDescent="0.25">
      <c r="A358" t="s">
        <v>1097</v>
      </c>
      <c r="B358">
        <v>1</v>
      </c>
      <c r="C358" s="2" t="s">
        <v>1098</v>
      </c>
      <c r="D358" s="3">
        <v>21976</v>
      </c>
      <c r="E358" s="4">
        <v>18</v>
      </c>
      <c r="F358" t="s">
        <v>248</v>
      </c>
      <c r="G358" s="3">
        <f t="shared" si="25"/>
        <v>26800</v>
      </c>
      <c r="H358" s="3">
        <v>0</v>
      </c>
      <c r="I358" s="3">
        <f t="shared" si="26"/>
        <v>26800</v>
      </c>
      <c r="J358" s="2" t="s">
        <v>27</v>
      </c>
      <c r="K358" s="5">
        <v>46219.583333333343</v>
      </c>
      <c r="L358">
        <v>2</v>
      </c>
      <c r="M358" s="3">
        <f t="shared" si="27"/>
        <v>13400</v>
      </c>
      <c r="N358" t="str">
        <f t="shared" si="28"/>
        <v>ставка</v>
      </c>
      <c r="O358" s="3">
        <f t="shared" si="29"/>
        <v>525.49</v>
      </c>
      <c r="P358" s="5">
        <v>46221.5</v>
      </c>
      <c r="Q358" t="s">
        <v>248</v>
      </c>
      <c r="R358" s="2" t="s">
        <v>24</v>
      </c>
      <c r="S358">
        <v>21</v>
      </c>
      <c r="T358">
        <v>1</v>
      </c>
    </row>
    <row r="359" spans="1:20" ht="30" x14ac:dyDescent="0.25">
      <c r="A359" t="s">
        <v>1099</v>
      </c>
      <c r="B359">
        <v>1</v>
      </c>
      <c r="C359" s="2" t="s">
        <v>1100</v>
      </c>
      <c r="D359" s="3">
        <v>12320</v>
      </c>
      <c r="E359" s="4">
        <v>20</v>
      </c>
      <c r="F359" t="s">
        <v>103</v>
      </c>
      <c r="G359" s="3">
        <f t="shared" si="25"/>
        <v>15400</v>
      </c>
      <c r="H359" s="3">
        <v>0</v>
      </c>
      <c r="I359" s="3">
        <f t="shared" si="26"/>
        <v>15400</v>
      </c>
      <c r="J359" s="2" t="s">
        <v>27</v>
      </c>
      <c r="K359" s="5">
        <v>46252.583333333343</v>
      </c>
      <c r="L359">
        <v>2</v>
      </c>
      <c r="M359" s="3">
        <f t="shared" si="27"/>
        <v>7700</v>
      </c>
      <c r="N359" t="str">
        <f t="shared" si="28"/>
        <v>ставка</v>
      </c>
      <c r="O359" s="3">
        <f t="shared" si="29"/>
        <v>301.95999999999998</v>
      </c>
      <c r="P359" s="5">
        <v>46254.5</v>
      </c>
      <c r="Q359" t="s">
        <v>103</v>
      </c>
      <c r="R359" s="2" t="s">
        <v>58</v>
      </c>
      <c r="S359">
        <v>24</v>
      </c>
      <c r="T359">
        <v>1</v>
      </c>
    </row>
    <row r="360" spans="1:20" ht="30" x14ac:dyDescent="0.25">
      <c r="A360" t="s">
        <v>1101</v>
      </c>
      <c r="B360">
        <v>1</v>
      </c>
      <c r="C360" s="2" t="s">
        <v>1102</v>
      </c>
      <c r="D360" s="3">
        <v>6314</v>
      </c>
      <c r="E360" s="4">
        <v>18</v>
      </c>
      <c r="F360" t="s">
        <v>147</v>
      </c>
      <c r="G360" s="3">
        <f t="shared" si="25"/>
        <v>7700</v>
      </c>
      <c r="H360" s="3">
        <v>0</v>
      </c>
      <c r="I360" s="3">
        <f t="shared" si="26"/>
        <v>7700</v>
      </c>
      <c r="J360" s="2" t="s">
        <v>27</v>
      </c>
      <c r="K360" s="5">
        <v>46293.583333333343</v>
      </c>
      <c r="L360">
        <v>1</v>
      </c>
      <c r="M360" s="3">
        <f t="shared" si="27"/>
        <v>7700</v>
      </c>
      <c r="N360" t="str">
        <f t="shared" si="28"/>
        <v>ставка</v>
      </c>
      <c r="O360" s="3">
        <f t="shared" si="29"/>
        <v>150.97999999999999</v>
      </c>
      <c r="P360" s="5">
        <v>46294.5</v>
      </c>
      <c r="Q360" t="s">
        <v>147</v>
      </c>
      <c r="R360" s="2" t="s">
        <v>58</v>
      </c>
      <c r="S360">
        <v>24</v>
      </c>
      <c r="T360">
        <v>1</v>
      </c>
    </row>
    <row r="361" spans="1:20" ht="30" x14ac:dyDescent="0.25">
      <c r="A361" t="s">
        <v>1103</v>
      </c>
      <c r="B361">
        <v>1</v>
      </c>
      <c r="C361" s="2" t="s">
        <v>1104</v>
      </c>
      <c r="D361" s="3">
        <v>16434</v>
      </c>
      <c r="E361" s="4">
        <v>17</v>
      </c>
      <c r="F361" t="s">
        <v>130</v>
      </c>
      <c r="G361" s="3">
        <f t="shared" si="25"/>
        <v>19800</v>
      </c>
      <c r="H361" s="3">
        <v>0</v>
      </c>
      <c r="I361" s="3">
        <f t="shared" si="26"/>
        <v>19800</v>
      </c>
      <c r="J361" s="2" t="s">
        <v>27</v>
      </c>
      <c r="K361" s="5">
        <v>46278.583333333343</v>
      </c>
      <c r="L361">
        <v>2</v>
      </c>
      <c r="M361" s="3">
        <f t="shared" si="27"/>
        <v>9900</v>
      </c>
      <c r="N361" t="str">
        <f t="shared" si="28"/>
        <v>ставка</v>
      </c>
      <c r="O361" s="3">
        <f t="shared" si="29"/>
        <v>388.24</v>
      </c>
      <c r="P361" s="5">
        <v>46280.5</v>
      </c>
      <c r="Q361" t="s">
        <v>130</v>
      </c>
      <c r="R361" s="2" t="s">
        <v>33</v>
      </c>
      <c r="S361">
        <v>47</v>
      </c>
      <c r="T361">
        <v>1</v>
      </c>
    </row>
    <row r="362" spans="1:20" ht="30" x14ac:dyDescent="0.25">
      <c r="A362" t="s">
        <v>1107</v>
      </c>
      <c r="B362">
        <v>1</v>
      </c>
      <c r="C362" s="2" t="s">
        <v>1108</v>
      </c>
      <c r="D362" s="3">
        <v>36918</v>
      </c>
      <c r="E362" s="4">
        <v>16</v>
      </c>
      <c r="F362" t="s">
        <v>36</v>
      </c>
      <c r="G362" s="3">
        <f t="shared" si="25"/>
        <v>43950</v>
      </c>
      <c r="H362" s="3">
        <v>0</v>
      </c>
      <c r="I362" s="3">
        <f t="shared" si="26"/>
        <v>43950</v>
      </c>
      <c r="J362" s="2" t="s">
        <v>27</v>
      </c>
      <c r="K362" s="5">
        <v>46293.583333333343</v>
      </c>
      <c r="L362">
        <v>4</v>
      </c>
      <c r="M362" s="3">
        <f t="shared" si="27"/>
        <v>10987.5</v>
      </c>
      <c r="N362" t="str">
        <f t="shared" si="28"/>
        <v>ставка</v>
      </c>
      <c r="O362" s="3">
        <f t="shared" si="29"/>
        <v>861.76</v>
      </c>
      <c r="P362" s="5">
        <v>46297.5</v>
      </c>
      <c r="Q362" t="s">
        <v>36</v>
      </c>
      <c r="R362" s="2" t="s">
        <v>40</v>
      </c>
      <c r="S362">
        <v>26</v>
      </c>
      <c r="T362">
        <v>1</v>
      </c>
    </row>
    <row r="363" spans="1:20" ht="30" x14ac:dyDescent="0.25">
      <c r="A363" t="s">
        <v>1109</v>
      </c>
      <c r="B363">
        <v>1</v>
      </c>
      <c r="C363" s="2" t="s">
        <v>1110</v>
      </c>
      <c r="D363" s="3">
        <v>9534</v>
      </c>
      <c r="E363" s="4">
        <v>16</v>
      </c>
      <c r="F363" t="s">
        <v>36</v>
      </c>
      <c r="G363" s="3">
        <f t="shared" si="25"/>
        <v>11350</v>
      </c>
      <c r="H363" s="3">
        <v>0</v>
      </c>
      <c r="I363" s="3">
        <f t="shared" si="26"/>
        <v>11350</v>
      </c>
      <c r="J363" s="2" t="s">
        <v>27</v>
      </c>
      <c r="K363" s="5">
        <v>46235.583333333343</v>
      </c>
      <c r="L363">
        <v>1</v>
      </c>
      <c r="M363" s="3">
        <f t="shared" si="27"/>
        <v>11350</v>
      </c>
      <c r="N363" t="str">
        <f t="shared" si="28"/>
        <v>ставка</v>
      </c>
      <c r="O363" s="3">
        <f t="shared" si="29"/>
        <v>222.55</v>
      </c>
      <c r="P363" s="5">
        <v>46236.5</v>
      </c>
      <c r="Q363" t="s">
        <v>36</v>
      </c>
      <c r="R363" s="2" t="s">
        <v>40</v>
      </c>
      <c r="S363">
        <v>23</v>
      </c>
      <c r="T363">
        <v>1</v>
      </c>
    </row>
    <row r="364" spans="1:20" ht="30" x14ac:dyDescent="0.25">
      <c r="A364" t="s">
        <v>1111</v>
      </c>
      <c r="B364">
        <v>1</v>
      </c>
      <c r="C364" s="2" t="s">
        <v>1112</v>
      </c>
      <c r="D364" s="3">
        <v>6320</v>
      </c>
      <c r="E364" s="4">
        <v>20</v>
      </c>
      <c r="F364" t="s">
        <v>48</v>
      </c>
      <c r="G364" s="3">
        <f t="shared" si="25"/>
        <v>7900</v>
      </c>
      <c r="H364" s="3">
        <v>0</v>
      </c>
      <c r="I364" s="3">
        <f t="shared" si="26"/>
        <v>7900</v>
      </c>
      <c r="J364" s="2" t="s">
        <v>27</v>
      </c>
      <c r="K364" s="5">
        <v>46217.583333333343</v>
      </c>
      <c r="L364">
        <v>1</v>
      </c>
      <c r="M364" s="3">
        <f t="shared" si="27"/>
        <v>7900</v>
      </c>
      <c r="N364" t="str">
        <f t="shared" si="28"/>
        <v>ставка</v>
      </c>
      <c r="O364" s="3">
        <f t="shared" si="29"/>
        <v>154.9</v>
      </c>
      <c r="P364" s="5">
        <v>46218.5</v>
      </c>
      <c r="Q364" t="s">
        <v>48</v>
      </c>
      <c r="R364" s="2" t="s">
        <v>33</v>
      </c>
      <c r="S364">
        <v>41</v>
      </c>
      <c r="T364">
        <v>1</v>
      </c>
    </row>
    <row r="365" spans="1:20" ht="30" x14ac:dyDescent="0.25">
      <c r="A365" t="s">
        <v>1113</v>
      </c>
      <c r="B365">
        <v>1</v>
      </c>
      <c r="C365" s="2" t="s">
        <v>1114</v>
      </c>
      <c r="D365" s="3">
        <v>13149.75</v>
      </c>
      <c r="E365" s="4">
        <v>4</v>
      </c>
      <c r="F365" t="s">
        <v>55</v>
      </c>
      <c r="G365" s="3">
        <f t="shared" si="25"/>
        <v>13697.66</v>
      </c>
      <c r="H365" s="3">
        <v>0</v>
      </c>
      <c r="I365" s="3">
        <f t="shared" si="26"/>
        <v>13697.66</v>
      </c>
      <c r="J365" s="2" t="s">
        <v>27</v>
      </c>
      <c r="K365" s="5">
        <v>46284.583333333343</v>
      </c>
      <c r="L365">
        <v>1</v>
      </c>
      <c r="M365" s="3">
        <f t="shared" si="27"/>
        <v>13697.66</v>
      </c>
      <c r="N365" t="str">
        <f t="shared" si="28"/>
        <v>ставка</v>
      </c>
      <c r="O365" s="3">
        <f t="shared" si="29"/>
        <v>268.58</v>
      </c>
      <c r="P365" s="5">
        <v>46285.5</v>
      </c>
      <c r="Q365" t="s">
        <v>55</v>
      </c>
      <c r="R365" s="2" t="s">
        <v>40</v>
      </c>
      <c r="S365">
        <v>33</v>
      </c>
      <c r="T365">
        <v>1</v>
      </c>
    </row>
    <row r="366" spans="1:20" ht="30" x14ac:dyDescent="0.25">
      <c r="A366" t="s">
        <v>1115</v>
      </c>
      <c r="B366">
        <v>1</v>
      </c>
      <c r="C366" s="2" t="s">
        <v>1116</v>
      </c>
      <c r="D366" s="3">
        <v>31680</v>
      </c>
      <c r="E366" s="4">
        <v>20</v>
      </c>
      <c r="F366" t="s">
        <v>48</v>
      </c>
      <c r="G366" s="3">
        <f t="shared" si="25"/>
        <v>39600</v>
      </c>
      <c r="H366" s="3">
        <v>0</v>
      </c>
      <c r="I366" s="3">
        <f t="shared" si="26"/>
        <v>39600</v>
      </c>
      <c r="J366" s="2" t="s">
        <v>27</v>
      </c>
      <c r="K366" s="5">
        <v>46286.583333333343</v>
      </c>
      <c r="L366">
        <v>4</v>
      </c>
      <c r="M366" s="3">
        <f t="shared" si="27"/>
        <v>9900</v>
      </c>
      <c r="N366" t="str">
        <f t="shared" si="28"/>
        <v>ставка</v>
      </c>
      <c r="O366" s="3">
        <f t="shared" si="29"/>
        <v>776.47</v>
      </c>
      <c r="P366" s="5">
        <v>46290.5</v>
      </c>
      <c r="Q366" t="s">
        <v>48</v>
      </c>
      <c r="R366" s="2" t="s">
        <v>33</v>
      </c>
      <c r="S366">
        <v>47</v>
      </c>
      <c r="T366">
        <v>1</v>
      </c>
    </row>
    <row r="367" spans="1:20" ht="30" x14ac:dyDescent="0.25">
      <c r="A367" t="s">
        <v>1117</v>
      </c>
      <c r="B367">
        <v>1</v>
      </c>
      <c r="C367" s="2" t="s">
        <v>1118</v>
      </c>
      <c r="D367" s="3">
        <v>53400</v>
      </c>
      <c r="E367" s="4">
        <v>20</v>
      </c>
      <c r="F367" t="s">
        <v>48</v>
      </c>
      <c r="G367" s="3">
        <f t="shared" si="25"/>
        <v>66750</v>
      </c>
      <c r="H367" s="3">
        <v>0</v>
      </c>
      <c r="I367" s="3">
        <f t="shared" si="26"/>
        <v>66750</v>
      </c>
      <c r="J367" s="2" t="s">
        <v>27</v>
      </c>
      <c r="K367" s="5">
        <v>46270.583333333343</v>
      </c>
      <c r="L367">
        <v>5</v>
      </c>
      <c r="M367" s="3">
        <f t="shared" si="27"/>
        <v>13350</v>
      </c>
      <c r="N367" t="str">
        <f t="shared" si="28"/>
        <v>ставка</v>
      </c>
      <c r="O367" s="3">
        <f t="shared" si="29"/>
        <v>1308.82</v>
      </c>
      <c r="P367" s="5">
        <v>46275.5</v>
      </c>
      <c r="Q367" t="s">
        <v>48</v>
      </c>
      <c r="R367" s="2" t="s">
        <v>40</v>
      </c>
      <c r="S367">
        <v>46</v>
      </c>
      <c r="T367">
        <v>1</v>
      </c>
    </row>
    <row r="368" spans="1:20" ht="30" x14ac:dyDescent="0.25">
      <c r="A368" t="s">
        <v>1121</v>
      </c>
      <c r="B368">
        <v>1</v>
      </c>
      <c r="C368" s="2" t="s">
        <v>1122</v>
      </c>
      <c r="D368" s="3">
        <v>8415</v>
      </c>
      <c r="E368" s="4">
        <v>15</v>
      </c>
      <c r="F368" t="s">
        <v>52</v>
      </c>
      <c r="G368" s="3">
        <f t="shared" si="25"/>
        <v>9900</v>
      </c>
      <c r="H368" s="3">
        <v>0</v>
      </c>
      <c r="I368" s="3">
        <f t="shared" si="26"/>
        <v>9900</v>
      </c>
      <c r="J368" s="2" t="s">
        <v>27</v>
      </c>
      <c r="K368" s="5">
        <v>46250.583333333343</v>
      </c>
      <c r="L368">
        <v>1</v>
      </c>
      <c r="M368" s="3">
        <f t="shared" si="27"/>
        <v>9900</v>
      </c>
      <c r="N368" t="str">
        <f t="shared" si="28"/>
        <v>ставка</v>
      </c>
      <c r="O368" s="3">
        <f t="shared" si="29"/>
        <v>194.12</v>
      </c>
      <c r="P368" s="5">
        <v>46251.5</v>
      </c>
      <c r="Q368" t="s">
        <v>52</v>
      </c>
      <c r="R368" s="2" t="s">
        <v>33</v>
      </c>
      <c r="S368">
        <v>41</v>
      </c>
      <c r="T368">
        <v>1</v>
      </c>
    </row>
    <row r="369" spans="1:20" ht="30" x14ac:dyDescent="0.25">
      <c r="A369" t="s">
        <v>1128</v>
      </c>
      <c r="B369">
        <v>1</v>
      </c>
      <c r="C369" s="2" t="s">
        <v>1129</v>
      </c>
      <c r="D369" s="3">
        <v>39451.5</v>
      </c>
      <c r="E369" s="4">
        <v>4</v>
      </c>
      <c r="F369" t="s">
        <v>55</v>
      </c>
      <c r="G369" s="3">
        <f t="shared" si="25"/>
        <v>41095.31</v>
      </c>
      <c r="H369" s="3">
        <v>0</v>
      </c>
      <c r="I369" s="3">
        <f t="shared" si="26"/>
        <v>41095.31</v>
      </c>
      <c r="J369" s="2" t="s">
        <v>27</v>
      </c>
      <c r="K369" s="5">
        <v>46223.9375</v>
      </c>
      <c r="L369">
        <v>4</v>
      </c>
      <c r="M369" s="3">
        <f t="shared" si="27"/>
        <v>10273.827499999999</v>
      </c>
      <c r="N369" t="str">
        <f t="shared" si="28"/>
        <v>ставка</v>
      </c>
      <c r="O369" s="3">
        <f t="shared" si="29"/>
        <v>805.79</v>
      </c>
      <c r="P369" s="5">
        <v>46227.5</v>
      </c>
      <c r="Q369" t="s">
        <v>55</v>
      </c>
      <c r="R369" s="2" t="s">
        <v>33</v>
      </c>
      <c r="S369">
        <v>47</v>
      </c>
      <c r="T369">
        <v>1</v>
      </c>
    </row>
    <row r="370" spans="1:20" ht="30" x14ac:dyDescent="0.25">
      <c r="A370" t="s">
        <v>1130</v>
      </c>
      <c r="B370">
        <v>1</v>
      </c>
      <c r="C370" s="2" t="s">
        <v>1131</v>
      </c>
      <c r="D370" s="3">
        <v>12640</v>
      </c>
      <c r="E370" s="4">
        <v>20</v>
      </c>
      <c r="F370" t="s">
        <v>48</v>
      </c>
      <c r="G370" s="3">
        <f t="shared" si="25"/>
        <v>15800</v>
      </c>
      <c r="H370" s="3">
        <v>0</v>
      </c>
      <c r="I370" s="3">
        <f t="shared" si="26"/>
        <v>15800</v>
      </c>
      <c r="J370" s="2" t="s">
        <v>27</v>
      </c>
      <c r="K370" s="5">
        <v>46280.583333333343</v>
      </c>
      <c r="L370">
        <v>2</v>
      </c>
      <c r="M370" s="3">
        <f t="shared" si="27"/>
        <v>7900</v>
      </c>
      <c r="N370" t="str">
        <f t="shared" si="28"/>
        <v>ставка</v>
      </c>
      <c r="O370" s="3">
        <f t="shared" si="29"/>
        <v>309.8</v>
      </c>
      <c r="P370" s="5">
        <v>46282.5</v>
      </c>
      <c r="Q370" t="s">
        <v>48</v>
      </c>
      <c r="R370" s="2" t="s">
        <v>33</v>
      </c>
      <c r="S370">
        <v>47</v>
      </c>
      <c r="T370">
        <v>1</v>
      </c>
    </row>
    <row r="371" spans="1:20" ht="30" x14ac:dyDescent="0.25">
      <c r="A371" t="s">
        <v>1132</v>
      </c>
      <c r="B371">
        <v>1</v>
      </c>
      <c r="C371" s="2" t="s">
        <v>1133</v>
      </c>
      <c r="D371" s="3">
        <v>18960</v>
      </c>
      <c r="E371" s="4">
        <v>20</v>
      </c>
      <c r="F371" t="s">
        <v>48</v>
      </c>
      <c r="G371" s="3">
        <f t="shared" si="25"/>
        <v>23700</v>
      </c>
      <c r="H371" s="3">
        <v>6000</v>
      </c>
      <c r="I371" s="3">
        <f t="shared" si="26"/>
        <v>29700</v>
      </c>
      <c r="J371" s="2" t="s">
        <v>1134</v>
      </c>
      <c r="K371" s="5">
        <v>46230.583333333343</v>
      </c>
      <c r="L371">
        <v>3</v>
      </c>
      <c r="M371" s="3">
        <f t="shared" si="27"/>
        <v>9900</v>
      </c>
      <c r="N371" t="str">
        <f t="shared" si="28"/>
        <v>ставка</v>
      </c>
      <c r="O371" s="3">
        <f t="shared" si="29"/>
        <v>582.35</v>
      </c>
      <c r="P371" s="5">
        <v>46233.5</v>
      </c>
      <c r="Q371" t="s">
        <v>48</v>
      </c>
      <c r="R371" s="2" t="s">
        <v>33</v>
      </c>
      <c r="S371">
        <v>43</v>
      </c>
      <c r="T371">
        <v>1</v>
      </c>
    </row>
    <row r="372" spans="1:20" ht="30" x14ac:dyDescent="0.25">
      <c r="A372" t="s">
        <v>1135</v>
      </c>
      <c r="B372">
        <v>1</v>
      </c>
      <c r="C372" s="2" t="s">
        <v>1136</v>
      </c>
      <c r="D372" s="3">
        <v>19295</v>
      </c>
      <c r="E372" s="4">
        <v>15</v>
      </c>
      <c r="F372" t="s">
        <v>110</v>
      </c>
      <c r="G372" s="3">
        <f t="shared" si="25"/>
        <v>22700</v>
      </c>
      <c r="H372" s="3">
        <v>0</v>
      </c>
      <c r="I372" s="3">
        <f t="shared" si="26"/>
        <v>22700</v>
      </c>
      <c r="J372" s="2" t="s">
        <v>27</v>
      </c>
      <c r="K372" s="5">
        <v>46211.583333333343</v>
      </c>
      <c r="L372">
        <v>2</v>
      </c>
      <c r="M372" s="3">
        <f t="shared" si="27"/>
        <v>11350</v>
      </c>
      <c r="N372" t="str">
        <f t="shared" si="28"/>
        <v>ставка</v>
      </c>
      <c r="O372" s="3">
        <f t="shared" si="29"/>
        <v>445.1</v>
      </c>
      <c r="P372" s="5">
        <v>46213.5</v>
      </c>
      <c r="Q372" t="s">
        <v>110</v>
      </c>
      <c r="R372" s="2" t="s">
        <v>40</v>
      </c>
      <c r="S372">
        <v>42</v>
      </c>
      <c r="T372">
        <v>1</v>
      </c>
    </row>
    <row r="373" spans="1:20" ht="30" x14ac:dyDescent="0.25">
      <c r="A373" t="s">
        <v>1138</v>
      </c>
      <c r="B373">
        <v>1</v>
      </c>
      <c r="C373" s="2" t="s">
        <v>1139</v>
      </c>
      <c r="D373" s="3">
        <v>15400</v>
      </c>
      <c r="E373" s="4">
        <v>0</v>
      </c>
      <c r="F373" t="s">
        <v>23</v>
      </c>
      <c r="G373" s="3">
        <f t="shared" si="25"/>
        <v>15400</v>
      </c>
      <c r="H373" s="3">
        <v>0</v>
      </c>
      <c r="I373" s="3">
        <f t="shared" si="26"/>
        <v>15400</v>
      </c>
      <c r="J373" s="2" t="s">
        <v>27</v>
      </c>
      <c r="K373" s="5">
        <v>46222.583333333343</v>
      </c>
      <c r="L373">
        <v>1</v>
      </c>
      <c r="M373" s="3">
        <f t="shared" si="27"/>
        <v>15400</v>
      </c>
      <c r="N373" t="str">
        <f t="shared" si="28"/>
        <v>ставка</v>
      </c>
      <c r="O373" s="3">
        <f t="shared" si="29"/>
        <v>301.95999999999998</v>
      </c>
      <c r="P373" s="5">
        <v>46223.5</v>
      </c>
      <c r="Q373" t="s">
        <v>23</v>
      </c>
      <c r="R373" s="2" t="s">
        <v>24</v>
      </c>
      <c r="S373">
        <v>31</v>
      </c>
      <c r="T373">
        <v>1</v>
      </c>
    </row>
    <row r="374" spans="1:20" ht="30" x14ac:dyDescent="0.25">
      <c r="A374" t="s">
        <v>1140</v>
      </c>
      <c r="B374">
        <v>1</v>
      </c>
      <c r="C374" s="2" t="s">
        <v>1141</v>
      </c>
      <c r="D374" s="3">
        <v>13350</v>
      </c>
      <c r="E374" s="4">
        <v>0</v>
      </c>
      <c r="F374" t="s">
        <v>23</v>
      </c>
      <c r="G374" s="3">
        <f t="shared" si="25"/>
        <v>13350</v>
      </c>
      <c r="H374" s="3">
        <v>0</v>
      </c>
      <c r="I374" s="3">
        <f t="shared" si="26"/>
        <v>13350</v>
      </c>
      <c r="J374" s="2" t="s">
        <v>27</v>
      </c>
      <c r="K374" s="5">
        <v>46226.583333333343</v>
      </c>
      <c r="L374">
        <v>1</v>
      </c>
      <c r="M374" s="3">
        <f t="shared" si="27"/>
        <v>13350</v>
      </c>
      <c r="N374" t="str">
        <f t="shared" si="28"/>
        <v>ставка</v>
      </c>
      <c r="O374" s="3">
        <f t="shared" si="29"/>
        <v>261.76</v>
      </c>
      <c r="P374" s="5">
        <v>46227.5</v>
      </c>
      <c r="Q374" t="s">
        <v>23</v>
      </c>
      <c r="R374" s="2" t="s">
        <v>40</v>
      </c>
      <c r="S374">
        <v>32</v>
      </c>
      <c r="T374">
        <v>1</v>
      </c>
    </row>
    <row r="375" spans="1:20" ht="30" x14ac:dyDescent="0.25">
      <c r="A375" t="s">
        <v>1142</v>
      </c>
      <c r="B375">
        <v>1</v>
      </c>
      <c r="C375" s="2" t="s">
        <v>1143</v>
      </c>
      <c r="D375" s="3">
        <v>39600</v>
      </c>
      <c r="E375" s="4">
        <v>20</v>
      </c>
      <c r="F375" t="s">
        <v>48</v>
      </c>
      <c r="G375" s="3">
        <f t="shared" si="25"/>
        <v>49500</v>
      </c>
      <c r="H375" s="3">
        <v>3440</v>
      </c>
      <c r="I375" s="3">
        <f t="shared" si="26"/>
        <v>52940</v>
      </c>
      <c r="J375" s="2" t="s">
        <v>1144</v>
      </c>
      <c r="K375" s="5">
        <v>46240.583333333343</v>
      </c>
      <c r="L375">
        <v>3</v>
      </c>
      <c r="M375" s="3">
        <f t="shared" si="27"/>
        <v>17646.666666666668</v>
      </c>
      <c r="N375" t="str">
        <f t="shared" si="28"/>
        <v>ставка</v>
      </c>
      <c r="O375" s="3">
        <f t="shared" si="29"/>
        <v>1038.04</v>
      </c>
      <c r="P375" s="5">
        <v>46243.458333333343</v>
      </c>
      <c r="Q375" t="s">
        <v>48</v>
      </c>
      <c r="R375" s="2" t="s">
        <v>49</v>
      </c>
      <c r="S375">
        <v>11</v>
      </c>
      <c r="T375">
        <v>1</v>
      </c>
    </row>
    <row r="376" spans="1:20" ht="30" x14ac:dyDescent="0.25">
      <c r="A376" t="s">
        <v>1148</v>
      </c>
      <c r="B376">
        <v>1</v>
      </c>
      <c r="C376" s="2" t="s">
        <v>1149</v>
      </c>
      <c r="D376" s="3">
        <v>12540</v>
      </c>
      <c r="E376" s="4">
        <v>18</v>
      </c>
      <c r="F376" t="s">
        <v>32</v>
      </c>
      <c r="G376" s="3">
        <f t="shared" si="25"/>
        <v>15292.68</v>
      </c>
      <c r="H376" s="3">
        <v>0</v>
      </c>
      <c r="I376" s="3">
        <f t="shared" si="26"/>
        <v>15292.68</v>
      </c>
      <c r="J376" s="2" t="s">
        <v>27</v>
      </c>
      <c r="K376" s="5">
        <v>46266.583333333343</v>
      </c>
      <c r="L376">
        <v>1</v>
      </c>
      <c r="M376" s="3">
        <f t="shared" si="27"/>
        <v>15292.68</v>
      </c>
      <c r="N376" t="str">
        <f t="shared" si="28"/>
        <v>ставка</v>
      </c>
      <c r="O376" s="3">
        <f t="shared" si="29"/>
        <v>299.86</v>
      </c>
      <c r="P376" s="5">
        <v>46267.5</v>
      </c>
      <c r="Q376" t="s">
        <v>32</v>
      </c>
      <c r="R376" s="2" t="s">
        <v>49</v>
      </c>
      <c r="S376">
        <v>11</v>
      </c>
      <c r="T376">
        <v>1</v>
      </c>
    </row>
    <row r="377" spans="1:20" ht="30" x14ac:dyDescent="0.25">
      <c r="A377" t="s">
        <v>1150</v>
      </c>
      <c r="B377">
        <v>1</v>
      </c>
      <c r="C377" s="2" t="s">
        <v>1151</v>
      </c>
      <c r="D377" s="3">
        <v>15169</v>
      </c>
      <c r="E377" s="4">
        <v>4</v>
      </c>
      <c r="F377" t="s">
        <v>55</v>
      </c>
      <c r="G377" s="3">
        <f t="shared" si="25"/>
        <v>15801.04</v>
      </c>
      <c r="H377" s="3">
        <v>0</v>
      </c>
      <c r="I377" s="3">
        <f t="shared" si="26"/>
        <v>15801.04</v>
      </c>
      <c r="J377" s="2" t="s">
        <v>27</v>
      </c>
      <c r="K377" s="5">
        <v>46246.583333333343</v>
      </c>
      <c r="L377">
        <v>1</v>
      </c>
      <c r="M377" s="3">
        <f t="shared" si="27"/>
        <v>15801.04</v>
      </c>
      <c r="N377" t="str">
        <f t="shared" si="28"/>
        <v>ставка</v>
      </c>
      <c r="O377" s="3">
        <f t="shared" si="29"/>
        <v>309.82</v>
      </c>
      <c r="P377" s="5">
        <v>46247.5</v>
      </c>
      <c r="Q377" t="s">
        <v>55</v>
      </c>
      <c r="R377" s="2" t="s">
        <v>24</v>
      </c>
      <c r="S377">
        <v>21</v>
      </c>
      <c r="T377">
        <v>1</v>
      </c>
    </row>
    <row r="378" spans="1:20" ht="30" x14ac:dyDescent="0.25">
      <c r="A378" t="s">
        <v>1152</v>
      </c>
      <c r="B378">
        <v>1</v>
      </c>
      <c r="C378" s="2" t="s">
        <v>1153</v>
      </c>
      <c r="D378" s="3">
        <v>18160</v>
      </c>
      <c r="E378" s="4">
        <v>20</v>
      </c>
      <c r="F378" t="s">
        <v>48</v>
      </c>
      <c r="G378" s="3">
        <f t="shared" si="25"/>
        <v>22700</v>
      </c>
      <c r="H378" s="3">
        <v>0</v>
      </c>
      <c r="I378" s="3">
        <f t="shared" si="26"/>
        <v>22700</v>
      </c>
      <c r="J378" s="2" t="s">
        <v>27</v>
      </c>
      <c r="K378" s="5">
        <v>46217.583333333343</v>
      </c>
      <c r="L378">
        <v>2</v>
      </c>
      <c r="M378" s="3">
        <f t="shared" si="27"/>
        <v>11350</v>
      </c>
      <c r="N378" t="str">
        <f t="shared" si="28"/>
        <v>ставка</v>
      </c>
      <c r="O378" s="3">
        <f t="shared" si="29"/>
        <v>445.1</v>
      </c>
      <c r="P378" s="5">
        <v>46219.5</v>
      </c>
      <c r="Q378" t="s">
        <v>48</v>
      </c>
      <c r="R378" s="2" t="s">
        <v>40</v>
      </c>
      <c r="S378">
        <v>33</v>
      </c>
      <c r="T378">
        <v>1</v>
      </c>
    </row>
    <row r="379" spans="1:20" ht="30" x14ac:dyDescent="0.25">
      <c r="A379" t="s">
        <v>1155</v>
      </c>
      <c r="B379">
        <v>1</v>
      </c>
      <c r="C379" s="2" t="s">
        <v>1156</v>
      </c>
      <c r="D379" s="3">
        <v>6320</v>
      </c>
      <c r="E379" s="4">
        <v>20</v>
      </c>
      <c r="F379" t="s">
        <v>48</v>
      </c>
      <c r="G379" s="3">
        <f t="shared" si="25"/>
        <v>7900</v>
      </c>
      <c r="H379" s="3">
        <v>0</v>
      </c>
      <c r="I379" s="3">
        <f t="shared" si="26"/>
        <v>7900</v>
      </c>
      <c r="J379" s="2" t="s">
        <v>27</v>
      </c>
      <c r="K379" s="5">
        <v>46233.583333333343</v>
      </c>
      <c r="L379">
        <v>1</v>
      </c>
      <c r="M379" s="3">
        <f t="shared" si="27"/>
        <v>7900</v>
      </c>
      <c r="N379" t="str">
        <f t="shared" si="28"/>
        <v>ставка</v>
      </c>
      <c r="O379" s="3">
        <f t="shared" si="29"/>
        <v>154.9</v>
      </c>
      <c r="P379" s="5">
        <v>46234.5</v>
      </c>
      <c r="Q379" t="s">
        <v>48</v>
      </c>
      <c r="R379" s="2" t="s">
        <v>33</v>
      </c>
      <c r="S379">
        <v>43</v>
      </c>
      <c r="T379">
        <v>1</v>
      </c>
    </row>
    <row r="380" spans="1:20" ht="30" x14ac:dyDescent="0.25">
      <c r="A380" t="s">
        <v>1157</v>
      </c>
      <c r="B380">
        <v>1</v>
      </c>
      <c r="C380" s="2" t="s">
        <v>1158</v>
      </c>
      <c r="D380" s="3">
        <v>49252.5</v>
      </c>
      <c r="E380" s="4">
        <v>4</v>
      </c>
      <c r="F380" t="s">
        <v>55</v>
      </c>
      <c r="G380" s="3">
        <f t="shared" si="25"/>
        <v>51304.69</v>
      </c>
      <c r="H380" s="3">
        <v>300</v>
      </c>
      <c r="I380" s="3">
        <f t="shared" si="26"/>
        <v>51604.69</v>
      </c>
      <c r="J380" s="2" t="s">
        <v>1159</v>
      </c>
      <c r="K380" s="5">
        <v>46228.583333333343</v>
      </c>
      <c r="L380">
        <v>3</v>
      </c>
      <c r="M380" s="3">
        <f t="shared" si="27"/>
        <v>17201.563333333335</v>
      </c>
      <c r="N380" t="str">
        <f t="shared" si="28"/>
        <v>ставка</v>
      </c>
      <c r="O380" s="3">
        <f t="shared" si="29"/>
        <v>1011.86</v>
      </c>
      <c r="P380" s="5">
        <v>46231.5</v>
      </c>
      <c r="Q380" t="s">
        <v>55</v>
      </c>
      <c r="R380" s="2" t="s">
        <v>49</v>
      </c>
      <c r="S380">
        <v>25</v>
      </c>
      <c r="T380">
        <v>1</v>
      </c>
    </row>
    <row r="381" spans="1:20" ht="30" x14ac:dyDescent="0.25">
      <c r="A381" t="s">
        <v>1160</v>
      </c>
      <c r="B381">
        <v>1</v>
      </c>
      <c r="C381" s="2" t="s">
        <v>1161</v>
      </c>
      <c r="D381" s="3">
        <v>6320</v>
      </c>
      <c r="E381" s="4">
        <v>0</v>
      </c>
      <c r="F381" t="s">
        <v>23</v>
      </c>
      <c r="G381" s="3">
        <f t="shared" si="25"/>
        <v>6320</v>
      </c>
      <c r="H381" s="3">
        <v>0</v>
      </c>
      <c r="I381" s="3">
        <f t="shared" si="26"/>
        <v>6320</v>
      </c>
      <c r="J381" s="2" t="s">
        <v>27</v>
      </c>
      <c r="K381" s="5">
        <v>46214.583333333343</v>
      </c>
      <c r="L381">
        <v>1</v>
      </c>
      <c r="M381" s="3">
        <f t="shared" si="27"/>
        <v>6320</v>
      </c>
      <c r="N381" t="str">
        <f t="shared" si="28"/>
        <v>ставка</v>
      </c>
      <c r="O381" s="3">
        <f t="shared" si="29"/>
        <v>123.92</v>
      </c>
      <c r="P381" s="5">
        <v>46215.5</v>
      </c>
      <c r="Q381" t="s">
        <v>23</v>
      </c>
      <c r="R381" s="2" t="s">
        <v>33</v>
      </c>
      <c r="S381">
        <v>41</v>
      </c>
      <c r="T381">
        <v>1</v>
      </c>
    </row>
    <row r="382" spans="1:20" ht="30" x14ac:dyDescent="0.25">
      <c r="A382" t="s">
        <v>1162</v>
      </c>
      <c r="B382">
        <v>1</v>
      </c>
      <c r="C382" s="2" t="s">
        <v>1163</v>
      </c>
      <c r="D382" s="3">
        <v>5852</v>
      </c>
      <c r="E382" s="4">
        <v>18</v>
      </c>
      <c r="F382" t="s">
        <v>32</v>
      </c>
      <c r="G382" s="3">
        <f t="shared" si="25"/>
        <v>7136.59</v>
      </c>
      <c r="H382" s="3">
        <v>0</v>
      </c>
      <c r="I382" s="3">
        <f t="shared" si="26"/>
        <v>7136.59</v>
      </c>
      <c r="J382" s="2" t="s">
        <v>27</v>
      </c>
      <c r="K382" s="5">
        <v>46222.583333333343</v>
      </c>
      <c r="L382">
        <v>1</v>
      </c>
      <c r="M382" s="3">
        <f t="shared" si="27"/>
        <v>7136.59</v>
      </c>
      <c r="N382" t="str">
        <f t="shared" si="28"/>
        <v>ставка</v>
      </c>
      <c r="O382" s="3">
        <f t="shared" si="29"/>
        <v>139.93</v>
      </c>
      <c r="P382" s="5">
        <v>46223.5</v>
      </c>
      <c r="Q382" t="s">
        <v>32</v>
      </c>
      <c r="R382" s="2" t="s">
        <v>58</v>
      </c>
      <c r="S382">
        <v>34</v>
      </c>
      <c r="T382">
        <v>1</v>
      </c>
    </row>
    <row r="383" spans="1:20" ht="30" x14ac:dyDescent="0.25">
      <c r="A383" t="s">
        <v>1170</v>
      </c>
      <c r="B383">
        <v>1</v>
      </c>
      <c r="C383" s="2" t="s">
        <v>1171</v>
      </c>
      <c r="D383" s="3">
        <v>18960</v>
      </c>
      <c r="E383" s="4">
        <v>20</v>
      </c>
      <c r="F383" t="s">
        <v>103</v>
      </c>
      <c r="G383" s="3">
        <f t="shared" si="25"/>
        <v>23700</v>
      </c>
      <c r="H383" s="3">
        <v>0</v>
      </c>
      <c r="I383" s="3">
        <f t="shared" si="26"/>
        <v>23700</v>
      </c>
      <c r="J383" s="2" t="s">
        <v>27</v>
      </c>
      <c r="K383" s="5">
        <v>46232.583333333343</v>
      </c>
      <c r="L383">
        <v>3</v>
      </c>
      <c r="M383" s="3">
        <f t="shared" si="27"/>
        <v>7900</v>
      </c>
      <c r="N383" t="str">
        <f t="shared" si="28"/>
        <v>ставка</v>
      </c>
      <c r="O383" s="3">
        <f t="shared" si="29"/>
        <v>464.71</v>
      </c>
      <c r="P383" s="5">
        <v>46235.5</v>
      </c>
      <c r="Q383" t="s">
        <v>103</v>
      </c>
      <c r="R383" s="2" t="s">
        <v>33</v>
      </c>
      <c r="S383">
        <v>41</v>
      </c>
      <c r="T383">
        <v>1</v>
      </c>
    </row>
    <row r="384" spans="1:20" ht="30" x14ac:dyDescent="0.25">
      <c r="A384" t="s">
        <v>1172</v>
      </c>
      <c r="B384">
        <v>1</v>
      </c>
      <c r="C384" s="2" t="s">
        <v>1173</v>
      </c>
      <c r="D384" s="3">
        <v>6715</v>
      </c>
      <c r="E384" s="4">
        <v>15</v>
      </c>
      <c r="F384" t="s">
        <v>52</v>
      </c>
      <c r="G384" s="3">
        <f t="shared" si="25"/>
        <v>7900</v>
      </c>
      <c r="H384" s="3">
        <v>0</v>
      </c>
      <c r="I384" s="3">
        <f t="shared" si="26"/>
        <v>7900</v>
      </c>
      <c r="J384" s="2" t="s">
        <v>27</v>
      </c>
      <c r="K384" s="5">
        <v>46256.583333333343</v>
      </c>
      <c r="L384">
        <v>1</v>
      </c>
      <c r="M384" s="3">
        <f t="shared" si="27"/>
        <v>7900</v>
      </c>
      <c r="N384" t="str">
        <f t="shared" si="28"/>
        <v>ставка</v>
      </c>
      <c r="O384" s="3">
        <f t="shared" si="29"/>
        <v>154.9</v>
      </c>
      <c r="P384" s="5">
        <v>46257.5</v>
      </c>
      <c r="Q384" t="s">
        <v>52</v>
      </c>
      <c r="R384" s="2" t="s">
        <v>33</v>
      </c>
      <c r="S384">
        <v>45</v>
      </c>
      <c r="T384">
        <v>1</v>
      </c>
    </row>
    <row r="385" spans="1:20" ht="30" x14ac:dyDescent="0.25">
      <c r="A385" t="s">
        <v>1174</v>
      </c>
      <c r="B385">
        <v>1</v>
      </c>
      <c r="C385" s="2" t="s">
        <v>1175</v>
      </c>
      <c r="D385" s="3">
        <v>20230</v>
      </c>
      <c r="E385" s="4">
        <v>15</v>
      </c>
      <c r="F385" t="s">
        <v>52</v>
      </c>
      <c r="G385" s="3">
        <f t="shared" si="25"/>
        <v>23800</v>
      </c>
      <c r="H385" s="3">
        <v>0</v>
      </c>
      <c r="I385" s="3">
        <f t="shared" si="26"/>
        <v>23800</v>
      </c>
      <c r="J385" s="2"/>
      <c r="K385" s="5">
        <v>46227.583333333343</v>
      </c>
      <c r="L385">
        <v>2</v>
      </c>
      <c r="M385" s="3">
        <f t="shared" si="27"/>
        <v>11900</v>
      </c>
      <c r="N385" t="str">
        <f t="shared" si="28"/>
        <v>ставка</v>
      </c>
      <c r="O385" s="3">
        <f t="shared" si="29"/>
        <v>466.67</v>
      </c>
      <c r="P385" s="5">
        <v>46229.5</v>
      </c>
      <c r="Q385" t="s">
        <v>52</v>
      </c>
      <c r="R385" s="2" t="s">
        <v>24</v>
      </c>
      <c r="S385">
        <v>21</v>
      </c>
      <c r="T385">
        <v>1</v>
      </c>
    </row>
    <row r="386" spans="1:20" ht="30" x14ac:dyDescent="0.25">
      <c r="A386" t="s">
        <v>1176</v>
      </c>
      <c r="B386">
        <v>1</v>
      </c>
      <c r="C386" s="2" t="s">
        <v>1177</v>
      </c>
      <c r="D386" s="3">
        <v>9080</v>
      </c>
      <c r="E386" s="4">
        <v>20</v>
      </c>
      <c r="F386" t="s">
        <v>103</v>
      </c>
      <c r="G386" s="3">
        <f t="shared" ref="G386:G449" si="30">ROUND(D386/(100-E386)*100,2)</f>
        <v>11350</v>
      </c>
      <c r="H386" s="3">
        <v>0</v>
      </c>
      <c r="I386" s="3">
        <f t="shared" ref="I386:I449" si="31">ROUND(G386+H386,2)</f>
        <v>11350</v>
      </c>
      <c r="J386" s="2" t="s">
        <v>27</v>
      </c>
      <c r="K386" s="5">
        <v>46280.583333333343</v>
      </c>
      <c r="L386">
        <v>1</v>
      </c>
      <c r="M386" s="3">
        <f t="shared" ref="M386:M449" si="32">I386/L386</f>
        <v>11350</v>
      </c>
      <c r="N386" t="str">
        <f t="shared" ref="N386:N449" si="33">IF(M386&gt;=5100,"ставка","мин.ставка")</f>
        <v>ставка</v>
      </c>
      <c r="O386" s="3">
        <f t="shared" ref="O386:O449" si="34">ROUND(IF(N386="мин.ставка",L386*100,I386/102*2),2)</f>
        <v>222.55</v>
      </c>
      <c r="P386" s="5">
        <v>46281.5</v>
      </c>
      <c r="Q386" t="s">
        <v>103</v>
      </c>
      <c r="R386" s="2" t="s">
        <v>40</v>
      </c>
      <c r="S386">
        <v>42</v>
      </c>
      <c r="T386">
        <v>1</v>
      </c>
    </row>
    <row r="387" spans="1:20" ht="30" x14ac:dyDescent="0.25">
      <c r="A387" t="s">
        <v>1178</v>
      </c>
      <c r="B387">
        <v>1</v>
      </c>
      <c r="C387" s="2" t="s">
        <v>1179</v>
      </c>
      <c r="D387" s="3">
        <v>23700</v>
      </c>
      <c r="E387" s="4">
        <v>0</v>
      </c>
      <c r="F387" t="s">
        <v>23</v>
      </c>
      <c r="G387" s="3">
        <f t="shared" si="30"/>
        <v>23700</v>
      </c>
      <c r="H387" s="3">
        <v>0</v>
      </c>
      <c r="I387" s="3">
        <f t="shared" si="31"/>
        <v>23700</v>
      </c>
      <c r="J387" s="2" t="s">
        <v>27</v>
      </c>
      <c r="K387" s="5">
        <v>46249.583333333343</v>
      </c>
      <c r="L387">
        <v>3</v>
      </c>
      <c r="M387" s="3">
        <f t="shared" si="32"/>
        <v>7900</v>
      </c>
      <c r="N387" t="str">
        <f t="shared" si="33"/>
        <v>ставка</v>
      </c>
      <c r="O387" s="3">
        <f t="shared" si="34"/>
        <v>464.71</v>
      </c>
      <c r="P387" s="5">
        <v>46252.5</v>
      </c>
      <c r="Q387" t="s">
        <v>23</v>
      </c>
      <c r="R387" s="2" t="s">
        <v>33</v>
      </c>
      <c r="S387">
        <v>47</v>
      </c>
      <c r="T387">
        <v>1</v>
      </c>
    </row>
    <row r="388" spans="1:20" ht="30" x14ac:dyDescent="0.25">
      <c r="A388" t="s">
        <v>1182</v>
      </c>
      <c r="B388">
        <v>1</v>
      </c>
      <c r="C388" s="2" t="s">
        <v>1183</v>
      </c>
      <c r="D388" s="3">
        <v>68085</v>
      </c>
      <c r="E388" s="4">
        <v>0</v>
      </c>
      <c r="F388" t="s">
        <v>245</v>
      </c>
      <c r="G388" s="3">
        <f t="shared" si="30"/>
        <v>68085</v>
      </c>
      <c r="H388" s="3">
        <v>0</v>
      </c>
      <c r="I388" s="3">
        <f t="shared" si="31"/>
        <v>68085</v>
      </c>
      <c r="J388" s="2" t="s">
        <v>27</v>
      </c>
      <c r="K388" s="5">
        <v>46229.583333333343</v>
      </c>
      <c r="L388">
        <v>6</v>
      </c>
      <c r="M388" s="3">
        <f t="shared" si="32"/>
        <v>11347.5</v>
      </c>
      <c r="N388" t="str">
        <f t="shared" si="33"/>
        <v>ставка</v>
      </c>
      <c r="O388" s="3">
        <f t="shared" si="34"/>
        <v>1335</v>
      </c>
      <c r="P388" s="5">
        <v>46235.5</v>
      </c>
      <c r="Q388" t="s">
        <v>245</v>
      </c>
      <c r="R388" s="2" t="s">
        <v>40</v>
      </c>
      <c r="S388">
        <v>42</v>
      </c>
      <c r="T388">
        <v>1</v>
      </c>
    </row>
    <row r="389" spans="1:20" ht="30" x14ac:dyDescent="0.25">
      <c r="A389" t="s">
        <v>1184</v>
      </c>
      <c r="B389">
        <v>1</v>
      </c>
      <c r="C389" s="2" t="s">
        <v>1185</v>
      </c>
      <c r="D389" s="3">
        <v>33660</v>
      </c>
      <c r="E389" s="4">
        <v>0</v>
      </c>
      <c r="F389" t="s">
        <v>245</v>
      </c>
      <c r="G389" s="3">
        <f t="shared" si="30"/>
        <v>33660</v>
      </c>
      <c r="H389" s="3">
        <v>0</v>
      </c>
      <c r="I389" s="3">
        <f t="shared" si="31"/>
        <v>33660</v>
      </c>
      <c r="J389" s="2" t="s">
        <v>27</v>
      </c>
      <c r="K389" s="5">
        <v>46290.583333333343</v>
      </c>
      <c r="L389">
        <v>4</v>
      </c>
      <c r="M389" s="3">
        <f t="shared" si="32"/>
        <v>8415</v>
      </c>
      <c r="N389" t="str">
        <f t="shared" si="33"/>
        <v>ставка</v>
      </c>
      <c r="O389" s="3">
        <f t="shared" si="34"/>
        <v>660</v>
      </c>
      <c r="P389" s="5">
        <v>46294.5</v>
      </c>
      <c r="Q389" t="s">
        <v>245</v>
      </c>
      <c r="R389" s="2" t="s">
        <v>33</v>
      </c>
      <c r="S389">
        <v>47</v>
      </c>
      <c r="T389">
        <v>1</v>
      </c>
    </row>
    <row r="390" spans="1:20" ht="30" x14ac:dyDescent="0.25">
      <c r="A390" t="s">
        <v>1193</v>
      </c>
      <c r="B390">
        <v>1</v>
      </c>
      <c r="C390" s="2" t="s">
        <v>1194</v>
      </c>
      <c r="D390" s="3">
        <v>13114</v>
      </c>
      <c r="E390" s="4">
        <v>17</v>
      </c>
      <c r="F390" t="s">
        <v>130</v>
      </c>
      <c r="G390" s="3">
        <f t="shared" si="30"/>
        <v>15800</v>
      </c>
      <c r="H390" s="3">
        <v>0</v>
      </c>
      <c r="I390" s="3">
        <f t="shared" si="31"/>
        <v>15800</v>
      </c>
      <c r="J390" s="2" t="s">
        <v>27</v>
      </c>
      <c r="K390" s="5">
        <v>46264.583333333343</v>
      </c>
      <c r="L390">
        <v>2</v>
      </c>
      <c r="M390" s="3">
        <f t="shared" si="32"/>
        <v>7900</v>
      </c>
      <c r="N390" t="str">
        <f t="shared" si="33"/>
        <v>ставка</v>
      </c>
      <c r="O390" s="3">
        <f t="shared" si="34"/>
        <v>309.8</v>
      </c>
      <c r="P390" s="5">
        <v>46266.5</v>
      </c>
      <c r="Q390" t="s">
        <v>130</v>
      </c>
      <c r="R390" s="2" t="s">
        <v>33</v>
      </c>
      <c r="S390">
        <v>43</v>
      </c>
      <c r="T390">
        <v>1</v>
      </c>
    </row>
    <row r="391" spans="1:20" ht="30" x14ac:dyDescent="0.25">
      <c r="A391" t="s">
        <v>1197</v>
      </c>
      <c r="B391">
        <v>1</v>
      </c>
      <c r="C391" s="2" t="s">
        <v>1198</v>
      </c>
      <c r="D391" s="3">
        <v>22695</v>
      </c>
      <c r="E391" s="4">
        <v>0</v>
      </c>
      <c r="F391" t="s">
        <v>245</v>
      </c>
      <c r="G391" s="3">
        <f t="shared" si="30"/>
        <v>22695</v>
      </c>
      <c r="H391" s="3">
        <v>0</v>
      </c>
      <c r="I391" s="3">
        <f t="shared" si="31"/>
        <v>22695</v>
      </c>
      <c r="J391" s="2" t="s">
        <v>27</v>
      </c>
      <c r="K391" s="5">
        <v>46275.583333333343</v>
      </c>
      <c r="L391">
        <v>2</v>
      </c>
      <c r="M391" s="3">
        <f t="shared" si="32"/>
        <v>11347.5</v>
      </c>
      <c r="N391" t="str">
        <f t="shared" si="33"/>
        <v>ставка</v>
      </c>
      <c r="O391" s="3">
        <f t="shared" si="34"/>
        <v>445</v>
      </c>
      <c r="P391" s="5">
        <v>46277.5</v>
      </c>
      <c r="Q391" t="s">
        <v>245</v>
      </c>
      <c r="R391" s="2" t="s">
        <v>49</v>
      </c>
      <c r="S391">
        <v>25</v>
      </c>
      <c r="T391">
        <v>1</v>
      </c>
    </row>
    <row r="392" spans="1:20" ht="30" x14ac:dyDescent="0.25">
      <c r="A392" t="s">
        <v>1199</v>
      </c>
      <c r="B392">
        <v>1</v>
      </c>
      <c r="C392" s="2" t="s">
        <v>1200</v>
      </c>
      <c r="D392" s="3">
        <v>22348.15</v>
      </c>
      <c r="E392" s="4">
        <v>4</v>
      </c>
      <c r="F392" t="s">
        <v>55</v>
      </c>
      <c r="G392" s="3">
        <f t="shared" si="30"/>
        <v>23279.32</v>
      </c>
      <c r="H392" s="3">
        <v>0</v>
      </c>
      <c r="I392" s="3">
        <f t="shared" si="31"/>
        <v>23279.32</v>
      </c>
      <c r="J392" s="2" t="s">
        <v>27</v>
      </c>
      <c r="K392" s="5">
        <v>46283.583333333343</v>
      </c>
      <c r="L392">
        <v>2</v>
      </c>
      <c r="M392" s="3">
        <f t="shared" si="32"/>
        <v>11639.66</v>
      </c>
      <c r="N392" t="str">
        <f t="shared" si="33"/>
        <v>ставка</v>
      </c>
      <c r="O392" s="3">
        <f t="shared" si="34"/>
        <v>456.46</v>
      </c>
      <c r="P392" s="5">
        <v>46285.5</v>
      </c>
      <c r="Q392" t="s">
        <v>55</v>
      </c>
      <c r="R392" s="2" t="s">
        <v>40</v>
      </c>
      <c r="S392">
        <v>22</v>
      </c>
      <c r="T392">
        <v>1</v>
      </c>
    </row>
    <row r="393" spans="1:20" ht="30" x14ac:dyDescent="0.25">
      <c r="A393" t="s">
        <v>1204</v>
      </c>
      <c r="B393">
        <v>1</v>
      </c>
      <c r="C393" s="2" t="s">
        <v>1205</v>
      </c>
      <c r="D393" s="3">
        <v>40200</v>
      </c>
      <c r="E393" s="4">
        <v>0</v>
      </c>
      <c r="F393" t="s">
        <v>23</v>
      </c>
      <c r="G393" s="3">
        <f t="shared" si="30"/>
        <v>40200</v>
      </c>
      <c r="H393" s="3">
        <v>0</v>
      </c>
      <c r="I393" s="3">
        <f t="shared" si="31"/>
        <v>40200</v>
      </c>
      <c r="J393" s="2" t="s">
        <v>27</v>
      </c>
      <c r="K393" s="5">
        <v>46231.583333333343</v>
      </c>
      <c r="L393">
        <v>3</v>
      </c>
      <c r="M393" s="3">
        <f t="shared" si="32"/>
        <v>13400</v>
      </c>
      <c r="N393" t="str">
        <f t="shared" si="33"/>
        <v>ставка</v>
      </c>
      <c r="O393" s="3">
        <f t="shared" si="34"/>
        <v>788.24</v>
      </c>
      <c r="P393" s="5">
        <v>46234.5</v>
      </c>
      <c r="Q393" t="s">
        <v>23</v>
      </c>
      <c r="R393" s="2" t="s">
        <v>24</v>
      </c>
      <c r="S393">
        <v>21</v>
      </c>
      <c r="T393">
        <v>1</v>
      </c>
    </row>
    <row r="394" spans="1:20" ht="30" x14ac:dyDescent="0.25">
      <c r="A394" t="s">
        <v>1211</v>
      </c>
      <c r="B394">
        <v>1</v>
      </c>
      <c r="C394" s="2" t="s">
        <v>1212</v>
      </c>
      <c r="D394" s="3">
        <v>6545</v>
      </c>
      <c r="E394" s="4">
        <v>15</v>
      </c>
      <c r="F394" t="s">
        <v>110</v>
      </c>
      <c r="G394" s="3">
        <f t="shared" si="30"/>
        <v>7700</v>
      </c>
      <c r="H394" s="3">
        <v>0</v>
      </c>
      <c r="I394" s="3">
        <f t="shared" si="31"/>
        <v>7700</v>
      </c>
      <c r="J394" s="2" t="s">
        <v>27</v>
      </c>
      <c r="K394" s="5">
        <v>46232.583333333343</v>
      </c>
      <c r="L394">
        <v>1</v>
      </c>
      <c r="M394" s="3">
        <f t="shared" si="32"/>
        <v>7700</v>
      </c>
      <c r="N394" t="str">
        <f t="shared" si="33"/>
        <v>ставка</v>
      </c>
      <c r="O394" s="3">
        <f t="shared" si="34"/>
        <v>150.97999999999999</v>
      </c>
      <c r="P394" s="5">
        <v>46233.5</v>
      </c>
      <c r="Q394" t="s">
        <v>110</v>
      </c>
      <c r="R394" s="2" t="s">
        <v>58</v>
      </c>
      <c r="S394">
        <v>34</v>
      </c>
      <c r="T394">
        <v>1</v>
      </c>
    </row>
    <row r="395" spans="1:20" ht="30" x14ac:dyDescent="0.25">
      <c r="A395" t="s">
        <v>1213</v>
      </c>
      <c r="B395">
        <v>1</v>
      </c>
      <c r="C395" s="2" t="s">
        <v>1214</v>
      </c>
      <c r="D395" s="3">
        <v>14820</v>
      </c>
      <c r="E395" s="4">
        <v>18</v>
      </c>
      <c r="F395" t="s">
        <v>32</v>
      </c>
      <c r="G395" s="3">
        <f t="shared" si="30"/>
        <v>18073.169999999998</v>
      </c>
      <c r="H395" s="3">
        <v>0</v>
      </c>
      <c r="I395" s="3">
        <f t="shared" si="31"/>
        <v>18073.169999999998</v>
      </c>
      <c r="J395" s="2" t="s">
        <v>27</v>
      </c>
      <c r="K395" s="5">
        <v>46295.583333333343</v>
      </c>
      <c r="L395">
        <v>2</v>
      </c>
      <c r="M395" s="3">
        <f t="shared" si="32"/>
        <v>9036.5849999999991</v>
      </c>
      <c r="N395" t="str">
        <f t="shared" si="33"/>
        <v>ставка</v>
      </c>
      <c r="O395" s="3">
        <f t="shared" si="34"/>
        <v>354.38</v>
      </c>
      <c r="P395" s="5">
        <v>46297.5</v>
      </c>
      <c r="Q395" t="s">
        <v>32</v>
      </c>
      <c r="R395" s="2" t="s">
        <v>33</v>
      </c>
      <c r="S395">
        <v>47</v>
      </c>
      <c r="T395">
        <v>1</v>
      </c>
    </row>
    <row r="396" spans="1:20" ht="30" x14ac:dyDescent="0.25">
      <c r="A396" t="s">
        <v>1223</v>
      </c>
      <c r="B396">
        <v>1</v>
      </c>
      <c r="C396" s="2" t="s">
        <v>1224</v>
      </c>
      <c r="D396" s="3">
        <v>6715</v>
      </c>
      <c r="E396" s="4">
        <v>15</v>
      </c>
      <c r="F396" t="s">
        <v>36</v>
      </c>
      <c r="G396" s="3">
        <f t="shared" si="30"/>
        <v>7900</v>
      </c>
      <c r="H396" s="3">
        <v>0</v>
      </c>
      <c r="I396" s="3">
        <f t="shared" si="31"/>
        <v>7900</v>
      </c>
      <c r="J396" s="2" t="s">
        <v>27</v>
      </c>
      <c r="K396" s="5">
        <v>46228.583333333343</v>
      </c>
      <c r="L396">
        <v>1</v>
      </c>
      <c r="M396" s="3">
        <f t="shared" si="32"/>
        <v>7900</v>
      </c>
      <c r="N396" t="str">
        <f t="shared" si="33"/>
        <v>ставка</v>
      </c>
      <c r="O396" s="3">
        <f t="shared" si="34"/>
        <v>154.9</v>
      </c>
      <c r="P396" s="5">
        <v>46229.5</v>
      </c>
      <c r="Q396" t="s">
        <v>36</v>
      </c>
      <c r="R396" s="2" t="s">
        <v>33</v>
      </c>
      <c r="S396">
        <v>41</v>
      </c>
      <c r="T396">
        <v>1</v>
      </c>
    </row>
    <row r="397" spans="1:20" ht="30" x14ac:dyDescent="0.25">
      <c r="A397" t="s">
        <v>1225</v>
      </c>
      <c r="B397">
        <v>1</v>
      </c>
      <c r="C397" s="2" t="s">
        <v>1226</v>
      </c>
      <c r="D397" s="3">
        <v>22428</v>
      </c>
      <c r="E397" s="4">
        <v>16</v>
      </c>
      <c r="F397" t="s">
        <v>36</v>
      </c>
      <c r="G397" s="3">
        <f t="shared" si="30"/>
        <v>26700</v>
      </c>
      <c r="H397" s="3">
        <v>0</v>
      </c>
      <c r="I397" s="3">
        <f t="shared" si="31"/>
        <v>26700</v>
      </c>
      <c r="J397" s="2" t="s">
        <v>27</v>
      </c>
      <c r="K397" s="5">
        <v>46271.583333333343</v>
      </c>
      <c r="L397">
        <v>2</v>
      </c>
      <c r="M397" s="3">
        <f t="shared" si="32"/>
        <v>13350</v>
      </c>
      <c r="N397" t="str">
        <f t="shared" si="33"/>
        <v>ставка</v>
      </c>
      <c r="O397" s="3">
        <f t="shared" si="34"/>
        <v>523.53</v>
      </c>
      <c r="P397" s="5">
        <v>46273.5</v>
      </c>
      <c r="Q397" t="s">
        <v>36</v>
      </c>
      <c r="R397" s="2" t="s">
        <v>40</v>
      </c>
      <c r="S397">
        <v>23</v>
      </c>
      <c r="T397">
        <v>1</v>
      </c>
    </row>
    <row r="398" spans="1:20" x14ac:dyDescent="0.25">
      <c r="A398" t="s">
        <v>1227</v>
      </c>
      <c r="B398">
        <v>1</v>
      </c>
      <c r="C398" s="2" t="s">
        <v>1228</v>
      </c>
      <c r="D398" s="3">
        <v>9080</v>
      </c>
      <c r="E398" s="4">
        <v>20</v>
      </c>
      <c r="F398" t="s">
        <v>103</v>
      </c>
      <c r="G398" s="3">
        <f t="shared" si="30"/>
        <v>11350</v>
      </c>
      <c r="H398" s="3">
        <v>0</v>
      </c>
      <c r="I398" s="3">
        <f t="shared" si="31"/>
        <v>11350</v>
      </c>
      <c r="J398" s="2" t="s">
        <v>27</v>
      </c>
      <c r="K398" s="5">
        <v>46260.583333333343</v>
      </c>
      <c r="L398">
        <v>1</v>
      </c>
      <c r="M398" s="3">
        <f t="shared" si="32"/>
        <v>11350</v>
      </c>
      <c r="N398" t="str">
        <f t="shared" si="33"/>
        <v>ставка</v>
      </c>
      <c r="O398" s="3">
        <f t="shared" si="34"/>
        <v>222.55</v>
      </c>
      <c r="P398" s="5">
        <v>46261.5</v>
      </c>
      <c r="Q398" t="s">
        <v>103</v>
      </c>
      <c r="R398" s="2" t="s">
        <v>49</v>
      </c>
      <c r="S398">
        <v>35</v>
      </c>
      <c r="T398">
        <v>1</v>
      </c>
    </row>
    <row r="399" spans="1:20" ht="30" x14ac:dyDescent="0.25">
      <c r="A399" t="s">
        <v>1229</v>
      </c>
      <c r="B399">
        <v>1</v>
      </c>
      <c r="C399" s="2" t="s">
        <v>1230</v>
      </c>
      <c r="D399" s="3">
        <v>6545</v>
      </c>
      <c r="E399" s="4">
        <v>15</v>
      </c>
      <c r="F399" t="s">
        <v>110</v>
      </c>
      <c r="G399" s="3">
        <f t="shared" si="30"/>
        <v>7700</v>
      </c>
      <c r="H399" s="3">
        <v>0</v>
      </c>
      <c r="I399" s="3">
        <f t="shared" si="31"/>
        <v>7700</v>
      </c>
      <c r="J399" s="2" t="s">
        <v>27</v>
      </c>
      <c r="K399" s="5">
        <v>46246.583333333343</v>
      </c>
      <c r="L399">
        <v>1</v>
      </c>
      <c r="M399" s="3">
        <f t="shared" si="32"/>
        <v>7700</v>
      </c>
      <c r="N399" t="str">
        <f t="shared" si="33"/>
        <v>ставка</v>
      </c>
      <c r="O399" s="3">
        <f t="shared" si="34"/>
        <v>150.97999999999999</v>
      </c>
      <c r="P399" s="5">
        <v>46247.5</v>
      </c>
      <c r="Q399" t="s">
        <v>110</v>
      </c>
      <c r="R399" s="2" t="s">
        <v>58</v>
      </c>
      <c r="S399">
        <v>34</v>
      </c>
      <c r="T399">
        <v>1</v>
      </c>
    </row>
    <row r="400" spans="1:20" x14ac:dyDescent="0.25">
      <c r="A400" t="s">
        <v>1233</v>
      </c>
      <c r="B400">
        <v>1</v>
      </c>
      <c r="C400" s="2" t="s">
        <v>1234</v>
      </c>
      <c r="D400" s="3">
        <v>26400</v>
      </c>
      <c r="E400" s="4">
        <v>18</v>
      </c>
      <c r="F400" t="s">
        <v>32</v>
      </c>
      <c r="G400" s="3">
        <f t="shared" si="30"/>
        <v>32195.119999999999</v>
      </c>
      <c r="H400" s="3">
        <v>0</v>
      </c>
      <c r="I400" s="3">
        <f t="shared" si="31"/>
        <v>32195.119999999999</v>
      </c>
      <c r="J400" s="2" t="s">
        <v>27</v>
      </c>
      <c r="K400" s="5">
        <v>46248.583333333343</v>
      </c>
      <c r="L400">
        <v>2</v>
      </c>
      <c r="M400" s="3">
        <f t="shared" si="32"/>
        <v>16097.56</v>
      </c>
      <c r="N400" t="str">
        <f t="shared" si="33"/>
        <v>ставка</v>
      </c>
      <c r="O400" s="3">
        <f t="shared" si="34"/>
        <v>631.28</v>
      </c>
      <c r="P400" s="5">
        <v>46250.5</v>
      </c>
      <c r="Q400" t="s">
        <v>32</v>
      </c>
      <c r="R400" s="2" t="s">
        <v>49</v>
      </c>
      <c r="S400">
        <v>25</v>
      </c>
      <c r="T400">
        <v>1</v>
      </c>
    </row>
    <row r="401" spans="1:20" ht="30" x14ac:dyDescent="0.25">
      <c r="A401" t="s">
        <v>1235</v>
      </c>
      <c r="B401">
        <v>1</v>
      </c>
      <c r="C401" s="2" t="s">
        <v>1236</v>
      </c>
      <c r="D401" s="3">
        <v>13860</v>
      </c>
      <c r="E401" s="4">
        <v>0</v>
      </c>
      <c r="F401" t="s">
        <v>23</v>
      </c>
      <c r="G401" s="3">
        <f t="shared" si="30"/>
        <v>13860</v>
      </c>
      <c r="H401" s="3">
        <v>0</v>
      </c>
      <c r="I401" s="3">
        <f t="shared" si="31"/>
        <v>13860</v>
      </c>
      <c r="J401" s="2" t="s">
        <v>27</v>
      </c>
      <c r="K401" s="5">
        <v>46242.583333333343</v>
      </c>
      <c r="L401">
        <v>1</v>
      </c>
      <c r="M401" s="3">
        <f t="shared" si="32"/>
        <v>13860</v>
      </c>
      <c r="N401" t="str">
        <f t="shared" si="33"/>
        <v>ставка</v>
      </c>
      <c r="O401" s="3">
        <f t="shared" si="34"/>
        <v>271.76</v>
      </c>
      <c r="P401" s="5">
        <v>46243.5</v>
      </c>
      <c r="Q401" t="s">
        <v>23</v>
      </c>
      <c r="R401" s="2" t="s">
        <v>24</v>
      </c>
      <c r="S401">
        <v>31</v>
      </c>
      <c r="T401">
        <v>1</v>
      </c>
    </row>
    <row r="402" spans="1:20" ht="30" x14ac:dyDescent="0.25">
      <c r="A402" t="s">
        <v>1237</v>
      </c>
      <c r="B402">
        <v>1</v>
      </c>
      <c r="C402" s="2" t="s">
        <v>1238</v>
      </c>
      <c r="D402" s="3">
        <v>73920</v>
      </c>
      <c r="E402" s="4">
        <v>18</v>
      </c>
      <c r="F402" t="s">
        <v>32</v>
      </c>
      <c r="G402" s="3">
        <f t="shared" si="30"/>
        <v>90146.34</v>
      </c>
      <c r="H402" s="3">
        <v>0</v>
      </c>
      <c r="I402" s="3">
        <f t="shared" si="31"/>
        <v>90146.34</v>
      </c>
      <c r="J402" s="2" t="s">
        <v>27</v>
      </c>
      <c r="K402" s="5">
        <v>46215.583333333343</v>
      </c>
      <c r="L402">
        <v>6</v>
      </c>
      <c r="M402" s="3">
        <f t="shared" si="32"/>
        <v>15024.39</v>
      </c>
      <c r="N402" t="str">
        <f t="shared" si="33"/>
        <v>ставка</v>
      </c>
      <c r="O402" s="3">
        <f t="shared" si="34"/>
        <v>1767.58</v>
      </c>
      <c r="P402" s="5">
        <v>46221.5</v>
      </c>
      <c r="Q402" t="s">
        <v>32</v>
      </c>
      <c r="R402" s="2" t="s">
        <v>24</v>
      </c>
      <c r="S402">
        <v>31</v>
      </c>
      <c r="T402">
        <v>1</v>
      </c>
    </row>
    <row r="403" spans="1:20" ht="30" x14ac:dyDescent="0.25">
      <c r="A403" t="s">
        <v>1239</v>
      </c>
      <c r="B403">
        <v>1</v>
      </c>
      <c r="C403" s="2" t="s">
        <v>1240</v>
      </c>
      <c r="D403" s="3">
        <v>11850</v>
      </c>
      <c r="E403" s="4">
        <v>0</v>
      </c>
      <c r="F403" t="s">
        <v>23</v>
      </c>
      <c r="G403" s="3">
        <f t="shared" si="30"/>
        <v>11850</v>
      </c>
      <c r="H403" s="3">
        <v>0</v>
      </c>
      <c r="I403" s="3">
        <f t="shared" si="31"/>
        <v>11850</v>
      </c>
      <c r="J403" s="2"/>
      <c r="K403" s="5">
        <v>46292.583333333343</v>
      </c>
      <c r="L403">
        <v>1</v>
      </c>
      <c r="M403" s="3">
        <f t="shared" si="32"/>
        <v>11850</v>
      </c>
      <c r="N403" t="str">
        <f t="shared" si="33"/>
        <v>ставка</v>
      </c>
      <c r="O403" s="3">
        <f t="shared" si="34"/>
        <v>232.35</v>
      </c>
      <c r="P403" s="5">
        <v>46293.5</v>
      </c>
      <c r="Q403" t="s">
        <v>23</v>
      </c>
      <c r="R403" s="2" t="s">
        <v>40</v>
      </c>
      <c r="S403">
        <v>33</v>
      </c>
      <c r="T403">
        <v>1</v>
      </c>
    </row>
    <row r="404" spans="1:20" ht="30" x14ac:dyDescent="0.25">
      <c r="A404" t="s">
        <v>1245</v>
      </c>
      <c r="B404">
        <v>1</v>
      </c>
      <c r="C404" s="2" t="s">
        <v>1246</v>
      </c>
      <c r="D404" s="3">
        <v>47520</v>
      </c>
      <c r="E404" s="4">
        <v>20</v>
      </c>
      <c r="F404" t="s">
        <v>48</v>
      </c>
      <c r="G404" s="3">
        <f t="shared" si="30"/>
        <v>59400</v>
      </c>
      <c r="H404" s="3">
        <v>0</v>
      </c>
      <c r="I404" s="3">
        <f t="shared" si="31"/>
        <v>59400</v>
      </c>
      <c r="J404" s="2" t="s">
        <v>27</v>
      </c>
      <c r="K404" s="5">
        <v>46266.583333333343</v>
      </c>
      <c r="L404">
        <v>6</v>
      </c>
      <c r="M404" s="3">
        <f t="shared" si="32"/>
        <v>9900</v>
      </c>
      <c r="N404" t="str">
        <f t="shared" si="33"/>
        <v>ставка</v>
      </c>
      <c r="O404" s="3">
        <f t="shared" si="34"/>
        <v>1164.71</v>
      </c>
      <c r="P404" s="5">
        <v>46272.5</v>
      </c>
      <c r="Q404" t="s">
        <v>48</v>
      </c>
      <c r="R404" s="2" t="s">
        <v>33</v>
      </c>
      <c r="S404">
        <v>41</v>
      </c>
      <c r="T404">
        <v>1</v>
      </c>
    </row>
    <row r="405" spans="1:20" ht="30" x14ac:dyDescent="0.25">
      <c r="A405" t="s">
        <v>1247</v>
      </c>
      <c r="B405">
        <v>1</v>
      </c>
      <c r="C405" s="2" t="s">
        <v>1248</v>
      </c>
      <c r="D405" s="3">
        <v>53400</v>
      </c>
      <c r="E405" s="4">
        <v>20</v>
      </c>
      <c r="F405" t="s">
        <v>48</v>
      </c>
      <c r="G405" s="3">
        <f t="shared" si="30"/>
        <v>66750</v>
      </c>
      <c r="H405" s="3">
        <v>720</v>
      </c>
      <c r="I405" s="3">
        <f t="shared" si="31"/>
        <v>67470</v>
      </c>
      <c r="J405" s="2" t="s">
        <v>1249</v>
      </c>
      <c r="K405" s="5">
        <v>46256.583333333343</v>
      </c>
      <c r="L405">
        <v>5</v>
      </c>
      <c r="M405" s="3">
        <f t="shared" si="32"/>
        <v>13494</v>
      </c>
      <c r="N405" t="str">
        <f t="shared" si="33"/>
        <v>ставка</v>
      </c>
      <c r="O405" s="3">
        <f t="shared" si="34"/>
        <v>1322.94</v>
      </c>
      <c r="P405" s="5">
        <v>46261.5</v>
      </c>
      <c r="Q405" t="s">
        <v>48</v>
      </c>
      <c r="R405" s="2" t="s">
        <v>40</v>
      </c>
      <c r="S405">
        <v>33</v>
      </c>
      <c r="T405">
        <v>1</v>
      </c>
    </row>
    <row r="406" spans="1:20" ht="30" x14ac:dyDescent="0.25">
      <c r="A406" t="s">
        <v>1250</v>
      </c>
      <c r="B406">
        <v>1</v>
      </c>
      <c r="C406" s="2" t="s">
        <v>1251</v>
      </c>
      <c r="D406" s="3">
        <v>34050</v>
      </c>
      <c r="E406" s="4">
        <v>0</v>
      </c>
      <c r="F406" t="s">
        <v>23</v>
      </c>
      <c r="G406" s="3">
        <f t="shared" si="30"/>
        <v>34050</v>
      </c>
      <c r="H406" s="3">
        <v>0</v>
      </c>
      <c r="I406" s="3">
        <f t="shared" si="31"/>
        <v>34050</v>
      </c>
      <c r="J406" s="2" t="s">
        <v>27</v>
      </c>
      <c r="K406" s="5">
        <v>46261.583333333343</v>
      </c>
      <c r="L406">
        <v>3</v>
      </c>
      <c r="M406" s="3">
        <f t="shared" si="32"/>
        <v>11350</v>
      </c>
      <c r="N406" t="str">
        <f t="shared" si="33"/>
        <v>ставка</v>
      </c>
      <c r="O406" s="3">
        <f t="shared" si="34"/>
        <v>667.65</v>
      </c>
      <c r="P406" s="5">
        <v>46264.5</v>
      </c>
      <c r="Q406" t="s">
        <v>23</v>
      </c>
      <c r="R406" s="2" t="s">
        <v>40</v>
      </c>
      <c r="S406">
        <v>32</v>
      </c>
      <c r="T406">
        <v>1</v>
      </c>
    </row>
    <row r="407" spans="1:20" ht="30" x14ac:dyDescent="0.25">
      <c r="A407" t="s">
        <v>1252</v>
      </c>
      <c r="B407">
        <v>1</v>
      </c>
      <c r="C407" s="2" t="s">
        <v>1253</v>
      </c>
      <c r="D407" s="3">
        <v>5775</v>
      </c>
      <c r="E407" s="4">
        <v>18</v>
      </c>
      <c r="F407" t="s">
        <v>32</v>
      </c>
      <c r="G407" s="3">
        <f t="shared" si="30"/>
        <v>7042.68</v>
      </c>
      <c r="H407" s="3">
        <v>0</v>
      </c>
      <c r="I407" s="3">
        <f t="shared" si="31"/>
        <v>7042.68</v>
      </c>
      <c r="J407" s="2" t="s">
        <v>27</v>
      </c>
      <c r="K407" s="5">
        <v>46270.583333333343</v>
      </c>
      <c r="L407">
        <v>1</v>
      </c>
      <c r="M407" s="3">
        <f t="shared" si="32"/>
        <v>7042.68</v>
      </c>
      <c r="N407" t="str">
        <f t="shared" si="33"/>
        <v>ставка</v>
      </c>
      <c r="O407" s="3">
        <f t="shared" si="34"/>
        <v>138.09</v>
      </c>
      <c r="P407" s="5">
        <v>46271.5</v>
      </c>
      <c r="Q407" t="s">
        <v>32</v>
      </c>
      <c r="R407" s="2" t="s">
        <v>58</v>
      </c>
      <c r="S407">
        <v>24</v>
      </c>
      <c r="T407">
        <v>1</v>
      </c>
    </row>
    <row r="408" spans="1:20" ht="30" x14ac:dyDescent="0.25">
      <c r="A408" t="s">
        <v>1254</v>
      </c>
      <c r="B408">
        <v>1</v>
      </c>
      <c r="C408" s="2" t="s">
        <v>1255</v>
      </c>
      <c r="D408" s="3">
        <v>7920</v>
      </c>
      <c r="E408" s="4">
        <v>18</v>
      </c>
      <c r="F408" t="s">
        <v>32</v>
      </c>
      <c r="G408" s="3">
        <f t="shared" si="30"/>
        <v>9658.5400000000009</v>
      </c>
      <c r="H408" s="3">
        <v>0</v>
      </c>
      <c r="I408" s="3">
        <f t="shared" si="31"/>
        <v>9658.5400000000009</v>
      </c>
      <c r="J408" s="2" t="s">
        <v>27</v>
      </c>
      <c r="K408" s="5">
        <v>46236.583333333343</v>
      </c>
      <c r="L408">
        <v>1</v>
      </c>
      <c r="M408" s="3">
        <f t="shared" si="32"/>
        <v>9658.5400000000009</v>
      </c>
      <c r="N408" t="str">
        <f t="shared" si="33"/>
        <v>ставка</v>
      </c>
      <c r="O408" s="3">
        <f t="shared" si="34"/>
        <v>189.38</v>
      </c>
      <c r="P408" s="5">
        <v>46237.5</v>
      </c>
      <c r="Q408" t="s">
        <v>32</v>
      </c>
      <c r="R408" s="2" t="s">
        <v>33</v>
      </c>
      <c r="S408">
        <v>41</v>
      </c>
      <c r="T408">
        <v>1</v>
      </c>
    </row>
    <row r="409" spans="1:20" ht="30" x14ac:dyDescent="0.25">
      <c r="A409" t="s">
        <v>1256</v>
      </c>
      <c r="B409">
        <v>1</v>
      </c>
      <c r="C409" s="2" t="s">
        <v>1257</v>
      </c>
      <c r="D409" s="3">
        <v>10012.5</v>
      </c>
      <c r="E409" s="4">
        <v>18</v>
      </c>
      <c r="F409" t="s">
        <v>32</v>
      </c>
      <c r="G409" s="3">
        <f t="shared" si="30"/>
        <v>12210.37</v>
      </c>
      <c r="H409" s="3">
        <v>0</v>
      </c>
      <c r="I409" s="3">
        <f t="shared" si="31"/>
        <v>12210.37</v>
      </c>
      <c r="J409" s="2" t="s">
        <v>27</v>
      </c>
      <c r="K409" s="5">
        <v>46285.583333333343</v>
      </c>
      <c r="L409">
        <v>1</v>
      </c>
      <c r="M409" s="3">
        <f t="shared" si="32"/>
        <v>12210.37</v>
      </c>
      <c r="N409" t="str">
        <f t="shared" si="33"/>
        <v>ставка</v>
      </c>
      <c r="O409" s="3">
        <f t="shared" si="34"/>
        <v>239.42</v>
      </c>
      <c r="P409" s="5">
        <v>46286.5</v>
      </c>
      <c r="Q409" t="s">
        <v>32</v>
      </c>
      <c r="R409" s="2" t="s">
        <v>40</v>
      </c>
      <c r="S409">
        <v>33</v>
      </c>
      <c r="T409">
        <v>1</v>
      </c>
    </row>
    <row r="410" spans="1:20" ht="30" x14ac:dyDescent="0.25">
      <c r="A410" t="s">
        <v>1258</v>
      </c>
      <c r="B410">
        <v>1</v>
      </c>
      <c r="C410" s="2" t="s">
        <v>1259</v>
      </c>
      <c r="D410" s="3">
        <v>66549.75</v>
      </c>
      <c r="E410" s="4">
        <v>4</v>
      </c>
      <c r="F410" t="s">
        <v>55</v>
      </c>
      <c r="G410" s="3">
        <f t="shared" si="30"/>
        <v>69322.66</v>
      </c>
      <c r="H410" s="3">
        <v>0</v>
      </c>
      <c r="I410" s="3">
        <f t="shared" si="31"/>
        <v>69322.66</v>
      </c>
      <c r="J410" s="2" t="s">
        <v>27</v>
      </c>
      <c r="K410" s="5">
        <v>46284.583333333343</v>
      </c>
      <c r="L410">
        <v>5</v>
      </c>
      <c r="M410" s="3">
        <f t="shared" si="32"/>
        <v>13864.532000000001</v>
      </c>
      <c r="N410" t="str">
        <f t="shared" si="33"/>
        <v>ставка</v>
      </c>
      <c r="O410" s="3">
        <f t="shared" si="34"/>
        <v>1359.27</v>
      </c>
      <c r="P410" s="5">
        <v>46289.5</v>
      </c>
      <c r="Q410" t="s">
        <v>55</v>
      </c>
      <c r="R410" s="2" t="s">
        <v>40</v>
      </c>
      <c r="S410">
        <v>26</v>
      </c>
      <c r="T410">
        <v>1</v>
      </c>
    </row>
    <row r="411" spans="1:20" ht="30" x14ac:dyDescent="0.25">
      <c r="A411" t="s">
        <v>1260</v>
      </c>
      <c r="B411">
        <v>1</v>
      </c>
      <c r="C411" s="2" t="s">
        <v>1261</v>
      </c>
      <c r="D411" s="3">
        <v>32040</v>
      </c>
      <c r="E411" s="4">
        <v>20</v>
      </c>
      <c r="F411" t="s">
        <v>48</v>
      </c>
      <c r="G411" s="3">
        <f t="shared" si="30"/>
        <v>40050</v>
      </c>
      <c r="H411" s="3">
        <v>0</v>
      </c>
      <c r="I411" s="3">
        <f t="shared" si="31"/>
        <v>40050</v>
      </c>
      <c r="J411" s="2" t="s">
        <v>27</v>
      </c>
      <c r="K411" s="5">
        <v>46218.583333333343</v>
      </c>
      <c r="L411">
        <v>3</v>
      </c>
      <c r="M411" s="3">
        <f t="shared" si="32"/>
        <v>13350</v>
      </c>
      <c r="N411" t="str">
        <f t="shared" si="33"/>
        <v>ставка</v>
      </c>
      <c r="O411" s="3">
        <f t="shared" si="34"/>
        <v>785.29</v>
      </c>
      <c r="P411" s="5">
        <v>46221.5</v>
      </c>
      <c r="Q411" t="s">
        <v>48</v>
      </c>
      <c r="R411" s="2" t="s">
        <v>40</v>
      </c>
      <c r="S411">
        <v>42</v>
      </c>
      <c r="T411">
        <v>1</v>
      </c>
    </row>
    <row r="412" spans="1:20" ht="30" x14ac:dyDescent="0.25">
      <c r="A412" t="s">
        <v>1264</v>
      </c>
      <c r="B412">
        <v>1</v>
      </c>
      <c r="C412" s="2" t="s">
        <v>1265</v>
      </c>
      <c r="D412" s="3">
        <v>6320</v>
      </c>
      <c r="E412" s="4">
        <v>20</v>
      </c>
      <c r="F412" t="s">
        <v>103</v>
      </c>
      <c r="G412" s="3">
        <f t="shared" si="30"/>
        <v>7900</v>
      </c>
      <c r="H412" s="3">
        <v>0</v>
      </c>
      <c r="I412" s="3">
        <f t="shared" si="31"/>
        <v>7900</v>
      </c>
      <c r="J412" s="2" t="s">
        <v>27</v>
      </c>
      <c r="K412" s="5">
        <v>46218.583333333343</v>
      </c>
      <c r="L412">
        <v>1</v>
      </c>
      <c r="M412" s="3">
        <f t="shared" si="32"/>
        <v>7900</v>
      </c>
      <c r="N412" t="str">
        <f t="shared" si="33"/>
        <v>ставка</v>
      </c>
      <c r="O412" s="3">
        <f t="shared" si="34"/>
        <v>154.9</v>
      </c>
      <c r="P412" s="5">
        <v>46219.5</v>
      </c>
      <c r="Q412" t="s">
        <v>103</v>
      </c>
      <c r="R412" s="2" t="s">
        <v>33</v>
      </c>
      <c r="S412">
        <v>41</v>
      </c>
      <c r="T412">
        <v>1</v>
      </c>
    </row>
    <row r="413" spans="1:20" x14ac:dyDescent="0.25">
      <c r="A413" t="s">
        <v>1266</v>
      </c>
      <c r="B413">
        <v>1</v>
      </c>
      <c r="C413" s="2" t="s">
        <v>1267</v>
      </c>
      <c r="D413" s="3">
        <v>23200</v>
      </c>
      <c r="E413" s="4">
        <v>20</v>
      </c>
      <c r="F413" t="s">
        <v>48</v>
      </c>
      <c r="G413" s="3">
        <f t="shared" si="30"/>
        <v>29000</v>
      </c>
      <c r="H413" s="3">
        <v>0</v>
      </c>
      <c r="I413" s="3">
        <f t="shared" si="31"/>
        <v>29000</v>
      </c>
      <c r="J413" s="2" t="s">
        <v>27</v>
      </c>
      <c r="K413" s="5">
        <v>46248.583333333343</v>
      </c>
      <c r="L413">
        <v>2</v>
      </c>
      <c r="M413" s="3">
        <f t="shared" si="32"/>
        <v>14500</v>
      </c>
      <c r="N413" t="str">
        <f t="shared" si="33"/>
        <v>ставка</v>
      </c>
      <c r="O413" s="3">
        <f t="shared" si="34"/>
        <v>568.63</v>
      </c>
      <c r="P413" s="5">
        <v>46250.5</v>
      </c>
      <c r="Q413" t="s">
        <v>48</v>
      </c>
      <c r="R413" s="2" t="s">
        <v>49</v>
      </c>
      <c r="S413">
        <v>11</v>
      </c>
      <c r="T413">
        <v>1</v>
      </c>
    </row>
    <row r="414" spans="1:20" ht="30" x14ac:dyDescent="0.25">
      <c r="A414" t="s">
        <v>1268</v>
      </c>
      <c r="B414">
        <v>1</v>
      </c>
      <c r="C414" s="2" t="s">
        <v>1269</v>
      </c>
      <c r="D414" s="3">
        <v>31600</v>
      </c>
      <c r="E414" s="4">
        <v>0</v>
      </c>
      <c r="F414" t="s">
        <v>23</v>
      </c>
      <c r="G414" s="3">
        <f t="shared" si="30"/>
        <v>31600</v>
      </c>
      <c r="H414" s="3">
        <v>0</v>
      </c>
      <c r="I414" s="3">
        <f t="shared" si="31"/>
        <v>31600</v>
      </c>
      <c r="J414" s="2" t="s">
        <v>27</v>
      </c>
      <c r="K414" s="5">
        <v>46272.583333333343</v>
      </c>
      <c r="L414">
        <v>4</v>
      </c>
      <c r="M414" s="3">
        <f t="shared" si="32"/>
        <v>7900</v>
      </c>
      <c r="N414" t="str">
        <f t="shared" si="33"/>
        <v>ставка</v>
      </c>
      <c r="O414" s="3">
        <f t="shared" si="34"/>
        <v>619.61</v>
      </c>
      <c r="P414" s="5">
        <v>46276.5</v>
      </c>
      <c r="Q414" t="s">
        <v>23</v>
      </c>
      <c r="R414" s="2" t="s">
        <v>33</v>
      </c>
      <c r="S414">
        <v>41</v>
      </c>
      <c r="T414">
        <v>1</v>
      </c>
    </row>
    <row r="415" spans="1:20" ht="30" x14ac:dyDescent="0.25">
      <c r="A415" t="s">
        <v>1270</v>
      </c>
      <c r="B415">
        <v>1</v>
      </c>
      <c r="C415" s="2" t="s">
        <v>1271</v>
      </c>
      <c r="D415" s="3">
        <v>24640</v>
      </c>
      <c r="E415" s="4">
        <v>18</v>
      </c>
      <c r="F415" t="s">
        <v>32</v>
      </c>
      <c r="G415" s="3">
        <f t="shared" si="30"/>
        <v>30048.78</v>
      </c>
      <c r="H415" s="3">
        <v>0</v>
      </c>
      <c r="I415" s="3">
        <f t="shared" si="31"/>
        <v>30048.78</v>
      </c>
      <c r="J415" s="2" t="s">
        <v>27</v>
      </c>
      <c r="K415" s="5">
        <v>46218.583333333343</v>
      </c>
      <c r="L415">
        <v>4</v>
      </c>
      <c r="M415" s="3">
        <f t="shared" si="32"/>
        <v>7512.1949999999997</v>
      </c>
      <c r="N415" t="str">
        <f t="shared" si="33"/>
        <v>ставка</v>
      </c>
      <c r="O415" s="3">
        <f t="shared" si="34"/>
        <v>589.19000000000005</v>
      </c>
      <c r="P415" s="5">
        <v>46222.5</v>
      </c>
      <c r="Q415" t="s">
        <v>32</v>
      </c>
      <c r="R415" s="2" t="s">
        <v>58</v>
      </c>
      <c r="S415">
        <v>24</v>
      </c>
      <c r="T415">
        <v>1</v>
      </c>
    </row>
    <row r="416" spans="1:20" ht="30" x14ac:dyDescent="0.25">
      <c r="A416" t="s">
        <v>1272</v>
      </c>
      <c r="B416">
        <v>1</v>
      </c>
      <c r="C416" s="2" t="s">
        <v>1273</v>
      </c>
      <c r="D416" s="3">
        <v>13090</v>
      </c>
      <c r="E416" s="4">
        <v>17</v>
      </c>
      <c r="F416" t="s">
        <v>173</v>
      </c>
      <c r="G416" s="3">
        <f t="shared" si="30"/>
        <v>15771.08</v>
      </c>
      <c r="H416" s="3">
        <v>0</v>
      </c>
      <c r="I416" s="3">
        <f t="shared" si="31"/>
        <v>15771.08</v>
      </c>
      <c r="J416" s="2" t="s">
        <v>27</v>
      </c>
      <c r="K416" s="5">
        <v>46209.583333333343</v>
      </c>
      <c r="L416">
        <v>2</v>
      </c>
      <c r="M416" s="3">
        <f t="shared" si="32"/>
        <v>7885.54</v>
      </c>
      <c r="N416" t="str">
        <f t="shared" si="33"/>
        <v>ставка</v>
      </c>
      <c r="O416" s="3">
        <f t="shared" si="34"/>
        <v>309.24</v>
      </c>
      <c r="P416" s="5">
        <v>46211.5</v>
      </c>
      <c r="Q416" t="s">
        <v>173</v>
      </c>
      <c r="R416" s="2" t="s">
        <v>58</v>
      </c>
      <c r="S416">
        <v>24</v>
      </c>
      <c r="T416">
        <v>1</v>
      </c>
    </row>
    <row r="417" spans="1:20" ht="30" x14ac:dyDescent="0.25">
      <c r="A417" t="s">
        <v>1274</v>
      </c>
      <c r="B417">
        <v>1</v>
      </c>
      <c r="C417" s="2" t="s">
        <v>1273</v>
      </c>
      <c r="D417" s="3">
        <v>13090</v>
      </c>
      <c r="E417" s="4">
        <v>17</v>
      </c>
      <c r="F417" t="s">
        <v>173</v>
      </c>
      <c r="G417" s="3">
        <f t="shared" si="30"/>
        <v>15771.08</v>
      </c>
      <c r="H417" s="3">
        <v>0</v>
      </c>
      <c r="I417" s="3">
        <f t="shared" si="31"/>
        <v>15771.08</v>
      </c>
      <c r="J417" s="2" t="s">
        <v>27</v>
      </c>
      <c r="K417" s="5">
        <v>46211.583333333343</v>
      </c>
      <c r="L417">
        <v>2</v>
      </c>
      <c r="M417" s="3">
        <f t="shared" si="32"/>
        <v>7885.54</v>
      </c>
      <c r="N417" t="str">
        <f t="shared" si="33"/>
        <v>ставка</v>
      </c>
      <c r="O417" s="3">
        <f t="shared" si="34"/>
        <v>309.24</v>
      </c>
      <c r="P417" s="5">
        <v>46213.5</v>
      </c>
      <c r="Q417" t="s">
        <v>173</v>
      </c>
      <c r="R417" s="2" t="s">
        <v>58</v>
      </c>
      <c r="S417">
        <v>24</v>
      </c>
      <c r="T417">
        <v>1</v>
      </c>
    </row>
    <row r="418" spans="1:20" ht="30" x14ac:dyDescent="0.25">
      <c r="A418" t="s">
        <v>1277</v>
      </c>
      <c r="B418">
        <v>1</v>
      </c>
      <c r="C418" s="2" t="s">
        <v>1278</v>
      </c>
      <c r="D418" s="3">
        <v>45400</v>
      </c>
      <c r="E418" s="4">
        <v>20</v>
      </c>
      <c r="F418" t="s">
        <v>103</v>
      </c>
      <c r="G418" s="3">
        <f t="shared" si="30"/>
        <v>56750</v>
      </c>
      <c r="H418" s="3">
        <v>5675</v>
      </c>
      <c r="I418" s="3">
        <f t="shared" si="31"/>
        <v>62425</v>
      </c>
      <c r="J418" s="2" t="s">
        <v>163</v>
      </c>
      <c r="K418" s="5">
        <v>46223.583333333343</v>
      </c>
      <c r="L418">
        <v>5</v>
      </c>
      <c r="M418" s="3">
        <f t="shared" si="32"/>
        <v>12485</v>
      </c>
      <c r="N418" t="str">
        <f t="shared" si="33"/>
        <v>ставка</v>
      </c>
      <c r="O418" s="3">
        <f t="shared" si="34"/>
        <v>1224.02</v>
      </c>
      <c r="P418" s="5">
        <v>46228.75</v>
      </c>
      <c r="Q418" t="s">
        <v>103</v>
      </c>
      <c r="R418" s="2" t="s">
        <v>40</v>
      </c>
      <c r="S418">
        <v>22</v>
      </c>
      <c r="T418">
        <v>1</v>
      </c>
    </row>
    <row r="419" spans="1:20" ht="30" x14ac:dyDescent="0.25">
      <c r="A419" t="s">
        <v>1279</v>
      </c>
      <c r="B419">
        <v>1</v>
      </c>
      <c r="C419" s="2" t="s">
        <v>1280</v>
      </c>
      <c r="D419" s="3">
        <v>53199.75</v>
      </c>
      <c r="E419" s="4">
        <v>4</v>
      </c>
      <c r="F419" t="s">
        <v>55</v>
      </c>
      <c r="G419" s="3">
        <f t="shared" si="30"/>
        <v>55416.41</v>
      </c>
      <c r="H419" s="3">
        <v>0</v>
      </c>
      <c r="I419" s="3">
        <f t="shared" si="31"/>
        <v>55416.41</v>
      </c>
      <c r="J419" s="2" t="s">
        <v>27</v>
      </c>
      <c r="K419" s="5">
        <v>46221.583333333343</v>
      </c>
      <c r="L419">
        <v>4</v>
      </c>
      <c r="M419" s="3">
        <f t="shared" si="32"/>
        <v>13854.102500000001</v>
      </c>
      <c r="N419" t="str">
        <f t="shared" si="33"/>
        <v>ставка</v>
      </c>
      <c r="O419" s="3">
        <f t="shared" si="34"/>
        <v>1086.5999999999999</v>
      </c>
      <c r="P419" s="5">
        <v>46225.5</v>
      </c>
      <c r="Q419" t="s">
        <v>55</v>
      </c>
      <c r="R419" s="2" t="s">
        <v>40</v>
      </c>
      <c r="S419">
        <v>32</v>
      </c>
      <c r="T419">
        <v>1</v>
      </c>
    </row>
    <row r="420" spans="1:20" ht="30" x14ac:dyDescent="0.25">
      <c r="A420" t="s">
        <v>1283</v>
      </c>
      <c r="B420">
        <v>1</v>
      </c>
      <c r="C420" s="2" t="s">
        <v>1284</v>
      </c>
      <c r="D420" s="3">
        <v>22700</v>
      </c>
      <c r="E420" s="4">
        <v>0</v>
      </c>
      <c r="F420" t="s">
        <v>23</v>
      </c>
      <c r="G420" s="3">
        <f t="shared" si="30"/>
        <v>22700</v>
      </c>
      <c r="H420" s="3">
        <v>0</v>
      </c>
      <c r="I420" s="3">
        <f t="shared" si="31"/>
        <v>22700</v>
      </c>
      <c r="J420" s="2" t="s">
        <v>27</v>
      </c>
      <c r="K420" s="5">
        <v>46224.583333333343</v>
      </c>
      <c r="L420">
        <v>2</v>
      </c>
      <c r="M420" s="3">
        <f t="shared" si="32"/>
        <v>11350</v>
      </c>
      <c r="N420" t="str">
        <f t="shared" si="33"/>
        <v>ставка</v>
      </c>
      <c r="O420" s="3">
        <f t="shared" si="34"/>
        <v>445.1</v>
      </c>
      <c r="P420" s="5">
        <v>46226.5</v>
      </c>
      <c r="Q420" t="s">
        <v>23</v>
      </c>
      <c r="R420" s="2" t="s">
        <v>40</v>
      </c>
      <c r="S420">
        <v>44</v>
      </c>
      <c r="T420">
        <v>1</v>
      </c>
    </row>
    <row r="421" spans="1:20" ht="30" x14ac:dyDescent="0.25">
      <c r="A421" t="s">
        <v>1289</v>
      </c>
      <c r="B421">
        <v>1</v>
      </c>
      <c r="C421" s="2" t="s">
        <v>1290</v>
      </c>
      <c r="D421" s="3">
        <v>15988.5</v>
      </c>
      <c r="E421" s="4">
        <v>4</v>
      </c>
      <c r="F421" t="s">
        <v>55</v>
      </c>
      <c r="G421" s="3">
        <f t="shared" si="30"/>
        <v>16654.689999999999</v>
      </c>
      <c r="H421" s="3">
        <v>0</v>
      </c>
      <c r="I421" s="3">
        <f t="shared" si="31"/>
        <v>16654.689999999999</v>
      </c>
      <c r="J421" s="2" t="s">
        <v>27</v>
      </c>
      <c r="K421" s="5">
        <v>46256.583333333343</v>
      </c>
      <c r="L421">
        <v>1</v>
      </c>
      <c r="M421" s="3">
        <f t="shared" si="32"/>
        <v>16654.689999999999</v>
      </c>
      <c r="N421" t="str">
        <f t="shared" si="33"/>
        <v>ставка</v>
      </c>
      <c r="O421" s="3">
        <f t="shared" si="34"/>
        <v>326.56</v>
      </c>
      <c r="P421" s="5">
        <v>46257.5</v>
      </c>
      <c r="Q421" t="s">
        <v>55</v>
      </c>
      <c r="R421" s="2" t="s">
        <v>49</v>
      </c>
      <c r="S421">
        <v>35</v>
      </c>
      <c r="T421">
        <v>1</v>
      </c>
    </row>
    <row r="422" spans="1:20" ht="30" x14ac:dyDescent="0.25">
      <c r="A422" t="s">
        <v>1293</v>
      </c>
      <c r="B422">
        <v>1</v>
      </c>
      <c r="C422" s="2" t="s">
        <v>1294</v>
      </c>
      <c r="D422" s="3">
        <v>8415</v>
      </c>
      <c r="E422" s="4">
        <v>16</v>
      </c>
      <c r="F422" t="s">
        <v>36</v>
      </c>
      <c r="G422" s="3">
        <f t="shared" si="30"/>
        <v>10017.86</v>
      </c>
      <c r="H422" s="3">
        <v>0</v>
      </c>
      <c r="I422" s="3">
        <f t="shared" si="31"/>
        <v>10017.86</v>
      </c>
      <c r="J422" s="2" t="s">
        <v>27</v>
      </c>
      <c r="K422" s="5">
        <v>46255.583333333343</v>
      </c>
      <c r="L422">
        <v>1</v>
      </c>
      <c r="M422" s="3">
        <f t="shared" si="32"/>
        <v>10017.86</v>
      </c>
      <c r="N422" t="str">
        <f t="shared" si="33"/>
        <v>ставка</v>
      </c>
      <c r="O422" s="3">
        <f t="shared" si="34"/>
        <v>196.43</v>
      </c>
      <c r="P422" s="5">
        <v>46256.5</v>
      </c>
      <c r="Q422" t="s">
        <v>36</v>
      </c>
      <c r="R422" s="2" t="s">
        <v>33</v>
      </c>
      <c r="S422">
        <v>41</v>
      </c>
      <c r="T422">
        <v>1</v>
      </c>
    </row>
    <row r="423" spans="1:20" ht="30" x14ac:dyDescent="0.25">
      <c r="A423" t="s">
        <v>1295</v>
      </c>
      <c r="B423">
        <v>1</v>
      </c>
      <c r="C423" s="2" t="s">
        <v>1296</v>
      </c>
      <c r="D423" s="3">
        <v>11257.5</v>
      </c>
      <c r="E423" s="4">
        <v>18</v>
      </c>
      <c r="F423" t="s">
        <v>32</v>
      </c>
      <c r="G423" s="3">
        <f t="shared" si="30"/>
        <v>13728.66</v>
      </c>
      <c r="H423" s="3">
        <v>0</v>
      </c>
      <c r="I423" s="3">
        <f t="shared" si="31"/>
        <v>13728.66</v>
      </c>
      <c r="J423" s="2" t="s">
        <v>27</v>
      </c>
      <c r="K423" s="5">
        <v>46293.583333333343</v>
      </c>
      <c r="L423">
        <v>2</v>
      </c>
      <c r="M423" s="3">
        <f t="shared" si="32"/>
        <v>6864.33</v>
      </c>
      <c r="N423" t="str">
        <f t="shared" si="33"/>
        <v>ставка</v>
      </c>
      <c r="O423" s="3">
        <f t="shared" si="34"/>
        <v>269.19</v>
      </c>
      <c r="P423" s="5">
        <v>46295.5</v>
      </c>
      <c r="Q423" t="s">
        <v>32</v>
      </c>
      <c r="R423" s="2" t="s">
        <v>33</v>
      </c>
      <c r="S423">
        <v>43</v>
      </c>
      <c r="T423">
        <v>1</v>
      </c>
    </row>
    <row r="424" spans="1:20" ht="30" x14ac:dyDescent="0.25">
      <c r="A424" t="s">
        <v>1297</v>
      </c>
      <c r="B424">
        <v>1</v>
      </c>
      <c r="C424" s="2" t="s">
        <v>1298</v>
      </c>
      <c r="D424" s="3">
        <v>52360</v>
      </c>
      <c r="E424" s="4">
        <v>16</v>
      </c>
      <c r="F424" t="s">
        <v>36</v>
      </c>
      <c r="G424" s="3">
        <f t="shared" si="30"/>
        <v>62333.33</v>
      </c>
      <c r="H424" s="3">
        <v>0</v>
      </c>
      <c r="I424" s="3">
        <f t="shared" si="31"/>
        <v>62333.33</v>
      </c>
      <c r="J424" s="2" t="s">
        <v>27</v>
      </c>
      <c r="K424" s="5">
        <v>46261.583333333343</v>
      </c>
      <c r="L424">
        <v>8</v>
      </c>
      <c r="M424" s="3">
        <f t="shared" si="32"/>
        <v>7791.6662500000002</v>
      </c>
      <c r="N424" t="str">
        <f t="shared" si="33"/>
        <v>ставка</v>
      </c>
      <c r="O424" s="3">
        <f t="shared" si="34"/>
        <v>1222.22</v>
      </c>
      <c r="P424" s="5">
        <v>46269.5</v>
      </c>
      <c r="Q424" t="s">
        <v>36</v>
      </c>
      <c r="R424" s="2" t="s">
        <v>58</v>
      </c>
      <c r="S424">
        <v>34</v>
      </c>
      <c r="T424">
        <v>1</v>
      </c>
    </row>
    <row r="425" spans="1:20" x14ac:dyDescent="0.25">
      <c r="A425" t="s">
        <v>1299</v>
      </c>
      <c r="B425">
        <v>1</v>
      </c>
      <c r="C425" s="2" t="s">
        <v>1300</v>
      </c>
      <c r="D425" s="3">
        <v>30993.75</v>
      </c>
      <c r="E425" s="4">
        <v>18</v>
      </c>
      <c r="F425" t="s">
        <v>32</v>
      </c>
      <c r="G425" s="3">
        <f t="shared" si="30"/>
        <v>37797.26</v>
      </c>
      <c r="H425" s="3">
        <v>0</v>
      </c>
      <c r="I425" s="3">
        <f t="shared" si="31"/>
        <v>37797.26</v>
      </c>
      <c r="J425" s="2" t="s">
        <v>27</v>
      </c>
      <c r="K425" s="5">
        <v>46290.583333333343</v>
      </c>
      <c r="L425">
        <v>3</v>
      </c>
      <c r="M425" s="3">
        <f t="shared" si="32"/>
        <v>12599.086666666668</v>
      </c>
      <c r="N425" t="str">
        <f t="shared" si="33"/>
        <v>ставка</v>
      </c>
      <c r="O425" s="3">
        <f t="shared" si="34"/>
        <v>741.12</v>
      </c>
      <c r="P425" s="5">
        <v>46293.5</v>
      </c>
      <c r="Q425" t="s">
        <v>32</v>
      </c>
      <c r="R425" s="2" t="s">
        <v>49</v>
      </c>
      <c r="S425">
        <v>35</v>
      </c>
      <c r="T425">
        <v>1</v>
      </c>
    </row>
    <row r="426" spans="1:20" ht="30" x14ac:dyDescent="0.25">
      <c r="A426" t="s">
        <v>1308</v>
      </c>
      <c r="B426">
        <v>1</v>
      </c>
      <c r="C426" s="2" t="s">
        <v>1309</v>
      </c>
      <c r="D426" s="3">
        <v>11347.5</v>
      </c>
      <c r="E426" s="4">
        <v>15</v>
      </c>
      <c r="F426" t="s">
        <v>36</v>
      </c>
      <c r="G426" s="3">
        <f t="shared" si="30"/>
        <v>13350</v>
      </c>
      <c r="H426" s="3">
        <v>0</v>
      </c>
      <c r="I426" s="3">
        <f t="shared" si="31"/>
        <v>13350</v>
      </c>
      <c r="J426" s="2" t="s">
        <v>27</v>
      </c>
      <c r="K426" s="5">
        <v>46210.583333333343</v>
      </c>
      <c r="L426">
        <v>1</v>
      </c>
      <c r="M426" s="3">
        <f t="shared" si="32"/>
        <v>13350</v>
      </c>
      <c r="N426" t="str">
        <f t="shared" si="33"/>
        <v>ставка</v>
      </c>
      <c r="O426" s="3">
        <f t="shared" si="34"/>
        <v>261.76</v>
      </c>
      <c r="P426" s="5">
        <v>46211.5</v>
      </c>
      <c r="Q426" t="s">
        <v>36</v>
      </c>
      <c r="R426" s="2" t="s">
        <v>40</v>
      </c>
      <c r="S426">
        <v>36</v>
      </c>
      <c r="T426">
        <v>1</v>
      </c>
    </row>
    <row r="427" spans="1:20" ht="30" x14ac:dyDescent="0.25">
      <c r="A427" t="s">
        <v>1310</v>
      </c>
      <c r="B427">
        <v>1</v>
      </c>
      <c r="C427" s="2" t="s">
        <v>1311</v>
      </c>
      <c r="D427" s="3">
        <v>5925</v>
      </c>
      <c r="E427" s="4">
        <v>18</v>
      </c>
      <c r="F427" t="s">
        <v>32</v>
      </c>
      <c r="G427" s="3">
        <f t="shared" si="30"/>
        <v>7225.61</v>
      </c>
      <c r="H427" s="3">
        <v>0</v>
      </c>
      <c r="I427" s="3">
        <f t="shared" si="31"/>
        <v>7225.61</v>
      </c>
      <c r="J427" s="2" t="s">
        <v>27</v>
      </c>
      <c r="K427" s="5">
        <v>46292.583333333343</v>
      </c>
      <c r="L427">
        <v>1</v>
      </c>
      <c r="M427" s="3">
        <f t="shared" si="32"/>
        <v>7225.61</v>
      </c>
      <c r="N427" t="str">
        <f t="shared" si="33"/>
        <v>ставка</v>
      </c>
      <c r="O427" s="3">
        <f t="shared" si="34"/>
        <v>141.68</v>
      </c>
      <c r="P427" s="5">
        <v>46293.5</v>
      </c>
      <c r="Q427" t="s">
        <v>32</v>
      </c>
      <c r="R427" s="2" t="s">
        <v>33</v>
      </c>
      <c r="S427">
        <v>41</v>
      </c>
      <c r="T427">
        <v>1</v>
      </c>
    </row>
    <row r="428" spans="1:20" x14ac:dyDescent="0.25">
      <c r="A428" t="s">
        <v>1312</v>
      </c>
      <c r="B428">
        <v>1</v>
      </c>
      <c r="C428" s="2" t="s">
        <v>1313</v>
      </c>
      <c r="D428" s="3">
        <v>23780</v>
      </c>
      <c r="E428" s="4">
        <v>18</v>
      </c>
      <c r="F428" t="s">
        <v>147</v>
      </c>
      <c r="G428" s="3">
        <f t="shared" si="30"/>
        <v>29000</v>
      </c>
      <c r="H428" s="3">
        <v>0</v>
      </c>
      <c r="I428" s="3">
        <f t="shared" si="31"/>
        <v>29000</v>
      </c>
      <c r="J428" s="2" t="s">
        <v>27</v>
      </c>
      <c r="K428" s="5">
        <v>46246.583333333343</v>
      </c>
      <c r="L428">
        <v>2</v>
      </c>
      <c r="M428" s="3">
        <f t="shared" si="32"/>
        <v>14500</v>
      </c>
      <c r="N428" t="str">
        <f t="shared" si="33"/>
        <v>ставка</v>
      </c>
      <c r="O428" s="3">
        <f t="shared" si="34"/>
        <v>568.63</v>
      </c>
      <c r="P428" s="5">
        <v>46248.5</v>
      </c>
      <c r="Q428" t="s">
        <v>147</v>
      </c>
      <c r="R428" s="2" t="s">
        <v>49</v>
      </c>
      <c r="S428">
        <v>25</v>
      </c>
      <c r="T428">
        <v>1</v>
      </c>
    </row>
    <row r="429" spans="1:20" ht="30" x14ac:dyDescent="0.25">
      <c r="A429" t="s">
        <v>1318</v>
      </c>
      <c r="B429">
        <v>1</v>
      </c>
      <c r="C429" s="2" t="s">
        <v>1319</v>
      </c>
      <c r="D429" s="3">
        <v>56880</v>
      </c>
      <c r="E429" s="4">
        <v>0</v>
      </c>
      <c r="F429" t="s">
        <v>23</v>
      </c>
      <c r="G429" s="3">
        <f t="shared" si="30"/>
        <v>56880</v>
      </c>
      <c r="H429" s="3">
        <v>0</v>
      </c>
      <c r="I429" s="3">
        <f t="shared" si="31"/>
        <v>56880</v>
      </c>
      <c r="J429" s="2" t="s">
        <v>27</v>
      </c>
      <c r="K429" s="5">
        <v>46244.583333333343</v>
      </c>
      <c r="L429">
        <v>8</v>
      </c>
      <c r="M429" s="3">
        <f t="shared" si="32"/>
        <v>7110</v>
      </c>
      <c r="N429" t="str">
        <f t="shared" si="33"/>
        <v>ставка</v>
      </c>
      <c r="O429" s="3">
        <f t="shared" si="34"/>
        <v>1115.29</v>
      </c>
      <c r="P429" s="5">
        <v>46252.5</v>
      </c>
      <c r="Q429" t="s">
        <v>23</v>
      </c>
      <c r="R429" s="2" t="s">
        <v>58</v>
      </c>
      <c r="S429">
        <v>24</v>
      </c>
      <c r="T429">
        <v>1</v>
      </c>
    </row>
    <row r="430" spans="1:20" ht="30" x14ac:dyDescent="0.25">
      <c r="A430" t="s">
        <v>1325</v>
      </c>
      <c r="B430">
        <v>1</v>
      </c>
      <c r="C430" s="2" t="s">
        <v>1326</v>
      </c>
      <c r="D430" s="3">
        <v>42075</v>
      </c>
      <c r="E430" s="4">
        <v>0</v>
      </c>
      <c r="F430" t="s">
        <v>245</v>
      </c>
      <c r="G430" s="3">
        <f t="shared" si="30"/>
        <v>42075</v>
      </c>
      <c r="H430" s="3">
        <v>0</v>
      </c>
      <c r="I430" s="3">
        <f t="shared" si="31"/>
        <v>42075</v>
      </c>
      <c r="J430" s="2" t="s">
        <v>27</v>
      </c>
      <c r="K430" s="5">
        <v>46279.583333333343</v>
      </c>
      <c r="L430">
        <v>5</v>
      </c>
      <c r="M430" s="3">
        <f t="shared" si="32"/>
        <v>8415</v>
      </c>
      <c r="N430" t="str">
        <f t="shared" si="33"/>
        <v>ставка</v>
      </c>
      <c r="O430" s="3">
        <f t="shared" si="34"/>
        <v>825</v>
      </c>
      <c r="P430" s="5">
        <v>46284.5</v>
      </c>
      <c r="Q430" t="s">
        <v>245</v>
      </c>
      <c r="R430" s="2" t="s">
        <v>33</v>
      </c>
      <c r="S430">
        <v>43</v>
      </c>
      <c r="T430">
        <v>1</v>
      </c>
    </row>
    <row r="431" spans="1:20" ht="30" x14ac:dyDescent="0.25">
      <c r="A431" t="s">
        <v>1327</v>
      </c>
      <c r="B431">
        <v>1</v>
      </c>
      <c r="C431" s="2" t="s">
        <v>1328</v>
      </c>
      <c r="D431" s="3">
        <v>6320</v>
      </c>
      <c r="E431" s="4">
        <v>18</v>
      </c>
      <c r="F431" t="s">
        <v>32</v>
      </c>
      <c r="G431" s="3">
        <f t="shared" si="30"/>
        <v>7707.32</v>
      </c>
      <c r="H431" s="3">
        <v>0</v>
      </c>
      <c r="I431" s="3">
        <f t="shared" si="31"/>
        <v>7707.32</v>
      </c>
      <c r="J431" s="2" t="s">
        <v>27</v>
      </c>
      <c r="K431" s="5">
        <v>46237.583333333343</v>
      </c>
      <c r="L431">
        <v>1</v>
      </c>
      <c r="M431" s="3">
        <f t="shared" si="32"/>
        <v>7707.32</v>
      </c>
      <c r="N431" t="str">
        <f t="shared" si="33"/>
        <v>ставка</v>
      </c>
      <c r="O431" s="3">
        <f t="shared" si="34"/>
        <v>151.12</v>
      </c>
      <c r="P431" s="5">
        <v>46238.5</v>
      </c>
      <c r="Q431" t="s">
        <v>32</v>
      </c>
      <c r="R431" s="2" t="s">
        <v>33</v>
      </c>
      <c r="S431">
        <v>47</v>
      </c>
      <c r="T431">
        <v>1</v>
      </c>
    </row>
    <row r="432" spans="1:20" ht="30" x14ac:dyDescent="0.25">
      <c r="A432" t="s">
        <v>1329</v>
      </c>
      <c r="B432">
        <v>1</v>
      </c>
      <c r="C432" s="2" t="s">
        <v>1330</v>
      </c>
      <c r="D432" s="3">
        <v>5775</v>
      </c>
      <c r="E432" s="4">
        <v>18</v>
      </c>
      <c r="F432" t="s">
        <v>32</v>
      </c>
      <c r="G432" s="3">
        <f t="shared" si="30"/>
        <v>7042.68</v>
      </c>
      <c r="H432" s="3">
        <v>0</v>
      </c>
      <c r="I432" s="3">
        <f t="shared" si="31"/>
        <v>7042.68</v>
      </c>
      <c r="J432" s="2" t="s">
        <v>27</v>
      </c>
      <c r="K432" s="5">
        <v>46292.583333333343</v>
      </c>
      <c r="L432">
        <v>1</v>
      </c>
      <c r="M432" s="3">
        <f t="shared" si="32"/>
        <v>7042.68</v>
      </c>
      <c r="N432" t="str">
        <f t="shared" si="33"/>
        <v>ставка</v>
      </c>
      <c r="O432" s="3">
        <f t="shared" si="34"/>
        <v>138.09</v>
      </c>
      <c r="P432" s="5">
        <v>46293.5</v>
      </c>
      <c r="Q432" t="s">
        <v>32</v>
      </c>
      <c r="R432" s="2" t="s">
        <v>58</v>
      </c>
      <c r="S432">
        <v>24</v>
      </c>
      <c r="T432">
        <v>1</v>
      </c>
    </row>
    <row r="433" spans="1:20" ht="30" x14ac:dyDescent="0.25">
      <c r="A433" t="s">
        <v>1331</v>
      </c>
      <c r="B433">
        <v>1</v>
      </c>
      <c r="C433" s="2" t="s">
        <v>1332</v>
      </c>
      <c r="D433" s="3">
        <v>23760</v>
      </c>
      <c r="E433" s="4">
        <v>18</v>
      </c>
      <c r="F433" t="s">
        <v>32</v>
      </c>
      <c r="G433" s="3">
        <f t="shared" si="30"/>
        <v>28975.61</v>
      </c>
      <c r="H433" s="3">
        <v>0</v>
      </c>
      <c r="I433" s="3">
        <f t="shared" si="31"/>
        <v>28975.61</v>
      </c>
      <c r="J433" s="2" t="s">
        <v>27</v>
      </c>
      <c r="K433" s="5">
        <v>46247.583333333343</v>
      </c>
      <c r="L433">
        <v>3</v>
      </c>
      <c r="M433" s="3">
        <f t="shared" si="32"/>
        <v>9658.5366666666669</v>
      </c>
      <c r="N433" t="str">
        <f t="shared" si="33"/>
        <v>ставка</v>
      </c>
      <c r="O433" s="3">
        <f t="shared" si="34"/>
        <v>568.15</v>
      </c>
      <c r="P433" s="5">
        <v>46250.5</v>
      </c>
      <c r="Q433" t="s">
        <v>32</v>
      </c>
      <c r="R433" s="2" t="s">
        <v>33</v>
      </c>
      <c r="S433">
        <v>41</v>
      </c>
      <c r="T433">
        <v>1</v>
      </c>
    </row>
    <row r="434" spans="1:20" ht="30" x14ac:dyDescent="0.25">
      <c r="A434" t="s">
        <v>1335</v>
      </c>
      <c r="B434">
        <v>1</v>
      </c>
      <c r="C434" s="2" t="s">
        <v>1336</v>
      </c>
      <c r="D434" s="3">
        <v>6557</v>
      </c>
      <c r="E434" s="4">
        <v>18</v>
      </c>
      <c r="F434" t="s">
        <v>32</v>
      </c>
      <c r="G434" s="3">
        <f t="shared" si="30"/>
        <v>7996.34</v>
      </c>
      <c r="H434" s="3">
        <v>0</v>
      </c>
      <c r="I434" s="3">
        <f t="shared" si="31"/>
        <v>7996.34</v>
      </c>
      <c r="J434" s="2" t="s">
        <v>27</v>
      </c>
      <c r="K434" s="5">
        <v>46238.583333333343</v>
      </c>
      <c r="L434">
        <v>1</v>
      </c>
      <c r="M434" s="3">
        <f t="shared" si="32"/>
        <v>7996.34</v>
      </c>
      <c r="N434" t="str">
        <f t="shared" si="33"/>
        <v>ставка</v>
      </c>
      <c r="O434" s="3">
        <f t="shared" si="34"/>
        <v>156.79</v>
      </c>
      <c r="P434" s="5">
        <v>46239.5</v>
      </c>
      <c r="Q434" t="s">
        <v>32</v>
      </c>
      <c r="R434" s="2" t="s">
        <v>33</v>
      </c>
      <c r="S434">
        <v>43</v>
      </c>
      <c r="T434">
        <v>1</v>
      </c>
    </row>
    <row r="435" spans="1:20" ht="30" x14ac:dyDescent="0.25">
      <c r="A435" t="s">
        <v>1337</v>
      </c>
      <c r="B435">
        <v>1</v>
      </c>
      <c r="C435" s="2" t="s">
        <v>1338</v>
      </c>
      <c r="D435" s="3">
        <v>13350</v>
      </c>
      <c r="E435" s="4">
        <v>0</v>
      </c>
      <c r="F435" t="s">
        <v>23</v>
      </c>
      <c r="G435" s="3">
        <f t="shared" si="30"/>
        <v>13350</v>
      </c>
      <c r="H435" s="3">
        <v>0</v>
      </c>
      <c r="I435" s="3">
        <f t="shared" si="31"/>
        <v>13350</v>
      </c>
      <c r="J435" s="2" t="s">
        <v>27</v>
      </c>
      <c r="K435" s="5">
        <v>46204.583333333343</v>
      </c>
      <c r="L435">
        <v>1</v>
      </c>
      <c r="M435" s="3">
        <f t="shared" si="32"/>
        <v>13350</v>
      </c>
      <c r="N435" t="str">
        <f t="shared" si="33"/>
        <v>ставка</v>
      </c>
      <c r="O435" s="3">
        <f t="shared" si="34"/>
        <v>261.76</v>
      </c>
      <c r="P435" s="5">
        <v>46205.5</v>
      </c>
      <c r="Q435" t="s">
        <v>23</v>
      </c>
      <c r="R435" s="2" t="s">
        <v>40</v>
      </c>
      <c r="S435">
        <v>36</v>
      </c>
      <c r="T435">
        <v>1</v>
      </c>
    </row>
    <row r="436" spans="1:20" ht="30" x14ac:dyDescent="0.25">
      <c r="A436" t="s">
        <v>1340</v>
      </c>
      <c r="B436">
        <v>1</v>
      </c>
      <c r="C436" s="2" t="s">
        <v>1341</v>
      </c>
      <c r="D436" s="3">
        <v>64080</v>
      </c>
      <c r="E436" s="4">
        <v>20</v>
      </c>
      <c r="F436" t="s">
        <v>48</v>
      </c>
      <c r="G436" s="3">
        <f t="shared" si="30"/>
        <v>80100</v>
      </c>
      <c r="H436" s="3">
        <v>0</v>
      </c>
      <c r="I436" s="3">
        <f t="shared" si="31"/>
        <v>80100</v>
      </c>
      <c r="J436" s="2" t="s">
        <v>27</v>
      </c>
      <c r="K436" s="5">
        <v>46247.583333333343</v>
      </c>
      <c r="L436">
        <v>6</v>
      </c>
      <c r="M436" s="3">
        <f t="shared" si="32"/>
        <v>13350</v>
      </c>
      <c r="N436" t="str">
        <f t="shared" si="33"/>
        <v>ставка</v>
      </c>
      <c r="O436" s="3">
        <f t="shared" si="34"/>
        <v>1570.59</v>
      </c>
      <c r="P436" s="5">
        <v>46253.5</v>
      </c>
      <c r="Q436" t="s">
        <v>48</v>
      </c>
      <c r="R436" s="2" t="s">
        <v>40</v>
      </c>
      <c r="S436">
        <v>26</v>
      </c>
      <c r="T436">
        <v>1</v>
      </c>
    </row>
    <row r="437" spans="1:20" ht="30" x14ac:dyDescent="0.25">
      <c r="A437" t="s">
        <v>1344</v>
      </c>
      <c r="B437">
        <v>1</v>
      </c>
      <c r="C437" s="2" t="s">
        <v>1345</v>
      </c>
      <c r="D437" s="3">
        <v>15555.1</v>
      </c>
      <c r="E437" s="4">
        <v>4</v>
      </c>
      <c r="F437" t="s">
        <v>55</v>
      </c>
      <c r="G437" s="3">
        <f t="shared" si="30"/>
        <v>16203.23</v>
      </c>
      <c r="H437" s="3">
        <v>0</v>
      </c>
      <c r="I437" s="3">
        <f t="shared" si="31"/>
        <v>16203.23</v>
      </c>
      <c r="J437" s="2" t="s">
        <v>27</v>
      </c>
      <c r="K437" s="5">
        <v>46234.583333333343</v>
      </c>
      <c r="L437">
        <v>2</v>
      </c>
      <c r="M437" s="3">
        <f t="shared" si="32"/>
        <v>8101.6149999999998</v>
      </c>
      <c r="N437" t="str">
        <f t="shared" si="33"/>
        <v>ставка</v>
      </c>
      <c r="O437" s="3">
        <f t="shared" si="34"/>
        <v>317.70999999999998</v>
      </c>
      <c r="P437" s="5">
        <v>46236.5</v>
      </c>
      <c r="Q437" t="s">
        <v>55</v>
      </c>
      <c r="R437" s="2" t="s">
        <v>33</v>
      </c>
      <c r="S437">
        <v>43</v>
      </c>
      <c r="T437">
        <v>1</v>
      </c>
    </row>
    <row r="438" spans="1:20" ht="30" x14ac:dyDescent="0.25">
      <c r="A438" t="s">
        <v>1346</v>
      </c>
      <c r="B438">
        <v>1</v>
      </c>
      <c r="C438" s="2" t="s">
        <v>1347</v>
      </c>
      <c r="D438" s="3">
        <v>64080</v>
      </c>
      <c r="E438" s="4">
        <v>0</v>
      </c>
      <c r="F438" t="s">
        <v>23</v>
      </c>
      <c r="G438" s="3">
        <f t="shared" si="30"/>
        <v>64080</v>
      </c>
      <c r="H438" s="3">
        <v>0</v>
      </c>
      <c r="I438" s="3">
        <f t="shared" si="31"/>
        <v>64080</v>
      </c>
      <c r="J438" s="2" t="s">
        <v>27</v>
      </c>
      <c r="K438" s="5">
        <v>46224.583333333343</v>
      </c>
      <c r="L438">
        <v>6</v>
      </c>
      <c r="M438" s="3">
        <f t="shared" si="32"/>
        <v>10680</v>
      </c>
      <c r="N438" t="str">
        <f t="shared" si="33"/>
        <v>ставка</v>
      </c>
      <c r="O438" s="3">
        <f t="shared" si="34"/>
        <v>1256.47</v>
      </c>
      <c r="P438" s="5">
        <v>46230.5</v>
      </c>
      <c r="Q438" t="s">
        <v>23</v>
      </c>
      <c r="R438" s="2" t="s">
        <v>40</v>
      </c>
      <c r="S438">
        <v>26</v>
      </c>
      <c r="T438">
        <v>1</v>
      </c>
    </row>
    <row r="439" spans="1:20" ht="30" x14ac:dyDescent="0.25">
      <c r="A439" t="s">
        <v>1348</v>
      </c>
      <c r="B439">
        <v>1</v>
      </c>
      <c r="C439" s="2" t="s">
        <v>1349</v>
      </c>
      <c r="D439" s="3">
        <v>6160</v>
      </c>
      <c r="E439" s="4">
        <v>20</v>
      </c>
      <c r="F439" t="s">
        <v>48</v>
      </c>
      <c r="G439" s="3">
        <f t="shared" si="30"/>
        <v>7700</v>
      </c>
      <c r="H439" s="3">
        <v>0</v>
      </c>
      <c r="I439" s="3">
        <f t="shared" si="31"/>
        <v>7700</v>
      </c>
      <c r="J439" s="2" t="s">
        <v>27</v>
      </c>
      <c r="K439" s="5">
        <v>46258.583333333343</v>
      </c>
      <c r="L439">
        <v>1</v>
      </c>
      <c r="M439" s="3">
        <f t="shared" si="32"/>
        <v>7700</v>
      </c>
      <c r="N439" t="str">
        <f t="shared" si="33"/>
        <v>ставка</v>
      </c>
      <c r="O439" s="3">
        <f t="shared" si="34"/>
        <v>150.97999999999999</v>
      </c>
      <c r="P439" s="5">
        <v>46259.5</v>
      </c>
      <c r="Q439" t="s">
        <v>48</v>
      </c>
      <c r="R439" s="2" t="s">
        <v>58</v>
      </c>
      <c r="S439">
        <v>34</v>
      </c>
      <c r="T439">
        <v>1</v>
      </c>
    </row>
    <row r="440" spans="1:20" ht="30" x14ac:dyDescent="0.25">
      <c r="A440" t="s">
        <v>1350</v>
      </c>
      <c r="B440">
        <v>1</v>
      </c>
      <c r="C440" s="2" t="s">
        <v>1351</v>
      </c>
      <c r="D440" s="3">
        <v>13350</v>
      </c>
      <c r="E440" s="4">
        <v>0</v>
      </c>
      <c r="F440" t="s">
        <v>23</v>
      </c>
      <c r="G440" s="3">
        <f t="shared" si="30"/>
        <v>13350</v>
      </c>
      <c r="H440" s="3">
        <v>0</v>
      </c>
      <c r="I440" s="3">
        <f t="shared" si="31"/>
        <v>13350</v>
      </c>
      <c r="J440" s="2" t="s">
        <v>27</v>
      </c>
      <c r="K440" s="5">
        <v>46208.583333333343</v>
      </c>
      <c r="L440">
        <v>1</v>
      </c>
      <c r="M440" s="3">
        <f t="shared" si="32"/>
        <v>13350</v>
      </c>
      <c r="N440" t="str">
        <f t="shared" si="33"/>
        <v>ставка</v>
      </c>
      <c r="O440" s="3">
        <f t="shared" si="34"/>
        <v>261.76</v>
      </c>
      <c r="P440" s="5">
        <v>46209.5</v>
      </c>
      <c r="Q440" t="s">
        <v>23</v>
      </c>
      <c r="R440" s="2" t="s">
        <v>40</v>
      </c>
      <c r="S440">
        <v>22</v>
      </c>
      <c r="T440">
        <v>1</v>
      </c>
    </row>
    <row r="441" spans="1:20" ht="30" x14ac:dyDescent="0.25">
      <c r="A441" t="s">
        <v>1352</v>
      </c>
      <c r="B441">
        <v>1</v>
      </c>
      <c r="C441" s="2" t="s">
        <v>1353</v>
      </c>
      <c r="D441" s="3">
        <v>66750</v>
      </c>
      <c r="E441" s="4">
        <v>0</v>
      </c>
      <c r="F441" t="s">
        <v>23</v>
      </c>
      <c r="G441" s="3">
        <f t="shared" si="30"/>
        <v>66750</v>
      </c>
      <c r="H441" s="3">
        <v>400</v>
      </c>
      <c r="I441" s="3">
        <f t="shared" si="31"/>
        <v>67150</v>
      </c>
      <c r="J441" s="2" t="s">
        <v>1354</v>
      </c>
      <c r="K441" s="5">
        <v>46210.583333333343</v>
      </c>
      <c r="L441">
        <v>5</v>
      </c>
      <c r="M441" s="3">
        <f t="shared" si="32"/>
        <v>13430</v>
      </c>
      <c r="N441" t="str">
        <f t="shared" si="33"/>
        <v>ставка</v>
      </c>
      <c r="O441" s="3">
        <f t="shared" si="34"/>
        <v>1316.67</v>
      </c>
      <c r="P441" s="5">
        <v>46215.5</v>
      </c>
      <c r="Q441" t="s">
        <v>23</v>
      </c>
      <c r="R441" s="2" t="s">
        <v>40</v>
      </c>
      <c r="S441">
        <v>26</v>
      </c>
      <c r="T441">
        <v>1</v>
      </c>
    </row>
    <row r="442" spans="1:20" ht="30" x14ac:dyDescent="0.25">
      <c r="A442" t="s">
        <v>1358</v>
      </c>
      <c r="B442">
        <v>1</v>
      </c>
      <c r="C442" s="2" t="s">
        <v>1359</v>
      </c>
      <c r="D442" s="3">
        <v>23100</v>
      </c>
      <c r="E442" s="4">
        <v>0</v>
      </c>
      <c r="F442" t="s">
        <v>23</v>
      </c>
      <c r="G442" s="3">
        <f t="shared" si="30"/>
        <v>23100</v>
      </c>
      <c r="H442" s="3">
        <v>0</v>
      </c>
      <c r="I442" s="3">
        <f t="shared" si="31"/>
        <v>23100</v>
      </c>
      <c r="J442" s="2" t="s">
        <v>27</v>
      </c>
      <c r="K442" s="5">
        <v>46251.583333333343</v>
      </c>
      <c r="L442">
        <v>3</v>
      </c>
      <c r="M442" s="3">
        <f t="shared" si="32"/>
        <v>7700</v>
      </c>
      <c r="N442" t="str">
        <f t="shared" si="33"/>
        <v>ставка</v>
      </c>
      <c r="O442" s="3">
        <f t="shared" si="34"/>
        <v>452.94</v>
      </c>
      <c r="P442" s="5">
        <v>46254.5</v>
      </c>
      <c r="Q442" t="s">
        <v>23</v>
      </c>
      <c r="R442" s="2" t="s">
        <v>58</v>
      </c>
      <c r="S442">
        <v>34</v>
      </c>
      <c r="T442">
        <v>1</v>
      </c>
    </row>
    <row r="443" spans="1:20" ht="30" x14ac:dyDescent="0.25">
      <c r="A443" t="s">
        <v>1360</v>
      </c>
      <c r="B443">
        <v>1</v>
      </c>
      <c r="C443" s="2" t="s">
        <v>1361</v>
      </c>
      <c r="D443" s="3">
        <v>39270</v>
      </c>
      <c r="E443" s="4">
        <v>16</v>
      </c>
      <c r="F443" t="s">
        <v>36</v>
      </c>
      <c r="G443" s="3">
        <f t="shared" si="30"/>
        <v>46750</v>
      </c>
      <c r="H443" s="3">
        <v>0</v>
      </c>
      <c r="I443" s="3">
        <f t="shared" si="31"/>
        <v>46750</v>
      </c>
      <c r="J443" s="2" t="s">
        <v>27</v>
      </c>
      <c r="K443" s="5">
        <v>46237.583333333343</v>
      </c>
      <c r="L443">
        <v>3</v>
      </c>
      <c r="M443" s="3">
        <f t="shared" si="32"/>
        <v>15583.333333333334</v>
      </c>
      <c r="N443" t="str">
        <f t="shared" si="33"/>
        <v>ставка</v>
      </c>
      <c r="O443" s="3">
        <f t="shared" si="34"/>
        <v>916.67</v>
      </c>
      <c r="P443" s="5">
        <v>46240.5</v>
      </c>
      <c r="Q443" t="s">
        <v>36</v>
      </c>
      <c r="R443" s="2" t="s">
        <v>24</v>
      </c>
      <c r="S443">
        <v>21</v>
      </c>
      <c r="T443">
        <v>1</v>
      </c>
    </row>
    <row r="444" spans="1:20" ht="30" x14ac:dyDescent="0.25">
      <c r="A444" t="s">
        <v>1362</v>
      </c>
      <c r="B444">
        <v>1</v>
      </c>
      <c r="C444" s="2" t="s">
        <v>1363</v>
      </c>
      <c r="D444" s="3">
        <v>23760</v>
      </c>
      <c r="E444" s="4">
        <v>18</v>
      </c>
      <c r="F444" t="s">
        <v>32</v>
      </c>
      <c r="G444" s="3">
        <f t="shared" si="30"/>
        <v>28975.61</v>
      </c>
      <c r="H444" s="3">
        <v>0</v>
      </c>
      <c r="I444" s="3">
        <f t="shared" si="31"/>
        <v>28975.61</v>
      </c>
      <c r="J444" s="2" t="s">
        <v>27</v>
      </c>
      <c r="K444" s="5">
        <v>46289.583333333343</v>
      </c>
      <c r="L444">
        <v>3</v>
      </c>
      <c r="M444" s="3">
        <f t="shared" si="32"/>
        <v>9658.5366666666669</v>
      </c>
      <c r="N444" t="str">
        <f t="shared" si="33"/>
        <v>ставка</v>
      </c>
      <c r="O444" s="3">
        <f t="shared" si="34"/>
        <v>568.15</v>
      </c>
      <c r="P444" s="5">
        <v>46292.5</v>
      </c>
      <c r="Q444" t="s">
        <v>32</v>
      </c>
      <c r="R444" s="2" t="s">
        <v>33</v>
      </c>
      <c r="S444">
        <v>43</v>
      </c>
      <c r="T444">
        <v>1</v>
      </c>
    </row>
    <row r="445" spans="1:20" ht="30" x14ac:dyDescent="0.25">
      <c r="A445" t="s">
        <v>1372</v>
      </c>
      <c r="B445">
        <v>1</v>
      </c>
      <c r="C445" s="2" t="s">
        <v>1373</v>
      </c>
      <c r="D445" s="3">
        <v>13149.75</v>
      </c>
      <c r="E445" s="4">
        <v>4</v>
      </c>
      <c r="F445" t="s">
        <v>55</v>
      </c>
      <c r="G445" s="3">
        <f t="shared" si="30"/>
        <v>13697.66</v>
      </c>
      <c r="H445" s="3">
        <v>0</v>
      </c>
      <c r="I445" s="3">
        <f t="shared" si="31"/>
        <v>13697.66</v>
      </c>
      <c r="J445" s="2" t="s">
        <v>27</v>
      </c>
      <c r="K445" s="5">
        <v>46233.583333333343</v>
      </c>
      <c r="L445">
        <v>1</v>
      </c>
      <c r="M445" s="3">
        <f t="shared" si="32"/>
        <v>13697.66</v>
      </c>
      <c r="N445" t="str">
        <f t="shared" si="33"/>
        <v>ставка</v>
      </c>
      <c r="O445" s="3">
        <f t="shared" si="34"/>
        <v>268.58</v>
      </c>
      <c r="P445" s="5">
        <v>46234.5</v>
      </c>
      <c r="Q445" t="s">
        <v>55</v>
      </c>
      <c r="R445" s="2" t="s">
        <v>40</v>
      </c>
      <c r="S445">
        <v>23</v>
      </c>
      <c r="T445">
        <v>1</v>
      </c>
    </row>
    <row r="446" spans="1:20" ht="30" x14ac:dyDescent="0.25">
      <c r="A446" t="s">
        <v>1376</v>
      </c>
      <c r="B446">
        <v>1</v>
      </c>
      <c r="C446" s="2" t="s">
        <v>1377</v>
      </c>
      <c r="D446" s="3">
        <v>19651.5</v>
      </c>
      <c r="E446" s="4">
        <v>4</v>
      </c>
      <c r="F446" t="s">
        <v>55</v>
      </c>
      <c r="G446" s="3">
        <f t="shared" si="30"/>
        <v>20470.310000000001</v>
      </c>
      <c r="H446" s="3">
        <v>0</v>
      </c>
      <c r="I446" s="3">
        <f t="shared" si="31"/>
        <v>20470.310000000001</v>
      </c>
      <c r="J446" s="2" t="s">
        <v>27</v>
      </c>
      <c r="K446" s="5">
        <v>46239.583333333343</v>
      </c>
      <c r="L446">
        <v>2</v>
      </c>
      <c r="M446" s="3">
        <f t="shared" si="32"/>
        <v>10235.155000000001</v>
      </c>
      <c r="N446" t="str">
        <f t="shared" si="33"/>
        <v>ставка</v>
      </c>
      <c r="O446" s="3">
        <f t="shared" si="34"/>
        <v>401.38</v>
      </c>
      <c r="P446" s="5">
        <v>46241.5</v>
      </c>
      <c r="Q446" t="s">
        <v>55</v>
      </c>
      <c r="R446" s="2" t="s">
        <v>33</v>
      </c>
      <c r="S446">
        <v>47</v>
      </c>
      <c r="T446">
        <v>1</v>
      </c>
    </row>
    <row r="447" spans="1:20" ht="30" x14ac:dyDescent="0.25">
      <c r="A447" t="s">
        <v>1379</v>
      </c>
      <c r="B447">
        <v>1</v>
      </c>
      <c r="C447" s="2" t="s">
        <v>1380</v>
      </c>
      <c r="D447" s="3">
        <v>40584</v>
      </c>
      <c r="E447" s="4">
        <v>18</v>
      </c>
      <c r="F447" t="s">
        <v>32</v>
      </c>
      <c r="G447" s="3">
        <f t="shared" si="30"/>
        <v>49492.68</v>
      </c>
      <c r="H447" s="3">
        <v>0</v>
      </c>
      <c r="I447" s="3">
        <f t="shared" si="31"/>
        <v>49492.68</v>
      </c>
      <c r="J447" s="2" t="s">
        <v>27</v>
      </c>
      <c r="K447" s="5">
        <v>46247.583333333343</v>
      </c>
      <c r="L447">
        <v>4</v>
      </c>
      <c r="M447" s="3">
        <f t="shared" si="32"/>
        <v>12373.17</v>
      </c>
      <c r="N447" t="str">
        <f t="shared" si="33"/>
        <v>ставка</v>
      </c>
      <c r="O447" s="3">
        <f t="shared" si="34"/>
        <v>970.44</v>
      </c>
      <c r="P447" s="5">
        <v>46251.5</v>
      </c>
      <c r="Q447" t="s">
        <v>32</v>
      </c>
      <c r="R447" s="2" t="s">
        <v>40</v>
      </c>
      <c r="S447">
        <v>33</v>
      </c>
      <c r="T447">
        <v>1</v>
      </c>
    </row>
    <row r="448" spans="1:20" ht="30" x14ac:dyDescent="0.25">
      <c r="A448" t="s">
        <v>1381</v>
      </c>
      <c r="B448">
        <v>1</v>
      </c>
      <c r="C448" s="2" t="s">
        <v>1382</v>
      </c>
      <c r="D448" s="3">
        <v>18960</v>
      </c>
      <c r="E448" s="4">
        <v>20</v>
      </c>
      <c r="F448" t="s">
        <v>48</v>
      </c>
      <c r="G448" s="3">
        <f t="shared" si="30"/>
        <v>23700</v>
      </c>
      <c r="H448" s="3">
        <v>0</v>
      </c>
      <c r="I448" s="3">
        <f t="shared" si="31"/>
        <v>23700</v>
      </c>
      <c r="J448" s="2" t="s">
        <v>27</v>
      </c>
      <c r="K448" s="5">
        <v>46260.583333333343</v>
      </c>
      <c r="L448">
        <v>3</v>
      </c>
      <c r="M448" s="3">
        <f t="shared" si="32"/>
        <v>7900</v>
      </c>
      <c r="N448" t="str">
        <f t="shared" si="33"/>
        <v>ставка</v>
      </c>
      <c r="O448" s="3">
        <f t="shared" si="34"/>
        <v>464.71</v>
      </c>
      <c r="P448" s="5">
        <v>46263.5</v>
      </c>
      <c r="Q448" t="s">
        <v>48</v>
      </c>
      <c r="R448" s="2" t="s">
        <v>33</v>
      </c>
      <c r="S448">
        <v>41</v>
      </c>
      <c r="T448">
        <v>1</v>
      </c>
    </row>
    <row r="449" spans="1:20" ht="30" x14ac:dyDescent="0.25">
      <c r="A449" t="s">
        <v>1383</v>
      </c>
      <c r="B449">
        <v>1</v>
      </c>
      <c r="C449" s="2" t="s">
        <v>1384</v>
      </c>
      <c r="D449" s="3">
        <v>19908</v>
      </c>
      <c r="E449" s="4">
        <v>16</v>
      </c>
      <c r="F449" t="s">
        <v>36</v>
      </c>
      <c r="G449" s="3">
        <f t="shared" si="30"/>
        <v>23700</v>
      </c>
      <c r="H449" s="3">
        <v>0</v>
      </c>
      <c r="I449" s="3">
        <f t="shared" si="31"/>
        <v>23700</v>
      </c>
      <c r="J449" s="2" t="s">
        <v>27</v>
      </c>
      <c r="K449" s="5">
        <v>46273.583333333343</v>
      </c>
      <c r="L449">
        <v>3</v>
      </c>
      <c r="M449" s="3">
        <f t="shared" si="32"/>
        <v>7900</v>
      </c>
      <c r="N449" t="str">
        <f t="shared" si="33"/>
        <v>ставка</v>
      </c>
      <c r="O449" s="3">
        <f t="shared" si="34"/>
        <v>464.71</v>
      </c>
      <c r="P449" s="5">
        <v>46276.5</v>
      </c>
      <c r="Q449" t="s">
        <v>36</v>
      </c>
      <c r="R449" s="2" t="s">
        <v>33</v>
      </c>
      <c r="S449">
        <v>45</v>
      </c>
      <c r="T449">
        <v>1</v>
      </c>
    </row>
    <row r="450" spans="1:20" ht="30" x14ac:dyDescent="0.25">
      <c r="A450" t="s">
        <v>1385</v>
      </c>
      <c r="B450">
        <v>1</v>
      </c>
      <c r="C450" s="2" t="s">
        <v>1386</v>
      </c>
      <c r="D450" s="3">
        <v>48060</v>
      </c>
      <c r="E450" s="4">
        <v>0</v>
      </c>
      <c r="F450" t="s">
        <v>23</v>
      </c>
      <c r="G450" s="3">
        <f t="shared" ref="G450:G513" si="35">ROUND(D450/(100-E450)*100,2)</f>
        <v>48060</v>
      </c>
      <c r="H450" s="3">
        <v>0</v>
      </c>
      <c r="I450" s="3">
        <f t="shared" ref="I450:I513" si="36">ROUND(G450+H450,2)</f>
        <v>48060</v>
      </c>
      <c r="J450" s="2" t="s">
        <v>27</v>
      </c>
      <c r="K450" s="5">
        <v>46243.583333333343</v>
      </c>
      <c r="L450">
        <v>4</v>
      </c>
      <c r="M450" s="3">
        <f t="shared" ref="M450:M513" si="37">I450/L450</f>
        <v>12015</v>
      </c>
      <c r="N450" t="str">
        <f t="shared" ref="N450:N513" si="38">IF(M450&gt;=5100,"ставка","мин.ставка")</f>
        <v>ставка</v>
      </c>
      <c r="O450" s="3">
        <f t="shared" ref="O450:O513" si="39">ROUND(IF(N450="мин.ставка",L450*100,I450/102*2),2)</f>
        <v>942.35</v>
      </c>
      <c r="P450" s="5">
        <v>46247.5</v>
      </c>
      <c r="Q450" t="s">
        <v>23</v>
      </c>
      <c r="R450" s="2" t="s">
        <v>40</v>
      </c>
      <c r="S450">
        <v>33</v>
      </c>
      <c r="T450">
        <v>1</v>
      </c>
    </row>
    <row r="451" spans="1:20" ht="30" x14ac:dyDescent="0.25">
      <c r="A451" t="s">
        <v>1387</v>
      </c>
      <c r="B451">
        <v>1</v>
      </c>
      <c r="C451" s="2" t="s">
        <v>1388</v>
      </c>
      <c r="D451" s="3">
        <v>22700</v>
      </c>
      <c r="E451" s="4">
        <v>0</v>
      </c>
      <c r="F451" t="s">
        <v>23</v>
      </c>
      <c r="G451" s="3">
        <f t="shared" si="35"/>
        <v>22700</v>
      </c>
      <c r="H451" s="3">
        <v>0</v>
      </c>
      <c r="I451" s="3">
        <f t="shared" si="36"/>
        <v>22700</v>
      </c>
      <c r="J451" s="2" t="s">
        <v>27</v>
      </c>
      <c r="K451" s="5">
        <v>46280.583333333343</v>
      </c>
      <c r="L451">
        <v>2</v>
      </c>
      <c r="M451" s="3">
        <f t="shared" si="37"/>
        <v>11350</v>
      </c>
      <c r="N451" t="str">
        <f t="shared" si="38"/>
        <v>ставка</v>
      </c>
      <c r="O451" s="3">
        <f t="shared" si="39"/>
        <v>445.1</v>
      </c>
      <c r="P451" s="5">
        <v>46282.5</v>
      </c>
      <c r="Q451" t="s">
        <v>23</v>
      </c>
      <c r="R451" s="2" t="s">
        <v>40</v>
      </c>
      <c r="S451">
        <v>23</v>
      </c>
      <c r="T451">
        <v>1</v>
      </c>
    </row>
    <row r="452" spans="1:20" ht="30" x14ac:dyDescent="0.25">
      <c r="A452" t="s">
        <v>1389</v>
      </c>
      <c r="B452">
        <v>1</v>
      </c>
      <c r="C452" s="2" t="s">
        <v>1390</v>
      </c>
      <c r="D452" s="3">
        <v>45390</v>
      </c>
      <c r="E452" s="4">
        <v>0</v>
      </c>
      <c r="F452" t="s">
        <v>245</v>
      </c>
      <c r="G452" s="3">
        <f t="shared" si="35"/>
        <v>45390</v>
      </c>
      <c r="H452" s="3">
        <v>0</v>
      </c>
      <c r="I452" s="3">
        <f t="shared" si="36"/>
        <v>45390</v>
      </c>
      <c r="J452" s="2" t="s">
        <v>27</v>
      </c>
      <c r="K452" s="5">
        <v>46229.583333333343</v>
      </c>
      <c r="L452">
        <v>4</v>
      </c>
      <c r="M452" s="3">
        <f t="shared" si="37"/>
        <v>11347.5</v>
      </c>
      <c r="N452" t="str">
        <f t="shared" si="38"/>
        <v>ставка</v>
      </c>
      <c r="O452" s="3">
        <f t="shared" si="39"/>
        <v>890</v>
      </c>
      <c r="P452" s="5">
        <v>46233.5</v>
      </c>
      <c r="Q452" t="s">
        <v>245</v>
      </c>
      <c r="R452" s="2" t="s">
        <v>40</v>
      </c>
      <c r="S452">
        <v>32</v>
      </c>
      <c r="T452">
        <v>1</v>
      </c>
    </row>
    <row r="453" spans="1:20" ht="30" x14ac:dyDescent="0.25">
      <c r="A453" t="s">
        <v>1392</v>
      </c>
      <c r="B453">
        <v>1</v>
      </c>
      <c r="C453" s="2" t="s">
        <v>1393</v>
      </c>
      <c r="D453" s="3">
        <v>10215</v>
      </c>
      <c r="E453" s="4">
        <v>0</v>
      </c>
      <c r="F453" t="s">
        <v>23</v>
      </c>
      <c r="G453" s="3">
        <f t="shared" si="35"/>
        <v>10215</v>
      </c>
      <c r="H453" s="3">
        <v>0</v>
      </c>
      <c r="I453" s="3">
        <f t="shared" si="36"/>
        <v>10215</v>
      </c>
      <c r="J453" s="2" t="s">
        <v>27</v>
      </c>
      <c r="K453" s="5">
        <v>46249.583333333343</v>
      </c>
      <c r="L453">
        <v>1</v>
      </c>
      <c r="M453" s="3">
        <f t="shared" si="37"/>
        <v>10215</v>
      </c>
      <c r="N453" t="str">
        <f t="shared" si="38"/>
        <v>ставка</v>
      </c>
      <c r="O453" s="3">
        <f t="shared" si="39"/>
        <v>200.29</v>
      </c>
      <c r="P453" s="5">
        <v>46250.5</v>
      </c>
      <c r="Q453" t="s">
        <v>23</v>
      </c>
      <c r="R453" s="2" t="s">
        <v>40</v>
      </c>
      <c r="S453">
        <v>44</v>
      </c>
      <c r="T453">
        <v>1</v>
      </c>
    </row>
    <row r="454" spans="1:20" x14ac:dyDescent="0.25">
      <c r="A454" t="s">
        <v>1394</v>
      </c>
      <c r="B454">
        <v>1</v>
      </c>
      <c r="C454" s="2" t="s">
        <v>1395</v>
      </c>
      <c r="D454" s="3">
        <v>15988.5</v>
      </c>
      <c r="E454" s="4">
        <v>4</v>
      </c>
      <c r="F454" t="s">
        <v>55</v>
      </c>
      <c r="G454" s="3">
        <f t="shared" si="35"/>
        <v>16654.689999999999</v>
      </c>
      <c r="H454" s="3">
        <v>0</v>
      </c>
      <c r="I454" s="3">
        <f t="shared" si="36"/>
        <v>16654.689999999999</v>
      </c>
      <c r="J454" s="2" t="s">
        <v>27</v>
      </c>
      <c r="K454" s="5">
        <v>46213.583333333343</v>
      </c>
      <c r="L454">
        <v>1</v>
      </c>
      <c r="M454" s="3">
        <f t="shared" si="37"/>
        <v>16654.689999999999</v>
      </c>
      <c r="N454" t="str">
        <f t="shared" si="38"/>
        <v>ставка</v>
      </c>
      <c r="O454" s="3">
        <f t="shared" si="39"/>
        <v>326.56</v>
      </c>
      <c r="P454" s="5">
        <v>46214.5</v>
      </c>
      <c r="Q454" t="s">
        <v>55</v>
      </c>
      <c r="R454" s="2" t="s">
        <v>49</v>
      </c>
      <c r="S454">
        <v>25</v>
      </c>
      <c r="T454">
        <v>1</v>
      </c>
    </row>
    <row r="455" spans="1:20" x14ac:dyDescent="0.25">
      <c r="A455" t="s">
        <v>1396</v>
      </c>
      <c r="B455">
        <v>1</v>
      </c>
      <c r="C455" s="2" t="s">
        <v>1397</v>
      </c>
      <c r="D455" s="3">
        <v>98488.5</v>
      </c>
      <c r="E455" s="4">
        <v>4</v>
      </c>
      <c r="F455" t="s">
        <v>55</v>
      </c>
      <c r="G455" s="3">
        <f t="shared" si="35"/>
        <v>102592.19</v>
      </c>
      <c r="H455" s="3">
        <v>0</v>
      </c>
      <c r="I455" s="3">
        <f t="shared" si="36"/>
        <v>102592.19</v>
      </c>
      <c r="J455" s="2" t="s">
        <v>27</v>
      </c>
      <c r="K455" s="5">
        <v>46269.583333333343</v>
      </c>
      <c r="L455">
        <v>6</v>
      </c>
      <c r="M455" s="3">
        <f t="shared" si="37"/>
        <v>17098.698333333334</v>
      </c>
      <c r="N455" t="str">
        <f t="shared" si="38"/>
        <v>ставка</v>
      </c>
      <c r="O455" s="3">
        <f t="shared" si="39"/>
        <v>2011.61</v>
      </c>
      <c r="P455" s="5">
        <v>46275.5</v>
      </c>
      <c r="Q455" t="s">
        <v>55</v>
      </c>
      <c r="R455" s="2" t="s">
        <v>49</v>
      </c>
      <c r="S455">
        <v>11</v>
      </c>
      <c r="T455">
        <v>1</v>
      </c>
    </row>
    <row r="456" spans="1:20" ht="30" x14ac:dyDescent="0.25">
      <c r="A456" t="s">
        <v>1398</v>
      </c>
      <c r="B456">
        <v>1</v>
      </c>
      <c r="C456" s="2" t="s">
        <v>1399</v>
      </c>
      <c r="D456" s="3">
        <v>20790</v>
      </c>
      <c r="E456" s="4">
        <v>0</v>
      </c>
      <c r="F456" t="s">
        <v>23</v>
      </c>
      <c r="G456" s="3">
        <f t="shared" si="35"/>
        <v>20790</v>
      </c>
      <c r="H456" s="3">
        <v>0</v>
      </c>
      <c r="I456" s="3">
        <f t="shared" si="36"/>
        <v>20790</v>
      </c>
      <c r="J456" s="2" t="s">
        <v>27</v>
      </c>
      <c r="K456" s="5">
        <v>46241.583333333343</v>
      </c>
      <c r="L456">
        <v>3</v>
      </c>
      <c r="M456" s="3">
        <f t="shared" si="37"/>
        <v>6930</v>
      </c>
      <c r="N456" t="str">
        <f t="shared" si="38"/>
        <v>ставка</v>
      </c>
      <c r="O456" s="3">
        <f t="shared" si="39"/>
        <v>407.65</v>
      </c>
      <c r="P456" s="5">
        <v>46244.5</v>
      </c>
      <c r="Q456" t="s">
        <v>23</v>
      </c>
      <c r="R456" s="2" t="s">
        <v>58</v>
      </c>
      <c r="S456">
        <v>24</v>
      </c>
      <c r="T456">
        <v>1</v>
      </c>
    </row>
    <row r="457" spans="1:20" ht="30" x14ac:dyDescent="0.25">
      <c r="A457" t="s">
        <v>1403</v>
      </c>
      <c r="B457">
        <v>1</v>
      </c>
      <c r="C457" s="2" t="s">
        <v>1404</v>
      </c>
      <c r="D457" s="3">
        <v>12320</v>
      </c>
      <c r="E457" s="4">
        <v>18</v>
      </c>
      <c r="F457" t="s">
        <v>32</v>
      </c>
      <c r="G457" s="3">
        <f t="shared" si="35"/>
        <v>15024.39</v>
      </c>
      <c r="H457" s="3">
        <v>0</v>
      </c>
      <c r="I457" s="3">
        <f t="shared" si="36"/>
        <v>15024.39</v>
      </c>
      <c r="J457" s="2" t="s">
        <v>27</v>
      </c>
      <c r="K457" s="5">
        <v>46247.583333333343</v>
      </c>
      <c r="L457">
        <v>1</v>
      </c>
      <c r="M457" s="3">
        <f t="shared" si="37"/>
        <v>15024.39</v>
      </c>
      <c r="N457" t="str">
        <f t="shared" si="38"/>
        <v>ставка</v>
      </c>
      <c r="O457" s="3">
        <f t="shared" si="39"/>
        <v>294.60000000000002</v>
      </c>
      <c r="P457" s="5">
        <v>46248.5</v>
      </c>
      <c r="Q457" t="s">
        <v>32</v>
      </c>
      <c r="R457" s="2" t="s">
        <v>24</v>
      </c>
      <c r="S457">
        <v>31</v>
      </c>
      <c r="T457">
        <v>1</v>
      </c>
    </row>
    <row r="458" spans="1:20" ht="30" x14ac:dyDescent="0.25">
      <c r="A458" t="s">
        <v>1405</v>
      </c>
      <c r="B458">
        <v>1</v>
      </c>
      <c r="C458" s="2" t="s">
        <v>1404</v>
      </c>
      <c r="D458" s="3">
        <v>12320</v>
      </c>
      <c r="E458" s="4">
        <v>18</v>
      </c>
      <c r="F458" t="s">
        <v>32</v>
      </c>
      <c r="G458" s="3">
        <f t="shared" si="35"/>
        <v>15024.39</v>
      </c>
      <c r="H458" s="3">
        <v>0</v>
      </c>
      <c r="I458" s="3">
        <f t="shared" si="36"/>
        <v>15024.39</v>
      </c>
      <c r="J458" s="2" t="s">
        <v>27</v>
      </c>
      <c r="K458" s="5">
        <v>46248.583333333343</v>
      </c>
      <c r="L458">
        <v>1</v>
      </c>
      <c r="M458" s="3">
        <f t="shared" si="37"/>
        <v>15024.39</v>
      </c>
      <c r="N458" t="str">
        <f t="shared" si="38"/>
        <v>ставка</v>
      </c>
      <c r="O458" s="3">
        <f t="shared" si="39"/>
        <v>294.60000000000002</v>
      </c>
      <c r="P458" s="5">
        <v>46249.5</v>
      </c>
      <c r="Q458" t="s">
        <v>32</v>
      </c>
      <c r="R458" s="2" t="s">
        <v>24</v>
      </c>
      <c r="S458">
        <v>31</v>
      </c>
      <c r="T458">
        <v>1</v>
      </c>
    </row>
    <row r="459" spans="1:20" ht="30" x14ac:dyDescent="0.25">
      <c r="A459" t="s">
        <v>1406</v>
      </c>
      <c r="B459">
        <v>1</v>
      </c>
      <c r="C459" s="2" t="s">
        <v>1407</v>
      </c>
      <c r="D459" s="3">
        <v>10680</v>
      </c>
      <c r="E459" s="4">
        <v>20</v>
      </c>
      <c r="F459" t="s">
        <v>48</v>
      </c>
      <c r="G459" s="3">
        <f t="shared" si="35"/>
        <v>13350</v>
      </c>
      <c r="H459" s="3">
        <v>0</v>
      </c>
      <c r="I459" s="3">
        <f t="shared" si="36"/>
        <v>13350</v>
      </c>
      <c r="J459" s="2" t="s">
        <v>27</v>
      </c>
      <c r="K459" s="5">
        <v>46260.583333333343</v>
      </c>
      <c r="L459">
        <v>1</v>
      </c>
      <c r="M459" s="3">
        <f t="shared" si="37"/>
        <v>13350</v>
      </c>
      <c r="N459" t="str">
        <f t="shared" si="38"/>
        <v>ставка</v>
      </c>
      <c r="O459" s="3">
        <f t="shared" si="39"/>
        <v>261.76</v>
      </c>
      <c r="P459" s="5">
        <v>46261.5</v>
      </c>
      <c r="Q459" t="s">
        <v>48</v>
      </c>
      <c r="R459" s="2" t="s">
        <v>40</v>
      </c>
      <c r="S459">
        <v>32</v>
      </c>
      <c r="T459">
        <v>1</v>
      </c>
    </row>
    <row r="460" spans="1:20" ht="30" x14ac:dyDescent="0.25">
      <c r="A460" t="s">
        <v>1413</v>
      </c>
      <c r="B460">
        <v>1</v>
      </c>
      <c r="C460" s="2" t="s">
        <v>1414</v>
      </c>
      <c r="D460" s="3">
        <v>13860</v>
      </c>
      <c r="E460" s="4">
        <v>0</v>
      </c>
      <c r="F460" t="s">
        <v>23</v>
      </c>
      <c r="G460" s="3">
        <f t="shared" si="35"/>
        <v>13860</v>
      </c>
      <c r="H460" s="3">
        <v>240</v>
      </c>
      <c r="I460" s="3">
        <f t="shared" si="36"/>
        <v>14100</v>
      </c>
      <c r="J460" s="2" t="s">
        <v>1415</v>
      </c>
      <c r="K460" s="5">
        <v>46225.583333333343</v>
      </c>
      <c r="L460">
        <v>1</v>
      </c>
      <c r="M460" s="3">
        <f t="shared" si="37"/>
        <v>14100</v>
      </c>
      <c r="N460" t="str">
        <f t="shared" si="38"/>
        <v>ставка</v>
      </c>
      <c r="O460" s="3">
        <f t="shared" si="39"/>
        <v>276.47000000000003</v>
      </c>
      <c r="P460" s="5">
        <v>46226.5</v>
      </c>
      <c r="Q460" t="s">
        <v>23</v>
      </c>
      <c r="R460" s="2" t="s">
        <v>24</v>
      </c>
      <c r="S460">
        <v>21</v>
      </c>
      <c r="T460">
        <v>1</v>
      </c>
    </row>
    <row r="461" spans="1:20" ht="30" x14ac:dyDescent="0.25">
      <c r="A461" t="s">
        <v>1416</v>
      </c>
      <c r="B461">
        <v>1</v>
      </c>
      <c r="C461" s="2" t="s">
        <v>1414</v>
      </c>
      <c r="D461" s="3">
        <v>12015</v>
      </c>
      <c r="E461" s="4">
        <v>0</v>
      </c>
      <c r="F461" t="s">
        <v>23</v>
      </c>
      <c r="G461" s="3">
        <f t="shared" si="35"/>
        <v>12015</v>
      </c>
      <c r="H461" s="3">
        <v>0</v>
      </c>
      <c r="I461" s="3">
        <f t="shared" si="36"/>
        <v>12015</v>
      </c>
      <c r="J461" s="2" t="s">
        <v>27</v>
      </c>
      <c r="K461" s="5">
        <v>46232.583333333343</v>
      </c>
      <c r="L461">
        <v>1</v>
      </c>
      <c r="M461" s="3">
        <f t="shared" si="37"/>
        <v>12015</v>
      </c>
      <c r="N461" t="str">
        <f t="shared" si="38"/>
        <v>ставка</v>
      </c>
      <c r="O461" s="3">
        <f t="shared" si="39"/>
        <v>235.59</v>
      </c>
      <c r="P461" s="5">
        <v>46233.5</v>
      </c>
      <c r="Q461" t="s">
        <v>23</v>
      </c>
      <c r="R461" s="2" t="s">
        <v>40</v>
      </c>
      <c r="S461">
        <v>23</v>
      </c>
      <c r="T461">
        <v>1</v>
      </c>
    </row>
    <row r="462" spans="1:20" ht="30" x14ac:dyDescent="0.25">
      <c r="A462" t="s">
        <v>1417</v>
      </c>
      <c r="B462">
        <v>1</v>
      </c>
      <c r="C462" s="2" t="s">
        <v>1418</v>
      </c>
      <c r="D462" s="3">
        <v>9751.5</v>
      </c>
      <c r="E462" s="4">
        <v>4</v>
      </c>
      <c r="F462" t="s">
        <v>55</v>
      </c>
      <c r="G462" s="3">
        <f t="shared" si="35"/>
        <v>10157.81</v>
      </c>
      <c r="H462" s="3">
        <v>0</v>
      </c>
      <c r="I462" s="3">
        <f t="shared" si="36"/>
        <v>10157.81</v>
      </c>
      <c r="J462" s="2" t="s">
        <v>27</v>
      </c>
      <c r="K462" s="5">
        <v>46235.583333333343</v>
      </c>
      <c r="L462">
        <v>1</v>
      </c>
      <c r="M462" s="3">
        <f t="shared" si="37"/>
        <v>10157.81</v>
      </c>
      <c r="N462" t="str">
        <f t="shared" si="38"/>
        <v>ставка</v>
      </c>
      <c r="O462" s="3">
        <f t="shared" si="39"/>
        <v>199.17</v>
      </c>
      <c r="P462" s="5">
        <v>46236.5</v>
      </c>
      <c r="Q462" t="s">
        <v>55</v>
      </c>
      <c r="R462" s="2" t="s">
        <v>33</v>
      </c>
      <c r="S462">
        <v>41</v>
      </c>
      <c r="T462">
        <v>1</v>
      </c>
    </row>
    <row r="463" spans="1:20" x14ac:dyDescent="0.25">
      <c r="A463" t="s">
        <v>1419</v>
      </c>
      <c r="B463">
        <v>1</v>
      </c>
      <c r="C463" s="2" t="s">
        <v>1420</v>
      </c>
      <c r="D463" s="3">
        <v>43500</v>
      </c>
      <c r="E463" s="4">
        <v>0</v>
      </c>
      <c r="F463" t="s">
        <v>23</v>
      </c>
      <c r="G463" s="3">
        <f t="shared" si="35"/>
        <v>43500</v>
      </c>
      <c r="H463" s="3">
        <v>0</v>
      </c>
      <c r="I463" s="3">
        <f t="shared" si="36"/>
        <v>43500</v>
      </c>
      <c r="J463" s="2" t="s">
        <v>27</v>
      </c>
      <c r="K463" s="5">
        <v>46224.583333333343</v>
      </c>
      <c r="L463">
        <v>3</v>
      </c>
      <c r="M463" s="3">
        <f t="shared" si="37"/>
        <v>14500</v>
      </c>
      <c r="N463" t="str">
        <f t="shared" si="38"/>
        <v>ставка</v>
      </c>
      <c r="O463" s="3">
        <f t="shared" si="39"/>
        <v>852.94</v>
      </c>
      <c r="P463" s="5">
        <v>46227.5</v>
      </c>
      <c r="Q463" t="s">
        <v>23</v>
      </c>
      <c r="R463" s="2" t="s">
        <v>49</v>
      </c>
      <c r="S463">
        <v>25</v>
      </c>
      <c r="T463">
        <v>1</v>
      </c>
    </row>
    <row r="464" spans="1:20" ht="30" x14ac:dyDescent="0.25">
      <c r="A464" t="s">
        <v>1421</v>
      </c>
      <c r="B464">
        <v>1</v>
      </c>
      <c r="C464" s="2" t="s">
        <v>1422</v>
      </c>
      <c r="D464" s="3">
        <v>5925</v>
      </c>
      <c r="E464" s="4">
        <v>18</v>
      </c>
      <c r="F464" t="s">
        <v>32</v>
      </c>
      <c r="G464" s="3">
        <f t="shared" si="35"/>
        <v>7225.61</v>
      </c>
      <c r="H464" s="3">
        <v>0</v>
      </c>
      <c r="I464" s="3">
        <f t="shared" si="36"/>
        <v>7225.61</v>
      </c>
      <c r="J464" s="2" t="s">
        <v>27</v>
      </c>
      <c r="K464" s="5">
        <v>46272.583333333343</v>
      </c>
      <c r="L464">
        <v>1</v>
      </c>
      <c r="M464" s="3">
        <f t="shared" si="37"/>
        <v>7225.61</v>
      </c>
      <c r="N464" t="str">
        <f t="shared" si="38"/>
        <v>ставка</v>
      </c>
      <c r="O464" s="3">
        <f t="shared" si="39"/>
        <v>141.68</v>
      </c>
      <c r="P464" s="5">
        <v>46273.5</v>
      </c>
      <c r="Q464" t="s">
        <v>32</v>
      </c>
      <c r="R464" s="2" t="s">
        <v>33</v>
      </c>
      <c r="S464">
        <v>47</v>
      </c>
      <c r="T464">
        <v>1</v>
      </c>
    </row>
    <row r="465" spans="1:20" ht="30" x14ac:dyDescent="0.25">
      <c r="A465" t="s">
        <v>1423</v>
      </c>
      <c r="B465">
        <v>1</v>
      </c>
      <c r="C465" s="2" t="s">
        <v>1424</v>
      </c>
      <c r="D465" s="3">
        <v>8316</v>
      </c>
      <c r="E465" s="4">
        <v>16</v>
      </c>
      <c r="F465" t="s">
        <v>36</v>
      </c>
      <c r="G465" s="3">
        <f t="shared" si="35"/>
        <v>9900</v>
      </c>
      <c r="H465" s="3">
        <v>0</v>
      </c>
      <c r="I465" s="3">
        <f t="shared" si="36"/>
        <v>9900</v>
      </c>
      <c r="J465" s="2" t="s">
        <v>27</v>
      </c>
      <c r="K465" s="5">
        <v>46265.583333333343</v>
      </c>
      <c r="L465">
        <v>1</v>
      </c>
      <c r="M465" s="3">
        <f t="shared" si="37"/>
        <v>9900</v>
      </c>
      <c r="N465" t="str">
        <f t="shared" si="38"/>
        <v>ставка</v>
      </c>
      <c r="O465" s="3">
        <f t="shared" si="39"/>
        <v>194.12</v>
      </c>
      <c r="P465" s="5">
        <v>46266.5</v>
      </c>
      <c r="Q465" t="s">
        <v>36</v>
      </c>
      <c r="R465" s="2" t="s">
        <v>40</v>
      </c>
      <c r="S465">
        <v>22</v>
      </c>
      <c r="T465">
        <v>1</v>
      </c>
    </row>
    <row r="466" spans="1:20" ht="30" x14ac:dyDescent="0.25">
      <c r="A466" t="s">
        <v>1429</v>
      </c>
      <c r="B466">
        <v>1</v>
      </c>
      <c r="C466" s="2" t="s">
        <v>1430</v>
      </c>
      <c r="D466" s="3">
        <v>6680</v>
      </c>
      <c r="E466" s="4">
        <v>17</v>
      </c>
      <c r="F466" t="s">
        <v>130</v>
      </c>
      <c r="G466" s="3">
        <f t="shared" si="35"/>
        <v>8048.19</v>
      </c>
      <c r="H466" s="3">
        <v>0</v>
      </c>
      <c r="I466" s="3">
        <f t="shared" si="36"/>
        <v>8048.19</v>
      </c>
      <c r="J466" s="2" t="s">
        <v>27</v>
      </c>
      <c r="K466" s="5">
        <v>46259.583333333343</v>
      </c>
      <c r="L466">
        <v>1</v>
      </c>
      <c r="M466" s="3">
        <f t="shared" si="37"/>
        <v>8048.19</v>
      </c>
      <c r="N466" t="str">
        <f t="shared" si="38"/>
        <v>ставка</v>
      </c>
      <c r="O466" s="3">
        <f t="shared" si="39"/>
        <v>157.81</v>
      </c>
      <c r="P466" s="5">
        <v>46260.5</v>
      </c>
      <c r="Q466" t="s">
        <v>130</v>
      </c>
      <c r="R466" s="2" t="s">
        <v>58</v>
      </c>
      <c r="S466">
        <v>34</v>
      </c>
      <c r="T466">
        <v>1</v>
      </c>
    </row>
    <row r="467" spans="1:20" ht="30" x14ac:dyDescent="0.25">
      <c r="A467" t="s">
        <v>1437</v>
      </c>
      <c r="B467">
        <v>1</v>
      </c>
      <c r="C467" s="2" t="s">
        <v>1438</v>
      </c>
      <c r="D467" s="3">
        <v>34050</v>
      </c>
      <c r="E467" s="4">
        <v>0</v>
      </c>
      <c r="F467" t="s">
        <v>23</v>
      </c>
      <c r="G467" s="3">
        <f t="shared" si="35"/>
        <v>34050</v>
      </c>
      <c r="H467" s="3">
        <v>0</v>
      </c>
      <c r="I467" s="3">
        <f t="shared" si="36"/>
        <v>34050</v>
      </c>
      <c r="J467" s="2" t="s">
        <v>27</v>
      </c>
      <c r="K467" s="5">
        <v>46224.583333333343</v>
      </c>
      <c r="L467">
        <v>3</v>
      </c>
      <c r="M467" s="3">
        <f t="shared" si="37"/>
        <v>11350</v>
      </c>
      <c r="N467" t="str">
        <f t="shared" si="38"/>
        <v>ставка</v>
      </c>
      <c r="O467" s="3">
        <f t="shared" si="39"/>
        <v>667.65</v>
      </c>
      <c r="P467" s="5">
        <v>46227.5</v>
      </c>
      <c r="Q467" t="s">
        <v>23</v>
      </c>
      <c r="R467" s="2" t="s">
        <v>40</v>
      </c>
      <c r="S467">
        <v>46</v>
      </c>
      <c r="T467">
        <v>1</v>
      </c>
    </row>
    <row r="468" spans="1:20" ht="30" x14ac:dyDescent="0.25">
      <c r="A468" t="s">
        <v>1441</v>
      </c>
      <c r="B468">
        <v>1</v>
      </c>
      <c r="C468" s="2" t="s">
        <v>1442</v>
      </c>
      <c r="D468" s="3">
        <v>10998.15</v>
      </c>
      <c r="E468" s="4">
        <v>4</v>
      </c>
      <c r="F468" t="s">
        <v>55</v>
      </c>
      <c r="G468" s="3">
        <f t="shared" si="35"/>
        <v>11456.41</v>
      </c>
      <c r="H468" s="3">
        <v>0</v>
      </c>
      <c r="I468" s="3">
        <f t="shared" si="36"/>
        <v>11456.41</v>
      </c>
      <c r="J468" s="2" t="s">
        <v>27</v>
      </c>
      <c r="K468" s="5">
        <v>46274.583333333343</v>
      </c>
      <c r="L468">
        <v>1</v>
      </c>
      <c r="M468" s="3">
        <f t="shared" si="37"/>
        <v>11456.41</v>
      </c>
      <c r="N468" t="str">
        <f t="shared" si="38"/>
        <v>ставка</v>
      </c>
      <c r="O468" s="3">
        <f t="shared" si="39"/>
        <v>224.64</v>
      </c>
      <c r="P468" s="5">
        <v>46275.5</v>
      </c>
      <c r="Q468" t="s">
        <v>55</v>
      </c>
      <c r="R468" s="2" t="s">
        <v>40</v>
      </c>
      <c r="S468">
        <v>36</v>
      </c>
      <c r="T468">
        <v>1</v>
      </c>
    </row>
    <row r="469" spans="1:20" ht="30" x14ac:dyDescent="0.25">
      <c r="A469" t="s">
        <v>1443</v>
      </c>
      <c r="B469">
        <v>1</v>
      </c>
      <c r="C469" s="2" t="s">
        <v>1444</v>
      </c>
      <c r="D469" s="3">
        <v>22695</v>
      </c>
      <c r="E469" s="4">
        <v>15</v>
      </c>
      <c r="F469" t="s">
        <v>36</v>
      </c>
      <c r="G469" s="3">
        <f t="shared" si="35"/>
        <v>26700</v>
      </c>
      <c r="H469" s="3">
        <v>0</v>
      </c>
      <c r="I469" s="3">
        <f t="shared" si="36"/>
        <v>26700</v>
      </c>
      <c r="J469" s="2" t="s">
        <v>27</v>
      </c>
      <c r="K469" s="5">
        <v>46233.583333333343</v>
      </c>
      <c r="L469">
        <v>2</v>
      </c>
      <c r="M469" s="3">
        <f t="shared" si="37"/>
        <v>13350</v>
      </c>
      <c r="N469" t="str">
        <f t="shared" si="38"/>
        <v>ставка</v>
      </c>
      <c r="O469" s="3">
        <f t="shared" si="39"/>
        <v>523.53</v>
      </c>
      <c r="P469" s="5">
        <v>46235.5</v>
      </c>
      <c r="Q469" t="s">
        <v>36</v>
      </c>
      <c r="R469" s="2" t="s">
        <v>40</v>
      </c>
      <c r="S469">
        <v>33</v>
      </c>
      <c r="T469">
        <v>1</v>
      </c>
    </row>
    <row r="470" spans="1:20" ht="30" x14ac:dyDescent="0.25">
      <c r="A470" t="s">
        <v>1449</v>
      </c>
      <c r="B470">
        <v>1</v>
      </c>
      <c r="C470" s="2" t="s">
        <v>1450</v>
      </c>
      <c r="D470" s="3">
        <v>9900</v>
      </c>
      <c r="E470" s="4">
        <v>0</v>
      </c>
      <c r="F470" t="s">
        <v>23</v>
      </c>
      <c r="G470" s="3">
        <f t="shared" si="35"/>
        <v>9900</v>
      </c>
      <c r="H470" s="3">
        <v>0</v>
      </c>
      <c r="I470" s="3">
        <f t="shared" si="36"/>
        <v>9900</v>
      </c>
      <c r="J470" s="2" t="s">
        <v>27</v>
      </c>
      <c r="K470" s="5">
        <v>46205.583333333343</v>
      </c>
      <c r="L470">
        <v>1</v>
      </c>
      <c r="M470" s="3">
        <f t="shared" si="37"/>
        <v>9900</v>
      </c>
      <c r="N470" t="str">
        <f t="shared" si="38"/>
        <v>ставка</v>
      </c>
      <c r="O470" s="3">
        <f t="shared" si="39"/>
        <v>194.12</v>
      </c>
      <c r="P470" s="5">
        <v>46206.5</v>
      </c>
      <c r="Q470" t="s">
        <v>23</v>
      </c>
      <c r="R470" s="2" t="s">
        <v>33</v>
      </c>
      <c r="S470">
        <v>43</v>
      </c>
      <c r="T470">
        <v>1</v>
      </c>
    </row>
    <row r="471" spans="1:20" ht="30" x14ac:dyDescent="0.25">
      <c r="A471" t="s">
        <v>1453</v>
      </c>
      <c r="B471">
        <v>1</v>
      </c>
      <c r="C471" s="2" t="s">
        <v>1454</v>
      </c>
      <c r="D471" s="3">
        <v>9647.5</v>
      </c>
      <c r="E471" s="4">
        <v>15</v>
      </c>
      <c r="F471" t="s">
        <v>411</v>
      </c>
      <c r="G471" s="3">
        <f t="shared" si="35"/>
        <v>11350</v>
      </c>
      <c r="H471" s="3">
        <v>0</v>
      </c>
      <c r="I471" s="3">
        <f t="shared" si="36"/>
        <v>11350</v>
      </c>
      <c r="J471" s="2" t="s">
        <v>27</v>
      </c>
      <c r="K471" s="5">
        <v>46279.583333333343</v>
      </c>
      <c r="L471">
        <v>1</v>
      </c>
      <c r="M471" s="3">
        <f t="shared" si="37"/>
        <v>11350</v>
      </c>
      <c r="N471" t="str">
        <f t="shared" si="38"/>
        <v>ставка</v>
      </c>
      <c r="O471" s="3">
        <f t="shared" si="39"/>
        <v>222.55</v>
      </c>
      <c r="P471" s="5">
        <v>46280.5</v>
      </c>
      <c r="Q471" t="s">
        <v>411</v>
      </c>
      <c r="R471" s="2" t="s">
        <v>40</v>
      </c>
      <c r="S471">
        <v>22</v>
      </c>
      <c r="T471">
        <v>1</v>
      </c>
    </row>
    <row r="472" spans="1:20" ht="30" x14ac:dyDescent="0.25">
      <c r="A472" t="s">
        <v>1455</v>
      </c>
      <c r="B472">
        <v>1</v>
      </c>
      <c r="C472" s="2" t="s">
        <v>1456</v>
      </c>
      <c r="D472" s="3">
        <v>7920</v>
      </c>
      <c r="E472" s="4">
        <v>18</v>
      </c>
      <c r="F472" t="s">
        <v>32</v>
      </c>
      <c r="G472" s="3">
        <f t="shared" si="35"/>
        <v>9658.5400000000009</v>
      </c>
      <c r="H472" s="3">
        <v>0</v>
      </c>
      <c r="I472" s="3">
        <f t="shared" si="36"/>
        <v>9658.5400000000009</v>
      </c>
      <c r="J472" s="2" t="s">
        <v>27</v>
      </c>
      <c r="K472" s="5">
        <v>46242.583333333343</v>
      </c>
      <c r="L472">
        <v>1</v>
      </c>
      <c r="M472" s="3">
        <f t="shared" si="37"/>
        <v>9658.5400000000009</v>
      </c>
      <c r="N472" t="str">
        <f t="shared" si="38"/>
        <v>ставка</v>
      </c>
      <c r="O472" s="3">
        <f t="shared" si="39"/>
        <v>189.38</v>
      </c>
      <c r="P472" s="5">
        <v>46243.5</v>
      </c>
      <c r="Q472" t="s">
        <v>32</v>
      </c>
      <c r="R472" s="2" t="s">
        <v>33</v>
      </c>
      <c r="S472">
        <v>47</v>
      </c>
      <c r="T472">
        <v>1</v>
      </c>
    </row>
    <row r="473" spans="1:20" ht="30" x14ac:dyDescent="0.25">
      <c r="A473" t="s">
        <v>1459</v>
      </c>
      <c r="B473">
        <v>1</v>
      </c>
      <c r="C473" s="2" t="s">
        <v>1460</v>
      </c>
      <c r="D473" s="3">
        <v>18062.5</v>
      </c>
      <c r="E473" s="4">
        <v>15</v>
      </c>
      <c r="F473" t="s">
        <v>168</v>
      </c>
      <c r="G473" s="3">
        <f t="shared" si="35"/>
        <v>21250</v>
      </c>
      <c r="H473" s="3">
        <v>0</v>
      </c>
      <c r="I473" s="3">
        <f t="shared" si="36"/>
        <v>21250</v>
      </c>
      <c r="J473" s="2" t="s">
        <v>27</v>
      </c>
      <c r="K473" s="5">
        <v>46295.583333333343</v>
      </c>
      <c r="L473">
        <v>2</v>
      </c>
      <c r="M473" s="3">
        <f t="shared" si="37"/>
        <v>10625</v>
      </c>
      <c r="N473" t="str">
        <f t="shared" si="38"/>
        <v>ставка</v>
      </c>
      <c r="O473" s="3">
        <f t="shared" si="39"/>
        <v>416.67</v>
      </c>
      <c r="P473" s="5">
        <v>46297.5</v>
      </c>
      <c r="Q473" t="s">
        <v>168</v>
      </c>
      <c r="R473" s="2" t="s">
        <v>40</v>
      </c>
      <c r="S473">
        <v>46</v>
      </c>
      <c r="T473">
        <v>1</v>
      </c>
    </row>
    <row r="474" spans="1:20" ht="30" x14ac:dyDescent="0.25">
      <c r="A474" t="s">
        <v>1461</v>
      </c>
      <c r="B474">
        <v>1</v>
      </c>
      <c r="C474" s="2" t="s">
        <v>1462</v>
      </c>
      <c r="D474" s="3">
        <v>34050</v>
      </c>
      <c r="E474" s="4">
        <v>0</v>
      </c>
      <c r="F474" t="s">
        <v>23</v>
      </c>
      <c r="G474" s="3">
        <f t="shared" si="35"/>
        <v>34050</v>
      </c>
      <c r="H474" s="3">
        <v>0</v>
      </c>
      <c r="I474" s="3">
        <f t="shared" si="36"/>
        <v>34050</v>
      </c>
      <c r="J474" s="2" t="s">
        <v>27</v>
      </c>
      <c r="K474" s="5">
        <v>46207.583333333343</v>
      </c>
      <c r="L474">
        <v>3</v>
      </c>
      <c r="M474" s="3">
        <f t="shared" si="37"/>
        <v>11350</v>
      </c>
      <c r="N474" t="str">
        <f t="shared" si="38"/>
        <v>ставка</v>
      </c>
      <c r="O474" s="3">
        <f t="shared" si="39"/>
        <v>667.65</v>
      </c>
      <c r="P474" s="5">
        <v>46210.5</v>
      </c>
      <c r="Q474" t="s">
        <v>23</v>
      </c>
      <c r="R474" s="2" t="s">
        <v>40</v>
      </c>
      <c r="S474">
        <v>32</v>
      </c>
      <c r="T474">
        <v>1</v>
      </c>
    </row>
    <row r="475" spans="1:20" ht="30" x14ac:dyDescent="0.25">
      <c r="A475" t="s">
        <v>1463</v>
      </c>
      <c r="B475">
        <v>1</v>
      </c>
      <c r="C475" s="2" t="s">
        <v>1464</v>
      </c>
      <c r="D475" s="3">
        <v>27921</v>
      </c>
      <c r="E475" s="4">
        <v>18</v>
      </c>
      <c r="F475" t="s">
        <v>147</v>
      </c>
      <c r="G475" s="3">
        <f t="shared" si="35"/>
        <v>34050</v>
      </c>
      <c r="H475" s="3">
        <v>0</v>
      </c>
      <c r="I475" s="3">
        <f t="shared" si="36"/>
        <v>34050</v>
      </c>
      <c r="J475" s="2" t="s">
        <v>27</v>
      </c>
      <c r="K475" s="5">
        <v>46203.583333333343</v>
      </c>
      <c r="L475">
        <v>3</v>
      </c>
      <c r="M475" s="3">
        <f t="shared" si="37"/>
        <v>11350</v>
      </c>
      <c r="N475" t="str">
        <f t="shared" si="38"/>
        <v>ставка</v>
      </c>
      <c r="O475" s="3">
        <f t="shared" si="39"/>
        <v>667.65</v>
      </c>
      <c r="P475" s="5">
        <v>46206.5</v>
      </c>
      <c r="Q475" t="s">
        <v>147</v>
      </c>
      <c r="R475" s="2" t="s">
        <v>40</v>
      </c>
      <c r="S475">
        <v>46</v>
      </c>
      <c r="T475">
        <v>1</v>
      </c>
    </row>
    <row r="476" spans="1:20" x14ac:dyDescent="0.25">
      <c r="A476" t="s">
        <v>1467</v>
      </c>
      <c r="B476">
        <v>1</v>
      </c>
      <c r="C476" s="2" t="s">
        <v>1468</v>
      </c>
      <c r="D476" s="3">
        <v>16500</v>
      </c>
      <c r="E476" s="4">
        <v>0</v>
      </c>
      <c r="F476" t="s">
        <v>23</v>
      </c>
      <c r="G476" s="3">
        <f t="shared" si="35"/>
        <v>16500</v>
      </c>
      <c r="H476" s="3">
        <v>0</v>
      </c>
      <c r="I476" s="3">
        <f t="shared" si="36"/>
        <v>16500</v>
      </c>
      <c r="J476" s="2" t="s">
        <v>27</v>
      </c>
      <c r="K476" s="5">
        <v>46243.583333333343</v>
      </c>
      <c r="L476">
        <v>1</v>
      </c>
      <c r="M476" s="3">
        <f t="shared" si="37"/>
        <v>16500</v>
      </c>
      <c r="N476" t="str">
        <f t="shared" si="38"/>
        <v>ставка</v>
      </c>
      <c r="O476" s="3">
        <f t="shared" si="39"/>
        <v>323.52999999999997</v>
      </c>
      <c r="P476" s="5">
        <v>46244.5</v>
      </c>
      <c r="Q476" t="s">
        <v>23</v>
      </c>
      <c r="R476" s="2" t="s">
        <v>49</v>
      </c>
      <c r="S476">
        <v>25</v>
      </c>
      <c r="T476">
        <v>1</v>
      </c>
    </row>
    <row r="477" spans="1:20" ht="30" x14ac:dyDescent="0.25">
      <c r="A477" t="s">
        <v>1471</v>
      </c>
      <c r="B477">
        <v>1</v>
      </c>
      <c r="C477" s="2" t="s">
        <v>1472</v>
      </c>
      <c r="D477" s="3">
        <v>11350</v>
      </c>
      <c r="E477" s="4">
        <v>0</v>
      </c>
      <c r="F477" t="s">
        <v>23</v>
      </c>
      <c r="G477" s="3">
        <f t="shared" si="35"/>
        <v>11350</v>
      </c>
      <c r="H477" s="3">
        <v>0</v>
      </c>
      <c r="I477" s="3">
        <f t="shared" si="36"/>
        <v>11350</v>
      </c>
      <c r="J477" s="2" t="s">
        <v>27</v>
      </c>
      <c r="K477" s="5">
        <v>46255.583333333343</v>
      </c>
      <c r="L477">
        <v>1</v>
      </c>
      <c r="M477" s="3">
        <f t="shared" si="37"/>
        <v>11350</v>
      </c>
      <c r="N477" t="str">
        <f t="shared" si="38"/>
        <v>ставка</v>
      </c>
      <c r="O477" s="3">
        <f t="shared" si="39"/>
        <v>222.55</v>
      </c>
      <c r="P477" s="5">
        <v>46256.5</v>
      </c>
      <c r="Q477" t="s">
        <v>23</v>
      </c>
      <c r="R477" s="2" t="s">
        <v>40</v>
      </c>
      <c r="S477">
        <v>26</v>
      </c>
      <c r="T477">
        <v>1</v>
      </c>
    </row>
    <row r="478" spans="1:20" ht="45" x14ac:dyDescent="0.25">
      <c r="A478" t="s">
        <v>1479</v>
      </c>
      <c r="B478">
        <v>1</v>
      </c>
      <c r="C478" s="2" t="s">
        <v>1480</v>
      </c>
      <c r="D478" s="3">
        <v>76629</v>
      </c>
      <c r="E478" s="4">
        <v>18</v>
      </c>
      <c r="F478" t="s">
        <v>248</v>
      </c>
      <c r="G478" s="3">
        <f t="shared" si="35"/>
        <v>93450</v>
      </c>
      <c r="H478" s="3">
        <v>13147</v>
      </c>
      <c r="I478" s="3">
        <f t="shared" si="36"/>
        <v>106597</v>
      </c>
      <c r="J478" s="2" t="s">
        <v>1481</v>
      </c>
      <c r="K478" s="5">
        <v>46200.583333333343</v>
      </c>
      <c r="L478">
        <v>7</v>
      </c>
      <c r="M478" s="3">
        <f t="shared" si="37"/>
        <v>15228.142857142857</v>
      </c>
      <c r="N478" t="str">
        <f t="shared" si="38"/>
        <v>ставка</v>
      </c>
      <c r="O478" s="3">
        <f t="shared" si="39"/>
        <v>2090.14</v>
      </c>
      <c r="P478" s="5">
        <v>46207.916666666657</v>
      </c>
      <c r="Q478" t="s">
        <v>248</v>
      </c>
      <c r="R478" s="2" t="s">
        <v>40</v>
      </c>
      <c r="S478">
        <v>33</v>
      </c>
      <c r="T478">
        <v>1</v>
      </c>
    </row>
    <row r="479" spans="1:20" ht="30" x14ac:dyDescent="0.25">
      <c r="A479" t="s">
        <v>1482</v>
      </c>
      <c r="B479">
        <v>1</v>
      </c>
      <c r="C479" s="2" t="s">
        <v>1483</v>
      </c>
      <c r="D479" s="3">
        <v>11350</v>
      </c>
      <c r="E479" s="4">
        <v>0</v>
      </c>
      <c r="F479" t="s">
        <v>23</v>
      </c>
      <c r="G479" s="3">
        <f t="shared" si="35"/>
        <v>11350</v>
      </c>
      <c r="H479" s="3">
        <v>0</v>
      </c>
      <c r="I479" s="3">
        <f t="shared" si="36"/>
        <v>11350</v>
      </c>
      <c r="J479" s="2" t="s">
        <v>27</v>
      </c>
      <c r="K479" s="5">
        <v>46240.583333333343</v>
      </c>
      <c r="L479">
        <v>1</v>
      </c>
      <c r="M479" s="3">
        <f t="shared" si="37"/>
        <v>11350</v>
      </c>
      <c r="N479" t="str">
        <f t="shared" si="38"/>
        <v>ставка</v>
      </c>
      <c r="O479" s="3">
        <f t="shared" si="39"/>
        <v>222.55</v>
      </c>
      <c r="P479" s="5">
        <v>46241.5</v>
      </c>
      <c r="Q479" t="s">
        <v>23</v>
      </c>
      <c r="R479" s="2" t="s">
        <v>40</v>
      </c>
      <c r="S479">
        <v>42</v>
      </c>
      <c r="T479">
        <v>1</v>
      </c>
    </row>
    <row r="480" spans="1:20" ht="30" x14ac:dyDescent="0.25">
      <c r="A480" t="s">
        <v>1490</v>
      </c>
      <c r="B480">
        <v>1</v>
      </c>
      <c r="C480" s="2" t="s">
        <v>1491</v>
      </c>
      <c r="D480" s="3">
        <v>38261.300000000003</v>
      </c>
      <c r="E480" s="4">
        <v>4</v>
      </c>
      <c r="F480" t="s">
        <v>55</v>
      </c>
      <c r="G480" s="3">
        <f t="shared" si="35"/>
        <v>39855.519999999997</v>
      </c>
      <c r="H480" s="3">
        <v>0</v>
      </c>
      <c r="I480" s="3">
        <f t="shared" si="36"/>
        <v>39855.519999999997</v>
      </c>
      <c r="J480" s="2" t="s">
        <v>27</v>
      </c>
      <c r="K480" s="5">
        <v>46254.583333333343</v>
      </c>
      <c r="L480">
        <v>5</v>
      </c>
      <c r="M480" s="3">
        <f t="shared" si="37"/>
        <v>7971.1039999999994</v>
      </c>
      <c r="N480" t="str">
        <f t="shared" si="38"/>
        <v>ставка</v>
      </c>
      <c r="O480" s="3">
        <f t="shared" si="39"/>
        <v>781.48</v>
      </c>
      <c r="P480" s="5">
        <v>46259.5</v>
      </c>
      <c r="Q480" t="s">
        <v>55</v>
      </c>
      <c r="R480" s="2" t="s">
        <v>58</v>
      </c>
      <c r="S480">
        <v>24</v>
      </c>
      <c r="T480">
        <v>1</v>
      </c>
    </row>
    <row r="481" spans="1:20" ht="30" x14ac:dyDescent="0.25">
      <c r="A481" t="s">
        <v>1492</v>
      </c>
      <c r="B481">
        <v>1</v>
      </c>
      <c r="C481" s="2" t="s">
        <v>1493</v>
      </c>
      <c r="D481" s="3">
        <v>12320</v>
      </c>
      <c r="E481" s="4">
        <v>18</v>
      </c>
      <c r="F481" t="s">
        <v>32</v>
      </c>
      <c r="G481" s="3">
        <f t="shared" si="35"/>
        <v>15024.39</v>
      </c>
      <c r="H481" s="3">
        <v>0</v>
      </c>
      <c r="I481" s="3">
        <f t="shared" si="36"/>
        <v>15024.39</v>
      </c>
      <c r="J481" s="2" t="s">
        <v>27</v>
      </c>
      <c r="K481" s="5">
        <v>46233.583333333343</v>
      </c>
      <c r="L481">
        <v>2</v>
      </c>
      <c r="M481" s="3">
        <f t="shared" si="37"/>
        <v>7512.1949999999997</v>
      </c>
      <c r="N481" t="str">
        <f t="shared" si="38"/>
        <v>ставка</v>
      </c>
      <c r="O481" s="3">
        <f t="shared" si="39"/>
        <v>294.60000000000002</v>
      </c>
      <c r="P481" s="5">
        <v>46235.5</v>
      </c>
      <c r="Q481" t="s">
        <v>32</v>
      </c>
      <c r="R481" s="2" t="s">
        <v>58</v>
      </c>
      <c r="S481">
        <v>34</v>
      </c>
      <c r="T481">
        <v>1</v>
      </c>
    </row>
    <row r="482" spans="1:20" ht="30" x14ac:dyDescent="0.25">
      <c r="A482" t="s">
        <v>1494</v>
      </c>
      <c r="B482">
        <v>1</v>
      </c>
      <c r="C482" s="2" t="s">
        <v>1495</v>
      </c>
      <c r="D482" s="3">
        <v>8217</v>
      </c>
      <c r="E482" s="4">
        <v>18</v>
      </c>
      <c r="F482" t="s">
        <v>32</v>
      </c>
      <c r="G482" s="3">
        <f t="shared" si="35"/>
        <v>10020.73</v>
      </c>
      <c r="H482" s="3">
        <v>0</v>
      </c>
      <c r="I482" s="3">
        <f t="shared" si="36"/>
        <v>10020.73</v>
      </c>
      <c r="J482" s="2" t="s">
        <v>27</v>
      </c>
      <c r="K482" s="5">
        <v>46236.583333333343</v>
      </c>
      <c r="L482">
        <v>1</v>
      </c>
      <c r="M482" s="3">
        <f t="shared" si="37"/>
        <v>10020.73</v>
      </c>
      <c r="N482" t="str">
        <f t="shared" si="38"/>
        <v>ставка</v>
      </c>
      <c r="O482" s="3">
        <f t="shared" si="39"/>
        <v>196.48</v>
      </c>
      <c r="P482" s="5">
        <v>46237.5</v>
      </c>
      <c r="Q482" t="s">
        <v>32</v>
      </c>
      <c r="R482" s="2" t="s">
        <v>33</v>
      </c>
      <c r="S482">
        <v>43</v>
      </c>
      <c r="T482">
        <v>1</v>
      </c>
    </row>
    <row r="483" spans="1:20" x14ac:dyDescent="0.25">
      <c r="A483" t="s">
        <v>1498</v>
      </c>
      <c r="B483">
        <v>1</v>
      </c>
      <c r="C483" s="2" t="s">
        <v>1499</v>
      </c>
      <c r="D483" s="3">
        <v>16252.5</v>
      </c>
      <c r="E483" s="4">
        <v>4</v>
      </c>
      <c r="F483" t="s">
        <v>55</v>
      </c>
      <c r="G483" s="3">
        <f t="shared" si="35"/>
        <v>16929.689999999999</v>
      </c>
      <c r="H483" s="3">
        <v>0</v>
      </c>
      <c r="I483" s="3">
        <f t="shared" si="36"/>
        <v>16929.689999999999</v>
      </c>
      <c r="J483" s="2" t="s">
        <v>27</v>
      </c>
      <c r="K483" s="5">
        <v>46248.583333333343</v>
      </c>
      <c r="L483">
        <v>1</v>
      </c>
      <c r="M483" s="3">
        <f t="shared" si="37"/>
        <v>16929.689999999999</v>
      </c>
      <c r="N483" t="str">
        <f t="shared" si="38"/>
        <v>ставка</v>
      </c>
      <c r="O483" s="3">
        <f t="shared" si="39"/>
        <v>331.95</v>
      </c>
      <c r="P483" s="5">
        <v>46249.5</v>
      </c>
      <c r="Q483" t="s">
        <v>55</v>
      </c>
      <c r="R483" s="2" t="s">
        <v>49</v>
      </c>
      <c r="S483">
        <v>35</v>
      </c>
      <c r="T483">
        <v>1</v>
      </c>
    </row>
    <row r="484" spans="1:20" x14ac:dyDescent="0.25">
      <c r="A484" t="s">
        <v>1500</v>
      </c>
      <c r="B484">
        <v>1</v>
      </c>
      <c r="C484" s="2" t="s">
        <v>1501</v>
      </c>
      <c r="D484" s="3">
        <v>28782.5</v>
      </c>
      <c r="E484" s="4">
        <v>4</v>
      </c>
      <c r="F484" t="s">
        <v>55</v>
      </c>
      <c r="G484" s="3">
        <f t="shared" si="35"/>
        <v>29981.77</v>
      </c>
      <c r="H484" s="3">
        <v>0</v>
      </c>
      <c r="I484" s="3">
        <f t="shared" si="36"/>
        <v>29981.77</v>
      </c>
      <c r="J484" s="2" t="s">
        <v>27</v>
      </c>
      <c r="K484" s="5">
        <v>46252.583333333343</v>
      </c>
      <c r="L484">
        <v>2</v>
      </c>
      <c r="M484" s="3">
        <f t="shared" si="37"/>
        <v>14990.885</v>
      </c>
      <c r="N484" t="str">
        <f t="shared" si="38"/>
        <v>ставка</v>
      </c>
      <c r="O484" s="3">
        <f t="shared" si="39"/>
        <v>587.88</v>
      </c>
      <c r="P484" s="5">
        <v>46254.5</v>
      </c>
      <c r="Q484" t="s">
        <v>55</v>
      </c>
      <c r="R484" s="2" t="s">
        <v>49</v>
      </c>
      <c r="S484">
        <v>35</v>
      </c>
      <c r="T484">
        <v>1</v>
      </c>
    </row>
    <row r="485" spans="1:20" ht="30" x14ac:dyDescent="0.25">
      <c r="A485" t="s">
        <v>1503</v>
      </c>
      <c r="B485">
        <v>1</v>
      </c>
      <c r="C485" s="2" t="s">
        <v>1504</v>
      </c>
      <c r="D485" s="3">
        <v>10972.5</v>
      </c>
      <c r="E485" s="4">
        <v>18</v>
      </c>
      <c r="F485" t="s">
        <v>32</v>
      </c>
      <c r="G485" s="3">
        <f t="shared" si="35"/>
        <v>13381.1</v>
      </c>
      <c r="H485" s="3">
        <v>0</v>
      </c>
      <c r="I485" s="3">
        <f t="shared" si="36"/>
        <v>13381.1</v>
      </c>
      <c r="J485" s="2" t="s">
        <v>27</v>
      </c>
      <c r="K485" s="5">
        <v>46281.583333333343</v>
      </c>
      <c r="L485">
        <v>2</v>
      </c>
      <c r="M485" s="3">
        <f t="shared" si="37"/>
        <v>6690.55</v>
      </c>
      <c r="N485" t="str">
        <f t="shared" si="38"/>
        <v>ставка</v>
      </c>
      <c r="O485" s="3">
        <f t="shared" si="39"/>
        <v>262.37</v>
      </c>
      <c r="P485" s="5">
        <v>46283.5</v>
      </c>
      <c r="Q485" t="s">
        <v>32</v>
      </c>
      <c r="R485" s="2" t="s">
        <v>58</v>
      </c>
      <c r="S485">
        <v>34</v>
      </c>
      <c r="T485">
        <v>1</v>
      </c>
    </row>
    <row r="486" spans="1:20" ht="30" x14ac:dyDescent="0.25">
      <c r="A486" t="s">
        <v>1509</v>
      </c>
      <c r="B486">
        <v>1</v>
      </c>
      <c r="C486" s="2" t="s">
        <v>1510</v>
      </c>
      <c r="D486" s="3">
        <v>6478</v>
      </c>
      <c r="E486" s="4">
        <v>18</v>
      </c>
      <c r="F486" t="s">
        <v>147</v>
      </c>
      <c r="G486" s="3">
        <f t="shared" si="35"/>
        <v>7900</v>
      </c>
      <c r="H486" s="3">
        <v>0</v>
      </c>
      <c r="I486" s="3">
        <f t="shared" si="36"/>
        <v>7900</v>
      </c>
      <c r="J486" s="2" t="s">
        <v>27</v>
      </c>
      <c r="K486" s="5">
        <v>46264.583333333343</v>
      </c>
      <c r="L486">
        <v>1</v>
      </c>
      <c r="M486" s="3">
        <f t="shared" si="37"/>
        <v>7900</v>
      </c>
      <c r="N486" t="str">
        <f t="shared" si="38"/>
        <v>ставка</v>
      </c>
      <c r="O486" s="3">
        <f t="shared" si="39"/>
        <v>154.9</v>
      </c>
      <c r="P486" s="5">
        <v>46265.5</v>
      </c>
      <c r="Q486" t="s">
        <v>147</v>
      </c>
      <c r="R486" s="2" t="s">
        <v>40</v>
      </c>
      <c r="S486">
        <v>33</v>
      </c>
      <c r="T486">
        <v>1</v>
      </c>
    </row>
    <row r="487" spans="1:20" ht="30" x14ac:dyDescent="0.25">
      <c r="A487" t="s">
        <v>1511</v>
      </c>
      <c r="B487">
        <v>1</v>
      </c>
      <c r="C487" s="2" t="s">
        <v>1512</v>
      </c>
      <c r="D487" s="3">
        <v>9900</v>
      </c>
      <c r="E487" s="4">
        <v>0</v>
      </c>
      <c r="F487" t="s">
        <v>23</v>
      </c>
      <c r="G487" s="3">
        <f t="shared" si="35"/>
        <v>9900</v>
      </c>
      <c r="H487" s="3">
        <v>0</v>
      </c>
      <c r="I487" s="3">
        <f t="shared" si="36"/>
        <v>9900</v>
      </c>
      <c r="J487" s="2" t="s">
        <v>27</v>
      </c>
      <c r="K487" s="5">
        <v>46265.583333333343</v>
      </c>
      <c r="L487">
        <v>1</v>
      </c>
      <c r="M487" s="3">
        <f t="shared" si="37"/>
        <v>9900</v>
      </c>
      <c r="N487" t="str">
        <f t="shared" si="38"/>
        <v>ставка</v>
      </c>
      <c r="O487" s="3">
        <f t="shared" si="39"/>
        <v>194.12</v>
      </c>
      <c r="P487" s="5">
        <v>46266.5</v>
      </c>
      <c r="Q487" t="s">
        <v>23</v>
      </c>
      <c r="R487" s="2" t="s">
        <v>40</v>
      </c>
      <c r="S487">
        <v>32</v>
      </c>
      <c r="T487">
        <v>1</v>
      </c>
    </row>
    <row r="488" spans="1:20" ht="30" x14ac:dyDescent="0.25">
      <c r="A488" t="s">
        <v>1513</v>
      </c>
      <c r="B488">
        <v>1</v>
      </c>
      <c r="C488" s="2" t="s">
        <v>1512</v>
      </c>
      <c r="D488" s="3">
        <v>7920</v>
      </c>
      <c r="E488" s="4">
        <v>20</v>
      </c>
      <c r="F488" t="s">
        <v>48</v>
      </c>
      <c r="G488" s="3">
        <f t="shared" si="35"/>
        <v>9900</v>
      </c>
      <c r="H488" s="3">
        <v>0</v>
      </c>
      <c r="I488" s="3">
        <f t="shared" si="36"/>
        <v>9900</v>
      </c>
      <c r="J488" s="2" t="s">
        <v>27</v>
      </c>
      <c r="K488" s="5">
        <v>46264.583333333343</v>
      </c>
      <c r="L488">
        <v>1</v>
      </c>
      <c r="M488" s="3">
        <f t="shared" si="37"/>
        <v>9900</v>
      </c>
      <c r="N488" t="str">
        <f t="shared" si="38"/>
        <v>ставка</v>
      </c>
      <c r="O488" s="3">
        <f t="shared" si="39"/>
        <v>194.12</v>
      </c>
      <c r="P488" s="5">
        <v>46265.5</v>
      </c>
      <c r="Q488" t="s">
        <v>48</v>
      </c>
      <c r="R488" s="2" t="s">
        <v>40</v>
      </c>
      <c r="S488">
        <v>32</v>
      </c>
      <c r="T488">
        <v>1</v>
      </c>
    </row>
    <row r="489" spans="1:20" ht="30" x14ac:dyDescent="0.25">
      <c r="A489" t="s">
        <v>1515</v>
      </c>
      <c r="B489">
        <v>1</v>
      </c>
      <c r="C489" s="2" t="s">
        <v>1516</v>
      </c>
      <c r="D489" s="3">
        <v>93450</v>
      </c>
      <c r="E489" s="4">
        <v>15</v>
      </c>
      <c r="F489" t="s">
        <v>487</v>
      </c>
      <c r="G489" s="3">
        <f t="shared" si="35"/>
        <v>109941.18</v>
      </c>
      <c r="H489" s="3">
        <v>0</v>
      </c>
      <c r="I489" s="3">
        <f t="shared" si="36"/>
        <v>109941.18</v>
      </c>
      <c r="J489" s="2" t="s">
        <v>27</v>
      </c>
      <c r="K489" s="5">
        <v>46260.583333333343</v>
      </c>
      <c r="L489">
        <v>7</v>
      </c>
      <c r="M489" s="3">
        <f t="shared" si="37"/>
        <v>15705.882857142857</v>
      </c>
      <c r="N489" t="str">
        <f t="shared" si="38"/>
        <v>ставка</v>
      </c>
      <c r="O489" s="3">
        <f t="shared" si="39"/>
        <v>2155.71</v>
      </c>
      <c r="P489" s="5">
        <v>46267.5</v>
      </c>
      <c r="Q489" t="s">
        <v>487</v>
      </c>
      <c r="R489" s="2" t="s">
        <v>40</v>
      </c>
      <c r="S489">
        <v>44</v>
      </c>
      <c r="T489">
        <v>1</v>
      </c>
    </row>
    <row r="490" spans="1:20" ht="30" x14ac:dyDescent="0.25">
      <c r="A490" t="s">
        <v>1517</v>
      </c>
      <c r="B490">
        <v>1</v>
      </c>
      <c r="C490" s="2" t="s">
        <v>1518</v>
      </c>
      <c r="D490" s="3">
        <v>7781.5</v>
      </c>
      <c r="E490" s="4">
        <v>4</v>
      </c>
      <c r="F490" t="s">
        <v>55</v>
      </c>
      <c r="G490" s="3">
        <f t="shared" si="35"/>
        <v>8105.73</v>
      </c>
      <c r="H490" s="3">
        <v>0</v>
      </c>
      <c r="I490" s="3">
        <f t="shared" si="36"/>
        <v>8105.73</v>
      </c>
      <c r="J490" s="2" t="s">
        <v>27</v>
      </c>
      <c r="K490" s="5">
        <v>46265.583333333343</v>
      </c>
      <c r="L490">
        <v>1</v>
      </c>
      <c r="M490" s="3">
        <f t="shared" si="37"/>
        <v>8105.73</v>
      </c>
      <c r="N490" t="str">
        <f t="shared" si="38"/>
        <v>ставка</v>
      </c>
      <c r="O490" s="3">
        <f t="shared" si="39"/>
        <v>158.94</v>
      </c>
      <c r="P490" s="5">
        <v>46266.5</v>
      </c>
      <c r="Q490" t="s">
        <v>55</v>
      </c>
      <c r="R490" s="2" t="s">
        <v>40</v>
      </c>
      <c r="S490">
        <v>26</v>
      </c>
      <c r="T490">
        <v>1</v>
      </c>
    </row>
    <row r="491" spans="1:20" ht="30" x14ac:dyDescent="0.25">
      <c r="A491" t="s">
        <v>1519</v>
      </c>
      <c r="B491">
        <v>1</v>
      </c>
      <c r="C491" s="2" t="s">
        <v>1520</v>
      </c>
      <c r="D491" s="3">
        <v>9307</v>
      </c>
      <c r="E491" s="4">
        <v>18</v>
      </c>
      <c r="F491" t="s">
        <v>248</v>
      </c>
      <c r="G491" s="3">
        <f t="shared" si="35"/>
        <v>11350</v>
      </c>
      <c r="H491" s="3">
        <v>0</v>
      </c>
      <c r="I491" s="3">
        <f t="shared" si="36"/>
        <v>11350</v>
      </c>
      <c r="J491" s="2" t="s">
        <v>27</v>
      </c>
      <c r="K491" s="5">
        <v>46295.583333333343</v>
      </c>
      <c r="L491">
        <v>1</v>
      </c>
      <c r="M491" s="3">
        <f t="shared" si="37"/>
        <v>11350</v>
      </c>
      <c r="N491" t="str">
        <f t="shared" si="38"/>
        <v>ставка</v>
      </c>
      <c r="O491" s="3">
        <f t="shared" si="39"/>
        <v>222.55</v>
      </c>
      <c r="P491" s="5">
        <v>46296.5</v>
      </c>
      <c r="Q491" t="s">
        <v>248</v>
      </c>
      <c r="R491" s="2" t="s">
        <v>40</v>
      </c>
      <c r="S491">
        <v>42</v>
      </c>
      <c r="T491">
        <v>1</v>
      </c>
    </row>
    <row r="492" spans="1:20" ht="30" x14ac:dyDescent="0.25">
      <c r="A492" t="s">
        <v>1521</v>
      </c>
      <c r="B492">
        <v>1</v>
      </c>
      <c r="C492" s="2" t="s">
        <v>1522</v>
      </c>
      <c r="D492" s="3">
        <v>36320</v>
      </c>
      <c r="E492" s="4">
        <v>20</v>
      </c>
      <c r="F492" t="s">
        <v>48</v>
      </c>
      <c r="G492" s="3">
        <f t="shared" si="35"/>
        <v>45400</v>
      </c>
      <c r="H492" s="3">
        <v>0</v>
      </c>
      <c r="I492" s="3">
        <f t="shared" si="36"/>
        <v>45400</v>
      </c>
      <c r="J492" s="2" t="s">
        <v>27</v>
      </c>
      <c r="K492" s="5">
        <v>46270.583333333343</v>
      </c>
      <c r="L492">
        <v>4</v>
      </c>
      <c r="M492" s="3">
        <f t="shared" si="37"/>
        <v>11350</v>
      </c>
      <c r="N492" t="str">
        <f t="shared" si="38"/>
        <v>ставка</v>
      </c>
      <c r="O492" s="3">
        <f t="shared" si="39"/>
        <v>890.2</v>
      </c>
      <c r="P492" s="5">
        <v>46274.5</v>
      </c>
      <c r="Q492" t="s">
        <v>48</v>
      </c>
      <c r="R492" s="2" t="s">
        <v>40</v>
      </c>
      <c r="S492">
        <v>33</v>
      </c>
      <c r="T492">
        <v>1</v>
      </c>
    </row>
    <row r="493" spans="1:20" ht="30" x14ac:dyDescent="0.25">
      <c r="A493" t="s">
        <v>1529</v>
      </c>
      <c r="B493">
        <v>1</v>
      </c>
      <c r="C493" s="2" t="s">
        <v>1530</v>
      </c>
      <c r="D493" s="3">
        <v>40200</v>
      </c>
      <c r="E493" s="4">
        <v>0</v>
      </c>
      <c r="F493" t="s">
        <v>23</v>
      </c>
      <c r="G493" s="3">
        <f t="shared" si="35"/>
        <v>40200</v>
      </c>
      <c r="H493" s="3">
        <v>0</v>
      </c>
      <c r="I493" s="3">
        <f t="shared" si="36"/>
        <v>40200</v>
      </c>
      <c r="J493" s="2" t="s">
        <v>27</v>
      </c>
      <c r="K493" s="5">
        <v>46205.583333333343</v>
      </c>
      <c r="L493">
        <v>3</v>
      </c>
      <c r="M493" s="3">
        <f t="shared" si="37"/>
        <v>13400</v>
      </c>
      <c r="N493" t="str">
        <f t="shared" si="38"/>
        <v>ставка</v>
      </c>
      <c r="O493" s="3">
        <f t="shared" si="39"/>
        <v>788.24</v>
      </c>
      <c r="P493" s="5">
        <v>46208.5</v>
      </c>
      <c r="Q493" t="s">
        <v>23</v>
      </c>
      <c r="R493" s="2" t="s">
        <v>24</v>
      </c>
      <c r="S493">
        <v>31</v>
      </c>
      <c r="T493">
        <v>1</v>
      </c>
    </row>
    <row r="494" spans="1:20" ht="30" x14ac:dyDescent="0.25">
      <c r="A494" t="s">
        <v>1533</v>
      </c>
      <c r="B494">
        <v>1</v>
      </c>
      <c r="C494" s="2" t="s">
        <v>1534</v>
      </c>
      <c r="D494" s="3">
        <v>10998.15</v>
      </c>
      <c r="E494" s="4">
        <v>4</v>
      </c>
      <c r="F494" t="s">
        <v>55</v>
      </c>
      <c r="G494" s="3">
        <f t="shared" si="35"/>
        <v>11456.41</v>
      </c>
      <c r="H494" s="3">
        <v>0</v>
      </c>
      <c r="I494" s="3">
        <f t="shared" si="36"/>
        <v>11456.41</v>
      </c>
      <c r="J494" s="2" t="s">
        <v>27</v>
      </c>
      <c r="K494" s="5">
        <v>46218.729166666657</v>
      </c>
      <c r="L494">
        <v>1</v>
      </c>
      <c r="M494" s="3">
        <f t="shared" si="37"/>
        <v>11456.41</v>
      </c>
      <c r="N494" t="str">
        <f t="shared" si="38"/>
        <v>ставка</v>
      </c>
      <c r="O494" s="3">
        <f t="shared" si="39"/>
        <v>224.64</v>
      </c>
      <c r="P494" s="5">
        <v>46219.5</v>
      </c>
      <c r="Q494" t="s">
        <v>55</v>
      </c>
      <c r="R494" s="2" t="s">
        <v>40</v>
      </c>
      <c r="S494">
        <v>46</v>
      </c>
      <c r="T494">
        <v>1</v>
      </c>
    </row>
    <row r="495" spans="1:20" ht="30" x14ac:dyDescent="0.25">
      <c r="A495" t="s">
        <v>1535</v>
      </c>
      <c r="B495">
        <v>1</v>
      </c>
      <c r="C495" s="2" t="s">
        <v>1534</v>
      </c>
      <c r="D495" s="3">
        <v>10050</v>
      </c>
      <c r="E495" s="4">
        <v>18</v>
      </c>
      <c r="F495" t="s">
        <v>32</v>
      </c>
      <c r="G495" s="3">
        <f t="shared" si="35"/>
        <v>12256.1</v>
      </c>
      <c r="H495" s="3">
        <v>0</v>
      </c>
      <c r="I495" s="3">
        <f t="shared" si="36"/>
        <v>12256.1</v>
      </c>
      <c r="J495" s="2" t="s">
        <v>27</v>
      </c>
      <c r="K495" s="5">
        <v>46295.583333333343</v>
      </c>
      <c r="L495">
        <v>1</v>
      </c>
      <c r="M495" s="3">
        <f t="shared" si="37"/>
        <v>12256.1</v>
      </c>
      <c r="N495" t="str">
        <f t="shared" si="38"/>
        <v>ставка</v>
      </c>
      <c r="O495" s="3">
        <f t="shared" si="39"/>
        <v>240.32</v>
      </c>
      <c r="P495" s="5">
        <v>46296.5</v>
      </c>
      <c r="Q495" t="s">
        <v>32</v>
      </c>
      <c r="R495" s="2" t="s">
        <v>24</v>
      </c>
      <c r="S495">
        <v>21</v>
      </c>
      <c r="T495">
        <v>1</v>
      </c>
    </row>
    <row r="496" spans="1:20" ht="30" x14ac:dyDescent="0.25">
      <c r="A496" t="s">
        <v>1536</v>
      </c>
      <c r="B496">
        <v>1</v>
      </c>
      <c r="C496" s="2" t="s">
        <v>1537</v>
      </c>
      <c r="D496" s="3">
        <v>15161.3</v>
      </c>
      <c r="E496" s="4">
        <v>4</v>
      </c>
      <c r="F496" t="s">
        <v>55</v>
      </c>
      <c r="G496" s="3">
        <f t="shared" si="35"/>
        <v>15793.02</v>
      </c>
      <c r="H496" s="3">
        <v>0</v>
      </c>
      <c r="I496" s="3">
        <f t="shared" si="36"/>
        <v>15793.02</v>
      </c>
      <c r="J496" s="2" t="s">
        <v>27</v>
      </c>
      <c r="K496" s="5">
        <v>46283.583333333343</v>
      </c>
      <c r="L496">
        <v>2</v>
      </c>
      <c r="M496" s="3">
        <f t="shared" si="37"/>
        <v>7896.51</v>
      </c>
      <c r="N496" t="str">
        <f t="shared" si="38"/>
        <v>ставка</v>
      </c>
      <c r="O496" s="3">
        <f t="shared" si="39"/>
        <v>309.67</v>
      </c>
      <c r="P496" s="5">
        <v>46285.5</v>
      </c>
      <c r="Q496" t="s">
        <v>55</v>
      </c>
      <c r="R496" s="2" t="s">
        <v>58</v>
      </c>
      <c r="S496">
        <v>24</v>
      </c>
      <c r="T496">
        <v>1</v>
      </c>
    </row>
    <row r="497" spans="1:20" ht="30" x14ac:dyDescent="0.25">
      <c r="A497" t="s">
        <v>1540</v>
      </c>
      <c r="B497">
        <v>1</v>
      </c>
      <c r="C497" s="2" t="s">
        <v>1541</v>
      </c>
      <c r="D497" s="3">
        <v>45815</v>
      </c>
      <c r="E497" s="4">
        <v>15</v>
      </c>
      <c r="F497" t="s">
        <v>36</v>
      </c>
      <c r="G497" s="3">
        <f t="shared" si="35"/>
        <v>53900</v>
      </c>
      <c r="H497" s="3">
        <v>0</v>
      </c>
      <c r="I497" s="3">
        <f t="shared" si="36"/>
        <v>53900</v>
      </c>
      <c r="J497" s="2" t="s">
        <v>27</v>
      </c>
      <c r="K497" s="5">
        <v>46223.583333333343</v>
      </c>
      <c r="L497">
        <v>7</v>
      </c>
      <c r="M497" s="3">
        <f t="shared" si="37"/>
        <v>7700</v>
      </c>
      <c r="N497" t="str">
        <f t="shared" si="38"/>
        <v>ставка</v>
      </c>
      <c r="O497" s="3">
        <f t="shared" si="39"/>
        <v>1056.8599999999999</v>
      </c>
      <c r="P497" s="5">
        <v>46230.5</v>
      </c>
      <c r="Q497" t="s">
        <v>36</v>
      </c>
      <c r="R497" s="2" t="s">
        <v>58</v>
      </c>
      <c r="S497">
        <v>34</v>
      </c>
      <c r="T497">
        <v>1</v>
      </c>
    </row>
    <row r="498" spans="1:20" ht="30" x14ac:dyDescent="0.25">
      <c r="A498" t="s">
        <v>1542</v>
      </c>
      <c r="B498">
        <v>1</v>
      </c>
      <c r="C498" s="2" t="s">
        <v>1543</v>
      </c>
      <c r="D498" s="3">
        <v>6557</v>
      </c>
      <c r="E498" s="4">
        <v>17</v>
      </c>
      <c r="F498" t="s">
        <v>130</v>
      </c>
      <c r="G498" s="3">
        <f t="shared" si="35"/>
        <v>7900</v>
      </c>
      <c r="H498" s="3">
        <v>0</v>
      </c>
      <c r="I498" s="3">
        <f t="shared" si="36"/>
        <v>7900</v>
      </c>
      <c r="J498" s="2" t="s">
        <v>27</v>
      </c>
      <c r="K498" s="5">
        <v>46284.583333333343</v>
      </c>
      <c r="L498">
        <v>1</v>
      </c>
      <c r="M498" s="3">
        <f t="shared" si="37"/>
        <v>7900</v>
      </c>
      <c r="N498" t="str">
        <f t="shared" si="38"/>
        <v>ставка</v>
      </c>
      <c r="O498" s="3">
        <f t="shared" si="39"/>
        <v>154.9</v>
      </c>
      <c r="P498" s="5">
        <v>46285.5</v>
      </c>
      <c r="Q498" t="s">
        <v>130</v>
      </c>
      <c r="R498" s="2" t="s">
        <v>33</v>
      </c>
      <c r="S498">
        <v>43</v>
      </c>
      <c r="T498">
        <v>1</v>
      </c>
    </row>
    <row r="499" spans="1:20" x14ac:dyDescent="0.25">
      <c r="A499" t="s">
        <v>1546</v>
      </c>
      <c r="B499">
        <v>1</v>
      </c>
      <c r="C499" s="2" t="s">
        <v>1547</v>
      </c>
      <c r="D499" s="3">
        <v>11600</v>
      </c>
      <c r="E499" s="4">
        <v>0</v>
      </c>
      <c r="F499" t="s">
        <v>23</v>
      </c>
      <c r="G499" s="3">
        <f t="shared" si="35"/>
        <v>11600</v>
      </c>
      <c r="H499" s="3">
        <v>0</v>
      </c>
      <c r="I499" s="3">
        <f t="shared" si="36"/>
        <v>11600</v>
      </c>
      <c r="J499" s="2" t="s">
        <v>27</v>
      </c>
      <c r="K499" s="5">
        <v>46232.583333333343</v>
      </c>
      <c r="L499">
        <v>1</v>
      </c>
      <c r="M499" s="3">
        <f t="shared" si="37"/>
        <v>11600</v>
      </c>
      <c r="N499" t="str">
        <f t="shared" si="38"/>
        <v>ставка</v>
      </c>
      <c r="O499" s="3">
        <f t="shared" si="39"/>
        <v>227.45</v>
      </c>
      <c r="P499" s="5">
        <v>46233.5</v>
      </c>
      <c r="Q499" t="s">
        <v>23</v>
      </c>
      <c r="R499" s="2" t="s">
        <v>49</v>
      </c>
      <c r="S499">
        <v>25</v>
      </c>
      <c r="T499">
        <v>1</v>
      </c>
    </row>
    <row r="500" spans="1:20" x14ac:dyDescent="0.25">
      <c r="A500" t="s">
        <v>1548</v>
      </c>
      <c r="B500">
        <v>1</v>
      </c>
      <c r="C500" s="2" t="s">
        <v>1549</v>
      </c>
      <c r="D500" s="3">
        <v>59400</v>
      </c>
      <c r="E500" s="4">
        <v>0</v>
      </c>
      <c r="F500" t="s">
        <v>23</v>
      </c>
      <c r="G500" s="3">
        <f t="shared" si="35"/>
        <v>59400</v>
      </c>
      <c r="H500" s="3">
        <v>0</v>
      </c>
      <c r="I500" s="3">
        <f t="shared" si="36"/>
        <v>59400</v>
      </c>
      <c r="J500" s="2" t="s">
        <v>27</v>
      </c>
      <c r="K500" s="5">
        <v>46280.583333333343</v>
      </c>
      <c r="L500">
        <v>4</v>
      </c>
      <c r="M500" s="3">
        <f t="shared" si="37"/>
        <v>14850</v>
      </c>
      <c r="N500" t="str">
        <f t="shared" si="38"/>
        <v>ставка</v>
      </c>
      <c r="O500" s="3">
        <f t="shared" si="39"/>
        <v>1164.71</v>
      </c>
      <c r="P500" s="5">
        <v>46284.5</v>
      </c>
      <c r="Q500" t="s">
        <v>23</v>
      </c>
      <c r="R500" s="2" t="s">
        <v>49</v>
      </c>
      <c r="S500">
        <v>25</v>
      </c>
      <c r="T500">
        <v>1</v>
      </c>
    </row>
    <row r="501" spans="1:20" ht="30" x14ac:dyDescent="0.25">
      <c r="A501" t="s">
        <v>1550</v>
      </c>
      <c r="B501">
        <v>1</v>
      </c>
      <c r="C501" s="2" t="s">
        <v>1551</v>
      </c>
      <c r="D501" s="3">
        <v>22512</v>
      </c>
      <c r="E501" s="4">
        <v>16</v>
      </c>
      <c r="F501" t="s">
        <v>36</v>
      </c>
      <c r="G501" s="3">
        <f t="shared" si="35"/>
        <v>26800</v>
      </c>
      <c r="H501" s="3">
        <v>0</v>
      </c>
      <c r="I501" s="3">
        <f t="shared" si="36"/>
        <v>26800</v>
      </c>
      <c r="J501" s="2" t="s">
        <v>27</v>
      </c>
      <c r="K501" s="5">
        <v>46243.583333333343</v>
      </c>
      <c r="L501">
        <v>2</v>
      </c>
      <c r="M501" s="3">
        <f t="shared" si="37"/>
        <v>13400</v>
      </c>
      <c r="N501" t="str">
        <f t="shared" si="38"/>
        <v>ставка</v>
      </c>
      <c r="O501" s="3">
        <f t="shared" si="39"/>
        <v>525.49</v>
      </c>
      <c r="P501" s="5">
        <v>46245.5</v>
      </c>
      <c r="Q501" t="s">
        <v>36</v>
      </c>
      <c r="R501" s="2" t="s">
        <v>24</v>
      </c>
      <c r="S501">
        <v>31</v>
      </c>
      <c r="T501">
        <v>1</v>
      </c>
    </row>
    <row r="502" spans="1:20" x14ac:dyDescent="0.25">
      <c r="A502" t="s">
        <v>1552</v>
      </c>
      <c r="B502">
        <v>1</v>
      </c>
      <c r="C502" s="2" t="s">
        <v>1553</v>
      </c>
      <c r="D502" s="3">
        <v>41085</v>
      </c>
      <c r="E502" s="4">
        <v>18</v>
      </c>
      <c r="F502" t="s">
        <v>32</v>
      </c>
      <c r="G502" s="3">
        <f t="shared" si="35"/>
        <v>50103.66</v>
      </c>
      <c r="H502" s="3">
        <v>0</v>
      </c>
      <c r="I502" s="3">
        <f t="shared" si="36"/>
        <v>50103.66</v>
      </c>
      <c r="J502" s="2" t="s">
        <v>27</v>
      </c>
      <c r="K502" s="5">
        <v>46255.583333333343</v>
      </c>
      <c r="L502">
        <v>3</v>
      </c>
      <c r="M502" s="3">
        <f t="shared" si="37"/>
        <v>16701.22</v>
      </c>
      <c r="N502" t="str">
        <f t="shared" si="38"/>
        <v>ставка</v>
      </c>
      <c r="O502" s="3">
        <f t="shared" si="39"/>
        <v>982.42</v>
      </c>
      <c r="P502" s="5">
        <v>46258.5</v>
      </c>
      <c r="Q502" t="s">
        <v>32</v>
      </c>
      <c r="R502" s="2" t="s">
        <v>49</v>
      </c>
      <c r="S502">
        <v>11</v>
      </c>
      <c r="T502">
        <v>1</v>
      </c>
    </row>
    <row r="503" spans="1:20" ht="30" x14ac:dyDescent="0.25">
      <c r="A503" t="s">
        <v>1554</v>
      </c>
      <c r="B503">
        <v>1</v>
      </c>
      <c r="C503" s="2" t="s">
        <v>1555</v>
      </c>
      <c r="D503" s="3">
        <v>13016.25</v>
      </c>
      <c r="E503" s="4">
        <v>4</v>
      </c>
      <c r="F503" t="s">
        <v>55</v>
      </c>
      <c r="G503" s="3">
        <f t="shared" si="35"/>
        <v>13558.59</v>
      </c>
      <c r="H503" s="3">
        <v>0</v>
      </c>
      <c r="I503" s="3">
        <f t="shared" si="36"/>
        <v>13558.59</v>
      </c>
      <c r="J503" s="2" t="s">
        <v>27</v>
      </c>
      <c r="K503" s="5">
        <v>46253.583333333343</v>
      </c>
      <c r="L503">
        <v>1</v>
      </c>
      <c r="M503" s="3">
        <f t="shared" si="37"/>
        <v>13558.59</v>
      </c>
      <c r="N503" t="str">
        <f t="shared" si="38"/>
        <v>ставка</v>
      </c>
      <c r="O503" s="3">
        <f t="shared" si="39"/>
        <v>265.85000000000002</v>
      </c>
      <c r="P503" s="5">
        <v>46254.5</v>
      </c>
      <c r="Q503" t="s">
        <v>55</v>
      </c>
      <c r="R503" s="2" t="s">
        <v>40</v>
      </c>
      <c r="S503">
        <v>26</v>
      </c>
      <c r="T503">
        <v>1</v>
      </c>
    </row>
    <row r="504" spans="1:20" ht="30" x14ac:dyDescent="0.25">
      <c r="A504" t="s">
        <v>1556</v>
      </c>
      <c r="B504">
        <v>1</v>
      </c>
      <c r="C504" s="2" t="s">
        <v>1557</v>
      </c>
      <c r="D504" s="3">
        <v>30260</v>
      </c>
      <c r="E504" s="4">
        <v>15</v>
      </c>
      <c r="F504" t="s">
        <v>411</v>
      </c>
      <c r="G504" s="3">
        <f t="shared" si="35"/>
        <v>35600</v>
      </c>
      <c r="H504" s="3">
        <v>0</v>
      </c>
      <c r="I504" s="3">
        <f t="shared" si="36"/>
        <v>35600</v>
      </c>
      <c r="J504" s="2" t="s">
        <v>27</v>
      </c>
      <c r="K504" s="5">
        <v>46219.583333333343</v>
      </c>
      <c r="L504">
        <v>4</v>
      </c>
      <c r="M504" s="3">
        <f t="shared" si="37"/>
        <v>8900</v>
      </c>
      <c r="N504" t="str">
        <f t="shared" si="38"/>
        <v>ставка</v>
      </c>
      <c r="O504" s="3">
        <f t="shared" si="39"/>
        <v>698.04</v>
      </c>
      <c r="P504" s="5">
        <v>46223.5</v>
      </c>
      <c r="Q504" t="s">
        <v>411</v>
      </c>
      <c r="R504" s="2" t="s">
        <v>40</v>
      </c>
      <c r="S504">
        <v>36</v>
      </c>
      <c r="T504">
        <v>1</v>
      </c>
    </row>
    <row r="505" spans="1:20" ht="30" x14ac:dyDescent="0.25">
      <c r="A505" t="s">
        <v>1560</v>
      </c>
      <c r="B505">
        <v>1</v>
      </c>
      <c r="C505" s="2" t="s">
        <v>1561</v>
      </c>
      <c r="D505" s="3">
        <v>10998.15</v>
      </c>
      <c r="E505" s="4">
        <v>4</v>
      </c>
      <c r="F505" t="s">
        <v>55</v>
      </c>
      <c r="G505" s="3">
        <f t="shared" si="35"/>
        <v>11456.41</v>
      </c>
      <c r="H505" s="3">
        <v>0</v>
      </c>
      <c r="I505" s="3">
        <f t="shared" si="36"/>
        <v>11456.41</v>
      </c>
      <c r="J505" s="2" t="s">
        <v>27</v>
      </c>
      <c r="K505" s="5">
        <v>46255.583333333343</v>
      </c>
      <c r="L505">
        <v>1</v>
      </c>
      <c r="M505" s="3">
        <f t="shared" si="37"/>
        <v>11456.41</v>
      </c>
      <c r="N505" t="str">
        <f t="shared" si="38"/>
        <v>ставка</v>
      </c>
      <c r="O505" s="3">
        <f t="shared" si="39"/>
        <v>224.64</v>
      </c>
      <c r="P505" s="5">
        <v>46256.5</v>
      </c>
      <c r="Q505" t="s">
        <v>55</v>
      </c>
      <c r="R505" s="2" t="s">
        <v>40</v>
      </c>
      <c r="S505">
        <v>42</v>
      </c>
      <c r="T505">
        <v>1</v>
      </c>
    </row>
    <row r="506" spans="1:20" ht="30" x14ac:dyDescent="0.25">
      <c r="A506" t="s">
        <v>1562</v>
      </c>
      <c r="B506">
        <v>1</v>
      </c>
      <c r="C506" s="2" t="s">
        <v>1563</v>
      </c>
      <c r="D506" s="3">
        <v>25245</v>
      </c>
      <c r="E506" s="4">
        <v>16</v>
      </c>
      <c r="F506" t="s">
        <v>36</v>
      </c>
      <c r="G506" s="3">
        <f t="shared" si="35"/>
        <v>30053.57</v>
      </c>
      <c r="H506" s="3">
        <v>0</v>
      </c>
      <c r="I506" s="3">
        <f t="shared" si="36"/>
        <v>30053.57</v>
      </c>
      <c r="J506" s="2" t="s">
        <v>27</v>
      </c>
      <c r="K506" s="5">
        <v>46256.583333333343</v>
      </c>
      <c r="L506">
        <v>3</v>
      </c>
      <c r="M506" s="3">
        <f t="shared" si="37"/>
        <v>10017.856666666667</v>
      </c>
      <c r="N506" t="str">
        <f t="shared" si="38"/>
        <v>ставка</v>
      </c>
      <c r="O506" s="3">
        <f t="shared" si="39"/>
        <v>589.29</v>
      </c>
      <c r="P506" s="5">
        <v>46259.5</v>
      </c>
      <c r="Q506" t="s">
        <v>36</v>
      </c>
      <c r="R506" s="2" t="s">
        <v>33</v>
      </c>
      <c r="S506">
        <v>47</v>
      </c>
      <c r="T506">
        <v>1</v>
      </c>
    </row>
    <row r="507" spans="1:20" ht="30" x14ac:dyDescent="0.25">
      <c r="A507" t="s">
        <v>1564</v>
      </c>
      <c r="B507">
        <v>1</v>
      </c>
      <c r="C507" s="2" t="s">
        <v>1565</v>
      </c>
      <c r="D507" s="3">
        <v>5775</v>
      </c>
      <c r="E507" s="4">
        <v>18</v>
      </c>
      <c r="F507" t="s">
        <v>32</v>
      </c>
      <c r="G507" s="3">
        <f t="shared" si="35"/>
        <v>7042.68</v>
      </c>
      <c r="H507" s="3">
        <v>0</v>
      </c>
      <c r="I507" s="3">
        <f t="shared" si="36"/>
        <v>7042.68</v>
      </c>
      <c r="J507" s="2" t="s">
        <v>27</v>
      </c>
      <c r="K507" s="5">
        <v>46294.583333333343</v>
      </c>
      <c r="L507">
        <v>1</v>
      </c>
      <c r="M507" s="3">
        <f t="shared" si="37"/>
        <v>7042.68</v>
      </c>
      <c r="N507" t="str">
        <f t="shared" si="38"/>
        <v>ставка</v>
      </c>
      <c r="O507" s="3">
        <f t="shared" si="39"/>
        <v>138.09</v>
      </c>
      <c r="P507" s="5">
        <v>46295.5</v>
      </c>
      <c r="Q507" t="s">
        <v>32</v>
      </c>
      <c r="R507" s="2" t="s">
        <v>58</v>
      </c>
      <c r="S507">
        <v>24</v>
      </c>
      <c r="T507">
        <v>1</v>
      </c>
    </row>
    <row r="508" spans="1:20" ht="30" x14ac:dyDescent="0.25">
      <c r="A508" t="s">
        <v>1566</v>
      </c>
      <c r="B508">
        <v>1</v>
      </c>
      <c r="C508" s="2" t="s">
        <v>1567</v>
      </c>
      <c r="D508" s="3">
        <v>69151.5</v>
      </c>
      <c r="E508" s="4">
        <v>4</v>
      </c>
      <c r="F508" t="s">
        <v>55</v>
      </c>
      <c r="G508" s="3">
        <f t="shared" si="35"/>
        <v>72032.81</v>
      </c>
      <c r="H508" s="3">
        <v>0</v>
      </c>
      <c r="I508" s="3">
        <f t="shared" si="36"/>
        <v>72032.81</v>
      </c>
      <c r="J508" s="2" t="s">
        <v>27</v>
      </c>
      <c r="K508" s="5">
        <v>46210.583333333343</v>
      </c>
      <c r="L508">
        <v>7</v>
      </c>
      <c r="M508" s="3">
        <f t="shared" si="37"/>
        <v>10290.401428571427</v>
      </c>
      <c r="N508" t="str">
        <f t="shared" si="38"/>
        <v>ставка</v>
      </c>
      <c r="O508" s="3">
        <f t="shared" si="39"/>
        <v>1412.41</v>
      </c>
      <c r="P508" s="5">
        <v>46217.5</v>
      </c>
      <c r="Q508" t="s">
        <v>55</v>
      </c>
      <c r="R508" s="2" t="s">
        <v>33</v>
      </c>
      <c r="S508">
        <v>43</v>
      </c>
      <c r="T508">
        <v>1</v>
      </c>
    </row>
    <row r="509" spans="1:20" x14ac:dyDescent="0.25">
      <c r="A509" t="s">
        <v>1568</v>
      </c>
      <c r="B509">
        <v>1</v>
      </c>
      <c r="C509" s="2" t="s">
        <v>1569</v>
      </c>
      <c r="D509" s="3">
        <v>11850</v>
      </c>
      <c r="E509" s="4">
        <v>0</v>
      </c>
      <c r="F509" t="s">
        <v>23</v>
      </c>
      <c r="G509" s="3">
        <f t="shared" si="35"/>
        <v>11850</v>
      </c>
      <c r="H509" s="3">
        <v>0</v>
      </c>
      <c r="I509" s="3">
        <f t="shared" si="36"/>
        <v>11850</v>
      </c>
      <c r="J509" s="2" t="s">
        <v>27</v>
      </c>
      <c r="K509" s="5">
        <v>46212.583333333343</v>
      </c>
      <c r="L509">
        <v>1</v>
      </c>
      <c r="M509" s="3">
        <f t="shared" si="37"/>
        <v>11850</v>
      </c>
      <c r="N509" t="str">
        <f t="shared" si="38"/>
        <v>ставка</v>
      </c>
      <c r="O509" s="3">
        <f t="shared" si="39"/>
        <v>232.35</v>
      </c>
      <c r="P509" s="5">
        <v>46213.5</v>
      </c>
      <c r="Q509" t="s">
        <v>23</v>
      </c>
      <c r="R509" s="2" t="s">
        <v>49</v>
      </c>
      <c r="S509">
        <v>25</v>
      </c>
      <c r="T509">
        <v>1</v>
      </c>
    </row>
    <row r="510" spans="1:20" ht="30" x14ac:dyDescent="0.25">
      <c r="A510" t="s">
        <v>1572</v>
      </c>
      <c r="B510">
        <v>1</v>
      </c>
      <c r="C510" s="2" t="s">
        <v>1573</v>
      </c>
      <c r="D510" s="3">
        <v>68085</v>
      </c>
      <c r="E510" s="4">
        <v>0</v>
      </c>
      <c r="F510" t="s">
        <v>180</v>
      </c>
      <c r="G510" s="3">
        <f t="shared" si="35"/>
        <v>68085</v>
      </c>
      <c r="H510" s="3">
        <v>0</v>
      </c>
      <c r="I510" s="3">
        <f t="shared" si="36"/>
        <v>68085</v>
      </c>
      <c r="J510" s="2" t="s">
        <v>181</v>
      </c>
      <c r="K510" s="5">
        <v>46236.583333333343</v>
      </c>
      <c r="L510">
        <v>6</v>
      </c>
      <c r="M510" s="3">
        <f t="shared" si="37"/>
        <v>11347.5</v>
      </c>
      <c r="N510" t="str">
        <f t="shared" si="38"/>
        <v>ставка</v>
      </c>
      <c r="O510" s="3">
        <f t="shared" si="39"/>
        <v>1335</v>
      </c>
      <c r="P510" s="5">
        <v>46242.5</v>
      </c>
      <c r="Q510" t="s">
        <v>180</v>
      </c>
      <c r="R510" s="2" t="s">
        <v>40</v>
      </c>
      <c r="S510">
        <v>36</v>
      </c>
      <c r="T510">
        <v>1</v>
      </c>
    </row>
    <row r="511" spans="1:20" ht="30" x14ac:dyDescent="0.25">
      <c r="A511" t="s">
        <v>1574</v>
      </c>
      <c r="B511">
        <v>1</v>
      </c>
      <c r="C511" s="2" t="s">
        <v>1575</v>
      </c>
      <c r="D511" s="3">
        <v>18160</v>
      </c>
      <c r="E511" s="4">
        <v>20</v>
      </c>
      <c r="F511" t="s">
        <v>48</v>
      </c>
      <c r="G511" s="3">
        <f t="shared" si="35"/>
        <v>22700</v>
      </c>
      <c r="H511" s="3">
        <v>0</v>
      </c>
      <c r="I511" s="3">
        <f t="shared" si="36"/>
        <v>22700</v>
      </c>
      <c r="J511" s="2" t="s">
        <v>27</v>
      </c>
      <c r="K511" s="5">
        <v>46288.583333333343</v>
      </c>
      <c r="L511">
        <v>2</v>
      </c>
      <c r="M511" s="3">
        <f t="shared" si="37"/>
        <v>11350</v>
      </c>
      <c r="N511" t="str">
        <f t="shared" si="38"/>
        <v>ставка</v>
      </c>
      <c r="O511" s="3">
        <f t="shared" si="39"/>
        <v>445.1</v>
      </c>
      <c r="P511" s="5">
        <v>46290.5</v>
      </c>
      <c r="Q511" t="s">
        <v>48</v>
      </c>
      <c r="R511" s="2" t="s">
        <v>40</v>
      </c>
      <c r="S511">
        <v>36</v>
      </c>
      <c r="T511">
        <v>1</v>
      </c>
    </row>
    <row r="512" spans="1:20" ht="30" x14ac:dyDescent="0.25">
      <c r="A512" t="s">
        <v>1576</v>
      </c>
      <c r="B512">
        <v>1</v>
      </c>
      <c r="C512" s="2" t="s">
        <v>1577</v>
      </c>
      <c r="D512" s="3">
        <v>12936</v>
      </c>
      <c r="E512" s="4">
        <v>16</v>
      </c>
      <c r="F512" t="s">
        <v>36</v>
      </c>
      <c r="G512" s="3">
        <f t="shared" si="35"/>
        <v>15400</v>
      </c>
      <c r="H512" s="3">
        <v>0</v>
      </c>
      <c r="I512" s="3">
        <f t="shared" si="36"/>
        <v>15400</v>
      </c>
      <c r="J512" s="2" t="s">
        <v>27</v>
      </c>
      <c r="K512" s="5">
        <v>46278.583333333343</v>
      </c>
      <c r="L512">
        <v>2</v>
      </c>
      <c r="M512" s="3">
        <f t="shared" si="37"/>
        <v>7700</v>
      </c>
      <c r="N512" t="str">
        <f t="shared" si="38"/>
        <v>ставка</v>
      </c>
      <c r="O512" s="3">
        <f t="shared" si="39"/>
        <v>301.95999999999998</v>
      </c>
      <c r="P512" s="5">
        <v>46280.5</v>
      </c>
      <c r="Q512" t="s">
        <v>36</v>
      </c>
      <c r="R512" s="2" t="s">
        <v>58</v>
      </c>
      <c r="S512">
        <v>24</v>
      </c>
      <c r="T512">
        <v>1</v>
      </c>
    </row>
    <row r="513" spans="1:20" ht="30" x14ac:dyDescent="0.25">
      <c r="A513" t="s">
        <v>1578</v>
      </c>
      <c r="B513">
        <v>1</v>
      </c>
      <c r="C513" s="2" t="s">
        <v>1579</v>
      </c>
      <c r="D513" s="3">
        <v>21440</v>
      </c>
      <c r="E513" s="4">
        <v>20</v>
      </c>
      <c r="F513" t="s">
        <v>32</v>
      </c>
      <c r="G513" s="3">
        <f t="shared" si="35"/>
        <v>26800</v>
      </c>
      <c r="H513" s="3">
        <v>0</v>
      </c>
      <c r="I513" s="3">
        <f t="shared" si="36"/>
        <v>26800</v>
      </c>
      <c r="J513" s="2" t="s">
        <v>27</v>
      </c>
      <c r="K513" s="5">
        <v>46217.583333333343</v>
      </c>
      <c r="L513">
        <v>2</v>
      </c>
      <c r="M513" s="3">
        <f t="shared" si="37"/>
        <v>13400</v>
      </c>
      <c r="N513" t="str">
        <f t="shared" si="38"/>
        <v>ставка</v>
      </c>
      <c r="O513" s="3">
        <f t="shared" si="39"/>
        <v>525.49</v>
      </c>
      <c r="P513" s="5">
        <v>46219.5</v>
      </c>
      <c r="Q513" t="s">
        <v>32</v>
      </c>
      <c r="R513" s="2" t="s">
        <v>24</v>
      </c>
      <c r="S513">
        <v>21</v>
      </c>
      <c r="T513">
        <v>1</v>
      </c>
    </row>
    <row r="514" spans="1:20" ht="30" x14ac:dyDescent="0.25">
      <c r="A514" t="s">
        <v>1587</v>
      </c>
      <c r="B514">
        <v>1</v>
      </c>
      <c r="C514" s="2" t="s">
        <v>1588</v>
      </c>
      <c r="D514" s="3">
        <v>6320</v>
      </c>
      <c r="E514" s="4">
        <v>20</v>
      </c>
      <c r="F514" t="s">
        <v>103</v>
      </c>
      <c r="G514" s="3">
        <f t="shared" ref="G514:G577" si="40">ROUND(D514/(100-E514)*100,2)</f>
        <v>7900</v>
      </c>
      <c r="H514" s="3">
        <v>0</v>
      </c>
      <c r="I514" s="3">
        <f t="shared" ref="I514:I577" si="41">ROUND(G514+H514,2)</f>
        <v>7900</v>
      </c>
      <c r="J514" s="2" t="s">
        <v>27</v>
      </c>
      <c r="K514" s="5">
        <v>46237.583333333343</v>
      </c>
      <c r="L514">
        <v>1</v>
      </c>
      <c r="M514" s="3">
        <f t="shared" ref="M514:M577" si="42">I514/L514</f>
        <v>7900</v>
      </c>
      <c r="N514" t="str">
        <f t="shared" ref="N514:N577" si="43">IF(M514&gt;=5100,"ставка","мин.ставка")</f>
        <v>ставка</v>
      </c>
      <c r="O514" s="3">
        <f t="shared" ref="O514:O577" si="44">ROUND(IF(N514="мин.ставка",L514*100,I514/102*2),2)</f>
        <v>154.9</v>
      </c>
      <c r="P514" s="5">
        <v>46238.5</v>
      </c>
      <c r="Q514" t="s">
        <v>103</v>
      </c>
      <c r="R514" s="2" t="s">
        <v>33</v>
      </c>
      <c r="S514">
        <v>43</v>
      </c>
      <c r="T514">
        <v>1</v>
      </c>
    </row>
    <row r="515" spans="1:20" ht="30" x14ac:dyDescent="0.25">
      <c r="A515" t="s">
        <v>1589</v>
      </c>
      <c r="B515">
        <v>1</v>
      </c>
      <c r="C515" s="2" t="s">
        <v>1590</v>
      </c>
      <c r="D515" s="3">
        <v>30096</v>
      </c>
      <c r="E515" s="4">
        <v>20</v>
      </c>
      <c r="F515" t="s">
        <v>32</v>
      </c>
      <c r="G515" s="3">
        <f t="shared" si="40"/>
        <v>37620</v>
      </c>
      <c r="H515" s="3">
        <v>0</v>
      </c>
      <c r="I515" s="3">
        <f t="shared" si="41"/>
        <v>37620</v>
      </c>
      <c r="J515" s="2" t="s">
        <v>27</v>
      </c>
      <c r="K515" s="5">
        <v>46266.583333333343</v>
      </c>
      <c r="L515">
        <v>4</v>
      </c>
      <c r="M515" s="3">
        <v>9405</v>
      </c>
      <c r="N515" t="str">
        <f t="shared" si="43"/>
        <v>ставка</v>
      </c>
      <c r="O515" s="3">
        <f t="shared" si="44"/>
        <v>737.65</v>
      </c>
      <c r="P515" s="5">
        <v>46270.5</v>
      </c>
      <c r="Q515" t="s">
        <v>32</v>
      </c>
      <c r="R515" s="2" t="s">
        <v>33</v>
      </c>
      <c r="S515">
        <v>43</v>
      </c>
      <c r="T515">
        <v>1</v>
      </c>
    </row>
    <row r="516" spans="1:20" ht="30" x14ac:dyDescent="0.25">
      <c r="A516" t="s">
        <v>1594</v>
      </c>
      <c r="B516">
        <v>1</v>
      </c>
      <c r="C516" s="2" t="s">
        <v>1595</v>
      </c>
      <c r="D516" s="3">
        <v>12782</v>
      </c>
      <c r="E516" s="4">
        <v>17</v>
      </c>
      <c r="F516" t="s">
        <v>32</v>
      </c>
      <c r="G516" s="3">
        <f t="shared" si="40"/>
        <v>15400</v>
      </c>
      <c r="H516" s="3">
        <v>0</v>
      </c>
      <c r="I516" s="3">
        <f t="shared" si="41"/>
        <v>15400</v>
      </c>
      <c r="J516" s="2" t="s">
        <v>27</v>
      </c>
      <c r="K516" s="5">
        <v>46255.583333333343</v>
      </c>
      <c r="L516">
        <v>2</v>
      </c>
      <c r="M516" s="3">
        <f t="shared" si="42"/>
        <v>7700</v>
      </c>
      <c r="N516" t="str">
        <f t="shared" si="43"/>
        <v>ставка</v>
      </c>
      <c r="O516" s="3">
        <f t="shared" si="44"/>
        <v>301.95999999999998</v>
      </c>
      <c r="P516" s="5">
        <v>46257.5</v>
      </c>
      <c r="Q516" t="s">
        <v>32</v>
      </c>
      <c r="R516" s="2" t="s">
        <v>58</v>
      </c>
      <c r="S516">
        <v>34</v>
      </c>
      <c r="T516">
        <v>1</v>
      </c>
    </row>
    <row r="517" spans="1:20" x14ac:dyDescent="0.25">
      <c r="A517" t="s">
        <v>1600</v>
      </c>
      <c r="B517">
        <v>1</v>
      </c>
      <c r="C517" s="2" t="s">
        <v>1601</v>
      </c>
      <c r="D517" s="3">
        <v>16500</v>
      </c>
      <c r="E517" s="4">
        <v>0</v>
      </c>
      <c r="F517" t="s">
        <v>23</v>
      </c>
      <c r="G517" s="3">
        <f t="shared" si="40"/>
        <v>16500</v>
      </c>
      <c r="H517" s="3">
        <v>0</v>
      </c>
      <c r="I517" s="3">
        <f t="shared" si="41"/>
        <v>16500</v>
      </c>
      <c r="J517" s="2" t="s">
        <v>27</v>
      </c>
      <c r="K517" s="5">
        <v>46242.583333333343</v>
      </c>
      <c r="L517">
        <v>1</v>
      </c>
      <c r="M517" s="3">
        <f t="shared" si="42"/>
        <v>16500</v>
      </c>
      <c r="N517" t="str">
        <f t="shared" si="43"/>
        <v>ставка</v>
      </c>
      <c r="O517" s="3">
        <f t="shared" si="44"/>
        <v>323.52999999999997</v>
      </c>
      <c r="P517" s="5">
        <v>46243.5</v>
      </c>
      <c r="Q517" t="s">
        <v>23</v>
      </c>
      <c r="R517" s="2" t="s">
        <v>49</v>
      </c>
      <c r="S517">
        <v>25</v>
      </c>
      <c r="T517">
        <v>1</v>
      </c>
    </row>
    <row r="518" spans="1:20" ht="30" x14ac:dyDescent="0.25">
      <c r="A518" t="s">
        <v>1607</v>
      </c>
      <c r="B518">
        <v>1</v>
      </c>
      <c r="C518" s="2" t="s">
        <v>1608</v>
      </c>
      <c r="D518" s="3">
        <v>45390</v>
      </c>
      <c r="E518" s="4">
        <v>0</v>
      </c>
      <c r="F518" t="s">
        <v>180</v>
      </c>
      <c r="G518" s="3">
        <f t="shared" si="40"/>
        <v>45390</v>
      </c>
      <c r="H518" s="3">
        <v>0</v>
      </c>
      <c r="I518" s="3">
        <f t="shared" si="41"/>
        <v>45390</v>
      </c>
      <c r="J518" s="2" t="s">
        <v>181</v>
      </c>
      <c r="K518" s="5">
        <v>46266.583333333343</v>
      </c>
      <c r="L518">
        <v>4</v>
      </c>
      <c r="M518" s="3">
        <f t="shared" si="42"/>
        <v>11347.5</v>
      </c>
      <c r="N518" t="str">
        <f t="shared" si="43"/>
        <v>ставка</v>
      </c>
      <c r="O518" s="3">
        <f t="shared" si="44"/>
        <v>890</v>
      </c>
      <c r="P518" s="5">
        <v>46270.5</v>
      </c>
      <c r="Q518" t="s">
        <v>180</v>
      </c>
      <c r="R518" s="2" t="s">
        <v>40</v>
      </c>
      <c r="S518">
        <v>22</v>
      </c>
      <c r="T518">
        <v>1</v>
      </c>
    </row>
    <row r="519" spans="1:20" x14ac:dyDescent="0.25">
      <c r="A519" t="s">
        <v>1611</v>
      </c>
      <c r="B519">
        <v>1</v>
      </c>
      <c r="C519" s="2" t="s">
        <v>1612</v>
      </c>
      <c r="D519" s="3">
        <v>13200</v>
      </c>
      <c r="E519" s="4">
        <v>20</v>
      </c>
      <c r="F519" t="s">
        <v>48</v>
      </c>
      <c r="G519" s="3">
        <f t="shared" si="40"/>
        <v>16500</v>
      </c>
      <c r="H519" s="3">
        <v>0</v>
      </c>
      <c r="I519" s="3">
        <f t="shared" si="41"/>
        <v>16500</v>
      </c>
      <c r="J519" s="2" t="s">
        <v>27</v>
      </c>
      <c r="K519" s="5">
        <v>46277.583333333343</v>
      </c>
      <c r="L519">
        <v>1</v>
      </c>
      <c r="M519" s="3">
        <f t="shared" si="42"/>
        <v>16500</v>
      </c>
      <c r="N519" t="str">
        <f t="shared" si="43"/>
        <v>ставка</v>
      </c>
      <c r="O519" s="3">
        <f t="shared" si="44"/>
        <v>323.52999999999997</v>
      </c>
      <c r="P519" s="5">
        <v>46278.5</v>
      </c>
      <c r="Q519" t="s">
        <v>48</v>
      </c>
      <c r="R519" s="2" t="s">
        <v>49</v>
      </c>
      <c r="S519">
        <v>25</v>
      </c>
      <c r="T519">
        <v>1</v>
      </c>
    </row>
    <row r="520" spans="1:20" ht="30" x14ac:dyDescent="0.25">
      <c r="A520" t="s">
        <v>1617</v>
      </c>
      <c r="B520">
        <v>1</v>
      </c>
      <c r="C520" s="2" t="s">
        <v>1618</v>
      </c>
      <c r="D520" s="3">
        <v>18160</v>
      </c>
      <c r="E520" s="4">
        <v>20</v>
      </c>
      <c r="F520" t="s">
        <v>48</v>
      </c>
      <c r="G520" s="3">
        <f t="shared" si="40"/>
        <v>22700</v>
      </c>
      <c r="H520" s="3">
        <v>4000</v>
      </c>
      <c r="I520" s="3">
        <f t="shared" si="41"/>
        <v>26700</v>
      </c>
      <c r="J520" s="2" t="s">
        <v>563</v>
      </c>
      <c r="K520" s="5">
        <v>46211.583333333343</v>
      </c>
      <c r="L520">
        <v>2</v>
      </c>
      <c r="M520" s="3">
        <f t="shared" si="42"/>
        <v>13350</v>
      </c>
      <c r="N520" t="str">
        <f t="shared" si="43"/>
        <v>ставка</v>
      </c>
      <c r="O520" s="3">
        <f t="shared" si="44"/>
        <v>523.53</v>
      </c>
      <c r="P520" s="5">
        <v>46213.5</v>
      </c>
      <c r="Q520" t="s">
        <v>48</v>
      </c>
      <c r="R520" s="2" t="s">
        <v>40</v>
      </c>
      <c r="S520">
        <v>44</v>
      </c>
      <c r="T520">
        <v>1</v>
      </c>
    </row>
    <row r="521" spans="1:20" ht="30" x14ac:dyDescent="0.25">
      <c r="A521" t="s">
        <v>1619</v>
      </c>
      <c r="B521">
        <v>1</v>
      </c>
      <c r="C521" s="2" t="s">
        <v>1620</v>
      </c>
      <c r="D521" s="3">
        <v>10680</v>
      </c>
      <c r="E521" s="4">
        <v>0</v>
      </c>
      <c r="F521" t="s">
        <v>23</v>
      </c>
      <c r="G521" s="3">
        <f t="shared" si="40"/>
        <v>10680</v>
      </c>
      <c r="H521" s="3">
        <v>0</v>
      </c>
      <c r="I521" s="3">
        <f t="shared" si="41"/>
        <v>10680</v>
      </c>
      <c r="J521" s="2" t="s">
        <v>27</v>
      </c>
      <c r="K521" s="5">
        <v>46214.583333333343</v>
      </c>
      <c r="L521">
        <v>1</v>
      </c>
      <c r="M521" s="3">
        <f t="shared" si="42"/>
        <v>10680</v>
      </c>
      <c r="N521" t="str">
        <f t="shared" si="43"/>
        <v>ставка</v>
      </c>
      <c r="O521" s="3">
        <f t="shared" si="44"/>
        <v>209.41</v>
      </c>
      <c r="P521" s="5">
        <v>46215.5</v>
      </c>
      <c r="Q521" t="s">
        <v>23</v>
      </c>
      <c r="R521" s="2" t="s">
        <v>40</v>
      </c>
      <c r="S521">
        <v>36</v>
      </c>
      <c r="T521">
        <v>1</v>
      </c>
    </row>
    <row r="522" spans="1:20" ht="30" x14ac:dyDescent="0.25">
      <c r="A522" t="s">
        <v>1621</v>
      </c>
      <c r="B522">
        <v>1</v>
      </c>
      <c r="C522" s="2" t="s">
        <v>1622</v>
      </c>
      <c r="D522" s="3">
        <v>6557</v>
      </c>
      <c r="E522" s="4">
        <v>0</v>
      </c>
      <c r="F522" t="s">
        <v>23</v>
      </c>
      <c r="G522" s="3">
        <f t="shared" si="40"/>
        <v>6557</v>
      </c>
      <c r="H522" s="3">
        <v>0</v>
      </c>
      <c r="I522" s="3">
        <f t="shared" si="41"/>
        <v>6557</v>
      </c>
      <c r="J522" s="2" t="s">
        <v>27</v>
      </c>
      <c r="K522" s="5">
        <v>46212.583333333343</v>
      </c>
      <c r="L522">
        <v>1</v>
      </c>
      <c r="M522" s="3">
        <f t="shared" si="42"/>
        <v>6557</v>
      </c>
      <c r="N522" t="str">
        <f t="shared" si="43"/>
        <v>ставка</v>
      </c>
      <c r="O522" s="3">
        <f t="shared" si="44"/>
        <v>128.57</v>
      </c>
      <c r="P522" s="5">
        <v>46213.5</v>
      </c>
      <c r="Q522" t="s">
        <v>23</v>
      </c>
      <c r="R522" s="2" t="s">
        <v>33</v>
      </c>
      <c r="S522">
        <v>41</v>
      </c>
      <c r="T522">
        <v>1</v>
      </c>
    </row>
    <row r="523" spans="1:20" ht="30" x14ac:dyDescent="0.25">
      <c r="A523" t="s">
        <v>1623</v>
      </c>
      <c r="B523">
        <v>1</v>
      </c>
      <c r="C523" s="2" t="s">
        <v>1624</v>
      </c>
      <c r="D523" s="3">
        <v>56280</v>
      </c>
      <c r="E523" s="4">
        <v>16</v>
      </c>
      <c r="F523" t="s">
        <v>36</v>
      </c>
      <c r="G523" s="3">
        <f t="shared" si="40"/>
        <v>67000</v>
      </c>
      <c r="H523" s="3">
        <v>0</v>
      </c>
      <c r="I523" s="3">
        <f t="shared" si="41"/>
        <v>67000</v>
      </c>
      <c r="J523" s="2" t="s">
        <v>27</v>
      </c>
      <c r="K523" s="5">
        <v>46269.583333333343</v>
      </c>
      <c r="L523">
        <v>5</v>
      </c>
      <c r="M523" s="3">
        <f t="shared" si="42"/>
        <v>13400</v>
      </c>
      <c r="N523" t="str">
        <f t="shared" si="43"/>
        <v>ставка</v>
      </c>
      <c r="O523" s="3">
        <f t="shared" si="44"/>
        <v>1313.73</v>
      </c>
      <c r="P523" s="5">
        <v>46274.5</v>
      </c>
      <c r="Q523" t="s">
        <v>36</v>
      </c>
      <c r="R523" s="2" t="s">
        <v>24</v>
      </c>
      <c r="S523">
        <v>31</v>
      </c>
      <c r="T523">
        <v>1</v>
      </c>
    </row>
    <row r="524" spans="1:20" x14ac:dyDescent="0.25">
      <c r="A524" t="s">
        <v>1625</v>
      </c>
      <c r="B524">
        <v>1</v>
      </c>
      <c r="C524" s="2" t="s">
        <v>1624</v>
      </c>
      <c r="D524" s="3">
        <v>28602</v>
      </c>
      <c r="E524" s="4">
        <v>16</v>
      </c>
      <c r="F524" t="s">
        <v>36</v>
      </c>
      <c r="G524" s="3">
        <f t="shared" si="40"/>
        <v>34050</v>
      </c>
      <c r="H524" s="3">
        <v>0</v>
      </c>
      <c r="I524" s="3">
        <f t="shared" si="41"/>
        <v>34050</v>
      </c>
      <c r="J524" s="2" t="s">
        <v>27</v>
      </c>
      <c r="K524" s="5">
        <v>46262.583333333343</v>
      </c>
      <c r="L524">
        <v>3</v>
      </c>
      <c r="M524" s="3">
        <f t="shared" si="42"/>
        <v>11350</v>
      </c>
      <c r="N524" t="str">
        <f t="shared" si="43"/>
        <v>ставка</v>
      </c>
      <c r="O524" s="3">
        <f t="shared" si="44"/>
        <v>667.65</v>
      </c>
      <c r="P524" s="5">
        <v>46265.5</v>
      </c>
      <c r="Q524" t="s">
        <v>36</v>
      </c>
      <c r="R524" s="2" t="s">
        <v>49</v>
      </c>
      <c r="S524">
        <v>35</v>
      </c>
      <c r="T524">
        <v>1</v>
      </c>
    </row>
    <row r="525" spans="1:20" ht="30" x14ac:dyDescent="0.25">
      <c r="A525" t="s">
        <v>1628</v>
      </c>
      <c r="B525">
        <v>1</v>
      </c>
      <c r="C525" s="2" t="s">
        <v>1629</v>
      </c>
      <c r="D525" s="3">
        <v>23502.5</v>
      </c>
      <c r="E525" s="4">
        <v>4</v>
      </c>
      <c r="F525" t="s">
        <v>55</v>
      </c>
      <c r="G525" s="3">
        <f t="shared" si="40"/>
        <v>24481.77</v>
      </c>
      <c r="H525" s="3">
        <v>0</v>
      </c>
      <c r="I525" s="3">
        <f t="shared" si="41"/>
        <v>24481.77</v>
      </c>
      <c r="J525" s="2" t="s">
        <v>27</v>
      </c>
      <c r="K525" s="5">
        <v>46218.583333333343</v>
      </c>
      <c r="L525">
        <v>3</v>
      </c>
      <c r="M525" s="3">
        <f t="shared" si="42"/>
        <v>8160.59</v>
      </c>
      <c r="N525" t="str">
        <f t="shared" si="43"/>
        <v>ставка</v>
      </c>
      <c r="O525" s="3">
        <f t="shared" si="44"/>
        <v>480.03</v>
      </c>
      <c r="P525" s="5">
        <v>46221.5</v>
      </c>
      <c r="Q525" t="s">
        <v>55</v>
      </c>
      <c r="R525" s="2" t="s">
        <v>33</v>
      </c>
      <c r="S525">
        <v>43</v>
      </c>
      <c r="T525">
        <v>1</v>
      </c>
    </row>
    <row r="526" spans="1:20" ht="30" x14ac:dyDescent="0.25">
      <c r="A526" t="s">
        <v>1630</v>
      </c>
      <c r="B526">
        <v>1</v>
      </c>
      <c r="C526" s="2" t="s">
        <v>1631</v>
      </c>
      <c r="D526" s="3">
        <v>66738</v>
      </c>
      <c r="E526" s="4">
        <v>16</v>
      </c>
      <c r="F526" t="s">
        <v>36</v>
      </c>
      <c r="G526" s="3">
        <f t="shared" si="40"/>
        <v>79450</v>
      </c>
      <c r="H526" s="3">
        <v>0</v>
      </c>
      <c r="I526" s="3">
        <f t="shared" si="41"/>
        <v>79450</v>
      </c>
      <c r="J526" s="2" t="s">
        <v>27</v>
      </c>
      <c r="K526" s="5">
        <v>46278.583333333343</v>
      </c>
      <c r="L526">
        <v>7</v>
      </c>
      <c r="M526" s="3">
        <f t="shared" si="42"/>
        <v>11350</v>
      </c>
      <c r="N526" t="str">
        <f t="shared" si="43"/>
        <v>ставка</v>
      </c>
      <c r="O526" s="3">
        <f t="shared" si="44"/>
        <v>1557.84</v>
      </c>
      <c r="P526" s="5">
        <v>46285.5</v>
      </c>
      <c r="Q526" t="s">
        <v>36</v>
      </c>
      <c r="R526" s="2" t="s">
        <v>40</v>
      </c>
      <c r="S526">
        <v>46</v>
      </c>
      <c r="T526">
        <v>1</v>
      </c>
    </row>
    <row r="527" spans="1:20" ht="30" x14ac:dyDescent="0.25">
      <c r="A527" t="s">
        <v>1632</v>
      </c>
      <c r="B527">
        <v>1</v>
      </c>
      <c r="C527" s="2" t="s">
        <v>1633</v>
      </c>
      <c r="D527" s="3">
        <v>9080</v>
      </c>
      <c r="E527" s="4">
        <v>20</v>
      </c>
      <c r="F527" t="s">
        <v>103</v>
      </c>
      <c r="G527" s="3">
        <f t="shared" si="40"/>
        <v>11350</v>
      </c>
      <c r="H527" s="3">
        <v>0</v>
      </c>
      <c r="I527" s="3">
        <f t="shared" si="41"/>
        <v>11350</v>
      </c>
      <c r="J527" s="2" t="s">
        <v>27</v>
      </c>
      <c r="K527" s="5">
        <v>46254.583333333343</v>
      </c>
      <c r="L527">
        <v>1</v>
      </c>
      <c r="M527" s="3">
        <f t="shared" si="42"/>
        <v>11350</v>
      </c>
      <c r="N527" t="str">
        <f t="shared" si="43"/>
        <v>ставка</v>
      </c>
      <c r="O527" s="3">
        <f t="shared" si="44"/>
        <v>222.55</v>
      </c>
      <c r="P527" s="5">
        <v>46255.5</v>
      </c>
      <c r="Q527" t="s">
        <v>103</v>
      </c>
      <c r="R527" s="2" t="s">
        <v>40</v>
      </c>
      <c r="S527">
        <v>26</v>
      </c>
      <c r="T527">
        <v>1</v>
      </c>
    </row>
    <row r="528" spans="1:20" ht="30" x14ac:dyDescent="0.25">
      <c r="A528" t="s">
        <v>1634</v>
      </c>
      <c r="B528">
        <v>1</v>
      </c>
      <c r="C528" s="2" t="s">
        <v>1635</v>
      </c>
      <c r="D528" s="3">
        <v>17056</v>
      </c>
      <c r="E528" s="4">
        <v>18</v>
      </c>
      <c r="F528" t="s">
        <v>147</v>
      </c>
      <c r="G528" s="3">
        <f t="shared" si="40"/>
        <v>20800</v>
      </c>
      <c r="H528" s="3">
        <v>0</v>
      </c>
      <c r="I528" s="3">
        <f t="shared" si="41"/>
        <v>20800</v>
      </c>
      <c r="J528" s="2" t="s">
        <v>27</v>
      </c>
      <c r="K528" s="5">
        <v>46295.583333333343</v>
      </c>
      <c r="L528">
        <v>2</v>
      </c>
      <c r="M528" s="3">
        <f t="shared" si="42"/>
        <v>10400</v>
      </c>
      <c r="N528" t="str">
        <f t="shared" si="43"/>
        <v>ставка</v>
      </c>
      <c r="O528" s="3">
        <f t="shared" si="44"/>
        <v>407.84</v>
      </c>
      <c r="P528" s="5">
        <v>46297.5</v>
      </c>
      <c r="Q528" t="s">
        <v>147</v>
      </c>
      <c r="R528" s="2" t="s">
        <v>40</v>
      </c>
      <c r="S528">
        <v>23</v>
      </c>
      <c r="T528">
        <v>1</v>
      </c>
    </row>
    <row r="529" spans="1:20" ht="30" x14ac:dyDescent="0.25">
      <c r="A529" t="s">
        <v>1636</v>
      </c>
      <c r="B529">
        <v>1</v>
      </c>
      <c r="C529" s="2" t="s">
        <v>1637</v>
      </c>
      <c r="D529" s="3">
        <v>9307</v>
      </c>
      <c r="E529" s="4">
        <v>18</v>
      </c>
      <c r="F529" t="s">
        <v>147</v>
      </c>
      <c r="G529" s="3">
        <f t="shared" si="40"/>
        <v>11350</v>
      </c>
      <c r="H529" s="3">
        <v>0</v>
      </c>
      <c r="I529" s="3">
        <f t="shared" si="41"/>
        <v>11350</v>
      </c>
      <c r="J529" s="2" t="s">
        <v>27</v>
      </c>
      <c r="K529" s="5">
        <v>46273.583333333343</v>
      </c>
      <c r="L529">
        <v>1</v>
      </c>
      <c r="M529" s="3">
        <f t="shared" si="42"/>
        <v>11350</v>
      </c>
      <c r="N529" t="str">
        <f t="shared" si="43"/>
        <v>ставка</v>
      </c>
      <c r="O529" s="3">
        <f t="shared" si="44"/>
        <v>222.55</v>
      </c>
      <c r="P529" s="5">
        <v>46274.5</v>
      </c>
      <c r="Q529" t="s">
        <v>147</v>
      </c>
      <c r="R529" s="2" t="s">
        <v>40</v>
      </c>
      <c r="S529">
        <v>32</v>
      </c>
      <c r="T529">
        <v>1</v>
      </c>
    </row>
    <row r="530" spans="1:20" ht="30" x14ac:dyDescent="0.25">
      <c r="A530" t="s">
        <v>1638</v>
      </c>
      <c r="B530">
        <v>1</v>
      </c>
      <c r="C530" s="2" t="s">
        <v>1637</v>
      </c>
      <c r="D530" s="3">
        <v>9307</v>
      </c>
      <c r="E530" s="4">
        <v>18</v>
      </c>
      <c r="F530" t="s">
        <v>147</v>
      </c>
      <c r="G530" s="3">
        <f t="shared" si="40"/>
        <v>11350</v>
      </c>
      <c r="H530" s="3">
        <v>0</v>
      </c>
      <c r="I530" s="3">
        <f t="shared" si="41"/>
        <v>11350</v>
      </c>
      <c r="J530" s="2" t="s">
        <v>27</v>
      </c>
      <c r="K530" s="5">
        <v>46274.583333333343</v>
      </c>
      <c r="L530">
        <v>1</v>
      </c>
      <c r="M530" s="3">
        <f t="shared" si="42"/>
        <v>11350</v>
      </c>
      <c r="N530" t="str">
        <f t="shared" si="43"/>
        <v>ставка</v>
      </c>
      <c r="O530" s="3">
        <f t="shared" si="44"/>
        <v>222.55</v>
      </c>
      <c r="P530" s="5">
        <v>46275.5</v>
      </c>
      <c r="Q530" t="s">
        <v>147</v>
      </c>
      <c r="R530" s="2" t="s">
        <v>40</v>
      </c>
      <c r="S530">
        <v>32</v>
      </c>
      <c r="T530">
        <v>1</v>
      </c>
    </row>
    <row r="531" spans="1:20" ht="30" x14ac:dyDescent="0.25">
      <c r="A531" t="s">
        <v>1639</v>
      </c>
      <c r="B531">
        <v>1</v>
      </c>
      <c r="C531" s="2" t="s">
        <v>1640</v>
      </c>
      <c r="D531" s="3">
        <v>53184.6</v>
      </c>
      <c r="E531" s="4">
        <v>4</v>
      </c>
      <c r="F531" t="s">
        <v>55</v>
      </c>
      <c r="G531" s="3">
        <f t="shared" si="40"/>
        <v>55400.63</v>
      </c>
      <c r="H531" s="3">
        <v>0</v>
      </c>
      <c r="I531" s="3">
        <f t="shared" si="41"/>
        <v>55400.63</v>
      </c>
      <c r="J531" s="2" t="s">
        <v>27</v>
      </c>
      <c r="K531" s="5">
        <v>46232.583333333343</v>
      </c>
      <c r="L531">
        <v>4</v>
      </c>
      <c r="M531" s="3">
        <f t="shared" si="42"/>
        <v>13850.157499999999</v>
      </c>
      <c r="N531" t="str">
        <f t="shared" si="43"/>
        <v>ставка</v>
      </c>
      <c r="O531" s="3">
        <f t="shared" si="44"/>
        <v>1086.29</v>
      </c>
      <c r="P531" s="5">
        <v>46236.5</v>
      </c>
      <c r="Q531" t="s">
        <v>55</v>
      </c>
      <c r="R531" s="2" t="s">
        <v>24</v>
      </c>
      <c r="S531">
        <v>31</v>
      </c>
      <c r="T531">
        <v>1</v>
      </c>
    </row>
    <row r="532" spans="1:20" ht="30" x14ac:dyDescent="0.25">
      <c r="A532" t="s">
        <v>1641</v>
      </c>
      <c r="B532">
        <v>1</v>
      </c>
      <c r="C532" s="2" t="s">
        <v>1642</v>
      </c>
      <c r="D532" s="3">
        <v>68085</v>
      </c>
      <c r="E532" s="4">
        <v>0</v>
      </c>
      <c r="F532" t="s">
        <v>245</v>
      </c>
      <c r="G532" s="3">
        <f t="shared" si="40"/>
        <v>68085</v>
      </c>
      <c r="H532" s="3">
        <v>0</v>
      </c>
      <c r="I532" s="3">
        <f t="shared" si="41"/>
        <v>68085</v>
      </c>
      <c r="J532" s="2" t="s">
        <v>27</v>
      </c>
      <c r="K532" s="5">
        <v>46278.583333333343</v>
      </c>
      <c r="L532">
        <v>6</v>
      </c>
      <c r="M532" s="3">
        <f t="shared" si="42"/>
        <v>11347.5</v>
      </c>
      <c r="N532" t="str">
        <f t="shared" si="43"/>
        <v>ставка</v>
      </c>
      <c r="O532" s="3">
        <f t="shared" si="44"/>
        <v>1335</v>
      </c>
      <c r="P532" s="5">
        <v>46284.5</v>
      </c>
      <c r="Q532" t="s">
        <v>245</v>
      </c>
      <c r="R532" s="2" t="s">
        <v>40</v>
      </c>
      <c r="S532">
        <v>26</v>
      </c>
      <c r="T532">
        <v>1</v>
      </c>
    </row>
    <row r="533" spans="1:20" ht="30" x14ac:dyDescent="0.25">
      <c r="A533" t="s">
        <v>1643</v>
      </c>
      <c r="B533">
        <v>1</v>
      </c>
      <c r="C533" s="2" t="s">
        <v>1644</v>
      </c>
      <c r="D533" s="3">
        <v>40200</v>
      </c>
      <c r="E533" s="4">
        <v>25</v>
      </c>
      <c r="F533" t="s">
        <v>32</v>
      </c>
      <c r="G533" s="3">
        <f t="shared" si="40"/>
        <v>53600</v>
      </c>
      <c r="H533" s="3">
        <v>0</v>
      </c>
      <c r="I533" s="3">
        <f t="shared" si="41"/>
        <v>53600</v>
      </c>
      <c r="J533" s="2" t="s">
        <v>27</v>
      </c>
      <c r="K533" s="5">
        <v>46287.583333333343</v>
      </c>
      <c r="L533">
        <v>4</v>
      </c>
      <c r="M533" s="3">
        <f t="shared" si="42"/>
        <v>13400</v>
      </c>
      <c r="N533" t="str">
        <f t="shared" si="43"/>
        <v>ставка</v>
      </c>
      <c r="O533" s="3">
        <f t="shared" si="44"/>
        <v>1050.98</v>
      </c>
      <c r="P533" s="5">
        <v>46291.5</v>
      </c>
      <c r="Q533" t="s">
        <v>32</v>
      </c>
      <c r="R533" s="2" t="s">
        <v>24</v>
      </c>
      <c r="S533">
        <v>31</v>
      </c>
      <c r="T533">
        <v>1</v>
      </c>
    </row>
    <row r="534" spans="1:20" ht="30" x14ac:dyDescent="0.25">
      <c r="A534" t="s">
        <v>1647</v>
      </c>
      <c r="B534">
        <v>1</v>
      </c>
      <c r="C534" s="2" t="s">
        <v>1648</v>
      </c>
      <c r="D534" s="3">
        <v>13350</v>
      </c>
      <c r="E534" s="4">
        <v>0</v>
      </c>
      <c r="F534" t="s">
        <v>23</v>
      </c>
      <c r="G534" s="3">
        <f t="shared" si="40"/>
        <v>13350</v>
      </c>
      <c r="H534" s="3">
        <v>0</v>
      </c>
      <c r="I534" s="3">
        <f t="shared" si="41"/>
        <v>13350</v>
      </c>
      <c r="J534" s="2" t="s">
        <v>27</v>
      </c>
      <c r="K534" s="5">
        <v>46204.583333333343</v>
      </c>
      <c r="L534">
        <v>1</v>
      </c>
      <c r="M534" s="3">
        <f t="shared" si="42"/>
        <v>13350</v>
      </c>
      <c r="N534" t="str">
        <f t="shared" si="43"/>
        <v>ставка</v>
      </c>
      <c r="O534" s="3">
        <f t="shared" si="44"/>
        <v>261.76</v>
      </c>
      <c r="P534" s="5">
        <v>46205.5</v>
      </c>
      <c r="Q534" t="s">
        <v>23</v>
      </c>
      <c r="R534" s="2" t="s">
        <v>40</v>
      </c>
      <c r="S534">
        <v>26</v>
      </c>
      <c r="T534">
        <v>1</v>
      </c>
    </row>
    <row r="535" spans="1:20" ht="30" x14ac:dyDescent="0.25">
      <c r="A535" t="s">
        <v>1649</v>
      </c>
      <c r="B535">
        <v>1</v>
      </c>
      <c r="C535" s="2" t="s">
        <v>1650</v>
      </c>
      <c r="D535" s="3">
        <v>13695</v>
      </c>
      <c r="E535" s="4">
        <v>17</v>
      </c>
      <c r="F535" t="s">
        <v>130</v>
      </c>
      <c r="G535" s="3">
        <f t="shared" si="40"/>
        <v>16500</v>
      </c>
      <c r="H535" s="3">
        <v>0</v>
      </c>
      <c r="I535" s="3">
        <f t="shared" si="41"/>
        <v>16500</v>
      </c>
      <c r="J535" s="2" t="s">
        <v>27</v>
      </c>
      <c r="K535" s="5">
        <v>46275.583333333343</v>
      </c>
      <c r="L535">
        <v>1</v>
      </c>
      <c r="M535" s="3">
        <f t="shared" si="42"/>
        <v>16500</v>
      </c>
      <c r="N535" t="str">
        <f t="shared" si="43"/>
        <v>ставка</v>
      </c>
      <c r="O535" s="3">
        <f t="shared" si="44"/>
        <v>323.52999999999997</v>
      </c>
      <c r="P535" s="5">
        <v>46276.5</v>
      </c>
      <c r="Q535" t="s">
        <v>130</v>
      </c>
      <c r="R535" s="2" t="s">
        <v>49</v>
      </c>
      <c r="S535">
        <v>11</v>
      </c>
      <c r="T535">
        <v>1</v>
      </c>
    </row>
    <row r="536" spans="1:20" ht="30" x14ac:dyDescent="0.25">
      <c r="A536" t="s">
        <v>1652</v>
      </c>
      <c r="B536">
        <v>1</v>
      </c>
      <c r="C536" s="2" t="s">
        <v>1653</v>
      </c>
      <c r="D536" s="3">
        <v>9080</v>
      </c>
      <c r="E536" s="4">
        <v>20</v>
      </c>
      <c r="F536" t="s">
        <v>48</v>
      </c>
      <c r="G536" s="3">
        <f t="shared" si="40"/>
        <v>11350</v>
      </c>
      <c r="H536" s="3">
        <v>2000</v>
      </c>
      <c r="I536" s="3">
        <f t="shared" si="41"/>
        <v>13350</v>
      </c>
      <c r="J536" s="2" t="s">
        <v>1654</v>
      </c>
      <c r="K536" s="5">
        <v>46215.583333333343</v>
      </c>
      <c r="L536">
        <v>1</v>
      </c>
      <c r="M536" s="3">
        <f t="shared" si="42"/>
        <v>13350</v>
      </c>
      <c r="N536" t="str">
        <f t="shared" si="43"/>
        <v>ставка</v>
      </c>
      <c r="O536" s="3">
        <f t="shared" si="44"/>
        <v>261.76</v>
      </c>
      <c r="P536" s="5">
        <v>46216.5</v>
      </c>
      <c r="Q536" t="s">
        <v>48</v>
      </c>
      <c r="R536" s="2" t="s">
        <v>40</v>
      </c>
      <c r="S536">
        <v>23</v>
      </c>
      <c r="T536">
        <v>1</v>
      </c>
    </row>
    <row r="537" spans="1:20" x14ac:dyDescent="0.25">
      <c r="A537" t="s">
        <v>1655</v>
      </c>
      <c r="B537">
        <v>1</v>
      </c>
      <c r="C537" s="2" t="s">
        <v>1656</v>
      </c>
      <c r="D537" s="3">
        <v>16500</v>
      </c>
      <c r="E537" s="4">
        <v>0</v>
      </c>
      <c r="F537" t="s">
        <v>23</v>
      </c>
      <c r="G537" s="3">
        <f t="shared" si="40"/>
        <v>16500</v>
      </c>
      <c r="H537" s="3">
        <v>0</v>
      </c>
      <c r="I537" s="3">
        <f t="shared" si="41"/>
        <v>16500</v>
      </c>
      <c r="J537" s="2" t="s">
        <v>27</v>
      </c>
      <c r="K537" s="5">
        <v>46220.583333333343</v>
      </c>
      <c r="L537">
        <v>1</v>
      </c>
      <c r="M537" s="3">
        <f t="shared" si="42"/>
        <v>16500</v>
      </c>
      <c r="N537" t="str">
        <f t="shared" si="43"/>
        <v>ставка</v>
      </c>
      <c r="O537" s="3">
        <f t="shared" si="44"/>
        <v>323.52999999999997</v>
      </c>
      <c r="P537" s="5">
        <v>46221.5</v>
      </c>
      <c r="Q537" t="s">
        <v>23</v>
      </c>
      <c r="R537" s="2" t="s">
        <v>49</v>
      </c>
      <c r="S537">
        <v>11</v>
      </c>
      <c r="T537">
        <v>1</v>
      </c>
    </row>
    <row r="538" spans="1:20" ht="30" x14ac:dyDescent="0.25">
      <c r="A538" t="s">
        <v>1663</v>
      </c>
      <c r="B538">
        <v>1</v>
      </c>
      <c r="C538" s="2" t="s">
        <v>1664</v>
      </c>
      <c r="D538" s="3">
        <v>33660</v>
      </c>
      <c r="E538" s="4">
        <v>0</v>
      </c>
      <c r="F538" t="s">
        <v>245</v>
      </c>
      <c r="G538" s="3">
        <f t="shared" si="40"/>
        <v>33660</v>
      </c>
      <c r="H538" s="3">
        <v>0</v>
      </c>
      <c r="I538" s="3">
        <f t="shared" si="41"/>
        <v>33660</v>
      </c>
      <c r="J538" s="2" t="s">
        <v>27</v>
      </c>
      <c r="K538" s="5">
        <v>46242.583333333343</v>
      </c>
      <c r="L538">
        <v>4</v>
      </c>
      <c r="M538" s="3">
        <f t="shared" si="42"/>
        <v>8415</v>
      </c>
      <c r="N538" t="str">
        <f t="shared" si="43"/>
        <v>ставка</v>
      </c>
      <c r="O538" s="3">
        <f t="shared" si="44"/>
        <v>660</v>
      </c>
      <c r="P538" s="5">
        <v>46246.5</v>
      </c>
      <c r="Q538" t="s">
        <v>245</v>
      </c>
      <c r="R538" s="2" t="s">
        <v>33</v>
      </c>
      <c r="S538">
        <v>41</v>
      </c>
      <c r="T538">
        <v>1</v>
      </c>
    </row>
    <row r="539" spans="1:20" ht="30" x14ac:dyDescent="0.25">
      <c r="A539" t="s">
        <v>1673</v>
      </c>
      <c r="B539">
        <v>1</v>
      </c>
      <c r="C539" s="2" t="s">
        <v>1674</v>
      </c>
      <c r="D539" s="3">
        <v>9647.5</v>
      </c>
      <c r="E539" s="4">
        <v>15</v>
      </c>
      <c r="F539" t="s">
        <v>487</v>
      </c>
      <c r="G539" s="3">
        <f t="shared" si="40"/>
        <v>11350</v>
      </c>
      <c r="H539" s="3">
        <v>0</v>
      </c>
      <c r="I539" s="3">
        <f t="shared" si="41"/>
        <v>11350</v>
      </c>
      <c r="J539" s="2" t="s">
        <v>27</v>
      </c>
      <c r="K539" s="5">
        <v>46288.583333333343</v>
      </c>
      <c r="L539">
        <v>1</v>
      </c>
      <c r="M539" s="3">
        <f t="shared" si="42"/>
        <v>11350</v>
      </c>
      <c r="N539" t="str">
        <f t="shared" si="43"/>
        <v>ставка</v>
      </c>
      <c r="O539" s="3">
        <f t="shared" si="44"/>
        <v>222.55</v>
      </c>
      <c r="P539" s="5">
        <v>46289.5</v>
      </c>
      <c r="Q539" t="s">
        <v>487</v>
      </c>
      <c r="R539" s="2" t="s">
        <v>40</v>
      </c>
      <c r="S539">
        <v>32</v>
      </c>
      <c r="T539">
        <v>1</v>
      </c>
    </row>
    <row r="540" spans="1:20" ht="30" x14ac:dyDescent="0.25">
      <c r="A540" t="s">
        <v>1675</v>
      </c>
      <c r="B540">
        <v>1</v>
      </c>
      <c r="C540" s="2" t="s">
        <v>1676</v>
      </c>
      <c r="D540" s="3">
        <v>29700</v>
      </c>
      <c r="E540" s="4">
        <v>0</v>
      </c>
      <c r="F540" t="s">
        <v>23</v>
      </c>
      <c r="G540" s="3">
        <f t="shared" si="40"/>
        <v>29700</v>
      </c>
      <c r="H540" s="3">
        <v>0</v>
      </c>
      <c r="I540" s="3">
        <f t="shared" si="41"/>
        <v>29700</v>
      </c>
      <c r="J540" s="2" t="s">
        <v>27</v>
      </c>
      <c r="K540" s="5">
        <v>46249.583333333343</v>
      </c>
      <c r="L540">
        <v>3</v>
      </c>
      <c r="M540" s="3">
        <f t="shared" si="42"/>
        <v>9900</v>
      </c>
      <c r="N540" t="str">
        <f t="shared" si="43"/>
        <v>ставка</v>
      </c>
      <c r="O540" s="3">
        <f t="shared" si="44"/>
        <v>582.35</v>
      </c>
      <c r="P540" s="5">
        <v>46252.5</v>
      </c>
      <c r="Q540" t="s">
        <v>23</v>
      </c>
      <c r="R540" s="2" t="s">
        <v>33</v>
      </c>
      <c r="S540">
        <v>45</v>
      </c>
      <c r="T540">
        <v>1</v>
      </c>
    </row>
    <row r="541" spans="1:20" ht="30" customHeight="1" x14ac:dyDescent="0.25">
      <c r="A541" t="s">
        <v>1677</v>
      </c>
      <c r="B541">
        <v>1</v>
      </c>
      <c r="C541" s="2" t="s">
        <v>1678</v>
      </c>
      <c r="D541" s="3">
        <v>45400</v>
      </c>
      <c r="E541" s="4">
        <v>20</v>
      </c>
      <c r="F541" t="s">
        <v>32</v>
      </c>
      <c r="G541" s="3">
        <f t="shared" si="40"/>
        <v>56750</v>
      </c>
      <c r="H541" s="3">
        <v>0</v>
      </c>
      <c r="I541" s="3">
        <f t="shared" si="41"/>
        <v>56750</v>
      </c>
      <c r="J541" s="2" t="s">
        <v>27</v>
      </c>
      <c r="K541" s="5">
        <v>46265.583333333343</v>
      </c>
      <c r="L541">
        <v>5</v>
      </c>
      <c r="M541" s="3">
        <f t="shared" si="42"/>
        <v>11350</v>
      </c>
      <c r="N541" t="str">
        <f t="shared" si="43"/>
        <v>ставка</v>
      </c>
      <c r="O541" s="3">
        <f t="shared" si="44"/>
        <v>1112.75</v>
      </c>
      <c r="P541" s="5">
        <v>46270.5</v>
      </c>
      <c r="Q541" t="s">
        <v>32</v>
      </c>
      <c r="R541" s="2" t="s">
        <v>49</v>
      </c>
      <c r="S541">
        <v>35</v>
      </c>
      <c r="T541">
        <v>1</v>
      </c>
    </row>
    <row r="542" spans="1:20" ht="30" x14ac:dyDescent="0.25">
      <c r="A542" t="s">
        <v>1690</v>
      </c>
      <c r="B542">
        <v>1</v>
      </c>
      <c r="C542" s="2" t="s">
        <v>1691</v>
      </c>
      <c r="D542" s="3">
        <v>22161</v>
      </c>
      <c r="E542" s="4">
        <v>17</v>
      </c>
      <c r="F542" t="s">
        <v>32</v>
      </c>
      <c r="G542" s="3">
        <f t="shared" si="40"/>
        <v>26700</v>
      </c>
      <c r="H542" s="3">
        <v>0</v>
      </c>
      <c r="I542" s="3">
        <f t="shared" si="41"/>
        <v>26700</v>
      </c>
      <c r="J542" s="2" t="s">
        <v>27</v>
      </c>
      <c r="K542" s="5">
        <v>46257.583333333343</v>
      </c>
      <c r="L542">
        <v>2</v>
      </c>
      <c r="M542" s="3">
        <f t="shared" si="42"/>
        <v>13350</v>
      </c>
      <c r="N542" t="str">
        <f t="shared" si="43"/>
        <v>ставка</v>
      </c>
      <c r="O542" s="3">
        <f t="shared" si="44"/>
        <v>523.53</v>
      </c>
      <c r="P542" s="5">
        <v>46259.5</v>
      </c>
      <c r="Q542" t="s">
        <v>32</v>
      </c>
      <c r="R542" s="2" t="s">
        <v>40</v>
      </c>
      <c r="S542">
        <v>22</v>
      </c>
      <c r="T542">
        <v>1</v>
      </c>
    </row>
    <row r="543" spans="1:20" ht="30" x14ac:dyDescent="0.25">
      <c r="A543" t="s">
        <v>1692</v>
      </c>
      <c r="B543">
        <v>1</v>
      </c>
      <c r="C543" s="2" t="s">
        <v>1693</v>
      </c>
      <c r="D543" s="3">
        <v>6557</v>
      </c>
      <c r="E543" s="4">
        <v>17</v>
      </c>
      <c r="F543" t="s">
        <v>32</v>
      </c>
      <c r="G543" s="3">
        <f t="shared" si="40"/>
        <v>7900</v>
      </c>
      <c r="H543" s="3">
        <v>0</v>
      </c>
      <c r="I543" s="3">
        <f t="shared" si="41"/>
        <v>7900</v>
      </c>
      <c r="J543" s="2" t="s">
        <v>27</v>
      </c>
      <c r="K543" s="5">
        <v>46257.583333333343</v>
      </c>
      <c r="L543">
        <v>1</v>
      </c>
      <c r="M543" s="3">
        <f t="shared" si="42"/>
        <v>7900</v>
      </c>
      <c r="N543" t="str">
        <f t="shared" si="43"/>
        <v>ставка</v>
      </c>
      <c r="O543" s="3">
        <f t="shared" si="44"/>
        <v>154.9</v>
      </c>
      <c r="P543" s="5">
        <v>46258.5</v>
      </c>
      <c r="Q543" t="s">
        <v>32</v>
      </c>
      <c r="R543" s="2" t="s">
        <v>33</v>
      </c>
      <c r="S543">
        <v>41</v>
      </c>
      <c r="T543">
        <v>1</v>
      </c>
    </row>
    <row r="544" spans="1:20" ht="30" x14ac:dyDescent="0.25">
      <c r="A544" t="s">
        <v>1694</v>
      </c>
      <c r="B544">
        <v>1</v>
      </c>
      <c r="C544" s="2" t="s">
        <v>1693</v>
      </c>
      <c r="D544" s="3">
        <v>6557</v>
      </c>
      <c r="E544" s="4">
        <v>17</v>
      </c>
      <c r="F544" t="s">
        <v>32</v>
      </c>
      <c r="G544" s="3">
        <f t="shared" si="40"/>
        <v>7900</v>
      </c>
      <c r="H544" s="3">
        <v>0</v>
      </c>
      <c r="I544" s="3">
        <f t="shared" si="41"/>
        <v>7900</v>
      </c>
      <c r="J544" s="2" t="s">
        <v>27</v>
      </c>
      <c r="K544" s="5">
        <v>46292.583333333343</v>
      </c>
      <c r="L544">
        <v>1</v>
      </c>
      <c r="M544" s="3">
        <f t="shared" si="42"/>
        <v>7900</v>
      </c>
      <c r="N544" t="str">
        <f t="shared" si="43"/>
        <v>ставка</v>
      </c>
      <c r="O544" s="3">
        <f t="shared" si="44"/>
        <v>154.9</v>
      </c>
      <c r="P544" s="5">
        <v>46293.5</v>
      </c>
      <c r="Q544" t="s">
        <v>32</v>
      </c>
      <c r="R544" s="2" t="s">
        <v>33</v>
      </c>
      <c r="S544">
        <v>43</v>
      </c>
      <c r="T544">
        <v>1</v>
      </c>
    </row>
    <row r="545" spans="1:20" ht="30" x14ac:dyDescent="0.25">
      <c r="A545" t="s">
        <v>1695</v>
      </c>
      <c r="B545">
        <v>1</v>
      </c>
      <c r="C545" s="2" t="s">
        <v>1696</v>
      </c>
      <c r="D545" s="3">
        <v>15840</v>
      </c>
      <c r="E545" s="4">
        <v>20</v>
      </c>
      <c r="F545" t="s">
        <v>32</v>
      </c>
      <c r="G545" s="3">
        <f t="shared" si="40"/>
        <v>19800</v>
      </c>
      <c r="H545" s="3">
        <v>0</v>
      </c>
      <c r="I545" s="3">
        <f t="shared" si="41"/>
        <v>19800</v>
      </c>
      <c r="J545" s="2" t="s">
        <v>27</v>
      </c>
      <c r="K545" s="5">
        <v>46242.583333333343</v>
      </c>
      <c r="L545">
        <v>2</v>
      </c>
      <c r="M545" s="3">
        <f t="shared" si="42"/>
        <v>9900</v>
      </c>
      <c r="N545" t="str">
        <f t="shared" si="43"/>
        <v>ставка</v>
      </c>
      <c r="O545" s="3">
        <f t="shared" si="44"/>
        <v>388.24</v>
      </c>
      <c r="P545" s="5">
        <v>46244.5</v>
      </c>
      <c r="Q545" t="s">
        <v>32</v>
      </c>
      <c r="R545" s="2" t="s">
        <v>33</v>
      </c>
      <c r="S545">
        <v>45</v>
      </c>
      <c r="T545">
        <v>1</v>
      </c>
    </row>
    <row r="546" spans="1:20" ht="30" x14ac:dyDescent="0.25">
      <c r="A546" t="s">
        <v>1697</v>
      </c>
      <c r="B546">
        <v>1</v>
      </c>
      <c r="C546" s="2" t="s">
        <v>1698</v>
      </c>
      <c r="D546" s="3">
        <v>14850</v>
      </c>
      <c r="E546" s="4">
        <v>25</v>
      </c>
      <c r="F546" t="s">
        <v>32</v>
      </c>
      <c r="G546" s="3">
        <f t="shared" si="40"/>
        <v>19800</v>
      </c>
      <c r="H546" s="3">
        <v>0</v>
      </c>
      <c r="I546" s="3">
        <f t="shared" si="41"/>
        <v>19800</v>
      </c>
      <c r="J546" s="2" t="s">
        <v>27</v>
      </c>
      <c r="K546" s="5">
        <v>46293.583333333343</v>
      </c>
      <c r="L546">
        <v>2</v>
      </c>
      <c r="M546" s="3">
        <f t="shared" si="42"/>
        <v>9900</v>
      </c>
      <c r="N546" t="str">
        <f t="shared" si="43"/>
        <v>ставка</v>
      </c>
      <c r="O546" s="3">
        <f t="shared" si="44"/>
        <v>388.24</v>
      </c>
      <c r="P546" s="5">
        <v>46295.5</v>
      </c>
      <c r="Q546" t="s">
        <v>32</v>
      </c>
      <c r="R546" s="2" t="s">
        <v>33</v>
      </c>
      <c r="S546">
        <v>41</v>
      </c>
      <c r="T546">
        <v>1</v>
      </c>
    </row>
    <row r="547" spans="1:20" ht="30" x14ac:dyDescent="0.25">
      <c r="A547" t="s">
        <v>1699</v>
      </c>
      <c r="B547">
        <v>1</v>
      </c>
      <c r="C547" s="2" t="s">
        <v>1700</v>
      </c>
      <c r="D547" s="3">
        <v>39600</v>
      </c>
      <c r="E547" s="4">
        <v>20</v>
      </c>
      <c r="F547" t="s">
        <v>173</v>
      </c>
      <c r="G547" s="3">
        <f t="shared" si="40"/>
        <v>49500</v>
      </c>
      <c r="H547" s="3">
        <v>0</v>
      </c>
      <c r="I547" s="3">
        <f t="shared" si="41"/>
        <v>49500</v>
      </c>
      <c r="J547" s="2" t="s">
        <v>27</v>
      </c>
      <c r="K547" s="5">
        <v>46266.583333333343</v>
      </c>
      <c r="L547">
        <v>3</v>
      </c>
      <c r="M547" s="3">
        <f t="shared" si="42"/>
        <v>16500</v>
      </c>
      <c r="N547" t="str">
        <f t="shared" si="43"/>
        <v>ставка</v>
      </c>
      <c r="O547" s="3">
        <f t="shared" si="44"/>
        <v>970.59</v>
      </c>
      <c r="P547" s="5">
        <v>46269.5</v>
      </c>
      <c r="Q547" t="s">
        <v>173</v>
      </c>
      <c r="R547" s="2" t="s">
        <v>49</v>
      </c>
      <c r="S547">
        <v>25</v>
      </c>
      <c r="T547">
        <v>1</v>
      </c>
    </row>
    <row r="548" spans="1:20" ht="30" x14ac:dyDescent="0.25">
      <c r="A548" t="s">
        <v>1701</v>
      </c>
      <c r="B548">
        <v>1</v>
      </c>
      <c r="C548" s="2" t="s">
        <v>1702</v>
      </c>
      <c r="D548" s="3">
        <v>10115</v>
      </c>
      <c r="E548" s="4">
        <v>15</v>
      </c>
      <c r="F548" t="s">
        <v>52</v>
      </c>
      <c r="G548" s="3">
        <f t="shared" si="40"/>
        <v>11900</v>
      </c>
      <c r="H548" s="3">
        <v>0</v>
      </c>
      <c r="I548" s="3">
        <f t="shared" si="41"/>
        <v>11900</v>
      </c>
      <c r="J548" s="2"/>
      <c r="K548" s="5">
        <v>46221.583333333343</v>
      </c>
      <c r="L548">
        <v>1</v>
      </c>
      <c r="M548" s="3">
        <f t="shared" si="42"/>
        <v>11900</v>
      </c>
      <c r="N548" t="str">
        <f t="shared" si="43"/>
        <v>ставка</v>
      </c>
      <c r="O548" s="3">
        <f t="shared" si="44"/>
        <v>233.33</v>
      </c>
      <c r="P548" s="5">
        <v>46222.5</v>
      </c>
      <c r="Q548" t="s">
        <v>52</v>
      </c>
      <c r="R548" s="2" t="s">
        <v>24</v>
      </c>
      <c r="S548">
        <v>31</v>
      </c>
      <c r="T548">
        <v>1</v>
      </c>
    </row>
    <row r="549" spans="1:20" ht="30" x14ac:dyDescent="0.25">
      <c r="A549" t="s">
        <v>1703</v>
      </c>
      <c r="B549">
        <v>1</v>
      </c>
      <c r="C549" s="2" t="s">
        <v>1704</v>
      </c>
      <c r="D549" s="3">
        <v>66000</v>
      </c>
      <c r="E549" s="4">
        <v>20</v>
      </c>
      <c r="F549" t="s">
        <v>103</v>
      </c>
      <c r="G549" s="3">
        <f t="shared" si="40"/>
        <v>82500</v>
      </c>
      <c r="H549" s="3">
        <v>8250</v>
      </c>
      <c r="I549" s="3">
        <f t="shared" si="41"/>
        <v>90750</v>
      </c>
      <c r="J549" s="2" t="s">
        <v>1705</v>
      </c>
      <c r="K549" s="5">
        <v>46223.583333333343</v>
      </c>
      <c r="L549">
        <v>5</v>
      </c>
      <c r="M549" s="3">
        <f t="shared" si="42"/>
        <v>18150</v>
      </c>
      <c r="N549" t="str">
        <f t="shared" si="43"/>
        <v>ставка</v>
      </c>
      <c r="O549" s="3">
        <f t="shared" si="44"/>
        <v>1779.41</v>
      </c>
      <c r="P549" s="5">
        <v>46228.75</v>
      </c>
      <c r="Q549" t="s">
        <v>103</v>
      </c>
      <c r="R549" s="2" t="s">
        <v>49</v>
      </c>
      <c r="S549">
        <v>35</v>
      </c>
      <c r="T549">
        <v>1</v>
      </c>
    </row>
    <row r="550" spans="1:20" ht="30" x14ac:dyDescent="0.25">
      <c r="A550" t="s">
        <v>1706</v>
      </c>
      <c r="B550">
        <v>1</v>
      </c>
      <c r="C550" s="2" t="s">
        <v>1707</v>
      </c>
      <c r="D550" s="3">
        <v>32752.5</v>
      </c>
      <c r="E550" s="4">
        <v>4</v>
      </c>
      <c r="F550" t="s">
        <v>55</v>
      </c>
      <c r="G550" s="3">
        <f t="shared" si="40"/>
        <v>34117.19</v>
      </c>
      <c r="H550" s="3">
        <v>300</v>
      </c>
      <c r="I550" s="3">
        <f t="shared" si="41"/>
        <v>34417.19</v>
      </c>
      <c r="J550" s="2" t="s">
        <v>1159</v>
      </c>
      <c r="K550" s="5">
        <v>46250.583333333343</v>
      </c>
      <c r="L550">
        <v>2</v>
      </c>
      <c r="M550" s="3">
        <f t="shared" si="42"/>
        <v>17208.595000000001</v>
      </c>
      <c r="N550" t="str">
        <f t="shared" si="43"/>
        <v>ставка</v>
      </c>
      <c r="O550" s="3">
        <f t="shared" si="44"/>
        <v>674.85</v>
      </c>
      <c r="P550" s="5">
        <v>46252.5</v>
      </c>
      <c r="Q550" t="s">
        <v>55</v>
      </c>
      <c r="R550" s="2" t="s">
        <v>49</v>
      </c>
      <c r="S550">
        <v>35</v>
      </c>
      <c r="T550">
        <v>1</v>
      </c>
    </row>
    <row r="551" spans="1:20" ht="30" x14ac:dyDescent="0.25">
      <c r="A551" t="s">
        <v>1708</v>
      </c>
      <c r="B551">
        <v>1</v>
      </c>
      <c r="C551" s="2" t="s">
        <v>1709</v>
      </c>
      <c r="D551" s="3">
        <v>19635</v>
      </c>
      <c r="E551" s="4">
        <v>15</v>
      </c>
      <c r="F551" t="s">
        <v>168</v>
      </c>
      <c r="G551" s="3">
        <f t="shared" si="40"/>
        <v>23100</v>
      </c>
      <c r="H551" s="3">
        <v>0</v>
      </c>
      <c r="I551" s="3">
        <f t="shared" si="41"/>
        <v>23100</v>
      </c>
      <c r="J551" s="2" t="s">
        <v>27</v>
      </c>
      <c r="K551" s="5">
        <v>46280.583333333343</v>
      </c>
      <c r="L551">
        <v>3</v>
      </c>
      <c r="M551" s="3">
        <f t="shared" si="42"/>
        <v>7700</v>
      </c>
      <c r="N551" t="str">
        <f t="shared" si="43"/>
        <v>ставка</v>
      </c>
      <c r="O551" s="3">
        <f t="shared" si="44"/>
        <v>452.94</v>
      </c>
      <c r="P551" s="5">
        <v>46283.5</v>
      </c>
      <c r="Q551" t="s">
        <v>168</v>
      </c>
      <c r="R551" s="2" t="s">
        <v>58</v>
      </c>
      <c r="S551">
        <v>24</v>
      </c>
      <c r="T551">
        <v>1</v>
      </c>
    </row>
    <row r="552" spans="1:20" ht="30" x14ac:dyDescent="0.25">
      <c r="A552" t="s">
        <v>1715</v>
      </c>
      <c r="B552">
        <v>1</v>
      </c>
      <c r="C552" s="2" t="s">
        <v>1716</v>
      </c>
      <c r="D552" s="3">
        <v>20025</v>
      </c>
      <c r="E552" s="4">
        <v>25</v>
      </c>
      <c r="F552" t="s">
        <v>32</v>
      </c>
      <c r="G552" s="3">
        <f t="shared" si="40"/>
        <v>26700</v>
      </c>
      <c r="H552" s="3">
        <v>0</v>
      </c>
      <c r="I552" s="3">
        <f t="shared" si="41"/>
        <v>26700</v>
      </c>
      <c r="J552" s="2" t="s">
        <v>27</v>
      </c>
      <c r="K552" s="5">
        <v>46287.583333333343</v>
      </c>
      <c r="L552">
        <v>2</v>
      </c>
      <c r="M552" s="3">
        <f t="shared" si="42"/>
        <v>13350</v>
      </c>
      <c r="N552" t="str">
        <f t="shared" si="43"/>
        <v>ставка</v>
      </c>
      <c r="O552" s="3">
        <f t="shared" si="44"/>
        <v>523.53</v>
      </c>
      <c r="P552" s="5">
        <v>46289.5</v>
      </c>
      <c r="Q552" t="s">
        <v>32</v>
      </c>
      <c r="R552" s="2" t="s">
        <v>40</v>
      </c>
      <c r="S552">
        <v>22</v>
      </c>
      <c r="T552">
        <v>1</v>
      </c>
    </row>
    <row r="553" spans="1:20" ht="30" x14ac:dyDescent="0.25">
      <c r="A553" t="s">
        <v>1717</v>
      </c>
      <c r="B553">
        <v>1</v>
      </c>
      <c r="C553" s="2" t="s">
        <v>1718</v>
      </c>
      <c r="D553" s="3">
        <v>11390</v>
      </c>
      <c r="E553" s="4">
        <v>15</v>
      </c>
      <c r="F553" t="s">
        <v>36</v>
      </c>
      <c r="G553" s="3">
        <f t="shared" si="40"/>
        <v>13400</v>
      </c>
      <c r="H553" s="3">
        <v>0</v>
      </c>
      <c r="I553" s="3">
        <f t="shared" si="41"/>
        <v>13400</v>
      </c>
      <c r="J553" s="2" t="s">
        <v>27</v>
      </c>
      <c r="K553" s="5">
        <v>46223.583333333343</v>
      </c>
      <c r="L553">
        <v>1</v>
      </c>
      <c r="M553" s="3">
        <f t="shared" si="42"/>
        <v>13400</v>
      </c>
      <c r="N553" t="str">
        <f t="shared" si="43"/>
        <v>ставка</v>
      </c>
      <c r="O553" s="3">
        <f t="shared" si="44"/>
        <v>262.75</v>
      </c>
      <c r="P553" s="5">
        <v>46224.5</v>
      </c>
      <c r="Q553" t="s">
        <v>36</v>
      </c>
      <c r="R553" s="2" t="s">
        <v>24</v>
      </c>
      <c r="S553">
        <v>21</v>
      </c>
      <c r="T553">
        <v>1</v>
      </c>
    </row>
    <row r="554" spans="1:20" ht="30" x14ac:dyDescent="0.25">
      <c r="A554" t="s">
        <v>1721</v>
      </c>
      <c r="B554">
        <v>1</v>
      </c>
      <c r="C554" s="2" t="s">
        <v>1720</v>
      </c>
      <c r="D554" s="3">
        <v>6930</v>
      </c>
      <c r="E554" s="4">
        <v>0</v>
      </c>
      <c r="F554" t="s">
        <v>23</v>
      </c>
      <c r="G554" s="3">
        <f t="shared" si="40"/>
        <v>6930</v>
      </c>
      <c r="H554" s="3">
        <v>0</v>
      </c>
      <c r="I554" s="3">
        <f t="shared" si="41"/>
        <v>6930</v>
      </c>
      <c r="J554" s="2" t="s">
        <v>27</v>
      </c>
      <c r="K554" s="5">
        <v>46244.583333333343</v>
      </c>
      <c r="L554">
        <v>1</v>
      </c>
      <c r="M554" s="3">
        <f t="shared" si="42"/>
        <v>6930</v>
      </c>
      <c r="N554" t="str">
        <f t="shared" si="43"/>
        <v>ставка</v>
      </c>
      <c r="O554" s="3">
        <f t="shared" si="44"/>
        <v>135.88</v>
      </c>
      <c r="P554" s="5">
        <v>46245.5</v>
      </c>
      <c r="Q554" t="s">
        <v>23</v>
      </c>
      <c r="R554" s="2" t="s">
        <v>58</v>
      </c>
      <c r="S554">
        <v>34</v>
      </c>
      <c r="T554">
        <v>1</v>
      </c>
    </row>
    <row r="555" spans="1:20" ht="30" x14ac:dyDescent="0.25">
      <c r="A555" t="s">
        <v>1722</v>
      </c>
      <c r="B555">
        <v>1</v>
      </c>
      <c r="C555" s="2" t="s">
        <v>1720</v>
      </c>
      <c r="D555" s="3">
        <v>26180</v>
      </c>
      <c r="E555" s="4">
        <v>16</v>
      </c>
      <c r="F555" t="s">
        <v>36</v>
      </c>
      <c r="G555" s="3">
        <f t="shared" si="40"/>
        <v>31166.67</v>
      </c>
      <c r="H555" s="3">
        <v>0</v>
      </c>
      <c r="I555" s="3">
        <f t="shared" si="41"/>
        <v>31166.67</v>
      </c>
      <c r="J555" s="2" t="s">
        <v>27</v>
      </c>
      <c r="K555" s="5">
        <v>46235.583333333343</v>
      </c>
      <c r="L555">
        <v>4</v>
      </c>
      <c r="M555" s="3">
        <f t="shared" si="42"/>
        <v>7791.6674999999996</v>
      </c>
      <c r="N555" t="str">
        <f t="shared" si="43"/>
        <v>ставка</v>
      </c>
      <c r="O555" s="3">
        <f t="shared" si="44"/>
        <v>611.11</v>
      </c>
      <c r="P555" s="5">
        <v>46239.5</v>
      </c>
      <c r="Q555" t="s">
        <v>36</v>
      </c>
      <c r="R555" s="2" t="s">
        <v>58</v>
      </c>
      <c r="S555">
        <v>34</v>
      </c>
      <c r="T555">
        <v>1</v>
      </c>
    </row>
    <row r="556" spans="1:20" x14ac:dyDescent="0.25">
      <c r="A556" t="s">
        <v>1725</v>
      </c>
      <c r="B556">
        <v>1</v>
      </c>
      <c r="C556" s="2" t="s">
        <v>1726</v>
      </c>
      <c r="D556" s="3">
        <v>28050</v>
      </c>
      <c r="E556" s="4">
        <v>15</v>
      </c>
      <c r="F556" t="s">
        <v>52</v>
      </c>
      <c r="G556" s="3">
        <f t="shared" si="40"/>
        <v>33000</v>
      </c>
      <c r="H556" s="3">
        <v>0</v>
      </c>
      <c r="I556" s="3">
        <f t="shared" si="41"/>
        <v>33000</v>
      </c>
      <c r="J556" s="2" t="s">
        <v>27</v>
      </c>
      <c r="K556" s="5">
        <v>46279.583333333343</v>
      </c>
      <c r="L556">
        <v>2</v>
      </c>
      <c r="M556" s="3">
        <f t="shared" si="42"/>
        <v>16500</v>
      </c>
      <c r="N556" t="str">
        <f t="shared" si="43"/>
        <v>ставка</v>
      </c>
      <c r="O556" s="3">
        <f t="shared" si="44"/>
        <v>647.05999999999995</v>
      </c>
      <c r="P556" s="5">
        <v>46281.5</v>
      </c>
      <c r="Q556" t="s">
        <v>52</v>
      </c>
      <c r="R556" s="2" t="s">
        <v>49</v>
      </c>
      <c r="S556">
        <v>35</v>
      </c>
      <c r="T556">
        <v>1</v>
      </c>
    </row>
    <row r="557" spans="1:20" ht="30" x14ac:dyDescent="0.25">
      <c r="A557" t="s">
        <v>1727</v>
      </c>
      <c r="B557">
        <v>1</v>
      </c>
      <c r="C557" s="2" t="s">
        <v>1728</v>
      </c>
      <c r="D557" s="3">
        <v>11214</v>
      </c>
      <c r="E557" s="4">
        <v>16</v>
      </c>
      <c r="F557" t="s">
        <v>36</v>
      </c>
      <c r="G557" s="3">
        <f t="shared" si="40"/>
        <v>13350</v>
      </c>
      <c r="H557" s="3">
        <v>0</v>
      </c>
      <c r="I557" s="3">
        <f t="shared" si="41"/>
        <v>13350</v>
      </c>
      <c r="J557" s="2" t="s">
        <v>27</v>
      </c>
      <c r="K557" s="5">
        <v>46277.583333333343</v>
      </c>
      <c r="L557">
        <v>1</v>
      </c>
      <c r="M557" s="3">
        <f t="shared" si="42"/>
        <v>13350</v>
      </c>
      <c r="N557" t="str">
        <f t="shared" si="43"/>
        <v>ставка</v>
      </c>
      <c r="O557" s="3">
        <f t="shared" si="44"/>
        <v>261.76</v>
      </c>
      <c r="P557" s="5">
        <v>46278.5</v>
      </c>
      <c r="Q557" t="s">
        <v>36</v>
      </c>
      <c r="R557" s="2" t="s">
        <v>40</v>
      </c>
      <c r="S557">
        <v>44</v>
      </c>
      <c r="T557">
        <v>1</v>
      </c>
    </row>
    <row r="558" spans="1:20" x14ac:dyDescent="0.25">
      <c r="A558" t="s">
        <v>1736</v>
      </c>
      <c r="B558">
        <v>1</v>
      </c>
      <c r="C558" s="2" t="s">
        <v>1730</v>
      </c>
      <c r="D558" s="3">
        <v>14850</v>
      </c>
      <c r="E558" s="4">
        <v>0</v>
      </c>
      <c r="F558" t="s">
        <v>23</v>
      </c>
      <c r="G558" s="3">
        <f t="shared" si="40"/>
        <v>14850</v>
      </c>
      <c r="H558" s="3">
        <v>0</v>
      </c>
      <c r="I558" s="3">
        <f t="shared" si="41"/>
        <v>14850</v>
      </c>
      <c r="J558" s="2" t="s">
        <v>27</v>
      </c>
      <c r="K558" s="5">
        <v>46242.583333333343</v>
      </c>
      <c r="L558">
        <v>1</v>
      </c>
      <c r="M558" s="3">
        <f t="shared" si="42"/>
        <v>14850</v>
      </c>
      <c r="N558" t="str">
        <f t="shared" si="43"/>
        <v>ставка</v>
      </c>
      <c r="O558" s="3">
        <f t="shared" si="44"/>
        <v>291.18</v>
      </c>
      <c r="P558" s="5">
        <v>46243.5</v>
      </c>
      <c r="Q558" t="s">
        <v>23</v>
      </c>
      <c r="R558" s="2" t="s">
        <v>49</v>
      </c>
      <c r="S558">
        <v>35</v>
      </c>
      <c r="T558">
        <v>1</v>
      </c>
    </row>
    <row r="559" spans="1:20" ht="30" x14ac:dyDescent="0.25">
      <c r="A559" t="s">
        <v>1737</v>
      </c>
      <c r="B559">
        <v>1</v>
      </c>
      <c r="C559" s="2" t="s">
        <v>1730</v>
      </c>
      <c r="D559" s="3">
        <v>12015</v>
      </c>
      <c r="E559" s="4">
        <v>0</v>
      </c>
      <c r="F559" t="s">
        <v>23</v>
      </c>
      <c r="G559" s="3">
        <f t="shared" si="40"/>
        <v>12015</v>
      </c>
      <c r="H559" s="3">
        <v>0</v>
      </c>
      <c r="I559" s="3">
        <f t="shared" si="41"/>
        <v>12015</v>
      </c>
      <c r="J559" s="2" t="s">
        <v>27</v>
      </c>
      <c r="K559" s="5">
        <v>46248.583333333343</v>
      </c>
      <c r="L559">
        <v>1</v>
      </c>
      <c r="M559" s="3">
        <f t="shared" si="42"/>
        <v>12015</v>
      </c>
      <c r="N559" t="str">
        <f t="shared" si="43"/>
        <v>ставка</v>
      </c>
      <c r="O559" s="3">
        <f t="shared" si="44"/>
        <v>235.59</v>
      </c>
      <c r="P559" s="5">
        <v>46249.5</v>
      </c>
      <c r="Q559" t="s">
        <v>23</v>
      </c>
      <c r="R559" s="2" t="s">
        <v>40</v>
      </c>
      <c r="S559">
        <v>32</v>
      </c>
      <c r="T559">
        <v>1</v>
      </c>
    </row>
    <row r="560" spans="1:20" ht="30" x14ac:dyDescent="0.25">
      <c r="A560" t="s">
        <v>1740</v>
      </c>
      <c r="B560">
        <v>1</v>
      </c>
      <c r="C560" s="2" t="s">
        <v>1741</v>
      </c>
      <c r="D560" s="3">
        <v>45390</v>
      </c>
      <c r="E560" s="4">
        <v>0</v>
      </c>
      <c r="F560" t="s">
        <v>180</v>
      </c>
      <c r="G560" s="3">
        <f t="shared" si="40"/>
        <v>45390</v>
      </c>
      <c r="H560" s="3">
        <v>0</v>
      </c>
      <c r="I560" s="3">
        <f t="shared" si="41"/>
        <v>45390</v>
      </c>
      <c r="J560" s="2" t="s">
        <v>181</v>
      </c>
      <c r="K560" s="5">
        <v>46266.583333333343</v>
      </c>
      <c r="L560">
        <v>4</v>
      </c>
      <c r="M560" s="3">
        <f t="shared" si="42"/>
        <v>11347.5</v>
      </c>
      <c r="N560" t="str">
        <f t="shared" si="43"/>
        <v>ставка</v>
      </c>
      <c r="O560" s="3">
        <f t="shared" si="44"/>
        <v>890</v>
      </c>
      <c r="P560" s="5">
        <v>46270.5</v>
      </c>
      <c r="Q560" t="s">
        <v>180</v>
      </c>
      <c r="R560" s="2" t="s">
        <v>40</v>
      </c>
      <c r="S560">
        <v>26</v>
      </c>
      <c r="T560">
        <v>1</v>
      </c>
    </row>
    <row r="561" spans="1:20" ht="30" x14ac:dyDescent="0.25">
      <c r="A561" t="s">
        <v>1742</v>
      </c>
      <c r="B561">
        <v>1</v>
      </c>
      <c r="C561" s="2" t="s">
        <v>1743</v>
      </c>
      <c r="D561" s="3">
        <v>12015</v>
      </c>
      <c r="E561" s="4">
        <v>0</v>
      </c>
      <c r="F561" t="s">
        <v>23</v>
      </c>
      <c r="G561" s="3">
        <f t="shared" si="40"/>
        <v>12015</v>
      </c>
      <c r="H561" s="3">
        <v>0</v>
      </c>
      <c r="I561" s="3">
        <f t="shared" si="41"/>
        <v>12015</v>
      </c>
      <c r="J561" s="2" t="s">
        <v>27</v>
      </c>
      <c r="K561" s="5">
        <v>46264.583333333343</v>
      </c>
      <c r="L561">
        <v>1</v>
      </c>
      <c r="M561" s="3">
        <f t="shared" si="42"/>
        <v>12015</v>
      </c>
      <c r="N561" t="str">
        <f t="shared" si="43"/>
        <v>ставка</v>
      </c>
      <c r="O561" s="3">
        <f t="shared" si="44"/>
        <v>235.59</v>
      </c>
      <c r="P561" s="5">
        <v>46265.5</v>
      </c>
      <c r="Q561" t="s">
        <v>23</v>
      </c>
      <c r="R561" s="2" t="s">
        <v>40</v>
      </c>
      <c r="S561">
        <v>26</v>
      </c>
      <c r="T561">
        <v>1</v>
      </c>
    </row>
    <row r="562" spans="1:20" ht="30" x14ac:dyDescent="0.25">
      <c r="A562" t="s">
        <v>700</v>
      </c>
      <c r="B562">
        <v>1</v>
      </c>
      <c r="C562" s="2" t="s">
        <v>1746</v>
      </c>
      <c r="D562" s="3">
        <v>35112</v>
      </c>
      <c r="E562" s="4">
        <v>5</v>
      </c>
      <c r="F562" t="s">
        <v>32</v>
      </c>
      <c r="G562" s="3">
        <f t="shared" si="40"/>
        <v>36960</v>
      </c>
      <c r="H562" s="3">
        <v>0</v>
      </c>
      <c r="I562" s="3">
        <f t="shared" si="41"/>
        <v>36960</v>
      </c>
      <c r="J562" s="2" t="s">
        <v>27</v>
      </c>
      <c r="K562" s="5">
        <v>46224.583333333343</v>
      </c>
      <c r="L562">
        <v>3</v>
      </c>
      <c r="M562" s="3">
        <f t="shared" si="42"/>
        <v>12320</v>
      </c>
      <c r="N562" t="str">
        <f t="shared" si="43"/>
        <v>ставка</v>
      </c>
      <c r="O562" s="3">
        <f t="shared" si="44"/>
        <v>724.71</v>
      </c>
      <c r="P562" s="5">
        <v>46227.5</v>
      </c>
      <c r="Q562" t="s">
        <v>32</v>
      </c>
      <c r="R562" s="2" t="s">
        <v>24</v>
      </c>
      <c r="S562">
        <v>31</v>
      </c>
      <c r="T562">
        <v>1</v>
      </c>
    </row>
    <row r="563" spans="1:20" ht="30" x14ac:dyDescent="0.25">
      <c r="A563" t="s">
        <v>1747</v>
      </c>
      <c r="B563">
        <v>1</v>
      </c>
      <c r="C563" s="2" t="s">
        <v>1748</v>
      </c>
      <c r="D563" s="3">
        <v>17360</v>
      </c>
      <c r="E563" s="4">
        <v>20</v>
      </c>
      <c r="F563" t="s">
        <v>103</v>
      </c>
      <c r="G563" s="3">
        <f t="shared" si="40"/>
        <v>21700</v>
      </c>
      <c r="H563" s="3">
        <v>4000</v>
      </c>
      <c r="I563" s="3">
        <f t="shared" si="41"/>
        <v>25700</v>
      </c>
      <c r="J563" s="2" t="s">
        <v>563</v>
      </c>
      <c r="K563" s="5">
        <v>46213.583333333343</v>
      </c>
      <c r="L563">
        <v>2</v>
      </c>
      <c r="M563" s="3">
        <f t="shared" si="42"/>
        <v>12850</v>
      </c>
      <c r="N563" t="str">
        <f t="shared" si="43"/>
        <v>ставка</v>
      </c>
      <c r="O563" s="3">
        <f t="shared" si="44"/>
        <v>503.92</v>
      </c>
      <c r="P563" s="5">
        <v>46215.5</v>
      </c>
      <c r="Q563" t="s">
        <v>103</v>
      </c>
      <c r="R563" s="2" t="s">
        <v>40</v>
      </c>
      <c r="S563">
        <v>32</v>
      </c>
      <c r="T563">
        <v>1</v>
      </c>
    </row>
    <row r="564" spans="1:20" ht="30" x14ac:dyDescent="0.25">
      <c r="A564" t="s">
        <v>1751</v>
      </c>
      <c r="B564">
        <v>1</v>
      </c>
      <c r="C564" s="2" t="s">
        <v>1752</v>
      </c>
      <c r="D564" s="3">
        <v>13530</v>
      </c>
      <c r="E564" s="4">
        <v>0</v>
      </c>
      <c r="F564" t="s">
        <v>23</v>
      </c>
      <c r="G564" s="3">
        <f t="shared" si="40"/>
        <v>13530</v>
      </c>
      <c r="H564" s="3">
        <v>0</v>
      </c>
      <c r="I564" s="3">
        <f t="shared" si="41"/>
        <v>13530</v>
      </c>
      <c r="J564" s="2" t="s">
        <v>27</v>
      </c>
      <c r="K564" s="5">
        <v>46289.583333333343</v>
      </c>
      <c r="L564">
        <v>1</v>
      </c>
      <c r="M564" s="3">
        <f t="shared" si="42"/>
        <v>13530</v>
      </c>
      <c r="N564" t="str">
        <f t="shared" si="43"/>
        <v>ставка</v>
      </c>
      <c r="O564" s="3">
        <f t="shared" si="44"/>
        <v>265.29000000000002</v>
      </c>
      <c r="P564" s="5">
        <v>46290.5</v>
      </c>
      <c r="Q564" t="s">
        <v>23</v>
      </c>
      <c r="R564" s="2" t="s">
        <v>49</v>
      </c>
      <c r="S564">
        <v>35</v>
      </c>
      <c r="T564">
        <v>1</v>
      </c>
    </row>
    <row r="565" spans="1:20" ht="30" x14ac:dyDescent="0.25">
      <c r="A565" t="s">
        <v>1755</v>
      </c>
      <c r="B565">
        <v>1</v>
      </c>
      <c r="C565" s="2" t="s">
        <v>1756</v>
      </c>
      <c r="D565" s="3">
        <v>26400</v>
      </c>
      <c r="E565" s="4">
        <v>20</v>
      </c>
      <c r="F565" t="s">
        <v>48</v>
      </c>
      <c r="G565" s="3">
        <f t="shared" si="40"/>
        <v>33000</v>
      </c>
      <c r="H565" s="3">
        <v>0</v>
      </c>
      <c r="I565" s="3">
        <f t="shared" si="41"/>
        <v>33000</v>
      </c>
      <c r="J565" s="2" t="s">
        <v>27</v>
      </c>
      <c r="K565" s="5">
        <v>46219.583333333343</v>
      </c>
      <c r="L565">
        <v>2</v>
      </c>
      <c r="M565" s="3">
        <f t="shared" si="42"/>
        <v>16500</v>
      </c>
      <c r="N565" t="str">
        <f t="shared" si="43"/>
        <v>ставка</v>
      </c>
      <c r="O565" s="3">
        <f t="shared" si="44"/>
        <v>647.05999999999995</v>
      </c>
      <c r="P565" s="5">
        <v>46221.5</v>
      </c>
      <c r="Q565" t="s">
        <v>48</v>
      </c>
      <c r="R565" s="2" t="s">
        <v>49</v>
      </c>
      <c r="S565">
        <v>35</v>
      </c>
      <c r="T565">
        <v>1</v>
      </c>
    </row>
    <row r="566" spans="1:20" ht="30" x14ac:dyDescent="0.25">
      <c r="A566" t="s">
        <v>1757</v>
      </c>
      <c r="B566">
        <v>1</v>
      </c>
      <c r="C566" s="2" t="s">
        <v>1758</v>
      </c>
      <c r="D566" s="3">
        <v>20100</v>
      </c>
      <c r="E566" s="4">
        <v>25</v>
      </c>
      <c r="F566" t="s">
        <v>32</v>
      </c>
      <c r="G566" s="3">
        <f t="shared" si="40"/>
        <v>26800</v>
      </c>
      <c r="H566" s="3">
        <v>0</v>
      </c>
      <c r="I566" s="3">
        <f t="shared" si="41"/>
        <v>26800</v>
      </c>
      <c r="J566" s="2" t="s">
        <v>27</v>
      </c>
      <c r="K566" s="5">
        <v>46274.583333333343</v>
      </c>
      <c r="L566">
        <v>2</v>
      </c>
      <c r="M566" s="3">
        <f t="shared" si="42"/>
        <v>13400</v>
      </c>
      <c r="N566" t="str">
        <f t="shared" si="43"/>
        <v>ставка</v>
      </c>
      <c r="O566" s="3">
        <f t="shared" si="44"/>
        <v>525.49</v>
      </c>
      <c r="P566" s="5">
        <v>46276.5</v>
      </c>
      <c r="Q566" t="s">
        <v>32</v>
      </c>
      <c r="R566" s="2" t="s">
        <v>24</v>
      </c>
      <c r="S566">
        <v>31</v>
      </c>
      <c r="T566">
        <v>1</v>
      </c>
    </row>
    <row r="567" spans="1:20" ht="30" x14ac:dyDescent="0.25">
      <c r="A567" t="s">
        <v>1759</v>
      </c>
      <c r="B567">
        <v>1</v>
      </c>
      <c r="C567" s="2" t="s">
        <v>1760</v>
      </c>
      <c r="D567" s="3">
        <v>10350</v>
      </c>
      <c r="E567" s="4">
        <v>0</v>
      </c>
      <c r="F567" t="s">
        <v>23</v>
      </c>
      <c r="G567" s="3">
        <f t="shared" si="40"/>
        <v>10350</v>
      </c>
      <c r="H567" s="3">
        <v>0</v>
      </c>
      <c r="I567" s="3">
        <f t="shared" si="41"/>
        <v>10350</v>
      </c>
      <c r="J567" s="2" t="s">
        <v>27</v>
      </c>
      <c r="K567" s="5">
        <v>46213.583333333343</v>
      </c>
      <c r="L567">
        <v>1</v>
      </c>
      <c r="M567" s="3">
        <f t="shared" si="42"/>
        <v>10350</v>
      </c>
      <c r="N567" t="str">
        <f t="shared" si="43"/>
        <v>ставка</v>
      </c>
      <c r="O567" s="3">
        <f t="shared" si="44"/>
        <v>202.94</v>
      </c>
      <c r="P567" s="5">
        <v>46214.5</v>
      </c>
      <c r="Q567" t="s">
        <v>23</v>
      </c>
      <c r="R567" s="2" t="s">
        <v>40</v>
      </c>
      <c r="S567">
        <v>33</v>
      </c>
      <c r="T567">
        <v>1</v>
      </c>
    </row>
    <row r="568" spans="1:20" x14ac:dyDescent="0.25">
      <c r="A568" t="s">
        <v>1761</v>
      </c>
      <c r="B568">
        <v>1</v>
      </c>
      <c r="C568" s="2" t="s">
        <v>1762</v>
      </c>
      <c r="D568" s="3">
        <v>11600</v>
      </c>
      <c r="E568" s="4">
        <v>20</v>
      </c>
      <c r="F568" t="s">
        <v>103</v>
      </c>
      <c r="G568" s="3">
        <f t="shared" si="40"/>
        <v>14500</v>
      </c>
      <c r="H568" s="3">
        <v>0</v>
      </c>
      <c r="I568" s="3">
        <f t="shared" si="41"/>
        <v>14500</v>
      </c>
      <c r="J568" s="2" t="s">
        <v>27</v>
      </c>
      <c r="K568" s="5">
        <v>46217.583333333343</v>
      </c>
      <c r="L568">
        <v>1</v>
      </c>
      <c r="M568" s="3">
        <f t="shared" si="42"/>
        <v>14500</v>
      </c>
      <c r="N568" t="str">
        <f t="shared" si="43"/>
        <v>ставка</v>
      </c>
      <c r="O568" s="3">
        <f t="shared" si="44"/>
        <v>284.31</v>
      </c>
      <c r="P568" s="5">
        <v>46218.5</v>
      </c>
      <c r="Q568" t="s">
        <v>103</v>
      </c>
      <c r="R568" s="2" t="s">
        <v>49</v>
      </c>
      <c r="S568">
        <v>35</v>
      </c>
      <c r="T568">
        <v>1</v>
      </c>
    </row>
    <row r="569" spans="1:20" x14ac:dyDescent="0.25">
      <c r="A569" t="s">
        <v>1763</v>
      </c>
      <c r="B569">
        <v>1</v>
      </c>
      <c r="C569" s="2" t="s">
        <v>1762</v>
      </c>
      <c r="D569" s="3">
        <v>11600</v>
      </c>
      <c r="E569" s="4">
        <v>20</v>
      </c>
      <c r="F569" t="s">
        <v>103</v>
      </c>
      <c r="G569" s="3">
        <f t="shared" si="40"/>
        <v>14500</v>
      </c>
      <c r="H569" s="3">
        <v>0</v>
      </c>
      <c r="I569" s="3">
        <f t="shared" si="41"/>
        <v>14500</v>
      </c>
      <c r="J569" s="2" t="s">
        <v>27</v>
      </c>
      <c r="K569" s="5">
        <v>46218.583333333343</v>
      </c>
      <c r="L569">
        <v>1</v>
      </c>
      <c r="M569" s="3">
        <f t="shared" si="42"/>
        <v>14500</v>
      </c>
      <c r="N569" t="str">
        <f t="shared" si="43"/>
        <v>ставка</v>
      </c>
      <c r="O569" s="3">
        <f t="shared" si="44"/>
        <v>284.31</v>
      </c>
      <c r="P569" s="5">
        <v>46219.5</v>
      </c>
      <c r="Q569" t="s">
        <v>103</v>
      </c>
      <c r="R569" s="2" t="s">
        <v>49</v>
      </c>
      <c r="S569">
        <v>35</v>
      </c>
      <c r="T569">
        <v>1</v>
      </c>
    </row>
    <row r="570" spans="1:20" ht="30" x14ac:dyDescent="0.25">
      <c r="A570" t="s">
        <v>1764</v>
      </c>
      <c r="B570">
        <v>1</v>
      </c>
      <c r="C570" s="2" t="s">
        <v>1762</v>
      </c>
      <c r="D570" s="3">
        <v>9647.5</v>
      </c>
      <c r="E570" s="4">
        <v>15</v>
      </c>
      <c r="F570" t="s">
        <v>36</v>
      </c>
      <c r="G570" s="3">
        <f t="shared" si="40"/>
        <v>11350</v>
      </c>
      <c r="H570" s="3">
        <v>0</v>
      </c>
      <c r="I570" s="3">
        <f t="shared" si="41"/>
        <v>11350</v>
      </c>
      <c r="J570" s="2" t="s">
        <v>27</v>
      </c>
      <c r="K570" s="5">
        <v>46216.583333333343</v>
      </c>
      <c r="L570">
        <v>1</v>
      </c>
      <c r="M570" s="3">
        <f t="shared" si="42"/>
        <v>11350</v>
      </c>
      <c r="N570" t="str">
        <f t="shared" si="43"/>
        <v>ставка</v>
      </c>
      <c r="O570" s="3">
        <f t="shared" si="44"/>
        <v>222.55</v>
      </c>
      <c r="P570" s="5">
        <v>46217.5</v>
      </c>
      <c r="Q570" t="s">
        <v>36</v>
      </c>
      <c r="R570" s="2" t="s">
        <v>40</v>
      </c>
      <c r="S570">
        <v>33</v>
      </c>
      <c r="T570">
        <v>1</v>
      </c>
    </row>
    <row r="571" spans="1:20" ht="30" x14ac:dyDescent="0.25">
      <c r="A571" t="s">
        <v>1768</v>
      </c>
      <c r="B571">
        <v>1</v>
      </c>
      <c r="C571" s="2" t="s">
        <v>1769</v>
      </c>
      <c r="D571" s="3">
        <v>34042.5</v>
      </c>
      <c r="E571" s="4">
        <v>15</v>
      </c>
      <c r="F571" t="s">
        <v>36</v>
      </c>
      <c r="G571" s="3">
        <f t="shared" si="40"/>
        <v>40050</v>
      </c>
      <c r="H571" s="3">
        <v>0</v>
      </c>
      <c r="I571" s="3">
        <f t="shared" si="41"/>
        <v>40050</v>
      </c>
      <c r="J571" s="2" t="s">
        <v>27</v>
      </c>
      <c r="K571" s="5">
        <v>46226.583333333343</v>
      </c>
      <c r="L571">
        <v>3</v>
      </c>
      <c r="M571" s="3">
        <f t="shared" si="42"/>
        <v>13350</v>
      </c>
      <c r="N571" t="str">
        <f t="shared" si="43"/>
        <v>ставка</v>
      </c>
      <c r="O571" s="3">
        <f t="shared" si="44"/>
        <v>785.29</v>
      </c>
      <c r="P571" s="5">
        <v>46229.5</v>
      </c>
      <c r="Q571" t="s">
        <v>36</v>
      </c>
      <c r="R571" s="2" t="s">
        <v>40</v>
      </c>
      <c r="S571">
        <v>44</v>
      </c>
      <c r="T571">
        <v>1</v>
      </c>
    </row>
    <row r="572" spans="1:20" ht="30" x14ac:dyDescent="0.25">
      <c r="A572" t="s">
        <v>1773</v>
      </c>
      <c r="B572">
        <v>1</v>
      </c>
      <c r="C572" s="2" t="s">
        <v>1774</v>
      </c>
      <c r="D572" s="3">
        <v>9534</v>
      </c>
      <c r="E572" s="4">
        <v>16</v>
      </c>
      <c r="F572" t="s">
        <v>36</v>
      </c>
      <c r="G572" s="3">
        <f t="shared" si="40"/>
        <v>11350</v>
      </c>
      <c r="H572" s="3">
        <v>0</v>
      </c>
      <c r="I572" s="3">
        <f t="shared" si="41"/>
        <v>11350</v>
      </c>
      <c r="J572" s="2" t="s">
        <v>27</v>
      </c>
      <c r="K572" s="5">
        <v>46235.583333333343</v>
      </c>
      <c r="L572">
        <v>1</v>
      </c>
      <c r="M572" s="3">
        <f t="shared" si="42"/>
        <v>11350</v>
      </c>
      <c r="N572" t="str">
        <f t="shared" si="43"/>
        <v>ставка</v>
      </c>
      <c r="O572" s="3">
        <f t="shared" si="44"/>
        <v>222.55</v>
      </c>
      <c r="P572" s="5">
        <v>46236.5</v>
      </c>
      <c r="Q572" t="s">
        <v>36</v>
      </c>
      <c r="R572" s="2" t="s">
        <v>40</v>
      </c>
      <c r="S572">
        <v>36</v>
      </c>
      <c r="T572">
        <v>1</v>
      </c>
    </row>
    <row r="573" spans="1:20" ht="30" x14ac:dyDescent="0.25">
      <c r="A573" t="s">
        <v>1775</v>
      </c>
      <c r="B573">
        <v>1</v>
      </c>
      <c r="C573" s="2" t="s">
        <v>1776</v>
      </c>
      <c r="D573" s="3">
        <v>11350</v>
      </c>
      <c r="E573" s="4">
        <v>0</v>
      </c>
      <c r="F573" t="s">
        <v>23</v>
      </c>
      <c r="G573" s="3">
        <f t="shared" si="40"/>
        <v>11350</v>
      </c>
      <c r="H573" s="3">
        <v>0</v>
      </c>
      <c r="I573" s="3">
        <f t="shared" si="41"/>
        <v>11350</v>
      </c>
      <c r="J573" s="2" t="s">
        <v>27</v>
      </c>
      <c r="K573" s="5">
        <v>46220.583333333343</v>
      </c>
      <c r="L573">
        <v>1</v>
      </c>
      <c r="M573" s="3">
        <f t="shared" si="42"/>
        <v>11350</v>
      </c>
      <c r="N573" t="str">
        <f t="shared" si="43"/>
        <v>ставка</v>
      </c>
      <c r="O573" s="3">
        <f t="shared" si="44"/>
        <v>222.55</v>
      </c>
      <c r="P573" s="5">
        <v>46221.5</v>
      </c>
      <c r="Q573" t="s">
        <v>23</v>
      </c>
      <c r="R573" s="2" t="s">
        <v>40</v>
      </c>
      <c r="S573">
        <v>46</v>
      </c>
      <c r="T573">
        <v>1</v>
      </c>
    </row>
    <row r="574" spans="1:20" x14ac:dyDescent="0.25">
      <c r="A574" t="s">
        <v>1777</v>
      </c>
      <c r="B574">
        <v>1</v>
      </c>
      <c r="C574" s="2" t="s">
        <v>1778</v>
      </c>
      <c r="D574" s="3">
        <v>32752.5</v>
      </c>
      <c r="E574" s="4">
        <v>4</v>
      </c>
      <c r="F574" t="s">
        <v>55</v>
      </c>
      <c r="G574" s="3">
        <f t="shared" si="40"/>
        <v>34117.19</v>
      </c>
      <c r="H574" s="3">
        <v>0</v>
      </c>
      <c r="I574" s="3">
        <f t="shared" si="41"/>
        <v>34117.19</v>
      </c>
      <c r="J574" s="2" t="s">
        <v>27</v>
      </c>
      <c r="K574" s="5">
        <v>46262.625</v>
      </c>
      <c r="L574">
        <v>2</v>
      </c>
      <c r="M574" s="3">
        <f t="shared" si="42"/>
        <v>17058.595000000001</v>
      </c>
      <c r="N574" t="str">
        <f t="shared" si="43"/>
        <v>ставка</v>
      </c>
      <c r="O574" s="3">
        <f t="shared" si="44"/>
        <v>668.96</v>
      </c>
      <c r="P574" s="5">
        <v>46264.5</v>
      </c>
      <c r="Q574" t="s">
        <v>55</v>
      </c>
      <c r="R574" s="2" t="s">
        <v>49</v>
      </c>
      <c r="S574">
        <v>25</v>
      </c>
      <c r="T574">
        <v>1</v>
      </c>
    </row>
    <row r="575" spans="1:20" x14ac:dyDescent="0.25">
      <c r="A575" t="s">
        <v>1780</v>
      </c>
      <c r="B575">
        <v>1</v>
      </c>
      <c r="C575" s="2" t="s">
        <v>1781</v>
      </c>
      <c r="D575" s="3">
        <v>11600</v>
      </c>
      <c r="E575" s="4">
        <v>20</v>
      </c>
      <c r="F575" t="s">
        <v>48</v>
      </c>
      <c r="G575" s="3">
        <f t="shared" si="40"/>
        <v>14500</v>
      </c>
      <c r="H575" s="3">
        <v>0</v>
      </c>
      <c r="I575" s="3">
        <f t="shared" si="41"/>
        <v>14500</v>
      </c>
      <c r="J575" s="2" t="s">
        <v>27</v>
      </c>
      <c r="K575" s="5">
        <v>46274.583333333343</v>
      </c>
      <c r="L575">
        <v>1</v>
      </c>
      <c r="M575" s="3">
        <f t="shared" si="42"/>
        <v>14500</v>
      </c>
      <c r="N575" t="str">
        <f t="shared" si="43"/>
        <v>ставка</v>
      </c>
      <c r="O575" s="3">
        <f t="shared" si="44"/>
        <v>284.31</v>
      </c>
      <c r="P575" s="5">
        <v>46275.5</v>
      </c>
      <c r="Q575" t="s">
        <v>48</v>
      </c>
      <c r="R575" s="2" t="s">
        <v>49</v>
      </c>
      <c r="S575">
        <v>35</v>
      </c>
      <c r="T575">
        <v>1</v>
      </c>
    </row>
    <row r="576" spans="1:20" ht="30" x14ac:dyDescent="0.25">
      <c r="A576" t="s">
        <v>1789</v>
      </c>
      <c r="B576">
        <v>1</v>
      </c>
      <c r="C576" s="2" t="s">
        <v>1790</v>
      </c>
      <c r="D576" s="3">
        <v>58905</v>
      </c>
      <c r="E576" s="4">
        <v>0</v>
      </c>
      <c r="F576" t="s">
        <v>180</v>
      </c>
      <c r="G576" s="3">
        <f t="shared" si="40"/>
        <v>58905</v>
      </c>
      <c r="H576" s="3">
        <v>0</v>
      </c>
      <c r="I576" s="3">
        <f t="shared" si="41"/>
        <v>58905</v>
      </c>
      <c r="J576" s="2" t="s">
        <v>181</v>
      </c>
      <c r="K576" s="5">
        <v>46244.583333333343</v>
      </c>
      <c r="L576">
        <v>7</v>
      </c>
      <c r="M576" s="3">
        <f t="shared" si="42"/>
        <v>8415</v>
      </c>
      <c r="N576" t="str">
        <f t="shared" si="43"/>
        <v>ставка</v>
      </c>
      <c r="O576" s="3">
        <f t="shared" si="44"/>
        <v>1155</v>
      </c>
      <c r="P576" s="5">
        <v>46251.5</v>
      </c>
      <c r="Q576" t="s">
        <v>180</v>
      </c>
      <c r="R576" s="2" t="s">
        <v>33</v>
      </c>
      <c r="S576">
        <v>43</v>
      </c>
      <c r="T576">
        <v>1</v>
      </c>
    </row>
    <row r="577" spans="1:20" ht="30" x14ac:dyDescent="0.25">
      <c r="A577" t="s">
        <v>1791</v>
      </c>
      <c r="B577">
        <v>1</v>
      </c>
      <c r="C577" s="2" t="s">
        <v>1792</v>
      </c>
      <c r="D577" s="3">
        <v>89782</v>
      </c>
      <c r="E577" s="4">
        <v>17</v>
      </c>
      <c r="F577" t="s">
        <v>394</v>
      </c>
      <c r="G577" s="3">
        <f t="shared" si="40"/>
        <v>108171.08</v>
      </c>
      <c r="H577" s="3">
        <v>0</v>
      </c>
      <c r="I577" s="3">
        <f t="shared" si="41"/>
        <v>108171.08</v>
      </c>
      <c r="J577" s="2" t="s">
        <v>27</v>
      </c>
      <c r="K577" s="5">
        <v>46240.583333333343</v>
      </c>
      <c r="L577">
        <v>6</v>
      </c>
      <c r="M577" s="3">
        <f t="shared" si="42"/>
        <v>18028.513333333332</v>
      </c>
      <c r="N577" t="str">
        <f t="shared" si="43"/>
        <v>ставка</v>
      </c>
      <c r="O577" s="3">
        <f t="shared" si="44"/>
        <v>2121</v>
      </c>
      <c r="P577" s="5">
        <v>46246.5</v>
      </c>
      <c r="Q577" t="s">
        <v>394</v>
      </c>
      <c r="R577" s="2" t="s">
        <v>24</v>
      </c>
      <c r="S577">
        <v>21</v>
      </c>
      <c r="T577">
        <v>1</v>
      </c>
    </row>
    <row r="578" spans="1:20" x14ac:dyDescent="0.25">
      <c r="A578" t="s">
        <v>1798</v>
      </c>
      <c r="B578">
        <v>1</v>
      </c>
      <c r="C578" s="2" t="s">
        <v>1799</v>
      </c>
      <c r="D578" s="3">
        <v>11600</v>
      </c>
      <c r="E578" s="4">
        <v>20</v>
      </c>
      <c r="F578" t="s">
        <v>173</v>
      </c>
      <c r="G578" s="3">
        <f t="shared" ref="G578:G633" si="45">ROUND(D578/(100-E578)*100,2)</f>
        <v>14500</v>
      </c>
      <c r="H578" s="3">
        <v>0</v>
      </c>
      <c r="I578" s="3">
        <f t="shared" ref="I578:I633" si="46">ROUND(G578+H578,2)</f>
        <v>14500</v>
      </c>
      <c r="J578" s="2" t="s">
        <v>27</v>
      </c>
      <c r="K578" s="5">
        <v>46281.583333333343</v>
      </c>
      <c r="L578">
        <v>1</v>
      </c>
      <c r="M578" s="3">
        <f t="shared" ref="M578:M633" si="47">I578/L578</f>
        <v>14500</v>
      </c>
      <c r="N578" t="str">
        <f t="shared" ref="N578:N633" si="48">IF(M578&gt;=5100,"ставка","мин.ставка")</f>
        <v>ставка</v>
      </c>
      <c r="O578" s="3">
        <f t="shared" ref="O578:O633" si="49">ROUND(IF(N578="мин.ставка",L578*100,I578/102*2),2)</f>
        <v>284.31</v>
      </c>
      <c r="P578" s="5">
        <v>46282.5</v>
      </c>
      <c r="Q578" t="s">
        <v>173</v>
      </c>
      <c r="R578" s="2" t="s">
        <v>49</v>
      </c>
      <c r="S578">
        <v>35</v>
      </c>
      <c r="T578">
        <v>1</v>
      </c>
    </row>
    <row r="579" spans="1:20" x14ac:dyDescent="0.25">
      <c r="A579" t="s">
        <v>1804</v>
      </c>
      <c r="B579">
        <v>1</v>
      </c>
      <c r="C579" s="2" t="s">
        <v>1805</v>
      </c>
      <c r="D579" s="3">
        <v>12180</v>
      </c>
      <c r="E579" s="4">
        <v>16</v>
      </c>
      <c r="F579" t="s">
        <v>36</v>
      </c>
      <c r="G579" s="3">
        <f t="shared" si="45"/>
        <v>14500</v>
      </c>
      <c r="H579" s="3">
        <v>0</v>
      </c>
      <c r="I579" s="3">
        <f t="shared" si="46"/>
        <v>14500</v>
      </c>
      <c r="J579" s="2" t="s">
        <v>27</v>
      </c>
      <c r="K579" s="5">
        <v>46292.583333333343</v>
      </c>
      <c r="L579">
        <v>1</v>
      </c>
      <c r="M579" s="3">
        <f t="shared" si="47"/>
        <v>14500</v>
      </c>
      <c r="N579" t="str">
        <f t="shared" si="48"/>
        <v>ставка</v>
      </c>
      <c r="O579" s="3">
        <f t="shared" si="49"/>
        <v>284.31</v>
      </c>
      <c r="P579" s="5">
        <v>46293.5</v>
      </c>
      <c r="Q579" t="s">
        <v>36</v>
      </c>
      <c r="R579" s="2" t="s">
        <v>49</v>
      </c>
      <c r="S579">
        <v>25</v>
      </c>
      <c r="T579">
        <v>1</v>
      </c>
    </row>
    <row r="580" spans="1:20" x14ac:dyDescent="0.25">
      <c r="A580" t="s">
        <v>1806</v>
      </c>
      <c r="B580">
        <v>1</v>
      </c>
      <c r="C580" s="2" t="s">
        <v>1805</v>
      </c>
      <c r="D580" s="3">
        <v>23200</v>
      </c>
      <c r="E580" s="4">
        <v>20</v>
      </c>
      <c r="F580" t="s">
        <v>48</v>
      </c>
      <c r="G580" s="3">
        <f t="shared" si="45"/>
        <v>29000</v>
      </c>
      <c r="H580" s="3">
        <v>0</v>
      </c>
      <c r="I580" s="3">
        <f t="shared" si="46"/>
        <v>29000</v>
      </c>
      <c r="J580" s="2" t="s">
        <v>27</v>
      </c>
      <c r="K580" s="5">
        <v>46272.583333333343</v>
      </c>
      <c r="L580">
        <v>2</v>
      </c>
      <c r="M580" s="3">
        <f t="shared" si="47"/>
        <v>14500</v>
      </c>
      <c r="N580" t="str">
        <f t="shared" si="48"/>
        <v>ставка</v>
      </c>
      <c r="O580" s="3">
        <f t="shared" si="49"/>
        <v>568.63</v>
      </c>
      <c r="P580" s="5">
        <v>46274.5</v>
      </c>
      <c r="Q580" t="s">
        <v>48</v>
      </c>
      <c r="R580" s="2" t="s">
        <v>49</v>
      </c>
      <c r="S580">
        <v>35</v>
      </c>
      <c r="T580">
        <v>1</v>
      </c>
    </row>
    <row r="581" spans="1:20" x14ac:dyDescent="0.25">
      <c r="A581" t="s">
        <v>1811</v>
      </c>
      <c r="B581">
        <v>1</v>
      </c>
      <c r="C581" s="2" t="s">
        <v>1812</v>
      </c>
      <c r="D581" s="3">
        <v>43050.5</v>
      </c>
      <c r="E581" s="4">
        <v>4</v>
      </c>
      <c r="F581" t="s">
        <v>55</v>
      </c>
      <c r="G581" s="3">
        <f t="shared" si="45"/>
        <v>44844.27</v>
      </c>
      <c r="H581" s="3">
        <v>0</v>
      </c>
      <c r="I581" s="3">
        <f t="shared" si="46"/>
        <v>44844.27</v>
      </c>
      <c r="J581" s="2" t="s">
        <v>27</v>
      </c>
      <c r="K581" s="5">
        <v>46282.583333333343</v>
      </c>
      <c r="L581">
        <v>3</v>
      </c>
      <c r="M581" s="3">
        <f t="shared" si="47"/>
        <v>14948.089999999998</v>
      </c>
      <c r="N581" t="str">
        <f t="shared" si="48"/>
        <v>ставка</v>
      </c>
      <c r="O581" s="3">
        <f t="shared" si="49"/>
        <v>879.3</v>
      </c>
      <c r="P581" s="5">
        <v>46285.5</v>
      </c>
      <c r="Q581" t="s">
        <v>55</v>
      </c>
      <c r="R581" s="2" t="s">
        <v>49</v>
      </c>
      <c r="S581">
        <v>11</v>
      </c>
      <c r="T581">
        <v>1</v>
      </c>
    </row>
    <row r="582" spans="1:20" ht="30" x14ac:dyDescent="0.25">
      <c r="A582" t="s">
        <v>1815</v>
      </c>
      <c r="B582">
        <v>1</v>
      </c>
      <c r="C582" s="2" t="s">
        <v>1816</v>
      </c>
      <c r="D582" s="3">
        <v>18160</v>
      </c>
      <c r="E582" s="4">
        <v>20</v>
      </c>
      <c r="F582" t="s">
        <v>48</v>
      </c>
      <c r="G582" s="3">
        <f t="shared" si="45"/>
        <v>22700</v>
      </c>
      <c r="H582" s="3">
        <v>9080</v>
      </c>
      <c r="I582" s="3">
        <f t="shared" si="46"/>
        <v>31780</v>
      </c>
      <c r="J582" s="2" t="s">
        <v>1817</v>
      </c>
      <c r="K582" s="5">
        <v>46272.333333333343</v>
      </c>
      <c r="L582">
        <v>2</v>
      </c>
      <c r="M582" s="3">
        <f t="shared" si="47"/>
        <v>15890</v>
      </c>
      <c r="N582" t="str">
        <f t="shared" si="48"/>
        <v>ставка</v>
      </c>
      <c r="O582" s="3">
        <f t="shared" si="49"/>
        <v>623.14</v>
      </c>
      <c r="P582" s="5">
        <v>46274.5</v>
      </c>
      <c r="Q582" t="s">
        <v>48</v>
      </c>
      <c r="R582" s="2" t="s">
        <v>40</v>
      </c>
      <c r="S582">
        <v>36</v>
      </c>
      <c r="T582">
        <v>1</v>
      </c>
    </row>
    <row r="583" spans="1:20" ht="30" x14ac:dyDescent="0.25">
      <c r="A583" t="s">
        <v>1818</v>
      </c>
      <c r="B583">
        <v>1</v>
      </c>
      <c r="C583" s="2" t="s">
        <v>1819</v>
      </c>
      <c r="D583" s="3">
        <v>19295</v>
      </c>
      <c r="E583" s="4">
        <v>15</v>
      </c>
      <c r="F583" t="s">
        <v>487</v>
      </c>
      <c r="G583" s="3">
        <f t="shared" si="45"/>
        <v>22700</v>
      </c>
      <c r="H583" s="3">
        <v>0</v>
      </c>
      <c r="I583" s="3">
        <f t="shared" si="46"/>
        <v>22700</v>
      </c>
      <c r="J583" s="2" t="s">
        <v>27</v>
      </c>
      <c r="K583" s="5">
        <v>46266.583333333343</v>
      </c>
      <c r="L583">
        <v>2</v>
      </c>
      <c r="M583" s="3">
        <f t="shared" si="47"/>
        <v>11350</v>
      </c>
      <c r="N583" t="str">
        <f t="shared" si="48"/>
        <v>ставка</v>
      </c>
      <c r="O583" s="3">
        <f t="shared" si="49"/>
        <v>445.1</v>
      </c>
      <c r="P583" s="5">
        <v>46268.5</v>
      </c>
      <c r="Q583" t="s">
        <v>487</v>
      </c>
      <c r="R583" s="2" t="s">
        <v>24</v>
      </c>
      <c r="S583">
        <v>31</v>
      </c>
      <c r="T583">
        <v>1</v>
      </c>
    </row>
    <row r="584" spans="1:20" ht="30" x14ac:dyDescent="0.25">
      <c r="A584" t="s">
        <v>1820</v>
      </c>
      <c r="B584">
        <v>1</v>
      </c>
      <c r="C584" s="2" t="s">
        <v>1819</v>
      </c>
      <c r="D584" s="3">
        <v>20145</v>
      </c>
      <c r="E584" s="4">
        <v>15</v>
      </c>
      <c r="F584" t="s">
        <v>487</v>
      </c>
      <c r="G584" s="3">
        <f t="shared" si="45"/>
        <v>23700</v>
      </c>
      <c r="H584" s="3">
        <v>0</v>
      </c>
      <c r="I584" s="3">
        <f t="shared" si="46"/>
        <v>23700</v>
      </c>
      <c r="J584" s="2" t="s">
        <v>27</v>
      </c>
      <c r="K584" s="5">
        <v>46237.583333333343</v>
      </c>
      <c r="L584">
        <v>3</v>
      </c>
      <c r="M584" s="3">
        <f t="shared" si="47"/>
        <v>7900</v>
      </c>
      <c r="N584" t="str">
        <f t="shared" si="48"/>
        <v>ставка</v>
      </c>
      <c r="O584" s="3">
        <f t="shared" si="49"/>
        <v>464.71</v>
      </c>
      <c r="P584" s="5">
        <v>46240.5</v>
      </c>
      <c r="Q584" t="s">
        <v>487</v>
      </c>
      <c r="R584" s="2" t="s">
        <v>33</v>
      </c>
      <c r="S584">
        <v>41</v>
      </c>
      <c r="T584">
        <v>1</v>
      </c>
    </row>
    <row r="585" spans="1:20" ht="30" x14ac:dyDescent="0.25">
      <c r="A585" t="s">
        <v>1823</v>
      </c>
      <c r="B585">
        <v>1</v>
      </c>
      <c r="C585" s="2" t="s">
        <v>1824</v>
      </c>
      <c r="D585" s="3">
        <v>6930</v>
      </c>
      <c r="E585" s="4">
        <v>0</v>
      </c>
      <c r="F585" t="s">
        <v>23</v>
      </c>
      <c r="G585" s="3">
        <f t="shared" si="45"/>
        <v>6930</v>
      </c>
      <c r="H585" s="3">
        <v>0</v>
      </c>
      <c r="I585" s="3">
        <f t="shared" si="46"/>
        <v>6930</v>
      </c>
      <c r="J585" s="2" t="s">
        <v>27</v>
      </c>
      <c r="K585" s="5">
        <v>46257.583333333343</v>
      </c>
      <c r="L585">
        <v>1</v>
      </c>
      <c r="M585" s="3">
        <f t="shared" si="47"/>
        <v>6930</v>
      </c>
      <c r="N585" t="str">
        <f t="shared" si="48"/>
        <v>ставка</v>
      </c>
      <c r="O585" s="3">
        <f t="shared" si="49"/>
        <v>135.88</v>
      </c>
      <c r="P585" s="5">
        <v>46258.5</v>
      </c>
      <c r="Q585" t="s">
        <v>23</v>
      </c>
      <c r="R585" s="2" t="s">
        <v>58</v>
      </c>
      <c r="S585">
        <v>34</v>
      </c>
      <c r="T585">
        <v>1</v>
      </c>
    </row>
    <row r="586" spans="1:20" ht="30" x14ac:dyDescent="0.25">
      <c r="A586" t="s">
        <v>1825</v>
      </c>
      <c r="B586">
        <v>1</v>
      </c>
      <c r="C586" s="2" t="s">
        <v>1824</v>
      </c>
      <c r="D586" s="3">
        <v>56523</v>
      </c>
      <c r="E586" s="4">
        <v>20</v>
      </c>
      <c r="F586" t="s">
        <v>173</v>
      </c>
      <c r="G586" s="3">
        <f t="shared" si="45"/>
        <v>70653.75</v>
      </c>
      <c r="H586" s="3">
        <v>0</v>
      </c>
      <c r="I586" s="3">
        <f t="shared" si="46"/>
        <v>70653.75</v>
      </c>
      <c r="J586" s="2" t="s">
        <v>27</v>
      </c>
      <c r="K586" s="5">
        <v>46251.583333333343</v>
      </c>
      <c r="L586">
        <v>6</v>
      </c>
      <c r="M586" s="3">
        <f t="shared" si="47"/>
        <v>11775.625</v>
      </c>
      <c r="N586" t="str">
        <f t="shared" si="48"/>
        <v>ставка</v>
      </c>
      <c r="O586" s="3">
        <f t="shared" si="49"/>
        <v>1385.37</v>
      </c>
      <c r="P586" s="5">
        <v>46257.5</v>
      </c>
      <c r="Q586" t="s">
        <v>173</v>
      </c>
      <c r="R586" s="2" t="s">
        <v>40</v>
      </c>
      <c r="S586">
        <v>44</v>
      </c>
      <c r="T586">
        <v>1</v>
      </c>
    </row>
    <row r="587" spans="1:20" ht="30" x14ac:dyDescent="0.25">
      <c r="A587" t="s">
        <v>1826</v>
      </c>
      <c r="B587">
        <v>1</v>
      </c>
      <c r="C587" s="2" t="s">
        <v>1827</v>
      </c>
      <c r="D587" s="3">
        <v>18614</v>
      </c>
      <c r="E587" s="4">
        <v>18</v>
      </c>
      <c r="F587" t="s">
        <v>147</v>
      </c>
      <c r="G587" s="3">
        <f t="shared" si="45"/>
        <v>22700</v>
      </c>
      <c r="H587" s="3">
        <v>0</v>
      </c>
      <c r="I587" s="3">
        <f t="shared" si="46"/>
        <v>22700</v>
      </c>
      <c r="J587" s="2" t="s">
        <v>27</v>
      </c>
      <c r="K587" s="5">
        <v>46251.583333333343</v>
      </c>
      <c r="L587">
        <v>2</v>
      </c>
      <c r="M587" s="3">
        <f t="shared" si="47"/>
        <v>11350</v>
      </c>
      <c r="N587" t="str">
        <f t="shared" si="48"/>
        <v>ставка</v>
      </c>
      <c r="O587" s="3">
        <f t="shared" si="49"/>
        <v>445.1</v>
      </c>
      <c r="P587" s="5">
        <v>46253.5</v>
      </c>
      <c r="Q587" t="s">
        <v>147</v>
      </c>
      <c r="R587" s="2" t="s">
        <v>40</v>
      </c>
      <c r="S587">
        <v>46</v>
      </c>
      <c r="T587">
        <v>1</v>
      </c>
    </row>
    <row r="588" spans="1:20" ht="30" x14ac:dyDescent="0.25">
      <c r="A588" t="s">
        <v>1828</v>
      </c>
      <c r="B588">
        <v>1</v>
      </c>
      <c r="C588" s="2" t="s">
        <v>1829</v>
      </c>
      <c r="D588" s="3">
        <v>32040</v>
      </c>
      <c r="E588" s="4">
        <v>20</v>
      </c>
      <c r="F588" t="s">
        <v>32</v>
      </c>
      <c r="G588" s="3">
        <f t="shared" si="45"/>
        <v>40050</v>
      </c>
      <c r="H588" s="3">
        <v>0</v>
      </c>
      <c r="I588" s="3">
        <f t="shared" si="46"/>
        <v>40050</v>
      </c>
      <c r="J588" s="2" t="s">
        <v>27</v>
      </c>
      <c r="K588" s="5">
        <v>46224.583333333343</v>
      </c>
      <c r="L588">
        <v>3</v>
      </c>
      <c r="M588" s="3">
        <f t="shared" si="47"/>
        <v>13350</v>
      </c>
      <c r="N588" t="str">
        <f t="shared" si="48"/>
        <v>ставка</v>
      </c>
      <c r="O588" s="3">
        <f t="shared" si="49"/>
        <v>785.29</v>
      </c>
      <c r="P588" s="5">
        <v>46227.5</v>
      </c>
      <c r="Q588" t="s">
        <v>32</v>
      </c>
      <c r="R588" s="2" t="s">
        <v>40</v>
      </c>
      <c r="S588">
        <v>36</v>
      </c>
      <c r="T588">
        <v>1</v>
      </c>
    </row>
    <row r="589" spans="1:20" ht="30" x14ac:dyDescent="0.25">
      <c r="A589" t="s">
        <v>1830</v>
      </c>
      <c r="B589">
        <v>1</v>
      </c>
      <c r="C589" s="2" t="s">
        <v>1831</v>
      </c>
      <c r="D589" s="3">
        <v>22695</v>
      </c>
      <c r="E589" s="4">
        <v>15</v>
      </c>
      <c r="F589" t="s">
        <v>411</v>
      </c>
      <c r="G589" s="3">
        <f t="shared" si="45"/>
        <v>26700</v>
      </c>
      <c r="H589" s="3">
        <v>0</v>
      </c>
      <c r="I589" s="3">
        <f t="shared" si="46"/>
        <v>26700</v>
      </c>
      <c r="J589" s="2" t="s">
        <v>27</v>
      </c>
      <c r="K589" s="5">
        <v>46241.583333333343</v>
      </c>
      <c r="L589">
        <v>2</v>
      </c>
      <c r="M589" s="3">
        <f t="shared" si="47"/>
        <v>13350</v>
      </c>
      <c r="N589" t="str">
        <f t="shared" si="48"/>
        <v>ставка</v>
      </c>
      <c r="O589" s="3">
        <f t="shared" si="49"/>
        <v>523.53</v>
      </c>
      <c r="P589" s="5">
        <v>46243.5</v>
      </c>
      <c r="Q589" t="s">
        <v>411</v>
      </c>
      <c r="R589" s="2" t="s">
        <v>40</v>
      </c>
      <c r="S589">
        <v>33</v>
      </c>
      <c r="T589">
        <v>1</v>
      </c>
    </row>
    <row r="590" spans="1:20" ht="30" x14ac:dyDescent="0.25">
      <c r="A590" t="s">
        <v>1832</v>
      </c>
      <c r="B590">
        <v>1</v>
      </c>
      <c r="C590" s="2" t="s">
        <v>1833</v>
      </c>
      <c r="D590" s="3">
        <v>24651</v>
      </c>
      <c r="E590" s="4">
        <v>17</v>
      </c>
      <c r="F590" t="s">
        <v>130</v>
      </c>
      <c r="G590" s="3">
        <f t="shared" si="45"/>
        <v>29700</v>
      </c>
      <c r="H590" s="3">
        <v>0</v>
      </c>
      <c r="I590" s="3">
        <f t="shared" si="46"/>
        <v>29700</v>
      </c>
      <c r="J590" s="2" t="s">
        <v>27</v>
      </c>
      <c r="K590" s="5">
        <v>46263.583333333343</v>
      </c>
      <c r="L590">
        <v>3</v>
      </c>
      <c r="M590" s="3">
        <f t="shared" si="47"/>
        <v>9900</v>
      </c>
      <c r="N590" t="str">
        <f t="shared" si="48"/>
        <v>ставка</v>
      </c>
      <c r="O590" s="3">
        <f t="shared" si="49"/>
        <v>582.35</v>
      </c>
      <c r="P590" s="5">
        <v>46266.5</v>
      </c>
      <c r="Q590" t="s">
        <v>130</v>
      </c>
      <c r="R590" s="2" t="s">
        <v>33</v>
      </c>
      <c r="S590">
        <v>41</v>
      </c>
      <c r="T590">
        <v>1</v>
      </c>
    </row>
    <row r="591" spans="1:20" ht="30" x14ac:dyDescent="0.25">
      <c r="A591" t="s">
        <v>1834</v>
      </c>
      <c r="B591">
        <v>1</v>
      </c>
      <c r="C591" s="2" t="s">
        <v>1835</v>
      </c>
      <c r="D591" s="3">
        <v>19635</v>
      </c>
      <c r="E591" s="4">
        <v>15</v>
      </c>
      <c r="F591" t="s">
        <v>73</v>
      </c>
      <c r="G591" s="3">
        <f t="shared" si="45"/>
        <v>23100</v>
      </c>
      <c r="H591" s="3">
        <v>0</v>
      </c>
      <c r="I591" s="3">
        <f t="shared" si="46"/>
        <v>23100</v>
      </c>
      <c r="J591" s="2" t="s">
        <v>27</v>
      </c>
      <c r="K591" s="5">
        <v>46276.583333333343</v>
      </c>
      <c r="L591">
        <v>3</v>
      </c>
      <c r="M591" s="3">
        <f t="shared" si="47"/>
        <v>7700</v>
      </c>
      <c r="N591" t="str">
        <f t="shared" si="48"/>
        <v>ставка</v>
      </c>
      <c r="O591" s="3">
        <f t="shared" si="49"/>
        <v>452.94</v>
      </c>
      <c r="P591" s="5">
        <v>46279.5</v>
      </c>
      <c r="Q591" t="s">
        <v>73</v>
      </c>
      <c r="R591" s="2" t="s">
        <v>58</v>
      </c>
      <c r="S591">
        <v>34</v>
      </c>
      <c r="T591">
        <v>1</v>
      </c>
    </row>
    <row r="592" spans="1:20" ht="30" x14ac:dyDescent="0.25">
      <c r="A592" t="s">
        <v>1836</v>
      </c>
      <c r="B592">
        <v>1</v>
      </c>
      <c r="C592" s="2" t="s">
        <v>1837</v>
      </c>
      <c r="D592" s="3">
        <v>28602</v>
      </c>
      <c r="E592" s="4">
        <v>16</v>
      </c>
      <c r="F592" t="s">
        <v>36</v>
      </c>
      <c r="G592" s="3">
        <f t="shared" si="45"/>
        <v>34050</v>
      </c>
      <c r="H592" s="3">
        <v>0</v>
      </c>
      <c r="I592" s="3">
        <f t="shared" si="46"/>
        <v>34050</v>
      </c>
      <c r="J592" s="2" t="s">
        <v>27</v>
      </c>
      <c r="K592" s="5">
        <v>46284.583333333343</v>
      </c>
      <c r="L592">
        <v>3</v>
      </c>
      <c r="M592" s="3">
        <f t="shared" si="47"/>
        <v>11350</v>
      </c>
      <c r="N592" t="str">
        <f t="shared" si="48"/>
        <v>ставка</v>
      </c>
      <c r="O592" s="3">
        <f t="shared" si="49"/>
        <v>667.65</v>
      </c>
      <c r="P592" s="5">
        <v>46287.5</v>
      </c>
      <c r="Q592" t="s">
        <v>36</v>
      </c>
      <c r="R592" s="2" t="s">
        <v>40</v>
      </c>
      <c r="S592">
        <v>32</v>
      </c>
      <c r="T592">
        <v>1</v>
      </c>
    </row>
    <row r="593" spans="1:20" ht="30" x14ac:dyDescent="0.25">
      <c r="A593" t="s">
        <v>1841</v>
      </c>
      <c r="B593">
        <v>1</v>
      </c>
      <c r="C593" s="2" t="s">
        <v>1842</v>
      </c>
      <c r="D593" s="3">
        <v>22695</v>
      </c>
      <c r="E593" s="4">
        <v>15</v>
      </c>
      <c r="F593" t="s">
        <v>36</v>
      </c>
      <c r="G593" s="3">
        <f t="shared" si="45"/>
        <v>26700</v>
      </c>
      <c r="H593" s="3">
        <v>1300</v>
      </c>
      <c r="I593" s="3">
        <f t="shared" si="46"/>
        <v>28000</v>
      </c>
      <c r="J593" s="2" t="s">
        <v>1843</v>
      </c>
      <c r="K593" s="5">
        <v>46227.583333333343</v>
      </c>
      <c r="L593">
        <v>2</v>
      </c>
      <c r="M593" s="3">
        <f t="shared" si="47"/>
        <v>14000</v>
      </c>
      <c r="N593" t="str">
        <f t="shared" si="48"/>
        <v>ставка</v>
      </c>
      <c r="O593" s="3">
        <f t="shared" si="49"/>
        <v>549.02</v>
      </c>
      <c r="P593" s="5">
        <v>46229.5</v>
      </c>
      <c r="Q593" t="s">
        <v>36</v>
      </c>
      <c r="R593" s="2" t="s">
        <v>40</v>
      </c>
      <c r="S593">
        <v>36</v>
      </c>
      <c r="T593">
        <v>1</v>
      </c>
    </row>
    <row r="594" spans="1:20" ht="30" x14ac:dyDescent="0.25">
      <c r="A594" t="s">
        <v>1844</v>
      </c>
      <c r="B594">
        <v>1</v>
      </c>
      <c r="C594" s="2" t="s">
        <v>1845</v>
      </c>
      <c r="D594" s="3">
        <v>9593.1</v>
      </c>
      <c r="E594" s="4">
        <v>4</v>
      </c>
      <c r="F594" t="s">
        <v>55</v>
      </c>
      <c r="G594" s="3">
        <f t="shared" si="45"/>
        <v>9992.81</v>
      </c>
      <c r="H594" s="3">
        <v>0</v>
      </c>
      <c r="I594" s="3">
        <f t="shared" si="46"/>
        <v>9992.81</v>
      </c>
      <c r="J594" s="2" t="s">
        <v>27</v>
      </c>
      <c r="K594" s="5">
        <v>46224.583333333343</v>
      </c>
      <c r="L594">
        <v>1</v>
      </c>
      <c r="M594" s="3">
        <f t="shared" si="47"/>
        <v>9992.81</v>
      </c>
      <c r="N594" t="str">
        <f t="shared" si="48"/>
        <v>ставка</v>
      </c>
      <c r="O594" s="3">
        <f t="shared" si="49"/>
        <v>195.94</v>
      </c>
      <c r="P594" s="5">
        <v>46225.5</v>
      </c>
      <c r="Q594" t="s">
        <v>55</v>
      </c>
      <c r="R594" s="2" t="s">
        <v>33</v>
      </c>
      <c r="S594">
        <v>41</v>
      </c>
      <c r="T594">
        <v>1</v>
      </c>
    </row>
    <row r="595" spans="1:20" ht="30" x14ac:dyDescent="0.25">
      <c r="A595" t="s">
        <v>1846</v>
      </c>
      <c r="B595">
        <v>1</v>
      </c>
      <c r="C595" s="2" t="s">
        <v>1847</v>
      </c>
      <c r="D595" s="3">
        <v>45390</v>
      </c>
      <c r="E595" s="4">
        <v>16</v>
      </c>
      <c r="F595" t="s">
        <v>36</v>
      </c>
      <c r="G595" s="3">
        <f t="shared" si="45"/>
        <v>54035.71</v>
      </c>
      <c r="H595" s="3">
        <v>0</v>
      </c>
      <c r="I595" s="3">
        <f t="shared" si="46"/>
        <v>54035.71</v>
      </c>
      <c r="J595" s="2" t="s">
        <v>27</v>
      </c>
      <c r="K595" s="5">
        <v>46256.583333333343</v>
      </c>
      <c r="L595">
        <v>4</v>
      </c>
      <c r="M595" s="3">
        <f t="shared" si="47"/>
        <v>13508.9275</v>
      </c>
      <c r="N595" t="str">
        <f t="shared" si="48"/>
        <v>ставка</v>
      </c>
      <c r="O595" s="3">
        <f t="shared" si="49"/>
        <v>1059.52</v>
      </c>
      <c r="P595" s="5">
        <v>46260.5</v>
      </c>
      <c r="Q595" t="s">
        <v>36</v>
      </c>
      <c r="R595" s="2" t="s">
        <v>40</v>
      </c>
      <c r="S595">
        <v>42</v>
      </c>
      <c r="T595">
        <v>1</v>
      </c>
    </row>
    <row r="596" spans="1:20" ht="30" x14ac:dyDescent="0.25">
      <c r="A596" t="s">
        <v>1848</v>
      </c>
      <c r="B596">
        <v>1</v>
      </c>
      <c r="C596" s="2" t="s">
        <v>1849</v>
      </c>
      <c r="D596" s="3">
        <v>7900</v>
      </c>
      <c r="E596" s="4">
        <v>0</v>
      </c>
      <c r="F596" t="s">
        <v>23</v>
      </c>
      <c r="G596" s="3">
        <f t="shared" si="45"/>
        <v>7900</v>
      </c>
      <c r="H596" s="3">
        <v>0</v>
      </c>
      <c r="I596" s="3">
        <f t="shared" si="46"/>
        <v>7900</v>
      </c>
      <c r="J596" s="2" t="s">
        <v>27</v>
      </c>
      <c r="K596" s="5">
        <v>46215.583333333343</v>
      </c>
      <c r="L596">
        <v>1</v>
      </c>
      <c r="M596" s="3">
        <f t="shared" si="47"/>
        <v>7900</v>
      </c>
      <c r="N596" t="str">
        <f t="shared" si="48"/>
        <v>ставка</v>
      </c>
      <c r="O596" s="3">
        <f t="shared" si="49"/>
        <v>154.9</v>
      </c>
      <c r="P596" s="5">
        <v>46216.5</v>
      </c>
      <c r="Q596" t="s">
        <v>23</v>
      </c>
      <c r="R596" s="2" t="s">
        <v>33</v>
      </c>
      <c r="S596">
        <v>47</v>
      </c>
      <c r="T596">
        <v>1</v>
      </c>
    </row>
    <row r="597" spans="1:20" ht="30" x14ac:dyDescent="0.25">
      <c r="A597" t="s">
        <v>1850</v>
      </c>
      <c r="B597">
        <v>1</v>
      </c>
      <c r="C597" s="2" t="s">
        <v>1851</v>
      </c>
      <c r="D597" s="3">
        <v>37228</v>
      </c>
      <c r="E597" s="4">
        <v>18</v>
      </c>
      <c r="F597" t="s">
        <v>147</v>
      </c>
      <c r="G597" s="3">
        <f t="shared" si="45"/>
        <v>45400</v>
      </c>
      <c r="H597" s="3">
        <v>0</v>
      </c>
      <c r="I597" s="3">
        <f t="shared" si="46"/>
        <v>45400</v>
      </c>
      <c r="J597" s="2" t="s">
        <v>27</v>
      </c>
      <c r="K597" s="5">
        <v>46216.583333333343</v>
      </c>
      <c r="L597">
        <v>4</v>
      </c>
      <c r="M597" s="3">
        <f t="shared" si="47"/>
        <v>11350</v>
      </c>
      <c r="N597" t="str">
        <f t="shared" si="48"/>
        <v>ставка</v>
      </c>
      <c r="O597" s="3">
        <f t="shared" si="49"/>
        <v>890.2</v>
      </c>
      <c r="P597" s="5">
        <v>46220.5</v>
      </c>
      <c r="Q597" t="s">
        <v>147</v>
      </c>
      <c r="R597" s="2" t="s">
        <v>40</v>
      </c>
      <c r="S597">
        <v>23</v>
      </c>
      <c r="T597">
        <v>1</v>
      </c>
    </row>
    <row r="598" spans="1:20" ht="30" x14ac:dyDescent="0.25">
      <c r="A598" t="s">
        <v>1853</v>
      </c>
      <c r="B598">
        <v>1</v>
      </c>
      <c r="C598" s="2" t="s">
        <v>1854</v>
      </c>
      <c r="D598" s="3">
        <v>7425</v>
      </c>
      <c r="E598" s="4">
        <v>25</v>
      </c>
      <c r="F598" t="s">
        <v>32</v>
      </c>
      <c r="G598" s="3">
        <f t="shared" si="45"/>
        <v>9900</v>
      </c>
      <c r="H598" s="3">
        <v>0</v>
      </c>
      <c r="I598" s="3">
        <f t="shared" si="46"/>
        <v>9900</v>
      </c>
      <c r="J598" s="2" t="s">
        <v>27</v>
      </c>
      <c r="K598" s="5">
        <v>46291.583333333343</v>
      </c>
      <c r="L598">
        <v>1</v>
      </c>
      <c r="M598" s="3">
        <f t="shared" si="47"/>
        <v>9900</v>
      </c>
      <c r="N598" t="str">
        <f t="shared" si="48"/>
        <v>ставка</v>
      </c>
      <c r="O598" s="3">
        <f t="shared" si="49"/>
        <v>194.12</v>
      </c>
      <c r="P598" s="5">
        <v>46292.5</v>
      </c>
      <c r="Q598" t="s">
        <v>32</v>
      </c>
      <c r="R598" s="2" t="s">
        <v>33</v>
      </c>
      <c r="S598">
        <v>41</v>
      </c>
      <c r="T598">
        <v>1</v>
      </c>
    </row>
    <row r="599" spans="1:20" ht="30" x14ac:dyDescent="0.25">
      <c r="A599" t="s">
        <v>1855</v>
      </c>
      <c r="B599">
        <v>1</v>
      </c>
      <c r="C599" s="2" t="s">
        <v>1856</v>
      </c>
      <c r="D599" s="3">
        <v>16252.5</v>
      </c>
      <c r="E599" s="4">
        <v>4</v>
      </c>
      <c r="F599" t="s">
        <v>55</v>
      </c>
      <c r="G599" s="3">
        <f t="shared" si="45"/>
        <v>16929.689999999999</v>
      </c>
      <c r="H599" s="3">
        <v>0</v>
      </c>
      <c r="I599" s="3">
        <f t="shared" si="46"/>
        <v>16929.689999999999</v>
      </c>
      <c r="J599" s="2" t="s">
        <v>27</v>
      </c>
      <c r="K599" s="5">
        <v>46241.583333333343</v>
      </c>
      <c r="L599">
        <v>1</v>
      </c>
      <c r="M599" s="3">
        <f t="shared" si="47"/>
        <v>16929.689999999999</v>
      </c>
      <c r="N599" t="str">
        <f t="shared" si="48"/>
        <v>ставка</v>
      </c>
      <c r="O599" s="3">
        <f t="shared" si="49"/>
        <v>331.95</v>
      </c>
      <c r="P599" s="5">
        <v>46242.5</v>
      </c>
      <c r="Q599" t="s">
        <v>55</v>
      </c>
      <c r="R599" s="2" t="s">
        <v>49</v>
      </c>
      <c r="S599">
        <v>25</v>
      </c>
      <c r="T599">
        <v>1</v>
      </c>
    </row>
    <row r="600" spans="1:20" ht="30" x14ac:dyDescent="0.25">
      <c r="A600" t="s">
        <v>1857</v>
      </c>
      <c r="B600">
        <v>1</v>
      </c>
      <c r="C600" s="2" t="s">
        <v>1858</v>
      </c>
      <c r="D600" s="3">
        <v>66549.75</v>
      </c>
      <c r="E600" s="4">
        <v>4</v>
      </c>
      <c r="F600" t="s">
        <v>55</v>
      </c>
      <c r="G600" s="3">
        <f t="shared" si="45"/>
        <v>69322.66</v>
      </c>
      <c r="H600" s="3">
        <v>0</v>
      </c>
      <c r="I600" s="3">
        <f t="shared" si="46"/>
        <v>69322.66</v>
      </c>
      <c r="J600" s="2" t="s">
        <v>27</v>
      </c>
      <c r="K600" s="5">
        <v>46253.625</v>
      </c>
      <c r="L600">
        <v>5</v>
      </c>
      <c r="M600" s="3">
        <f t="shared" si="47"/>
        <v>13864.532000000001</v>
      </c>
      <c r="N600" t="str">
        <f t="shared" si="48"/>
        <v>ставка</v>
      </c>
      <c r="O600" s="3">
        <f t="shared" si="49"/>
        <v>1359.27</v>
      </c>
      <c r="P600" s="5">
        <v>46258.5</v>
      </c>
      <c r="Q600" t="s">
        <v>55</v>
      </c>
      <c r="R600" s="2" t="s">
        <v>40</v>
      </c>
      <c r="S600">
        <v>46</v>
      </c>
      <c r="T600">
        <v>1</v>
      </c>
    </row>
    <row r="601" spans="1:20" ht="30" x14ac:dyDescent="0.25">
      <c r="A601" t="s">
        <v>1859</v>
      </c>
      <c r="B601">
        <v>1</v>
      </c>
      <c r="C601" s="2" t="s">
        <v>1860</v>
      </c>
      <c r="D601" s="3">
        <v>9080</v>
      </c>
      <c r="E601" s="4">
        <v>20</v>
      </c>
      <c r="F601" t="s">
        <v>103</v>
      </c>
      <c r="G601" s="3">
        <f t="shared" si="45"/>
        <v>11350</v>
      </c>
      <c r="H601" s="3">
        <v>0</v>
      </c>
      <c r="I601" s="3">
        <f t="shared" si="46"/>
        <v>11350</v>
      </c>
      <c r="J601" s="2" t="s">
        <v>27</v>
      </c>
      <c r="K601" s="5">
        <v>46280.583333333343</v>
      </c>
      <c r="L601">
        <v>1</v>
      </c>
      <c r="M601" s="3">
        <f t="shared" si="47"/>
        <v>11350</v>
      </c>
      <c r="N601" t="str">
        <f t="shared" si="48"/>
        <v>ставка</v>
      </c>
      <c r="O601" s="3">
        <f t="shared" si="49"/>
        <v>222.55</v>
      </c>
      <c r="P601" s="5">
        <v>46281.5</v>
      </c>
      <c r="Q601" t="s">
        <v>103</v>
      </c>
      <c r="R601" s="2" t="s">
        <v>40</v>
      </c>
      <c r="S601">
        <v>22</v>
      </c>
      <c r="T601">
        <v>1</v>
      </c>
    </row>
    <row r="602" spans="1:20" ht="30" x14ac:dyDescent="0.25">
      <c r="A602" t="s">
        <v>1861</v>
      </c>
      <c r="B602">
        <v>1</v>
      </c>
      <c r="C602" s="2" t="s">
        <v>1862</v>
      </c>
      <c r="D602" s="3">
        <v>19295</v>
      </c>
      <c r="E602" s="4">
        <v>15</v>
      </c>
      <c r="F602" t="s">
        <v>168</v>
      </c>
      <c r="G602" s="3">
        <f t="shared" si="45"/>
        <v>22700</v>
      </c>
      <c r="H602" s="3">
        <v>0</v>
      </c>
      <c r="I602" s="3">
        <f t="shared" si="46"/>
        <v>22700</v>
      </c>
      <c r="J602" s="2" t="s">
        <v>27</v>
      </c>
      <c r="K602" s="5">
        <v>46203.583333333343</v>
      </c>
      <c r="L602">
        <v>2</v>
      </c>
      <c r="M602" s="3">
        <f t="shared" si="47"/>
        <v>11350</v>
      </c>
      <c r="N602" t="str">
        <f t="shared" si="48"/>
        <v>ставка</v>
      </c>
      <c r="O602" s="3">
        <f t="shared" si="49"/>
        <v>445.1</v>
      </c>
      <c r="P602" s="5">
        <v>46205.5</v>
      </c>
      <c r="Q602" t="s">
        <v>168</v>
      </c>
      <c r="R602" s="2" t="s">
        <v>40</v>
      </c>
      <c r="S602">
        <v>22</v>
      </c>
      <c r="T602">
        <v>1</v>
      </c>
    </row>
    <row r="603" spans="1:20" ht="30" x14ac:dyDescent="0.25">
      <c r="A603" t="s">
        <v>1865</v>
      </c>
      <c r="B603">
        <v>1</v>
      </c>
      <c r="C603" s="2" t="s">
        <v>1866</v>
      </c>
      <c r="D603" s="3">
        <v>11347.5</v>
      </c>
      <c r="E603" s="4">
        <v>0</v>
      </c>
      <c r="F603" t="s">
        <v>245</v>
      </c>
      <c r="G603" s="3">
        <f t="shared" si="45"/>
        <v>11347.5</v>
      </c>
      <c r="H603" s="3">
        <v>0</v>
      </c>
      <c r="I603" s="3">
        <f t="shared" si="46"/>
        <v>11347.5</v>
      </c>
      <c r="J603" s="2" t="s">
        <v>27</v>
      </c>
      <c r="K603" s="5">
        <v>46217.583333333343</v>
      </c>
      <c r="L603">
        <v>1</v>
      </c>
      <c r="M603" s="3">
        <f t="shared" si="47"/>
        <v>11347.5</v>
      </c>
      <c r="N603" t="str">
        <f t="shared" si="48"/>
        <v>ставка</v>
      </c>
      <c r="O603" s="3">
        <f t="shared" si="49"/>
        <v>222.5</v>
      </c>
      <c r="P603" s="5">
        <v>46218.5</v>
      </c>
      <c r="Q603" t="s">
        <v>245</v>
      </c>
      <c r="R603" s="2" t="s">
        <v>40</v>
      </c>
      <c r="S603">
        <v>22</v>
      </c>
      <c r="T603">
        <v>1</v>
      </c>
    </row>
    <row r="604" spans="1:20" ht="30" x14ac:dyDescent="0.25">
      <c r="A604" t="s">
        <v>1867</v>
      </c>
      <c r="B604">
        <v>1</v>
      </c>
      <c r="C604" s="2" t="s">
        <v>1866</v>
      </c>
      <c r="D604" s="3">
        <v>33660</v>
      </c>
      <c r="E604" s="4">
        <v>0</v>
      </c>
      <c r="F604" t="s">
        <v>245</v>
      </c>
      <c r="G604" s="3">
        <f t="shared" si="45"/>
        <v>33660</v>
      </c>
      <c r="H604" s="3">
        <v>0</v>
      </c>
      <c r="I604" s="3">
        <f t="shared" si="46"/>
        <v>33660</v>
      </c>
      <c r="J604" s="2" t="s">
        <v>27</v>
      </c>
      <c r="K604" s="5">
        <v>46218.583333333343</v>
      </c>
      <c r="L604">
        <v>4</v>
      </c>
      <c r="M604" s="3">
        <f t="shared" si="47"/>
        <v>8415</v>
      </c>
      <c r="N604" t="str">
        <f t="shared" si="48"/>
        <v>ставка</v>
      </c>
      <c r="O604" s="3">
        <f t="shared" si="49"/>
        <v>660</v>
      </c>
      <c r="P604" s="5">
        <v>46222.5</v>
      </c>
      <c r="Q604" t="s">
        <v>245</v>
      </c>
      <c r="R604" s="2" t="s">
        <v>33</v>
      </c>
      <c r="S604">
        <v>45</v>
      </c>
      <c r="T604">
        <v>1</v>
      </c>
    </row>
    <row r="605" spans="1:20" ht="30" x14ac:dyDescent="0.25">
      <c r="A605" t="s">
        <v>1868</v>
      </c>
      <c r="B605">
        <v>1</v>
      </c>
      <c r="C605" s="2" t="s">
        <v>1869</v>
      </c>
      <c r="D605" s="3">
        <v>45390</v>
      </c>
      <c r="E605" s="4">
        <v>0</v>
      </c>
      <c r="F605" t="s">
        <v>245</v>
      </c>
      <c r="G605" s="3">
        <f t="shared" si="45"/>
        <v>45390</v>
      </c>
      <c r="H605" s="3">
        <v>0</v>
      </c>
      <c r="I605" s="3">
        <f t="shared" si="46"/>
        <v>45390</v>
      </c>
      <c r="J605" s="2" t="s">
        <v>27</v>
      </c>
      <c r="K605" s="5">
        <v>46221.583333333343</v>
      </c>
      <c r="L605">
        <v>4</v>
      </c>
      <c r="M605" s="3">
        <f t="shared" si="47"/>
        <v>11347.5</v>
      </c>
      <c r="N605" t="str">
        <f t="shared" si="48"/>
        <v>ставка</v>
      </c>
      <c r="O605" s="3">
        <f t="shared" si="49"/>
        <v>890</v>
      </c>
      <c r="P605" s="5">
        <v>46225.5</v>
      </c>
      <c r="Q605" t="s">
        <v>245</v>
      </c>
      <c r="R605" s="2" t="s">
        <v>40</v>
      </c>
      <c r="S605">
        <v>42</v>
      </c>
      <c r="T605">
        <v>1</v>
      </c>
    </row>
    <row r="606" spans="1:20" ht="30" x14ac:dyDescent="0.25">
      <c r="A606" t="s">
        <v>1871</v>
      </c>
      <c r="B606">
        <v>1</v>
      </c>
      <c r="C606" s="2" t="s">
        <v>1872</v>
      </c>
      <c r="D606" s="3">
        <v>10900</v>
      </c>
      <c r="E606" s="4">
        <v>0</v>
      </c>
      <c r="F606" t="s">
        <v>23</v>
      </c>
      <c r="G606" s="3">
        <f t="shared" si="45"/>
        <v>10900</v>
      </c>
      <c r="H606" s="3">
        <v>0</v>
      </c>
      <c r="I606" s="3">
        <f t="shared" si="46"/>
        <v>10900</v>
      </c>
      <c r="J606" s="2" t="s">
        <v>27</v>
      </c>
      <c r="K606" s="5">
        <v>46228.583333333343</v>
      </c>
      <c r="L606">
        <v>1</v>
      </c>
      <c r="M606" s="3">
        <f t="shared" si="47"/>
        <v>10900</v>
      </c>
      <c r="N606" t="str">
        <f t="shared" si="48"/>
        <v>ставка</v>
      </c>
      <c r="O606" s="3">
        <f t="shared" si="49"/>
        <v>213.73</v>
      </c>
      <c r="P606" s="5">
        <v>46229.5</v>
      </c>
      <c r="Q606" t="s">
        <v>23</v>
      </c>
      <c r="R606" s="2" t="s">
        <v>40</v>
      </c>
      <c r="S606">
        <v>32</v>
      </c>
      <c r="T606">
        <v>1</v>
      </c>
    </row>
    <row r="607" spans="1:20" ht="30" x14ac:dyDescent="0.25">
      <c r="A607" t="s">
        <v>1875</v>
      </c>
      <c r="B607">
        <v>1</v>
      </c>
      <c r="C607" s="2" t="s">
        <v>1876</v>
      </c>
      <c r="D607" s="3">
        <v>9751.5</v>
      </c>
      <c r="E607" s="4">
        <v>4</v>
      </c>
      <c r="F607" t="s">
        <v>55</v>
      </c>
      <c r="G607" s="3">
        <f t="shared" si="45"/>
        <v>10157.81</v>
      </c>
      <c r="H607" s="3">
        <v>0</v>
      </c>
      <c r="I607" s="3">
        <f t="shared" si="46"/>
        <v>10157.81</v>
      </c>
      <c r="J607" s="2" t="s">
        <v>27</v>
      </c>
      <c r="K607" s="5">
        <v>46221.583333333343</v>
      </c>
      <c r="L607">
        <v>1</v>
      </c>
      <c r="M607" s="3">
        <f t="shared" si="47"/>
        <v>10157.81</v>
      </c>
      <c r="N607" t="str">
        <f t="shared" si="48"/>
        <v>ставка</v>
      </c>
      <c r="O607" s="3">
        <f t="shared" si="49"/>
        <v>199.17</v>
      </c>
      <c r="P607" s="5">
        <v>46222.5</v>
      </c>
      <c r="Q607" t="s">
        <v>55</v>
      </c>
      <c r="R607" s="2" t="s">
        <v>33</v>
      </c>
      <c r="S607">
        <v>43</v>
      </c>
      <c r="T607">
        <v>1</v>
      </c>
    </row>
    <row r="608" spans="1:20" ht="30" x14ac:dyDescent="0.25">
      <c r="A608" t="s">
        <v>1879</v>
      </c>
      <c r="B608">
        <v>1</v>
      </c>
      <c r="C608" s="2" t="s">
        <v>1880</v>
      </c>
      <c r="D608" s="3">
        <v>30037.5</v>
      </c>
      <c r="E608" s="4">
        <v>25</v>
      </c>
      <c r="F608" t="s">
        <v>32</v>
      </c>
      <c r="G608" s="3">
        <f t="shared" si="45"/>
        <v>40050</v>
      </c>
      <c r="H608" s="3">
        <v>0</v>
      </c>
      <c r="I608" s="3">
        <f t="shared" si="46"/>
        <v>40050</v>
      </c>
      <c r="J608" s="2" t="s">
        <v>27</v>
      </c>
      <c r="K608" s="5">
        <v>46291.583333333343</v>
      </c>
      <c r="L608">
        <v>3</v>
      </c>
      <c r="M608" s="3">
        <f t="shared" si="47"/>
        <v>13350</v>
      </c>
      <c r="N608" t="str">
        <f t="shared" si="48"/>
        <v>ставка</v>
      </c>
      <c r="O608" s="3">
        <f t="shared" si="49"/>
        <v>785.29</v>
      </c>
      <c r="P608" s="5">
        <v>46294.5</v>
      </c>
      <c r="Q608" t="s">
        <v>32</v>
      </c>
      <c r="R608" s="2" t="s">
        <v>40</v>
      </c>
      <c r="S608">
        <v>22</v>
      </c>
      <c r="T608">
        <v>1</v>
      </c>
    </row>
    <row r="609" spans="1:20" ht="30" x14ac:dyDescent="0.25">
      <c r="A609" t="s">
        <v>1881</v>
      </c>
      <c r="B609">
        <v>1</v>
      </c>
      <c r="C609" s="2" t="s">
        <v>1882</v>
      </c>
      <c r="D609" s="3">
        <v>6320</v>
      </c>
      <c r="E609" s="4">
        <v>20</v>
      </c>
      <c r="F609" t="s">
        <v>103</v>
      </c>
      <c r="G609" s="3">
        <f t="shared" si="45"/>
        <v>7900</v>
      </c>
      <c r="H609" s="3">
        <v>0</v>
      </c>
      <c r="I609" s="3">
        <f t="shared" si="46"/>
        <v>7900</v>
      </c>
      <c r="J609" s="2" t="s">
        <v>27</v>
      </c>
      <c r="K609" s="5">
        <v>46282.583333333343</v>
      </c>
      <c r="L609">
        <v>1</v>
      </c>
      <c r="M609" s="3">
        <f t="shared" si="47"/>
        <v>7900</v>
      </c>
      <c r="N609" t="str">
        <f t="shared" si="48"/>
        <v>ставка</v>
      </c>
      <c r="O609" s="3">
        <f t="shared" si="49"/>
        <v>154.9</v>
      </c>
      <c r="P609" s="5">
        <v>46283.5</v>
      </c>
      <c r="Q609" t="s">
        <v>103</v>
      </c>
      <c r="R609" s="2" t="s">
        <v>33</v>
      </c>
      <c r="S609">
        <v>41</v>
      </c>
      <c r="T609">
        <v>1</v>
      </c>
    </row>
    <row r="610" spans="1:20" ht="30" x14ac:dyDescent="0.25">
      <c r="A610" t="s">
        <v>1883</v>
      </c>
      <c r="B610">
        <v>1</v>
      </c>
      <c r="C610" s="2" t="s">
        <v>1884</v>
      </c>
      <c r="D610" s="3">
        <v>27240</v>
      </c>
      <c r="E610" s="4">
        <v>20</v>
      </c>
      <c r="F610" t="s">
        <v>32</v>
      </c>
      <c r="G610" s="3">
        <f t="shared" si="45"/>
        <v>34050</v>
      </c>
      <c r="H610" s="3">
        <v>0</v>
      </c>
      <c r="I610" s="3">
        <f t="shared" si="46"/>
        <v>34050</v>
      </c>
      <c r="J610" s="2" t="s">
        <v>27</v>
      </c>
      <c r="K610" s="5">
        <v>46216.583333333343</v>
      </c>
      <c r="L610">
        <v>3</v>
      </c>
      <c r="M610" s="3">
        <f t="shared" si="47"/>
        <v>11350</v>
      </c>
      <c r="N610" t="str">
        <f t="shared" si="48"/>
        <v>ставка</v>
      </c>
      <c r="O610" s="3">
        <f t="shared" si="49"/>
        <v>667.65</v>
      </c>
      <c r="P610" s="5">
        <v>46219.5</v>
      </c>
      <c r="Q610" t="s">
        <v>32</v>
      </c>
      <c r="R610" s="2" t="s">
        <v>40</v>
      </c>
      <c r="S610">
        <v>36</v>
      </c>
      <c r="T610">
        <v>1</v>
      </c>
    </row>
    <row r="611" spans="1:20" ht="30" x14ac:dyDescent="0.25">
      <c r="A611" t="s">
        <v>1885</v>
      </c>
      <c r="B611">
        <v>1</v>
      </c>
      <c r="C611" s="2" t="s">
        <v>1886</v>
      </c>
      <c r="D611" s="3">
        <v>56737.5</v>
      </c>
      <c r="E611" s="4">
        <v>0</v>
      </c>
      <c r="F611" t="s">
        <v>180</v>
      </c>
      <c r="G611" s="3">
        <f t="shared" si="45"/>
        <v>56737.5</v>
      </c>
      <c r="H611" s="3">
        <v>0</v>
      </c>
      <c r="I611" s="3">
        <f t="shared" si="46"/>
        <v>56737.5</v>
      </c>
      <c r="J611" s="2" t="s">
        <v>181</v>
      </c>
      <c r="K611" s="5">
        <v>46216.583333333343</v>
      </c>
      <c r="L611">
        <v>5</v>
      </c>
      <c r="M611" s="3">
        <f t="shared" si="47"/>
        <v>11347.5</v>
      </c>
      <c r="N611" t="str">
        <f t="shared" si="48"/>
        <v>ставка</v>
      </c>
      <c r="O611" s="3">
        <f t="shared" si="49"/>
        <v>1112.5</v>
      </c>
      <c r="P611" s="5">
        <v>46221.5</v>
      </c>
      <c r="Q611" t="s">
        <v>180</v>
      </c>
      <c r="R611" s="2" t="s">
        <v>40</v>
      </c>
      <c r="S611">
        <v>26</v>
      </c>
      <c r="T611">
        <v>1</v>
      </c>
    </row>
    <row r="612" spans="1:20" ht="30" x14ac:dyDescent="0.25">
      <c r="A612" t="s">
        <v>1887</v>
      </c>
      <c r="B612">
        <v>1</v>
      </c>
      <c r="C612" s="2" t="s">
        <v>1888</v>
      </c>
      <c r="D612" s="3">
        <v>27700</v>
      </c>
      <c r="E612" s="4">
        <v>0</v>
      </c>
      <c r="F612" t="s">
        <v>23</v>
      </c>
      <c r="G612" s="3">
        <f t="shared" si="45"/>
        <v>27700</v>
      </c>
      <c r="H612" s="3">
        <v>3445</v>
      </c>
      <c r="I612" s="3">
        <f t="shared" si="46"/>
        <v>31145</v>
      </c>
      <c r="J612" s="2" t="s">
        <v>1889</v>
      </c>
      <c r="K612" s="5">
        <v>46211.583333333343</v>
      </c>
      <c r="L612">
        <v>2</v>
      </c>
      <c r="M612" s="3">
        <f t="shared" si="47"/>
        <v>15572.5</v>
      </c>
      <c r="N612" t="str">
        <f t="shared" si="48"/>
        <v>ставка</v>
      </c>
      <c r="O612" s="3">
        <f t="shared" si="49"/>
        <v>610.69000000000005</v>
      </c>
      <c r="P612" s="5">
        <v>46213.708333333343</v>
      </c>
      <c r="Q612" t="s">
        <v>23</v>
      </c>
      <c r="R612" s="2" t="s">
        <v>49</v>
      </c>
      <c r="S612">
        <v>11</v>
      </c>
      <c r="T612">
        <v>1</v>
      </c>
    </row>
    <row r="613" spans="1:20" ht="30" x14ac:dyDescent="0.25">
      <c r="A613" t="s">
        <v>1890</v>
      </c>
      <c r="B613">
        <v>1</v>
      </c>
      <c r="C613" s="2" t="s">
        <v>1891</v>
      </c>
      <c r="D613" s="3">
        <v>10215</v>
      </c>
      <c r="E613" s="4">
        <v>0</v>
      </c>
      <c r="F613" t="s">
        <v>23</v>
      </c>
      <c r="G613" s="3">
        <f t="shared" si="45"/>
        <v>10215</v>
      </c>
      <c r="H613" s="3">
        <v>0</v>
      </c>
      <c r="I613" s="3">
        <f t="shared" si="46"/>
        <v>10215</v>
      </c>
      <c r="J613" s="2" t="s">
        <v>27</v>
      </c>
      <c r="K613" s="5">
        <v>46252.583333333343</v>
      </c>
      <c r="L613">
        <v>1</v>
      </c>
      <c r="M613" s="3">
        <f t="shared" si="47"/>
        <v>10215</v>
      </c>
      <c r="N613" t="str">
        <f t="shared" si="48"/>
        <v>ставка</v>
      </c>
      <c r="O613" s="3">
        <f t="shared" si="49"/>
        <v>200.29</v>
      </c>
      <c r="P613" s="5">
        <v>46253.5</v>
      </c>
      <c r="Q613" t="s">
        <v>23</v>
      </c>
      <c r="R613" s="2" t="s">
        <v>40</v>
      </c>
      <c r="S613">
        <v>23</v>
      </c>
      <c r="T613">
        <v>1</v>
      </c>
    </row>
    <row r="614" spans="1:20" ht="30" x14ac:dyDescent="0.25">
      <c r="A614" t="s">
        <v>1893</v>
      </c>
      <c r="B614">
        <v>1</v>
      </c>
      <c r="C614" s="2" t="s">
        <v>1894</v>
      </c>
      <c r="D614" s="3">
        <v>36045</v>
      </c>
      <c r="E614" s="4">
        <v>0</v>
      </c>
      <c r="F614" t="s">
        <v>23</v>
      </c>
      <c r="G614" s="3">
        <f t="shared" si="45"/>
        <v>36045</v>
      </c>
      <c r="H614" s="3">
        <v>0</v>
      </c>
      <c r="I614" s="3">
        <f t="shared" si="46"/>
        <v>36045</v>
      </c>
      <c r="J614" s="2" t="s">
        <v>27</v>
      </c>
      <c r="K614" s="5">
        <v>46219.583333333343</v>
      </c>
      <c r="L614">
        <v>3</v>
      </c>
      <c r="M614" s="3">
        <f t="shared" si="47"/>
        <v>12015</v>
      </c>
      <c r="N614" t="str">
        <f t="shared" si="48"/>
        <v>ставка</v>
      </c>
      <c r="O614" s="3">
        <f t="shared" si="49"/>
        <v>706.76</v>
      </c>
      <c r="P614" s="5">
        <v>46222.5</v>
      </c>
      <c r="Q614" t="s">
        <v>23</v>
      </c>
      <c r="R614" s="2" t="s">
        <v>40</v>
      </c>
      <c r="S614">
        <v>33</v>
      </c>
      <c r="T614">
        <v>1</v>
      </c>
    </row>
    <row r="615" spans="1:20" ht="30" x14ac:dyDescent="0.25">
      <c r="A615" t="s">
        <v>1895</v>
      </c>
      <c r="B615">
        <v>1</v>
      </c>
      <c r="C615" s="2" t="s">
        <v>1896</v>
      </c>
      <c r="D615" s="3">
        <v>25720</v>
      </c>
      <c r="E615" s="4">
        <v>20</v>
      </c>
      <c r="F615" t="s">
        <v>48</v>
      </c>
      <c r="G615" s="3">
        <f t="shared" si="45"/>
        <v>32150</v>
      </c>
      <c r="H615" s="3">
        <v>0</v>
      </c>
      <c r="I615" s="3">
        <f t="shared" si="46"/>
        <v>32150</v>
      </c>
      <c r="J615" s="2" t="s">
        <v>27</v>
      </c>
      <c r="K615" s="5">
        <v>46294.583333333343</v>
      </c>
      <c r="L615">
        <v>3</v>
      </c>
      <c r="M615" s="3">
        <f t="shared" si="47"/>
        <v>10716.666666666666</v>
      </c>
      <c r="N615" t="str">
        <f t="shared" si="48"/>
        <v>ставка</v>
      </c>
      <c r="O615" s="3">
        <f t="shared" si="49"/>
        <v>630.39</v>
      </c>
      <c r="P615" s="5">
        <v>46297.5</v>
      </c>
      <c r="Q615" t="s">
        <v>48</v>
      </c>
      <c r="R615" s="2" t="s">
        <v>40</v>
      </c>
      <c r="S615">
        <v>36</v>
      </c>
      <c r="T615">
        <v>1</v>
      </c>
    </row>
    <row r="616" spans="1:20" ht="30" x14ac:dyDescent="0.25">
      <c r="A616" t="s">
        <v>1899</v>
      </c>
      <c r="B616">
        <v>1</v>
      </c>
      <c r="C616" s="2" t="s">
        <v>1900</v>
      </c>
      <c r="D616" s="3">
        <v>18160</v>
      </c>
      <c r="E616" s="4">
        <v>20</v>
      </c>
      <c r="F616" t="s">
        <v>48</v>
      </c>
      <c r="G616" s="3">
        <f t="shared" si="45"/>
        <v>22700</v>
      </c>
      <c r="H616" s="3">
        <v>0</v>
      </c>
      <c r="I616" s="3">
        <f t="shared" si="46"/>
        <v>22700</v>
      </c>
      <c r="J616" s="2" t="s">
        <v>27</v>
      </c>
      <c r="K616" s="5">
        <v>46211.583333333343</v>
      </c>
      <c r="L616">
        <v>2</v>
      </c>
      <c r="M616" s="3">
        <f t="shared" si="47"/>
        <v>11350</v>
      </c>
      <c r="N616" t="str">
        <f t="shared" si="48"/>
        <v>ставка</v>
      </c>
      <c r="O616" s="3">
        <f t="shared" si="49"/>
        <v>445.1</v>
      </c>
      <c r="P616" s="5">
        <v>46213.5</v>
      </c>
      <c r="Q616" t="s">
        <v>48</v>
      </c>
      <c r="R616" s="2" t="s">
        <v>40</v>
      </c>
      <c r="S616">
        <v>46</v>
      </c>
      <c r="T616">
        <v>1</v>
      </c>
    </row>
    <row r="617" spans="1:20" ht="30" x14ac:dyDescent="0.25">
      <c r="A617" t="s">
        <v>1903</v>
      </c>
      <c r="B617">
        <v>1</v>
      </c>
      <c r="C617" s="2" t="s">
        <v>1904</v>
      </c>
      <c r="D617" s="3">
        <v>9080</v>
      </c>
      <c r="E617" s="4">
        <v>20</v>
      </c>
      <c r="F617" t="s">
        <v>103</v>
      </c>
      <c r="G617" s="3">
        <f t="shared" si="45"/>
        <v>11350</v>
      </c>
      <c r="H617" s="3">
        <v>0</v>
      </c>
      <c r="I617" s="3">
        <f t="shared" si="46"/>
        <v>11350</v>
      </c>
      <c r="J617" s="2" t="s">
        <v>27</v>
      </c>
      <c r="K617" s="5">
        <v>46281.583333333343</v>
      </c>
      <c r="L617">
        <v>1</v>
      </c>
      <c r="M617" s="3">
        <f t="shared" si="47"/>
        <v>11350</v>
      </c>
      <c r="N617" t="str">
        <f t="shared" si="48"/>
        <v>ставка</v>
      </c>
      <c r="O617" s="3">
        <f t="shared" si="49"/>
        <v>222.55</v>
      </c>
      <c r="P617" s="5">
        <v>46282.5</v>
      </c>
      <c r="Q617" t="s">
        <v>103</v>
      </c>
      <c r="R617" s="2" t="s">
        <v>40</v>
      </c>
      <c r="S617">
        <v>22</v>
      </c>
      <c r="T617">
        <v>1</v>
      </c>
    </row>
    <row r="618" spans="1:20" ht="30" x14ac:dyDescent="0.25">
      <c r="A618" t="s">
        <v>1908</v>
      </c>
      <c r="B618">
        <v>1</v>
      </c>
      <c r="C618" s="2" t="s">
        <v>1909</v>
      </c>
      <c r="D618" s="3">
        <v>19754</v>
      </c>
      <c r="E618" s="4">
        <v>17</v>
      </c>
      <c r="F618" t="s">
        <v>130</v>
      </c>
      <c r="G618" s="3">
        <f t="shared" si="45"/>
        <v>23800</v>
      </c>
      <c r="H618" s="3">
        <v>2480</v>
      </c>
      <c r="I618" s="3">
        <f t="shared" si="46"/>
        <v>26280</v>
      </c>
      <c r="J618" s="2" t="s">
        <v>1910</v>
      </c>
      <c r="K618" s="5">
        <v>46228.583333333343</v>
      </c>
      <c r="L618">
        <v>2</v>
      </c>
      <c r="M618" s="3">
        <f t="shared" si="47"/>
        <v>13140</v>
      </c>
      <c r="N618" t="str">
        <f t="shared" si="48"/>
        <v>ставка</v>
      </c>
      <c r="O618" s="3">
        <f t="shared" si="49"/>
        <v>515.29</v>
      </c>
      <c r="P618" s="5">
        <v>46230.708333333343</v>
      </c>
      <c r="Q618" t="s">
        <v>130</v>
      </c>
      <c r="R618" s="2" t="s">
        <v>24</v>
      </c>
      <c r="S618">
        <v>31</v>
      </c>
      <c r="T618">
        <v>1</v>
      </c>
    </row>
    <row r="619" spans="1:20" x14ac:dyDescent="0.25">
      <c r="A619" t="s">
        <v>1911</v>
      </c>
      <c r="B619">
        <v>1</v>
      </c>
      <c r="C619" s="2" t="s">
        <v>1912</v>
      </c>
      <c r="D619" s="3">
        <v>14850</v>
      </c>
      <c r="E619" s="4">
        <v>0</v>
      </c>
      <c r="F619" t="s">
        <v>23</v>
      </c>
      <c r="G619" s="3">
        <f t="shared" si="45"/>
        <v>14850</v>
      </c>
      <c r="H619" s="3">
        <v>0</v>
      </c>
      <c r="I619" s="3">
        <f t="shared" si="46"/>
        <v>14850</v>
      </c>
      <c r="J619" s="2" t="s">
        <v>27</v>
      </c>
      <c r="K619" s="5">
        <v>46254.583333333343</v>
      </c>
      <c r="L619">
        <v>1</v>
      </c>
      <c r="M619" s="3">
        <f t="shared" si="47"/>
        <v>14850</v>
      </c>
      <c r="N619" t="str">
        <f t="shared" si="48"/>
        <v>ставка</v>
      </c>
      <c r="O619" s="3">
        <f t="shared" si="49"/>
        <v>291.18</v>
      </c>
      <c r="P619" s="5">
        <v>46255.5</v>
      </c>
      <c r="Q619" t="s">
        <v>23</v>
      </c>
      <c r="R619" s="2" t="s">
        <v>49</v>
      </c>
      <c r="S619">
        <v>35</v>
      </c>
      <c r="T619">
        <v>1</v>
      </c>
    </row>
    <row r="620" spans="1:20" ht="30" x14ac:dyDescent="0.25">
      <c r="A620" t="s">
        <v>1916</v>
      </c>
      <c r="B620">
        <v>1</v>
      </c>
      <c r="C620" s="2" t="s">
        <v>1917</v>
      </c>
      <c r="D620" s="3">
        <v>21360</v>
      </c>
      <c r="E620" s="4">
        <v>0</v>
      </c>
      <c r="F620" t="s">
        <v>23</v>
      </c>
      <c r="G620" s="3">
        <f t="shared" si="45"/>
        <v>21360</v>
      </c>
      <c r="H620" s="3">
        <v>0</v>
      </c>
      <c r="I620" s="3">
        <f t="shared" si="46"/>
        <v>21360</v>
      </c>
      <c r="J620" s="2" t="s">
        <v>27</v>
      </c>
      <c r="K620" s="5">
        <v>46248.583333333343</v>
      </c>
      <c r="L620">
        <v>2</v>
      </c>
      <c r="M620" s="3">
        <f t="shared" si="47"/>
        <v>10680</v>
      </c>
      <c r="N620" t="str">
        <f t="shared" si="48"/>
        <v>ставка</v>
      </c>
      <c r="O620" s="3">
        <f t="shared" si="49"/>
        <v>418.82</v>
      </c>
      <c r="P620" s="5">
        <v>46250.5</v>
      </c>
      <c r="Q620" t="s">
        <v>23</v>
      </c>
      <c r="R620" s="2" t="s">
        <v>40</v>
      </c>
      <c r="S620">
        <v>23</v>
      </c>
      <c r="T620">
        <v>1</v>
      </c>
    </row>
    <row r="621" spans="1:20" ht="30" x14ac:dyDescent="0.25">
      <c r="A621" t="s">
        <v>1918</v>
      </c>
      <c r="B621">
        <v>1</v>
      </c>
      <c r="C621" s="2" t="s">
        <v>1919</v>
      </c>
      <c r="D621" s="3">
        <v>6468</v>
      </c>
      <c r="E621" s="4">
        <v>16</v>
      </c>
      <c r="F621" t="s">
        <v>36</v>
      </c>
      <c r="G621" s="3">
        <f t="shared" si="45"/>
        <v>7700</v>
      </c>
      <c r="H621" s="3">
        <v>0</v>
      </c>
      <c r="I621" s="3">
        <f t="shared" si="46"/>
        <v>7700</v>
      </c>
      <c r="J621" s="2" t="s">
        <v>27</v>
      </c>
      <c r="K621" s="5">
        <v>46271.583333333343</v>
      </c>
      <c r="L621">
        <v>1</v>
      </c>
      <c r="M621" s="3">
        <f t="shared" si="47"/>
        <v>7700</v>
      </c>
      <c r="N621" t="str">
        <f t="shared" si="48"/>
        <v>ставка</v>
      </c>
      <c r="O621" s="3">
        <f t="shared" si="49"/>
        <v>150.97999999999999</v>
      </c>
      <c r="P621" s="5">
        <v>46272.5</v>
      </c>
      <c r="Q621" t="s">
        <v>36</v>
      </c>
      <c r="R621" s="2" t="s">
        <v>58</v>
      </c>
      <c r="S621">
        <v>34</v>
      </c>
      <c r="T621">
        <v>1</v>
      </c>
    </row>
    <row r="622" spans="1:20" ht="30" x14ac:dyDescent="0.25">
      <c r="A622" t="s">
        <v>1920</v>
      </c>
      <c r="B622">
        <v>1</v>
      </c>
      <c r="C622" s="2" t="s">
        <v>1921</v>
      </c>
      <c r="D622" s="3">
        <v>11214</v>
      </c>
      <c r="E622" s="4">
        <v>16</v>
      </c>
      <c r="F622" t="s">
        <v>36</v>
      </c>
      <c r="G622" s="3">
        <f t="shared" si="45"/>
        <v>13350</v>
      </c>
      <c r="H622" s="3">
        <v>0</v>
      </c>
      <c r="I622" s="3">
        <f t="shared" si="46"/>
        <v>13350</v>
      </c>
      <c r="J622" s="2" t="s">
        <v>27</v>
      </c>
      <c r="K622" s="5">
        <v>46269.583333333343</v>
      </c>
      <c r="L622">
        <v>1</v>
      </c>
      <c r="M622" s="3">
        <f t="shared" si="47"/>
        <v>13350</v>
      </c>
      <c r="N622" t="str">
        <f t="shared" si="48"/>
        <v>ставка</v>
      </c>
      <c r="O622" s="3">
        <f t="shared" si="49"/>
        <v>261.76</v>
      </c>
      <c r="P622" s="5">
        <v>46270.5</v>
      </c>
      <c r="Q622" t="s">
        <v>36</v>
      </c>
      <c r="R622" s="2" t="s">
        <v>40</v>
      </c>
      <c r="S622">
        <v>46</v>
      </c>
      <c r="T622">
        <v>1</v>
      </c>
    </row>
    <row r="623" spans="1:20" ht="30" x14ac:dyDescent="0.25">
      <c r="A623" t="s">
        <v>1922</v>
      </c>
      <c r="B623">
        <v>1</v>
      </c>
      <c r="C623" s="2" t="s">
        <v>1923</v>
      </c>
      <c r="D623" s="3">
        <v>9080</v>
      </c>
      <c r="E623" s="4">
        <v>20</v>
      </c>
      <c r="F623" t="s">
        <v>103</v>
      </c>
      <c r="G623" s="3">
        <f t="shared" si="45"/>
        <v>11350</v>
      </c>
      <c r="H623" s="3">
        <v>0</v>
      </c>
      <c r="I623" s="3">
        <f t="shared" si="46"/>
        <v>11350</v>
      </c>
      <c r="J623" s="2" t="s">
        <v>27</v>
      </c>
      <c r="K623" s="5">
        <v>46283.583333333343</v>
      </c>
      <c r="L623">
        <v>1</v>
      </c>
      <c r="M623" s="3">
        <f t="shared" si="47"/>
        <v>11350</v>
      </c>
      <c r="N623" t="str">
        <f t="shared" si="48"/>
        <v>ставка</v>
      </c>
      <c r="O623" s="3">
        <f t="shared" si="49"/>
        <v>222.55</v>
      </c>
      <c r="P623" s="5">
        <v>46284.5</v>
      </c>
      <c r="Q623" t="s">
        <v>103</v>
      </c>
      <c r="R623" s="2" t="s">
        <v>40</v>
      </c>
      <c r="S623">
        <v>23</v>
      </c>
      <c r="T623">
        <v>1</v>
      </c>
    </row>
    <row r="624" spans="1:20" ht="30" x14ac:dyDescent="0.25">
      <c r="A624" t="s">
        <v>1924</v>
      </c>
      <c r="B624">
        <v>1</v>
      </c>
      <c r="C624" s="2" t="s">
        <v>1925</v>
      </c>
      <c r="D624" s="3">
        <v>9080</v>
      </c>
      <c r="E624" s="4">
        <v>20</v>
      </c>
      <c r="F624" t="s">
        <v>48</v>
      </c>
      <c r="G624" s="3">
        <f t="shared" si="45"/>
        <v>11350</v>
      </c>
      <c r="H624" s="3">
        <v>0</v>
      </c>
      <c r="I624" s="3">
        <f t="shared" si="46"/>
        <v>11350</v>
      </c>
      <c r="J624" s="2" t="s">
        <v>27</v>
      </c>
      <c r="K624" s="5">
        <v>46290.583333333343</v>
      </c>
      <c r="L624">
        <v>1</v>
      </c>
      <c r="M624" s="3">
        <f t="shared" si="47"/>
        <v>11350</v>
      </c>
      <c r="N624" t="str">
        <f t="shared" si="48"/>
        <v>ставка</v>
      </c>
      <c r="O624" s="3">
        <f t="shared" si="49"/>
        <v>222.55</v>
      </c>
      <c r="P624" s="5">
        <v>46291.5</v>
      </c>
      <c r="Q624" t="s">
        <v>48</v>
      </c>
      <c r="R624" s="2" t="s">
        <v>40</v>
      </c>
      <c r="S624">
        <v>23</v>
      </c>
      <c r="T624">
        <v>1</v>
      </c>
    </row>
    <row r="625" spans="1:21" ht="30" x14ac:dyDescent="0.25">
      <c r="A625" t="s">
        <v>1928</v>
      </c>
      <c r="B625">
        <v>1</v>
      </c>
      <c r="C625" s="2" t="s">
        <v>1929</v>
      </c>
      <c r="D625" s="3">
        <v>22428</v>
      </c>
      <c r="E625" s="4">
        <v>16</v>
      </c>
      <c r="F625" t="s">
        <v>36</v>
      </c>
      <c r="G625" s="3">
        <f t="shared" si="45"/>
        <v>26700</v>
      </c>
      <c r="H625" s="3">
        <v>0</v>
      </c>
      <c r="I625" s="3">
        <f t="shared" si="46"/>
        <v>26700</v>
      </c>
      <c r="J625" s="2" t="s">
        <v>27</v>
      </c>
      <c r="K625" s="5">
        <v>46269.583333333343</v>
      </c>
      <c r="L625">
        <v>2</v>
      </c>
      <c r="M625" s="3">
        <f t="shared" si="47"/>
        <v>13350</v>
      </c>
      <c r="N625" t="str">
        <f t="shared" si="48"/>
        <v>ставка</v>
      </c>
      <c r="O625" s="3">
        <f t="shared" si="49"/>
        <v>523.53</v>
      </c>
      <c r="P625" s="5">
        <v>46271.5</v>
      </c>
      <c r="Q625" t="s">
        <v>36</v>
      </c>
      <c r="R625" s="2" t="s">
        <v>40</v>
      </c>
      <c r="S625">
        <v>32</v>
      </c>
      <c r="T625">
        <v>1</v>
      </c>
    </row>
    <row r="626" spans="1:21" ht="30" x14ac:dyDescent="0.25">
      <c r="A626" t="s">
        <v>1934</v>
      </c>
      <c r="B626">
        <v>1</v>
      </c>
      <c r="C626" s="2" t="s">
        <v>1935</v>
      </c>
      <c r="D626" s="3">
        <v>40584</v>
      </c>
      <c r="E626" s="4">
        <v>20</v>
      </c>
      <c r="F626" t="s">
        <v>32</v>
      </c>
      <c r="G626" s="3">
        <f t="shared" si="45"/>
        <v>50730</v>
      </c>
      <c r="H626" s="3">
        <v>0</v>
      </c>
      <c r="I626" s="3">
        <f t="shared" si="46"/>
        <v>50730</v>
      </c>
      <c r="J626" s="2" t="s">
        <v>27</v>
      </c>
      <c r="K626" s="5">
        <v>46236.583333333343</v>
      </c>
      <c r="L626">
        <v>4</v>
      </c>
      <c r="M626" s="17" t="s">
        <v>1960</v>
      </c>
      <c r="N626" t="str">
        <f t="shared" si="48"/>
        <v>ставка</v>
      </c>
      <c r="O626" s="3">
        <f t="shared" si="49"/>
        <v>994.71</v>
      </c>
      <c r="P626" s="5">
        <v>46240.5</v>
      </c>
      <c r="Q626" t="s">
        <v>32</v>
      </c>
      <c r="R626" s="2" t="s">
        <v>40</v>
      </c>
      <c r="S626">
        <v>23</v>
      </c>
      <c r="T626">
        <v>1</v>
      </c>
    </row>
    <row r="627" spans="1:21" ht="30" x14ac:dyDescent="0.25">
      <c r="A627" t="s">
        <v>1936</v>
      </c>
      <c r="B627">
        <v>1</v>
      </c>
      <c r="C627" s="2" t="s">
        <v>1937</v>
      </c>
      <c r="D627" s="3">
        <v>45390</v>
      </c>
      <c r="E627" s="4">
        <v>15</v>
      </c>
      <c r="F627" t="s">
        <v>73</v>
      </c>
      <c r="G627" s="3">
        <f t="shared" si="45"/>
        <v>53400</v>
      </c>
      <c r="H627" s="3">
        <v>0</v>
      </c>
      <c r="I627" s="3">
        <f t="shared" si="46"/>
        <v>53400</v>
      </c>
      <c r="J627" s="2" t="s">
        <v>27</v>
      </c>
      <c r="K627" s="5">
        <v>46230.583333333343</v>
      </c>
      <c r="L627">
        <v>4</v>
      </c>
      <c r="M627" s="3">
        <f t="shared" si="47"/>
        <v>13350</v>
      </c>
      <c r="N627" t="str">
        <f t="shared" si="48"/>
        <v>ставка</v>
      </c>
      <c r="O627" s="3">
        <f t="shared" si="49"/>
        <v>1047.06</v>
      </c>
      <c r="P627" s="5">
        <v>46234.5</v>
      </c>
      <c r="Q627" t="s">
        <v>73</v>
      </c>
      <c r="R627" s="2" t="s">
        <v>40</v>
      </c>
      <c r="S627">
        <v>26</v>
      </c>
      <c r="T627">
        <v>1</v>
      </c>
    </row>
    <row r="628" spans="1:21" ht="30" x14ac:dyDescent="0.25">
      <c r="A628" t="s">
        <v>1938</v>
      </c>
      <c r="B628">
        <v>1</v>
      </c>
      <c r="C628" s="2" t="s">
        <v>1939</v>
      </c>
      <c r="D628" s="3">
        <v>12320</v>
      </c>
      <c r="E628" s="4">
        <v>20</v>
      </c>
      <c r="F628" t="s">
        <v>48</v>
      </c>
      <c r="G628" s="3">
        <f t="shared" si="45"/>
        <v>15400</v>
      </c>
      <c r="H628" s="3">
        <v>0</v>
      </c>
      <c r="I628" s="3">
        <f t="shared" si="46"/>
        <v>15400</v>
      </c>
      <c r="J628" s="2" t="s">
        <v>27</v>
      </c>
      <c r="K628" s="5">
        <v>46259.583333333343</v>
      </c>
      <c r="L628">
        <v>2</v>
      </c>
      <c r="M628" s="3">
        <f t="shared" si="47"/>
        <v>7700</v>
      </c>
      <c r="N628" t="str">
        <f t="shared" si="48"/>
        <v>ставка</v>
      </c>
      <c r="O628" s="3">
        <f t="shared" si="49"/>
        <v>301.95999999999998</v>
      </c>
      <c r="P628" s="5">
        <v>46261.5</v>
      </c>
      <c r="Q628" t="s">
        <v>48</v>
      </c>
      <c r="R628" s="2" t="s">
        <v>58</v>
      </c>
      <c r="S628">
        <v>24</v>
      </c>
      <c r="T628">
        <v>1</v>
      </c>
    </row>
    <row r="629" spans="1:21" ht="30" x14ac:dyDescent="0.25">
      <c r="A629" t="s">
        <v>1942</v>
      </c>
      <c r="B629">
        <v>1</v>
      </c>
      <c r="C629" s="2" t="s">
        <v>1943</v>
      </c>
      <c r="D629" s="3">
        <v>9240</v>
      </c>
      <c r="E629" s="4">
        <v>20</v>
      </c>
      <c r="F629" t="s">
        <v>103</v>
      </c>
      <c r="G629" s="3">
        <f t="shared" si="45"/>
        <v>11550</v>
      </c>
      <c r="H629" s="3">
        <v>1812</v>
      </c>
      <c r="I629" s="3">
        <f t="shared" si="46"/>
        <v>13362</v>
      </c>
      <c r="J629" s="2" t="s">
        <v>1944</v>
      </c>
      <c r="K629" s="5">
        <v>46210.583333333343</v>
      </c>
      <c r="L629">
        <v>1</v>
      </c>
      <c r="M629" s="3">
        <f t="shared" si="47"/>
        <v>13362</v>
      </c>
      <c r="N629" t="str">
        <f t="shared" si="48"/>
        <v>ставка</v>
      </c>
      <c r="O629" s="3">
        <f t="shared" si="49"/>
        <v>262</v>
      </c>
      <c r="P629" s="5">
        <v>46211.5</v>
      </c>
      <c r="Q629" t="s">
        <v>103</v>
      </c>
      <c r="R629" s="2" t="s">
        <v>49</v>
      </c>
      <c r="S629">
        <v>35</v>
      </c>
      <c r="T629">
        <v>1</v>
      </c>
    </row>
    <row r="630" spans="1:21" ht="30" x14ac:dyDescent="0.25">
      <c r="A630" t="s">
        <v>1947</v>
      </c>
      <c r="B630">
        <v>1</v>
      </c>
      <c r="C630" s="2" t="s">
        <v>1948</v>
      </c>
      <c r="D630" s="3">
        <v>47520</v>
      </c>
      <c r="E630" s="4">
        <v>20</v>
      </c>
      <c r="F630" t="s">
        <v>32</v>
      </c>
      <c r="G630" s="3">
        <f t="shared" si="45"/>
        <v>59400</v>
      </c>
      <c r="H630" s="3">
        <v>0</v>
      </c>
      <c r="I630" s="3">
        <f t="shared" si="46"/>
        <v>59400</v>
      </c>
      <c r="J630" s="2" t="s">
        <v>27</v>
      </c>
      <c r="K630" s="5">
        <v>46276.583333333343</v>
      </c>
      <c r="L630">
        <v>6</v>
      </c>
      <c r="M630" s="3">
        <f t="shared" si="47"/>
        <v>9900</v>
      </c>
      <c r="N630" t="str">
        <f t="shared" si="48"/>
        <v>ставка</v>
      </c>
      <c r="O630" s="3">
        <f t="shared" si="49"/>
        <v>1164.71</v>
      </c>
      <c r="P630" s="5">
        <v>46282.5</v>
      </c>
      <c r="Q630" t="s">
        <v>32</v>
      </c>
      <c r="R630" s="2" t="s">
        <v>33</v>
      </c>
      <c r="S630">
        <v>45</v>
      </c>
      <c r="T630">
        <v>1</v>
      </c>
    </row>
    <row r="631" spans="1:21" ht="30" x14ac:dyDescent="0.25">
      <c r="A631" t="s">
        <v>1949</v>
      </c>
      <c r="B631">
        <v>1</v>
      </c>
      <c r="C631" s="2" t="s">
        <v>1950</v>
      </c>
      <c r="D631" s="3">
        <v>27921</v>
      </c>
      <c r="E631" s="4">
        <v>18</v>
      </c>
      <c r="F631" t="s">
        <v>147</v>
      </c>
      <c r="G631" s="3">
        <f t="shared" si="45"/>
        <v>34050</v>
      </c>
      <c r="H631" s="3">
        <v>0</v>
      </c>
      <c r="I631" s="3">
        <f t="shared" si="46"/>
        <v>34050</v>
      </c>
      <c r="J631" s="2" t="s">
        <v>27</v>
      </c>
      <c r="K631" s="5">
        <v>46202.583333333343</v>
      </c>
      <c r="L631">
        <v>3</v>
      </c>
      <c r="M631" s="3">
        <f t="shared" si="47"/>
        <v>11350</v>
      </c>
      <c r="N631" t="str">
        <f t="shared" si="48"/>
        <v>ставка</v>
      </c>
      <c r="O631" s="3">
        <f t="shared" si="49"/>
        <v>667.65</v>
      </c>
      <c r="P631" s="5">
        <v>46205.5</v>
      </c>
      <c r="Q631" t="s">
        <v>147</v>
      </c>
      <c r="R631" s="2" t="s">
        <v>40</v>
      </c>
      <c r="S631">
        <v>32</v>
      </c>
      <c r="T631">
        <v>1</v>
      </c>
    </row>
    <row r="632" spans="1:21" ht="30" x14ac:dyDescent="0.25">
      <c r="A632" t="s">
        <v>1955</v>
      </c>
      <c r="B632">
        <v>1</v>
      </c>
      <c r="C632" s="2" t="s">
        <v>1956</v>
      </c>
      <c r="D632" s="3">
        <v>34042.5</v>
      </c>
      <c r="E632" s="4">
        <v>0</v>
      </c>
      <c r="F632" t="s">
        <v>245</v>
      </c>
      <c r="G632" s="3">
        <f t="shared" si="45"/>
        <v>34042.5</v>
      </c>
      <c r="H632" s="3">
        <v>0</v>
      </c>
      <c r="I632" s="3">
        <f t="shared" si="46"/>
        <v>34042.5</v>
      </c>
      <c r="J632" s="2" t="s">
        <v>27</v>
      </c>
      <c r="K632" s="5">
        <v>46208.583333333343</v>
      </c>
      <c r="L632">
        <v>3</v>
      </c>
      <c r="M632" s="3">
        <f t="shared" si="47"/>
        <v>11347.5</v>
      </c>
      <c r="N632" t="str">
        <f t="shared" si="48"/>
        <v>ставка</v>
      </c>
      <c r="O632" s="3">
        <f t="shared" si="49"/>
        <v>667.5</v>
      </c>
      <c r="P632" s="5">
        <v>46211.5</v>
      </c>
      <c r="Q632" t="s">
        <v>245</v>
      </c>
      <c r="R632" s="2" t="s">
        <v>40</v>
      </c>
      <c r="S632">
        <v>42</v>
      </c>
      <c r="T632">
        <v>1</v>
      </c>
    </row>
    <row r="633" spans="1:21" ht="30" x14ac:dyDescent="0.25">
      <c r="A633" t="s">
        <v>1957</v>
      </c>
      <c r="B633">
        <v>1</v>
      </c>
      <c r="C633" s="2" t="s">
        <v>1958</v>
      </c>
      <c r="D633" s="3">
        <v>7900</v>
      </c>
      <c r="E633" s="4">
        <v>0</v>
      </c>
      <c r="F633" t="s">
        <v>23</v>
      </c>
      <c r="G633" s="3">
        <f t="shared" si="45"/>
        <v>7900</v>
      </c>
      <c r="H633" s="3">
        <v>0</v>
      </c>
      <c r="I633" s="3">
        <f t="shared" si="46"/>
        <v>7900</v>
      </c>
      <c r="J633" s="2" t="s">
        <v>27</v>
      </c>
      <c r="K633" s="5">
        <v>46204.583333333343</v>
      </c>
      <c r="L633">
        <v>1</v>
      </c>
      <c r="M633" s="3">
        <f t="shared" si="47"/>
        <v>7900</v>
      </c>
      <c r="N633" t="str">
        <f t="shared" si="48"/>
        <v>ставка</v>
      </c>
      <c r="O633" s="3">
        <f t="shared" si="49"/>
        <v>154.9</v>
      </c>
      <c r="P633" s="5">
        <v>46205.5</v>
      </c>
      <c r="Q633" t="s">
        <v>23</v>
      </c>
      <c r="R633" s="2" t="s">
        <v>33</v>
      </c>
      <c r="S633">
        <v>43</v>
      </c>
      <c r="T633">
        <v>1</v>
      </c>
    </row>
    <row r="634" spans="1:21" x14ac:dyDescent="0.25">
      <c r="A634" s="9"/>
      <c r="B634" s="9">
        <f>SUM(B2:B633)</f>
        <v>632</v>
      </c>
      <c r="C634" s="9" t="s">
        <v>1137</v>
      </c>
      <c r="D634" s="9">
        <f>SUM(D2:D633)</f>
        <v>14779734.640000001</v>
      </c>
      <c r="E634" s="9"/>
      <c r="F634" s="9"/>
      <c r="G634" s="9">
        <f>SUM(G2:G633)</f>
        <v>16706551.809999987</v>
      </c>
      <c r="H634" s="9">
        <f>SUM(H2:H633)</f>
        <v>210485</v>
      </c>
      <c r="I634" s="9">
        <f>SUM(I2:I633)</f>
        <v>16917036.809999987</v>
      </c>
      <c r="J634" s="9"/>
      <c r="K634" s="9"/>
      <c r="L634" s="9">
        <f>SUM(L2:L633)</f>
        <v>1467</v>
      </c>
      <c r="M634" s="9"/>
      <c r="N634" s="9"/>
      <c r="O634" s="9">
        <f>SUM(O2:O633)</f>
        <v>331706.62000000017</v>
      </c>
      <c r="P634" s="9"/>
      <c r="Q634" s="9"/>
      <c r="R634" s="9"/>
      <c r="S634" s="9"/>
      <c r="T634" s="9"/>
      <c r="U634" s="9"/>
    </row>
  </sheetData>
  <autoFilter ref="A1:U634" xr:uid="{00000000-0001-0000-0200-000000000000}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303"/>
  <sheetViews>
    <sheetView tabSelected="1" workbookViewId="0">
      <pane ySplit="1" topLeftCell="A2" activePane="bottomLeft" state="frozen"/>
      <selection pane="bottomLeft" activeCell="M122" sqref="M122"/>
    </sheetView>
  </sheetViews>
  <sheetFormatPr defaultRowHeight="15" x14ac:dyDescent="0.25"/>
  <cols>
    <col min="1" max="1" width="24" customWidth="1"/>
    <col min="2" max="2" width="11" customWidth="1"/>
    <col min="3" max="3" width="35" customWidth="1"/>
    <col min="4" max="4" width="18" customWidth="1"/>
    <col min="5" max="5" width="10" customWidth="1"/>
    <col min="6" max="6" width="37.85546875" customWidth="1"/>
    <col min="7" max="7" width="23.28515625" customWidth="1"/>
    <col min="8" max="8" width="11" customWidth="1"/>
    <col min="9" max="9" width="24" customWidth="1"/>
    <col min="10" max="10" width="28" customWidth="1"/>
    <col min="11" max="11" width="16.42578125" customWidth="1"/>
    <col min="12" max="12" width="10" customWidth="1"/>
    <col min="13" max="13" width="16" customWidth="1"/>
    <col min="14" max="15" width="12" customWidth="1"/>
    <col min="16" max="16" width="19.140625" customWidth="1"/>
    <col min="17" max="17" width="25" customWidth="1"/>
    <col min="18" max="18" width="30" customWidth="1"/>
    <col min="19" max="19" width="10" customWidth="1"/>
    <col min="20" max="20" width="8" customWidth="1"/>
    <col min="21" max="21" width="45" customWidth="1"/>
  </cols>
  <sheetData>
    <row r="1" spans="1:21" s="13" customFormat="1" ht="3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4" t="s">
        <v>8</v>
      </c>
      <c r="J1" s="12" t="s">
        <v>9</v>
      </c>
      <c r="K1" s="12" t="s">
        <v>10</v>
      </c>
      <c r="L1" s="12" t="s">
        <v>11</v>
      </c>
      <c r="M1" s="19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ht="30" x14ac:dyDescent="0.25">
      <c r="A2" t="s">
        <v>1322</v>
      </c>
      <c r="B2">
        <v>1</v>
      </c>
      <c r="C2" s="2" t="s">
        <v>1323</v>
      </c>
      <c r="D2" s="3">
        <v>29920</v>
      </c>
      <c r="E2" s="4">
        <v>15</v>
      </c>
      <c r="F2" t="s">
        <v>1324</v>
      </c>
      <c r="G2" s="3">
        <f t="shared" ref="G2:G65" si="0">ROUND(D2/(100-E2)*100,2)</f>
        <v>35200</v>
      </c>
      <c r="H2" s="3">
        <v>0</v>
      </c>
      <c r="I2" s="3">
        <f t="shared" ref="I2:I65" si="1">ROUND(G2+H2,2)</f>
        <v>35200</v>
      </c>
      <c r="J2" s="2" t="s">
        <v>27</v>
      </c>
      <c r="K2" s="5">
        <v>46295.583333333343</v>
      </c>
      <c r="L2">
        <v>3</v>
      </c>
      <c r="M2" s="20">
        <f t="shared" ref="M2:M65" si="2">I2/L2</f>
        <v>11733.333333333334</v>
      </c>
      <c r="N2" t="str">
        <f t="shared" ref="N2:N65" si="3">IF(M2&gt;=5100,"ставка","мин.ставка")</f>
        <v>ставка</v>
      </c>
      <c r="O2" s="3">
        <f t="shared" ref="O2:O65" si="4">ROUND(IF(N2="мин.ставка",L2*100,I2/102*2),2)</f>
        <v>690.2</v>
      </c>
      <c r="P2" s="5">
        <v>46298.5</v>
      </c>
      <c r="Q2" t="s">
        <v>1324</v>
      </c>
      <c r="R2" s="2" t="s">
        <v>24</v>
      </c>
      <c r="S2">
        <v>56</v>
      </c>
      <c r="T2">
        <v>2</v>
      </c>
    </row>
    <row r="3" spans="1:21" x14ac:dyDescent="0.25">
      <c r="A3" t="s">
        <v>53</v>
      </c>
      <c r="B3">
        <v>1</v>
      </c>
      <c r="C3" s="2" t="s">
        <v>54</v>
      </c>
      <c r="D3" s="3">
        <v>87112.5</v>
      </c>
      <c r="E3" s="4">
        <v>0</v>
      </c>
      <c r="F3" t="s">
        <v>55</v>
      </c>
      <c r="G3" s="3">
        <f t="shared" si="0"/>
        <v>87112.5</v>
      </c>
      <c r="H3" s="3">
        <v>0</v>
      </c>
      <c r="I3" s="3">
        <f t="shared" si="1"/>
        <v>87112.5</v>
      </c>
      <c r="J3" s="2"/>
      <c r="K3" s="5">
        <v>46289.583333333343</v>
      </c>
      <c r="L3">
        <v>7</v>
      </c>
      <c r="M3" s="20">
        <f t="shared" si="2"/>
        <v>12444.642857142857</v>
      </c>
      <c r="N3" t="str">
        <f t="shared" si="3"/>
        <v>ставка</v>
      </c>
      <c r="O3" s="3">
        <f t="shared" si="4"/>
        <v>1708.09</v>
      </c>
      <c r="P3" s="5">
        <v>46296.5</v>
      </c>
      <c r="Q3" t="s">
        <v>55</v>
      </c>
      <c r="R3" s="2" t="s">
        <v>45</v>
      </c>
      <c r="S3">
        <v>57</v>
      </c>
      <c r="T3">
        <v>2</v>
      </c>
    </row>
    <row r="4" spans="1:21" ht="30" x14ac:dyDescent="0.25">
      <c r="A4" t="s">
        <v>61</v>
      </c>
      <c r="B4">
        <v>1</v>
      </c>
      <c r="C4" s="2" t="s">
        <v>62</v>
      </c>
      <c r="D4" s="3">
        <v>11350</v>
      </c>
      <c r="E4" s="4">
        <v>0</v>
      </c>
      <c r="F4" t="s">
        <v>55</v>
      </c>
      <c r="G4" s="3">
        <f t="shared" si="0"/>
        <v>11350</v>
      </c>
      <c r="H4" s="3">
        <v>0</v>
      </c>
      <c r="I4" s="3">
        <f t="shared" si="1"/>
        <v>11350</v>
      </c>
      <c r="J4" s="2" t="s">
        <v>27</v>
      </c>
      <c r="K4" s="5">
        <v>46251.583333333343</v>
      </c>
      <c r="L4">
        <v>1</v>
      </c>
      <c r="M4" s="20">
        <f t="shared" si="2"/>
        <v>11350</v>
      </c>
      <c r="N4" t="str">
        <f t="shared" si="3"/>
        <v>ставка</v>
      </c>
      <c r="O4" s="3">
        <f t="shared" si="4"/>
        <v>222.55</v>
      </c>
      <c r="P4" s="5">
        <v>46252.5</v>
      </c>
      <c r="Q4" t="s">
        <v>55</v>
      </c>
      <c r="R4" s="2" t="s">
        <v>40</v>
      </c>
      <c r="S4">
        <v>55</v>
      </c>
      <c r="T4">
        <v>2</v>
      </c>
    </row>
    <row r="5" spans="1:21" ht="30" x14ac:dyDescent="0.25">
      <c r="A5" t="s">
        <v>120</v>
      </c>
      <c r="B5">
        <v>1</v>
      </c>
      <c r="C5" s="2" t="s">
        <v>121</v>
      </c>
      <c r="D5" s="3">
        <v>13149.75</v>
      </c>
      <c r="E5" s="4">
        <v>1.5</v>
      </c>
      <c r="F5" t="s">
        <v>55</v>
      </c>
      <c r="G5" s="3">
        <f t="shared" si="0"/>
        <v>13350</v>
      </c>
      <c r="H5" s="3">
        <v>0</v>
      </c>
      <c r="I5" s="3">
        <f t="shared" si="1"/>
        <v>13350</v>
      </c>
      <c r="J5" s="2" t="s">
        <v>27</v>
      </c>
      <c r="K5" s="5">
        <v>46204.583333333343</v>
      </c>
      <c r="L5">
        <v>1</v>
      </c>
      <c r="M5" s="20">
        <f t="shared" si="2"/>
        <v>13350</v>
      </c>
      <c r="N5" t="str">
        <f t="shared" si="3"/>
        <v>ставка</v>
      </c>
      <c r="O5" s="3">
        <f t="shared" si="4"/>
        <v>261.76</v>
      </c>
      <c r="P5" s="5">
        <v>46205.5</v>
      </c>
      <c r="Q5" t="s">
        <v>55</v>
      </c>
      <c r="R5" s="2" t="s">
        <v>40</v>
      </c>
      <c r="S5">
        <v>55</v>
      </c>
      <c r="T5">
        <v>2</v>
      </c>
    </row>
    <row r="6" spans="1:21" ht="30" x14ac:dyDescent="0.25">
      <c r="A6" t="s">
        <v>124</v>
      </c>
      <c r="B6">
        <v>1</v>
      </c>
      <c r="C6" s="2" t="s">
        <v>125</v>
      </c>
      <c r="D6" s="3">
        <v>26499.75</v>
      </c>
      <c r="E6" s="4">
        <v>0</v>
      </c>
      <c r="F6" t="s">
        <v>55</v>
      </c>
      <c r="G6" s="3">
        <f t="shared" si="0"/>
        <v>26499.75</v>
      </c>
      <c r="H6" s="3">
        <v>0</v>
      </c>
      <c r="I6" s="3">
        <f t="shared" si="1"/>
        <v>26499.75</v>
      </c>
      <c r="J6" s="2" t="s">
        <v>27</v>
      </c>
      <c r="K6" s="5">
        <v>46239.583333333343</v>
      </c>
      <c r="L6">
        <v>2</v>
      </c>
      <c r="M6" s="20">
        <f t="shared" si="2"/>
        <v>13249.875</v>
      </c>
      <c r="N6" t="str">
        <f t="shared" si="3"/>
        <v>ставка</v>
      </c>
      <c r="O6" s="3">
        <f t="shared" si="4"/>
        <v>519.6</v>
      </c>
      <c r="P6" s="5">
        <v>46241.5</v>
      </c>
      <c r="Q6" t="s">
        <v>55</v>
      </c>
      <c r="R6" s="2" t="s">
        <v>40</v>
      </c>
      <c r="S6">
        <v>58</v>
      </c>
      <c r="T6">
        <v>2</v>
      </c>
    </row>
    <row r="7" spans="1:21" ht="30" x14ac:dyDescent="0.25">
      <c r="A7" t="s">
        <v>202</v>
      </c>
      <c r="B7">
        <v>1</v>
      </c>
      <c r="C7" s="2" t="s">
        <v>203</v>
      </c>
      <c r="D7" s="3">
        <v>9702.25</v>
      </c>
      <c r="E7" s="4">
        <v>1.5</v>
      </c>
      <c r="F7" t="s">
        <v>55</v>
      </c>
      <c r="G7" s="3">
        <f t="shared" si="0"/>
        <v>9850</v>
      </c>
      <c r="H7" s="3">
        <v>0</v>
      </c>
      <c r="I7" s="3">
        <f t="shared" si="1"/>
        <v>9850</v>
      </c>
      <c r="J7" s="2"/>
      <c r="K7" s="5">
        <v>46289.666666666657</v>
      </c>
      <c r="L7">
        <v>1</v>
      </c>
      <c r="M7" s="20">
        <f t="shared" si="2"/>
        <v>9850</v>
      </c>
      <c r="N7" t="str">
        <f t="shared" si="3"/>
        <v>ставка</v>
      </c>
      <c r="O7" s="3">
        <f t="shared" si="4"/>
        <v>193.14</v>
      </c>
      <c r="P7" s="5">
        <v>46290.5</v>
      </c>
      <c r="Q7" t="s">
        <v>55</v>
      </c>
      <c r="R7" s="2" t="s">
        <v>40</v>
      </c>
      <c r="S7">
        <v>52</v>
      </c>
      <c r="T7">
        <v>2</v>
      </c>
    </row>
    <row r="8" spans="1:21" ht="45" x14ac:dyDescent="0.25">
      <c r="A8" t="s">
        <v>222</v>
      </c>
      <c r="B8">
        <v>1</v>
      </c>
      <c r="C8" s="2" t="s">
        <v>223</v>
      </c>
      <c r="D8" s="3">
        <v>13275.3</v>
      </c>
      <c r="E8" s="4">
        <v>3.1</v>
      </c>
      <c r="F8" t="s">
        <v>55</v>
      </c>
      <c r="G8" s="3">
        <f t="shared" si="0"/>
        <v>13700</v>
      </c>
      <c r="H8" s="3">
        <v>0</v>
      </c>
      <c r="I8" s="3">
        <f t="shared" si="1"/>
        <v>13700</v>
      </c>
      <c r="J8" s="2" t="s">
        <v>27</v>
      </c>
      <c r="K8" s="5">
        <v>46218.833333333343</v>
      </c>
      <c r="L8">
        <v>1</v>
      </c>
      <c r="M8" s="20">
        <f t="shared" si="2"/>
        <v>13700</v>
      </c>
      <c r="N8" t="str">
        <f t="shared" si="3"/>
        <v>ставка</v>
      </c>
      <c r="O8" s="3">
        <f t="shared" si="4"/>
        <v>268.63</v>
      </c>
      <c r="P8" s="5">
        <v>46219.5</v>
      </c>
      <c r="Q8" t="s">
        <v>55</v>
      </c>
      <c r="R8" s="2" t="s">
        <v>87</v>
      </c>
      <c r="S8">
        <v>51</v>
      </c>
      <c r="T8">
        <v>2</v>
      </c>
    </row>
    <row r="9" spans="1:21" x14ac:dyDescent="0.25">
      <c r="A9" t="s">
        <v>397</v>
      </c>
      <c r="B9">
        <v>1</v>
      </c>
      <c r="C9" s="2" t="s">
        <v>398</v>
      </c>
      <c r="D9" s="3">
        <v>88448.2</v>
      </c>
      <c r="E9" s="4">
        <v>0</v>
      </c>
      <c r="F9" t="s">
        <v>55</v>
      </c>
      <c r="G9" s="3">
        <f t="shared" si="0"/>
        <v>88448.2</v>
      </c>
      <c r="H9" s="3">
        <v>0</v>
      </c>
      <c r="I9" s="3">
        <f t="shared" si="1"/>
        <v>88448.2</v>
      </c>
      <c r="J9" s="2" t="s">
        <v>27</v>
      </c>
      <c r="K9" s="5">
        <v>46256.583333333343</v>
      </c>
      <c r="L9">
        <v>5</v>
      </c>
      <c r="M9" s="20">
        <f t="shared" si="2"/>
        <v>17689.64</v>
      </c>
      <c r="N9" t="str">
        <f t="shared" si="3"/>
        <v>ставка</v>
      </c>
      <c r="O9" s="3">
        <f t="shared" si="4"/>
        <v>1734.28</v>
      </c>
      <c r="P9" s="5">
        <v>46261.5</v>
      </c>
      <c r="Q9" t="s">
        <v>55</v>
      </c>
      <c r="R9" s="2" t="s">
        <v>45</v>
      </c>
      <c r="S9">
        <v>54</v>
      </c>
      <c r="T9">
        <v>2</v>
      </c>
    </row>
    <row r="10" spans="1:21" x14ac:dyDescent="0.25">
      <c r="A10" t="s">
        <v>399</v>
      </c>
      <c r="B10">
        <v>1</v>
      </c>
      <c r="C10" s="2" t="s">
        <v>400</v>
      </c>
      <c r="D10" s="3">
        <v>12312.5</v>
      </c>
      <c r="E10" s="4">
        <v>1.5</v>
      </c>
      <c r="F10" t="s">
        <v>55</v>
      </c>
      <c r="G10" s="3">
        <f t="shared" si="0"/>
        <v>12500</v>
      </c>
      <c r="H10" s="3">
        <v>0</v>
      </c>
      <c r="I10" s="3">
        <f t="shared" si="1"/>
        <v>12500</v>
      </c>
      <c r="J10" s="2"/>
      <c r="K10" s="5">
        <v>46281.583333333343</v>
      </c>
      <c r="L10">
        <v>1</v>
      </c>
      <c r="M10" s="20">
        <f t="shared" si="2"/>
        <v>12500</v>
      </c>
      <c r="N10" t="str">
        <f t="shared" si="3"/>
        <v>ставка</v>
      </c>
      <c r="O10" s="3">
        <f t="shared" si="4"/>
        <v>245.1</v>
      </c>
      <c r="P10" s="5">
        <v>46282.5</v>
      </c>
      <c r="Q10" t="s">
        <v>55</v>
      </c>
      <c r="R10" s="2" t="s">
        <v>45</v>
      </c>
      <c r="S10">
        <v>54</v>
      </c>
      <c r="T10">
        <v>2</v>
      </c>
    </row>
    <row r="11" spans="1:21" x14ac:dyDescent="0.25">
      <c r="A11" t="s">
        <v>412</v>
      </c>
      <c r="B11">
        <v>1</v>
      </c>
      <c r="C11" s="2" t="s">
        <v>413</v>
      </c>
      <c r="D11" s="3">
        <v>35048.199999999997</v>
      </c>
      <c r="E11" s="4">
        <v>0</v>
      </c>
      <c r="F11" t="s">
        <v>55</v>
      </c>
      <c r="G11" s="3">
        <f t="shared" si="0"/>
        <v>35048.199999999997</v>
      </c>
      <c r="H11" s="3">
        <v>0</v>
      </c>
      <c r="I11" s="3">
        <f t="shared" si="1"/>
        <v>35048.199999999997</v>
      </c>
      <c r="J11" s="2" t="s">
        <v>27</v>
      </c>
      <c r="K11" s="5">
        <v>46213.583333333343</v>
      </c>
      <c r="L11">
        <v>2</v>
      </c>
      <c r="M11" s="20">
        <f t="shared" si="2"/>
        <v>17524.099999999999</v>
      </c>
      <c r="N11" t="str">
        <f t="shared" si="3"/>
        <v>ставка</v>
      </c>
      <c r="O11" s="3">
        <f t="shared" si="4"/>
        <v>687.22</v>
      </c>
      <c r="P11" s="5">
        <v>46215.5</v>
      </c>
      <c r="Q11" t="s">
        <v>55</v>
      </c>
      <c r="R11" s="2" t="s">
        <v>45</v>
      </c>
      <c r="S11">
        <v>53</v>
      </c>
      <c r="T11">
        <v>2</v>
      </c>
    </row>
    <row r="12" spans="1:21" ht="30" x14ac:dyDescent="0.25">
      <c r="A12" t="s">
        <v>426</v>
      </c>
      <c r="B12">
        <v>1</v>
      </c>
      <c r="C12" s="2" t="s">
        <v>427</v>
      </c>
      <c r="D12" s="3">
        <v>14085.5</v>
      </c>
      <c r="E12" s="4">
        <v>1.5</v>
      </c>
      <c r="F12" t="s">
        <v>55</v>
      </c>
      <c r="G12" s="3">
        <f t="shared" si="0"/>
        <v>14300</v>
      </c>
      <c r="H12" s="3">
        <v>500</v>
      </c>
      <c r="I12" s="3">
        <f t="shared" si="1"/>
        <v>14800</v>
      </c>
      <c r="J12" s="2" t="s">
        <v>428</v>
      </c>
      <c r="K12" s="5">
        <v>46214.583333333343</v>
      </c>
      <c r="L12">
        <v>1</v>
      </c>
      <c r="M12" s="20">
        <f t="shared" si="2"/>
        <v>14800</v>
      </c>
      <c r="N12" t="str">
        <f t="shared" si="3"/>
        <v>ставка</v>
      </c>
      <c r="O12" s="3">
        <f t="shared" si="4"/>
        <v>290.2</v>
      </c>
      <c r="P12" s="5">
        <v>46215.5</v>
      </c>
      <c r="Q12" t="s">
        <v>55</v>
      </c>
      <c r="R12" s="2" t="s">
        <v>45</v>
      </c>
      <c r="S12">
        <v>57</v>
      </c>
      <c r="T12">
        <v>2</v>
      </c>
    </row>
    <row r="13" spans="1:21" ht="45" x14ac:dyDescent="0.25">
      <c r="A13" t="s">
        <v>435</v>
      </c>
      <c r="B13">
        <v>1</v>
      </c>
      <c r="C13" s="2" t="s">
        <v>436</v>
      </c>
      <c r="D13" s="3">
        <v>14002.05</v>
      </c>
      <c r="E13" s="4">
        <v>3.1</v>
      </c>
      <c r="F13" t="s">
        <v>55</v>
      </c>
      <c r="G13" s="3">
        <f t="shared" si="0"/>
        <v>14450</v>
      </c>
      <c r="H13" s="3">
        <v>0</v>
      </c>
      <c r="I13" s="3">
        <f t="shared" si="1"/>
        <v>14450</v>
      </c>
      <c r="J13" s="2"/>
      <c r="K13" s="5">
        <v>46229.583333333343</v>
      </c>
      <c r="L13">
        <v>1</v>
      </c>
      <c r="M13" s="20">
        <f t="shared" si="2"/>
        <v>14450</v>
      </c>
      <c r="N13" t="str">
        <f t="shared" si="3"/>
        <v>ставка</v>
      </c>
      <c r="O13" s="3">
        <f t="shared" si="4"/>
        <v>283.33</v>
      </c>
      <c r="P13" s="5">
        <v>46230.5</v>
      </c>
      <c r="Q13" t="s">
        <v>55</v>
      </c>
      <c r="R13" s="2" t="s">
        <v>87</v>
      </c>
      <c r="S13">
        <v>50</v>
      </c>
      <c r="T13">
        <v>2</v>
      </c>
    </row>
    <row r="14" spans="1:21" ht="45" x14ac:dyDescent="0.25">
      <c r="A14" t="s">
        <v>502</v>
      </c>
      <c r="B14">
        <v>1</v>
      </c>
      <c r="C14" s="2" t="s">
        <v>503</v>
      </c>
      <c r="D14" s="3">
        <v>14002.05</v>
      </c>
      <c r="E14" s="4">
        <v>3.1</v>
      </c>
      <c r="F14" t="s">
        <v>55</v>
      </c>
      <c r="G14" s="3">
        <f t="shared" si="0"/>
        <v>14450</v>
      </c>
      <c r="H14" s="3">
        <v>0</v>
      </c>
      <c r="I14" s="3">
        <f t="shared" si="1"/>
        <v>14450</v>
      </c>
      <c r="J14" s="2" t="s">
        <v>27</v>
      </c>
      <c r="K14" s="5">
        <v>46290.583333333343</v>
      </c>
      <c r="L14">
        <v>1</v>
      </c>
      <c r="M14" s="20">
        <f t="shared" si="2"/>
        <v>14450</v>
      </c>
      <c r="N14" t="str">
        <f t="shared" si="3"/>
        <v>ставка</v>
      </c>
      <c r="O14" s="3">
        <f t="shared" si="4"/>
        <v>283.33</v>
      </c>
      <c r="P14" s="5">
        <v>46291.5</v>
      </c>
      <c r="Q14" t="s">
        <v>55</v>
      </c>
      <c r="R14" s="2" t="s">
        <v>87</v>
      </c>
      <c r="S14">
        <v>51</v>
      </c>
      <c r="T14">
        <v>2</v>
      </c>
    </row>
    <row r="15" spans="1:21" ht="45" x14ac:dyDescent="0.25">
      <c r="A15" t="s">
        <v>515</v>
      </c>
      <c r="B15">
        <v>1</v>
      </c>
      <c r="C15" s="2" t="s">
        <v>516</v>
      </c>
      <c r="D15" s="3">
        <v>124679.75</v>
      </c>
      <c r="E15" s="4">
        <v>0</v>
      </c>
      <c r="F15" t="s">
        <v>55</v>
      </c>
      <c r="G15" s="3">
        <f t="shared" si="0"/>
        <v>124679.75</v>
      </c>
      <c r="H15" s="3">
        <v>2640</v>
      </c>
      <c r="I15" s="3">
        <f t="shared" si="1"/>
        <v>127319.75</v>
      </c>
      <c r="J15" s="2" t="s">
        <v>517</v>
      </c>
      <c r="K15" s="5">
        <v>46237.583333333343</v>
      </c>
      <c r="L15">
        <v>11</v>
      </c>
      <c r="M15" s="20">
        <f t="shared" si="2"/>
        <v>11574.522727272728</v>
      </c>
      <c r="N15" t="str">
        <f t="shared" si="3"/>
        <v>ставка</v>
      </c>
      <c r="O15" s="3">
        <f t="shared" si="4"/>
        <v>2496.4699999999998</v>
      </c>
      <c r="P15" s="5">
        <v>46248.5</v>
      </c>
      <c r="Q15" t="s">
        <v>55</v>
      </c>
      <c r="R15" s="2" t="s">
        <v>40</v>
      </c>
      <c r="S15">
        <v>55</v>
      </c>
      <c r="T15">
        <v>2</v>
      </c>
    </row>
    <row r="16" spans="1:21" ht="30" x14ac:dyDescent="0.25">
      <c r="A16" t="s">
        <v>520</v>
      </c>
      <c r="B16">
        <v>1</v>
      </c>
      <c r="C16" s="2" t="s">
        <v>521</v>
      </c>
      <c r="D16" s="3">
        <v>17248.2</v>
      </c>
      <c r="E16" s="4">
        <v>3.1</v>
      </c>
      <c r="F16" t="s">
        <v>55</v>
      </c>
      <c r="G16" s="3">
        <f t="shared" si="0"/>
        <v>17800</v>
      </c>
      <c r="H16" s="3">
        <v>0</v>
      </c>
      <c r="I16" s="3">
        <f t="shared" si="1"/>
        <v>17800</v>
      </c>
      <c r="J16" s="2" t="s">
        <v>27</v>
      </c>
      <c r="K16" s="5">
        <v>46283.583333333343</v>
      </c>
      <c r="L16">
        <v>1</v>
      </c>
      <c r="M16" s="21">
        <f>I16/L16</f>
        <v>17800</v>
      </c>
      <c r="N16" t="str">
        <f t="shared" si="3"/>
        <v>ставка</v>
      </c>
      <c r="O16" s="3">
        <f t="shared" si="4"/>
        <v>349.02</v>
      </c>
      <c r="P16" s="5">
        <v>46284.5</v>
      </c>
      <c r="Q16" t="s">
        <v>55</v>
      </c>
      <c r="R16" s="2" t="s">
        <v>45</v>
      </c>
      <c r="S16">
        <v>53</v>
      </c>
      <c r="T16">
        <v>2</v>
      </c>
    </row>
    <row r="17" spans="1:20" ht="45" x14ac:dyDescent="0.25">
      <c r="A17" t="s">
        <v>555</v>
      </c>
      <c r="B17">
        <v>1</v>
      </c>
      <c r="C17" s="2" t="s">
        <v>556</v>
      </c>
      <c r="D17" s="3">
        <v>8624.1</v>
      </c>
      <c r="E17" s="4">
        <v>3.1</v>
      </c>
      <c r="F17" t="s">
        <v>55</v>
      </c>
      <c r="G17" s="3">
        <f t="shared" si="0"/>
        <v>8900</v>
      </c>
      <c r="H17" s="3">
        <v>0</v>
      </c>
      <c r="I17" s="3">
        <f t="shared" si="1"/>
        <v>8900</v>
      </c>
      <c r="J17" s="2" t="s">
        <v>27</v>
      </c>
      <c r="K17" s="5">
        <v>46220.895833333343</v>
      </c>
      <c r="L17">
        <v>1</v>
      </c>
      <c r="M17" s="21">
        <f t="shared" si="2"/>
        <v>8900</v>
      </c>
      <c r="N17" t="str">
        <f t="shared" si="3"/>
        <v>ставка</v>
      </c>
      <c r="O17" s="3">
        <f t="shared" si="4"/>
        <v>174.51</v>
      </c>
      <c r="P17" s="5">
        <v>46221.5</v>
      </c>
      <c r="Q17" t="s">
        <v>55</v>
      </c>
      <c r="R17" s="2" t="s">
        <v>87</v>
      </c>
      <c r="S17">
        <v>50</v>
      </c>
      <c r="T17">
        <v>2</v>
      </c>
    </row>
    <row r="18" spans="1:20" ht="45" x14ac:dyDescent="0.25">
      <c r="A18" t="s">
        <v>591</v>
      </c>
      <c r="B18">
        <v>1</v>
      </c>
      <c r="C18" s="2" t="s">
        <v>592</v>
      </c>
      <c r="D18" s="3">
        <v>57800</v>
      </c>
      <c r="E18" s="4">
        <v>0</v>
      </c>
      <c r="F18" t="s">
        <v>55</v>
      </c>
      <c r="G18" s="3">
        <f t="shared" si="0"/>
        <v>57800</v>
      </c>
      <c r="H18" s="3">
        <v>0</v>
      </c>
      <c r="I18" s="3">
        <f t="shared" si="1"/>
        <v>57800</v>
      </c>
      <c r="J18" s="2" t="s">
        <v>27</v>
      </c>
      <c r="K18" s="5">
        <v>46246.583333333343</v>
      </c>
      <c r="L18">
        <v>4</v>
      </c>
      <c r="M18" s="21">
        <v>15800</v>
      </c>
      <c r="N18" t="str">
        <f t="shared" si="3"/>
        <v>ставка</v>
      </c>
      <c r="O18" s="3">
        <f t="shared" si="4"/>
        <v>1133.33</v>
      </c>
      <c r="P18" s="5">
        <v>46250.5</v>
      </c>
      <c r="Q18" t="s">
        <v>55</v>
      </c>
      <c r="R18" s="2" t="s">
        <v>87</v>
      </c>
      <c r="S18">
        <v>50</v>
      </c>
      <c r="T18">
        <v>2</v>
      </c>
    </row>
    <row r="19" spans="1:20" ht="30" x14ac:dyDescent="0.25">
      <c r="A19" t="s">
        <v>648</v>
      </c>
      <c r="B19">
        <v>1</v>
      </c>
      <c r="C19" s="2" t="s">
        <v>649</v>
      </c>
      <c r="D19" s="3">
        <v>46200</v>
      </c>
      <c r="E19" s="4">
        <v>0</v>
      </c>
      <c r="F19" t="s">
        <v>55</v>
      </c>
      <c r="G19" s="3">
        <f t="shared" si="0"/>
        <v>46200</v>
      </c>
      <c r="H19" s="3">
        <v>0</v>
      </c>
      <c r="I19" s="3">
        <f t="shared" si="1"/>
        <v>46200</v>
      </c>
      <c r="J19" s="2" t="s">
        <v>27</v>
      </c>
      <c r="K19" s="5">
        <v>46236.583333333343</v>
      </c>
      <c r="L19">
        <v>3</v>
      </c>
      <c r="M19" s="21">
        <v>15400</v>
      </c>
      <c r="N19" t="str">
        <f t="shared" si="3"/>
        <v>ставка</v>
      </c>
      <c r="O19" s="3">
        <f t="shared" si="4"/>
        <v>905.88</v>
      </c>
      <c r="P19" s="5">
        <v>46239.5</v>
      </c>
      <c r="Q19" t="s">
        <v>55</v>
      </c>
      <c r="R19" s="2" t="s">
        <v>24</v>
      </c>
      <c r="S19">
        <v>56</v>
      </c>
      <c r="T19">
        <v>2</v>
      </c>
    </row>
    <row r="20" spans="1:20" ht="30" x14ac:dyDescent="0.25">
      <c r="A20" t="s">
        <v>664</v>
      </c>
      <c r="B20">
        <v>1</v>
      </c>
      <c r="C20" s="2" t="s">
        <v>665</v>
      </c>
      <c r="D20" s="3">
        <v>35600</v>
      </c>
      <c r="E20" s="4">
        <v>0</v>
      </c>
      <c r="F20" t="s">
        <v>55</v>
      </c>
      <c r="G20" s="3">
        <f t="shared" si="0"/>
        <v>35600</v>
      </c>
      <c r="H20" s="3">
        <v>0</v>
      </c>
      <c r="I20" s="3">
        <f t="shared" si="1"/>
        <v>35600</v>
      </c>
      <c r="J20" s="2" t="s">
        <v>27</v>
      </c>
      <c r="K20" s="5">
        <v>46243.583333333343</v>
      </c>
      <c r="L20">
        <v>2</v>
      </c>
      <c r="M20" s="21">
        <f>I20/L20</f>
        <v>17800</v>
      </c>
      <c r="N20" t="str">
        <f t="shared" si="3"/>
        <v>ставка</v>
      </c>
      <c r="O20" s="3">
        <f t="shared" si="4"/>
        <v>698.04</v>
      </c>
      <c r="P20" s="5">
        <v>46245.5</v>
      </c>
      <c r="Q20" t="s">
        <v>55</v>
      </c>
      <c r="R20" s="2" t="s">
        <v>45</v>
      </c>
      <c r="S20">
        <v>57</v>
      </c>
      <c r="T20">
        <v>2</v>
      </c>
    </row>
    <row r="21" spans="1:20" ht="83.25" customHeight="1" x14ac:dyDescent="0.25">
      <c r="A21" t="s">
        <v>693</v>
      </c>
      <c r="B21">
        <v>1</v>
      </c>
      <c r="C21" s="2" t="s">
        <v>694</v>
      </c>
      <c r="D21" s="3">
        <v>60150</v>
      </c>
      <c r="E21" s="4">
        <v>0</v>
      </c>
      <c r="F21" t="s">
        <v>55</v>
      </c>
      <c r="G21" s="3">
        <f t="shared" si="0"/>
        <v>60150</v>
      </c>
      <c r="H21" s="3">
        <v>8400</v>
      </c>
      <c r="I21" s="3">
        <v>60150</v>
      </c>
      <c r="J21" s="2" t="s">
        <v>695</v>
      </c>
      <c r="K21" s="5">
        <v>46259.583333333343</v>
      </c>
      <c r="L21">
        <v>3</v>
      </c>
      <c r="M21" s="21">
        <f t="shared" si="2"/>
        <v>20050</v>
      </c>
      <c r="N21" t="str">
        <f t="shared" si="3"/>
        <v>ставка</v>
      </c>
      <c r="O21" s="3">
        <f t="shared" si="4"/>
        <v>1179.4100000000001</v>
      </c>
      <c r="P21" s="5">
        <v>46262.5</v>
      </c>
      <c r="Q21" t="s">
        <v>55</v>
      </c>
      <c r="R21" s="2" t="s">
        <v>87</v>
      </c>
      <c r="S21">
        <v>51</v>
      </c>
      <c r="T21">
        <v>2</v>
      </c>
    </row>
    <row r="22" spans="1:20" ht="30" x14ac:dyDescent="0.25">
      <c r="A22" t="s">
        <v>859</v>
      </c>
      <c r="B22">
        <v>1</v>
      </c>
      <c r="C22" s="2" t="s">
        <v>860</v>
      </c>
      <c r="D22" s="3">
        <v>16991.25</v>
      </c>
      <c r="E22" s="4">
        <v>1.5</v>
      </c>
      <c r="F22" t="s">
        <v>55</v>
      </c>
      <c r="G22" s="3">
        <f t="shared" si="0"/>
        <v>17250</v>
      </c>
      <c r="H22" s="3">
        <v>0</v>
      </c>
      <c r="I22" s="3">
        <f t="shared" si="1"/>
        <v>17250</v>
      </c>
      <c r="J22" s="2" t="s">
        <v>27</v>
      </c>
      <c r="K22" s="5">
        <v>46231.583333333343</v>
      </c>
      <c r="L22">
        <v>1</v>
      </c>
      <c r="M22" s="21">
        <f t="shared" si="2"/>
        <v>17250</v>
      </c>
      <c r="N22" t="str">
        <f t="shared" si="3"/>
        <v>ставка</v>
      </c>
      <c r="O22" s="3">
        <f t="shared" si="4"/>
        <v>338.24</v>
      </c>
      <c r="P22" s="5">
        <v>46232.5</v>
      </c>
      <c r="Q22" t="s">
        <v>55</v>
      </c>
      <c r="R22" s="2" t="s">
        <v>772</v>
      </c>
      <c r="S22">
        <v>51</v>
      </c>
      <c r="T22">
        <v>2</v>
      </c>
    </row>
    <row r="23" spans="1:20" x14ac:dyDescent="0.25">
      <c r="A23" t="s">
        <v>875</v>
      </c>
      <c r="B23">
        <v>1</v>
      </c>
      <c r="C23" s="2" t="s">
        <v>876</v>
      </c>
      <c r="D23" s="3">
        <v>17533</v>
      </c>
      <c r="E23" s="4">
        <v>1.5</v>
      </c>
      <c r="F23" t="s">
        <v>55</v>
      </c>
      <c r="G23" s="3">
        <f t="shared" si="0"/>
        <v>17800</v>
      </c>
      <c r="H23" s="3">
        <v>0</v>
      </c>
      <c r="I23" s="3">
        <f t="shared" si="1"/>
        <v>17800</v>
      </c>
      <c r="J23" s="2" t="s">
        <v>27</v>
      </c>
      <c r="K23" s="5">
        <v>46213.583333333343</v>
      </c>
      <c r="L23">
        <v>1</v>
      </c>
      <c r="M23" s="21">
        <f t="shared" si="2"/>
        <v>17800</v>
      </c>
      <c r="N23" t="str">
        <f t="shared" si="3"/>
        <v>ставка</v>
      </c>
      <c r="O23" s="3">
        <f t="shared" si="4"/>
        <v>349.02</v>
      </c>
      <c r="P23" s="5">
        <v>46214.5</v>
      </c>
      <c r="Q23" t="s">
        <v>55</v>
      </c>
      <c r="R23" s="2" t="s">
        <v>37</v>
      </c>
      <c r="S23">
        <v>57</v>
      </c>
      <c r="T23">
        <v>2</v>
      </c>
    </row>
    <row r="24" spans="1:20" x14ac:dyDescent="0.25">
      <c r="A24" t="s">
        <v>889</v>
      </c>
      <c r="B24">
        <v>1</v>
      </c>
      <c r="C24" s="2" t="s">
        <v>890</v>
      </c>
      <c r="D24" s="3">
        <v>35600</v>
      </c>
      <c r="E24" s="4">
        <v>0</v>
      </c>
      <c r="F24" t="s">
        <v>55</v>
      </c>
      <c r="G24" s="3">
        <f t="shared" si="0"/>
        <v>35600</v>
      </c>
      <c r="H24" s="3">
        <v>0</v>
      </c>
      <c r="I24" s="3">
        <v>35600</v>
      </c>
      <c r="J24" s="2" t="s">
        <v>27</v>
      </c>
      <c r="K24" s="5">
        <v>46226.583333333343</v>
      </c>
      <c r="L24">
        <v>2</v>
      </c>
      <c r="M24" s="21">
        <v>17800</v>
      </c>
      <c r="N24" t="str">
        <f t="shared" si="3"/>
        <v>ставка</v>
      </c>
      <c r="O24" s="3">
        <f t="shared" si="4"/>
        <v>698.04</v>
      </c>
      <c r="P24" s="5">
        <v>46228.5</v>
      </c>
      <c r="Q24" t="s">
        <v>55</v>
      </c>
      <c r="R24" s="2" t="s">
        <v>45</v>
      </c>
      <c r="S24">
        <v>53</v>
      </c>
      <c r="T24">
        <v>2</v>
      </c>
    </row>
    <row r="25" spans="1:20" x14ac:dyDescent="0.25">
      <c r="A25" t="s">
        <v>946</v>
      </c>
      <c r="B25">
        <v>1</v>
      </c>
      <c r="C25" s="2" t="s">
        <v>947</v>
      </c>
      <c r="D25" s="3">
        <v>58000</v>
      </c>
      <c r="E25" s="4">
        <v>0</v>
      </c>
      <c r="F25" t="s">
        <v>55</v>
      </c>
      <c r="G25" s="3">
        <f t="shared" si="0"/>
        <v>58000</v>
      </c>
      <c r="H25" s="3">
        <v>0</v>
      </c>
      <c r="I25" s="3">
        <f t="shared" si="1"/>
        <v>58000</v>
      </c>
      <c r="J25" s="2"/>
      <c r="K25" s="5">
        <v>46273.833333333343</v>
      </c>
      <c r="L25">
        <v>4</v>
      </c>
      <c r="M25" s="21">
        <v>14500</v>
      </c>
      <c r="N25" t="str">
        <f t="shared" si="3"/>
        <v>ставка</v>
      </c>
      <c r="O25" s="3">
        <f t="shared" si="4"/>
        <v>1137.25</v>
      </c>
      <c r="P25" s="5">
        <v>46277.5</v>
      </c>
      <c r="Q25" t="s">
        <v>55</v>
      </c>
      <c r="R25" s="2" t="s">
        <v>45</v>
      </c>
      <c r="S25">
        <v>53</v>
      </c>
      <c r="T25">
        <v>2</v>
      </c>
    </row>
    <row r="26" spans="1:20" ht="30" x14ac:dyDescent="0.25">
      <c r="A26" t="s">
        <v>429</v>
      </c>
      <c r="B26">
        <v>1</v>
      </c>
      <c r="C26" s="2" t="s">
        <v>987</v>
      </c>
      <c r="D26" s="3">
        <v>12936.15</v>
      </c>
      <c r="E26" s="4">
        <v>3.1</v>
      </c>
      <c r="F26" t="s">
        <v>55</v>
      </c>
      <c r="G26" s="3">
        <f t="shared" si="0"/>
        <v>13350</v>
      </c>
      <c r="H26" s="3">
        <v>0</v>
      </c>
      <c r="I26" s="3">
        <f t="shared" si="1"/>
        <v>13350</v>
      </c>
      <c r="J26" s="2" t="s">
        <v>1961</v>
      </c>
      <c r="K26" s="5">
        <v>46258.583333333343</v>
      </c>
      <c r="L26">
        <v>1</v>
      </c>
      <c r="M26" s="21">
        <f t="shared" si="2"/>
        <v>13350</v>
      </c>
      <c r="N26" t="str">
        <f t="shared" si="3"/>
        <v>ставка</v>
      </c>
      <c r="O26" s="3">
        <f t="shared" si="4"/>
        <v>261.76</v>
      </c>
      <c r="P26" s="5">
        <v>46259.5</v>
      </c>
      <c r="Q26" t="s">
        <v>55</v>
      </c>
      <c r="R26" s="2" t="s">
        <v>40</v>
      </c>
      <c r="S26">
        <v>58</v>
      </c>
      <c r="T26">
        <v>2</v>
      </c>
    </row>
    <row r="27" spans="1:20" ht="30" x14ac:dyDescent="0.25">
      <c r="A27" t="s">
        <v>1191</v>
      </c>
      <c r="B27">
        <v>1</v>
      </c>
      <c r="C27" s="2" t="s">
        <v>1192</v>
      </c>
      <c r="D27" s="3">
        <v>26286.15</v>
      </c>
      <c r="E27" s="4">
        <v>4</v>
      </c>
      <c r="F27" t="s">
        <v>55</v>
      </c>
      <c r="G27" s="3">
        <f t="shared" si="0"/>
        <v>27381.41</v>
      </c>
      <c r="H27" s="3">
        <v>0</v>
      </c>
      <c r="I27" s="3">
        <f t="shared" si="1"/>
        <v>27381.41</v>
      </c>
      <c r="J27" s="2" t="s">
        <v>27</v>
      </c>
      <c r="K27" s="5">
        <v>46248.583333333343</v>
      </c>
      <c r="L27">
        <v>2</v>
      </c>
      <c r="M27" s="21">
        <f t="shared" si="2"/>
        <v>13690.705</v>
      </c>
      <c r="N27" t="str">
        <f t="shared" si="3"/>
        <v>ставка</v>
      </c>
      <c r="O27" s="3">
        <f t="shared" si="4"/>
        <v>536.89</v>
      </c>
      <c r="P27" s="5">
        <v>46250.5</v>
      </c>
      <c r="Q27" t="s">
        <v>55</v>
      </c>
      <c r="R27" s="2" t="s">
        <v>40</v>
      </c>
      <c r="S27">
        <v>55</v>
      </c>
      <c r="T27">
        <v>2</v>
      </c>
    </row>
    <row r="28" spans="1:20" ht="30" x14ac:dyDescent="0.25">
      <c r="A28" t="s">
        <v>1219</v>
      </c>
      <c r="B28">
        <v>1</v>
      </c>
      <c r="C28" s="2" t="s">
        <v>1220</v>
      </c>
      <c r="D28" s="3">
        <v>41269.1</v>
      </c>
      <c r="E28" s="4">
        <v>4</v>
      </c>
      <c r="F28" t="s">
        <v>55</v>
      </c>
      <c r="G28" s="3">
        <f t="shared" si="0"/>
        <v>42988.65</v>
      </c>
      <c r="H28" s="3">
        <v>0</v>
      </c>
      <c r="I28" s="3">
        <f t="shared" si="1"/>
        <v>42988.65</v>
      </c>
      <c r="J28" s="2"/>
      <c r="K28" s="5">
        <v>46248.583333333343</v>
      </c>
      <c r="L28">
        <v>3</v>
      </c>
      <c r="M28" s="21">
        <f t="shared" si="2"/>
        <v>14329.550000000001</v>
      </c>
      <c r="N28" t="str">
        <f t="shared" si="3"/>
        <v>ставка</v>
      </c>
      <c r="O28" s="3">
        <f t="shared" si="4"/>
        <v>842.91</v>
      </c>
      <c r="P28" s="5">
        <v>46251.5</v>
      </c>
      <c r="Q28" t="s">
        <v>55</v>
      </c>
      <c r="R28" s="2" t="s">
        <v>24</v>
      </c>
      <c r="S28">
        <v>59</v>
      </c>
      <c r="T28">
        <v>2</v>
      </c>
    </row>
    <row r="29" spans="1:20" x14ac:dyDescent="0.25">
      <c r="A29" t="s">
        <v>1262</v>
      </c>
      <c r="B29">
        <v>1</v>
      </c>
      <c r="C29" s="2" t="s">
        <v>1263</v>
      </c>
      <c r="D29" s="3">
        <v>17533</v>
      </c>
      <c r="E29" s="4">
        <v>4</v>
      </c>
      <c r="F29" t="s">
        <v>55</v>
      </c>
      <c r="G29" s="3">
        <f t="shared" si="0"/>
        <v>18263.54</v>
      </c>
      <c r="H29" s="3">
        <v>0</v>
      </c>
      <c r="I29" s="3">
        <f t="shared" si="1"/>
        <v>18263.54</v>
      </c>
      <c r="J29" s="2" t="s">
        <v>27</v>
      </c>
      <c r="K29" s="5">
        <v>46242.8125</v>
      </c>
      <c r="L29">
        <v>1</v>
      </c>
      <c r="M29" s="21">
        <f t="shared" si="2"/>
        <v>18263.54</v>
      </c>
      <c r="N29" t="str">
        <f t="shared" si="3"/>
        <v>ставка</v>
      </c>
      <c r="O29" s="3">
        <f t="shared" si="4"/>
        <v>358.11</v>
      </c>
      <c r="P29" s="5">
        <v>46243.5</v>
      </c>
      <c r="Q29" t="s">
        <v>55</v>
      </c>
      <c r="R29" s="2" t="s">
        <v>45</v>
      </c>
      <c r="S29">
        <v>53</v>
      </c>
      <c r="T29">
        <v>2</v>
      </c>
    </row>
    <row r="30" spans="1:20" x14ac:dyDescent="0.25">
      <c r="A30" t="s">
        <v>1281</v>
      </c>
      <c r="B30">
        <v>1</v>
      </c>
      <c r="C30" s="2" t="s">
        <v>1282</v>
      </c>
      <c r="D30" s="3">
        <v>17533</v>
      </c>
      <c r="E30" s="4">
        <v>4</v>
      </c>
      <c r="F30" t="s">
        <v>55</v>
      </c>
      <c r="G30" s="3">
        <f t="shared" si="0"/>
        <v>18263.54</v>
      </c>
      <c r="H30" s="3">
        <v>0</v>
      </c>
      <c r="I30" s="3">
        <f t="shared" si="1"/>
        <v>18263.54</v>
      </c>
      <c r="J30" s="2" t="s">
        <v>27</v>
      </c>
      <c r="K30" s="5">
        <v>46233.583333333343</v>
      </c>
      <c r="L30">
        <v>1</v>
      </c>
      <c r="M30" s="21">
        <f t="shared" si="2"/>
        <v>18263.54</v>
      </c>
      <c r="N30" t="str">
        <f t="shared" si="3"/>
        <v>ставка</v>
      </c>
      <c r="O30" s="3">
        <f t="shared" si="4"/>
        <v>358.11</v>
      </c>
      <c r="P30" s="5">
        <v>46234.5</v>
      </c>
      <c r="Q30" t="s">
        <v>55</v>
      </c>
      <c r="R30" s="2" t="s">
        <v>45</v>
      </c>
      <c r="S30">
        <v>54</v>
      </c>
      <c r="T30">
        <v>2</v>
      </c>
    </row>
    <row r="31" spans="1:20" ht="30" x14ac:dyDescent="0.25">
      <c r="A31" t="s">
        <v>1287</v>
      </c>
      <c r="B31">
        <v>1</v>
      </c>
      <c r="C31" s="2" t="s">
        <v>1288</v>
      </c>
      <c r="D31" s="3">
        <v>33698.15</v>
      </c>
      <c r="E31" s="4">
        <v>4</v>
      </c>
      <c r="F31" t="s">
        <v>55</v>
      </c>
      <c r="G31" s="3">
        <f t="shared" si="0"/>
        <v>35102.239999999998</v>
      </c>
      <c r="H31" s="3">
        <v>0</v>
      </c>
      <c r="I31" s="3">
        <f t="shared" si="1"/>
        <v>35102.239999999998</v>
      </c>
      <c r="J31" s="2" t="s">
        <v>27</v>
      </c>
      <c r="K31" s="5">
        <v>46273.583333333343</v>
      </c>
      <c r="L31">
        <v>3</v>
      </c>
      <c r="M31" s="21">
        <f t="shared" si="2"/>
        <v>11700.746666666666</v>
      </c>
      <c r="N31" t="str">
        <f t="shared" si="3"/>
        <v>ставка</v>
      </c>
      <c r="O31" s="3">
        <f t="shared" si="4"/>
        <v>688.28</v>
      </c>
      <c r="P31" s="5">
        <v>46276.5</v>
      </c>
      <c r="Q31" t="s">
        <v>55</v>
      </c>
      <c r="R31" s="2" t="s">
        <v>40</v>
      </c>
      <c r="S31">
        <v>58</v>
      </c>
      <c r="T31">
        <v>2</v>
      </c>
    </row>
    <row r="32" spans="1:20" ht="30" x14ac:dyDescent="0.25">
      <c r="A32" t="s">
        <v>1320</v>
      </c>
      <c r="B32">
        <v>1</v>
      </c>
      <c r="C32" s="2" t="s">
        <v>1321</v>
      </c>
      <c r="D32" s="3">
        <v>79450</v>
      </c>
      <c r="E32" s="4">
        <v>0</v>
      </c>
      <c r="F32" t="s">
        <v>55</v>
      </c>
      <c r="G32" s="3">
        <f t="shared" si="0"/>
        <v>79450</v>
      </c>
      <c r="H32" s="3">
        <v>0</v>
      </c>
      <c r="I32" s="3">
        <f t="shared" si="1"/>
        <v>79450</v>
      </c>
      <c r="J32" s="2" t="s">
        <v>27</v>
      </c>
      <c r="K32" s="5">
        <v>46285.979166666657</v>
      </c>
      <c r="L32">
        <v>7</v>
      </c>
      <c r="M32" s="21">
        <f t="shared" si="2"/>
        <v>11350</v>
      </c>
      <c r="N32" t="str">
        <f t="shared" si="3"/>
        <v>ставка</v>
      </c>
      <c r="O32" s="3">
        <f t="shared" si="4"/>
        <v>1557.84</v>
      </c>
      <c r="P32" s="5">
        <v>46292.5</v>
      </c>
      <c r="Q32" t="s">
        <v>55</v>
      </c>
      <c r="R32" s="2" t="s">
        <v>40</v>
      </c>
      <c r="S32">
        <v>55</v>
      </c>
      <c r="T32">
        <v>2</v>
      </c>
    </row>
    <row r="33" spans="1:20" ht="60" x14ac:dyDescent="0.25">
      <c r="A33" t="s">
        <v>1408</v>
      </c>
      <c r="B33">
        <v>1</v>
      </c>
      <c r="C33" s="2" t="s">
        <v>1409</v>
      </c>
      <c r="D33" s="3">
        <v>72400</v>
      </c>
      <c r="E33" s="4">
        <v>0</v>
      </c>
      <c r="F33" t="s">
        <v>55</v>
      </c>
      <c r="G33" s="3">
        <f t="shared" si="0"/>
        <v>72400</v>
      </c>
      <c r="H33" s="3">
        <v>1200</v>
      </c>
      <c r="I33" s="3">
        <f t="shared" si="1"/>
        <v>73600</v>
      </c>
      <c r="J33" s="2" t="s">
        <v>1410</v>
      </c>
      <c r="K33" s="5">
        <v>46211.583333333343</v>
      </c>
      <c r="L33">
        <v>4</v>
      </c>
      <c r="M33" s="21">
        <f t="shared" si="2"/>
        <v>18400</v>
      </c>
      <c r="N33" t="str">
        <f t="shared" si="3"/>
        <v>ставка</v>
      </c>
      <c r="O33" s="3">
        <f t="shared" si="4"/>
        <v>1443.14</v>
      </c>
      <c r="P33" s="5">
        <v>46215.5</v>
      </c>
      <c r="Q33" t="s">
        <v>55</v>
      </c>
      <c r="R33" s="2" t="s">
        <v>37</v>
      </c>
      <c r="S33">
        <v>54</v>
      </c>
      <c r="T33">
        <v>2</v>
      </c>
    </row>
    <row r="34" spans="1:20" ht="45" x14ac:dyDescent="0.25">
      <c r="A34" t="s">
        <v>1425</v>
      </c>
      <c r="B34">
        <v>1</v>
      </c>
      <c r="C34" s="2" t="s">
        <v>1426</v>
      </c>
      <c r="D34" s="3">
        <v>53400</v>
      </c>
      <c r="E34" s="4">
        <v>0</v>
      </c>
      <c r="F34" t="s">
        <v>55</v>
      </c>
      <c r="G34" s="3">
        <f t="shared" si="0"/>
        <v>53400</v>
      </c>
      <c r="H34" s="3">
        <v>0</v>
      </c>
      <c r="I34" s="3">
        <f t="shared" si="1"/>
        <v>53400</v>
      </c>
      <c r="J34" s="2" t="s">
        <v>27</v>
      </c>
      <c r="K34" s="5">
        <v>46272.583333333343</v>
      </c>
      <c r="L34">
        <v>4</v>
      </c>
      <c r="M34" s="21">
        <f t="shared" si="2"/>
        <v>13350</v>
      </c>
      <c r="N34" t="str">
        <f t="shared" si="3"/>
        <v>ставка</v>
      </c>
      <c r="O34" s="3">
        <f t="shared" si="4"/>
        <v>1047.06</v>
      </c>
      <c r="P34" s="5">
        <v>46276.5</v>
      </c>
      <c r="Q34" t="s">
        <v>55</v>
      </c>
      <c r="R34" s="2" t="s">
        <v>87</v>
      </c>
      <c r="S34">
        <v>50</v>
      </c>
      <c r="T34">
        <v>2</v>
      </c>
    </row>
    <row r="35" spans="1:20" ht="45" x14ac:dyDescent="0.25">
      <c r="A35" t="s">
        <v>1445</v>
      </c>
      <c r="B35">
        <v>1</v>
      </c>
      <c r="C35" s="2" t="s">
        <v>1446</v>
      </c>
      <c r="D35" s="3">
        <v>10900</v>
      </c>
      <c r="E35" s="4">
        <v>1.5</v>
      </c>
      <c r="F35" t="s">
        <v>55</v>
      </c>
      <c r="G35" s="3">
        <f t="shared" si="0"/>
        <v>11065.99</v>
      </c>
      <c r="H35" s="3">
        <v>0</v>
      </c>
      <c r="I35" s="3">
        <f t="shared" si="1"/>
        <v>11065.99</v>
      </c>
      <c r="J35" s="2" t="s">
        <v>27</v>
      </c>
      <c r="K35" s="5">
        <v>46227.75</v>
      </c>
      <c r="L35">
        <v>1</v>
      </c>
      <c r="M35" s="21">
        <f t="shared" si="2"/>
        <v>11065.99</v>
      </c>
      <c r="N35" t="str">
        <f t="shared" si="3"/>
        <v>ставка</v>
      </c>
      <c r="O35" s="3">
        <f t="shared" si="4"/>
        <v>216.98</v>
      </c>
      <c r="P35" s="5">
        <v>46228.5</v>
      </c>
      <c r="Q35" t="s">
        <v>55</v>
      </c>
      <c r="R35" s="2" t="s">
        <v>87</v>
      </c>
      <c r="S35">
        <v>51</v>
      </c>
      <c r="T35">
        <v>2</v>
      </c>
    </row>
    <row r="36" spans="1:20" ht="30" x14ac:dyDescent="0.25">
      <c r="A36" t="s">
        <v>1477</v>
      </c>
      <c r="B36">
        <v>1</v>
      </c>
      <c r="C36" s="2" t="s">
        <v>1478</v>
      </c>
      <c r="D36" s="3">
        <v>39449.25</v>
      </c>
      <c r="E36" s="4">
        <v>1.5</v>
      </c>
      <c r="F36" t="s">
        <v>55</v>
      </c>
      <c r="G36" s="3">
        <f t="shared" si="0"/>
        <v>40050</v>
      </c>
      <c r="H36" s="3">
        <v>0</v>
      </c>
      <c r="I36" s="3">
        <f t="shared" si="1"/>
        <v>40050</v>
      </c>
      <c r="J36" s="2" t="s">
        <v>27</v>
      </c>
      <c r="K36" s="5">
        <v>46276.583333333343</v>
      </c>
      <c r="L36">
        <v>3</v>
      </c>
      <c r="M36" s="21">
        <f t="shared" si="2"/>
        <v>13350</v>
      </c>
      <c r="N36" t="str">
        <f t="shared" si="3"/>
        <v>ставка</v>
      </c>
      <c r="O36" s="3">
        <f t="shared" si="4"/>
        <v>785.29</v>
      </c>
      <c r="P36" s="5">
        <v>46279.5</v>
      </c>
      <c r="Q36" t="s">
        <v>55</v>
      </c>
      <c r="R36" s="2" t="s">
        <v>40</v>
      </c>
      <c r="S36">
        <v>58</v>
      </c>
      <c r="T36">
        <v>2</v>
      </c>
    </row>
    <row r="37" spans="1:20" ht="30" x14ac:dyDescent="0.25">
      <c r="A37" t="s">
        <v>1496</v>
      </c>
      <c r="B37">
        <v>1</v>
      </c>
      <c r="C37" s="2" t="s">
        <v>1497</v>
      </c>
      <c r="D37" s="3">
        <v>34050</v>
      </c>
      <c r="E37" s="4">
        <v>0</v>
      </c>
      <c r="F37" t="s">
        <v>55</v>
      </c>
      <c r="G37" s="3">
        <f t="shared" si="0"/>
        <v>34050</v>
      </c>
      <c r="H37" s="3">
        <v>0</v>
      </c>
      <c r="I37" s="3">
        <f t="shared" si="1"/>
        <v>34050</v>
      </c>
      <c r="J37" s="2" t="s">
        <v>27</v>
      </c>
      <c r="K37" s="5">
        <v>46211.583333333343</v>
      </c>
      <c r="L37">
        <v>3</v>
      </c>
      <c r="M37" s="21">
        <f t="shared" si="2"/>
        <v>11350</v>
      </c>
      <c r="N37" t="str">
        <f t="shared" si="3"/>
        <v>ставка</v>
      </c>
      <c r="O37" s="3">
        <f t="shared" si="4"/>
        <v>667.65</v>
      </c>
      <c r="P37" s="5">
        <v>46214.5</v>
      </c>
      <c r="Q37" t="s">
        <v>55</v>
      </c>
      <c r="R37" s="2" t="s">
        <v>40</v>
      </c>
      <c r="S37">
        <v>55</v>
      </c>
      <c r="T37">
        <v>2</v>
      </c>
    </row>
    <row r="38" spans="1:20" x14ac:dyDescent="0.25">
      <c r="A38" t="s">
        <v>1502</v>
      </c>
      <c r="B38">
        <v>1</v>
      </c>
      <c r="C38" s="2" t="s">
        <v>1501</v>
      </c>
      <c r="D38" s="3">
        <v>15310.2</v>
      </c>
      <c r="E38" s="4">
        <v>3.1</v>
      </c>
      <c r="F38" t="s">
        <v>55</v>
      </c>
      <c r="G38" s="3">
        <f t="shared" si="0"/>
        <v>15800</v>
      </c>
      <c r="H38" s="3">
        <v>0</v>
      </c>
      <c r="I38" s="3">
        <f t="shared" si="1"/>
        <v>15800</v>
      </c>
      <c r="J38" s="2" t="s">
        <v>27</v>
      </c>
      <c r="K38" s="5">
        <v>46254.583333333343</v>
      </c>
      <c r="L38">
        <v>1</v>
      </c>
      <c r="M38" s="21">
        <f t="shared" si="2"/>
        <v>15800</v>
      </c>
      <c r="N38" t="str">
        <f t="shared" si="3"/>
        <v>ставка</v>
      </c>
      <c r="O38" s="3">
        <f t="shared" si="4"/>
        <v>309.8</v>
      </c>
      <c r="P38" s="5">
        <v>46255.5</v>
      </c>
      <c r="Q38" t="s">
        <v>55</v>
      </c>
      <c r="R38" s="2" t="s">
        <v>45</v>
      </c>
      <c r="S38">
        <v>53</v>
      </c>
      <c r="T38">
        <v>2</v>
      </c>
    </row>
    <row r="39" spans="1:20" ht="30" x14ac:dyDescent="0.25">
      <c r="A39" t="s">
        <v>1570</v>
      </c>
      <c r="B39">
        <v>1</v>
      </c>
      <c r="C39" s="2" t="s">
        <v>1571</v>
      </c>
      <c r="D39" s="3">
        <v>22700</v>
      </c>
      <c r="E39" s="4">
        <v>0</v>
      </c>
      <c r="F39" t="s">
        <v>55</v>
      </c>
      <c r="G39" s="3">
        <f t="shared" si="0"/>
        <v>22700</v>
      </c>
      <c r="H39" s="3">
        <v>0</v>
      </c>
      <c r="I39" s="3">
        <f t="shared" si="1"/>
        <v>22700</v>
      </c>
      <c r="J39" s="2" t="s">
        <v>27</v>
      </c>
      <c r="K39" s="5">
        <v>46282.583333333343</v>
      </c>
      <c r="L39">
        <v>2</v>
      </c>
      <c r="M39" s="21">
        <f t="shared" si="2"/>
        <v>11350</v>
      </c>
      <c r="N39" t="str">
        <f t="shared" si="3"/>
        <v>ставка</v>
      </c>
      <c r="O39" s="3">
        <f t="shared" si="4"/>
        <v>445.1</v>
      </c>
      <c r="P39" s="5">
        <v>46284.5</v>
      </c>
      <c r="Q39" t="s">
        <v>55</v>
      </c>
      <c r="R39" s="2" t="s">
        <v>40</v>
      </c>
      <c r="S39">
        <v>55</v>
      </c>
      <c r="T39">
        <v>2</v>
      </c>
    </row>
    <row r="40" spans="1:20" x14ac:dyDescent="0.25">
      <c r="A40" t="s">
        <v>1592</v>
      </c>
      <c r="B40">
        <v>1</v>
      </c>
      <c r="C40" s="2" t="s">
        <v>1593</v>
      </c>
      <c r="D40" s="3">
        <v>35600</v>
      </c>
      <c r="E40" s="4">
        <v>0</v>
      </c>
      <c r="F40" t="s">
        <v>55</v>
      </c>
      <c r="G40" s="3">
        <f t="shared" si="0"/>
        <v>35600</v>
      </c>
      <c r="H40" s="3">
        <v>0</v>
      </c>
      <c r="I40" s="3">
        <f t="shared" si="1"/>
        <v>35600</v>
      </c>
      <c r="J40" s="2" t="s">
        <v>27</v>
      </c>
      <c r="K40" s="5">
        <v>46219.770833333343</v>
      </c>
      <c r="L40">
        <v>2</v>
      </c>
      <c r="M40" s="21">
        <f t="shared" si="2"/>
        <v>17800</v>
      </c>
      <c r="N40" t="str">
        <f t="shared" si="3"/>
        <v>ставка</v>
      </c>
      <c r="O40" s="3">
        <f t="shared" si="4"/>
        <v>698.04</v>
      </c>
      <c r="P40" s="5">
        <v>46221.5</v>
      </c>
      <c r="Q40" t="s">
        <v>55</v>
      </c>
      <c r="R40" s="2" t="s">
        <v>37</v>
      </c>
      <c r="S40">
        <v>54</v>
      </c>
      <c r="T40">
        <v>2</v>
      </c>
    </row>
    <row r="41" spans="1:20" ht="30" x14ac:dyDescent="0.25">
      <c r="A41" t="s">
        <v>1598</v>
      </c>
      <c r="B41">
        <v>1</v>
      </c>
      <c r="C41" s="2" t="s">
        <v>1599</v>
      </c>
      <c r="D41" s="3">
        <v>71200</v>
      </c>
      <c r="E41" s="4">
        <v>0</v>
      </c>
      <c r="F41" t="s">
        <v>55</v>
      </c>
      <c r="G41" s="3">
        <f t="shared" si="0"/>
        <v>71200</v>
      </c>
      <c r="H41" s="3">
        <v>350</v>
      </c>
      <c r="I41" s="3">
        <f t="shared" si="1"/>
        <v>71550</v>
      </c>
      <c r="J41" s="2" t="s">
        <v>846</v>
      </c>
      <c r="K41" s="5">
        <v>46232.583333333343</v>
      </c>
      <c r="L41">
        <v>4</v>
      </c>
      <c r="M41" s="21">
        <f t="shared" si="2"/>
        <v>17887.5</v>
      </c>
      <c r="N41" t="str">
        <f t="shared" si="3"/>
        <v>ставка</v>
      </c>
      <c r="O41" s="3">
        <f t="shared" si="4"/>
        <v>1402.94</v>
      </c>
      <c r="P41" s="5">
        <v>46236.5</v>
      </c>
      <c r="Q41" t="s">
        <v>55</v>
      </c>
      <c r="R41" s="2" t="s">
        <v>45</v>
      </c>
      <c r="S41">
        <v>53</v>
      </c>
      <c r="T41">
        <v>2</v>
      </c>
    </row>
    <row r="42" spans="1:20" ht="30" x14ac:dyDescent="0.25">
      <c r="A42" t="s">
        <v>1609</v>
      </c>
      <c r="B42">
        <v>1</v>
      </c>
      <c r="C42" s="2" t="s">
        <v>1610</v>
      </c>
      <c r="D42" s="3">
        <v>15400</v>
      </c>
      <c r="E42" s="4">
        <v>3.1</v>
      </c>
      <c r="F42" t="s">
        <v>55</v>
      </c>
      <c r="G42" s="3">
        <f t="shared" si="0"/>
        <v>15892.67</v>
      </c>
      <c r="H42" s="3">
        <v>0</v>
      </c>
      <c r="I42" s="3">
        <f t="shared" si="1"/>
        <v>15892.67</v>
      </c>
      <c r="J42" s="2" t="s">
        <v>27</v>
      </c>
      <c r="K42" s="5">
        <v>46227.583333333343</v>
      </c>
      <c r="L42">
        <v>1</v>
      </c>
      <c r="M42" s="21">
        <f t="shared" si="2"/>
        <v>15892.67</v>
      </c>
      <c r="N42" t="str">
        <f t="shared" si="3"/>
        <v>ставка</v>
      </c>
      <c r="O42" s="3">
        <f t="shared" si="4"/>
        <v>311.62</v>
      </c>
      <c r="P42" s="5">
        <v>46228.5</v>
      </c>
      <c r="Q42" t="s">
        <v>55</v>
      </c>
      <c r="R42" s="2" t="s">
        <v>24</v>
      </c>
      <c r="S42">
        <v>56</v>
      </c>
      <c r="T42">
        <v>2</v>
      </c>
    </row>
    <row r="43" spans="1:20" ht="45" x14ac:dyDescent="0.25">
      <c r="A43" t="s">
        <v>1613</v>
      </c>
      <c r="B43">
        <v>1</v>
      </c>
      <c r="C43" s="2" t="s">
        <v>1614</v>
      </c>
      <c r="D43" s="3">
        <v>27400</v>
      </c>
      <c r="E43" s="4">
        <v>0</v>
      </c>
      <c r="F43" t="s">
        <v>55</v>
      </c>
      <c r="G43" s="3">
        <f t="shared" si="0"/>
        <v>27400</v>
      </c>
      <c r="H43" s="3">
        <v>0</v>
      </c>
      <c r="I43" s="3">
        <f t="shared" si="1"/>
        <v>27400</v>
      </c>
      <c r="J43" s="2" t="s">
        <v>27</v>
      </c>
      <c r="K43" s="5">
        <v>46223.583333333343</v>
      </c>
      <c r="L43">
        <v>2</v>
      </c>
      <c r="M43" s="21">
        <f t="shared" si="2"/>
        <v>13700</v>
      </c>
      <c r="N43" t="str">
        <f t="shared" si="3"/>
        <v>ставка</v>
      </c>
      <c r="O43" s="3">
        <f t="shared" si="4"/>
        <v>537.25</v>
      </c>
      <c r="P43" s="5">
        <v>46225.5</v>
      </c>
      <c r="Q43" t="s">
        <v>55</v>
      </c>
      <c r="R43" s="2" t="s">
        <v>87</v>
      </c>
      <c r="S43">
        <v>51</v>
      </c>
      <c r="T43">
        <v>2</v>
      </c>
    </row>
    <row r="44" spans="1:20" ht="30" x14ac:dyDescent="0.25">
      <c r="A44" t="s">
        <v>1626</v>
      </c>
      <c r="B44">
        <v>1</v>
      </c>
      <c r="C44" s="2" t="s">
        <v>1627</v>
      </c>
      <c r="D44" s="3">
        <v>53400</v>
      </c>
      <c r="E44" s="4">
        <v>0</v>
      </c>
      <c r="F44" t="s">
        <v>55</v>
      </c>
      <c r="G44" s="3">
        <f t="shared" si="0"/>
        <v>53400</v>
      </c>
      <c r="H44" s="3">
        <v>0</v>
      </c>
      <c r="I44" s="3">
        <f t="shared" si="1"/>
        <v>53400</v>
      </c>
      <c r="J44" s="2" t="s">
        <v>27</v>
      </c>
      <c r="K44" s="5">
        <v>46278.583333333343</v>
      </c>
      <c r="L44">
        <v>3</v>
      </c>
      <c r="M44" s="21">
        <f t="shared" si="2"/>
        <v>17800</v>
      </c>
      <c r="N44" t="str">
        <f t="shared" si="3"/>
        <v>ставка</v>
      </c>
      <c r="O44" s="3">
        <f t="shared" si="4"/>
        <v>1047.06</v>
      </c>
      <c r="P44" s="5">
        <v>46281.5</v>
      </c>
      <c r="Q44" t="s">
        <v>55</v>
      </c>
      <c r="R44" s="2" t="s">
        <v>45</v>
      </c>
      <c r="S44">
        <v>53</v>
      </c>
      <c r="T44">
        <v>2</v>
      </c>
    </row>
    <row r="45" spans="1:20" ht="30" x14ac:dyDescent="0.25">
      <c r="A45" t="s">
        <v>1681</v>
      </c>
      <c r="B45">
        <v>1</v>
      </c>
      <c r="C45" s="2" t="s">
        <v>1682</v>
      </c>
      <c r="D45" s="3">
        <v>107800</v>
      </c>
      <c r="E45" s="4">
        <v>0</v>
      </c>
      <c r="F45" t="s">
        <v>55</v>
      </c>
      <c r="G45" s="3">
        <f t="shared" si="0"/>
        <v>107800</v>
      </c>
      <c r="H45" s="3">
        <v>0</v>
      </c>
      <c r="I45" s="3">
        <f t="shared" si="1"/>
        <v>107800</v>
      </c>
      <c r="J45" s="2" t="s">
        <v>27</v>
      </c>
      <c r="K45" s="5">
        <v>46246.583333333343</v>
      </c>
      <c r="L45">
        <v>7</v>
      </c>
      <c r="M45" s="21">
        <f t="shared" si="2"/>
        <v>15400</v>
      </c>
      <c r="N45" t="str">
        <f t="shared" si="3"/>
        <v>ставка</v>
      </c>
      <c r="O45" s="3">
        <f t="shared" si="4"/>
        <v>2113.73</v>
      </c>
      <c r="P45" s="5">
        <v>46253.5</v>
      </c>
      <c r="Q45" t="s">
        <v>55</v>
      </c>
      <c r="R45" s="2" t="s">
        <v>24</v>
      </c>
      <c r="S45">
        <v>56</v>
      </c>
      <c r="T45">
        <v>2</v>
      </c>
    </row>
    <row r="46" spans="1:20" ht="30" x14ac:dyDescent="0.25">
      <c r="A46" t="s">
        <v>1685</v>
      </c>
      <c r="B46">
        <v>1</v>
      </c>
      <c r="C46" s="2" t="s">
        <v>1686</v>
      </c>
      <c r="D46" s="3">
        <v>26700</v>
      </c>
      <c r="E46" s="4">
        <v>0</v>
      </c>
      <c r="F46" t="s">
        <v>55</v>
      </c>
      <c r="G46" s="3">
        <f t="shared" si="0"/>
        <v>26700</v>
      </c>
      <c r="H46" s="3">
        <v>0</v>
      </c>
      <c r="I46" s="3">
        <f t="shared" si="1"/>
        <v>26700</v>
      </c>
      <c r="J46" s="2" t="s">
        <v>27</v>
      </c>
      <c r="K46" s="5">
        <v>46279.583333333343</v>
      </c>
      <c r="L46">
        <v>2</v>
      </c>
      <c r="M46" s="21">
        <f t="shared" si="2"/>
        <v>13350</v>
      </c>
      <c r="N46" t="str">
        <f t="shared" si="3"/>
        <v>ставка</v>
      </c>
      <c r="O46" s="3">
        <f t="shared" si="4"/>
        <v>523.53</v>
      </c>
      <c r="P46" s="5">
        <v>46281.5</v>
      </c>
      <c r="Q46" t="s">
        <v>55</v>
      </c>
      <c r="R46" s="2" t="s">
        <v>40</v>
      </c>
      <c r="S46">
        <v>52</v>
      </c>
      <c r="T46">
        <v>2</v>
      </c>
    </row>
    <row r="47" spans="1:20" ht="60" x14ac:dyDescent="0.25">
      <c r="A47" t="s">
        <v>1784</v>
      </c>
      <c r="B47">
        <v>1</v>
      </c>
      <c r="C47" s="2" t="s">
        <v>1785</v>
      </c>
      <c r="D47" s="3">
        <v>49500</v>
      </c>
      <c r="E47" s="4">
        <v>0</v>
      </c>
      <c r="F47" t="s">
        <v>55</v>
      </c>
      <c r="G47" s="3">
        <f t="shared" si="0"/>
        <v>49500</v>
      </c>
      <c r="H47" s="3">
        <v>3440</v>
      </c>
      <c r="I47" s="3">
        <f t="shared" si="1"/>
        <v>52940</v>
      </c>
      <c r="J47" s="2" t="s">
        <v>1786</v>
      </c>
      <c r="K47" s="5">
        <v>46207.708333333343</v>
      </c>
      <c r="L47">
        <v>3</v>
      </c>
      <c r="M47" s="21">
        <f t="shared" si="2"/>
        <v>17646.666666666668</v>
      </c>
      <c r="N47" t="str">
        <f t="shared" si="3"/>
        <v>ставка</v>
      </c>
      <c r="O47" s="3">
        <f t="shared" si="4"/>
        <v>1038.04</v>
      </c>
      <c r="P47" s="5">
        <v>46210.666666666657</v>
      </c>
      <c r="Q47" t="s">
        <v>55</v>
      </c>
      <c r="R47" s="2" t="s">
        <v>45</v>
      </c>
      <c r="S47">
        <v>54</v>
      </c>
      <c r="T47">
        <v>2</v>
      </c>
    </row>
    <row r="48" spans="1:20" x14ac:dyDescent="0.25">
      <c r="A48" t="s">
        <v>1807</v>
      </c>
      <c r="B48">
        <v>1</v>
      </c>
      <c r="C48" s="2" t="s">
        <v>1808</v>
      </c>
      <c r="D48" s="3">
        <v>14300</v>
      </c>
      <c r="E48" s="4">
        <v>0</v>
      </c>
      <c r="F48" t="s">
        <v>55</v>
      </c>
      <c r="G48" s="3">
        <f t="shared" si="0"/>
        <v>14300</v>
      </c>
      <c r="H48" s="3">
        <v>0</v>
      </c>
      <c r="I48" s="3">
        <f t="shared" si="1"/>
        <v>14300</v>
      </c>
      <c r="J48" s="2"/>
      <c r="K48" s="5">
        <v>46232.583333333343</v>
      </c>
      <c r="L48">
        <v>1</v>
      </c>
      <c r="M48" s="21">
        <f t="shared" si="2"/>
        <v>14300</v>
      </c>
      <c r="N48" t="str">
        <f t="shared" si="3"/>
        <v>ставка</v>
      </c>
      <c r="O48" s="3">
        <f t="shared" si="4"/>
        <v>280.39</v>
      </c>
      <c r="P48" s="5">
        <v>46233.5</v>
      </c>
      <c r="Q48" t="s">
        <v>55</v>
      </c>
      <c r="R48" s="2" t="s">
        <v>45</v>
      </c>
      <c r="S48">
        <v>57</v>
      </c>
      <c r="T48">
        <v>2</v>
      </c>
    </row>
    <row r="49" spans="1:20" x14ac:dyDescent="0.25">
      <c r="A49" t="s">
        <v>1809</v>
      </c>
      <c r="B49">
        <v>1</v>
      </c>
      <c r="C49" s="2" t="s">
        <v>1810</v>
      </c>
      <c r="D49" s="3">
        <v>29000</v>
      </c>
      <c r="E49" s="4">
        <v>0</v>
      </c>
      <c r="F49" t="s">
        <v>55</v>
      </c>
      <c r="G49" s="3">
        <f t="shared" si="0"/>
        <v>29000</v>
      </c>
      <c r="H49" s="3">
        <v>0</v>
      </c>
      <c r="I49" s="3">
        <f t="shared" si="1"/>
        <v>29000</v>
      </c>
      <c r="J49" s="2"/>
      <c r="K49" s="5">
        <v>46262.583333333343</v>
      </c>
      <c r="L49">
        <v>2</v>
      </c>
      <c r="M49" s="21">
        <f t="shared" si="2"/>
        <v>14500</v>
      </c>
      <c r="N49" t="str">
        <f t="shared" si="3"/>
        <v>ставка</v>
      </c>
      <c r="O49" s="3">
        <f t="shared" si="4"/>
        <v>568.63</v>
      </c>
      <c r="P49" s="5">
        <v>46264.5</v>
      </c>
      <c r="Q49" t="s">
        <v>55</v>
      </c>
      <c r="R49" s="2" t="s">
        <v>45</v>
      </c>
      <c r="S49">
        <v>53</v>
      </c>
      <c r="T49">
        <v>2</v>
      </c>
    </row>
    <row r="50" spans="1:20" ht="30" x14ac:dyDescent="0.25">
      <c r="A50" t="s">
        <v>1813</v>
      </c>
      <c r="B50">
        <v>1</v>
      </c>
      <c r="C50" s="2" t="s">
        <v>1814</v>
      </c>
      <c r="D50" s="3">
        <v>30800</v>
      </c>
      <c r="E50" s="4">
        <v>0</v>
      </c>
      <c r="F50" t="s">
        <v>55</v>
      </c>
      <c r="G50" s="3">
        <f t="shared" si="0"/>
        <v>30800</v>
      </c>
      <c r="H50" s="3">
        <v>0</v>
      </c>
      <c r="I50" s="3">
        <f t="shared" si="1"/>
        <v>30800</v>
      </c>
      <c r="J50" s="2" t="s">
        <v>27</v>
      </c>
      <c r="K50" s="5">
        <v>46218.583333333343</v>
      </c>
      <c r="L50">
        <v>2</v>
      </c>
      <c r="M50" s="21">
        <f t="shared" si="2"/>
        <v>15400</v>
      </c>
      <c r="N50" t="str">
        <f t="shared" si="3"/>
        <v>ставка</v>
      </c>
      <c r="O50" s="3">
        <f t="shared" si="4"/>
        <v>603.91999999999996</v>
      </c>
      <c r="P50" s="5">
        <v>46220.5</v>
      </c>
      <c r="Q50" t="s">
        <v>55</v>
      </c>
      <c r="R50" s="2" t="s">
        <v>24</v>
      </c>
      <c r="S50">
        <v>59</v>
      </c>
      <c r="T50">
        <v>2</v>
      </c>
    </row>
    <row r="51" spans="1:20" ht="30" x14ac:dyDescent="0.25">
      <c r="A51" t="s">
        <v>1838</v>
      </c>
      <c r="B51">
        <v>1</v>
      </c>
      <c r="C51" s="2" t="s">
        <v>1839</v>
      </c>
      <c r="D51" s="3">
        <v>26700</v>
      </c>
      <c r="E51" s="4">
        <v>0</v>
      </c>
      <c r="F51" t="s">
        <v>55</v>
      </c>
      <c r="G51" s="3">
        <f t="shared" si="0"/>
        <v>26700</v>
      </c>
      <c r="H51" s="3">
        <v>90</v>
      </c>
      <c r="I51" s="3">
        <f t="shared" si="1"/>
        <v>26790</v>
      </c>
      <c r="J51" s="2" t="s">
        <v>1840</v>
      </c>
      <c r="K51" s="5">
        <v>46238.583333333343</v>
      </c>
      <c r="L51">
        <v>2</v>
      </c>
      <c r="M51" s="21">
        <f t="shared" si="2"/>
        <v>13395</v>
      </c>
      <c r="N51" t="str">
        <f t="shared" si="3"/>
        <v>ставка</v>
      </c>
      <c r="O51" s="3">
        <f t="shared" si="4"/>
        <v>525.29</v>
      </c>
      <c r="P51" s="5">
        <v>46240.5</v>
      </c>
      <c r="Q51" t="s">
        <v>55</v>
      </c>
      <c r="R51" s="2" t="s">
        <v>40</v>
      </c>
      <c r="S51">
        <v>52</v>
      </c>
      <c r="T51">
        <v>2</v>
      </c>
    </row>
    <row r="52" spans="1:20" ht="30" x14ac:dyDescent="0.25">
      <c r="A52" t="s">
        <v>1901</v>
      </c>
      <c r="B52">
        <v>1</v>
      </c>
      <c r="C52" s="2" t="s">
        <v>1902</v>
      </c>
      <c r="D52" s="3">
        <v>61600</v>
      </c>
      <c r="E52" s="4">
        <v>0</v>
      </c>
      <c r="F52" t="s">
        <v>55</v>
      </c>
      <c r="G52" s="3">
        <f t="shared" si="0"/>
        <v>61600</v>
      </c>
      <c r="H52" s="3">
        <v>0</v>
      </c>
      <c r="I52" s="3">
        <f t="shared" si="1"/>
        <v>61600</v>
      </c>
      <c r="J52" s="2" t="s">
        <v>27</v>
      </c>
      <c r="K52" s="5">
        <v>46232.854166666657</v>
      </c>
      <c r="L52">
        <v>4</v>
      </c>
      <c r="M52" s="21">
        <f>I52/L52</f>
        <v>15400</v>
      </c>
      <c r="N52" t="str">
        <f t="shared" si="3"/>
        <v>ставка</v>
      </c>
      <c r="O52" s="3">
        <f t="shared" si="4"/>
        <v>1207.8399999999999</v>
      </c>
      <c r="P52" s="5">
        <v>46236.5</v>
      </c>
      <c r="Q52" t="s">
        <v>55</v>
      </c>
      <c r="R52" s="2" t="s">
        <v>24</v>
      </c>
      <c r="S52">
        <v>56</v>
      </c>
      <c r="T52">
        <v>2</v>
      </c>
    </row>
    <row r="53" spans="1:20" ht="30" x14ac:dyDescent="0.25">
      <c r="A53" t="s">
        <v>1206</v>
      </c>
      <c r="B53">
        <v>1</v>
      </c>
      <c r="C53" s="2" t="s">
        <v>1207</v>
      </c>
      <c r="D53" s="3">
        <v>13350</v>
      </c>
      <c r="E53" s="4">
        <v>15</v>
      </c>
      <c r="F53" t="s">
        <v>73</v>
      </c>
      <c r="G53" s="3">
        <f t="shared" si="0"/>
        <v>15705.88</v>
      </c>
      <c r="H53" s="3">
        <v>0</v>
      </c>
      <c r="I53" s="3">
        <f t="shared" si="1"/>
        <v>15705.88</v>
      </c>
      <c r="J53" s="2" t="s">
        <v>27</v>
      </c>
      <c r="K53" s="5">
        <v>46258.583333333343</v>
      </c>
      <c r="L53">
        <v>1</v>
      </c>
      <c r="M53" s="21">
        <f t="shared" si="2"/>
        <v>15705.88</v>
      </c>
      <c r="N53" t="str">
        <f t="shared" si="3"/>
        <v>ставка</v>
      </c>
      <c r="O53" s="3">
        <f t="shared" si="4"/>
        <v>307.95999999999998</v>
      </c>
      <c r="P53" s="5">
        <v>46259.5</v>
      </c>
      <c r="Q53" t="s">
        <v>73</v>
      </c>
      <c r="R53" s="2" t="s">
        <v>40</v>
      </c>
      <c r="S53">
        <v>55</v>
      </c>
      <c r="T53">
        <v>2</v>
      </c>
    </row>
    <row r="54" spans="1:20" ht="30" x14ac:dyDescent="0.25">
      <c r="A54" t="s">
        <v>1285</v>
      </c>
      <c r="B54">
        <v>1</v>
      </c>
      <c r="C54" s="2" t="s">
        <v>1286</v>
      </c>
      <c r="D54" s="3">
        <v>11347.5</v>
      </c>
      <c r="E54" s="4">
        <v>15</v>
      </c>
      <c r="F54" t="s">
        <v>73</v>
      </c>
      <c r="G54" s="3">
        <f t="shared" si="0"/>
        <v>13350</v>
      </c>
      <c r="H54" s="3">
        <v>0</v>
      </c>
      <c r="I54" s="3">
        <f t="shared" si="1"/>
        <v>13350</v>
      </c>
      <c r="J54" s="2" t="s">
        <v>27</v>
      </c>
      <c r="K54" s="5">
        <v>46273.583333333343</v>
      </c>
      <c r="L54">
        <v>1</v>
      </c>
      <c r="M54" s="21">
        <f t="shared" si="2"/>
        <v>13350</v>
      </c>
      <c r="N54" t="str">
        <f t="shared" si="3"/>
        <v>ставка</v>
      </c>
      <c r="O54" s="3">
        <f t="shared" si="4"/>
        <v>261.76</v>
      </c>
      <c r="P54" s="5">
        <v>46274.5</v>
      </c>
      <c r="Q54" t="s">
        <v>73</v>
      </c>
      <c r="R54" s="2" t="s">
        <v>40</v>
      </c>
      <c r="S54">
        <v>52</v>
      </c>
      <c r="T54">
        <v>2</v>
      </c>
    </row>
    <row r="55" spans="1:20" ht="30" x14ac:dyDescent="0.25">
      <c r="A55" t="s">
        <v>1439</v>
      </c>
      <c r="B55">
        <v>1</v>
      </c>
      <c r="C55" s="2" t="s">
        <v>1440</v>
      </c>
      <c r="D55" s="22">
        <v>42925</v>
      </c>
      <c r="E55" s="4">
        <v>15</v>
      </c>
      <c r="F55" t="s">
        <v>73</v>
      </c>
      <c r="G55" s="3">
        <f t="shared" si="0"/>
        <v>50500</v>
      </c>
      <c r="H55" s="3">
        <v>0</v>
      </c>
      <c r="I55" s="3">
        <f t="shared" si="1"/>
        <v>50500</v>
      </c>
      <c r="J55" s="2" t="s">
        <v>27</v>
      </c>
      <c r="K55" s="5">
        <v>46294.583333333343</v>
      </c>
      <c r="L55">
        <v>3</v>
      </c>
      <c r="M55" s="21">
        <f>I55/L55</f>
        <v>16833.333333333332</v>
      </c>
      <c r="N55" t="str">
        <f t="shared" si="3"/>
        <v>ставка</v>
      </c>
      <c r="O55" s="3">
        <f t="shared" si="4"/>
        <v>990.2</v>
      </c>
      <c r="P55" s="5">
        <v>46297.5</v>
      </c>
      <c r="Q55" t="s">
        <v>73</v>
      </c>
      <c r="R55" s="2" t="s">
        <v>45</v>
      </c>
      <c r="S55">
        <v>54</v>
      </c>
      <c r="T55">
        <v>2</v>
      </c>
    </row>
    <row r="56" spans="1:20" ht="30" x14ac:dyDescent="0.25">
      <c r="A56" t="s">
        <v>166</v>
      </c>
      <c r="B56">
        <v>1</v>
      </c>
      <c r="C56" s="2" t="s">
        <v>167</v>
      </c>
      <c r="D56" s="3">
        <v>28942.5</v>
      </c>
      <c r="E56" s="4">
        <v>15</v>
      </c>
      <c r="F56" t="s">
        <v>168</v>
      </c>
      <c r="G56" s="3">
        <f t="shared" si="0"/>
        <v>34050</v>
      </c>
      <c r="H56" s="3">
        <v>0</v>
      </c>
      <c r="I56" s="3">
        <f t="shared" si="1"/>
        <v>34050</v>
      </c>
      <c r="J56" s="2" t="s">
        <v>27</v>
      </c>
      <c r="K56" s="5">
        <v>46222.583333333343</v>
      </c>
      <c r="L56">
        <v>3</v>
      </c>
      <c r="M56" s="21">
        <f t="shared" si="2"/>
        <v>11350</v>
      </c>
      <c r="N56" t="str">
        <f t="shared" si="3"/>
        <v>ставка</v>
      </c>
      <c r="O56" s="3">
        <f t="shared" si="4"/>
        <v>667.65</v>
      </c>
      <c r="P56" s="5">
        <v>46225.5</v>
      </c>
      <c r="Q56" t="s">
        <v>168</v>
      </c>
      <c r="R56" s="2" t="s">
        <v>40</v>
      </c>
      <c r="S56">
        <v>58</v>
      </c>
      <c r="T56">
        <v>2</v>
      </c>
    </row>
    <row r="57" spans="1:20" ht="45" x14ac:dyDescent="0.25">
      <c r="A57" t="s">
        <v>169</v>
      </c>
      <c r="B57">
        <v>1</v>
      </c>
      <c r="C57" s="2" t="s">
        <v>170</v>
      </c>
      <c r="D57" s="3">
        <v>77137.5</v>
      </c>
      <c r="E57" s="4">
        <v>15</v>
      </c>
      <c r="F57" t="s">
        <v>168</v>
      </c>
      <c r="G57" s="3">
        <f t="shared" si="0"/>
        <v>90750</v>
      </c>
      <c r="H57" s="3">
        <v>0</v>
      </c>
      <c r="I57" s="3">
        <f t="shared" si="1"/>
        <v>90750</v>
      </c>
      <c r="J57" s="2" t="s">
        <v>27</v>
      </c>
      <c r="K57" s="5">
        <v>46293.583333333343</v>
      </c>
      <c r="L57">
        <v>9</v>
      </c>
      <c r="M57" s="21">
        <f t="shared" si="2"/>
        <v>10083.333333333334</v>
      </c>
      <c r="N57" t="str">
        <f t="shared" si="3"/>
        <v>ставка</v>
      </c>
      <c r="O57" s="3">
        <f t="shared" si="4"/>
        <v>1779.41</v>
      </c>
      <c r="P57" s="5">
        <v>46302.5</v>
      </c>
      <c r="Q57" t="s">
        <v>168</v>
      </c>
      <c r="R57" s="2" t="s">
        <v>87</v>
      </c>
      <c r="S57">
        <v>50</v>
      </c>
      <c r="T57">
        <v>2</v>
      </c>
    </row>
    <row r="58" spans="1:20" ht="45" x14ac:dyDescent="0.25">
      <c r="A58" t="s">
        <v>323</v>
      </c>
      <c r="B58">
        <v>1</v>
      </c>
      <c r="C58" s="2" t="s">
        <v>324</v>
      </c>
      <c r="D58" s="3">
        <v>34042.5</v>
      </c>
      <c r="E58" s="4">
        <v>15</v>
      </c>
      <c r="F58" t="s">
        <v>168</v>
      </c>
      <c r="G58" s="3">
        <f t="shared" si="0"/>
        <v>40050</v>
      </c>
      <c r="H58" s="3">
        <v>3360</v>
      </c>
      <c r="I58" s="3">
        <f t="shared" si="1"/>
        <v>43410</v>
      </c>
      <c r="J58" s="2" t="s">
        <v>325</v>
      </c>
      <c r="K58" s="5">
        <v>46274.583333333343</v>
      </c>
      <c r="L58">
        <v>3</v>
      </c>
      <c r="M58" s="21">
        <f t="shared" si="2"/>
        <v>14470</v>
      </c>
      <c r="N58" t="str">
        <f t="shared" si="3"/>
        <v>ставка</v>
      </c>
      <c r="O58" s="3">
        <f t="shared" si="4"/>
        <v>851.18</v>
      </c>
      <c r="P58" s="5">
        <v>46277.75</v>
      </c>
      <c r="Q58" t="s">
        <v>168</v>
      </c>
      <c r="R58" s="2" t="s">
        <v>40</v>
      </c>
      <c r="S58">
        <v>52</v>
      </c>
      <c r="T58">
        <v>2</v>
      </c>
    </row>
    <row r="59" spans="1:20" ht="30" x14ac:dyDescent="0.25">
      <c r="A59" t="s">
        <v>418</v>
      </c>
      <c r="B59">
        <v>1</v>
      </c>
      <c r="C59" s="2" t="s">
        <v>419</v>
      </c>
      <c r="D59" s="3">
        <v>28942.5</v>
      </c>
      <c r="E59" s="4">
        <v>15</v>
      </c>
      <c r="F59" t="s">
        <v>168</v>
      </c>
      <c r="G59" s="3">
        <f t="shared" si="0"/>
        <v>34050</v>
      </c>
      <c r="H59" s="3">
        <v>0</v>
      </c>
      <c r="I59" s="3">
        <f t="shared" si="1"/>
        <v>34050</v>
      </c>
      <c r="J59" s="2" t="s">
        <v>27</v>
      </c>
      <c r="K59" s="5">
        <v>46260.583333333343</v>
      </c>
      <c r="L59">
        <v>3</v>
      </c>
      <c r="M59" s="21">
        <f t="shared" si="2"/>
        <v>11350</v>
      </c>
      <c r="N59" t="str">
        <f t="shared" si="3"/>
        <v>ставка</v>
      </c>
      <c r="O59" s="3">
        <f t="shared" si="4"/>
        <v>667.65</v>
      </c>
      <c r="P59" s="5">
        <v>46263.5</v>
      </c>
      <c r="Q59" t="s">
        <v>168</v>
      </c>
      <c r="R59" s="2" t="s">
        <v>40</v>
      </c>
      <c r="S59">
        <v>58</v>
      </c>
      <c r="T59">
        <v>2</v>
      </c>
    </row>
    <row r="60" spans="1:20" ht="45" hidden="1" x14ac:dyDescent="0.25">
      <c r="A60" t="s">
        <v>668</v>
      </c>
      <c r="B60">
        <v>1</v>
      </c>
      <c r="C60" s="2" t="s">
        <v>669</v>
      </c>
      <c r="D60" s="3">
        <v>49130</v>
      </c>
      <c r="E60" s="4">
        <v>15</v>
      </c>
      <c r="F60" t="s">
        <v>168</v>
      </c>
      <c r="G60" s="3">
        <f t="shared" si="0"/>
        <v>57800</v>
      </c>
      <c r="H60" s="3">
        <v>0</v>
      </c>
      <c r="I60" s="3">
        <f t="shared" si="1"/>
        <v>57800</v>
      </c>
      <c r="J60" s="2" t="s">
        <v>27</v>
      </c>
      <c r="K60" s="5">
        <v>46254.583333333343</v>
      </c>
      <c r="L60">
        <v>4</v>
      </c>
      <c r="M60" s="3">
        <f t="shared" si="2"/>
        <v>14450</v>
      </c>
      <c r="N60" t="str">
        <f t="shared" si="3"/>
        <v>ставка</v>
      </c>
      <c r="O60" s="3">
        <f t="shared" si="4"/>
        <v>1133.33</v>
      </c>
      <c r="P60" s="5">
        <v>46258.5</v>
      </c>
      <c r="Q60" t="s">
        <v>168</v>
      </c>
      <c r="R60" s="2" t="s">
        <v>87</v>
      </c>
      <c r="S60">
        <v>51</v>
      </c>
      <c r="T60">
        <v>2</v>
      </c>
    </row>
    <row r="61" spans="1:20" ht="45" hidden="1" x14ac:dyDescent="0.25">
      <c r="A61" t="s">
        <v>1164</v>
      </c>
      <c r="B61">
        <v>1</v>
      </c>
      <c r="C61" s="2" t="s">
        <v>1165</v>
      </c>
      <c r="D61" s="3">
        <v>21165</v>
      </c>
      <c r="E61" s="4">
        <v>15</v>
      </c>
      <c r="F61" t="s">
        <v>168</v>
      </c>
      <c r="G61" s="3">
        <f t="shared" si="0"/>
        <v>24900</v>
      </c>
      <c r="H61" s="3">
        <v>4000</v>
      </c>
      <c r="I61" s="3">
        <f t="shared" si="1"/>
        <v>28900</v>
      </c>
      <c r="J61" s="2" t="s">
        <v>563</v>
      </c>
      <c r="K61" s="5">
        <v>46283.583333333343</v>
      </c>
      <c r="L61">
        <v>2</v>
      </c>
      <c r="M61" s="3">
        <f t="shared" si="2"/>
        <v>14450</v>
      </c>
      <c r="N61" t="str">
        <f t="shared" si="3"/>
        <v>ставка</v>
      </c>
      <c r="O61" s="3">
        <f t="shared" si="4"/>
        <v>566.66999999999996</v>
      </c>
      <c r="P61" s="5">
        <v>46285.5</v>
      </c>
      <c r="Q61" t="s">
        <v>168</v>
      </c>
      <c r="R61" s="2" t="s">
        <v>87</v>
      </c>
      <c r="S61">
        <v>50</v>
      </c>
      <c r="T61">
        <v>2</v>
      </c>
    </row>
    <row r="62" spans="1:20" ht="30" x14ac:dyDescent="0.25">
      <c r="A62" t="s">
        <v>1505</v>
      </c>
      <c r="B62">
        <v>1</v>
      </c>
      <c r="C62" s="2" t="s">
        <v>1506</v>
      </c>
      <c r="D62" s="3">
        <v>38590</v>
      </c>
      <c r="E62" s="4">
        <v>15</v>
      </c>
      <c r="F62" t="s">
        <v>168</v>
      </c>
      <c r="G62" s="3">
        <f t="shared" si="0"/>
        <v>45400</v>
      </c>
      <c r="H62" s="3">
        <v>0</v>
      </c>
      <c r="I62" s="3">
        <f t="shared" si="1"/>
        <v>45400</v>
      </c>
      <c r="J62" s="2" t="s">
        <v>27</v>
      </c>
      <c r="K62" s="5">
        <v>46281.583333333343</v>
      </c>
      <c r="L62">
        <v>4</v>
      </c>
      <c r="M62" s="21">
        <f t="shared" si="2"/>
        <v>11350</v>
      </c>
      <c r="N62" t="str">
        <f t="shared" si="3"/>
        <v>ставка</v>
      </c>
      <c r="O62" s="3">
        <f t="shared" si="4"/>
        <v>890.2</v>
      </c>
      <c r="P62" s="5">
        <v>46285.5</v>
      </c>
      <c r="Q62" t="s">
        <v>168</v>
      </c>
      <c r="R62" s="2" t="s">
        <v>40</v>
      </c>
      <c r="S62">
        <v>52</v>
      </c>
      <c r="T62">
        <v>2</v>
      </c>
    </row>
    <row r="63" spans="1:20" ht="45" x14ac:dyDescent="0.25">
      <c r="A63" t="s">
        <v>498</v>
      </c>
      <c r="B63">
        <v>1</v>
      </c>
      <c r="C63" s="2" t="s">
        <v>499</v>
      </c>
      <c r="D63" s="3">
        <v>61625</v>
      </c>
      <c r="E63" s="4">
        <v>0</v>
      </c>
      <c r="F63" t="s">
        <v>180</v>
      </c>
      <c r="G63" s="3">
        <f t="shared" si="0"/>
        <v>61625</v>
      </c>
      <c r="H63" s="3">
        <v>0</v>
      </c>
      <c r="I63" s="3">
        <f t="shared" si="1"/>
        <v>61625</v>
      </c>
      <c r="J63" s="2" t="s">
        <v>181</v>
      </c>
      <c r="K63" s="5">
        <v>46294.583333333343</v>
      </c>
      <c r="L63">
        <v>6</v>
      </c>
      <c r="M63" s="21">
        <f t="shared" si="2"/>
        <v>10270.833333333334</v>
      </c>
      <c r="N63" t="str">
        <f t="shared" si="3"/>
        <v>ставка</v>
      </c>
      <c r="O63" s="3">
        <f t="shared" si="4"/>
        <v>1208.33</v>
      </c>
      <c r="P63" s="5">
        <v>46300.5</v>
      </c>
      <c r="Q63" t="s">
        <v>180</v>
      </c>
      <c r="R63" s="2" t="s">
        <v>40</v>
      </c>
      <c r="S63">
        <v>52</v>
      </c>
      <c r="T63">
        <v>2</v>
      </c>
    </row>
    <row r="64" spans="1:20" ht="45" x14ac:dyDescent="0.25">
      <c r="A64" t="s">
        <v>1091</v>
      </c>
      <c r="B64">
        <v>1</v>
      </c>
      <c r="C64" s="2" t="s">
        <v>1092</v>
      </c>
      <c r="D64" s="3">
        <v>26180</v>
      </c>
      <c r="E64" s="4">
        <v>0</v>
      </c>
      <c r="F64" t="s">
        <v>180</v>
      </c>
      <c r="G64" s="3">
        <f t="shared" si="0"/>
        <v>26180</v>
      </c>
      <c r="H64" s="3">
        <v>0</v>
      </c>
      <c r="I64" s="3">
        <f t="shared" si="1"/>
        <v>26180</v>
      </c>
      <c r="J64" s="2" t="s">
        <v>181</v>
      </c>
      <c r="K64" s="5">
        <v>46241.583333333343</v>
      </c>
      <c r="L64">
        <v>2</v>
      </c>
      <c r="M64" s="21">
        <f t="shared" si="2"/>
        <v>13090</v>
      </c>
      <c r="N64" t="str">
        <f t="shared" si="3"/>
        <v>ставка</v>
      </c>
      <c r="O64" s="3">
        <f t="shared" si="4"/>
        <v>513.33000000000004</v>
      </c>
      <c r="P64" s="5">
        <v>46243.5</v>
      </c>
      <c r="Q64" t="s">
        <v>180</v>
      </c>
      <c r="R64" s="2" t="s">
        <v>24</v>
      </c>
      <c r="S64">
        <v>59</v>
      </c>
      <c r="T64">
        <v>2</v>
      </c>
    </row>
    <row r="65" spans="1:20" ht="45" x14ac:dyDescent="0.25">
      <c r="A65" t="s">
        <v>1596</v>
      </c>
      <c r="B65">
        <v>1</v>
      </c>
      <c r="C65" s="2" t="s">
        <v>1597</v>
      </c>
      <c r="D65" s="3">
        <v>65450</v>
      </c>
      <c r="E65" s="4">
        <v>0</v>
      </c>
      <c r="F65" t="s">
        <v>180</v>
      </c>
      <c r="G65" s="3">
        <f t="shared" si="0"/>
        <v>65450</v>
      </c>
      <c r="H65" s="3">
        <v>0</v>
      </c>
      <c r="I65" s="3">
        <f t="shared" si="1"/>
        <v>65450</v>
      </c>
      <c r="J65" s="2" t="s">
        <v>181</v>
      </c>
      <c r="K65" s="5">
        <v>46213.583333333343</v>
      </c>
      <c r="L65">
        <v>5</v>
      </c>
      <c r="M65" s="21">
        <f t="shared" si="2"/>
        <v>13090</v>
      </c>
      <c r="N65" t="str">
        <f t="shared" si="3"/>
        <v>ставка</v>
      </c>
      <c r="O65" s="3">
        <f t="shared" si="4"/>
        <v>1283.33</v>
      </c>
      <c r="P65" s="5">
        <v>46218.5</v>
      </c>
      <c r="Q65" t="s">
        <v>180</v>
      </c>
      <c r="R65" s="2" t="s">
        <v>24</v>
      </c>
      <c r="S65">
        <v>59</v>
      </c>
      <c r="T65">
        <v>2</v>
      </c>
    </row>
    <row r="66" spans="1:20" ht="135" x14ac:dyDescent="0.25">
      <c r="A66" t="s">
        <v>1712</v>
      </c>
      <c r="B66">
        <v>1</v>
      </c>
      <c r="C66" s="2" t="s">
        <v>1713</v>
      </c>
      <c r="D66" s="3">
        <v>56737.5</v>
      </c>
      <c r="E66" s="4">
        <v>0</v>
      </c>
      <c r="F66" t="s">
        <v>180</v>
      </c>
      <c r="G66" s="3">
        <f t="shared" ref="G66:G129" si="5">ROUND(D66/(100-E66)*100,2)</f>
        <v>56737.5</v>
      </c>
      <c r="H66" s="3">
        <v>9175</v>
      </c>
      <c r="I66" s="3">
        <f t="shared" ref="I66:I129" si="6">ROUND(G66+H66,2)</f>
        <v>65912.5</v>
      </c>
      <c r="J66" s="2" t="s">
        <v>1714</v>
      </c>
      <c r="K66" s="5">
        <v>46214.583333333343</v>
      </c>
      <c r="L66">
        <v>5</v>
      </c>
      <c r="M66" s="21">
        <f t="shared" ref="M66:M129" si="7">I66/L66</f>
        <v>13182.5</v>
      </c>
      <c r="N66" t="str">
        <f t="shared" ref="N66:N129" si="8">IF(M66&gt;=5100,"ставка","мин.ставка")</f>
        <v>ставка</v>
      </c>
      <c r="O66" s="3">
        <f t="shared" ref="O66:O129" si="9">ROUND(IF(N66="мин.ставка",L66*100,I66/102*2),2)</f>
        <v>1292.4000000000001</v>
      </c>
      <c r="P66" s="5">
        <v>46219.583333333343</v>
      </c>
      <c r="Q66" t="s">
        <v>180</v>
      </c>
      <c r="R66" s="2" t="s">
        <v>40</v>
      </c>
      <c r="S66">
        <v>55</v>
      </c>
      <c r="T66">
        <v>2</v>
      </c>
    </row>
    <row r="67" spans="1:20" ht="30" hidden="1" x14ac:dyDescent="0.25">
      <c r="A67" t="s">
        <v>702</v>
      </c>
      <c r="B67">
        <v>1</v>
      </c>
      <c r="C67" s="2" t="s">
        <v>703</v>
      </c>
      <c r="D67" s="3">
        <v>39270</v>
      </c>
      <c r="E67" s="4">
        <v>15</v>
      </c>
      <c r="F67" t="s">
        <v>411</v>
      </c>
      <c r="G67" s="3">
        <f t="shared" si="5"/>
        <v>46200</v>
      </c>
      <c r="H67" s="3">
        <v>0</v>
      </c>
      <c r="I67" s="3">
        <f t="shared" si="6"/>
        <v>46200</v>
      </c>
      <c r="J67" s="2" t="s">
        <v>27</v>
      </c>
      <c r="K67" s="5">
        <v>46255.583333333343</v>
      </c>
      <c r="L67">
        <v>3</v>
      </c>
      <c r="M67" s="3">
        <f t="shared" si="7"/>
        <v>15400</v>
      </c>
      <c r="N67" t="str">
        <f t="shared" si="8"/>
        <v>ставка</v>
      </c>
      <c r="O67" s="3">
        <f t="shared" si="9"/>
        <v>905.88</v>
      </c>
      <c r="P67" s="5">
        <v>46258.5</v>
      </c>
      <c r="Q67" t="s">
        <v>411</v>
      </c>
      <c r="R67" s="2" t="s">
        <v>24</v>
      </c>
      <c r="S67">
        <v>56</v>
      </c>
      <c r="T67">
        <v>2</v>
      </c>
    </row>
    <row r="68" spans="1:20" ht="30" hidden="1" x14ac:dyDescent="0.25">
      <c r="A68" t="s">
        <v>985</v>
      </c>
      <c r="B68">
        <v>1</v>
      </c>
      <c r="C68" s="2" t="s">
        <v>986</v>
      </c>
      <c r="D68" s="3">
        <v>30260</v>
      </c>
      <c r="E68" s="4">
        <v>15</v>
      </c>
      <c r="F68" t="s">
        <v>411</v>
      </c>
      <c r="G68" s="3">
        <f t="shared" si="5"/>
        <v>35600</v>
      </c>
      <c r="H68" s="3">
        <v>0</v>
      </c>
      <c r="I68" s="3">
        <f t="shared" si="6"/>
        <v>35600</v>
      </c>
      <c r="J68" s="2" t="s">
        <v>27</v>
      </c>
      <c r="K68" s="5">
        <v>46251.583333333343</v>
      </c>
      <c r="L68">
        <v>2</v>
      </c>
      <c r="M68" s="3">
        <f t="shared" si="7"/>
        <v>17800</v>
      </c>
      <c r="N68" t="str">
        <f t="shared" si="8"/>
        <v>ставка</v>
      </c>
      <c r="O68" s="3">
        <f t="shared" si="9"/>
        <v>698.04</v>
      </c>
      <c r="P68" s="5">
        <v>46253.5</v>
      </c>
      <c r="Q68" t="s">
        <v>411</v>
      </c>
      <c r="R68" s="2" t="s">
        <v>45</v>
      </c>
      <c r="S68">
        <v>53</v>
      </c>
      <c r="T68">
        <v>2</v>
      </c>
    </row>
    <row r="69" spans="1:20" ht="30" hidden="1" x14ac:dyDescent="0.25">
      <c r="A69" t="s">
        <v>1123</v>
      </c>
      <c r="B69">
        <v>1</v>
      </c>
      <c r="C69" s="2" t="s">
        <v>1124</v>
      </c>
      <c r="D69" s="3">
        <v>30260</v>
      </c>
      <c r="E69" s="4">
        <v>15</v>
      </c>
      <c r="F69" t="s">
        <v>411</v>
      </c>
      <c r="G69" s="3">
        <f t="shared" si="5"/>
        <v>35600</v>
      </c>
      <c r="H69" s="3">
        <v>0</v>
      </c>
      <c r="I69" s="3">
        <f t="shared" si="6"/>
        <v>35600</v>
      </c>
      <c r="J69" s="2" t="s">
        <v>27</v>
      </c>
      <c r="K69" s="5">
        <v>46251.583333333343</v>
      </c>
      <c r="L69">
        <v>2</v>
      </c>
      <c r="M69" s="3">
        <f t="shared" si="7"/>
        <v>17800</v>
      </c>
      <c r="N69" t="str">
        <f t="shared" si="8"/>
        <v>ставка</v>
      </c>
      <c r="O69" s="3">
        <f t="shared" si="9"/>
        <v>698.04</v>
      </c>
      <c r="P69" s="5">
        <v>46253.5</v>
      </c>
      <c r="Q69" t="s">
        <v>411</v>
      </c>
      <c r="R69" s="2" t="s">
        <v>45</v>
      </c>
      <c r="S69">
        <v>54</v>
      </c>
      <c r="T69">
        <v>2</v>
      </c>
    </row>
    <row r="70" spans="1:20" ht="30" x14ac:dyDescent="0.25">
      <c r="A70" t="s">
        <v>1582</v>
      </c>
      <c r="B70">
        <v>1</v>
      </c>
      <c r="C70" s="2" t="s">
        <v>1583</v>
      </c>
      <c r="D70" s="3">
        <v>9647.5</v>
      </c>
      <c r="E70" s="4">
        <v>15</v>
      </c>
      <c r="F70" t="s">
        <v>411</v>
      </c>
      <c r="G70" s="3">
        <f t="shared" si="5"/>
        <v>11350</v>
      </c>
      <c r="H70" s="3">
        <v>0</v>
      </c>
      <c r="I70" s="3">
        <f t="shared" si="6"/>
        <v>11350</v>
      </c>
      <c r="J70" s="2" t="s">
        <v>27</v>
      </c>
      <c r="K70" s="5">
        <v>46279.583333333343</v>
      </c>
      <c r="L70">
        <v>1</v>
      </c>
      <c r="M70" s="21">
        <f t="shared" si="7"/>
        <v>11350</v>
      </c>
      <c r="N70" t="str">
        <f t="shared" si="8"/>
        <v>ставка</v>
      </c>
      <c r="O70" s="3">
        <f t="shared" si="9"/>
        <v>222.55</v>
      </c>
      <c r="P70" s="5">
        <v>46280.5</v>
      </c>
      <c r="Q70" t="s">
        <v>411</v>
      </c>
      <c r="R70" s="2" t="s">
        <v>24</v>
      </c>
      <c r="S70">
        <v>59</v>
      </c>
      <c r="T70">
        <v>2</v>
      </c>
    </row>
    <row r="71" spans="1:20" ht="30" x14ac:dyDescent="0.25">
      <c r="A71" t="s">
        <v>1679</v>
      </c>
      <c r="B71">
        <v>1</v>
      </c>
      <c r="C71" s="2" t="s">
        <v>1680</v>
      </c>
      <c r="D71" s="3">
        <v>9647.5</v>
      </c>
      <c r="E71" s="4">
        <v>15</v>
      </c>
      <c r="F71" t="s">
        <v>411</v>
      </c>
      <c r="G71" s="3">
        <f t="shared" si="5"/>
        <v>11350</v>
      </c>
      <c r="H71" s="3">
        <v>0</v>
      </c>
      <c r="I71" s="3">
        <f t="shared" si="6"/>
        <v>11350</v>
      </c>
      <c r="J71" s="2" t="s">
        <v>27</v>
      </c>
      <c r="K71" s="5">
        <v>46279.583333333343</v>
      </c>
      <c r="L71">
        <v>1</v>
      </c>
      <c r="M71" s="21">
        <f t="shared" si="7"/>
        <v>11350</v>
      </c>
      <c r="N71" t="str">
        <f t="shared" si="8"/>
        <v>ставка</v>
      </c>
      <c r="O71" s="3">
        <f t="shared" si="9"/>
        <v>222.55</v>
      </c>
      <c r="P71" s="5">
        <v>46280.5</v>
      </c>
      <c r="Q71" t="s">
        <v>411</v>
      </c>
      <c r="R71" s="2" t="s">
        <v>40</v>
      </c>
      <c r="S71">
        <v>58</v>
      </c>
      <c r="T71">
        <v>2</v>
      </c>
    </row>
    <row r="72" spans="1:20" ht="30" hidden="1" x14ac:dyDescent="0.25">
      <c r="A72" t="s">
        <v>34</v>
      </c>
      <c r="B72">
        <v>1</v>
      </c>
      <c r="C72" s="2" t="s">
        <v>35</v>
      </c>
      <c r="D72" s="3">
        <v>15130</v>
      </c>
      <c r="E72" s="4">
        <v>15</v>
      </c>
      <c r="F72" t="s">
        <v>36</v>
      </c>
      <c r="G72" s="3">
        <f t="shared" si="5"/>
        <v>17800</v>
      </c>
      <c r="H72" s="3">
        <v>0</v>
      </c>
      <c r="I72" s="3">
        <f t="shared" si="6"/>
        <v>17800</v>
      </c>
      <c r="J72" s="2" t="s">
        <v>27</v>
      </c>
      <c r="K72" s="5">
        <v>46220.583333333343</v>
      </c>
      <c r="L72">
        <v>1</v>
      </c>
      <c r="M72" s="3">
        <f t="shared" si="7"/>
        <v>17800</v>
      </c>
      <c r="N72" t="str">
        <f t="shared" si="8"/>
        <v>ставка</v>
      </c>
      <c r="O72" s="3">
        <f t="shared" si="9"/>
        <v>349.02</v>
      </c>
      <c r="P72" s="5">
        <v>46221.5</v>
      </c>
      <c r="Q72" t="s">
        <v>36</v>
      </c>
      <c r="R72" s="2" t="s">
        <v>37</v>
      </c>
      <c r="S72">
        <v>53</v>
      </c>
      <c r="T72">
        <v>2</v>
      </c>
    </row>
    <row r="73" spans="1:20" x14ac:dyDescent="0.25">
      <c r="A73" t="s">
        <v>43</v>
      </c>
      <c r="B73">
        <v>1</v>
      </c>
      <c r="C73" s="2" t="s">
        <v>44</v>
      </c>
      <c r="D73" s="3">
        <v>24310</v>
      </c>
      <c r="E73" s="4">
        <v>15</v>
      </c>
      <c r="F73" t="s">
        <v>36</v>
      </c>
      <c r="G73" s="3">
        <f t="shared" si="5"/>
        <v>28600</v>
      </c>
      <c r="H73" s="3">
        <v>0</v>
      </c>
      <c r="I73" s="3">
        <f t="shared" si="6"/>
        <v>28600</v>
      </c>
      <c r="J73" s="2"/>
      <c r="K73" s="5">
        <v>46227.583333333343</v>
      </c>
      <c r="L73">
        <v>2</v>
      </c>
      <c r="M73" s="21">
        <f t="shared" si="7"/>
        <v>14300</v>
      </c>
      <c r="N73" t="str">
        <f t="shared" si="8"/>
        <v>ставка</v>
      </c>
      <c r="O73" s="3">
        <f t="shared" si="9"/>
        <v>560.78</v>
      </c>
      <c r="P73" s="5">
        <v>46229.5</v>
      </c>
      <c r="Q73" t="s">
        <v>36</v>
      </c>
      <c r="R73" s="2" t="s">
        <v>45</v>
      </c>
      <c r="S73">
        <v>54</v>
      </c>
      <c r="T73">
        <v>2</v>
      </c>
    </row>
    <row r="74" spans="1:20" ht="30" x14ac:dyDescent="0.25">
      <c r="A74" t="s">
        <v>139</v>
      </c>
      <c r="B74">
        <v>1</v>
      </c>
      <c r="C74" s="2" t="s">
        <v>140</v>
      </c>
      <c r="D74" s="3">
        <v>9265</v>
      </c>
      <c r="E74" s="4">
        <v>15</v>
      </c>
      <c r="F74" t="s">
        <v>36</v>
      </c>
      <c r="G74" s="3">
        <f t="shared" si="5"/>
        <v>10900</v>
      </c>
      <c r="H74" s="3">
        <v>0</v>
      </c>
      <c r="I74" s="3">
        <f t="shared" si="6"/>
        <v>10900</v>
      </c>
      <c r="J74" s="2" t="s">
        <v>27</v>
      </c>
      <c r="K74" s="5">
        <v>46231.583333333343</v>
      </c>
      <c r="L74">
        <v>1</v>
      </c>
      <c r="M74" s="21">
        <f t="shared" si="7"/>
        <v>10900</v>
      </c>
      <c r="N74" t="str">
        <f t="shared" si="8"/>
        <v>ставка</v>
      </c>
      <c r="O74" s="3">
        <f t="shared" si="9"/>
        <v>213.73</v>
      </c>
      <c r="P74" s="5">
        <v>46232.5</v>
      </c>
      <c r="Q74" t="s">
        <v>36</v>
      </c>
      <c r="R74" s="2" t="s">
        <v>40</v>
      </c>
      <c r="S74">
        <v>55</v>
      </c>
      <c r="T74">
        <v>2</v>
      </c>
    </row>
    <row r="75" spans="1:20" x14ac:dyDescent="0.25">
      <c r="A75" t="s">
        <v>198</v>
      </c>
      <c r="B75">
        <v>1</v>
      </c>
      <c r="C75" s="2" t="s">
        <v>199</v>
      </c>
      <c r="D75" s="3">
        <v>13430</v>
      </c>
      <c r="E75" s="4">
        <v>15</v>
      </c>
      <c r="F75" t="s">
        <v>36</v>
      </c>
      <c r="G75" s="3">
        <f t="shared" si="5"/>
        <v>15800</v>
      </c>
      <c r="H75" s="3">
        <v>0</v>
      </c>
      <c r="I75" s="3">
        <f t="shared" si="6"/>
        <v>15800</v>
      </c>
      <c r="J75" s="2" t="s">
        <v>27</v>
      </c>
      <c r="K75" s="5">
        <v>46242.583333333343</v>
      </c>
      <c r="L75">
        <v>1</v>
      </c>
      <c r="M75" s="21">
        <f t="shared" si="7"/>
        <v>15800</v>
      </c>
      <c r="N75" t="str">
        <f t="shared" si="8"/>
        <v>ставка</v>
      </c>
      <c r="O75" s="3">
        <f t="shared" si="9"/>
        <v>309.8</v>
      </c>
      <c r="P75" s="5">
        <v>46243.5</v>
      </c>
      <c r="Q75" t="s">
        <v>36</v>
      </c>
      <c r="R75" s="2" t="s">
        <v>45</v>
      </c>
      <c r="S75">
        <v>54</v>
      </c>
      <c r="T75">
        <v>2</v>
      </c>
    </row>
    <row r="76" spans="1:20" ht="45" x14ac:dyDescent="0.25">
      <c r="A76" t="s">
        <v>336</v>
      </c>
      <c r="B76">
        <v>1</v>
      </c>
      <c r="C76" s="2" t="s">
        <v>335</v>
      </c>
      <c r="D76" s="3">
        <v>39690</v>
      </c>
      <c r="E76" s="4">
        <v>16</v>
      </c>
      <c r="F76" t="s">
        <v>36</v>
      </c>
      <c r="G76" s="3">
        <f t="shared" si="5"/>
        <v>47250</v>
      </c>
      <c r="H76" s="3">
        <v>0</v>
      </c>
      <c r="I76" s="3">
        <f t="shared" si="6"/>
        <v>47250</v>
      </c>
      <c r="J76" s="2" t="s">
        <v>27</v>
      </c>
      <c r="K76" s="5">
        <v>46293.583333333343</v>
      </c>
      <c r="L76">
        <v>4</v>
      </c>
      <c r="M76" s="21">
        <f t="shared" si="7"/>
        <v>11812.5</v>
      </c>
      <c r="N76" t="str">
        <f t="shared" si="8"/>
        <v>ставка</v>
      </c>
      <c r="O76" s="3">
        <f t="shared" si="9"/>
        <v>926.47</v>
      </c>
      <c r="P76" s="5">
        <v>46297.5</v>
      </c>
      <c r="Q76" t="s">
        <v>36</v>
      </c>
      <c r="R76" s="2" t="s">
        <v>87</v>
      </c>
      <c r="S76">
        <v>51</v>
      </c>
      <c r="T76">
        <v>2</v>
      </c>
    </row>
    <row r="77" spans="1:20" x14ac:dyDescent="0.25">
      <c r="A77" t="s">
        <v>365</v>
      </c>
      <c r="B77">
        <v>1</v>
      </c>
      <c r="C77" s="2" t="s">
        <v>366</v>
      </c>
      <c r="D77" s="3">
        <v>24310</v>
      </c>
      <c r="E77" s="4">
        <v>15</v>
      </c>
      <c r="F77" t="s">
        <v>36</v>
      </c>
      <c r="G77" s="3">
        <f t="shared" si="5"/>
        <v>28600</v>
      </c>
      <c r="H77" s="3">
        <v>0</v>
      </c>
      <c r="I77" s="3">
        <f t="shared" si="6"/>
        <v>28600</v>
      </c>
      <c r="J77" s="2"/>
      <c r="K77" s="5">
        <v>46225.583333333343</v>
      </c>
      <c r="L77">
        <v>2</v>
      </c>
      <c r="M77" s="21">
        <f t="shared" si="7"/>
        <v>14300</v>
      </c>
      <c r="N77" t="str">
        <f t="shared" si="8"/>
        <v>ставка</v>
      </c>
      <c r="O77" s="3">
        <f t="shared" si="9"/>
        <v>560.78</v>
      </c>
      <c r="P77" s="5">
        <v>46227.5</v>
      </c>
      <c r="Q77" t="s">
        <v>36</v>
      </c>
      <c r="R77" s="2" t="s">
        <v>45</v>
      </c>
      <c r="S77">
        <v>54</v>
      </c>
      <c r="T77">
        <v>2</v>
      </c>
    </row>
    <row r="78" spans="1:20" x14ac:dyDescent="0.25">
      <c r="A78" t="s">
        <v>367</v>
      </c>
      <c r="B78">
        <v>1</v>
      </c>
      <c r="C78" s="2" t="s">
        <v>366</v>
      </c>
      <c r="D78" s="3">
        <v>28050</v>
      </c>
      <c r="E78" s="4">
        <v>15</v>
      </c>
      <c r="F78" t="s">
        <v>36</v>
      </c>
      <c r="G78" s="3">
        <f t="shared" si="5"/>
        <v>33000</v>
      </c>
      <c r="H78" s="3">
        <v>0</v>
      </c>
      <c r="I78" s="3">
        <f t="shared" si="6"/>
        <v>33000</v>
      </c>
      <c r="J78" s="2"/>
      <c r="K78" s="5">
        <v>46229.583333333343</v>
      </c>
      <c r="L78">
        <v>3</v>
      </c>
      <c r="M78" s="21">
        <f t="shared" si="7"/>
        <v>11000</v>
      </c>
      <c r="N78" t="str">
        <f t="shared" si="8"/>
        <v>ставка</v>
      </c>
      <c r="O78" s="3">
        <f t="shared" si="9"/>
        <v>647.05999999999995</v>
      </c>
      <c r="P78" s="5">
        <v>46232.5</v>
      </c>
      <c r="Q78" t="s">
        <v>36</v>
      </c>
      <c r="R78" s="2" t="s">
        <v>45</v>
      </c>
      <c r="S78">
        <v>54</v>
      </c>
      <c r="T78">
        <v>2</v>
      </c>
    </row>
    <row r="79" spans="1:20" ht="45" hidden="1" x14ac:dyDescent="0.25">
      <c r="A79" t="s">
        <v>492</v>
      </c>
      <c r="B79">
        <v>1</v>
      </c>
      <c r="C79" s="2" t="s">
        <v>493</v>
      </c>
      <c r="D79" s="3">
        <v>12282.5</v>
      </c>
      <c r="E79" s="4">
        <v>15</v>
      </c>
      <c r="F79" t="s">
        <v>36</v>
      </c>
      <c r="G79" s="3">
        <f t="shared" si="5"/>
        <v>14450</v>
      </c>
      <c r="H79" s="3">
        <v>0</v>
      </c>
      <c r="I79" s="3">
        <f t="shared" si="6"/>
        <v>14450</v>
      </c>
      <c r="J79" s="2" t="s">
        <v>27</v>
      </c>
      <c r="K79" s="5">
        <v>46214.583333333343</v>
      </c>
      <c r="L79">
        <v>1</v>
      </c>
      <c r="M79" s="3">
        <f t="shared" si="7"/>
        <v>14450</v>
      </c>
      <c r="N79" t="str">
        <f t="shared" si="8"/>
        <v>ставка</v>
      </c>
      <c r="O79" s="3">
        <f t="shared" si="9"/>
        <v>283.33</v>
      </c>
      <c r="P79" s="5">
        <v>46215.5</v>
      </c>
      <c r="Q79" t="s">
        <v>36</v>
      </c>
      <c r="R79" s="2" t="s">
        <v>87</v>
      </c>
      <c r="S79">
        <v>50</v>
      </c>
      <c r="T79">
        <v>2</v>
      </c>
    </row>
    <row r="80" spans="1:20" ht="45" x14ac:dyDescent="0.25">
      <c r="A80" t="s">
        <v>584</v>
      </c>
      <c r="B80">
        <v>1</v>
      </c>
      <c r="C80" s="2" t="s">
        <v>585</v>
      </c>
      <c r="D80" s="3">
        <v>34042.5</v>
      </c>
      <c r="E80" s="4">
        <v>15</v>
      </c>
      <c r="F80" t="s">
        <v>36</v>
      </c>
      <c r="G80" s="3">
        <f t="shared" si="5"/>
        <v>40050</v>
      </c>
      <c r="H80" s="3">
        <v>8400</v>
      </c>
      <c r="I80" s="3">
        <f t="shared" si="6"/>
        <v>48450</v>
      </c>
      <c r="J80" s="2" t="s">
        <v>586</v>
      </c>
      <c r="K80" s="5">
        <v>46219.583333333343</v>
      </c>
      <c r="L80">
        <v>3</v>
      </c>
      <c r="M80" s="21">
        <f t="shared" si="7"/>
        <v>16150</v>
      </c>
      <c r="N80" t="str">
        <f t="shared" si="8"/>
        <v>ставка</v>
      </c>
      <c r="O80" s="3">
        <f t="shared" si="9"/>
        <v>950</v>
      </c>
      <c r="P80" s="5">
        <v>46222.5</v>
      </c>
      <c r="Q80" t="s">
        <v>36</v>
      </c>
      <c r="R80" s="2" t="s">
        <v>87</v>
      </c>
      <c r="S80">
        <v>51</v>
      </c>
      <c r="T80">
        <v>2</v>
      </c>
    </row>
    <row r="81" spans="1:20" ht="30" hidden="1" x14ac:dyDescent="0.25">
      <c r="A81" t="s">
        <v>810</v>
      </c>
      <c r="B81">
        <v>1</v>
      </c>
      <c r="C81" s="2" t="s">
        <v>811</v>
      </c>
      <c r="D81" s="3">
        <v>49300</v>
      </c>
      <c r="E81" s="4">
        <v>15</v>
      </c>
      <c r="F81" t="s">
        <v>36</v>
      </c>
      <c r="G81" s="3">
        <f t="shared" si="5"/>
        <v>58000</v>
      </c>
      <c r="H81" s="3">
        <v>0</v>
      </c>
      <c r="I81" s="3">
        <f t="shared" si="6"/>
        <v>58000</v>
      </c>
      <c r="J81" s="2"/>
      <c r="K81" s="5">
        <v>46204.583333333343</v>
      </c>
      <c r="L81">
        <v>4</v>
      </c>
      <c r="M81" s="3">
        <f t="shared" si="7"/>
        <v>14500</v>
      </c>
      <c r="N81" t="str">
        <f t="shared" si="8"/>
        <v>ставка</v>
      </c>
      <c r="O81" s="3">
        <f t="shared" si="9"/>
        <v>1137.25</v>
      </c>
      <c r="P81" s="5">
        <v>46208.5</v>
      </c>
      <c r="Q81" t="s">
        <v>36</v>
      </c>
      <c r="R81" s="2" t="s">
        <v>45</v>
      </c>
      <c r="S81">
        <v>57</v>
      </c>
      <c r="T81">
        <v>2</v>
      </c>
    </row>
    <row r="82" spans="1:20" ht="30" x14ac:dyDescent="0.25">
      <c r="A82" t="s">
        <v>842</v>
      </c>
      <c r="B82">
        <v>1</v>
      </c>
      <c r="C82" s="2" t="s">
        <v>840</v>
      </c>
      <c r="D82" s="3">
        <v>19805</v>
      </c>
      <c r="E82" s="4">
        <v>15</v>
      </c>
      <c r="F82" t="s">
        <v>36</v>
      </c>
      <c r="G82" s="3">
        <f t="shared" si="5"/>
        <v>23300</v>
      </c>
      <c r="H82" s="3">
        <v>0</v>
      </c>
      <c r="I82" s="3">
        <f t="shared" si="6"/>
        <v>23300</v>
      </c>
      <c r="J82" s="2" t="s">
        <v>27</v>
      </c>
      <c r="K82" s="5">
        <v>46209.583333333343</v>
      </c>
      <c r="L82">
        <v>2</v>
      </c>
      <c r="M82" s="21">
        <f t="shared" si="7"/>
        <v>11650</v>
      </c>
      <c r="N82" t="str">
        <f t="shared" si="8"/>
        <v>ставка</v>
      </c>
      <c r="O82" s="3">
        <f t="shared" si="9"/>
        <v>456.86</v>
      </c>
      <c r="P82" s="5">
        <v>46211.5</v>
      </c>
      <c r="Q82" t="s">
        <v>36</v>
      </c>
      <c r="R82" s="2" t="s">
        <v>24</v>
      </c>
      <c r="S82">
        <v>59</v>
      </c>
      <c r="T82">
        <v>2</v>
      </c>
    </row>
    <row r="83" spans="1:20" ht="30" x14ac:dyDescent="0.25">
      <c r="A83" t="s">
        <v>843</v>
      </c>
      <c r="B83">
        <v>1</v>
      </c>
      <c r="C83" s="2" t="s">
        <v>840</v>
      </c>
      <c r="D83" s="3">
        <v>9534</v>
      </c>
      <c r="E83" s="4">
        <v>16</v>
      </c>
      <c r="F83" t="s">
        <v>36</v>
      </c>
      <c r="G83" s="3">
        <f t="shared" si="5"/>
        <v>11350</v>
      </c>
      <c r="H83" s="3">
        <v>0</v>
      </c>
      <c r="I83" s="3">
        <f t="shared" si="6"/>
        <v>11350</v>
      </c>
      <c r="J83" s="2" t="s">
        <v>27</v>
      </c>
      <c r="K83" s="5">
        <v>46272.583333333343</v>
      </c>
      <c r="L83">
        <v>1</v>
      </c>
      <c r="M83" s="21">
        <f t="shared" si="7"/>
        <v>11350</v>
      </c>
      <c r="N83" t="str">
        <f t="shared" si="8"/>
        <v>ставка</v>
      </c>
      <c r="O83" s="3">
        <f t="shared" si="9"/>
        <v>222.55</v>
      </c>
      <c r="P83" s="5">
        <v>46273.583333333343</v>
      </c>
      <c r="Q83" t="s">
        <v>36</v>
      </c>
      <c r="R83" s="2" t="s">
        <v>40</v>
      </c>
      <c r="S83">
        <v>52</v>
      </c>
      <c r="T83">
        <v>2</v>
      </c>
    </row>
    <row r="84" spans="1:20" ht="30" hidden="1" x14ac:dyDescent="0.25">
      <c r="A84" t="s">
        <v>1028</v>
      </c>
      <c r="B84">
        <v>1</v>
      </c>
      <c r="C84" s="2" t="s">
        <v>1029</v>
      </c>
      <c r="D84" s="3">
        <v>52360</v>
      </c>
      <c r="E84" s="4">
        <v>15</v>
      </c>
      <c r="F84" t="s">
        <v>36</v>
      </c>
      <c r="G84" s="3">
        <f t="shared" si="5"/>
        <v>61600</v>
      </c>
      <c r="H84" s="3">
        <v>0</v>
      </c>
      <c r="I84" s="3">
        <f t="shared" si="6"/>
        <v>61600</v>
      </c>
      <c r="J84" s="2" t="s">
        <v>27</v>
      </c>
      <c r="K84" s="5">
        <v>46223.583333333343</v>
      </c>
      <c r="L84">
        <v>4</v>
      </c>
      <c r="M84" s="3">
        <f t="shared" si="7"/>
        <v>15400</v>
      </c>
      <c r="N84" t="str">
        <f t="shared" si="8"/>
        <v>ставка</v>
      </c>
      <c r="O84" s="3">
        <f t="shared" si="9"/>
        <v>1207.8399999999999</v>
      </c>
      <c r="P84" s="5">
        <v>46227.5</v>
      </c>
      <c r="Q84" t="s">
        <v>36</v>
      </c>
      <c r="R84" s="2" t="s">
        <v>24</v>
      </c>
      <c r="S84">
        <v>56</v>
      </c>
      <c r="T84">
        <v>2</v>
      </c>
    </row>
    <row r="85" spans="1:20" ht="45" hidden="1" x14ac:dyDescent="0.25">
      <c r="A85" t="s">
        <v>1055</v>
      </c>
      <c r="B85">
        <v>1</v>
      </c>
      <c r="C85" s="2" t="s">
        <v>1056</v>
      </c>
      <c r="D85" s="3">
        <v>10458</v>
      </c>
      <c r="E85" s="4">
        <v>16</v>
      </c>
      <c r="F85" t="s">
        <v>36</v>
      </c>
      <c r="G85" s="3">
        <f t="shared" si="5"/>
        <v>12450</v>
      </c>
      <c r="H85" s="3">
        <v>0</v>
      </c>
      <c r="I85" s="3">
        <f t="shared" si="6"/>
        <v>12450</v>
      </c>
      <c r="J85" s="2" t="s">
        <v>27</v>
      </c>
      <c r="K85" s="5">
        <v>46288.583333333343</v>
      </c>
      <c r="L85">
        <v>1</v>
      </c>
      <c r="M85" s="3">
        <f t="shared" si="7"/>
        <v>12450</v>
      </c>
      <c r="N85" t="str">
        <f t="shared" si="8"/>
        <v>ставка</v>
      </c>
      <c r="O85" s="3">
        <f t="shared" si="9"/>
        <v>244.12</v>
      </c>
      <c r="P85" s="5">
        <v>46289.5</v>
      </c>
      <c r="Q85" t="s">
        <v>36</v>
      </c>
      <c r="R85" s="2" t="s">
        <v>87</v>
      </c>
      <c r="S85">
        <v>51</v>
      </c>
      <c r="T85">
        <v>2</v>
      </c>
    </row>
    <row r="86" spans="1:20" ht="30" x14ac:dyDescent="0.25">
      <c r="A86" t="s">
        <v>1105</v>
      </c>
      <c r="B86">
        <v>1</v>
      </c>
      <c r="C86" s="2" t="s">
        <v>1106</v>
      </c>
      <c r="D86" s="3">
        <v>11347.5</v>
      </c>
      <c r="E86" s="4">
        <v>15</v>
      </c>
      <c r="F86" t="s">
        <v>36</v>
      </c>
      <c r="G86" s="3">
        <f t="shared" si="5"/>
        <v>13350</v>
      </c>
      <c r="H86" s="3">
        <v>0</v>
      </c>
      <c r="I86" s="3">
        <f t="shared" si="6"/>
        <v>13350</v>
      </c>
      <c r="J86" s="2" t="s">
        <v>27</v>
      </c>
      <c r="K86" s="5">
        <v>46244.583333333343</v>
      </c>
      <c r="L86">
        <v>1</v>
      </c>
      <c r="M86" s="21">
        <f t="shared" si="7"/>
        <v>13350</v>
      </c>
      <c r="N86" t="str">
        <f t="shared" si="8"/>
        <v>ставка</v>
      </c>
      <c r="O86" s="3">
        <f t="shared" si="9"/>
        <v>261.76</v>
      </c>
      <c r="P86" s="5">
        <v>46245.5</v>
      </c>
      <c r="Q86" t="s">
        <v>36</v>
      </c>
      <c r="R86" s="2" t="s">
        <v>40</v>
      </c>
      <c r="S86">
        <v>52</v>
      </c>
      <c r="T86">
        <v>2</v>
      </c>
    </row>
    <row r="87" spans="1:20" x14ac:dyDescent="0.25">
      <c r="A87" t="s">
        <v>1166</v>
      </c>
      <c r="B87">
        <v>1</v>
      </c>
      <c r="C87" s="2" t="s">
        <v>1167</v>
      </c>
      <c r="D87" s="3">
        <v>10500</v>
      </c>
      <c r="E87" s="4">
        <v>16</v>
      </c>
      <c r="F87" t="s">
        <v>36</v>
      </c>
      <c r="G87" s="3">
        <f t="shared" si="5"/>
        <v>12500</v>
      </c>
      <c r="H87" s="3">
        <v>0</v>
      </c>
      <c r="I87" s="3">
        <f t="shared" si="6"/>
        <v>12500</v>
      </c>
      <c r="J87" s="2"/>
      <c r="K87" s="5">
        <v>46281.583333333343</v>
      </c>
      <c r="L87">
        <v>1</v>
      </c>
      <c r="M87" s="21">
        <f t="shared" si="7"/>
        <v>12500</v>
      </c>
      <c r="N87" t="str">
        <f t="shared" si="8"/>
        <v>ставка</v>
      </c>
      <c r="O87" s="3">
        <f t="shared" si="9"/>
        <v>245.1</v>
      </c>
      <c r="P87" s="5">
        <v>46282.5</v>
      </c>
      <c r="Q87" t="s">
        <v>36</v>
      </c>
      <c r="R87" s="2" t="s">
        <v>45</v>
      </c>
      <c r="S87">
        <v>53</v>
      </c>
      <c r="T87">
        <v>2</v>
      </c>
    </row>
    <row r="88" spans="1:20" ht="30" x14ac:dyDescent="0.25">
      <c r="A88" t="s">
        <v>1241</v>
      </c>
      <c r="B88">
        <v>1</v>
      </c>
      <c r="C88" s="2" t="s">
        <v>1242</v>
      </c>
      <c r="D88" s="3">
        <v>15130</v>
      </c>
      <c r="E88" s="4">
        <v>15</v>
      </c>
      <c r="F88" t="s">
        <v>36</v>
      </c>
      <c r="G88" s="3">
        <f t="shared" si="5"/>
        <v>17800</v>
      </c>
      <c r="H88" s="3">
        <v>0</v>
      </c>
      <c r="I88" s="3">
        <f t="shared" si="6"/>
        <v>17800</v>
      </c>
      <c r="J88" s="2" t="s">
        <v>27</v>
      </c>
      <c r="K88" s="5">
        <v>46230.583333333343</v>
      </c>
      <c r="L88">
        <v>2</v>
      </c>
      <c r="M88" s="21">
        <f t="shared" si="7"/>
        <v>8900</v>
      </c>
      <c r="N88" t="str">
        <f t="shared" si="8"/>
        <v>ставка</v>
      </c>
      <c r="O88" s="3">
        <f t="shared" si="9"/>
        <v>349.02</v>
      </c>
      <c r="P88" s="5">
        <v>46232.5</v>
      </c>
      <c r="Q88" t="s">
        <v>36</v>
      </c>
      <c r="R88" s="2" t="s">
        <v>40</v>
      </c>
      <c r="S88">
        <v>58</v>
      </c>
      <c r="T88">
        <v>2</v>
      </c>
    </row>
    <row r="89" spans="1:20" hidden="1" x14ac:dyDescent="0.25">
      <c r="A89" t="s">
        <v>1316</v>
      </c>
      <c r="B89">
        <v>1</v>
      </c>
      <c r="C89" s="2" t="s">
        <v>1317</v>
      </c>
      <c r="D89" s="3">
        <v>26544</v>
      </c>
      <c r="E89" s="4">
        <v>16</v>
      </c>
      <c r="F89" t="s">
        <v>36</v>
      </c>
      <c r="G89" s="3">
        <f t="shared" si="5"/>
        <v>31600</v>
      </c>
      <c r="H89" s="3">
        <v>0</v>
      </c>
      <c r="I89" s="3">
        <f t="shared" si="6"/>
        <v>31600</v>
      </c>
      <c r="J89" s="2" t="s">
        <v>27</v>
      </c>
      <c r="K89" s="5">
        <v>46279.583333333343</v>
      </c>
      <c r="L89">
        <v>2</v>
      </c>
      <c r="M89" s="3">
        <f t="shared" si="7"/>
        <v>15800</v>
      </c>
      <c r="N89" t="str">
        <f t="shared" si="8"/>
        <v>ставка</v>
      </c>
      <c r="O89" s="3">
        <f t="shared" si="9"/>
        <v>619.61</v>
      </c>
      <c r="P89" s="5">
        <v>46281.5</v>
      </c>
      <c r="Q89" t="s">
        <v>36</v>
      </c>
      <c r="R89" s="2" t="s">
        <v>45</v>
      </c>
      <c r="S89">
        <v>54</v>
      </c>
      <c r="T89">
        <v>2</v>
      </c>
    </row>
    <row r="90" spans="1:20" ht="30" x14ac:dyDescent="0.25">
      <c r="A90" t="s">
        <v>1427</v>
      </c>
      <c r="B90">
        <v>1</v>
      </c>
      <c r="C90" s="2" t="s">
        <v>1428</v>
      </c>
      <c r="D90" s="3">
        <v>26180</v>
      </c>
      <c r="E90" s="4">
        <v>15</v>
      </c>
      <c r="F90" t="s">
        <v>36</v>
      </c>
      <c r="G90" s="3">
        <f t="shared" si="5"/>
        <v>30800</v>
      </c>
      <c r="H90" s="3">
        <v>0</v>
      </c>
      <c r="I90" s="3">
        <f t="shared" si="6"/>
        <v>30800</v>
      </c>
      <c r="J90" s="2" t="s">
        <v>27</v>
      </c>
      <c r="K90" s="5">
        <v>46245.583333333343</v>
      </c>
      <c r="L90">
        <v>2</v>
      </c>
      <c r="M90" s="21">
        <f t="shared" si="7"/>
        <v>15400</v>
      </c>
      <c r="N90" t="str">
        <f t="shared" si="8"/>
        <v>ставка</v>
      </c>
      <c r="O90" s="3">
        <f t="shared" si="9"/>
        <v>603.91999999999996</v>
      </c>
      <c r="P90" s="5">
        <v>46247.5</v>
      </c>
      <c r="Q90" t="s">
        <v>36</v>
      </c>
      <c r="R90" s="2" t="s">
        <v>24</v>
      </c>
      <c r="S90">
        <v>59</v>
      </c>
      <c r="T90">
        <v>2</v>
      </c>
    </row>
    <row r="91" spans="1:20" x14ac:dyDescent="0.25">
      <c r="A91" t="s">
        <v>1451</v>
      </c>
      <c r="B91">
        <v>1</v>
      </c>
      <c r="C91" s="2" t="s">
        <v>1452</v>
      </c>
      <c r="D91" s="3">
        <v>10500</v>
      </c>
      <c r="E91" s="4">
        <v>16</v>
      </c>
      <c r="F91" t="s">
        <v>36</v>
      </c>
      <c r="G91" s="3">
        <f t="shared" si="5"/>
        <v>12500</v>
      </c>
      <c r="H91" s="3">
        <v>0</v>
      </c>
      <c r="I91" s="3">
        <f t="shared" si="6"/>
        <v>12500</v>
      </c>
      <c r="J91" s="2"/>
      <c r="K91" s="5">
        <v>46269.583333333343</v>
      </c>
      <c r="L91">
        <v>1</v>
      </c>
      <c r="M91" s="21">
        <f t="shared" si="7"/>
        <v>12500</v>
      </c>
      <c r="N91" t="str">
        <f t="shared" si="8"/>
        <v>ставка</v>
      </c>
      <c r="O91" s="3">
        <f t="shared" si="9"/>
        <v>245.1</v>
      </c>
      <c r="P91" s="5">
        <v>46270.5</v>
      </c>
      <c r="Q91" t="s">
        <v>36</v>
      </c>
      <c r="R91" s="2" t="s">
        <v>45</v>
      </c>
      <c r="S91">
        <v>54</v>
      </c>
      <c r="T91">
        <v>2</v>
      </c>
    </row>
    <row r="92" spans="1:20" hidden="1" x14ac:dyDescent="0.25">
      <c r="A92" t="s">
        <v>1527</v>
      </c>
      <c r="B92">
        <v>1</v>
      </c>
      <c r="C92" s="2" t="s">
        <v>1528</v>
      </c>
      <c r="D92" s="3">
        <v>29904</v>
      </c>
      <c r="E92" s="4">
        <v>16</v>
      </c>
      <c r="F92" t="s">
        <v>36</v>
      </c>
      <c r="G92" s="3">
        <f t="shared" si="5"/>
        <v>35600</v>
      </c>
      <c r="H92" s="3">
        <v>0</v>
      </c>
      <c r="I92" s="3">
        <f t="shared" si="6"/>
        <v>35600</v>
      </c>
      <c r="J92" s="2" t="s">
        <v>27</v>
      </c>
      <c r="K92" s="5">
        <v>46259.583333333343</v>
      </c>
      <c r="L92">
        <v>2</v>
      </c>
      <c r="M92" s="3">
        <f t="shared" si="7"/>
        <v>17800</v>
      </c>
      <c r="N92" t="str">
        <f t="shared" si="8"/>
        <v>ставка</v>
      </c>
      <c r="O92" s="3">
        <f t="shared" si="9"/>
        <v>698.04</v>
      </c>
      <c r="P92" s="5">
        <v>46261.5</v>
      </c>
      <c r="Q92" t="s">
        <v>36</v>
      </c>
      <c r="R92" s="2" t="s">
        <v>45</v>
      </c>
      <c r="S92">
        <v>57</v>
      </c>
      <c r="T92">
        <v>2</v>
      </c>
    </row>
    <row r="93" spans="1:20" ht="30" x14ac:dyDescent="0.25">
      <c r="A93" t="s">
        <v>1538</v>
      </c>
      <c r="B93">
        <v>1</v>
      </c>
      <c r="C93" s="2" t="s">
        <v>1539</v>
      </c>
      <c r="D93" s="3">
        <v>33642</v>
      </c>
      <c r="E93" s="4">
        <v>16</v>
      </c>
      <c r="F93" t="s">
        <v>36</v>
      </c>
      <c r="G93" s="3">
        <f t="shared" si="5"/>
        <v>40050</v>
      </c>
      <c r="H93" s="3">
        <v>0</v>
      </c>
      <c r="I93" s="3">
        <f t="shared" si="6"/>
        <v>40050</v>
      </c>
      <c r="J93" s="2" t="s">
        <v>27</v>
      </c>
      <c r="K93" s="5">
        <v>46273.583333333343</v>
      </c>
      <c r="L93">
        <v>3</v>
      </c>
      <c r="M93" s="21">
        <f t="shared" si="7"/>
        <v>13350</v>
      </c>
      <c r="N93" t="str">
        <f t="shared" si="8"/>
        <v>ставка</v>
      </c>
      <c r="O93" s="3">
        <f t="shared" si="9"/>
        <v>785.29</v>
      </c>
      <c r="P93" s="5">
        <v>46276.5</v>
      </c>
      <c r="Q93" t="s">
        <v>36</v>
      </c>
      <c r="R93" s="2" t="s">
        <v>24</v>
      </c>
      <c r="S93">
        <v>56</v>
      </c>
      <c r="T93">
        <v>2</v>
      </c>
    </row>
    <row r="94" spans="1:20" ht="45" x14ac:dyDescent="0.25">
      <c r="A94" t="s">
        <v>1723</v>
      </c>
      <c r="B94">
        <v>1</v>
      </c>
      <c r="C94" s="2" t="s">
        <v>1720</v>
      </c>
      <c r="D94" s="3">
        <v>20916</v>
      </c>
      <c r="E94" s="4">
        <v>16</v>
      </c>
      <c r="F94" t="s">
        <v>36</v>
      </c>
      <c r="G94" s="3">
        <f t="shared" si="5"/>
        <v>24900</v>
      </c>
      <c r="H94" s="3">
        <v>200</v>
      </c>
      <c r="I94" s="3">
        <f t="shared" si="6"/>
        <v>25100</v>
      </c>
      <c r="J94" s="2" t="s">
        <v>1724</v>
      </c>
      <c r="K94" s="5">
        <v>46241.583333333343</v>
      </c>
      <c r="L94">
        <v>2</v>
      </c>
      <c r="M94" s="21">
        <f t="shared" si="7"/>
        <v>12550</v>
      </c>
      <c r="N94" t="str">
        <f t="shared" si="8"/>
        <v>ставка</v>
      </c>
      <c r="O94" s="3">
        <f t="shared" si="9"/>
        <v>492.16</v>
      </c>
      <c r="P94" s="5">
        <v>46243.5</v>
      </c>
      <c r="Q94" t="s">
        <v>36</v>
      </c>
      <c r="R94" s="2" t="s">
        <v>87</v>
      </c>
      <c r="S94">
        <v>50</v>
      </c>
      <c r="T94">
        <v>2</v>
      </c>
    </row>
    <row r="95" spans="1:20" ht="30" x14ac:dyDescent="0.25">
      <c r="A95" t="s">
        <v>1738</v>
      </c>
      <c r="B95">
        <v>1</v>
      </c>
      <c r="C95" s="2" t="s">
        <v>1739</v>
      </c>
      <c r="D95" s="3">
        <v>9996</v>
      </c>
      <c r="E95" s="4">
        <v>16</v>
      </c>
      <c r="F95" t="s">
        <v>36</v>
      </c>
      <c r="G95" s="3">
        <f t="shared" si="5"/>
        <v>11900</v>
      </c>
      <c r="H95" s="3">
        <v>0</v>
      </c>
      <c r="I95" s="3">
        <f t="shared" si="6"/>
        <v>11900</v>
      </c>
      <c r="J95" s="2"/>
      <c r="K95" s="5">
        <v>46244.583333333343</v>
      </c>
      <c r="L95">
        <v>1</v>
      </c>
      <c r="M95" s="21">
        <f t="shared" si="7"/>
        <v>11900</v>
      </c>
      <c r="N95" t="str">
        <f t="shared" si="8"/>
        <v>ставка</v>
      </c>
      <c r="O95" s="3">
        <f t="shared" si="9"/>
        <v>233.33</v>
      </c>
      <c r="P95" s="5">
        <v>46245.5</v>
      </c>
      <c r="Q95" t="s">
        <v>36</v>
      </c>
      <c r="R95" s="2" t="s">
        <v>24</v>
      </c>
      <c r="S95">
        <v>59</v>
      </c>
      <c r="T95">
        <v>2</v>
      </c>
    </row>
    <row r="96" spans="1:20" ht="30" x14ac:dyDescent="0.25">
      <c r="A96" t="s">
        <v>1749</v>
      </c>
      <c r="B96">
        <v>1</v>
      </c>
      <c r="C96" s="2" t="s">
        <v>1750</v>
      </c>
      <c r="D96" s="3">
        <v>11214</v>
      </c>
      <c r="E96" s="4">
        <v>16</v>
      </c>
      <c r="F96" t="s">
        <v>36</v>
      </c>
      <c r="G96" s="3">
        <f t="shared" si="5"/>
        <v>13350</v>
      </c>
      <c r="H96" s="3">
        <v>0</v>
      </c>
      <c r="I96" s="3">
        <f t="shared" si="6"/>
        <v>13350</v>
      </c>
      <c r="J96" s="2" t="s">
        <v>27</v>
      </c>
      <c r="K96" s="5">
        <v>46240.583333333343</v>
      </c>
      <c r="L96">
        <v>1</v>
      </c>
      <c r="M96" s="21">
        <f t="shared" si="7"/>
        <v>13350</v>
      </c>
      <c r="N96" t="str">
        <f t="shared" si="8"/>
        <v>ставка</v>
      </c>
      <c r="O96" s="3">
        <f t="shared" si="9"/>
        <v>261.76</v>
      </c>
      <c r="P96" s="5">
        <v>46241.5</v>
      </c>
      <c r="Q96" t="s">
        <v>36</v>
      </c>
      <c r="R96" s="2" t="s">
        <v>40</v>
      </c>
      <c r="S96">
        <v>52</v>
      </c>
      <c r="T96">
        <v>2</v>
      </c>
    </row>
    <row r="97" spans="1:20" ht="30" x14ac:dyDescent="0.25">
      <c r="A97" t="s">
        <v>1765</v>
      </c>
      <c r="B97">
        <v>1</v>
      </c>
      <c r="C97" s="2" t="s">
        <v>1762</v>
      </c>
      <c r="D97" s="3">
        <v>9647.5</v>
      </c>
      <c r="E97" s="4">
        <v>15</v>
      </c>
      <c r="F97" t="s">
        <v>36</v>
      </c>
      <c r="G97" s="3">
        <f t="shared" si="5"/>
        <v>11350</v>
      </c>
      <c r="H97" s="3">
        <v>0</v>
      </c>
      <c r="I97" s="3">
        <f t="shared" si="6"/>
        <v>11350</v>
      </c>
      <c r="J97" s="2" t="s">
        <v>27</v>
      </c>
      <c r="K97" s="5">
        <v>46227.583333333343</v>
      </c>
      <c r="L97">
        <v>1</v>
      </c>
      <c r="M97" s="21">
        <f t="shared" si="7"/>
        <v>11350</v>
      </c>
      <c r="N97" t="str">
        <f t="shared" si="8"/>
        <v>ставка</v>
      </c>
      <c r="O97" s="3">
        <f t="shared" si="9"/>
        <v>222.55</v>
      </c>
      <c r="P97" s="5">
        <v>46228.5</v>
      </c>
      <c r="Q97" t="s">
        <v>36</v>
      </c>
      <c r="R97" s="2" t="s">
        <v>40</v>
      </c>
      <c r="S97">
        <v>52</v>
      </c>
      <c r="T97">
        <v>2</v>
      </c>
    </row>
    <row r="98" spans="1:20" hidden="1" x14ac:dyDescent="0.25">
      <c r="A98" t="s">
        <v>1787</v>
      </c>
      <c r="B98">
        <v>1</v>
      </c>
      <c r="C98" s="2" t="s">
        <v>1788</v>
      </c>
      <c r="D98" s="3">
        <v>29904</v>
      </c>
      <c r="E98" s="4">
        <v>16</v>
      </c>
      <c r="F98" t="s">
        <v>36</v>
      </c>
      <c r="G98" s="3">
        <f t="shared" si="5"/>
        <v>35600</v>
      </c>
      <c r="H98" s="3">
        <v>0</v>
      </c>
      <c r="I98" s="3">
        <f t="shared" si="6"/>
        <v>35600</v>
      </c>
      <c r="J98" s="2" t="s">
        <v>27</v>
      </c>
      <c r="K98" s="5">
        <v>46253.583333333343</v>
      </c>
      <c r="L98">
        <v>2</v>
      </c>
      <c r="M98" s="3">
        <f t="shared" si="7"/>
        <v>17800</v>
      </c>
      <c r="N98" t="str">
        <f t="shared" si="8"/>
        <v>ставка</v>
      </c>
      <c r="O98" s="3">
        <f t="shared" si="9"/>
        <v>698.04</v>
      </c>
      <c r="P98" s="5">
        <v>46255.5</v>
      </c>
      <c r="Q98" t="s">
        <v>36</v>
      </c>
      <c r="R98" s="2" t="s">
        <v>45</v>
      </c>
      <c r="S98">
        <v>54</v>
      </c>
      <c r="T98">
        <v>2</v>
      </c>
    </row>
    <row r="99" spans="1:20" x14ac:dyDescent="0.25">
      <c r="A99" t="s">
        <v>1821</v>
      </c>
      <c r="B99">
        <v>1</v>
      </c>
      <c r="C99" s="2" t="s">
        <v>1822</v>
      </c>
      <c r="D99" s="3">
        <v>31500</v>
      </c>
      <c r="E99" s="4">
        <v>16</v>
      </c>
      <c r="F99" t="s">
        <v>36</v>
      </c>
      <c r="G99" s="3">
        <f t="shared" si="5"/>
        <v>37500</v>
      </c>
      <c r="H99" s="3">
        <v>0</v>
      </c>
      <c r="I99" s="3">
        <f t="shared" si="6"/>
        <v>37500</v>
      </c>
      <c r="J99" s="2"/>
      <c r="K99" s="5">
        <v>46275.583333333343</v>
      </c>
      <c r="L99">
        <v>3</v>
      </c>
      <c r="M99" s="21">
        <f t="shared" si="7"/>
        <v>12500</v>
      </c>
      <c r="N99" t="str">
        <f t="shared" si="8"/>
        <v>ставка</v>
      </c>
      <c r="O99" s="3">
        <f t="shared" si="9"/>
        <v>735.29</v>
      </c>
      <c r="P99" s="5">
        <v>46278.5</v>
      </c>
      <c r="Q99" t="s">
        <v>36</v>
      </c>
      <c r="R99" s="2" t="s">
        <v>45</v>
      </c>
      <c r="S99">
        <v>54</v>
      </c>
      <c r="T99">
        <v>2</v>
      </c>
    </row>
    <row r="100" spans="1:20" ht="45" x14ac:dyDescent="0.25">
      <c r="A100" t="s">
        <v>1913</v>
      </c>
      <c r="B100">
        <v>1</v>
      </c>
      <c r="C100" s="2" t="s">
        <v>1914</v>
      </c>
      <c r="D100" s="3">
        <v>6247.5</v>
      </c>
      <c r="E100" s="4">
        <v>15</v>
      </c>
      <c r="F100" t="s">
        <v>36</v>
      </c>
      <c r="G100" s="3">
        <f t="shared" si="5"/>
        <v>7350</v>
      </c>
      <c r="H100" s="3">
        <v>0</v>
      </c>
      <c r="I100" s="3">
        <f t="shared" si="6"/>
        <v>7350</v>
      </c>
      <c r="J100" s="2"/>
      <c r="K100" s="5">
        <v>46208.583333333343</v>
      </c>
      <c r="L100">
        <v>1</v>
      </c>
      <c r="M100" s="21">
        <f t="shared" si="7"/>
        <v>7350</v>
      </c>
      <c r="N100" t="str">
        <f t="shared" si="8"/>
        <v>ставка</v>
      </c>
      <c r="O100" s="3">
        <f t="shared" si="9"/>
        <v>144.12</v>
      </c>
      <c r="P100" s="5">
        <v>46209.5</v>
      </c>
      <c r="Q100" t="s">
        <v>36</v>
      </c>
      <c r="R100" s="2" t="s">
        <v>87</v>
      </c>
      <c r="S100">
        <v>50</v>
      </c>
      <c r="T100">
        <v>2</v>
      </c>
    </row>
    <row r="101" spans="1:20" ht="45" hidden="1" x14ac:dyDescent="0.25">
      <c r="A101" t="s">
        <v>1926</v>
      </c>
      <c r="B101">
        <v>1</v>
      </c>
      <c r="C101" s="2" t="s">
        <v>1927</v>
      </c>
      <c r="D101" s="3">
        <v>12138</v>
      </c>
      <c r="E101" s="4">
        <v>16</v>
      </c>
      <c r="F101" t="s">
        <v>36</v>
      </c>
      <c r="G101" s="3">
        <f t="shared" si="5"/>
        <v>14450</v>
      </c>
      <c r="H101" s="3">
        <v>0</v>
      </c>
      <c r="I101" s="3">
        <f t="shared" si="6"/>
        <v>14450</v>
      </c>
      <c r="J101" s="2" t="s">
        <v>27</v>
      </c>
      <c r="K101" s="5">
        <v>46268.583333333343</v>
      </c>
      <c r="L101">
        <v>1</v>
      </c>
      <c r="M101" s="3">
        <f t="shared" si="7"/>
        <v>14450</v>
      </c>
      <c r="N101" t="str">
        <f t="shared" si="8"/>
        <v>ставка</v>
      </c>
      <c r="O101" s="3">
        <f t="shared" si="9"/>
        <v>283.33</v>
      </c>
      <c r="P101" s="5">
        <v>46269.5</v>
      </c>
      <c r="Q101" t="s">
        <v>36</v>
      </c>
      <c r="R101" s="2" t="s">
        <v>87</v>
      </c>
      <c r="S101">
        <v>51</v>
      </c>
      <c r="T101">
        <v>2</v>
      </c>
    </row>
    <row r="102" spans="1:20" ht="45" x14ac:dyDescent="0.25">
      <c r="A102" t="s">
        <v>1952</v>
      </c>
      <c r="B102">
        <v>1</v>
      </c>
      <c r="C102" s="2" t="s">
        <v>1953</v>
      </c>
      <c r="D102" s="3">
        <v>39816</v>
      </c>
      <c r="E102" s="4">
        <v>16</v>
      </c>
      <c r="F102" t="s">
        <v>36</v>
      </c>
      <c r="G102" s="3">
        <f t="shared" si="5"/>
        <v>47400</v>
      </c>
      <c r="H102" s="3">
        <v>3300</v>
      </c>
      <c r="I102" s="3">
        <f t="shared" si="6"/>
        <v>50700</v>
      </c>
      <c r="J102" s="2" t="s">
        <v>1954</v>
      </c>
      <c r="K102" s="5">
        <v>46247.583333333343</v>
      </c>
      <c r="L102">
        <v>3</v>
      </c>
      <c r="M102" s="21">
        <f t="shared" si="7"/>
        <v>16900</v>
      </c>
      <c r="N102" t="str">
        <f t="shared" si="8"/>
        <v>ставка</v>
      </c>
      <c r="O102" s="3">
        <f t="shared" si="9"/>
        <v>994.12</v>
      </c>
      <c r="P102" s="5">
        <v>46250.708333333343</v>
      </c>
      <c r="Q102" t="s">
        <v>36</v>
      </c>
      <c r="R102" s="2" t="s">
        <v>45</v>
      </c>
      <c r="S102">
        <v>53</v>
      </c>
      <c r="T102">
        <v>2</v>
      </c>
    </row>
    <row r="103" spans="1:20" ht="30" x14ac:dyDescent="0.25">
      <c r="A103" t="s">
        <v>164</v>
      </c>
      <c r="B103">
        <v>1</v>
      </c>
      <c r="C103" s="2" t="s">
        <v>165</v>
      </c>
      <c r="D103" s="3">
        <v>27240</v>
      </c>
      <c r="E103" s="4">
        <v>20</v>
      </c>
      <c r="F103" t="s">
        <v>48</v>
      </c>
      <c r="G103" s="3">
        <f t="shared" si="5"/>
        <v>34050</v>
      </c>
      <c r="H103" s="3">
        <v>0</v>
      </c>
      <c r="I103" s="3">
        <f t="shared" si="6"/>
        <v>34050</v>
      </c>
      <c r="J103" s="2" t="s">
        <v>27</v>
      </c>
      <c r="K103" s="5">
        <v>46266.583333333343</v>
      </c>
      <c r="L103">
        <v>3</v>
      </c>
      <c r="M103" s="21">
        <f t="shared" si="7"/>
        <v>11350</v>
      </c>
      <c r="N103" t="str">
        <f t="shared" si="8"/>
        <v>ставка</v>
      </c>
      <c r="O103" s="3">
        <f t="shared" si="9"/>
        <v>667.65</v>
      </c>
      <c r="P103" s="5">
        <v>46269.5</v>
      </c>
      <c r="Q103" t="s">
        <v>48</v>
      </c>
      <c r="R103" s="2" t="s">
        <v>40</v>
      </c>
      <c r="S103">
        <v>52</v>
      </c>
      <c r="T103">
        <v>2</v>
      </c>
    </row>
    <row r="104" spans="1:20" ht="45" x14ac:dyDescent="0.25">
      <c r="A104" t="s">
        <v>184</v>
      </c>
      <c r="B104">
        <v>1</v>
      </c>
      <c r="C104" s="2" t="s">
        <v>185</v>
      </c>
      <c r="D104" s="3">
        <v>18160</v>
      </c>
      <c r="E104" s="4">
        <v>20</v>
      </c>
      <c r="F104" t="s">
        <v>48</v>
      </c>
      <c r="G104" s="3">
        <f t="shared" si="5"/>
        <v>22700</v>
      </c>
      <c r="H104" s="3">
        <v>0</v>
      </c>
      <c r="I104" s="3">
        <f t="shared" si="6"/>
        <v>22700</v>
      </c>
      <c r="J104" s="2" t="s">
        <v>27</v>
      </c>
      <c r="K104" s="5">
        <v>46217.583333333343</v>
      </c>
      <c r="L104">
        <v>2</v>
      </c>
      <c r="M104" s="21">
        <f t="shared" si="7"/>
        <v>11350</v>
      </c>
      <c r="N104" t="str">
        <f t="shared" si="8"/>
        <v>ставка</v>
      </c>
      <c r="O104" s="3">
        <f t="shared" si="9"/>
        <v>445.1</v>
      </c>
      <c r="P104" s="5">
        <v>46219.5</v>
      </c>
      <c r="Q104" t="s">
        <v>48</v>
      </c>
      <c r="R104" s="2" t="s">
        <v>87</v>
      </c>
      <c r="S104">
        <v>50</v>
      </c>
      <c r="T104">
        <v>2</v>
      </c>
    </row>
    <row r="105" spans="1:20" ht="45" x14ac:dyDescent="0.25">
      <c r="A105" t="s">
        <v>226</v>
      </c>
      <c r="B105">
        <v>1</v>
      </c>
      <c r="C105" s="2" t="s">
        <v>227</v>
      </c>
      <c r="D105" s="3">
        <v>8720</v>
      </c>
      <c r="E105" s="4">
        <v>20</v>
      </c>
      <c r="F105" t="s">
        <v>48</v>
      </c>
      <c r="G105" s="3">
        <f t="shared" si="5"/>
        <v>10900</v>
      </c>
      <c r="H105" s="3">
        <v>0</v>
      </c>
      <c r="I105" s="3">
        <f t="shared" si="6"/>
        <v>10900</v>
      </c>
      <c r="J105" s="2" t="s">
        <v>27</v>
      </c>
      <c r="K105" s="5">
        <v>46215.583333333343</v>
      </c>
      <c r="L105">
        <v>1</v>
      </c>
      <c r="M105" s="21">
        <f t="shared" si="7"/>
        <v>10900</v>
      </c>
      <c r="N105" t="str">
        <f t="shared" si="8"/>
        <v>ставка</v>
      </c>
      <c r="O105" s="3">
        <f t="shared" si="9"/>
        <v>213.73</v>
      </c>
      <c r="P105" s="5">
        <v>46216.5</v>
      </c>
      <c r="Q105" t="s">
        <v>48</v>
      </c>
      <c r="R105" s="2" t="s">
        <v>87</v>
      </c>
      <c r="S105">
        <v>50</v>
      </c>
      <c r="T105">
        <v>2</v>
      </c>
    </row>
    <row r="106" spans="1:20" ht="45" x14ac:dyDescent="0.25">
      <c r="A106" t="s">
        <v>232</v>
      </c>
      <c r="B106">
        <v>1</v>
      </c>
      <c r="C106" s="2" t="s">
        <v>233</v>
      </c>
      <c r="D106" s="3">
        <v>56960</v>
      </c>
      <c r="E106" s="4">
        <v>20</v>
      </c>
      <c r="F106" t="s">
        <v>48</v>
      </c>
      <c r="G106" s="3">
        <f t="shared" si="5"/>
        <v>71200</v>
      </c>
      <c r="H106" s="3">
        <v>0</v>
      </c>
      <c r="I106" s="3">
        <f t="shared" si="6"/>
        <v>71200</v>
      </c>
      <c r="J106" s="2" t="s">
        <v>27</v>
      </c>
      <c r="K106" s="5">
        <v>46221.583333333343</v>
      </c>
      <c r="L106">
        <v>8</v>
      </c>
      <c r="M106" s="21">
        <f t="shared" si="7"/>
        <v>8900</v>
      </c>
      <c r="N106" t="str">
        <f t="shared" si="8"/>
        <v>ставка</v>
      </c>
      <c r="O106" s="3">
        <f t="shared" si="9"/>
        <v>1396.08</v>
      </c>
      <c r="P106" s="5">
        <v>46229.5</v>
      </c>
      <c r="Q106" t="s">
        <v>48</v>
      </c>
      <c r="R106" s="2" t="s">
        <v>87</v>
      </c>
      <c r="S106">
        <v>50</v>
      </c>
      <c r="T106">
        <v>2</v>
      </c>
    </row>
    <row r="107" spans="1:20" ht="30" x14ac:dyDescent="0.25">
      <c r="A107" t="s">
        <v>472</v>
      </c>
      <c r="B107">
        <v>1</v>
      </c>
      <c r="C107" s="2" t="s">
        <v>473</v>
      </c>
      <c r="D107" s="3">
        <v>18160</v>
      </c>
      <c r="E107" s="4">
        <v>20</v>
      </c>
      <c r="F107" t="s">
        <v>48</v>
      </c>
      <c r="G107" s="3">
        <f t="shared" si="5"/>
        <v>22700</v>
      </c>
      <c r="H107" s="3">
        <v>0</v>
      </c>
      <c r="I107" s="3">
        <f t="shared" si="6"/>
        <v>22700</v>
      </c>
      <c r="J107" s="2" t="s">
        <v>27</v>
      </c>
      <c r="K107" s="5">
        <v>46287.583333333343</v>
      </c>
      <c r="L107">
        <v>2</v>
      </c>
      <c r="M107" s="21">
        <f t="shared" si="7"/>
        <v>11350</v>
      </c>
      <c r="N107" t="str">
        <f t="shared" si="8"/>
        <v>ставка</v>
      </c>
      <c r="O107" s="3">
        <f t="shared" si="9"/>
        <v>445.1</v>
      </c>
      <c r="P107" s="5">
        <v>46289.5</v>
      </c>
      <c r="Q107" t="s">
        <v>48</v>
      </c>
      <c r="R107" s="2" t="s">
        <v>40</v>
      </c>
      <c r="S107">
        <v>52</v>
      </c>
      <c r="T107">
        <v>2</v>
      </c>
    </row>
    <row r="108" spans="1:20" ht="30" x14ac:dyDescent="0.25">
      <c r="A108" t="s">
        <v>494</v>
      </c>
      <c r="B108">
        <v>1</v>
      </c>
      <c r="C108" s="2" t="s">
        <v>495</v>
      </c>
      <c r="D108" s="3">
        <v>36320</v>
      </c>
      <c r="E108" s="4">
        <v>20</v>
      </c>
      <c r="F108" t="s">
        <v>48</v>
      </c>
      <c r="G108" s="3">
        <f t="shared" si="5"/>
        <v>45400</v>
      </c>
      <c r="H108" s="3">
        <v>0</v>
      </c>
      <c r="I108" s="3">
        <f t="shared" si="6"/>
        <v>45400</v>
      </c>
      <c r="J108" s="2" t="s">
        <v>27</v>
      </c>
      <c r="K108" s="5">
        <v>46269.583333333343</v>
      </c>
      <c r="L108">
        <v>4</v>
      </c>
      <c r="M108" s="21">
        <f t="shared" si="7"/>
        <v>11350</v>
      </c>
      <c r="N108" t="str">
        <f t="shared" si="8"/>
        <v>ставка</v>
      </c>
      <c r="O108" s="3">
        <f t="shared" si="9"/>
        <v>890.2</v>
      </c>
      <c r="P108" s="5">
        <v>46273.5</v>
      </c>
      <c r="Q108" t="s">
        <v>48</v>
      </c>
      <c r="R108" s="2" t="s">
        <v>40</v>
      </c>
      <c r="S108">
        <v>58</v>
      </c>
      <c r="T108">
        <v>2</v>
      </c>
    </row>
    <row r="109" spans="1:20" ht="30" x14ac:dyDescent="0.25">
      <c r="A109" t="s">
        <v>589</v>
      </c>
      <c r="B109">
        <v>1</v>
      </c>
      <c r="C109" s="2" t="s">
        <v>590</v>
      </c>
      <c r="D109" s="3">
        <v>53400</v>
      </c>
      <c r="E109" s="4">
        <v>20</v>
      </c>
      <c r="F109" t="s">
        <v>48</v>
      </c>
      <c r="G109" s="3">
        <f t="shared" si="5"/>
        <v>66750</v>
      </c>
      <c r="H109" s="3">
        <v>0</v>
      </c>
      <c r="I109" s="3">
        <f t="shared" si="6"/>
        <v>66750</v>
      </c>
      <c r="J109" s="2" t="s">
        <v>27</v>
      </c>
      <c r="K109" s="5">
        <v>46272.583333333343</v>
      </c>
      <c r="L109">
        <v>5</v>
      </c>
      <c r="M109" s="21">
        <f t="shared" si="7"/>
        <v>13350</v>
      </c>
      <c r="N109" t="str">
        <f t="shared" si="8"/>
        <v>ставка</v>
      </c>
      <c r="O109" s="3">
        <f t="shared" si="9"/>
        <v>1308.82</v>
      </c>
      <c r="P109" s="5">
        <v>46277.5</v>
      </c>
      <c r="Q109" t="s">
        <v>48</v>
      </c>
      <c r="R109" s="2" t="s">
        <v>24</v>
      </c>
      <c r="S109">
        <v>59</v>
      </c>
      <c r="T109">
        <v>2</v>
      </c>
    </row>
    <row r="110" spans="1:20" ht="30" x14ac:dyDescent="0.25">
      <c r="A110" t="s">
        <v>825</v>
      </c>
      <c r="B110">
        <v>1</v>
      </c>
      <c r="C110" s="2" t="s">
        <v>826</v>
      </c>
      <c r="D110" s="3">
        <v>27240</v>
      </c>
      <c r="E110" s="4">
        <v>20</v>
      </c>
      <c r="F110" t="s">
        <v>48</v>
      </c>
      <c r="G110" s="3">
        <f t="shared" si="5"/>
        <v>34050</v>
      </c>
      <c r="H110" s="3">
        <v>0</v>
      </c>
      <c r="I110" s="3">
        <f t="shared" si="6"/>
        <v>34050</v>
      </c>
      <c r="J110" s="2" t="s">
        <v>27</v>
      </c>
      <c r="K110" s="5">
        <v>46243.583333333343</v>
      </c>
      <c r="L110">
        <v>3</v>
      </c>
      <c r="M110" s="21">
        <f t="shared" si="7"/>
        <v>11350</v>
      </c>
      <c r="N110" t="str">
        <f t="shared" si="8"/>
        <v>ставка</v>
      </c>
      <c r="O110" s="3">
        <f t="shared" si="9"/>
        <v>667.65</v>
      </c>
      <c r="P110" s="5">
        <v>46246.5</v>
      </c>
      <c r="Q110" t="s">
        <v>48</v>
      </c>
      <c r="R110" s="2" t="s">
        <v>40</v>
      </c>
      <c r="S110">
        <v>58</v>
      </c>
      <c r="T110">
        <v>2</v>
      </c>
    </row>
    <row r="111" spans="1:20" ht="45" hidden="1" x14ac:dyDescent="0.25">
      <c r="A111" t="s">
        <v>851</v>
      </c>
      <c r="B111">
        <v>1</v>
      </c>
      <c r="C111" s="2" t="s">
        <v>852</v>
      </c>
      <c r="D111" s="3">
        <v>19920</v>
      </c>
      <c r="E111" s="4">
        <v>20</v>
      </c>
      <c r="F111" t="s">
        <v>48</v>
      </c>
      <c r="G111" s="3">
        <f t="shared" si="5"/>
        <v>24900</v>
      </c>
      <c r="H111" s="3">
        <v>0</v>
      </c>
      <c r="I111" s="3">
        <f t="shared" si="6"/>
        <v>24900</v>
      </c>
      <c r="J111" s="2" t="s">
        <v>27</v>
      </c>
      <c r="K111" s="5">
        <v>46281.583333333343</v>
      </c>
      <c r="L111">
        <v>2</v>
      </c>
      <c r="M111" s="3">
        <f t="shared" si="7"/>
        <v>12450</v>
      </c>
      <c r="N111" t="str">
        <f t="shared" si="8"/>
        <v>ставка</v>
      </c>
      <c r="O111" s="3">
        <f t="shared" si="9"/>
        <v>488.24</v>
      </c>
      <c r="P111" s="5">
        <v>46283.5</v>
      </c>
      <c r="Q111" t="s">
        <v>48</v>
      </c>
      <c r="R111" s="2" t="s">
        <v>87</v>
      </c>
      <c r="S111">
        <v>50</v>
      </c>
      <c r="T111">
        <v>2</v>
      </c>
    </row>
    <row r="112" spans="1:20" ht="30" hidden="1" x14ac:dyDescent="0.25">
      <c r="A112" t="s">
        <v>941</v>
      </c>
      <c r="B112">
        <v>1</v>
      </c>
      <c r="C112" s="2" t="s">
        <v>942</v>
      </c>
      <c r="D112" s="3">
        <v>12640</v>
      </c>
      <c r="E112" s="4">
        <v>20</v>
      </c>
      <c r="F112" t="s">
        <v>48</v>
      </c>
      <c r="G112" s="3">
        <f t="shared" si="5"/>
        <v>15800</v>
      </c>
      <c r="H112" s="3">
        <v>0</v>
      </c>
      <c r="I112" s="3">
        <f t="shared" si="6"/>
        <v>15800</v>
      </c>
      <c r="J112" s="2" t="s">
        <v>27</v>
      </c>
      <c r="K112" s="5">
        <v>46264.583333333343</v>
      </c>
      <c r="L112">
        <v>2</v>
      </c>
      <c r="M112" s="3">
        <f t="shared" si="7"/>
        <v>7900</v>
      </c>
      <c r="N112" t="str">
        <f t="shared" si="8"/>
        <v>ставка</v>
      </c>
      <c r="O112" s="3">
        <f t="shared" si="9"/>
        <v>309.8</v>
      </c>
      <c r="P112" s="5">
        <v>46266.5</v>
      </c>
      <c r="Q112" t="s">
        <v>48</v>
      </c>
      <c r="R112" s="2" t="s">
        <v>40</v>
      </c>
      <c r="S112">
        <v>58</v>
      </c>
      <c r="T112">
        <v>2</v>
      </c>
    </row>
    <row r="113" spans="1:20" ht="45" x14ac:dyDescent="0.25">
      <c r="A113" t="s">
        <v>1032</v>
      </c>
      <c r="B113">
        <v>1</v>
      </c>
      <c r="C113" s="2" t="s">
        <v>1033</v>
      </c>
      <c r="D113" s="3">
        <v>15840</v>
      </c>
      <c r="E113" s="4">
        <v>20</v>
      </c>
      <c r="F113" t="s">
        <v>48</v>
      </c>
      <c r="G113" s="3">
        <f t="shared" si="5"/>
        <v>19800</v>
      </c>
      <c r="H113" s="3">
        <v>1260</v>
      </c>
      <c r="I113" s="3">
        <f t="shared" si="6"/>
        <v>21060</v>
      </c>
      <c r="J113" s="2" t="s">
        <v>1034</v>
      </c>
      <c r="K113" s="5">
        <v>46264.583333333343</v>
      </c>
      <c r="L113">
        <v>2</v>
      </c>
      <c r="M113" s="21">
        <f t="shared" si="7"/>
        <v>10530</v>
      </c>
      <c r="N113" t="str">
        <f t="shared" si="8"/>
        <v>ставка</v>
      </c>
      <c r="O113" s="3">
        <f t="shared" si="9"/>
        <v>412.94</v>
      </c>
      <c r="P113" s="5">
        <v>46266.5</v>
      </c>
      <c r="Q113" t="s">
        <v>48</v>
      </c>
      <c r="R113" s="2" t="s">
        <v>40</v>
      </c>
      <c r="S113">
        <v>55</v>
      </c>
      <c r="T113">
        <v>2</v>
      </c>
    </row>
    <row r="114" spans="1:20" ht="90" x14ac:dyDescent="0.25">
      <c r="A114" t="s">
        <v>1125</v>
      </c>
      <c r="B114">
        <v>1</v>
      </c>
      <c r="C114" s="2" t="s">
        <v>1126</v>
      </c>
      <c r="D114" s="3">
        <v>27240</v>
      </c>
      <c r="E114" s="4">
        <v>20</v>
      </c>
      <c r="F114" t="s">
        <v>48</v>
      </c>
      <c r="G114" s="3">
        <f t="shared" si="5"/>
        <v>34050</v>
      </c>
      <c r="H114" s="3">
        <v>860</v>
      </c>
      <c r="I114" s="3">
        <f t="shared" si="6"/>
        <v>34910</v>
      </c>
      <c r="J114" s="2" t="s">
        <v>1127</v>
      </c>
      <c r="K114" s="5">
        <v>46238.583333333343</v>
      </c>
      <c r="L114">
        <v>3</v>
      </c>
      <c r="M114" s="21">
        <f t="shared" si="7"/>
        <v>11636.666666666666</v>
      </c>
      <c r="N114" t="str">
        <f t="shared" si="8"/>
        <v>ставка</v>
      </c>
      <c r="O114" s="3">
        <f t="shared" si="9"/>
        <v>684.51</v>
      </c>
      <c r="P114" s="5">
        <v>46241.5</v>
      </c>
      <c r="Q114" t="s">
        <v>48</v>
      </c>
      <c r="R114" s="2" t="s">
        <v>87</v>
      </c>
      <c r="S114">
        <v>50</v>
      </c>
      <c r="T114">
        <v>2</v>
      </c>
    </row>
    <row r="115" spans="1:20" ht="30" x14ac:dyDescent="0.25">
      <c r="A115" t="s">
        <v>1190</v>
      </c>
      <c r="B115">
        <v>1</v>
      </c>
      <c r="C115" s="2" t="s">
        <v>1189</v>
      </c>
      <c r="D115" s="3">
        <v>18160</v>
      </c>
      <c r="E115" s="4">
        <v>20</v>
      </c>
      <c r="F115" t="s">
        <v>48</v>
      </c>
      <c r="G115" s="3">
        <f t="shared" si="5"/>
        <v>22700</v>
      </c>
      <c r="H115" s="3">
        <v>0</v>
      </c>
      <c r="I115" s="3">
        <f t="shared" si="6"/>
        <v>22700</v>
      </c>
      <c r="J115" s="2" t="s">
        <v>27</v>
      </c>
      <c r="K115" s="5">
        <v>46236.583333333343</v>
      </c>
      <c r="L115">
        <v>2</v>
      </c>
      <c r="M115" s="21">
        <f t="shared" si="7"/>
        <v>11350</v>
      </c>
      <c r="N115" t="str">
        <f t="shared" si="8"/>
        <v>ставка</v>
      </c>
      <c r="O115" s="3">
        <f t="shared" si="9"/>
        <v>445.1</v>
      </c>
      <c r="P115" s="5">
        <v>46238.5</v>
      </c>
      <c r="Q115" t="s">
        <v>48</v>
      </c>
      <c r="R115" s="2" t="s">
        <v>40</v>
      </c>
      <c r="S115">
        <v>52</v>
      </c>
      <c r="T115">
        <v>2</v>
      </c>
    </row>
    <row r="116" spans="1:20" ht="30" x14ac:dyDescent="0.25">
      <c r="A116" t="s">
        <v>1531</v>
      </c>
      <c r="B116">
        <v>1</v>
      </c>
      <c r="C116" s="2" t="s">
        <v>1532</v>
      </c>
      <c r="D116" s="3">
        <v>64080</v>
      </c>
      <c r="E116" s="4">
        <v>20</v>
      </c>
      <c r="F116" t="s">
        <v>48</v>
      </c>
      <c r="G116" s="3">
        <f t="shared" si="5"/>
        <v>80100</v>
      </c>
      <c r="H116" s="3">
        <v>0</v>
      </c>
      <c r="I116" s="3">
        <f t="shared" si="6"/>
        <v>80100</v>
      </c>
      <c r="J116" s="2" t="s">
        <v>27</v>
      </c>
      <c r="K116" s="5">
        <v>46286.583333333343</v>
      </c>
      <c r="L116">
        <v>6</v>
      </c>
      <c r="M116" s="21">
        <f t="shared" si="7"/>
        <v>13350</v>
      </c>
      <c r="N116" t="str">
        <f t="shared" si="8"/>
        <v>ставка</v>
      </c>
      <c r="O116" s="3">
        <f t="shared" si="9"/>
        <v>1570.59</v>
      </c>
      <c r="P116" s="5">
        <v>46292.5</v>
      </c>
      <c r="Q116" t="s">
        <v>48</v>
      </c>
      <c r="R116" s="2" t="s">
        <v>24</v>
      </c>
      <c r="S116">
        <v>56</v>
      </c>
      <c r="T116">
        <v>2</v>
      </c>
    </row>
    <row r="117" spans="1:20" hidden="1" x14ac:dyDescent="0.25">
      <c r="A117" t="s">
        <v>1671</v>
      </c>
      <c r="B117">
        <v>1</v>
      </c>
      <c r="C117" s="2" t="s">
        <v>1672</v>
      </c>
      <c r="D117" s="3">
        <v>11600</v>
      </c>
      <c r="E117" s="4">
        <v>20</v>
      </c>
      <c r="F117" t="s">
        <v>48</v>
      </c>
      <c r="G117" s="3">
        <f t="shared" si="5"/>
        <v>14500</v>
      </c>
      <c r="H117" s="3">
        <v>0</v>
      </c>
      <c r="I117" s="3">
        <f t="shared" si="6"/>
        <v>14500</v>
      </c>
      <c r="J117" s="2"/>
      <c r="K117" s="5">
        <v>46239.583333333343</v>
      </c>
      <c r="L117">
        <v>1</v>
      </c>
      <c r="M117" s="3">
        <f t="shared" si="7"/>
        <v>14500</v>
      </c>
      <c r="N117" t="str">
        <f t="shared" si="8"/>
        <v>ставка</v>
      </c>
      <c r="O117" s="3">
        <f t="shared" si="9"/>
        <v>284.31</v>
      </c>
      <c r="P117" s="5">
        <v>46240.5</v>
      </c>
      <c r="Q117" t="s">
        <v>48</v>
      </c>
      <c r="R117" s="2" t="s">
        <v>45</v>
      </c>
      <c r="S117">
        <v>53</v>
      </c>
      <c r="T117">
        <v>2</v>
      </c>
    </row>
    <row r="118" spans="1:20" ht="30" hidden="1" x14ac:dyDescent="0.25">
      <c r="A118" t="s">
        <v>1932</v>
      </c>
      <c r="B118">
        <v>1</v>
      </c>
      <c r="C118" s="2" t="s">
        <v>1933</v>
      </c>
      <c r="D118" s="3">
        <v>61600</v>
      </c>
      <c r="E118" s="4">
        <v>20</v>
      </c>
      <c r="F118" t="s">
        <v>48</v>
      </c>
      <c r="G118" s="3">
        <f t="shared" si="5"/>
        <v>77000</v>
      </c>
      <c r="H118" s="3">
        <v>0</v>
      </c>
      <c r="I118" s="3">
        <f t="shared" si="6"/>
        <v>77000</v>
      </c>
      <c r="J118" s="2" t="s">
        <v>27</v>
      </c>
      <c r="K118" s="5">
        <v>46252.583333333343</v>
      </c>
      <c r="L118">
        <v>5</v>
      </c>
      <c r="M118" s="3">
        <f t="shared" si="7"/>
        <v>15400</v>
      </c>
      <c r="N118" t="str">
        <f t="shared" si="8"/>
        <v>ставка</v>
      </c>
      <c r="O118" s="3">
        <f t="shared" si="9"/>
        <v>1509.8</v>
      </c>
      <c r="P118" s="5">
        <v>46257.5</v>
      </c>
      <c r="Q118" t="s">
        <v>48</v>
      </c>
      <c r="R118" s="2" t="s">
        <v>24</v>
      </c>
      <c r="S118">
        <v>59</v>
      </c>
      <c r="T118">
        <v>2</v>
      </c>
    </row>
    <row r="119" spans="1:20" ht="30" x14ac:dyDescent="0.25">
      <c r="A119" t="s">
        <v>1945</v>
      </c>
      <c r="B119">
        <v>1</v>
      </c>
      <c r="C119" s="2" t="s">
        <v>1946</v>
      </c>
      <c r="D119" s="3">
        <v>27240</v>
      </c>
      <c r="E119" s="4">
        <v>20</v>
      </c>
      <c r="F119" t="s">
        <v>48</v>
      </c>
      <c r="G119" s="3">
        <f t="shared" si="5"/>
        <v>34050</v>
      </c>
      <c r="H119" s="3">
        <v>0</v>
      </c>
      <c r="I119" s="3">
        <f t="shared" si="6"/>
        <v>34050</v>
      </c>
      <c r="J119" s="2" t="s">
        <v>27</v>
      </c>
      <c r="K119" s="5">
        <v>46247.583333333343</v>
      </c>
      <c r="L119">
        <v>3</v>
      </c>
      <c r="M119" s="21">
        <f t="shared" si="7"/>
        <v>11350</v>
      </c>
      <c r="N119" t="str">
        <f t="shared" si="8"/>
        <v>ставка</v>
      </c>
      <c r="O119" s="3">
        <f t="shared" si="9"/>
        <v>667.65</v>
      </c>
      <c r="P119" s="5">
        <v>46250.5</v>
      </c>
      <c r="Q119" t="s">
        <v>48</v>
      </c>
      <c r="R119" s="2" t="s">
        <v>40</v>
      </c>
      <c r="S119">
        <v>52</v>
      </c>
      <c r="T119">
        <v>2</v>
      </c>
    </row>
    <row r="120" spans="1:20" x14ac:dyDescent="0.25">
      <c r="A120" t="s">
        <v>1370</v>
      </c>
      <c r="B120">
        <v>1</v>
      </c>
      <c r="C120" s="2" t="s">
        <v>1371</v>
      </c>
      <c r="D120" s="3">
        <v>68174</v>
      </c>
      <c r="E120" s="4">
        <v>17</v>
      </c>
      <c r="F120" t="s">
        <v>394</v>
      </c>
      <c r="G120" s="3">
        <f t="shared" si="5"/>
        <v>82137.350000000006</v>
      </c>
      <c r="H120" s="3">
        <v>0</v>
      </c>
      <c r="I120" s="3">
        <f t="shared" si="6"/>
        <v>82137.350000000006</v>
      </c>
      <c r="J120" s="2" t="s">
        <v>27</v>
      </c>
      <c r="K120" s="5">
        <v>46256.583333333343</v>
      </c>
      <c r="L120">
        <v>4</v>
      </c>
      <c r="M120" s="21">
        <f t="shared" si="7"/>
        <v>20534.337500000001</v>
      </c>
      <c r="N120" t="str">
        <f t="shared" si="8"/>
        <v>ставка</v>
      </c>
      <c r="O120" s="3">
        <f t="shared" si="9"/>
        <v>1610.54</v>
      </c>
      <c r="P120" s="5">
        <v>46260.5</v>
      </c>
      <c r="Q120" t="s">
        <v>394</v>
      </c>
      <c r="R120" s="2" t="s">
        <v>37</v>
      </c>
      <c r="S120">
        <v>53</v>
      </c>
      <c r="T120">
        <v>2</v>
      </c>
    </row>
    <row r="121" spans="1:20" ht="30" x14ac:dyDescent="0.25">
      <c r="A121" t="s">
        <v>566</v>
      </c>
      <c r="B121">
        <v>1</v>
      </c>
      <c r="C121" s="2" t="s">
        <v>567</v>
      </c>
      <c r="D121" s="3">
        <v>36320</v>
      </c>
      <c r="E121" s="4">
        <v>20</v>
      </c>
      <c r="F121" t="s">
        <v>293</v>
      </c>
      <c r="G121" s="3">
        <f t="shared" si="5"/>
        <v>45400</v>
      </c>
      <c r="H121" s="3">
        <v>0</v>
      </c>
      <c r="I121" s="3">
        <f t="shared" si="6"/>
        <v>45400</v>
      </c>
      <c r="J121" s="2" t="s">
        <v>294</v>
      </c>
      <c r="K121" s="5">
        <v>46202.583333333343</v>
      </c>
      <c r="L121">
        <v>4</v>
      </c>
      <c r="M121" s="21">
        <f t="shared" si="7"/>
        <v>11350</v>
      </c>
      <c r="N121" t="str">
        <f t="shared" si="8"/>
        <v>ставка</v>
      </c>
      <c r="O121" s="3">
        <f t="shared" si="9"/>
        <v>890.2</v>
      </c>
      <c r="P121" s="5">
        <v>46206.5</v>
      </c>
      <c r="Q121" t="s">
        <v>293</v>
      </c>
      <c r="R121" s="2" t="s">
        <v>40</v>
      </c>
      <c r="S121">
        <v>58</v>
      </c>
      <c r="T121">
        <v>2</v>
      </c>
    </row>
    <row r="122" spans="1:20" ht="60" x14ac:dyDescent="0.25">
      <c r="A122" t="s">
        <v>848</v>
      </c>
      <c r="B122">
        <v>1</v>
      </c>
      <c r="C122" s="2" t="s">
        <v>849</v>
      </c>
      <c r="D122" s="3">
        <v>15890</v>
      </c>
      <c r="E122" s="4">
        <v>0</v>
      </c>
      <c r="F122" t="s">
        <v>293</v>
      </c>
      <c r="G122" s="3">
        <f t="shared" si="5"/>
        <v>15890</v>
      </c>
      <c r="H122" s="3">
        <v>17350</v>
      </c>
      <c r="I122" s="3">
        <f t="shared" si="6"/>
        <v>33240</v>
      </c>
      <c r="J122" s="2" t="s">
        <v>850</v>
      </c>
      <c r="K122" s="5">
        <v>46267.375</v>
      </c>
      <c r="L122">
        <v>2</v>
      </c>
      <c r="M122" s="21">
        <f t="shared" si="7"/>
        <v>16620</v>
      </c>
      <c r="N122" t="str">
        <f t="shared" si="8"/>
        <v>ставка</v>
      </c>
      <c r="O122" s="3">
        <f t="shared" si="9"/>
        <v>651.76</v>
      </c>
      <c r="P122" s="5">
        <v>46269.5</v>
      </c>
      <c r="Q122" t="s">
        <v>293</v>
      </c>
      <c r="R122" s="2" t="s">
        <v>40</v>
      </c>
      <c r="S122">
        <v>58</v>
      </c>
      <c r="T122">
        <v>2</v>
      </c>
    </row>
    <row r="123" spans="1:20" ht="30" hidden="1" x14ac:dyDescent="0.25">
      <c r="A123" t="s">
        <v>1374</v>
      </c>
      <c r="B123">
        <v>1</v>
      </c>
      <c r="C123" s="2" t="s">
        <v>1375</v>
      </c>
      <c r="D123" s="3">
        <v>21440</v>
      </c>
      <c r="E123" s="4">
        <v>20</v>
      </c>
      <c r="F123" t="s">
        <v>293</v>
      </c>
      <c r="G123" s="3">
        <f t="shared" si="5"/>
        <v>26800</v>
      </c>
      <c r="H123" s="3">
        <v>0</v>
      </c>
      <c r="I123" s="3">
        <f t="shared" si="6"/>
        <v>26800</v>
      </c>
      <c r="J123" s="2" t="s">
        <v>294</v>
      </c>
      <c r="K123" s="5">
        <v>46203.583333333343</v>
      </c>
      <c r="L123">
        <v>2</v>
      </c>
      <c r="M123" s="3">
        <f t="shared" si="7"/>
        <v>13400</v>
      </c>
      <c r="N123" t="str">
        <f t="shared" si="8"/>
        <v>ставка</v>
      </c>
      <c r="O123" s="3">
        <f t="shared" si="9"/>
        <v>525.49</v>
      </c>
      <c r="P123" s="5">
        <v>46205.5</v>
      </c>
      <c r="Q123" t="s">
        <v>293</v>
      </c>
      <c r="R123" s="2" t="s">
        <v>24</v>
      </c>
      <c r="S123">
        <v>56</v>
      </c>
      <c r="T123">
        <v>2</v>
      </c>
    </row>
    <row r="124" spans="1:20" ht="30" x14ac:dyDescent="0.25">
      <c r="A124" t="s">
        <v>1525</v>
      </c>
      <c r="B124">
        <v>1</v>
      </c>
      <c r="C124" s="2" t="s">
        <v>1526</v>
      </c>
      <c r="D124" s="3">
        <v>18160</v>
      </c>
      <c r="E124" s="4">
        <v>20</v>
      </c>
      <c r="F124" t="s">
        <v>293</v>
      </c>
      <c r="G124" s="3">
        <f t="shared" si="5"/>
        <v>22700</v>
      </c>
      <c r="H124" s="3">
        <v>0</v>
      </c>
      <c r="I124" s="3">
        <f t="shared" si="6"/>
        <v>22700</v>
      </c>
      <c r="J124" s="2" t="s">
        <v>294</v>
      </c>
      <c r="K124" s="5">
        <v>46203.583333333343</v>
      </c>
      <c r="L124">
        <v>2</v>
      </c>
      <c r="M124" s="21">
        <f t="shared" si="7"/>
        <v>11350</v>
      </c>
      <c r="N124" t="str">
        <f t="shared" si="8"/>
        <v>ставка</v>
      </c>
      <c r="O124" s="3">
        <f t="shared" si="9"/>
        <v>445.1</v>
      </c>
      <c r="P124" s="5">
        <v>46205.5</v>
      </c>
      <c r="Q124" t="s">
        <v>293</v>
      </c>
      <c r="R124" s="2" t="s">
        <v>40</v>
      </c>
      <c r="S124">
        <v>52</v>
      </c>
      <c r="T124">
        <v>2</v>
      </c>
    </row>
    <row r="125" spans="1:20" ht="30" x14ac:dyDescent="0.25">
      <c r="A125" t="s">
        <v>135</v>
      </c>
      <c r="B125">
        <v>1</v>
      </c>
      <c r="C125" s="2" t="s">
        <v>136</v>
      </c>
      <c r="D125" s="3">
        <v>64080</v>
      </c>
      <c r="E125" s="4">
        <v>20</v>
      </c>
      <c r="F125" t="s">
        <v>103</v>
      </c>
      <c r="G125" s="3">
        <f t="shared" si="5"/>
        <v>80100</v>
      </c>
      <c r="H125" s="3">
        <v>0</v>
      </c>
      <c r="I125" s="3">
        <f t="shared" si="6"/>
        <v>80100</v>
      </c>
      <c r="J125" s="2" t="s">
        <v>27</v>
      </c>
      <c r="K125" s="5">
        <v>46252.583333333343</v>
      </c>
      <c r="L125">
        <v>6</v>
      </c>
      <c r="M125" s="21">
        <f t="shared" si="7"/>
        <v>13350</v>
      </c>
      <c r="N125" t="str">
        <f t="shared" si="8"/>
        <v>ставка</v>
      </c>
      <c r="O125" s="3">
        <f t="shared" si="9"/>
        <v>1570.59</v>
      </c>
      <c r="P125" s="5">
        <v>46258.5</v>
      </c>
      <c r="Q125" t="s">
        <v>103</v>
      </c>
      <c r="R125" s="2" t="s">
        <v>40</v>
      </c>
      <c r="S125">
        <v>58</v>
      </c>
      <c r="T125">
        <v>2</v>
      </c>
    </row>
    <row r="126" spans="1:20" ht="30" hidden="1" x14ac:dyDescent="0.25">
      <c r="A126" t="s">
        <v>317</v>
      </c>
      <c r="B126">
        <v>1</v>
      </c>
      <c r="C126" s="2" t="s">
        <v>318</v>
      </c>
      <c r="D126" s="3">
        <v>21440</v>
      </c>
      <c r="E126" s="4">
        <v>20</v>
      </c>
      <c r="F126" t="s">
        <v>103</v>
      </c>
      <c r="G126" s="3">
        <f t="shared" si="5"/>
        <v>26800</v>
      </c>
      <c r="H126" s="3">
        <v>0</v>
      </c>
      <c r="I126" s="3">
        <f t="shared" si="6"/>
        <v>26800</v>
      </c>
      <c r="J126" s="2" t="s">
        <v>27</v>
      </c>
      <c r="K126" s="5">
        <v>46282.583333333343</v>
      </c>
      <c r="L126">
        <v>2</v>
      </c>
      <c r="M126" s="3">
        <f t="shared" si="7"/>
        <v>13400</v>
      </c>
      <c r="N126" t="str">
        <f t="shared" si="8"/>
        <v>ставка</v>
      </c>
      <c r="O126" s="3">
        <f t="shared" si="9"/>
        <v>525.49</v>
      </c>
      <c r="P126" s="5">
        <v>46284.5</v>
      </c>
      <c r="Q126" t="s">
        <v>103</v>
      </c>
      <c r="R126" s="2" t="s">
        <v>24</v>
      </c>
      <c r="S126">
        <v>59</v>
      </c>
      <c r="T126">
        <v>2</v>
      </c>
    </row>
    <row r="127" spans="1:20" ht="30" hidden="1" x14ac:dyDescent="0.25">
      <c r="A127" t="s">
        <v>614</v>
      </c>
      <c r="B127">
        <v>1</v>
      </c>
      <c r="C127" s="2" t="s">
        <v>615</v>
      </c>
      <c r="D127" s="3">
        <v>21440</v>
      </c>
      <c r="E127" s="4">
        <v>20</v>
      </c>
      <c r="F127" t="s">
        <v>103</v>
      </c>
      <c r="G127" s="3">
        <f t="shared" si="5"/>
        <v>26800</v>
      </c>
      <c r="H127" s="3">
        <v>0</v>
      </c>
      <c r="I127" s="3">
        <f t="shared" si="6"/>
        <v>26800</v>
      </c>
      <c r="J127" s="2" t="s">
        <v>27</v>
      </c>
      <c r="K127" s="5">
        <v>46244.583333333343</v>
      </c>
      <c r="L127">
        <v>2</v>
      </c>
      <c r="M127" s="3">
        <f t="shared" si="7"/>
        <v>13400</v>
      </c>
      <c r="N127" t="str">
        <f t="shared" si="8"/>
        <v>ставка</v>
      </c>
      <c r="O127" s="3">
        <f t="shared" si="9"/>
        <v>525.49</v>
      </c>
      <c r="P127" s="5">
        <v>46246.5</v>
      </c>
      <c r="Q127" t="s">
        <v>103</v>
      </c>
      <c r="R127" s="2" t="s">
        <v>24</v>
      </c>
      <c r="S127">
        <v>56</v>
      </c>
      <c r="T127">
        <v>2</v>
      </c>
    </row>
    <row r="128" spans="1:20" ht="45" hidden="1" x14ac:dyDescent="0.25">
      <c r="A128" t="s">
        <v>1089</v>
      </c>
      <c r="B128">
        <v>1</v>
      </c>
      <c r="C128" s="2" t="s">
        <v>1090</v>
      </c>
      <c r="D128" s="3">
        <v>19920</v>
      </c>
      <c r="E128" s="4">
        <v>20</v>
      </c>
      <c r="F128" t="s">
        <v>103</v>
      </c>
      <c r="G128" s="3">
        <f t="shared" si="5"/>
        <v>24900</v>
      </c>
      <c r="H128" s="3">
        <v>0</v>
      </c>
      <c r="I128" s="3">
        <f t="shared" si="6"/>
        <v>24900</v>
      </c>
      <c r="J128" s="2" t="s">
        <v>27</v>
      </c>
      <c r="K128" s="5">
        <v>46253.583333333343</v>
      </c>
      <c r="L128">
        <v>2</v>
      </c>
      <c r="M128" s="3">
        <f t="shared" si="7"/>
        <v>12450</v>
      </c>
      <c r="N128" t="str">
        <f t="shared" si="8"/>
        <v>ставка</v>
      </c>
      <c r="O128" s="3">
        <f t="shared" si="9"/>
        <v>488.24</v>
      </c>
      <c r="P128" s="5">
        <v>46255.5</v>
      </c>
      <c r="Q128" t="s">
        <v>103</v>
      </c>
      <c r="R128" s="2" t="s">
        <v>87</v>
      </c>
      <c r="S128">
        <v>50</v>
      </c>
      <c r="T128">
        <v>2</v>
      </c>
    </row>
    <row r="129" spans="1:20" ht="30" x14ac:dyDescent="0.25">
      <c r="A129" t="s">
        <v>1188</v>
      </c>
      <c r="B129">
        <v>1</v>
      </c>
      <c r="C129" s="2" t="s">
        <v>1189</v>
      </c>
      <c r="D129" s="3">
        <v>27240</v>
      </c>
      <c r="E129" s="4">
        <v>20</v>
      </c>
      <c r="F129" t="s">
        <v>103</v>
      </c>
      <c r="G129" s="3">
        <f t="shared" si="5"/>
        <v>34050</v>
      </c>
      <c r="H129" s="3">
        <v>0</v>
      </c>
      <c r="I129" s="3">
        <f t="shared" si="6"/>
        <v>34050</v>
      </c>
      <c r="J129" s="2" t="s">
        <v>27</v>
      </c>
      <c r="K129" s="5">
        <v>46279.583333333343</v>
      </c>
      <c r="L129">
        <v>3</v>
      </c>
      <c r="M129" s="21">
        <f t="shared" si="7"/>
        <v>11350</v>
      </c>
      <c r="N129" t="str">
        <f t="shared" si="8"/>
        <v>ставка</v>
      </c>
      <c r="O129" s="3">
        <f t="shared" si="9"/>
        <v>667.65</v>
      </c>
      <c r="P129" s="5">
        <v>46282.5</v>
      </c>
      <c r="Q129" t="s">
        <v>103</v>
      </c>
      <c r="R129" s="2" t="s">
        <v>40</v>
      </c>
      <c r="S129">
        <v>55</v>
      </c>
      <c r="T129">
        <v>2</v>
      </c>
    </row>
    <row r="130" spans="1:20" ht="30" x14ac:dyDescent="0.25">
      <c r="A130" t="s">
        <v>1201</v>
      </c>
      <c r="B130">
        <v>1</v>
      </c>
      <c r="C130" s="2" t="s">
        <v>1202</v>
      </c>
      <c r="D130" s="3">
        <v>36960</v>
      </c>
      <c r="E130" s="4">
        <v>20</v>
      </c>
      <c r="F130" t="s">
        <v>103</v>
      </c>
      <c r="G130" s="3">
        <f t="shared" ref="G130:G193" si="10">ROUND(D130/(100-E130)*100,2)</f>
        <v>46200</v>
      </c>
      <c r="H130" s="3">
        <v>800</v>
      </c>
      <c r="I130" s="3">
        <f t="shared" ref="I130:I193" si="11">ROUND(G130+H130,2)</f>
        <v>47000</v>
      </c>
      <c r="J130" s="2" t="s">
        <v>1203</v>
      </c>
      <c r="K130" s="5">
        <v>46216.583333333343</v>
      </c>
      <c r="L130">
        <v>3</v>
      </c>
      <c r="M130" s="21">
        <f t="shared" ref="M130:M193" si="12">I130/L130</f>
        <v>15666.666666666666</v>
      </c>
      <c r="N130" t="str">
        <f t="shared" ref="N130:N193" si="13">IF(M130&gt;=5100,"ставка","мин.ставка")</f>
        <v>ставка</v>
      </c>
      <c r="O130" s="3">
        <f t="shared" ref="O130:O193" si="14">ROUND(IF(N130="мин.ставка",L130*100,I130/102*2),2)</f>
        <v>921.57</v>
      </c>
      <c r="P130" s="5">
        <v>46219.5</v>
      </c>
      <c r="Q130" t="s">
        <v>103</v>
      </c>
      <c r="R130" s="2" t="s">
        <v>24</v>
      </c>
      <c r="S130">
        <v>56</v>
      </c>
      <c r="T130">
        <v>2</v>
      </c>
    </row>
    <row r="131" spans="1:20" ht="45" x14ac:dyDescent="0.25">
      <c r="A131" t="s">
        <v>1431</v>
      </c>
      <c r="B131">
        <v>1</v>
      </c>
      <c r="C131" s="2" t="s">
        <v>1432</v>
      </c>
      <c r="D131" s="3">
        <v>16560</v>
      </c>
      <c r="E131" s="4">
        <v>20</v>
      </c>
      <c r="F131" t="s">
        <v>103</v>
      </c>
      <c r="G131" s="3">
        <f t="shared" si="10"/>
        <v>20700</v>
      </c>
      <c r="H131" s="3">
        <v>0</v>
      </c>
      <c r="I131" s="3">
        <f t="shared" si="11"/>
        <v>20700</v>
      </c>
      <c r="J131" s="2" t="s">
        <v>27</v>
      </c>
      <c r="K131" s="5">
        <v>46204.583333333343</v>
      </c>
      <c r="L131">
        <v>2</v>
      </c>
      <c r="M131" s="21">
        <f t="shared" si="12"/>
        <v>10350</v>
      </c>
      <c r="N131" t="str">
        <f t="shared" si="13"/>
        <v>ставка</v>
      </c>
      <c r="O131" s="3">
        <f t="shared" si="14"/>
        <v>405.88</v>
      </c>
      <c r="P131" s="5">
        <v>46206.5</v>
      </c>
      <c r="Q131" t="s">
        <v>103</v>
      </c>
      <c r="R131" s="2" t="s">
        <v>87</v>
      </c>
      <c r="S131">
        <v>50</v>
      </c>
      <c r="T131">
        <v>2</v>
      </c>
    </row>
    <row r="132" spans="1:20" ht="45" hidden="1" x14ac:dyDescent="0.25">
      <c r="A132" t="s">
        <v>1435</v>
      </c>
      <c r="B132">
        <v>1</v>
      </c>
      <c r="C132" s="2" t="s">
        <v>1436</v>
      </c>
      <c r="D132" s="3">
        <v>37920</v>
      </c>
      <c r="E132" s="4">
        <v>20</v>
      </c>
      <c r="F132" t="s">
        <v>103</v>
      </c>
      <c r="G132" s="3">
        <f t="shared" si="10"/>
        <v>47400</v>
      </c>
      <c r="H132" s="3">
        <v>6000</v>
      </c>
      <c r="I132" s="3">
        <f t="shared" si="11"/>
        <v>53400</v>
      </c>
      <c r="J132" s="2" t="s">
        <v>1134</v>
      </c>
      <c r="K132" s="5">
        <v>46224.583333333343</v>
      </c>
      <c r="L132">
        <v>3</v>
      </c>
      <c r="M132" s="3">
        <f t="shared" si="12"/>
        <v>17800</v>
      </c>
      <c r="N132" t="str">
        <f t="shared" si="13"/>
        <v>ставка</v>
      </c>
      <c r="O132" s="3">
        <f t="shared" si="14"/>
        <v>1047.06</v>
      </c>
      <c r="P132" s="5">
        <v>46227.5</v>
      </c>
      <c r="Q132" t="s">
        <v>103</v>
      </c>
      <c r="R132" s="2" t="s">
        <v>45</v>
      </c>
      <c r="S132">
        <v>57</v>
      </c>
      <c r="T132">
        <v>2</v>
      </c>
    </row>
    <row r="133" spans="1:20" ht="30" x14ac:dyDescent="0.25">
      <c r="A133" t="s">
        <v>1580</v>
      </c>
      <c r="B133">
        <v>1</v>
      </c>
      <c r="C133" s="2" t="s">
        <v>1581</v>
      </c>
      <c r="D133" s="3">
        <v>64080</v>
      </c>
      <c r="E133" s="4">
        <v>20</v>
      </c>
      <c r="F133" t="s">
        <v>103</v>
      </c>
      <c r="G133" s="3">
        <f t="shared" si="10"/>
        <v>80100</v>
      </c>
      <c r="H133" s="3">
        <v>0</v>
      </c>
      <c r="I133" s="3">
        <f t="shared" si="11"/>
        <v>80100</v>
      </c>
      <c r="J133" s="2" t="s">
        <v>27</v>
      </c>
      <c r="K133" s="5">
        <v>46205.583333333343</v>
      </c>
      <c r="L133">
        <v>6</v>
      </c>
      <c r="M133" s="21">
        <f t="shared" si="12"/>
        <v>13350</v>
      </c>
      <c r="N133" t="str">
        <f t="shared" si="13"/>
        <v>ставка</v>
      </c>
      <c r="O133" s="3">
        <f t="shared" si="14"/>
        <v>1570.59</v>
      </c>
      <c r="P133" s="5">
        <v>46211.5</v>
      </c>
      <c r="Q133" t="s">
        <v>103</v>
      </c>
      <c r="R133" s="2" t="s">
        <v>40</v>
      </c>
      <c r="S133">
        <v>52</v>
      </c>
      <c r="T133">
        <v>2</v>
      </c>
    </row>
    <row r="134" spans="1:20" ht="30" x14ac:dyDescent="0.25">
      <c r="A134" t="s">
        <v>145</v>
      </c>
      <c r="B134">
        <v>1</v>
      </c>
      <c r="C134" s="2" t="s">
        <v>146</v>
      </c>
      <c r="D134" s="3">
        <v>9307</v>
      </c>
      <c r="E134" s="4">
        <v>18</v>
      </c>
      <c r="F134" t="s">
        <v>147</v>
      </c>
      <c r="G134" s="3">
        <f t="shared" si="10"/>
        <v>11350</v>
      </c>
      <c r="H134" s="3">
        <v>0</v>
      </c>
      <c r="I134" s="3">
        <f t="shared" si="11"/>
        <v>11350</v>
      </c>
      <c r="J134" s="2" t="s">
        <v>27</v>
      </c>
      <c r="K134" s="5">
        <v>46245.583333333343</v>
      </c>
      <c r="L134">
        <v>1</v>
      </c>
      <c r="M134" s="21">
        <f t="shared" si="12"/>
        <v>11350</v>
      </c>
      <c r="N134" t="str">
        <f t="shared" si="13"/>
        <v>ставка</v>
      </c>
      <c r="O134" s="3">
        <f t="shared" si="14"/>
        <v>222.55</v>
      </c>
      <c r="P134" s="5">
        <v>46246.5</v>
      </c>
      <c r="Q134" t="s">
        <v>147</v>
      </c>
      <c r="R134" s="2" t="s">
        <v>40</v>
      </c>
      <c r="S134">
        <v>52</v>
      </c>
      <c r="T134">
        <v>2</v>
      </c>
    </row>
    <row r="135" spans="1:20" ht="30" x14ac:dyDescent="0.25">
      <c r="A135" t="s">
        <v>216</v>
      </c>
      <c r="B135">
        <v>1</v>
      </c>
      <c r="C135" s="2" t="s">
        <v>217</v>
      </c>
      <c r="D135" s="3">
        <v>27921</v>
      </c>
      <c r="E135" s="4">
        <v>18</v>
      </c>
      <c r="F135" t="s">
        <v>147</v>
      </c>
      <c r="G135" s="3">
        <f t="shared" si="10"/>
        <v>34050</v>
      </c>
      <c r="H135" s="3">
        <v>0</v>
      </c>
      <c r="I135" s="3">
        <f t="shared" si="11"/>
        <v>34050</v>
      </c>
      <c r="J135" s="2" t="s">
        <v>27</v>
      </c>
      <c r="K135" s="5">
        <v>46293.583333333343</v>
      </c>
      <c r="L135">
        <v>3</v>
      </c>
      <c r="M135" s="21">
        <f t="shared" si="12"/>
        <v>11350</v>
      </c>
      <c r="N135" t="str">
        <f t="shared" si="13"/>
        <v>ставка</v>
      </c>
      <c r="O135" s="3">
        <f t="shared" si="14"/>
        <v>667.65</v>
      </c>
      <c r="P135" s="5">
        <v>46296.5</v>
      </c>
      <c r="Q135" t="s">
        <v>147</v>
      </c>
      <c r="R135" s="2" t="s">
        <v>40</v>
      </c>
      <c r="S135">
        <v>58</v>
      </c>
      <c r="T135">
        <v>2</v>
      </c>
    </row>
    <row r="136" spans="1:20" ht="45" x14ac:dyDescent="0.25">
      <c r="A136" t="s">
        <v>861</v>
      </c>
      <c r="B136">
        <v>1</v>
      </c>
      <c r="C136" s="2" t="s">
        <v>862</v>
      </c>
      <c r="D136" s="3">
        <v>7298</v>
      </c>
      <c r="E136" s="4">
        <v>18</v>
      </c>
      <c r="F136" t="s">
        <v>147</v>
      </c>
      <c r="G136" s="3">
        <f t="shared" si="10"/>
        <v>8900</v>
      </c>
      <c r="H136" s="3">
        <v>0</v>
      </c>
      <c r="I136" s="3">
        <f t="shared" si="11"/>
        <v>8900</v>
      </c>
      <c r="J136" s="2" t="s">
        <v>27</v>
      </c>
      <c r="K136" s="5">
        <v>46225.583333333343</v>
      </c>
      <c r="L136">
        <v>1</v>
      </c>
      <c r="M136" s="21">
        <f t="shared" si="12"/>
        <v>8900</v>
      </c>
      <c r="N136" t="str">
        <f t="shared" si="13"/>
        <v>ставка</v>
      </c>
      <c r="O136" s="3">
        <f t="shared" si="14"/>
        <v>174.51</v>
      </c>
      <c r="P136" s="5">
        <v>46226.5</v>
      </c>
      <c r="Q136" t="s">
        <v>147</v>
      </c>
      <c r="R136" s="2" t="s">
        <v>87</v>
      </c>
      <c r="S136">
        <v>51</v>
      </c>
      <c r="T136">
        <v>2</v>
      </c>
    </row>
    <row r="137" spans="1:20" ht="30" x14ac:dyDescent="0.25">
      <c r="A137" t="s">
        <v>911</v>
      </c>
      <c r="B137">
        <v>1</v>
      </c>
      <c r="C137" s="2" t="s">
        <v>912</v>
      </c>
      <c r="D137" s="3">
        <v>27921</v>
      </c>
      <c r="E137" s="4">
        <v>18</v>
      </c>
      <c r="F137" t="s">
        <v>147</v>
      </c>
      <c r="G137" s="3">
        <f t="shared" si="10"/>
        <v>34050</v>
      </c>
      <c r="H137" s="3">
        <v>0</v>
      </c>
      <c r="I137" s="3">
        <f t="shared" si="11"/>
        <v>34050</v>
      </c>
      <c r="J137" s="2" t="s">
        <v>27</v>
      </c>
      <c r="K137" s="5">
        <v>46267.583333333343</v>
      </c>
      <c r="L137">
        <v>3</v>
      </c>
      <c r="M137" s="21">
        <f t="shared" si="12"/>
        <v>11350</v>
      </c>
      <c r="N137" t="str">
        <f t="shared" si="13"/>
        <v>ставка</v>
      </c>
      <c r="O137" s="3">
        <f t="shared" si="14"/>
        <v>667.65</v>
      </c>
      <c r="P137" s="5">
        <v>46270.5</v>
      </c>
      <c r="Q137" t="s">
        <v>147</v>
      </c>
      <c r="R137" s="2" t="s">
        <v>40</v>
      </c>
      <c r="S137">
        <v>55</v>
      </c>
      <c r="T137">
        <v>2</v>
      </c>
    </row>
    <row r="138" spans="1:20" ht="30" hidden="1" x14ac:dyDescent="0.25">
      <c r="A138" t="s">
        <v>966</v>
      </c>
      <c r="B138">
        <v>1</v>
      </c>
      <c r="C138" s="2" t="s">
        <v>967</v>
      </c>
      <c r="D138" s="3">
        <v>32964</v>
      </c>
      <c r="E138" s="4">
        <v>18</v>
      </c>
      <c r="F138" t="s">
        <v>147</v>
      </c>
      <c r="G138" s="3">
        <f t="shared" si="10"/>
        <v>40200</v>
      </c>
      <c r="H138" s="3">
        <v>0</v>
      </c>
      <c r="I138" s="3">
        <f t="shared" si="11"/>
        <v>40200</v>
      </c>
      <c r="J138" s="2" t="s">
        <v>27</v>
      </c>
      <c r="K138" s="5">
        <v>46238.583333333343</v>
      </c>
      <c r="L138">
        <v>3</v>
      </c>
      <c r="M138" s="3">
        <f t="shared" si="12"/>
        <v>13400</v>
      </c>
      <c r="N138" t="str">
        <f t="shared" si="13"/>
        <v>ставка</v>
      </c>
      <c r="O138" s="3">
        <f t="shared" si="14"/>
        <v>788.24</v>
      </c>
      <c r="P138" s="5">
        <v>46241.5</v>
      </c>
      <c r="Q138" t="s">
        <v>147</v>
      </c>
      <c r="R138" s="2" t="s">
        <v>24</v>
      </c>
      <c r="S138">
        <v>59</v>
      </c>
      <c r="T138">
        <v>2</v>
      </c>
    </row>
    <row r="139" spans="1:20" ht="45" hidden="1" x14ac:dyDescent="0.25">
      <c r="A139" t="s">
        <v>1079</v>
      </c>
      <c r="B139">
        <v>1</v>
      </c>
      <c r="C139" s="2" t="s">
        <v>1080</v>
      </c>
      <c r="D139" s="3">
        <v>30627</v>
      </c>
      <c r="E139" s="4">
        <v>18</v>
      </c>
      <c r="F139" t="s">
        <v>147</v>
      </c>
      <c r="G139" s="3">
        <f t="shared" si="10"/>
        <v>37350</v>
      </c>
      <c r="H139" s="3">
        <v>0</v>
      </c>
      <c r="I139" s="3">
        <f t="shared" si="11"/>
        <v>37350</v>
      </c>
      <c r="J139" s="2" t="s">
        <v>27</v>
      </c>
      <c r="K139" s="5">
        <v>46272.583333333343</v>
      </c>
      <c r="L139">
        <v>3</v>
      </c>
      <c r="M139" s="3">
        <f t="shared" si="12"/>
        <v>12450</v>
      </c>
      <c r="N139" t="str">
        <f t="shared" si="13"/>
        <v>ставка</v>
      </c>
      <c r="O139" s="3">
        <f t="shared" si="14"/>
        <v>732.35</v>
      </c>
      <c r="P139" s="5">
        <v>46275.5</v>
      </c>
      <c r="Q139" t="s">
        <v>147</v>
      </c>
      <c r="R139" s="2" t="s">
        <v>87</v>
      </c>
      <c r="S139">
        <v>51</v>
      </c>
      <c r="T139">
        <v>2</v>
      </c>
    </row>
    <row r="140" spans="1:20" ht="30" x14ac:dyDescent="0.25">
      <c r="A140" t="s">
        <v>1411</v>
      </c>
      <c r="B140">
        <v>1</v>
      </c>
      <c r="C140" s="2" t="s">
        <v>1412</v>
      </c>
      <c r="D140" s="3">
        <v>27921</v>
      </c>
      <c r="E140" s="4">
        <v>18</v>
      </c>
      <c r="F140" t="s">
        <v>147</v>
      </c>
      <c r="G140" s="3">
        <f t="shared" si="10"/>
        <v>34050</v>
      </c>
      <c r="H140" s="3">
        <v>0</v>
      </c>
      <c r="I140" s="3">
        <f t="shared" si="11"/>
        <v>34050</v>
      </c>
      <c r="J140" s="2" t="s">
        <v>27</v>
      </c>
      <c r="K140" s="5">
        <v>46280.583333333343</v>
      </c>
      <c r="L140">
        <v>3</v>
      </c>
      <c r="M140" s="21">
        <f t="shared" si="12"/>
        <v>11350</v>
      </c>
      <c r="N140" t="str">
        <f t="shared" si="13"/>
        <v>ставка</v>
      </c>
      <c r="O140" s="3">
        <f t="shared" si="14"/>
        <v>667.65</v>
      </c>
      <c r="P140" s="5">
        <v>46283.5</v>
      </c>
      <c r="Q140" t="s">
        <v>147</v>
      </c>
      <c r="R140" s="2" t="s">
        <v>40</v>
      </c>
      <c r="S140">
        <v>58</v>
      </c>
      <c r="T140">
        <v>2</v>
      </c>
    </row>
    <row r="141" spans="1:20" ht="45" hidden="1" x14ac:dyDescent="0.25">
      <c r="A141" t="s">
        <v>1447</v>
      </c>
      <c r="B141">
        <v>1</v>
      </c>
      <c r="C141" s="2" t="s">
        <v>1448</v>
      </c>
      <c r="D141" s="3">
        <v>30627</v>
      </c>
      <c r="E141" s="4">
        <v>18</v>
      </c>
      <c r="F141" t="s">
        <v>147</v>
      </c>
      <c r="G141" s="3">
        <f t="shared" si="10"/>
        <v>37350</v>
      </c>
      <c r="H141" s="3">
        <v>6000</v>
      </c>
      <c r="I141" s="3">
        <f t="shared" si="11"/>
        <v>43350</v>
      </c>
      <c r="J141" s="2" t="s">
        <v>1134</v>
      </c>
      <c r="K141" s="5">
        <v>46275.583333333343</v>
      </c>
      <c r="L141">
        <v>3</v>
      </c>
      <c r="M141" s="3">
        <f t="shared" si="12"/>
        <v>14450</v>
      </c>
      <c r="N141" t="str">
        <f t="shared" si="13"/>
        <v>ставка</v>
      </c>
      <c r="O141" s="3">
        <f t="shared" si="14"/>
        <v>850</v>
      </c>
      <c r="P141" s="5">
        <v>46278.5</v>
      </c>
      <c r="Q141" t="s">
        <v>147</v>
      </c>
      <c r="R141" s="2" t="s">
        <v>87</v>
      </c>
      <c r="S141">
        <v>51</v>
      </c>
      <c r="T141">
        <v>2</v>
      </c>
    </row>
    <row r="142" spans="1:20" ht="30" x14ac:dyDescent="0.25">
      <c r="A142" t="s">
        <v>1523</v>
      </c>
      <c r="B142">
        <v>1</v>
      </c>
      <c r="C142" s="2" t="s">
        <v>1524</v>
      </c>
      <c r="D142" s="3">
        <v>7298</v>
      </c>
      <c r="E142" s="4">
        <v>18</v>
      </c>
      <c r="F142" t="s">
        <v>147</v>
      </c>
      <c r="G142" s="3">
        <f t="shared" si="10"/>
        <v>8900</v>
      </c>
      <c r="H142" s="3">
        <v>0</v>
      </c>
      <c r="I142" s="3">
        <f t="shared" si="11"/>
        <v>8900</v>
      </c>
      <c r="J142" s="2" t="s">
        <v>27</v>
      </c>
      <c r="K142" s="5">
        <v>46231.583333333343</v>
      </c>
      <c r="L142">
        <v>1</v>
      </c>
      <c r="M142" s="21">
        <f t="shared" si="12"/>
        <v>8900</v>
      </c>
      <c r="N142" t="str">
        <f t="shared" si="13"/>
        <v>ставка</v>
      </c>
      <c r="O142" s="3">
        <f t="shared" si="14"/>
        <v>174.51</v>
      </c>
      <c r="P142" s="5">
        <v>46232.5</v>
      </c>
      <c r="Q142" t="s">
        <v>147</v>
      </c>
      <c r="R142" s="2" t="s">
        <v>40</v>
      </c>
      <c r="S142">
        <v>52</v>
      </c>
      <c r="T142">
        <v>2</v>
      </c>
    </row>
    <row r="143" spans="1:20" ht="30" hidden="1" x14ac:dyDescent="0.25">
      <c r="A143" t="s">
        <v>1584</v>
      </c>
      <c r="B143">
        <v>1</v>
      </c>
      <c r="C143" s="2" t="s">
        <v>1585</v>
      </c>
      <c r="D143" s="3">
        <v>21976</v>
      </c>
      <c r="E143" s="4">
        <v>18</v>
      </c>
      <c r="F143" t="s">
        <v>147</v>
      </c>
      <c r="G143" s="3">
        <f t="shared" si="10"/>
        <v>26800</v>
      </c>
      <c r="H143" s="3">
        <v>0</v>
      </c>
      <c r="I143" s="3">
        <f t="shared" si="11"/>
        <v>26800</v>
      </c>
      <c r="J143" s="2" t="s">
        <v>27</v>
      </c>
      <c r="K143" s="5">
        <v>46280.583333333343</v>
      </c>
      <c r="L143">
        <v>2</v>
      </c>
      <c r="M143" s="3">
        <f t="shared" si="12"/>
        <v>13400</v>
      </c>
      <c r="N143" t="str">
        <f t="shared" si="13"/>
        <v>ставка</v>
      </c>
      <c r="O143" s="3">
        <f t="shared" si="14"/>
        <v>525.49</v>
      </c>
      <c r="P143" s="5">
        <v>46282.5</v>
      </c>
      <c r="Q143" t="s">
        <v>147</v>
      </c>
      <c r="R143" s="2" t="s">
        <v>24</v>
      </c>
      <c r="S143">
        <v>59</v>
      </c>
      <c r="T143">
        <v>2</v>
      </c>
    </row>
    <row r="144" spans="1:20" ht="45" hidden="1" x14ac:dyDescent="0.25">
      <c r="A144" t="s">
        <v>1659</v>
      </c>
      <c r="B144">
        <v>1</v>
      </c>
      <c r="C144" s="2" t="s">
        <v>1660</v>
      </c>
      <c r="D144" s="3">
        <v>21976</v>
      </c>
      <c r="E144" s="4">
        <v>18</v>
      </c>
      <c r="F144" t="s">
        <v>147</v>
      </c>
      <c r="G144" s="3">
        <f t="shared" si="10"/>
        <v>26800</v>
      </c>
      <c r="H144" s="3">
        <v>4000</v>
      </c>
      <c r="I144" s="3">
        <f t="shared" si="11"/>
        <v>30800</v>
      </c>
      <c r="J144" s="2" t="s">
        <v>563</v>
      </c>
      <c r="K144" s="5">
        <v>46253.583333333343</v>
      </c>
      <c r="L144">
        <v>2</v>
      </c>
      <c r="M144" s="3">
        <f t="shared" si="12"/>
        <v>15400</v>
      </c>
      <c r="N144" t="str">
        <f t="shared" si="13"/>
        <v>ставка</v>
      </c>
      <c r="O144" s="3">
        <f t="shared" si="14"/>
        <v>603.91999999999996</v>
      </c>
      <c r="P144" s="5">
        <v>46255.5</v>
      </c>
      <c r="Q144" t="s">
        <v>147</v>
      </c>
      <c r="R144" s="2" t="s">
        <v>24</v>
      </c>
      <c r="S144">
        <v>56</v>
      </c>
      <c r="T144">
        <v>2</v>
      </c>
    </row>
    <row r="145" spans="1:20" ht="45" x14ac:dyDescent="0.25">
      <c r="A145" t="s">
        <v>1766</v>
      </c>
      <c r="B145">
        <v>1</v>
      </c>
      <c r="C145" s="2" t="s">
        <v>1767</v>
      </c>
      <c r="D145" s="3">
        <v>14596</v>
      </c>
      <c r="E145" s="4">
        <v>18</v>
      </c>
      <c r="F145" t="s">
        <v>147</v>
      </c>
      <c r="G145" s="3">
        <f t="shared" si="10"/>
        <v>17800</v>
      </c>
      <c r="H145" s="3">
        <v>2000</v>
      </c>
      <c r="I145" s="3">
        <f t="shared" si="11"/>
        <v>19800</v>
      </c>
      <c r="J145" s="2" t="s">
        <v>1654</v>
      </c>
      <c r="K145" s="5">
        <v>46216.583333333343</v>
      </c>
      <c r="L145">
        <v>2</v>
      </c>
      <c r="M145" s="21">
        <f t="shared" si="12"/>
        <v>9900</v>
      </c>
      <c r="N145" t="str">
        <f t="shared" si="13"/>
        <v>ставка</v>
      </c>
      <c r="O145" s="3">
        <f t="shared" si="14"/>
        <v>388.24</v>
      </c>
      <c r="P145" s="5">
        <v>46218.5</v>
      </c>
      <c r="Q145" t="s">
        <v>147</v>
      </c>
      <c r="R145" s="2" t="s">
        <v>87</v>
      </c>
      <c r="S145">
        <v>51</v>
      </c>
      <c r="T145">
        <v>2</v>
      </c>
    </row>
    <row r="146" spans="1:20" ht="45" x14ac:dyDescent="0.25">
      <c r="A146" t="s">
        <v>1802</v>
      </c>
      <c r="B146">
        <v>1</v>
      </c>
      <c r="C146" s="2" t="s">
        <v>1803</v>
      </c>
      <c r="D146" s="3">
        <v>24805</v>
      </c>
      <c r="E146" s="4">
        <v>18</v>
      </c>
      <c r="F146" t="s">
        <v>147</v>
      </c>
      <c r="G146" s="3">
        <f t="shared" si="10"/>
        <v>30250</v>
      </c>
      <c r="H146" s="3">
        <v>6000</v>
      </c>
      <c r="I146" s="3">
        <f t="shared" si="11"/>
        <v>36250</v>
      </c>
      <c r="J146" s="2" t="s">
        <v>1134</v>
      </c>
      <c r="K146" s="5">
        <v>46228.583333333343</v>
      </c>
      <c r="L146">
        <v>3</v>
      </c>
      <c r="M146" s="21">
        <f t="shared" si="12"/>
        <v>12083.333333333334</v>
      </c>
      <c r="N146" t="str">
        <f t="shared" si="13"/>
        <v>ставка</v>
      </c>
      <c r="O146" s="3">
        <f t="shared" si="14"/>
        <v>710.78</v>
      </c>
      <c r="P146" s="5">
        <v>46231.5</v>
      </c>
      <c r="Q146" t="s">
        <v>147</v>
      </c>
      <c r="R146" s="2" t="s">
        <v>87</v>
      </c>
      <c r="S146">
        <v>51</v>
      </c>
      <c r="T146">
        <v>2</v>
      </c>
    </row>
    <row r="147" spans="1:20" ht="30" x14ac:dyDescent="0.25">
      <c r="A147" t="s">
        <v>1877</v>
      </c>
      <c r="B147">
        <v>1</v>
      </c>
      <c r="C147" s="2" t="s">
        <v>1878</v>
      </c>
      <c r="D147" s="3">
        <v>27921</v>
      </c>
      <c r="E147" s="4">
        <v>18</v>
      </c>
      <c r="F147" t="s">
        <v>147</v>
      </c>
      <c r="G147" s="3">
        <f t="shared" si="10"/>
        <v>34050</v>
      </c>
      <c r="H147" s="3">
        <v>0</v>
      </c>
      <c r="I147" s="3">
        <f t="shared" si="11"/>
        <v>34050</v>
      </c>
      <c r="J147" s="2" t="s">
        <v>27</v>
      </c>
      <c r="K147" s="5">
        <v>46258.583333333343</v>
      </c>
      <c r="L147">
        <v>3</v>
      </c>
      <c r="M147" s="21">
        <f t="shared" si="12"/>
        <v>11350</v>
      </c>
      <c r="N147" t="str">
        <f t="shared" si="13"/>
        <v>ставка</v>
      </c>
      <c r="O147" s="3">
        <f t="shared" si="14"/>
        <v>667.65</v>
      </c>
      <c r="P147" s="5">
        <v>46261.5</v>
      </c>
      <c r="Q147" t="s">
        <v>147</v>
      </c>
      <c r="R147" s="2" t="s">
        <v>24</v>
      </c>
      <c r="S147">
        <v>56</v>
      </c>
      <c r="T147">
        <v>2</v>
      </c>
    </row>
    <row r="148" spans="1:20" hidden="1" x14ac:dyDescent="0.25">
      <c r="A148" t="s">
        <v>1669</v>
      </c>
      <c r="B148">
        <v>1</v>
      </c>
      <c r="C148" s="2" t="s">
        <v>1670</v>
      </c>
      <c r="D148" s="3">
        <v>12325</v>
      </c>
      <c r="E148" s="4">
        <v>15</v>
      </c>
      <c r="F148" t="s">
        <v>487</v>
      </c>
      <c r="G148" s="3">
        <f t="shared" si="10"/>
        <v>14500</v>
      </c>
      <c r="H148" s="3">
        <v>0</v>
      </c>
      <c r="I148" s="3">
        <f t="shared" si="11"/>
        <v>14500</v>
      </c>
      <c r="J148" s="2" t="s">
        <v>27</v>
      </c>
      <c r="K148" s="5">
        <v>46231.583333333343</v>
      </c>
      <c r="L148">
        <v>1</v>
      </c>
      <c r="M148" s="3">
        <f t="shared" si="12"/>
        <v>14500</v>
      </c>
      <c r="N148" t="str">
        <f t="shared" si="13"/>
        <v>ставка</v>
      </c>
      <c r="O148" s="3">
        <f t="shared" si="14"/>
        <v>284.31</v>
      </c>
      <c r="P148" s="5">
        <v>46232.5</v>
      </c>
      <c r="Q148" t="s">
        <v>487</v>
      </c>
      <c r="R148" s="2" t="s">
        <v>45</v>
      </c>
      <c r="S148">
        <v>53</v>
      </c>
      <c r="T148">
        <v>2</v>
      </c>
    </row>
    <row r="149" spans="1:20" ht="30" x14ac:dyDescent="0.25">
      <c r="A149" t="s">
        <v>1800</v>
      </c>
      <c r="B149">
        <v>1</v>
      </c>
      <c r="C149" s="2" t="s">
        <v>1801</v>
      </c>
      <c r="D149" s="3">
        <v>9647.5</v>
      </c>
      <c r="E149" s="4">
        <v>15</v>
      </c>
      <c r="F149" t="s">
        <v>487</v>
      </c>
      <c r="G149" s="3">
        <f t="shared" si="10"/>
        <v>11350</v>
      </c>
      <c r="H149" s="3">
        <v>0</v>
      </c>
      <c r="I149" s="3">
        <f t="shared" si="11"/>
        <v>11350</v>
      </c>
      <c r="J149" s="2" t="s">
        <v>27</v>
      </c>
      <c r="K149" s="5">
        <v>46246.583333333343</v>
      </c>
      <c r="L149">
        <v>1</v>
      </c>
      <c r="M149" s="21">
        <f t="shared" si="12"/>
        <v>11350</v>
      </c>
      <c r="N149" t="str">
        <f t="shared" si="13"/>
        <v>ставка</v>
      </c>
      <c r="O149" s="3">
        <f t="shared" si="14"/>
        <v>222.55</v>
      </c>
      <c r="P149" s="5">
        <v>46247.5</v>
      </c>
      <c r="Q149" t="s">
        <v>487</v>
      </c>
      <c r="R149" s="2" t="s">
        <v>40</v>
      </c>
      <c r="S149">
        <v>52</v>
      </c>
      <c r="T149">
        <v>2</v>
      </c>
    </row>
    <row r="150" spans="1:20" x14ac:dyDescent="0.25">
      <c r="A150" t="s">
        <v>530</v>
      </c>
      <c r="B150">
        <v>1</v>
      </c>
      <c r="C150" s="2" t="s">
        <v>531</v>
      </c>
      <c r="D150" s="3">
        <v>20000</v>
      </c>
      <c r="E150" s="4">
        <v>20</v>
      </c>
      <c r="F150" t="s">
        <v>173</v>
      </c>
      <c r="G150" s="3">
        <f t="shared" si="10"/>
        <v>25000</v>
      </c>
      <c r="H150" s="3">
        <v>0</v>
      </c>
      <c r="I150" s="3">
        <f t="shared" si="11"/>
        <v>25000</v>
      </c>
      <c r="J150" s="2"/>
      <c r="K150" s="5">
        <v>46276.583333333343</v>
      </c>
      <c r="L150">
        <v>2</v>
      </c>
      <c r="M150" s="21">
        <f t="shared" si="12"/>
        <v>12500</v>
      </c>
      <c r="N150" t="str">
        <f t="shared" si="13"/>
        <v>ставка</v>
      </c>
      <c r="O150" s="3">
        <f t="shared" si="14"/>
        <v>490.2</v>
      </c>
      <c r="P150" s="5">
        <v>46278.5</v>
      </c>
      <c r="Q150" t="s">
        <v>173</v>
      </c>
      <c r="R150" s="2" t="s">
        <v>45</v>
      </c>
      <c r="S150">
        <v>57</v>
      </c>
      <c r="T150">
        <v>2</v>
      </c>
    </row>
    <row r="151" spans="1:20" ht="45" x14ac:dyDescent="0.25">
      <c r="A151" t="s">
        <v>873</v>
      </c>
      <c r="B151">
        <v>1</v>
      </c>
      <c r="C151" s="2" t="s">
        <v>874</v>
      </c>
      <c r="D151" s="3">
        <v>20000</v>
      </c>
      <c r="E151" s="4">
        <v>20</v>
      </c>
      <c r="F151" t="s">
        <v>173</v>
      </c>
      <c r="G151" s="3">
        <f t="shared" si="10"/>
        <v>25000</v>
      </c>
      <c r="H151" s="3">
        <v>0</v>
      </c>
      <c r="I151" s="3">
        <f t="shared" si="11"/>
        <v>25000</v>
      </c>
      <c r="J151" s="2"/>
      <c r="K151" s="5">
        <v>46290.583333333343</v>
      </c>
      <c r="L151">
        <v>2</v>
      </c>
      <c r="M151" s="21">
        <f t="shared" si="12"/>
        <v>12500</v>
      </c>
      <c r="N151" t="str">
        <f t="shared" si="13"/>
        <v>ставка</v>
      </c>
      <c r="O151" s="3">
        <f t="shared" si="14"/>
        <v>490.2</v>
      </c>
      <c r="P151" s="5">
        <v>46292.5</v>
      </c>
      <c r="Q151" t="s">
        <v>173</v>
      </c>
      <c r="R151" s="2" t="s">
        <v>87</v>
      </c>
      <c r="S151">
        <v>50</v>
      </c>
      <c r="T151">
        <v>2</v>
      </c>
    </row>
    <row r="152" spans="1:20" ht="30" hidden="1" x14ac:dyDescent="0.25">
      <c r="A152" t="s">
        <v>1044</v>
      </c>
      <c r="B152">
        <v>1</v>
      </c>
      <c r="C152" s="2" t="s">
        <v>1045</v>
      </c>
      <c r="D152" s="3">
        <v>11600</v>
      </c>
      <c r="E152" s="4">
        <v>20</v>
      </c>
      <c r="F152" t="s">
        <v>173</v>
      </c>
      <c r="G152" s="3">
        <f t="shared" si="10"/>
        <v>14500</v>
      </c>
      <c r="H152" s="3">
        <v>0</v>
      </c>
      <c r="I152" s="3">
        <f t="shared" si="11"/>
        <v>14500</v>
      </c>
      <c r="J152" s="2"/>
      <c r="K152" s="5">
        <v>46275.583333333343</v>
      </c>
      <c r="L152">
        <v>1</v>
      </c>
      <c r="M152" s="3">
        <f t="shared" si="12"/>
        <v>14500</v>
      </c>
      <c r="N152" t="str">
        <f t="shared" si="13"/>
        <v>ставка</v>
      </c>
      <c r="O152" s="3">
        <f t="shared" si="14"/>
        <v>284.31</v>
      </c>
      <c r="P152" s="5">
        <v>46276.5</v>
      </c>
      <c r="Q152" t="s">
        <v>173</v>
      </c>
      <c r="R152" s="2" t="s">
        <v>45</v>
      </c>
      <c r="S152">
        <v>57</v>
      </c>
      <c r="T152">
        <v>2</v>
      </c>
    </row>
    <row r="153" spans="1:20" ht="30" hidden="1" x14ac:dyDescent="0.25">
      <c r="A153" t="s">
        <v>1231</v>
      </c>
      <c r="B153">
        <v>1</v>
      </c>
      <c r="C153" s="2" t="s">
        <v>1232</v>
      </c>
      <c r="D153" s="3">
        <v>24640</v>
      </c>
      <c r="E153" s="4">
        <v>20</v>
      </c>
      <c r="F153" t="s">
        <v>173</v>
      </c>
      <c r="G153" s="3">
        <f t="shared" si="10"/>
        <v>30800</v>
      </c>
      <c r="H153" s="3">
        <v>0</v>
      </c>
      <c r="I153" s="3">
        <f t="shared" si="11"/>
        <v>30800</v>
      </c>
      <c r="J153" s="2" t="s">
        <v>27</v>
      </c>
      <c r="K153" s="5">
        <v>46262.583333333343</v>
      </c>
      <c r="L153">
        <v>2</v>
      </c>
      <c r="M153" s="3">
        <f t="shared" si="12"/>
        <v>15400</v>
      </c>
      <c r="N153" t="str">
        <f t="shared" si="13"/>
        <v>ставка</v>
      </c>
      <c r="O153" s="3">
        <f t="shared" si="14"/>
        <v>603.91999999999996</v>
      </c>
      <c r="P153" s="5">
        <v>46264.5</v>
      </c>
      <c r="Q153" t="s">
        <v>173</v>
      </c>
      <c r="R153" s="2" t="s">
        <v>45</v>
      </c>
      <c r="S153">
        <v>54</v>
      </c>
      <c r="T153">
        <v>2</v>
      </c>
    </row>
    <row r="154" spans="1:20" ht="45" x14ac:dyDescent="0.25">
      <c r="A154" t="s">
        <v>1314</v>
      </c>
      <c r="B154">
        <v>1</v>
      </c>
      <c r="C154" s="2" t="s">
        <v>1315</v>
      </c>
      <c r="D154" s="3">
        <v>31000.5</v>
      </c>
      <c r="E154" s="4">
        <v>17</v>
      </c>
      <c r="F154" t="s">
        <v>173</v>
      </c>
      <c r="G154" s="3">
        <f t="shared" si="10"/>
        <v>37350</v>
      </c>
      <c r="H154" s="3">
        <v>0</v>
      </c>
      <c r="I154" s="3">
        <f t="shared" si="11"/>
        <v>37350</v>
      </c>
      <c r="J154" s="2" t="s">
        <v>27</v>
      </c>
      <c r="K154" s="5">
        <v>46240.583333333343</v>
      </c>
      <c r="L154">
        <v>3</v>
      </c>
      <c r="M154" s="21">
        <f t="shared" si="12"/>
        <v>12450</v>
      </c>
      <c r="N154" t="str">
        <f t="shared" si="13"/>
        <v>ставка</v>
      </c>
      <c r="O154" s="3">
        <f t="shared" si="14"/>
        <v>732.35</v>
      </c>
      <c r="P154" s="5">
        <v>46243.5</v>
      </c>
      <c r="Q154" t="s">
        <v>173</v>
      </c>
      <c r="R154" s="2" t="s">
        <v>87</v>
      </c>
      <c r="S154">
        <v>51</v>
      </c>
      <c r="T154">
        <v>2</v>
      </c>
    </row>
    <row r="155" spans="1:20" ht="30" x14ac:dyDescent="0.25">
      <c r="A155" t="s">
        <v>1683</v>
      </c>
      <c r="B155">
        <v>1</v>
      </c>
      <c r="C155" s="2" t="s">
        <v>1684</v>
      </c>
      <c r="D155" s="3">
        <v>21360</v>
      </c>
      <c r="E155" s="4">
        <v>20</v>
      </c>
      <c r="F155" t="s">
        <v>173</v>
      </c>
      <c r="G155" s="3">
        <f t="shared" si="10"/>
        <v>26700</v>
      </c>
      <c r="H155" s="3">
        <v>0</v>
      </c>
      <c r="I155" s="3">
        <f t="shared" si="11"/>
        <v>26700</v>
      </c>
      <c r="J155" s="2" t="s">
        <v>27</v>
      </c>
      <c r="K155" s="5">
        <v>46246.583333333343</v>
      </c>
      <c r="L155">
        <v>2</v>
      </c>
      <c r="M155" s="21">
        <f t="shared" si="12"/>
        <v>13350</v>
      </c>
      <c r="N155" t="str">
        <f t="shared" si="13"/>
        <v>ставка</v>
      </c>
      <c r="O155" s="3">
        <f t="shared" si="14"/>
        <v>523.53</v>
      </c>
      <c r="P155" s="5">
        <v>46248.5</v>
      </c>
      <c r="Q155" t="s">
        <v>173</v>
      </c>
      <c r="R155" s="2" t="s">
        <v>40</v>
      </c>
      <c r="S155">
        <v>58</v>
      </c>
      <c r="T155">
        <v>2</v>
      </c>
    </row>
    <row r="156" spans="1:20" ht="45" hidden="1" x14ac:dyDescent="0.25">
      <c r="A156" t="s">
        <v>1892</v>
      </c>
      <c r="B156">
        <v>1</v>
      </c>
      <c r="C156" s="2" t="s">
        <v>1891</v>
      </c>
      <c r="D156" s="3">
        <v>9960</v>
      </c>
      <c r="E156" s="4">
        <v>20</v>
      </c>
      <c r="F156" t="s">
        <v>173</v>
      </c>
      <c r="G156" s="3">
        <f t="shared" si="10"/>
        <v>12450</v>
      </c>
      <c r="H156" s="3">
        <v>0</v>
      </c>
      <c r="I156" s="3">
        <f t="shared" si="11"/>
        <v>12450</v>
      </c>
      <c r="J156" s="2" t="s">
        <v>27</v>
      </c>
      <c r="K156" s="5">
        <v>46249.583333333343</v>
      </c>
      <c r="L156">
        <v>1</v>
      </c>
      <c r="M156" s="3">
        <f t="shared" si="12"/>
        <v>12450</v>
      </c>
      <c r="N156" t="str">
        <f t="shared" si="13"/>
        <v>ставка</v>
      </c>
      <c r="O156" s="3">
        <f t="shared" si="14"/>
        <v>244.12</v>
      </c>
      <c r="P156" s="5">
        <v>46250.583333333343</v>
      </c>
      <c r="Q156" t="s">
        <v>173</v>
      </c>
      <c r="R156" s="2" t="s">
        <v>87</v>
      </c>
      <c r="S156">
        <v>51</v>
      </c>
      <c r="T156">
        <v>2</v>
      </c>
    </row>
    <row r="157" spans="1:20" ht="45" hidden="1" x14ac:dyDescent="0.25">
      <c r="A157" t="s">
        <v>1892</v>
      </c>
      <c r="B157">
        <v>1</v>
      </c>
      <c r="C157" s="2" t="s">
        <v>1891</v>
      </c>
      <c r="D157" s="3">
        <v>19920</v>
      </c>
      <c r="E157" s="4">
        <v>20</v>
      </c>
      <c r="F157" t="s">
        <v>173</v>
      </c>
      <c r="G157" s="3">
        <f t="shared" si="10"/>
        <v>24900</v>
      </c>
      <c r="H157" s="3">
        <v>0</v>
      </c>
      <c r="I157" s="3">
        <f t="shared" si="11"/>
        <v>24900</v>
      </c>
      <c r="J157" s="2" t="s">
        <v>27</v>
      </c>
      <c r="K157" s="5">
        <v>46250.583333333343</v>
      </c>
      <c r="L157">
        <v>2</v>
      </c>
      <c r="M157" s="3">
        <f t="shared" si="12"/>
        <v>12450</v>
      </c>
      <c r="N157" t="str">
        <f t="shared" si="13"/>
        <v>ставка</v>
      </c>
      <c r="O157" s="3">
        <f t="shared" si="14"/>
        <v>488.24</v>
      </c>
      <c r="P157" s="5">
        <v>46252.5</v>
      </c>
      <c r="Q157" t="s">
        <v>173</v>
      </c>
      <c r="R157" s="2" t="s">
        <v>87</v>
      </c>
      <c r="S157">
        <v>50</v>
      </c>
      <c r="T157">
        <v>2</v>
      </c>
    </row>
    <row r="158" spans="1:20" ht="30" hidden="1" x14ac:dyDescent="0.25">
      <c r="A158" t="s">
        <v>299</v>
      </c>
      <c r="B158">
        <v>1</v>
      </c>
      <c r="C158" s="2" t="s">
        <v>300</v>
      </c>
      <c r="D158" s="3">
        <v>12782</v>
      </c>
      <c r="E158" s="4">
        <v>17</v>
      </c>
      <c r="F158" t="s">
        <v>130</v>
      </c>
      <c r="G158" s="3">
        <f t="shared" si="10"/>
        <v>15400</v>
      </c>
      <c r="H158" s="3">
        <v>0</v>
      </c>
      <c r="I158" s="3">
        <f t="shared" si="11"/>
        <v>15400</v>
      </c>
      <c r="J158" s="2" t="s">
        <v>27</v>
      </c>
      <c r="K158" s="5">
        <v>46263.583333333343</v>
      </c>
      <c r="L158">
        <v>1</v>
      </c>
      <c r="M158" s="3">
        <f t="shared" si="12"/>
        <v>15400</v>
      </c>
      <c r="N158" t="str">
        <f t="shared" si="13"/>
        <v>ставка</v>
      </c>
      <c r="O158" s="3">
        <f t="shared" si="14"/>
        <v>301.95999999999998</v>
      </c>
      <c r="P158" s="5">
        <v>46264.5</v>
      </c>
      <c r="Q158" t="s">
        <v>130</v>
      </c>
      <c r="R158" s="2" t="s">
        <v>24</v>
      </c>
      <c r="S158">
        <v>56</v>
      </c>
      <c r="T158">
        <v>2</v>
      </c>
    </row>
    <row r="159" spans="1:20" ht="30" hidden="1" x14ac:dyDescent="0.25">
      <c r="A159" t="s">
        <v>401</v>
      </c>
      <c r="B159">
        <v>1</v>
      </c>
      <c r="C159" s="2" t="s">
        <v>402</v>
      </c>
      <c r="D159" s="3">
        <v>11122</v>
      </c>
      <c r="E159" s="4">
        <v>17</v>
      </c>
      <c r="F159" t="s">
        <v>130</v>
      </c>
      <c r="G159" s="3">
        <f t="shared" si="10"/>
        <v>13400</v>
      </c>
      <c r="H159" s="3">
        <v>0</v>
      </c>
      <c r="I159" s="3">
        <f t="shared" si="11"/>
        <v>13400</v>
      </c>
      <c r="J159" s="2" t="s">
        <v>27</v>
      </c>
      <c r="K159" s="5">
        <v>46284.583333333343</v>
      </c>
      <c r="L159">
        <v>1</v>
      </c>
      <c r="M159" s="3">
        <f t="shared" si="12"/>
        <v>13400</v>
      </c>
      <c r="N159" t="str">
        <f t="shared" si="13"/>
        <v>ставка</v>
      </c>
      <c r="O159" s="3">
        <f t="shared" si="14"/>
        <v>262.75</v>
      </c>
      <c r="P159" s="5">
        <v>46285.5</v>
      </c>
      <c r="Q159" t="s">
        <v>130</v>
      </c>
      <c r="R159" s="2" t="s">
        <v>24</v>
      </c>
      <c r="S159">
        <v>59</v>
      </c>
      <c r="T159">
        <v>2</v>
      </c>
    </row>
    <row r="160" spans="1:20" ht="30" hidden="1" x14ac:dyDescent="0.25">
      <c r="A160" t="s">
        <v>722</v>
      </c>
      <c r="B160">
        <v>1</v>
      </c>
      <c r="C160" s="2" t="s">
        <v>723</v>
      </c>
      <c r="D160" s="3">
        <v>29548</v>
      </c>
      <c r="E160" s="4">
        <v>17</v>
      </c>
      <c r="F160" t="s">
        <v>130</v>
      </c>
      <c r="G160" s="3">
        <f t="shared" si="10"/>
        <v>35600</v>
      </c>
      <c r="H160" s="3">
        <v>0</v>
      </c>
      <c r="I160" s="3">
        <f t="shared" si="11"/>
        <v>35600</v>
      </c>
      <c r="J160" s="2" t="s">
        <v>27</v>
      </c>
      <c r="K160" s="5">
        <v>46241.583333333343</v>
      </c>
      <c r="L160">
        <v>2</v>
      </c>
      <c r="M160" s="3">
        <f t="shared" si="12"/>
        <v>17800</v>
      </c>
      <c r="N160" t="str">
        <f t="shared" si="13"/>
        <v>ставка</v>
      </c>
      <c r="O160" s="3">
        <f t="shared" si="14"/>
        <v>698.04</v>
      </c>
      <c r="P160" s="5">
        <v>46243.5</v>
      </c>
      <c r="Q160" t="s">
        <v>130</v>
      </c>
      <c r="R160" s="2" t="s">
        <v>37</v>
      </c>
      <c r="S160">
        <v>57</v>
      </c>
      <c r="T160">
        <v>2</v>
      </c>
    </row>
    <row r="161" spans="1:20" ht="30" hidden="1" x14ac:dyDescent="0.25">
      <c r="A161" t="s">
        <v>835</v>
      </c>
      <c r="B161">
        <v>1</v>
      </c>
      <c r="C161" s="2" t="s">
        <v>836</v>
      </c>
      <c r="D161" s="3">
        <v>25564</v>
      </c>
      <c r="E161" s="4">
        <v>17</v>
      </c>
      <c r="F161" t="s">
        <v>130</v>
      </c>
      <c r="G161" s="3">
        <f t="shared" si="10"/>
        <v>30800</v>
      </c>
      <c r="H161" s="3">
        <v>0</v>
      </c>
      <c r="I161" s="3">
        <f t="shared" si="11"/>
        <v>30800</v>
      </c>
      <c r="J161" s="2" t="s">
        <v>27</v>
      </c>
      <c r="K161" s="5">
        <v>46219.583333333343</v>
      </c>
      <c r="L161">
        <v>2</v>
      </c>
      <c r="M161" s="3">
        <f t="shared" si="12"/>
        <v>15400</v>
      </c>
      <c r="N161" t="str">
        <f t="shared" si="13"/>
        <v>ставка</v>
      </c>
      <c r="O161" s="3">
        <f t="shared" si="14"/>
        <v>603.91999999999996</v>
      </c>
      <c r="P161" s="5">
        <v>46221.5</v>
      </c>
      <c r="Q161" t="s">
        <v>130</v>
      </c>
      <c r="R161" s="2" t="s">
        <v>24</v>
      </c>
      <c r="S161">
        <v>56</v>
      </c>
      <c r="T161">
        <v>2</v>
      </c>
    </row>
    <row r="162" spans="1:20" ht="30" hidden="1" x14ac:dyDescent="0.25">
      <c r="A162" t="s">
        <v>901</v>
      </c>
      <c r="B162">
        <v>1</v>
      </c>
      <c r="C162" s="2" t="s">
        <v>902</v>
      </c>
      <c r="D162" s="3">
        <v>89474</v>
      </c>
      <c r="E162" s="4">
        <v>17</v>
      </c>
      <c r="F162" t="s">
        <v>130</v>
      </c>
      <c r="G162" s="3">
        <f t="shared" si="10"/>
        <v>107800</v>
      </c>
      <c r="H162" s="3">
        <v>0</v>
      </c>
      <c r="I162" s="3">
        <f t="shared" si="11"/>
        <v>107800</v>
      </c>
      <c r="J162" s="2" t="s">
        <v>27</v>
      </c>
      <c r="K162" s="5">
        <v>46257.583333333343</v>
      </c>
      <c r="L162">
        <v>7</v>
      </c>
      <c r="M162" s="3">
        <f t="shared" si="12"/>
        <v>15400</v>
      </c>
      <c r="N162" t="str">
        <f t="shared" si="13"/>
        <v>ставка</v>
      </c>
      <c r="O162" s="3">
        <f t="shared" si="14"/>
        <v>2113.73</v>
      </c>
      <c r="P162" s="5">
        <v>46264.5</v>
      </c>
      <c r="Q162" t="s">
        <v>130</v>
      </c>
      <c r="R162" s="2" t="s">
        <v>24</v>
      </c>
      <c r="S162">
        <v>59</v>
      </c>
      <c r="T162">
        <v>2</v>
      </c>
    </row>
    <row r="163" spans="1:20" ht="30" x14ac:dyDescent="0.25">
      <c r="A163" t="s">
        <v>1217</v>
      </c>
      <c r="B163">
        <v>1</v>
      </c>
      <c r="C163" s="2" t="s">
        <v>1218</v>
      </c>
      <c r="D163" s="3">
        <v>33241.5</v>
      </c>
      <c r="E163" s="4">
        <v>17</v>
      </c>
      <c r="F163" t="s">
        <v>130</v>
      </c>
      <c r="G163" s="3">
        <f t="shared" si="10"/>
        <v>40050</v>
      </c>
      <c r="H163" s="3">
        <v>0</v>
      </c>
      <c r="I163" s="3">
        <f t="shared" si="11"/>
        <v>40050</v>
      </c>
      <c r="J163" s="2" t="s">
        <v>27</v>
      </c>
      <c r="K163" s="5">
        <v>46220.583333333343</v>
      </c>
      <c r="L163">
        <v>3</v>
      </c>
      <c r="M163" s="21">
        <f t="shared" si="12"/>
        <v>13350</v>
      </c>
      <c r="N163" t="str">
        <f t="shared" si="13"/>
        <v>ставка</v>
      </c>
      <c r="O163" s="3">
        <f t="shared" si="14"/>
        <v>785.29</v>
      </c>
      <c r="P163" s="5">
        <v>46223.5</v>
      </c>
      <c r="Q163" t="s">
        <v>130</v>
      </c>
      <c r="R163" s="2" t="s">
        <v>40</v>
      </c>
      <c r="S163">
        <v>55</v>
      </c>
      <c r="T163">
        <v>2</v>
      </c>
    </row>
    <row r="164" spans="1:20" ht="30" x14ac:dyDescent="0.25">
      <c r="A164" t="s">
        <v>1243</v>
      </c>
      <c r="B164">
        <v>1</v>
      </c>
      <c r="C164" s="2" t="s">
        <v>1244</v>
      </c>
      <c r="D164" s="3">
        <v>22161</v>
      </c>
      <c r="E164" s="4">
        <v>17</v>
      </c>
      <c r="F164" t="s">
        <v>130</v>
      </c>
      <c r="G164" s="3">
        <f t="shared" si="10"/>
        <v>26700</v>
      </c>
      <c r="H164" s="3">
        <v>0</v>
      </c>
      <c r="I164" s="3">
        <f t="shared" si="11"/>
        <v>26700</v>
      </c>
      <c r="J164" s="2" t="s">
        <v>27</v>
      </c>
      <c r="K164" s="5">
        <v>46272.583333333343</v>
      </c>
      <c r="L164">
        <v>2</v>
      </c>
      <c r="M164" s="21">
        <f t="shared" si="12"/>
        <v>13350</v>
      </c>
      <c r="N164" t="str">
        <f t="shared" si="13"/>
        <v>ставка</v>
      </c>
      <c r="O164" s="3">
        <f t="shared" si="14"/>
        <v>523.53</v>
      </c>
      <c r="P164" s="5">
        <v>46274.5</v>
      </c>
      <c r="Q164" t="s">
        <v>130</v>
      </c>
      <c r="R164" s="2" t="s">
        <v>45</v>
      </c>
      <c r="S164">
        <v>57</v>
      </c>
      <c r="T164">
        <v>2</v>
      </c>
    </row>
    <row r="165" spans="1:20" hidden="1" x14ac:dyDescent="0.25">
      <c r="A165" t="s">
        <v>1275</v>
      </c>
      <c r="B165">
        <v>1</v>
      </c>
      <c r="C165" s="2" t="s">
        <v>1276</v>
      </c>
      <c r="D165" s="3">
        <v>118192</v>
      </c>
      <c r="E165" s="4">
        <v>17</v>
      </c>
      <c r="F165" t="s">
        <v>130</v>
      </c>
      <c r="G165" s="3">
        <f t="shared" si="10"/>
        <v>142400</v>
      </c>
      <c r="H165" s="3">
        <v>0</v>
      </c>
      <c r="I165" s="3">
        <f t="shared" si="11"/>
        <v>142400</v>
      </c>
      <c r="J165" s="2" t="s">
        <v>27</v>
      </c>
      <c r="K165" s="5">
        <v>46280.583333333343</v>
      </c>
      <c r="L165">
        <v>8</v>
      </c>
      <c r="M165" s="3">
        <f t="shared" si="12"/>
        <v>17800</v>
      </c>
      <c r="N165" t="str">
        <f t="shared" si="13"/>
        <v>ставка</v>
      </c>
      <c r="O165" s="3">
        <f t="shared" si="14"/>
        <v>2792.16</v>
      </c>
      <c r="P165" s="5">
        <v>46288.5</v>
      </c>
      <c r="Q165" t="s">
        <v>130</v>
      </c>
      <c r="R165" s="2" t="s">
        <v>45</v>
      </c>
      <c r="S165">
        <v>57</v>
      </c>
      <c r="T165">
        <v>2</v>
      </c>
    </row>
    <row r="166" spans="1:20" ht="30" x14ac:dyDescent="0.25">
      <c r="A166" t="s">
        <v>1306</v>
      </c>
      <c r="B166">
        <v>1</v>
      </c>
      <c r="C166" s="2" t="s">
        <v>1307</v>
      </c>
      <c r="D166" s="3">
        <v>33241.5</v>
      </c>
      <c r="E166" s="4">
        <v>17</v>
      </c>
      <c r="F166" t="s">
        <v>130</v>
      </c>
      <c r="G166" s="3">
        <f t="shared" si="10"/>
        <v>40050</v>
      </c>
      <c r="H166" s="3">
        <v>0</v>
      </c>
      <c r="I166" s="3">
        <f t="shared" si="11"/>
        <v>40050</v>
      </c>
      <c r="J166" s="2" t="s">
        <v>27</v>
      </c>
      <c r="K166" s="5">
        <v>46205.583333333343</v>
      </c>
      <c r="L166">
        <v>3</v>
      </c>
      <c r="M166" s="21">
        <f t="shared" si="12"/>
        <v>13350</v>
      </c>
      <c r="N166" t="str">
        <f t="shared" si="13"/>
        <v>ставка</v>
      </c>
      <c r="O166" s="3">
        <f t="shared" si="14"/>
        <v>785.29</v>
      </c>
      <c r="P166" s="5">
        <v>46208.5</v>
      </c>
      <c r="Q166" t="s">
        <v>130</v>
      </c>
      <c r="R166" s="2" t="s">
        <v>40</v>
      </c>
      <c r="S166">
        <v>55</v>
      </c>
      <c r="T166">
        <v>2</v>
      </c>
    </row>
    <row r="167" spans="1:20" ht="45" x14ac:dyDescent="0.25">
      <c r="A167" t="s">
        <v>1342</v>
      </c>
      <c r="B167">
        <v>1</v>
      </c>
      <c r="C167" s="2" t="s">
        <v>1343</v>
      </c>
      <c r="D167" s="3">
        <v>14317.5</v>
      </c>
      <c r="E167" s="4">
        <v>17</v>
      </c>
      <c r="F167" t="s">
        <v>130</v>
      </c>
      <c r="G167" s="3">
        <f t="shared" si="10"/>
        <v>17250</v>
      </c>
      <c r="H167" s="3">
        <v>0</v>
      </c>
      <c r="I167" s="3">
        <f t="shared" si="11"/>
        <v>17250</v>
      </c>
      <c r="J167" s="2" t="s">
        <v>27</v>
      </c>
      <c r="K167" s="5">
        <v>46244.583333333343</v>
      </c>
      <c r="L167">
        <v>1</v>
      </c>
      <c r="M167" s="21">
        <f t="shared" si="12"/>
        <v>17250</v>
      </c>
      <c r="N167" t="str">
        <f t="shared" si="13"/>
        <v>ставка</v>
      </c>
      <c r="O167" s="3">
        <f t="shared" si="14"/>
        <v>338.24</v>
      </c>
      <c r="P167" s="5">
        <v>46245.5</v>
      </c>
      <c r="Q167" t="s">
        <v>130</v>
      </c>
      <c r="R167" s="2" t="s">
        <v>87</v>
      </c>
      <c r="S167">
        <v>50</v>
      </c>
      <c r="T167">
        <v>2</v>
      </c>
    </row>
    <row r="168" spans="1:20" ht="30" x14ac:dyDescent="0.25">
      <c r="A168" t="s">
        <v>1364</v>
      </c>
      <c r="B168">
        <v>1</v>
      </c>
      <c r="C168" s="2" t="s">
        <v>1365</v>
      </c>
      <c r="D168" s="3">
        <v>88644</v>
      </c>
      <c r="E168" s="4">
        <v>17</v>
      </c>
      <c r="F168" t="s">
        <v>130</v>
      </c>
      <c r="G168" s="3">
        <f t="shared" si="10"/>
        <v>106800</v>
      </c>
      <c r="H168" s="3">
        <v>0</v>
      </c>
      <c r="I168" s="3">
        <f t="shared" si="11"/>
        <v>106800</v>
      </c>
      <c r="J168" s="2" t="s">
        <v>27</v>
      </c>
      <c r="K168" s="5">
        <v>46270.583333333343</v>
      </c>
      <c r="L168">
        <v>8</v>
      </c>
      <c r="M168" s="21">
        <f t="shared" si="12"/>
        <v>13350</v>
      </c>
      <c r="N168" t="str">
        <f t="shared" si="13"/>
        <v>ставка</v>
      </c>
      <c r="O168" s="3">
        <f t="shared" si="14"/>
        <v>2094.12</v>
      </c>
      <c r="P168" s="5">
        <v>46278.5</v>
      </c>
      <c r="Q168" t="s">
        <v>130</v>
      </c>
      <c r="R168" s="2" t="s">
        <v>40</v>
      </c>
      <c r="S168">
        <v>55</v>
      </c>
      <c r="T168">
        <v>2</v>
      </c>
    </row>
    <row r="169" spans="1:20" ht="45" hidden="1" x14ac:dyDescent="0.25">
      <c r="A169" t="s">
        <v>1488</v>
      </c>
      <c r="B169">
        <v>1</v>
      </c>
      <c r="C169" s="2" t="s">
        <v>1489</v>
      </c>
      <c r="D169" s="3">
        <v>23987</v>
      </c>
      <c r="E169" s="4">
        <v>17</v>
      </c>
      <c r="F169" t="s">
        <v>130</v>
      </c>
      <c r="G169" s="3">
        <f t="shared" si="10"/>
        <v>28900</v>
      </c>
      <c r="H169" s="3">
        <v>0</v>
      </c>
      <c r="I169" s="3">
        <f t="shared" si="11"/>
        <v>28900</v>
      </c>
      <c r="J169" s="2" t="s">
        <v>27</v>
      </c>
      <c r="K169" s="5">
        <v>46280.583333333343</v>
      </c>
      <c r="L169">
        <v>2</v>
      </c>
      <c r="M169" s="3">
        <f t="shared" si="12"/>
        <v>14450</v>
      </c>
      <c r="N169" t="str">
        <f t="shared" si="13"/>
        <v>ставка</v>
      </c>
      <c r="O169" s="3">
        <f t="shared" si="14"/>
        <v>566.66999999999996</v>
      </c>
      <c r="P169" s="5">
        <v>46282.5</v>
      </c>
      <c r="Q169" t="s">
        <v>130</v>
      </c>
      <c r="R169" s="2" t="s">
        <v>87</v>
      </c>
      <c r="S169">
        <v>51</v>
      </c>
      <c r="T169">
        <v>2</v>
      </c>
    </row>
    <row r="170" spans="1:20" ht="30" hidden="1" x14ac:dyDescent="0.25">
      <c r="A170" t="s">
        <v>1544</v>
      </c>
      <c r="B170">
        <v>1</v>
      </c>
      <c r="C170" s="2" t="s">
        <v>1545</v>
      </c>
      <c r="D170" s="3">
        <v>38346</v>
      </c>
      <c r="E170" s="4">
        <v>17</v>
      </c>
      <c r="F170" t="s">
        <v>130</v>
      </c>
      <c r="G170" s="3">
        <f t="shared" si="10"/>
        <v>46200</v>
      </c>
      <c r="H170" s="3">
        <v>0</v>
      </c>
      <c r="I170" s="3">
        <f t="shared" si="11"/>
        <v>46200</v>
      </c>
      <c r="J170" s="2" t="s">
        <v>27</v>
      </c>
      <c r="K170" s="5">
        <v>46266.583333333343</v>
      </c>
      <c r="L170">
        <v>3</v>
      </c>
      <c r="M170" s="3">
        <f t="shared" si="12"/>
        <v>15400</v>
      </c>
      <c r="N170" t="str">
        <f t="shared" si="13"/>
        <v>ставка</v>
      </c>
      <c r="O170" s="3">
        <f t="shared" si="14"/>
        <v>905.88</v>
      </c>
      <c r="P170" s="5">
        <v>46269.5</v>
      </c>
      <c r="Q170" t="s">
        <v>130</v>
      </c>
      <c r="R170" s="2" t="s">
        <v>24</v>
      </c>
      <c r="S170">
        <v>59</v>
      </c>
      <c r="T170">
        <v>2</v>
      </c>
    </row>
    <row r="171" spans="1:20" hidden="1" x14ac:dyDescent="0.25">
      <c r="A171" t="s">
        <v>1615</v>
      </c>
      <c r="B171">
        <v>1</v>
      </c>
      <c r="C171" s="2" t="s">
        <v>1616</v>
      </c>
      <c r="D171" s="3">
        <v>14774</v>
      </c>
      <c r="E171" s="4">
        <v>17</v>
      </c>
      <c r="F171" t="s">
        <v>130</v>
      </c>
      <c r="G171" s="3">
        <f t="shared" si="10"/>
        <v>17800</v>
      </c>
      <c r="H171" s="3">
        <v>0</v>
      </c>
      <c r="I171" s="3">
        <f t="shared" si="11"/>
        <v>17800</v>
      </c>
      <c r="J171" s="2" t="s">
        <v>27</v>
      </c>
      <c r="K171" s="5">
        <v>46244.583333333343</v>
      </c>
      <c r="L171">
        <v>1</v>
      </c>
      <c r="M171" s="3">
        <f t="shared" si="12"/>
        <v>17800</v>
      </c>
      <c r="N171" t="str">
        <f t="shared" si="13"/>
        <v>ставка</v>
      </c>
      <c r="O171" s="3">
        <f t="shared" si="14"/>
        <v>349.02</v>
      </c>
      <c r="P171" s="5">
        <v>46245.5</v>
      </c>
      <c r="Q171" t="s">
        <v>130</v>
      </c>
      <c r="R171" s="2" t="s">
        <v>37</v>
      </c>
      <c r="S171">
        <v>54</v>
      </c>
      <c r="T171">
        <v>2</v>
      </c>
    </row>
    <row r="172" spans="1:20" hidden="1" x14ac:dyDescent="0.25">
      <c r="A172" t="s">
        <v>1657</v>
      </c>
      <c r="B172">
        <v>1</v>
      </c>
      <c r="C172" s="2" t="s">
        <v>1658</v>
      </c>
      <c r="D172" s="3">
        <v>26228</v>
      </c>
      <c r="E172" s="4">
        <v>17</v>
      </c>
      <c r="F172" t="s">
        <v>130</v>
      </c>
      <c r="G172" s="3">
        <f t="shared" si="10"/>
        <v>31600</v>
      </c>
      <c r="H172" s="3">
        <v>0</v>
      </c>
      <c r="I172" s="3">
        <f t="shared" si="11"/>
        <v>31600</v>
      </c>
      <c r="J172" s="2" t="s">
        <v>27</v>
      </c>
      <c r="K172" s="5">
        <v>46245.583333333343</v>
      </c>
      <c r="L172">
        <v>2</v>
      </c>
      <c r="M172" s="3">
        <f t="shared" si="12"/>
        <v>15800</v>
      </c>
      <c r="N172" t="str">
        <f t="shared" si="13"/>
        <v>ставка</v>
      </c>
      <c r="O172" s="3">
        <f t="shared" si="14"/>
        <v>619.61</v>
      </c>
      <c r="P172" s="5">
        <v>46247.5</v>
      </c>
      <c r="Q172" t="s">
        <v>130</v>
      </c>
      <c r="R172" s="2" t="s">
        <v>45</v>
      </c>
      <c r="S172">
        <v>53</v>
      </c>
      <c r="T172">
        <v>2</v>
      </c>
    </row>
    <row r="173" spans="1:20" ht="30" x14ac:dyDescent="0.25">
      <c r="A173" t="s">
        <v>274</v>
      </c>
      <c r="B173">
        <v>1</v>
      </c>
      <c r="C173" s="2" t="s">
        <v>275</v>
      </c>
      <c r="D173" s="3">
        <v>60520</v>
      </c>
      <c r="E173" s="4">
        <v>0</v>
      </c>
      <c r="F173" t="s">
        <v>245</v>
      </c>
      <c r="G173" s="3">
        <f t="shared" si="10"/>
        <v>60520</v>
      </c>
      <c r="H173" s="3">
        <v>0</v>
      </c>
      <c r="I173" s="3">
        <f t="shared" si="11"/>
        <v>60520</v>
      </c>
      <c r="J173" s="2" t="s">
        <v>27</v>
      </c>
      <c r="K173" s="5">
        <v>46290.583333333343</v>
      </c>
      <c r="L173">
        <v>4</v>
      </c>
      <c r="M173" s="21">
        <f t="shared" si="12"/>
        <v>15130</v>
      </c>
      <c r="N173" t="str">
        <f t="shared" si="13"/>
        <v>ставка</v>
      </c>
      <c r="O173" s="3">
        <f t="shared" si="14"/>
        <v>1186.67</v>
      </c>
      <c r="P173" s="5">
        <v>46294.5</v>
      </c>
      <c r="Q173" t="s">
        <v>245</v>
      </c>
      <c r="R173" s="2" t="s">
        <v>45</v>
      </c>
      <c r="S173">
        <v>53</v>
      </c>
      <c r="T173">
        <v>2</v>
      </c>
    </row>
    <row r="174" spans="1:20" ht="30" x14ac:dyDescent="0.25">
      <c r="A174" t="s">
        <v>1071</v>
      </c>
      <c r="B174">
        <v>1</v>
      </c>
      <c r="C174" s="2" t="s">
        <v>1072</v>
      </c>
      <c r="D174" s="3">
        <v>79432.5</v>
      </c>
      <c r="E174" s="4">
        <v>0</v>
      </c>
      <c r="F174" t="s">
        <v>245</v>
      </c>
      <c r="G174" s="3">
        <f t="shared" si="10"/>
        <v>79432.5</v>
      </c>
      <c r="H174" s="3">
        <v>0</v>
      </c>
      <c r="I174" s="3">
        <f t="shared" si="11"/>
        <v>79432.5</v>
      </c>
      <c r="J174" s="2" t="s">
        <v>27</v>
      </c>
      <c r="K174" s="5">
        <v>46232.583333333343</v>
      </c>
      <c r="L174">
        <v>7</v>
      </c>
      <c r="M174" s="21">
        <f t="shared" si="12"/>
        <v>11347.5</v>
      </c>
      <c r="N174" t="str">
        <f t="shared" si="13"/>
        <v>ставка</v>
      </c>
      <c r="O174" s="3">
        <f t="shared" si="14"/>
        <v>1557.5</v>
      </c>
      <c r="P174" s="5">
        <v>46239.5</v>
      </c>
      <c r="Q174" t="s">
        <v>245</v>
      </c>
      <c r="R174" s="2" t="s">
        <v>40</v>
      </c>
      <c r="S174">
        <v>58</v>
      </c>
      <c r="T174">
        <v>2</v>
      </c>
    </row>
    <row r="175" spans="1:20" ht="30" x14ac:dyDescent="0.25">
      <c r="A175" t="s">
        <v>1465</v>
      </c>
      <c r="B175">
        <v>1</v>
      </c>
      <c r="C175" s="2" t="s">
        <v>1466</v>
      </c>
      <c r="D175" s="3">
        <v>78540</v>
      </c>
      <c r="E175" s="4">
        <v>0</v>
      </c>
      <c r="F175" t="s">
        <v>245</v>
      </c>
      <c r="G175" s="3">
        <f t="shared" si="10"/>
        <v>78540</v>
      </c>
      <c r="H175" s="3">
        <v>0</v>
      </c>
      <c r="I175" s="3">
        <f t="shared" si="11"/>
        <v>78540</v>
      </c>
      <c r="J175" s="2" t="s">
        <v>27</v>
      </c>
      <c r="K175" s="5">
        <v>46231.583333333343</v>
      </c>
      <c r="L175">
        <v>6</v>
      </c>
      <c r="M175" s="21">
        <f t="shared" si="12"/>
        <v>13090</v>
      </c>
      <c r="N175" t="str">
        <f t="shared" si="13"/>
        <v>ставка</v>
      </c>
      <c r="O175" s="3">
        <f t="shared" si="14"/>
        <v>1540</v>
      </c>
      <c r="P175" s="5">
        <v>46237.5</v>
      </c>
      <c r="Q175" t="s">
        <v>245</v>
      </c>
      <c r="R175" s="2" t="s">
        <v>24</v>
      </c>
      <c r="S175">
        <v>59</v>
      </c>
      <c r="T175">
        <v>2</v>
      </c>
    </row>
    <row r="176" spans="1:20" ht="30" x14ac:dyDescent="0.25">
      <c r="A176" t="s">
        <v>1753</v>
      </c>
      <c r="B176">
        <v>1</v>
      </c>
      <c r="C176" s="2" t="s">
        <v>1754</v>
      </c>
      <c r="D176" s="3">
        <v>78540</v>
      </c>
      <c r="E176" s="4">
        <v>0</v>
      </c>
      <c r="F176" t="s">
        <v>245</v>
      </c>
      <c r="G176" s="3">
        <f t="shared" si="10"/>
        <v>78540</v>
      </c>
      <c r="H176" s="3">
        <v>0</v>
      </c>
      <c r="I176" s="3">
        <f t="shared" si="11"/>
        <v>78540</v>
      </c>
      <c r="J176" s="2" t="s">
        <v>27</v>
      </c>
      <c r="K176" s="5">
        <v>46210.583333333343</v>
      </c>
      <c r="L176">
        <v>6</v>
      </c>
      <c r="M176" s="21">
        <f t="shared" si="12"/>
        <v>13090</v>
      </c>
      <c r="N176" t="str">
        <f t="shared" si="13"/>
        <v>ставка</v>
      </c>
      <c r="O176" s="3">
        <f t="shared" si="14"/>
        <v>1540</v>
      </c>
      <c r="P176" s="5">
        <v>46216.5</v>
      </c>
      <c r="Q176" t="s">
        <v>245</v>
      </c>
      <c r="R176" s="2" t="s">
        <v>24</v>
      </c>
      <c r="S176">
        <v>56</v>
      </c>
      <c r="T176">
        <v>2</v>
      </c>
    </row>
    <row r="177" spans="1:20" ht="30" x14ac:dyDescent="0.25">
      <c r="A177" t="s">
        <v>735</v>
      </c>
      <c r="B177">
        <v>1</v>
      </c>
      <c r="C177" s="2" t="s">
        <v>736</v>
      </c>
      <c r="D177" s="3">
        <v>22695</v>
      </c>
      <c r="E177" s="4">
        <v>15</v>
      </c>
      <c r="F177" t="s">
        <v>52</v>
      </c>
      <c r="G177" s="3">
        <f t="shared" si="10"/>
        <v>26700</v>
      </c>
      <c r="H177" s="3">
        <v>0</v>
      </c>
      <c r="I177" s="3">
        <f t="shared" si="11"/>
        <v>26700</v>
      </c>
      <c r="J177" s="2" t="s">
        <v>27</v>
      </c>
      <c r="K177" s="5">
        <v>46248.916666666657</v>
      </c>
      <c r="L177">
        <v>2</v>
      </c>
      <c r="M177" s="21">
        <f t="shared" si="12"/>
        <v>13350</v>
      </c>
      <c r="N177" t="str">
        <f t="shared" si="13"/>
        <v>ставка</v>
      </c>
      <c r="O177" s="3">
        <f t="shared" si="14"/>
        <v>523.53</v>
      </c>
      <c r="P177" s="5">
        <v>46250.5</v>
      </c>
      <c r="Q177" t="s">
        <v>52</v>
      </c>
      <c r="R177" s="2" t="s">
        <v>40</v>
      </c>
      <c r="S177">
        <v>58</v>
      </c>
      <c r="T177">
        <v>2</v>
      </c>
    </row>
    <row r="178" spans="1:20" ht="30" hidden="1" x14ac:dyDescent="0.25">
      <c r="A178" t="s">
        <v>831</v>
      </c>
      <c r="B178">
        <v>1</v>
      </c>
      <c r="C178" s="2" t="s">
        <v>832</v>
      </c>
      <c r="D178" s="3">
        <v>30260</v>
      </c>
      <c r="E178" s="4">
        <v>15</v>
      </c>
      <c r="F178" t="s">
        <v>52</v>
      </c>
      <c r="G178" s="3">
        <f t="shared" si="10"/>
        <v>35600</v>
      </c>
      <c r="H178" s="3">
        <v>0</v>
      </c>
      <c r="I178" s="3">
        <f t="shared" si="11"/>
        <v>35600</v>
      </c>
      <c r="J178" s="2" t="s">
        <v>27</v>
      </c>
      <c r="K178" s="5">
        <v>46282.583333333343</v>
      </c>
      <c r="L178">
        <v>2</v>
      </c>
      <c r="M178" s="3">
        <f t="shared" si="12"/>
        <v>17800</v>
      </c>
      <c r="N178" t="str">
        <f t="shared" si="13"/>
        <v>ставка</v>
      </c>
      <c r="O178" s="3">
        <f t="shared" si="14"/>
        <v>698.04</v>
      </c>
      <c r="P178" s="5">
        <v>46284.5</v>
      </c>
      <c r="Q178" t="s">
        <v>52</v>
      </c>
      <c r="R178" s="2" t="s">
        <v>45</v>
      </c>
      <c r="S178">
        <v>54</v>
      </c>
      <c r="T178">
        <v>2</v>
      </c>
    </row>
    <row r="179" spans="1:20" ht="45" x14ac:dyDescent="0.25">
      <c r="A179" t="s">
        <v>1558</v>
      </c>
      <c r="B179">
        <v>1</v>
      </c>
      <c r="C179" s="2" t="s">
        <v>1559</v>
      </c>
      <c r="D179" s="3">
        <v>9265</v>
      </c>
      <c r="E179" s="4">
        <v>15</v>
      </c>
      <c r="F179" t="s">
        <v>52</v>
      </c>
      <c r="G179" s="3">
        <f t="shared" si="10"/>
        <v>10900</v>
      </c>
      <c r="H179" s="3">
        <v>0</v>
      </c>
      <c r="I179" s="3">
        <f t="shared" si="11"/>
        <v>10900</v>
      </c>
      <c r="J179" s="2" t="s">
        <v>27</v>
      </c>
      <c r="K179" s="5">
        <v>46216.583333333343</v>
      </c>
      <c r="L179">
        <v>1</v>
      </c>
      <c r="M179" s="21">
        <f t="shared" si="12"/>
        <v>10900</v>
      </c>
      <c r="N179" t="str">
        <f t="shared" si="13"/>
        <v>ставка</v>
      </c>
      <c r="O179" s="3">
        <f t="shared" si="14"/>
        <v>213.73</v>
      </c>
      <c r="P179" s="5">
        <v>46217.5</v>
      </c>
      <c r="Q179" t="s">
        <v>52</v>
      </c>
      <c r="R179" s="2" t="s">
        <v>87</v>
      </c>
      <c r="S179">
        <v>50</v>
      </c>
      <c r="T179">
        <v>2</v>
      </c>
    </row>
    <row r="180" spans="1:20" ht="30" x14ac:dyDescent="0.25">
      <c r="A180" t="s">
        <v>21</v>
      </c>
      <c r="B180">
        <v>1</v>
      </c>
      <c r="C180" s="2" t="s">
        <v>22</v>
      </c>
      <c r="D180" s="3">
        <v>10900</v>
      </c>
      <c r="E180" s="4">
        <v>0</v>
      </c>
      <c r="F180" t="s">
        <v>23</v>
      </c>
      <c r="G180" s="3">
        <f t="shared" si="10"/>
        <v>10900</v>
      </c>
      <c r="H180" s="3">
        <v>0</v>
      </c>
      <c r="I180" s="3">
        <f t="shared" si="11"/>
        <v>10900</v>
      </c>
      <c r="J180" s="2"/>
      <c r="K180" s="5">
        <v>46204.583333333343</v>
      </c>
      <c r="L180">
        <v>1</v>
      </c>
      <c r="M180" s="21">
        <f t="shared" si="12"/>
        <v>10900</v>
      </c>
      <c r="N180" t="str">
        <f t="shared" si="13"/>
        <v>ставка</v>
      </c>
      <c r="O180" s="3">
        <f t="shared" si="14"/>
        <v>213.73</v>
      </c>
      <c r="P180" s="5">
        <v>46205.5</v>
      </c>
      <c r="Q180" t="s">
        <v>23</v>
      </c>
      <c r="R180" s="2" t="s">
        <v>24</v>
      </c>
      <c r="S180">
        <v>59</v>
      </c>
      <c r="T180">
        <v>2</v>
      </c>
    </row>
    <row r="181" spans="1:20" ht="30" hidden="1" x14ac:dyDescent="0.25">
      <c r="A181" t="s">
        <v>25</v>
      </c>
      <c r="B181">
        <v>1</v>
      </c>
      <c r="C181" s="2" t="s">
        <v>26</v>
      </c>
      <c r="D181" s="3">
        <v>26800</v>
      </c>
      <c r="E181" s="4">
        <v>0</v>
      </c>
      <c r="F181" t="s">
        <v>23</v>
      </c>
      <c r="G181" s="3">
        <f t="shared" si="10"/>
        <v>26800</v>
      </c>
      <c r="H181" s="3">
        <v>0</v>
      </c>
      <c r="I181" s="3">
        <f t="shared" si="11"/>
        <v>26800</v>
      </c>
      <c r="J181" s="2" t="s">
        <v>27</v>
      </c>
      <c r="K181" s="5">
        <v>46223.583333333343</v>
      </c>
      <c r="L181">
        <v>2</v>
      </c>
      <c r="M181" s="3">
        <f t="shared" si="12"/>
        <v>13400</v>
      </c>
      <c r="N181" t="str">
        <f t="shared" si="13"/>
        <v>ставка</v>
      </c>
      <c r="O181" s="3">
        <f t="shared" si="14"/>
        <v>525.49</v>
      </c>
      <c r="P181" s="5">
        <v>46225.5</v>
      </c>
      <c r="Q181" t="s">
        <v>23</v>
      </c>
      <c r="R181" s="2" t="s">
        <v>24</v>
      </c>
      <c r="S181">
        <v>59</v>
      </c>
      <c r="T181">
        <v>2</v>
      </c>
    </row>
    <row r="182" spans="1:20" ht="30" hidden="1" x14ac:dyDescent="0.25">
      <c r="A182" t="s">
        <v>74</v>
      </c>
      <c r="B182">
        <v>1</v>
      </c>
      <c r="C182" s="2" t="s">
        <v>75</v>
      </c>
      <c r="D182" s="3">
        <v>30800</v>
      </c>
      <c r="E182" s="4">
        <v>0</v>
      </c>
      <c r="F182" t="s">
        <v>23</v>
      </c>
      <c r="G182" s="3">
        <f t="shared" si="10"/>
        <v>30800</v>
      </c>
      <c r="H182" s="3">
        <v>0</v>
      </c>
      <c r="I182" s="3">
        <f t="shared" si="11"/>
        <v>30800</v>
      </c>
      <c r="J182" s="2" t="s">
        <v>27</v>
      </c>
      <c r="K182" s="5">
        <v>46269.583333333343</v>
      </c>
      <c r="L182">
        <v>2</v>
      </c>
      <c r="M182" s="3">
        <f t="shared" si="12"/>
        <v>15400</v>
      </c>
      <c r="N182" t="str">
        <f t="shared" si="13"/>
        <v>ставка</v>
      </c>
      <c r="O182" s="3">
        <f t="shared" si="14"/>
        <v>603.91999999999996</v>
      </c>
      <c r="P182" s="5">
        <v>46271.5</v>
      </c>
      <c r="Q182" t="s">
        <v>23</v>
      </c>
      <c r="R182" s="2" t="s">
        <v>24</v>
      </c>
      <c r="S182">
        <v>59</v>
      </c>
      <c r="T182">
        <v>2</v>
      </c>
    </row>
    <row r="183" spans="1:20" ht="30" x14ac:dyDescent="0.25">
      <c r="A183" t="s">
        <v>81</v>
      </c>
      <c r="B183">
        <v>1</v>
      </c>
      <c r="C183" s="2" t="s">
        <v>82</v>
      </c>
      <c r="D183" s="3">
        <v>32040</v>
      </c>
      <c r="E183" s="4">
        <v>0</v>
      </c>
      <c r="F183" t="s">
        <v>23</v>
      </c>
      <c r="G183" s="3">
        <f t="shared" si="10"/>
        <v>32040</v>
      </c>
      <c r="H183" s="3">
        <v>0</v>
      </c>
      <c r="I183" s="3">
        <f t="shared" si="11"/>
        <v>32040</v>
      </c>
      <c r="J183" s="2" t="s">
        <v>27</v>
      </c>
      <c r="K183" s="5">
        <v>46270.583333333343</v>
      </c>
      <c r="L183">
        <v>2</v>
      </c>
      <c r="M183" s="21">
        <f t="shared" si="12"/>
        <v>16020</v>
      </c>
      <c r="N183" t="str">
        <f t="shared" si="13"/>
        <v>ставка</v>
      </c>
      <c r="O183" s="3">
        <f t="shared" si="14"/>
        <v>628.24</v>
      </c>
      <c r="P183" s="5">
        <v>46272.5</v>
      </c>
      <c r="Q183" t="s">
        <v>23</v>
      </c>
      <c r="R183" s="2" t="s">
        <v>45</v>
      </c>
      <c r="S183">
        <v>53</v>
      </c>
      <c r="T183">
        <v>2</v>
      </c>
    </row>
    <row r="184" spans="1:20" ht="45" hidden="1" x14ac:dyDescent="0.25">
      <c r="A184" t="s">
        <v>85</v>
      </c>
      <c r="B184">
        <v>1</v>
      </c>
      <c r="C184" s="2" t="s">
        <v>86</v>
      </c>
      <c r="D184" s="3">
        <v>43350</v>
      </c>
      <c r="E184" s="4">
        <v>0</v>
      </c>
      <c r="F184" t="s">
        <v>23</v>
      </c>
      <c r="G184" s="3">
        <f t="shared" si="10"/>
        <v>43350</v>
      </c>
      <c r="H184" s="3">
        <v>0</v>
      </c>
      <c r="I184" s="3">
        <f t="shared" si="11"/>
        <v>43350</v>
      </c>
      <c r="J184" s="2" t="s">
        <v>27</v>
      </c>
      <c r="K184" s="5">
        <v>46234.583333333343</v>
      </c>
      <c r="L184">
        <v>3</v>
      </c>
      <c r="M184" s="3">
        <f t="shared" si="12"/>
        <v>14450</v>
      </c>
      <c r="N184" t="str">
        <f t="shared" si="13"/>
        <v>ставка</v>
      </c>
      <c r="O184" s="3">
        <f t="shared" si="14"/>
        <v>850</v>
      </c>
      <c r="P184" s="5">
        <v>46237.5</v>
      </c>
      <c r="Q184" t="s">
        <v>23</v>
      </c>
      <c r="R184" s="2" t="s">
        <v>87</v>
      </c>
      <c r="S184">
        <v>50</v>
      </c>
      <c r="T184">
        <v>2</v>
      </c>
    </row>
    <row r="185" spans="1:20" ht="30" x14ac:dyDescent="0.25">
      <c r="A185" t="s">
        <v>88</v>
      </c>
      <c r="B185">
        <v>1</v>
      </c>
      <c r="C185" s="2" t="s">
        <v>89</v>
      </c>
      <c r="D185" s="3">
        <v>26700</v>
      </c>
      <c r="E185" s="4">
        <v>0</v>
      </c>
      <c r="F185" t="s">
        <v>23</v>
      </c>
      <c r="G185" s="3">
        <f t="shared" si="10"/>
        <v>26700</v>
      </c>
      <c r="H185" s="3">
        <v>0</v>
      </c>
      <c r="I185" s="3">
        <f t="shared" si="11"/>
        <v>26700</v>
      </c>
      <c r="J185" s="2" t="s">
        <v>27</v>
      </c>
      <c r="K185" s="5">
        <v>46269.583333333343</v>
      </c>
      <c r="L185">
        <v>2</v>
      </c>
      <c r="M185" s="21">
        <f t="shared" si="12"/>
        <v>13350</v>
      </c>
      <c r="N185" t="str">
        <f t="shared" si="13"/>
        <v>ставка</v>
      </c>
      <c r="O185" s="3">
        <f t="shared" si="14"/>
        <v>523.53</v>
      </c>
      <c r="P185" s="5">
        <v>46271.5</v>
      </c>
      <c r="Q185" t="s">
        <v>23</v>
      </c>
      <c r="R185" s="2" t="s">
        <v>40</v>
      </c>
      <c r="S185">
        <v>52</v>
      </c>
      <c r="T185">
        <v>2</v>
      </c>
    </row>
    <row r="186" spans="1:20" ht="30" x14ac:dyDescent="0.25">
      <c r="A186" t="s">
        <v>92</v>
      </c>
      <c r="B186">
        <v>1</v>
      </c>
      <c r="C186" s="2" t="s">
        <v>93</v>
      </c>
      <c r="D186" s="3">
        <v>8900</v>
      </c>
      <c r="E186" s="4">
        <v>0</v>
      </c>
      <c r="F186" t="s">
        <v>23</v>
      </c>
      <c r="G186" s="3">
        <f t="shared" si="10"/>
        <v>8900</v>
      </c>
      <c r="H186" s="3">
        <v>0</v>
      </c>
      <c r="I186" s="3">
        <f t="shared" si="11"/>
        <v>8900</v>
      </c>
      <c r="J186" s="2" t="s">
        <v>27</v>
      </c>
      <c r="K186" s="5">
        <v>46230.583333333343</v>
      </c>
      <c r="L186">
        <v>1</v>
      </c>
      <c r="M186" s="21">
        <f t="shared" si="12"/>
        <v>8900</v>
      </c>
      <c r="N186" t="str">
        <f t="shared" si="13"/>
        <v>ставка</v>
      </c>
      <c r="O186" s="3">
        <f t="shared" si="14"/>
        <v>174.51</v>
      </c>
      <c r="P186" s="5">
        <v>46231.5</v>
      </c>
      <c r="Q186" t="s">
        <v>23</v>
      </c>
      <c r="R186" s="2" t="s">
        <v>40</v>
      </c>
      <c r="S186">
        <v>52</v>
      </c>
      <c r="T186">
        <v>2</v>
      </c>
    </row>
    <row r="187" spans="1:20" ht="45" x14ac:dyDescent="0.25">
      <c r="A187" t="s">
        <v>97</v>
      </c>
      <c r="B187">
        <v>1</v>
      </c>
      <c r="C187" s="2" t="s">
        <v>98</v>
      </c>
      <c r="D187" s="3">
        <v>11371</v>
      </c>
      <c r="E187" s="4">
        <v>0</v>
      </c>
      <c r="F187" t="s">
        <v>23</v>
      </c>
      <c r="G187" s="3">
        <f t="shared" si="10"/>
        <v>11371</v>
      </c>
      <c r="H187" s="3">
        <v>0</v>
      </c>
      <c r="I187" s="3">
        <f t="shared" si="11"/>
        <v>11371</v>
      </c>
      <c r="J187" s="2" t="s">
        <v>27</v>
      </c>
      <c r="K187" s="5">
        <v>46215.583333333343</v>
      </c>
      <c r="L187">
        <v>1</v>
      </c>
      <c r="M187" s="21">
        <f t="shared" si="12"/>
        <v>11371</v>
      </c>
      <c r="N187" t="str">
        <f t="shared" si="13"/>
        <v>ставка</v>
      </c>
      <c r="O187" s="3">
        <f t="shared" si="14"/>
        <v>222.96</v>
      </c>
      <c r="P187" s="5">
        <v>46216.5</v>
      </c>
      <c r="Q187" t="s">
        <v>23</v>
      </c>
      <c r="R187" s="2" t="s">
        <v>87</v>
      </c>
      <c r="S187">
        <v>51</v>
      </c>
      <c r="T187">
        <v>2</v>
      </c>
    </row>
    <row r="188" spans="1:20" ht="30" x14ac:dyDescent="0.25">
      <c r="A188" t="s">
        <v>106</v>
      </c>
      <c r="B188">
        <v>1</v>
      </c>
      <c r="C188" s="2" t="s">
        <v>107</v>
      </c>
      <c r="D188" s="3">
        <v>22700</v>
      </c>
      <c r="E188" s="4">
        <v>0</v>
      </c>
      <c r="F188" t="s">
        <v>23</v>
      </c>
      <c r="G188" s="3">
        <f t="shared" si="10"/>
        <v>22700</v>
      </c>
      <c r="H188" s="3">
        <v>0</v>
      </c>
      <c r="I188" s="3">
        <f t="shared" si="11"/>
        <v>22700</v>
      </c>
      <c r="J188" s="2" t="s">
        <v>27</v>
      </c>
      <c r="K188" s="5">
        <v>46223.583333333343</v>
      </c>
      <c r="L188">
        <v>2</v>
      </c>
      <c r="M188" s="21">
        <f t="shared" si="12"/>
        <v>11350</v>
      </c>
      <c r="N188" t="str">
        <f t="shared" si="13"/>
        <v>ставка</v>
      </c>
      <c r="O188" s="3">
        <f t="shared" si="14"/>
        <v>445.1</v>
      </c>
      <c r="P188" s="5">
        <v>46225.5</v>
      </c>
      <c r="Q188" t="s">
        <v>23</v>
      </c>
      <c r="R188" s="2" t="s">
        <v>40</v>
      </c>
      <c r="S188">
        <v>55</v>
      </c>
      <c r="T188">
        <v>2</v>
      </c>
    </row>
    <row r="189" spans="1:20" ht="45" hidden="1" x14ac:dyDescent="0.25">
      <c r="A189" t="s">
        <v>113</v>
      </c>
      <c r="B189">
        <v>1</v>
      </c>
      <c r="C189" s="2" t="s">
        <v>114</v>
      </c>
      <c r="D189" s="3">
        <v>10900</v>
      </c>
      <c r="E189" s="4">
        <v>0</v>
      </c>
      <c r="F189" t="s">
        <v>23</v>
      </c>
      <c r="G189" s="3">
        <f t="shared" si="10"/>
        <v>10900</v>
      </c>
      <c r="H189" s="3">
        <v>5600</v>
      </c>
      <c r="I189" s="3">
        <f t="shared" si="11"/>
        <v>16500</v>
      </c>
      <c r="J189" s="2" t="s">
        <v>115</v>
      </c>
      <c r="K189" s="5">
        <v>46207.583333333343</v>
      </c>
      <c r="L189">
        <v>1</v>
      </c>
      <c r="M189" s="3">
        <f t="shared" si="12"/>
        <v>16500</v>
      </c>
      <c r="N189" t="str">
        <f t="shared" si="13"/>
        <v>ставка</v>
      </c>
      <c r="O189" s="3">
        <f t="shared" si="14"/>
        <v>323.52999999999997</v>
      </c>
      <c r="P189" s="5">
        <v>46208.5</v>
      </c>
      <c r="Q189" t="s">
        <v>23</v>
      </c>
      <c r="R189" s="2" t="s">
        <v>87</v>
      </c>
      <c r="S189">
        <v>51</v>
      </c>
      <c r="T189">
        <v>2</v>
      </c>
    </row>
    <row r="190" spans="1:20" x14ac:dyDescent="0.25">
      <c r="A190" t="s">
        <v>118</v>
      </c>
      <c r="B190">
        <v>1</v>
      </c>
      <c r="C190" s="2" t="s">
        <v>119</v>
      </c>
      <c r="D190" s="3">
        <v>7000</v>
      </c>
      <c r="E190" s="4">
        <v>0</v>
      </c>
      <c r="F190" t="s">
        <v>23</v>
      </c>
      <c r="G190" s="3">
        <f t="shared" si="10"/>
        <v>7000</v>
      </c>
      <c r="H190" s="3">
        <v>0</v>
      </c>
      <c r="I190" s="3">
        <f t="shared" si="11"/>
        <v>7000</v>
      </c>
      <c r="J190" s="2" t="s">
        <v>27</v>
      </c>
      <c r="K190" s="5">
        <v>46206.583333333343</v>
      </c>
      <c r="L190">
        <v>1</v>
      </c>
      <c r="M190" s="21">
        <f t="shared" si="12"/>
        <v>7000</v>
      </c>
      <c r="N190" t="str">
        <f t="shared" si="13"/>
        <v>ставка</v>
      </c>
      <c r="O190" s="3">
        <f t="shared" si="14"/>
        <v>137.25</v>
      </c>
      <c r="P190" s="5">
        <v>46207.5</v>
      </c>
      <c r="Q190" t="s">
        <v>23</v>
      </c>
      <c r="R190" s="2" t="s">
        <v>45</v>
      </c>
      <c r="S190">
        <v>53</v>
      </c>
      <c r="T190">
        <v>2</v>
      </c>
    </row>
    <row r="191" spans="1:20" ht="30" x14ac:dyDescent="0.25">
      <c r="A191" t="s">
        <v>126</v>
      </c>
      <c r="B191">
        <v>1</v>
      </c>
      <c r="C191" s="2" t="s">
        <v>127</v>
      </c>
      <c r="D191" s="3">
        <v>48060</v>
      </c>
      <c r="E191" s="4">
        <v>0</v>
      </c>
      <c r="F191" t="s">
        <v>23</v>
      </c>
      <c r="G191" s="3">
        <f t="shared" si="10"/>
        <v>48060</v>
      </c>
      <c r="H191" s="3">
        <v>0</v>
      </c>
      <c r="I191" s="3">
        <f t="shared" si="11"/>
        <v>48060</v>
      </c>
      <c r="J191" s="2" t="s">
        <v>27</v>
      </c>
      <c r="K191" s="5">
        <v>46284.583333333343</v>
      </c>
      <c r="L191">
        <v>3</v>
      </c>
      <c r="M191" s="21">
        <f t="shared" si="12"/>
        <v>16020</v>
      </c>
      <c r="N191" t="str">
        <f t="shared" si="13"/>
        <v>ставка</v>
      </c>
      <c r="O191" s="3">
        <f t="shared" si="14"/>
        <v>942.35</v>
      </c>
      <c r="P191" s="5">
        <v>46287.5</v>
      </c>
      <c r="Q191" t="s">
        <v>23</v>
      </c>
      <c r="R191" s="2" t="s">
        <v>45</v>
      </c>
      <c r="S191">
        <v>54</v>
      </c>
      <c r="T191">
        <v>2</v>
      </c>
    </row>
    <row r="192" spans="1:20" ht="30" x14ac:dyDescent="0.25">
      <c r="A192" t="s">
        <v>131</v>
      </c>
      <c r="B192">
        <v>1</v>
      </c>
      <c r="C192" s="2" t="s">
        <v>132</v>
      </c>
      <c r="D192" s="3">
        <v>11390</v>
      </c>
      <c r="E192" s="4">
        <v>0</v>
      </c>
      <c r="F192" t="s">
        <v>23</v>
      </c>
      <c r="G192" s="3">
        <f t="shared" si="10"/>
        <v>11390</v>
      </c>
      <c r="H192" s="3">
        <v>0</v>
      </c>
      <c r="I192" s="3">
        <f t="shared" si="11"/>
        <v>11390</v>
      </c>
      <c r="J192" s="2" t="s">
        <v>27</v>
      </c>
      <c r="K192" s="5">
        <v>46268.583333333343</v>
      </c>
      <c r="L192">
        <v>1</v>
      </c>
      <c r="M192" s="21">
        <f t="shared" si="12"/>
        <v>11390</v>
      </c>
      <c r="N192" t="str">
        <f t="shared" si="13"/>
        <v>ставка</v>
      </c>
      <c r="O192" s="3">
        <f t="shared" si="14"/>
        <v>223.33</v>
      </c>
      <c r="P192" s="5">
        <v>46269.5</v>
      </c>
      <c r="Q192" t="s">
        <v>23</v>
      </c>
      <c r="R192" s="2" t="s">
        <v>24</v>
      </c>
      <c r="S192">
        <v>56</v>
      </c>
      <c r="T192">
        <v>2</v>
      </c>
    </row>
    <row r="193" spans="1:20" ht="30" x14ac:dyDescent="0.25">
      <c r="A193" t="s">
        <v>143</v>
      </c>
      <c r="B193">
        <v>1</v>
      </c>
      <c r="C193" s="2" t="s">
        <v>144</v>
      </c>
      <c r="D193" s="3">
        <v>17800</v>
      </c>
      <c r="E193" s="4">
        <v>0</v>
      </c>
      <c r="F193" t="s">
        <v>23</v>
      </c>
      <c r="G193" s="3">
        <f t="shared" si="10"/>
        <v>17800</v>
      </c>
      <c r="H193" s="3">
        <v>0</v>
      </c>
      <c r="I193" s="3">
        <f t="shared" si="11"/>
        <v>17800</v>
      </c>
      <c r="J193" s="2" t="s">
        <v>27</v>
      </c>
      <c r="K193" s="5">
        <v>46295.583333333343</v>
      </c>
      <c r="L193">
        <v>2</v>
      </c>
      <c r="M193" s="21">
        <f t="shared" si="12"/>
        <v>8900</v>
      </c>
      <c r="N193" t="str">
        <f t="shared" si="13"/>
        <v>ставка</v>
      </c>
      <c r="O193" s="3">
        <f t="shared" si="14"/>
        <v>349.02</v>
      </c>
      <c r="P193" s="5">
        <v>46297.5</v>
      </c>
      <c r="Q193" t="s">
        <v>23</v>
      </c>
      <c r="R193" s="2" t="s">
        <v>40</v>
      </c>
      <c r="S193">
        <v>55</v>
      </c>
      <c r="T193">
        <v>2</v>
      </c>
    </row>
    <row r="194" spans="1:20" ht="30" x14ac:dyDescent="0.25">
      <c r="A194" t="s">
        <v>240</v>
      </c>
      <c r="B194">
        <v>1</v>
      </c>
      <c r="C194" s="2" t="s">
        <v>241</v>
      </c>
      <c r="D194" s="3">
        <v>16020</v>
      </c>
      <c r="E194" s="4">
        <v>0</v>
      </c>
      <c r="F194" t="s">
        <v>23</v>
      </c>
      <c r="G194" s="3">
        <f t="shared" ref="G194:G257" si="15">ROUND(D194/(100-E194)*100,2)</f>
        <v>16020</v>
      </c>
      <c r="H194" s="3">
        <v>3338</v>
      </c>
      <c r="I194" s="3">
        <f t="shared" ref="I194:I257" si="16">ROUND(G194+H194,2)</f>
        <v>19358</v>
      </c>
      <c r="J194" s="2" t="s">
        <v>242</v>
      </c>
      <c r="K194" s="5">
        <v>46223.666666666657</v>
      </c>
      <c r="L194">
        <v>1</v>
      </c>
      <c r="M194" s="21">
        <f t="shared" ref="M194:M257" si="17">I194/L194</f>
        <v>19358</v>
      </c>
      <c r="N194" t="str">
        <f t="shared" ref="N194:N257" si="18">IF(M194&gt;=5100,"ставка","мин.ставка")</f>
        <v>ставка</v>
      </c>
      <c r="O194" s="3">
        <f t="shared" ref="O194:O257" si="19">ROUND(IF(N194="мин.ставка",L194*100,I194/102*2),2)</f>
        <v>379.57</v>
      </c>
      <c r="P194" s="5">
        <v>46224.708333333343</v>
      </c>
      <c r="Q194" t="s">
        <v>23</v>
      </c>
      <c r="R194" s="2" t="s">
        <v>45</v>
      </c>
      <c r="S194">
        <v>54</v>
      </c>
      <c r="T194">
        <v>2</v>
      </c>
    </row>
    <row r="195" spans="1:20" ht="30" x14ac:dyDescent="0.25">
      <c r="A195" t="s">
        <v>253</v>
      </c>
      <c r="B195">
        <v>1</v>
      </c>
      <c r="C195" s="2" t="s">
        <v>254</v>
      </c>
      <c r="D195" s="3">
        <v>17181</v>
      </c>
      <c r="E195" s="4">
        <v>0</v>
      </c>
      <c r="F195" t="s">
        <v>23</v>
      </c>
      <c r="G195" s="3">
        <f t="shared" si="15"/>
        <v>17181</v>
      </c>
      <c r="H195" s="3">
        <v>0</v>
      </c>
      <c r="I195" s="3">
        <f t="shared" si="16"/>
        <v>17181</v>
      </c>
      <c r="J195" s="2" t="s">
        <v>27</v>
      </c>
      <c r="K195" s="5">
        <v>46211.583333333343</v>
      </c>
      <c r="L195">
        <v>2</v>
      </c>
      <c r="M195" s="21">
        <f t="shared" si="17"/>
        <v>8590.5</v>
      </c>
      <c r="N195" t="str">
        <f t="shared" si="18"/>
        <v>ставка</v>
      </c>
      <c r="O195" s="3">
        <f t="shared" si="19"/>
        <v>336.88</v>
      </c>
      <c r="P195" s="5">
        <v>46213.5</v>
      </c>
      <c r="Q195" t="s">
        <v>23</v>
      </c>
      <c r="R195" s="2" t="s">
        <v>40</v>
      </c>
      <c r="S195">
        <v>58</v>
      </c>
      <c r="T195">
        <v>2</v>
      </c>
    </row>
    <row r="196" spans="1:20" ht="45" hidden="1" x14ac:dyDescent="0.25">
      <c r="A196" t="s">
        <v>305</v>
      </c>
      <c r="B196">
        <v>1</v>
      </c>
      <c r="C196" s="2" t="s">
        <v>306</v>
      </c>
      <c r="D196" s="3">
        <v>12450</v>
      </c>
      <c r="E196" s="4">
        <v>0</v>
      </c>
      <c r="F196" t="s">
        <v>23</v>
      </c>
      <c r="G196" s="3">
        <f t="shared" si="15"/>
        <v>12450</v>
      </c>
      <c r="H196" s="3">
        <v>0</v>
      </c>
      <c r="I196" s="3">
        <f t="shared" si="16"/>
        <v>12450</v>
      </c>
      <c r="J196" s="2" t="s">
        <v>27</v>
      </c>
      <c r="K196" s="5">
        <v>46245.583333333343</v>
      </c>
      <c r="L196">
        <v>1</v>
      </c>
      <c r="M196" s="3">
        <f t="shared" si="17"/>
        <v>12450</v>
      </c>
      <c r="N196" t="str">
        <f t="shared" si="18"/>
        <v>ставка</v>
      </c>
      <c r="O196" s="3">
        <f t="shared" si="19"/>
        <v>244.12</v>
      </c>
      <c r="P196" s="5">
        <v>46246.5</v>
      </c>
      <c r="Q196" t="s">
        <v>23</v>
      </c>
      <c r="R196" s="2" t="s">
        <v>87</v>
      </c>
      <c r="S196">
        <v>51</v>
      </c>
      <c r="T196">
        <v>2</v>
      </c>
    </row>
    <row r="197" spans="1:20" ht="75" x14ac:dyDescent="0.25">
      <c r="A197" t="s">
        <v>307</v>
      </c>
      <c r="B197">
        <v>1</v>
      </c>
      <c r="C197" s="2" t="s">
        <v>308</v>
      </c>
      <c r="D197" s="3">
        <v>43350</v>
      </c>
      <c r="E197" s="4">
        <v>0</v>
      </c>
      <c r="F197" t="s">
        <v>23</v>
      </c>
      <c r="G197" s="3">
        <f t="shared" si="15"/>
        <v>43350</v>
      </c>
      <c r="H197" s="3">
        <v>16800</v>
      </c>
      <c r="I197" s="3">
        <f t="shared" si="16"/>
        <v>60150</v>
      </c>
      <c r="J197" s="2" t="s">
        <v>309</v>
      </c>
      <c r="K197" s="5">
        <v>46246.583333333343</v>
      </c>
      <c r="L197">
        <v>3</v>
      </c>
      <c r="M197" s="21">
        <f t="shared" si="17"/>
        <v>20050</v>
      </c>
      <c r="N197" t="str">
        <f t="shared" si="18"/>
        <v>ставка</v>
      </c>
      <c r="O197" s="3">
        <f t="shared" si="19"/>
        <v>1179.4100000000001</v>
      </c>
      <c r="P197" s="5">
        <v>46249.5</v>
      </c>
      <c r="Q197" t="s">
        <v>23</v>
      </c>
      <c r="R197" s="2" t="s">
        <v>87</v>
      </c>
      <c r="S197">
        <v>51</v>
      </c>
      <c r="T197">
        <v>2</v>
      </c>
    </row>
    <row r="198" spans="1:20" ht="45" x14ac:dyDescent="0.25">
      <c r="A198" t="s">
        <v>346</v>
      </c>
      <c r="B198">
        <v>1</v>
      </c>
      <c r="C198" s="2" t="s">
        <v>347</v>
      </c>
      <c r="D198" s="3">
        <v>11205</v>
      </c>
      <c r="E198" s="4">
        <v>0</v>
      </c>
      <c r="F198" t="s">
        <v>23</v>
      </c>
      <c r="G198" s="3">
        <f t="shared" si="15"/>
        <v>11205</v>
      </c>
      <c r="H198" s="3">
        <v>0</v>
      </c>
      <c r="I198" s="3">
        <f t="shared" si="16"/>
        <v>11205</v>
      </c>
      <c r="J198" s="2" t="s">
        <v>27</v>
      </c>
      <c r="K198" s="5">
        <v>46213.583333333343</v>
      </c>
      <c r="L198">
        <v>1</v>
      </c>
      <c r="M198" s="21">
        <f t="shared" si="17"/>
        <v>11205</v>
      </c>
      <c r="N198" t="str">
        <f t="shared" si="18"/>
        <v>ставка</v>
      </c>
      <c r="O198" s="3">
        <f t="shared" si="19"/>
        <v>219.71</v>
      </c>
      <c r="P198" s="5">
        <v>46214.5</v>
      </c>
      <c r="Q198" t="s">
        <v>23</v>
      </c>
      <c r="R198" s="2" t="s">
        <v>87</v>
      </c>
      <c r="S198">
        <v>50</v>
      </c>
      <c r="T198">
        <v>2</v>
      </c>
    </row>
    <row r="199" spans="1:20" x14ac:dyDescent="0.25">
      <c r="A199" t="s">
        <v>370</v>
      </c>
      <c r="B199">
        <v>1</v>
      </c>
      <c r="C199" s="2" t="s">
        <v>371</v>
      </c>
      <c r="D199" s="3">
        <v>14240</v>
      </c>
      <c r="E199" s="4">
        <v>0</v>
      </c>
      <c r="F199" t="s">
        <v>23</v>
      </c>
      <c r="G199" s="3">
        <f t="shared" si="15"/>
        <v>14240</v>
      </c>
      <c r="H199" s="3">
        <v>0</v>
      </c>
      <c r="I199" s="3">
        <f t="shared" si="16"/>
        <v>14240</v>
      </c>
      <c r="J199" s="2" t="s">
        <v>27</v>
      </c>
      <c r="K199" s="5">
        <v>46223.583333333343</v>
      </c>
      <c r="L199">
        <v>1</v>
      </c>
      <c r="M199" s="21">
        <f t="shared" si="17"/>
        <v>14240</v>
      </c>
      <c r="N199" t="str">
        <f t="shared" si="18"/>
        <v>ставка</v>
      </c>
      <c r="O199" s="3">
        <f t="shared" si="19"/>
        <v>279.22000000000003</v>
      </c>
      <c r="P199" s="5">
        <v>46224.5</v>
      </c>
      <c r="Q199" t="s">
        <v>23</v>
      </c>
      <c r="R199" s="2" t="s">
        <v>45</v>
      </c>
      <c r="S199">
        <v>57</v>
      </c>
      <c r="T199">
        <v>2</v>
      </c>
    </row>
    <row r="200" spans="1:20" x14ac:dyDescent="0.25">
      <c r="A200" t="s">
        <v>372</v>
      </c>
      <c r="B200">
        <v>1</v>
      </c>
      <c r="C200" s="2" t="s">
        <v>373</v>
      </c>
      <c r="D200" s="3">
        <v>14240</v>
      </c>
      <c r="E200" s="4">
        <v>0</v>
      </c>
      <c r="F200" t="s">
        <v>23</v>
      </c>
      <c r="G200" s="3">
        <f t="shared" si="15"/>
        <v>14240</v>
      </c>
      <c r="H200" s="3">
        <v>0</v>
      </c>
      <c r="I200" s="3">
        <f t="shared" si="16"/>
        <v>14240</v>
      </c>
      <c r="J200" s="2" t="s">
        <v>27</v>
      </c>
      <c r="K200" s="5">
        <v>46230.583333333343</v>
      </c>
      <c r="L200">
        <v>1</v>
      </c>
      <c r="M200" s="21">
        <f t="shared" si="17"/>
        <v>14240</v>
      </c>
      <c r="N200" t="str">
        <f t="shared" si="18"/>
        <v>ставка</v>
      </c>
      <c r="O200" s="3">
        <f t="shared" si="19"/>
        <v>279.22000000000003</v>
      </c>
      <c r="P200" s="5">
        <v>46231.5</v>
      </c>
      <c r="Q200" t="s">
        <v>23</v>
      </c>
      <c r="R200" s="2" t="s">
        <v>45</v>
      </c>
      <c r="S200">
        <v>53</v>
      </c>
      <c r="T200">
        <v>2</v>
      </c>
    </row>
    <row r="201" spans="1:20" x14ac:dyDescent="0.25">
      <c r="A201" t="s">
        <v>374</v>
      </c>
      <c r="B201">
        <v>1</v>
      </c>
      <c r="C201" s="2" t="s">
        <v>375</v>
      </c>
      <c r="D201" s="3">
        <v>14240</v>
      </c>
      <c r="E201" s="4">
        <v>0</v>
      </c>
      <c r="F201" t="s">
        <v>23</v>
      </c>
      <c r="G201" s="3">
        <f t="shared" si="15"/>
        <v>14240</v>
      </c>
      <c r="H201" s="3">
        <v>0</v>
      </c>
      <c r="I201" s="3">
        <f t="shared" si="16"/>
        <v>14240</v>
      </c>
      <c r="J201" s="2" t="s">
        <v>27</v>
      </c>
      <c r="K201" s="5">
        <v>46237.583333333343</v>
      </c>
      <c r="L201">
        <v>1</v>
      </c>
      <c r="M201" s="21">
        <f t="shared" si="17"/>
        <v>14240</v>
      </c>
      <c r="N201" t="str">
        <f t="shared" si="18"/>
        <v>ставка</v>
      </c>
      <c r="O201" s="3">
        <f t="shared" si="19"/>
        <v>279.22000000000003</v>
      </c>
      <c r="P201" s="5">
        <v>46238.5</v>
      </c>
      <c r="Q201" t="s">
        <v>23</v>
      </c>
      <c r="R201" s="2" t="s">
        <v>45</v>
      </c>
      <c r="S201">
        <v>53</v>
      </c>
      <c r="T201">
        <v>2</v>
      </c>
    </row>
    <row r="202" spans="1:20" x14ac:dyDescent="0.25">
      <c r="A202" t="s">
        <v>376</v>
      </c>
      <c r="B202">
        <v>1</v>
      </c>
      <c r="C202" s="2" t="s">
        <v>375</v>
      </c>
      <c r="D202" s="3">
        <v>14240</v>
      </c>
      <c r="E202" s="4">
        <v>0</v>
      </c>
      <c r="F202" t="s">
        <v>23</v>
      </c>
      <c r="G202" s="3">
        <f t="shared" si="15"/>
        <v>14240</v>
      </c>
      <c r="H202" s="3">
        <v>0</v>
      </c>
      <c r="I202" s="3">
        <f t="shared" si="16"/>
        <v>14240</v>
      </c>
      <c r="J202" s="2" t="s">
        <v>27</v>
      </c>
      <c r="K202" s="5">
        <v>46244.583333333343</v>
      </c>
      <c r="L202">
        <v>1</v>
      </c>
      <c r="M202" s="21">
        <f t="shared" si="17"/>
        <v>14240</v>
      </c>
      <c r="N202" t="str">
        <f t="shared" si="18"/>
        <v>ставка</v>
      </c>
      <c r="O202" s="3">
        <f t="shared" si="19"/>
        <v>279.22000000000003</v>
      </c>
      <c r="P202" s="5">
        <v>46245.5</v>
      </c>
      <c r="Q202" t="s">
        <v>23</v>
      </c>
      <c r="R202" s="2" t="s">
        <v>45</v>
      </c>
      <c r="S202">
        <v>53</v>
      </c>
      <c r="T202">
        <v>2</v>
      </c>
    </row>
    <row r="203" spans="1:20" ht="30" x14ac:dyDescent="0.25">
      <c r="A203" t="s">
        <v>377</v>
      </c>
      <c r="B203">
        <v>1</v>
      </c>
      <c r="C203" s="2" t="s">
        <v>373</v>
      </c>
      <c r="D203" s="3">
        <v>9080</v>
      </c>
      <c r="E203" s="4">
        <v>0</v>
      </c>
      <c r="F203" t="s">
        <v>23</v>
      </c>
      <c r="G203" s="3">
        <f t="shared" si="15"/>
        <v>9080</v>
      </c>
      <c r="H203" s="3">
        <v>0</v>
      </c>
      <c r="I203" s="3">
        <f t="shared" si="16"/>
        <v>9080</v>
      </c>
      <c r="J203" s="2" t="s">
        <v>27</v>
      </c>
      <c r="K203" s="5">
        <v>46251.583333333343</v>
      </c>
      <c r="L203">
        <v>1</v>
      </c>
      <c r="M203" s="21">
        <f t="shared" si="17"/>
        <v>9080</v>
      </c>
      <c r="N203" t="str">
        <f t="shared" si="18"/>
        <v>ставка</v>
      </c>
      <c r="O203" s="3">
        <f t="shared" si="19"/>
        <v>178.04</v>
      </c>
      <c r="P203" s="5">
        <v>46252.5</v>
      </c>
      <c r="Q203" t="s">
        <v>23</v>
      </c>
      <c r="R203" s="2" t="s">
        <v>40</v>
      </c>
      <c r="S203">
        <v>52</v>
      </c>
      <c r="T203">
        <v>2</v>
      </c>
    </row>
    <row r="204" spans="1:20" x14ac:dyDescent="0.25">
      <c r="A204" t="s">
        <v>378</v>
      </c>
      <c r="B204">
        <v>1</v>
      </c>
      <c r="C204" s="2" t="s">
        <v>375</v>
      </c>
      <c r="D204" s="3">
        <v>14240</v>
      </c>
      <c r="E204" s="4">
        <v>0</v>
      </c>
      <c r="F204" t="s">
        <v>23</v>
      </c>
      <c r="G204" s="3">
        <f t="shared" si="15"/>
        <v>14240</v>
      </c>
      <c r="H204" s="3">
        <v>0</v>
      </c>
      <c r="I204" s="3">
        <f t="shared" si="16"/>
        <v>14240</v>
      </c>
      <c r="J204" s="2" t="s">
        <v>27</v>
      </c>
      <c r="K204" s="5">
        <v>46268.583333333343</v>
      </c>
      <c r="L204">
        <v>1</v>
      </c>
      <c r="M204" s="21">
        <f t="shared" si="17"/>
        <v>14240</v>
      </c>
      <c r="N204" t="str">
        <f t="shared" si="18"/>
        <v>ставка</v>
      </c>
      <c r="O204" s="3">
        <f t="shared" si="19"/>
        <v>279.22000000000003</v>
      </c>
      <c r="P204" s="5">
        <v>46269.5</v>
      </c>
      <c r="Q204" t="s">
        <v>23</v>
      </c>
      <c r="R204" s="2" t="s">
        <v>45</v>
      </c>
      <c r="S204">
        <v>53</v>
      </c>
      <c r="T204">
        <v>2</v>
      </c>
    </row>
    <row r="205" spans="1:20" x14ac:dyDescent="0.25">
      <c r="A205" t="s">
        <v>379</v>
      </c>
      <c r="B205">
        <v>1</v>
      </c>
      <c r="C205" s="2" t="s">
        <v>375</v>
      </c>
      <c r="D205" s="3">
        <v>14240</v>
      </c>
      <c r="E205" s="4">
        <v>0</v>
      </c>
      <c r="F205" t="s">
        <v>23</v>
      </c>
      <c r="G205" s="3">
        <f t="shared" si="15"/>
        <v>14240</v>
      </c>
      <c r="H205" s="3">
        <v>0</v>
      </c>
      <c r="I205" s="3">
        <f t="shared" si="16"/>
        <v>14240</v>
      </c>
      <c r="J205" s="2" t="s">
        <v>27</v>
      </c>
      <c r="K205" s="5">
        <v>46272.583333333343</v>
      </c>
      <c r="L205">
        <v>1</v>
      </c>
      <c r="M205" s="21">
        <f t="shared" si="17"/>
        <v>14240</v>
      </c>
      <c r="N205" t="str">
        <f t="shared" si="18"/>
        <v>ставка</v>
      </c>
      <c r="O205" s="3">
        <f t="shared" si="19"/>
        <v>279.22000000000003</v>
      </c>
      <c r="P205" s="5">
        <v>46273.5</v>
      </c>
      <c r="Q205" t="s">
        <v>23</v>
      </c>
      <c r="R205" s="2" t="s">
        <v>45</v>
      </c>
      <c r="S205">
        <v>53</v>
      </c>
      <c r="T205">
        <v>2</v>
      </c>
    </row>
    <row r="206" spans="1:20" ht="45" x14ac:dyDescent="0.25">
      <c r="A206" t="s">
        <v>380</v>
      </c>
      <c r="B206">
        <v>1</v>
      </c>
      <c r="C206" s="2" t="s">
        <v>381</v>
      </c>
      <c r="D206" s="3">
        <v>9960</v>
      </c>
      <c r="E206" s="4">
        <v>0</v>
      </c>
      <c r="F206" t="s">
        <v>23</v>
      </c>
      <c r="G206" s="3">
        <f t="shared" si="15"/>
        <v>9960</v>
      </c>
      <c r="H206" s="3">
        <v>0</v>
      </c>
      <c r="I206" s="3">
        <f t="shared" si="16"/>
        <v>9960</v>
      </c>
      <c r="J206" s="2" t="s">
        <v>27</v>
      </c>
      <c r="K206" s="5">
        <v>46279.583333333343</v>
      </c>
      <c r="L206">
        <v>1</v>
      </c>
      <c r="M206" s="21">
        <f t="shared" si="17"/>
        <v>9960</v>
      </c>
      <c r="N206" t="str">
        <f t="shared" si="18"/>
        <v>ставка</v>
      </c>
      <c r="O206" s="3">
        <f t="shared" si="19"/>
        <v>195.29</v>
      </c>
      <c r="P206" s="5">
        <v>46280.5</v>
      </c>
      <c r="Q206" t="s">
        <v>23</v>
      </c>
      <c r="R206" s="2" t="s">
        <v>87</v>
      </c>
      <c r="S206">
        <v>51</v>
      </c>
      <c r="T206">
        <v>2</v>
      </c>
    </row>
    <row r="207" spans="1:20" ht="30" x14ac:dyDescent="0.25">
      <c r="A207" t="s">
        <v>564</v>
      </c>
      <c r="B207">
        <v>1</v>
      </c>
      <c r="C207" s="2" t="s">
        <v>565</v>
      </c>
      <c r="D207" s="3">
        <v>26700</v>
      </c>
      <c r="E207" s="4">
        <v>0</v>
      </c>
      <c r="F207" t="s">
        <v>23</v>
      </c>
      <c r="G207" s="3">
        <f t="shared" si="15"/>
        <v>26700</v>
      </c>
      <c r="H207" s="3">
        <v>0</v>
      </c>
      <c r="I207" s="3">
        <f t="shared" si="16"/>
        <v>26700</v>
      </c>
      <c r="J207" s="2" t="s">
        <v>27</v>
      </c>
      <c r="K207" s="5">
        <v>46241.583333333343</v>
      </c>
      <c r="L207">
        <v>2</v>
      </c>
      <c r="M207" s="21">
        <f t="shared" si="17"/>
        <v>13350</v>
      </c>
      <c r="N207" t="str">
        <f t="shared" si="18"/>
        <v>ставка</v>
      </c>
      <c r="O207" s="3">
        <f t="shared" si="19"/>
        <v>523.53</v>
      </c>
      <c r="P207" s="5">
        <v>46243.5</v>
      </c>
      <c r="Q207" t="s">
        <v>23</v>
      </c>
      <c r="R207" s="2" t="s">
        <v>40</v>
      </c>
      <c r="S207">
        <v>52</v>
      </c>
      <c r="T207">
        <v>2</v>
      </c>
    </row>
    <row r="208" spans="1:20" hidden="1" x14ac:dyDescent="0.25">
      <c r="A208" t="s">
        <v>582</v>
      </c>
      <c r="B208">
        <v>1</v>
      </c>
      <c r="C208" s="2" t="s">
        <v>583</v>
      </c>
      <c r="D208" s="3">
        <v>89000</v>
      </c>
      <c r="E208" s="4">
        <v>0</v>
      </c>
      <c r="F208" t="s">
        <v>23</v>
      </c>
      <c r="G208" s="3">
        <f t="shared" si="15"/>
        <v>89000</v>
      </c>
      <c r="H208" s="3">
        <v>0</v>
      </c>
      <c r="I208" s="3">
        <f t="shared" si="16"/>
        <v>89000</v>
      </c>
      <c r="J208" s="2" t="s">
        <v>27</v>
      </c>
      <c r="K208" s="5">
        <v>46245.583333333343</v>
      </c>
      <c r="L208">
        <v>5</v>
      </c>
      <c r="M208" s="3">
        <f t="shared" si="17"/>
        <v>17800</v>
      </c>
      <c r="N208" t="str">
        <f t="shared" si="18"/>
        <v>ставка</v>
      </c>
      <c r="O208" s="3">
        <f t="shared" si="19"/>
        <v>1745.1</v>
      </c>
      <c r="P208" s="5">
        <v>46250.5</v>
      </c>
      <c r="Q208" t="s">
        <v>23</v>
      </c>
      <c r="R208" s="2" t="s">
        <v>45</v>
      </c>
      <c r="S208">
        <v>54</v>
      </c>
      <c r="T208">
        <v>2</v>
      </c>
    </row>
    <row r="209" spans="1:20" ht="30" x14ac:dyDescent="0.25">
      <c r="A209" t="s">
        <v>610</v>
      </c>
      <c r="B209">
        <v>1</v>
      </c>
      <c r="C209" s="2" t="s">
        <v>611</v>
      </c>
      <c r="D209" s="3">
        <v>9315</v>
      </c>
      <c r="E209" s="4">
        <v>0</v>
      </c>
      <c r="F209" t="s">
        <v>23</v>
      </c>
      <c r="G209" s="3">
        <f t="shared" si="15"/>
        <v>9315</v>
      </c>
      <c r="H209" s="3">
        <v>0</v>
      </c>
      <c r="I209" s="3">
        <f t="shared" si="16"/>
        <v>9315</v>
      </c>
      <c r="J209" s="2" t="s">
        <v>27</v>
      </c>
      <c r="K209" s="5">
        <v>46213.583333333343</v>
      </c>
      <c r="L209">
        <v>1</v>
      </c>
      <c r="M209" s="21">
        <f t="shared" si="17"/>
        <v>9315</v>
      </c>
      <c r="N209" t="str">
        <f t="shared" si="18"/>
        <v>ставка</v>
      </c>
      <c r="O209" s="3">
        <f t="shared" si="19"/>
        <v>182.65</v>
      </c>
      <c r="P209" s="5">
        <v>46214.5</v>
      </c>
      <c r="Q209" t="s">
        <v>23</v>
      </c>
      <c r="R209" s="2" t="s">
        <v>40</v>
      </c>
      <c r="S209">
        <v>52</v>
      </c>
      <c r="T209">
        <v>2</v>
      </c>
    </row>
    <row r="210" spans="1:20" ht="30" x14ac:dyDescent="0.25">
      <c r="A210" t="s">
        <v>627</v>
      </c>
      <c r="B210">
        <v>1</v>
      </c>
      <c r="C210" s="2" t="s">
        <v>628</v>
      </c>
      <c r="D210" s="3">
        <v>10215</v>
      </c>
      <c r="E210" s="4">
        <v>0</v>
      </c>
      <c r="F210" t="s">
        <v>23</v>
      </c>
      <c r="G210" s="3">
        <f t="shared" si="15"/>
        <v>10215</v>
      </c>
      <c r="H210" s="3">
        <v>0</v>
      </c>
      <c r="I210" s="3">
        <f t="shared" si="16"/>
        <v>10215</v>
      </c>
      <c r="J210" s="2" t="s">
        <v>27</v>
      </c>
      <c r="K210" s="5">
        <v>46232.583333333343</v>
      </c>
      <c r="L210">
        <v>1</v>
      </c>
      <c r="M210" s="21">
        <f t="shared" si="17"/>
        <v>10215</v>
      </c>
      <c r="N210" t="str">
        <f t="shared" si="18"/>
        <v>ставка</v>
      </c>
      <c r="O210" s="3">
        <f t="shared" si="19"/>
        <v>200.29</v>
      </c>
      <c r="P210" s="5">
        <v>46233.5</v>
      </c>
      <c r="Q210" t="s">
        <v>23</v>
      </c>
      <c r="R210" s="2" t="s">
        <v>40</v>
      </c>
      <c r="S210">
        <v>52</v>
      </c>
      <c r="T210">
        <v>2</v>
      </c>
    </row>
    <row r="211" spans="1:20" ht="30" x14ac:dyDescent="0.25">
      <c r="A211" t="s">
        <v>643</v>
      </c>
      <c r="B211">
        <v>1</v>
      </c>
      <c r="C211" s="2" t="s">
        <v>642</v>
      </c>
      <c r="D211" s="3">
        <v>12015</v>
      </c>
      <c r="E211" s="4">
        <v>0</v>
      </c>
      <c r="F211" t="s">
        <v>23</v>
      </c>
      <c r="G211" s="3">
        <f t="shared" si="15"/>
        <v>12015</v>
      </c>
      <c r="H211" s="3">
        <v>0</v>
      </c>
      <c r="I211" s="3">
        <f t="shared" si="16"/>
        <v>12015</v>
      </c>
      <c r="J211" s="2" t="s">
        <v>27</v>
      </c>
      <c r="K211" s="5">
        <v>46290.583333333343</v>
      </c>
      <c r="L211">
        <v>1</v>
      </c>
      <c r="M211" s="21">
        <f t="shared" si="17"/>
        <v>12015</v>
      </c>
      <c r="N211" t="str">
        <f t="shared" si="18"/>
        <v>ставка</v>
      </c>
      <c r="O211" s="3">
        <f t="shared" si="19"/>
        <v>235.59</v>
      </c>
      <c r="P211" s="5">
        <v>46291.5</v>
      </c>
      <c r="Q211" t="s">
        <v>23</v>
      </c>
      <c r="R211" s="2" t="s">
        <v>40</v>
      </c>
      <c r="S211">
        <v>52</v>
      </c>
      <c r="T211">
        <v>2</v>
      </c>
    </row>
    <row r="212" spans="1:20" ht="45" x14ac:dyDescent="0.25">
      <c r="A212" t="s">
        <v>658</v>
      </c>
      <c r="B212">
        <v>1</v>
      </c>
      <c r="C212" s="2" t="s">
        <v>659</v>
      </c>
      <c r="D212" s="3">
        <v>8900</v>
      </c>
      <c r="E212" s="4">
        <v>0</v>
      </c>
      <c r="F212" t="s">
        <v>23</v>
      </c>
      <c r="G212" s="3">
        <f t="shared" si="15"/>
        <v>8900</v>
      </c>
      <c r="H212" s="3">
        <v>0</v>
      </c>
      <c r="I212" s="3">
        <f t="shared" si="16"/>
        <v>8900</v>
      </c>
      <c r="J212" s="2" t="s">
        <v>27</v>
      </c>
      <c r="K212" s="5">
        <v>46219.583333333343</v>
      </c>
      <c r="L212">
        <v>1</v>
      </c>
      <c r="M212" s="21">
        <f t="shared" si="17"/>
        <v>8900</v>
      </c>
      <c r="N212" t="str">
        <f t="shared" si="18"/>
        <v>ставка</v>
      </c>
      <c r="O212" s="3">
        <f t="shared" si="19"/>
        <v>174.51</v>
      </c>
      <c r="P212" s="5">
        <v>46220.5</v>
      </c>
      <c r="Q212" t="s">
        <v>23</v>
      </c>
      <c r="R212" s="2" t="s">
        <v>87</v>
      </c>
      <c r="S212">
        <v>50</v>
      </c>
      <c r="T212">
        <v>2</v>
      </c>
    </row>
    <row r="213" spans="1:20" ht="30" x14ac:dyDescent="0.25">
      <c r="A213" t="s">
        <v>672</v>
      </c>
      <c r="B213">
        <v>1</v>
      </c>
      <c r="C213" s="2" t="s">
        <v>673</v>
      </c>
      <c r="D213" s="3">
        <v>71200</v>
      </c>
      <c r="E213" s="4">
        <v>0</v>
      </c>
      <c r="F213" t="s">
        <v>23</v>
      </c>
      <c r="G213" s="3">
        <f t="shared" si="15"/>
        <v>71200</v>
      </c>
      <c r="H213" s="3">
        <v>2960</v>
      </c>
      <c r="I213" s="3">
        <f t="shared" si="16"/>
        <v>74160</v>
      </c>
      <c r="J213" s="2" t="s">
        <v>674</v>
      </c>
      <c r="K213" s="5">
        <v>46233.583333333343</v>
      </c>
      <c r="L213">
        <v>4</v>
      </c>
      <c r="M213" s="21">
        <f t="shared" si="17"/>
        <v>18540</v>
      </c>
      <c r="N213" t="str">
        <f t="shared" si="18"/>
        <v>ставка</v>
      </c>
      <c r="O213" s="3">
        <f t="shared" si="19"/>
        <v>1454.12</v>
      </c>
      <c r="P213" s="5">
        <v>46237.666666666657</v>
      </c>
      <c r="Q213" t="s">
        <v>23</v>
      </c>
      <c r="R213" s="2" t="s">
        <v>45</v>
      </c>
      <c r="S213">
        <v>57</v>
      </c>
      <c r="T213">
        <v>2</v>
      </c>
    </row>
    <row r="214" spans="1:20" ht="30" x14ac:dyDescent="0.25">
      <c r="A214" t="s">
        <v>751</v>
      </c>
      <c r="B214">
        <v>1</v>
      </c>
      <c r="C214" s="2" t="s">
        <v>752</v>
      </c>
      <c r="D214" s="3">
        <v>10215</v>
      </c>
      <c r="E214" s="4">
        <v>0</v>
      </c>
      <c r="F214" t="s">
        <v>23</v>
      </c>
      <c r="G214" s="3">
        <f t="shared" si="15"/>
        <v>10215</v>
      </c>
      <c r="H214" s="3">
        <v>0</v>
      </c>
      <c r="I214" s="3">
        <f t="shared" si="16"/>
        <v>10215</v>
      </c>
      <c r="J214" s="2" t="s">
        <v>27</v>
      </c>
      <c r="K214" s="5">
        <v>46226.583333333343</v>
      </c>
      <c r="L214">
        <v>1</v>
      </c>
      <c r="M214" s="21">
        <f t="shared" si="17"/>
        <v>10215</v>
      </c>
      <c r="N214" t="str">
        <f t="shared" si="18"/>
        <v>ставка</v>
      </c>
      <c r="O214" s="3">
        <f t="shared" si="19"/>
        <v>200.29</v>
      </c>
      <c r="P214" s="5">
        <v>46227.5</v>
      </c>
      <c r="Q214" t="s">
        <v>23</v>
      </c>
      <c r="R214" s="2" t="s">
        <v>40</v>
      </c>
      <c r="S214">
        <v>55</v>
      </c>
      <c r="T214">
        <v>2</v>
      </c>
    </row>
    <row r="215" spans="1:20" x14ac:dyDescent="0.25">
      <c r="A215" t="s">
        <v>755</v>
      </c>
      <c r="B215">
        <v>1</v>
      </c>
      <c r="C215" s="2" t="s">
        <v>756</v>
      </c>
      <c r="D215" s="3">
        <v>26100</v>
      </c>
      <c r="E215" s="4">
        <v>0</v>
      </c>
      <c r="F215" t="s">
        <v>23</v>
      </c>
      <c r="G215" s="3">
        <f t="shared" si="15"/>
        <v>26100</v>
      </c>
      <c r="H215" s="3">
        <v>0</v>
      </c>
      <c r="I215" s="3">
        <f t="shared" si="16"/>
        <v>26100</v>
      </c>
      <c r="J215" s="2" t="s">
        <v>27</v>
      </c>
      <c r="K215" s="5">
        <v>46210.583333333343</v>
      </c>
      <c r="L215">
        <v>2</v>
      </c>
      <c r="M215" s="21">
        <f t="shared" si="17"/>
        <v>13050</v>
      </c>
      <c r="N215" t="str">
        <f t="shared" si="18"/>
        <v>ставка</v>
      </c>
      <c r="O215" s="3">
        <f t="shared" si="19"/>
        <v>511.76</v>
      </c>
      <c r="P215" s="5">
        <v>46212.5</v>
      </c>
      <c r="Q215" t="s">
        <v>23</v>
      </c>
      <c r="R215" s="2" t="s">
        <v>45</v>
      </c>
      <c r="S215">
        <v>57</v>
      </c>
      <c r="T215">
        <v>2</v>
      </c>
    </row>
    <row r="216" spans="1:20" x14ac:dyDescent="0.25">
      <c r="A216" t="s">
        <v>757</v>
      </c>
      <c r="B216">
        <v>1</v>
      </c>
      <c r="C216" s="2" t="s">
        <v>756</v>
      </c>
      <c r="D216" s="3">
        <v>56880</v>
      </c>
      <c r="E216" s="4">
        <v>0</v>
      </c>
      <c r="F216" t="s">
        <v>23</v>
      </c>
      <c r="G216" s="3">
        <f t="shared" si="15"/>
        <v>56880</v>
      </c>
      <c r="H216" s="3">
        <v>0</v>
      </c>
      <c r="I216" s="3">
        <f t="shared" si="16"/>
        <v>56880</v>
      </c>
      <c r="J216" s="2" t="s">
        <v>27</v>
      </c>
      <c r="K216" s="5">
        <v>46222.583333333343</v>
      </c>
      <c r="L216">
        <v>4</v>
      </c>
      <c r="M216" s="21">
        <f t="shared" si="17"/>
        <v>14220</v>
      </c>
      <c r="N216" t="str">
        <f t="shared" si="18"/>
        <v>ставка</v>
      </c>
      <c r="O216" s="3">
        <f t="shared" si="19"/>
        <v>1115.29</v>
      </c>
      <c r="P216" s="5">
        <v>46226.5</v>
      </c>
      <c r="Q216" t="s">
        <v>23</v>
      </c>
      <c r="R216" s="2" t="s">
        <v>45</v>
      </c>
      <c r="S216">
        <v>53</v>
      </c>
      <c r="T216">
        <v>2</v>
      </c>
    </row>
    <row r="217" spans="1:20" ht="45" x14ac:dyDescent="0.25">
      <c r="A217" t="s">
        <v>760</v>
      </c>
      <c r="B217">
        <v>1</v>
      </c>
      <c r="C217" s="2" t="s">
        <v>756</v>
      </c>
      <c r="D217" s="3">
        <v>14220</v>
      </c>
      <c r="E217" s="4">
        <v>0</v>
      </c>
      <c r="F217" t="s">
        <v>23</v>
      </c>
      <c r="G217" s="3">
        <f t="shared" si="15"/>
        <v>14220</v>
      </c>
      <c r="H217" s="3">
        <v>7110</v>
      </c>
      <c r="I217" s="3">
        <f t="shared" si="16"/>
        <v>21330</v>
      </c>
      <c r="J217" s="2" t="s">
        <v>761</v>
      </c>
      <c r="K217" s="5">
        <v>46273.583333333343</v>
      </c>
      <c r="L217">
        <v>1</v>
      </c>
      <c r="M217" s="21">
        <f t="shared" si="17"/>
        <v>21330</v>
      </c>
      <c r="N217" t="str">
        <f t="shared" si="18"/>
        <v>ставка</v>
      </c>
      <c r="O217" s="3">
        <f t="shared" si="19"/>
        <v>418.24</v>
      </c>
      <c r="P217" s="5">
        <v>46274.75</v>
      </c>
      <c r="Q217" t="s">
        <v>23</v>
      </c>
      <c r="R217" s="2" t="s">
        <v>45</v>
      </c>
      <c r="S217">
        <v>54</v>
      </c>
      <c r="T217">
        <v>2</v>
      </c>
    </row>
    <row r="218" spans="1:20" x14ac:dyDescent="0.25">
      <c r="A218" t="s">
        <v>762</v>
      </c>
      <c r="B218">
        <v>1</v>
      </c>
      <c r="C218" s="2" t="s">
        <v>756</v>
      </c>
      <c r="D218" s="3">
        <v>14220</v>
      </c>
      <c r="E218" s="4">
        <v>0</v>
      </c>
      <c r="F218" t="s">
        <v>23</v>
      </c>
      <c r="G218" s="3">
        <f t="shared" si="15"/>
        <v>14220</v>
      </c>
      <c r="H218" s="3">
        <v>0</v>
      </c>
      <c r="I218" s="3">
        <f t="shared" si="16"/>
        <v>14220</v>
      </c>
      <c r="J218" s="2" t="s">
        <v>27</v>
      </c>
      <c r="K218" s="5">
        <v>46279.583333333343</v>
      </c>
      <c r="L218">
        <v>1</v>
      </c>
      <c r="M218" s="21">
        <f t="shared" si="17"/>
        <v>14220</v>
      </c>
      <c r="N218" t="str">
        <f t="shared" si="18"/>
        <v>ставка</v>
      </c>
      <c r="O218" s="3">
        <f t="shared" si="19"/>
        <v>278.82</v>
      </c>
      <c r="P218" s="5">
        <v>46280.5</v>
      </c>
      <c r="Q218" t="s">
        <v>23</v>
      </c>
      <c r="R218" s="2" t="s">
        <v>45</v>
      </c>
      <c r="S218">
        <v>57</v>
      </c>
      <c r="T218">
        <v>2</v>
      </c>
    </row>
    <row r="219" spans="1:20" ht="30" x14ac:dyDescent="0.25">
      <c r="A219" t="s">
        <v>770</v>
      </c>
      <c r="B219">
        <v>1</v>
      </c>
      <c r="C219" s="2" t="s">
        <v>771</v>
      </c>
      <c r="D219" s="3">
        <v>17250</v>
      </c>
      <c r="E219" s="4">
        <v>0</v>
      </c>
      <c r="F219" t="s">
        <v>23</v>
      </c>
      <c r="G219" s="3">
        <f t="shared" si="15"/>
        <v>17250</v>
      </c>
      <c r="H219" s="3">
        <v>0</v>
      </c>
      <c r="I219" s="3">
        <f t="shared" si="16"/>
        <v>17250</v>
      </c>
      <c r="J219" s="2" t="s">
        <v>27</v>
      </c>
      <c r="K219" s="5">
        <v>46214.583333333343</v>
      </c>
      <c r="L219">
        <v>1</v>
      </c>
      <c r="M219" s="21">
        <f t="shared" si="17"/>
        <v>17250</v>
      </c>
      <c r="N219" t="str">
        <f t="shared" si="18"/>
        <v>ставка</v>
      </c>
      <c r="O219" s="3">
        <f t="shared" si="19"/>
        <v>338.24</v>
      </c>
      <c r="P219" s="5">
        <v>46215.5</v>
      </c>
      <c r="Q219" t="s">
        <v>23</v>
      </c>
      <c r="R219" s="2" t="s">
        <v>772</v>
      </c>
      <c r="S219">
        <v>51</v>
      </c>
      <c r="T219">
        <v>2</v>
      </c>
    </row>
    <row r="220" spans="1:20" x14ac:dyDescent="0.25">
      <c r="A220" t="s">
        <v>786</v>
      </c>
      <c r="B220">
        <v>1</v>
      </c>
      <c r="C220" s="2" t="s">
        <v>787</v>
      </c>
      <c r="D220" s="3">
        <v>28440</v>
      </c>
      <c r="E220" s="4">
        <v>0</v>
      </c>
      <c r="F220" t="s">
        <v>23</v>
      </c>
      <c r="G220" s="3">
        <f t="shared" si="15"/>
        <v>28440</v>
      </c>
      <c r="H220" s="3">
        <v>0</v>
      </c>
      <c r="I220" s="3">
        <f t="shared" si="16"/>
        <v>28440</v>
      </c>
      <c r="J220" s="2" t="s">
        <v>27</v>
      </c>
      <c r="K220" s="5">
        <v>46218.583333333343</v>
      </c>
      <c r="L220">
        <v>2</v>
      </c>
      <c r="M220" s="21">
        <f t="shared" si="17"/>
        <v>14220</v>
      </c>
      <c r="N220" t="str">
        <f t="shared" si="18"/>
        <v>ставка</v>
      </c>
      <c r="O220" s="3">
        <f t="shared" si="19"/>
        <v>557.65</v>
      </c>
      <c r="P220" s="5">
        <v>46220.5</v>
      </c>
      <c r="Q220" t="s">
        <v>23</v>
      </c>
      <c r="R220" s="2" t="s">
        <v>45</v>
      </c>
      <c r="S220">
        <v>53</v>
      </c>
      <c r="T220">
        <v>2</v>
      </c>
    </row>
    <row r="221" spans="1:20" ht="30" x14ac:dyDescent="0.25">
      <c r="A221" t="s">
        <v>796</v>
      </c>
      <c r="B221">
        <v>1</v>
      </c>
      <c r="C221" s="2" t="s">
        <v>797</v>
      </c>
      <c r="D221" s="3">
        <v>20430</v>
      </c>
      <c r="E221" s="4">
        <v>0</v>
      </c>
      <c r="F221" t="s">
        <v>23</v>
      </c>
      <c r="G221" s="3">
        <f t="shared" si="15"/>
        <v>20430</v>
      </c>
      <c r="H221" s="3">
        <v>0</v>
      </c>
      <c r="I221" s="3">
        <f t="shared" si="16"/>
        <v>20430</v>
      </c>
      <c r="J221" s="2" t="s">
        <v>27</v>
      </c>
      <c r="K221" s="5">
        <v>46227.583333333343</v>
      </c>
      <c r="L221">
        <v>2</v>
      </c>
      <c r="M221" s="21">
        <f t="shared" si="17"/>
        <v>10215</v>
      </c>
      <c r="N221" t="str">
        <f t="shared" si="18"/>
        <v>ставка</v>
      </c>
      <c r="O221" s="3">
        <f t="shared" si="19"/>
        <v>400.59</v>
      </c>
      <c r="P221" s="5">
        <v>46229.5</v>
      </c>
      <c r="Q221" t="s">
        <v>23</v>
      </c>
      <c r="R221" s="2" t="s">
        <v>40</v>
      </c>
      <c r="S221">
        <v>55</v>
      </c>
      <c r="T221">
        <v>2</v>
      </c>
    </row>
    <row r="222" spans="1:20" x14ac:dyDescent="0.25">
      <c r="A222" t="s">
        <v>820</v>
      </c>
      <c r="B222">
        <v>1</v>
      </c>
      <c r="C222" s="2" t="s">
        <v>821</v>
      </c>
      <c r="D222" s="3">
        <v>14220</v>
      </c>
      <c r="E222" s="4">
        <v>0</v>
      </c>
      <c r="F222" t="s">
        <v>23</v>
      </c>
      <c r="G222" s="3">
        <f t="shared" si="15"/>
        <v>14220</v>
      </c>
      <c r="H222" s="3">
        <v>0</v>
      </c>
      <c r="I222" s="3">
        <f t="shared" si="16"/>
        <v>14220</v>
      </c>
      <c r="J222" s="2" t="s">
        <v>27</v>
      </c>
      <c r="K222" s="5">
        <v>46232.583333333343</v>
      </c>
      <c r="L222">
        <v>1</v>
      </c>
      <c r="M222" s="21">
        <f t="shared" si="17"/>
        <v>14220</v>
      </c>
      <c r="N222" t="str">
        <f t="shared" si="18"/>
        <v>ставка</v>
      </c>
      <c r="O222" s="3">
        <f t="shared" si="19"/>
        <v>278.82</v>
      </c>
      <c r="P222" s="5">
        <v>46233.5</v>
      </c>
      <c r="Q222" t="s">
        <v>23</v>
      </c>
      <c r="R222" s="2" t="s">
        <v>45</v>
      </c>
      <c r="S222">
        <v>54</v>
      </c>
      <c r="T222">
        <v>2</v>
      </c>
    </row>
    <row r="223" spans="1:20" ht="45" x14ac:dyDescent="0.25">
      <c r="A223" t="s">
        <v>822</v>
      </c>
      <c r="B223">
        <v>1</v>
      </c>
      <c r="C223" s="2" t="s">
        <v>821</v>
      </c>
      <c r="D223" s="3">
        <v>11205</v>
      </c>
      <c r="E223" s="4">
        <v>0</v>
      </c>
      <c r="F223" t="s">
        <v>23</v>
      </c>
      <c r="G223" s="3">
        <f t="shared" si="15"/>
        <v>11205</v>
      </c>
      <c r="H223" s="3">
        <v>0</v>
      </c>
      <c r="I223" s="3">
        <f t="shared" si="16"/>
        <v>11205</v>
      </c>
      <c r="J223" s="2" t="s">
        <v>27</v>
      </c>
      <c r="K223" s="5">
        <v>46245.583333333343</v>
      </c>
      <c r="L223">
        <v>1</v>
      </c>
      <c r="M223" s="21">
        <f t="shared" si="17"/>
        <v>11205</v>
      </c>
      <c r="N223" t="str">
        <f t="shared" si="18"/>
        <v>ставка</v>
      </c>
      <c r="O223" s="3">
        <f t="shared" si="19"/>
        <v>219.71</v>
      </c>
      <c r="P223" s="5">
        <v>46246.5</v>
      </c>
      <c r="Q223" t="s">
        <v>23</v>
      </c>
      <c r="R223" s="2" t="s">
        <v>87</v>
      </c>
      <c r="S223">
        <v>50</v>
      </c>
      <c r="T223">
        <v>2</v>
      </c>
    </row>
    <row r="224" spans="1:20" ht="30" x14ac:dyDescent="0.25">
      <c r="A224" t="s">
        <v>823</v>
      </c>
      <c r="B224">
        <v>1</v>
      </c>
      <c r="C224" s="2" t="s">
        <v>821</v>
      </c>
      <c r="D224" s="3">
        <v>14240</v>
      </c>
      <c r="E224" s="4">
        <v>0</v>
      </c>
      <c r="F224" t="s">
        <v>23</v>
      </c>
      <c r="G224" s="3">
        <f t="shared" si="15"/>
        <v>14240</v>
      </c>
      <c r="H224" s="3">
        <v>300</v>
      </c>
      <c r="I224" s="3">
        <f t="shared" si="16"/>
        <v>14540</v>
      </c>
      <c r="J224" s="2" t="s">
        <v>824</v>
      </c>
      <c r="K224" s="5">
        <v>46269.583333333343</v>
      </c>
      <c r="L224">
        <v>1</v>
      </c>
      <c r="M224" s="21">
        <f t="shared" si="17"/>
        <v>14540</v>
      </c>
      <c r="N224" t="str">
        <f t="shared" si="18"/>
        <v>ставка</v>
      </c>
      <c r="O224" s="3">
        <f t="shared" si="19"/>
        <v>285.10000000000002</v>
      </c>
      <c r="P224" s="5">
        <v>46270.5</v>
      </c>
      <c r="Q224" t="s">
        <v>23</v>
      </c>
      <c r="R224" s="2" t="s">
        <v>45</v>
      </c>
      <c r="S224">
        <v>53</v>
      </c>
      <c r="T224">
        <v>2</v>
      </c>
    </row>
    <row r="225" spans="1:20" ht="30" hidden="1" x14ac:dyDescent="0.25">
      <c r="A225" t="s">
        <v>839</v>
      </c>
      <c r="B225">
        <v>1</v>
      </c>
      <c r="C225" s="2" t="s">
        <v>840</v>
      </c>
      <c r="D225" s="3">
        <v>7900</v>
      </c>
      <c r="E225" s="4">
        <v>0</v>
      </c>
      <c r="F225" t="s">
        <v>23</v>
      </c>
      <c r="G225" s="3">
        <f t="shared" si="15"/>
        <v>7900</v>
      </c>
      <c r="H225" s="3">
        <v>0</v>
      </c>
      <c r="I225" s="3">
        <f t="shared" si="16"/>
        <v>7900</v>
      </c>
      <c r="J225" s="2" t="s">
        <v>27</v>
      </c>
      <c r="K225" s="5">
        <v>46211.583333333343</v>
      </c>
      <c r="L225">
        <v>1</v>
      </c>
      <c r="M225" s="3">
        <f t="shared" si="17"/>
        <v>7900</v>
      </c>
      <c r="N225" t="str">
        <f t="shared" si="18"/>
        <v>ставка</v>
      </c>
      <c r="O225" s="3">
        <f t="shared" si="19"/>
        <v>154.9</v>
      </c>
      <c r="P225" s="5">
        <v>46212.5</v>
      </c>
      <c r="Q225" t="s">
        <v>23</v>
      </c>
      <c r="R225" s="2" t="s">
        <v>24</v>
      </c>
      <c r="S225">
        <v>59</v>
      </c>
      <c r="T225">
        <v>2</v>
      </c>
    </row>
    <row r="226" spans="1:20" ht="30" hidden="1" x14ac:dyDescent="0.25">
      <c r="A226" t="s">
        <v>841</v>
      </c>
      <c r="B226">
        <v>1</v>
      </c>
      <c r="C226" s="2" t="s">
        <v>840</v>
      </c>
      <c r="D226" s="3">
        <v>7900</v>
      </c>
      <c r="E226" s="4">
        <v>0</v>
      </c>
      <c r="F226" t="s">
        <v>23</v>
      </c>
      <c r="G226" s="3">
        <f t="shared" si="15"/>
        <v>7900</v>
      </c>
      <c r="H226" s="3">
        <v>0</v>
      </c>
      <c r="I226" s="3">
        <f t="shared" si="16"/>
        <v>7900</v>
      </c>
      <c r="J226" s="2" t="s">
        <v>27</v>
      </c>
      <c r="K226" s="5">
        <v>46212.583333333343</v>
      </c>
      <c r="L226">
        <v>1</v>
      </c>
      <c r="M226" s="3">
        <f t="shared" si="17"/>
        <v>7900</v>
      </c>
      <c r="N226" t="str">
        <f t="shared" si="18"/>
        <v>ставка</v>
      </c>
      <c r="O226" s="3">
        <f t="shared" si="19"/>
        <v>154.9</v>
      </c>
      <c r="P226" s="5">
        <v>46213.5</v>
      </c>
      <c r="Q226" t="s">
        <v>23</v>
      </c>
      <c r="R226" s="2" t="s">
        <v>24</v>
      </c>
      <c r="S226">
        <v>59</v>
      </c>
      <c r="T226">
        <v>2</v>
      </c>
    </row>
    <row r="227" spans="1:20" ht="30" x14ac:dyDescent="0.25">
      <c r="A227" t="s">
        <v>865</v>
      </c>
      <c r="B227">
        <v>1</v>
      </c>
      <c r="C227" s="2" t="s">
        <v>864</v>
      </c>
      <c r="D227" s="3">
        <v>56750</v>
      </c>
      <c r="E227" s="4">
        <v>0</v>
      </c>
      <c r="F227" t="s">
        <v>23</v>
      </c>
      <c r="G227" s="3">
        <f t="shared" si="15"/>
        <v>56750</v>
      </c>
      <c r="H227" s="3">
        <v>0</v>
      </c>
      <c r="I227" s="3">
        <f t="shared" si="16"/>
        <v>56750</v>
      </c>
      <c r="J227" s="2" t="s">
        <v>27</v>
      </c>
      <c r="K227" s="5">
        <v>46261.583333333343</v>
      </c>
      <c r="L227">
        <v>5</v>
      </c>
      <c r="M227" s="21">
        <f t="shared" si="17"/>
        <v>11350</v>
      </c>
      <c r="N227" t="str">
        <f t="shared" si="18"/>
        <v>ставка</v>
      </c>
      <c r="O227" s="3">
        <f t="shared" si="19"/>
        <v>1112.75</v>
      </c>
      <c r="P227" s="5">
        <v>46266.5</v>
      </c>
      <c r="Q227" t="s">
        <v>23</v>
      </c>
      <c r="R227" s="2" t="s">
        <v>40</v>
      </c>
      <c r="S227">
        <v>52</v>
      </c>
      <c r="T227">
        <v>2</v>
      </c>
    </row>
    <row r="228" spans="1:20" ht="30" x14ac:dyDescent="0.25">
      <c r="A228" t="s">
        <v>928</v>
      </c>
      <c r="B228">
        <v>1</v>
      </c>
      <c r="C228" s="2" t="s">
        <v>929</v>
      </c>
      <c r="D228" s="3">
        <v>53400</v>
      </c>
      <c r="E228" s="4">
        <v>0</v>
      </c>
      <c r="F228" t="s">
        <v>23</v>
      </c>
      <c r="G228" s="3">
        <f t="shared" si="15"/>
        <v>53400</v>
      </c>
      <c r="H228" s="3">
        <v>0</v>
      </c>
      <c r="I228" s="3">
        <f t="shared" si="16"/>
        <v>53400</v>
      </c>
      <c r="J228" s="2" t="s">
        <v>27</v>
      </c>
      <c r="K228" s="5">
        <v>46232.583333333343</v>
      </c>
      <c r="L228">
        <v>5</v>
      </c>
      <c r="M228" s="21">
        <f t="shared" si="17"/>
        <v>10680</v>
      </c>
      <c r="N228" t="str">
        <f t="shared" si="18"/>
        <v>ставка</v>
      </c>
      <c r="O228" s="3">
        <f t="shared" si="19"/>
        <v>1047.06</v>
      </c>
      <c r="P228" s="5">
        <v>46237.5</v>
      </c>
      <c r="Q228" t="s">
        <v>23</v>
      </c>
      <c r="R228" s="2" t="s">
        <v>40</v>
      </c>
      <c r="S228">
        <v>55</v>
      </c>
      <c r="T228">
        <v>2</v>
      </c>
    </row>
    <row r="229" spans="1:20" ht="30" x14ac:dyDescent="0.25">
      <c r="A229" t="s">
        <v>1030</v>
      </c>
      <c r="B229">
        <v>1</v>
      </c>
      <c r="C229" s="2" t="s">
        <v>1031</v>
      </c>
      <c r="D229" s="3">
        <v>13350</v>
      </c>
      <c r="E229" s="4">
        <v>0</v>
      </c>
      <c r="F229" t="s">
        <v>23</v>
      </c>
      <c r="G229" s="3">
        <f t="shared" si="15"/>
        <v>13350</v>
      </c>
      <c r="H229" s="3">
        <v>0</v>
      </c>
      <c r="I229" s="3">
        <f t="shared" si="16"/>
        <v>13350</v>
      </c>
      <c r="J229" s="2" t="s">
        <v>27</v>
      </c>
      <c r="K229" s="5">
        <v>46266.583333333343</v>
      </c>
      <c r="L229">
        <v>1</v>
      </c>
      <c r="M229" s="21">
        <f t="shared" si="17"/>
        <v>13350</v>
      </c>
      <c r="N229" t="str">
        <f t="shared" si="18"/>
        <v>ставка</v>
      </c>
      <c r="O229" s="3">
        <f t="shared" si="19"/>
        <v>261.76</v>
      </c>
      <c r="P229" s="5">
        <v>46267.5</v>
      </c>
      <c r="Q229" t="s">
        <v>23</v>
      </c>
      <c r="R229" s="2" t="s">
        <v>40</v>
      </c>
      <c r="S229">
        <v>55</v>
      </c>
      <c r="T229">
        <v>2</v>
      </c>
    </row>
    <row r="230" spans="1:20" x14ac:dyDescent="0.25">
      <c r="A230" t="s">
        <v>1037</v>
      </c>
      <c r="B230">
        <v>1</v>
      </c>
      <c r="C230" s="2" t="s">
        <v>1038</v>
      </c>
      <c r="D230" s="3">
        <v>16020</v>
      </c>
      <c r="E230" s="4">
        <v>0</v>
      </c>
      <c r="F230" t="s">
        <v>23</v>
      </c>
      <c r="G230" s="3">
        <f t="shared" si="15"/>
        <v>16020</v>
      </c>
      <c r="H230" s="3">
        <v>0</v>
      </c>
      <c r="I230" s="3">
        <f t="shared" si="16"/>
        <v>16020</v>
      </c>
      <c r="J230" s="2" t="s">
        <v>27</v>
      </c>
      <c r="K230" s="5">
        <v>46241.583333333343</v>
      </c>
      <c r="L230">
        <v>1</v>
      </c>
      <c r="M230" s="21">
        <f t="shared" si="17"/>
        <v>16020</v>
      </c>
      <c r="N230" t="str">
        <f t="shared" si="18"/>
        <v>ставка</v>
      </c>
      <c r="O230" s="3">
        <f t="shared" si="19"/>
        <v>314.12</v>
      </c>
      <c r="P230" s="5">
        <v>46242.5</v>
      </c>
      <c r="Q230" t="s">
        <v>23</v>
      </c>
      <c r="R230" s="2" t="s">
        <v>45</v>
      </c>
      <c r="S230">
        <v>54</v>
      </c>
      <c r="T230">
        <v>2</v>
      </c>
    </row>
    <row r="231" spans="1:20" ht="45" x14ac:dyDescent="0.25">
      <c r="A231" t="s">
        <v>1048</v>
      </c>
      <c r="B231">
        <v>1</v>
      </c>
      <c r="C231" s="2" t="s">
        <v>1049</v>
      </c>
      <c r="D231" s="3">
        <v>26010</v>
      </c>
      <c r="E231" s="4">
        <v>0</v>
      </c>
      <c r="F231" t="s">
        <v>23</v>
      </c>
      <c r="G231" s="3">
        <f t="shared" si="15"/>
        <v>26010</v>
      </c>
      <c r="H231" s="3">
        <v>0</v>
      </c>
      <c r="I231" s="3">
        <f t="shared" si="16"/>
        <v>26010</v>
      </c>
      <c r="J231" s="2" t="s">
        <v>27</v>
      </c>
      <c r="K231" s="5">
        <v>46279.583333333343</v>
      </c>
      <c r="L231">
        <v>2</v>
      </c>
      <c r="M231" s="21">
        <f t="shared" si="17"/>
        <v>13005</v>
      </c>
      <c r="N231" t="str">
        <f t="shared" si="18"/>
        <v>ставка</v>
      </c>
      <c r="O231" s="3">
        <f t="shared" si="19"/>
        <v>510</v>
      </c>
      <c r="P231" s="5">
        <v>46281.5</v>
      </c>
      <c r="Q231" t="s">
        <v>23</v>
      </c>
      <c r="R231" s="2" t="s">
        <v>87</v>
      </c>
      <c r="S231">
        <v>50</v>
      </c>
      <c r="T231">
        <v>2</v>
      </c>
    </row>
    <row r="232" spans="1:20" hidden="1" x14ac:dyDescent="0.25">
      <c r="A232" t="s">
        <v>1095</v>
      </c>
      <c r="B232">
        <v>1</v>
      </c>
      <c r="C232" s="2" t="s">
        <v>1096</v>
      </c>
      <c r="D232" s="3">
        <v>15800</v>
      </c>
      <c r="E232" s="4">
        <v>0</v>
      </c>
      <c r="F232" t="s">
        <v>23</v>
      </c>
      <c r="G232" s="3">
        <f t="shared" si="15"/>
        <v>15800</v>
      </c>
      <c r="H232" s="3">
        <v>0</v>
      </c>
      <c r="I232" s="3">
        <f t="shared" si="16"/>
        <v>15800</v>
      </c>
      <c r="J232" s="2" t="s">
        <v>27</v>
      </c>
      <c r="K232" s="5">
        <v>46255.583333333343</v>
      </c>
      <c r="L232">
        <v>1</v>
      </c>
      <c r="M232" s="3">
        <f t="shared" si="17"/>
        <v>15800</v>
      </c>
      <c r="N232" t="str">
        <f t="shared" si="18"/>
        <v>ставка</v>
      </c>
      <c r="O232" s="3">
        <f t="shared" si="19"/>
        <v>309.8</v>
      </c>
      <c r="P232" s="5">
        <v>46256.5</v>
      </c>
      <c r="Q232" t="s">
        <v>23</v>
      </c>
      <c r="R232" s="2" t="s">
        <v>45</v>
      </c>
      <c r="S232">
        <v>54</v>
      </c>
      <c r="T232">
        <v>2</v>
      </c>
    </row>
    <row r="233" spans="1:20" hidden="1" x14ac:dyDescent="0.25">
      <c r="A233" t="s">
        <v>1145</v>
      </c>
      <c r="B233">
        <v>1</v>
      </c>
      <c r="C233" s="2" t="s">
        <v>1146</v>
      </c>
      <c r="D233" s="3">
        <v>15800</v>
      </c>
      <c r="E233" s="4">
        <v>0</v>
      </c>
      <c r="F233" t="s">
        <v>23</v>
      </c>
      <c r="G233" s="3">
        <f t="shared" si="15"/>
        <v>15800</v>
      </c>
      <c r="H233" s="3">
        <v>0</v>
      </c>
      <c r="I233" s="3">
        <f t="shared" si="16"/>
        <v>15800</v>
      </c>
      <c r="J233" s="2" t="s">
        <v>27</v>
      </c>
      <c r="K233" s="5">
        <v>46288.583333333343</v>
      </c>
      <c r="L233">
        <v>1</v>
      </c>
      <c r="M233" s="3">
        <f t="shared" si="17"/>
        <v>15800</v>
      </c>
      <c r="N233" t="str">
        <f t="shared" si="18"/>
        <v>ставка</v>
      </c>
      <c r="O233" s="3">
        <f t="shared" si="19"/>
        <v>309.8</v>
      </c>
      <c r="P233" s="5">
        <v>46289.5</v>
      </c>
      <c r="Q233" t="s">
        <v>23</v>
      </c>
      <c r="R233" s="2" t="s">
        <v>45</v>
      </c>
      <c r="S233">
        <v>53</v>
      </c>
      <c r="T233">
        <v>2</v>
      </c>
    </row>
    <row r="234" spans="1:20" hidden="1" x14ac:dyDescent="0.25">
      <c r="A234" t="s">
        <v>1147</v>
      </c>
      <c r="B234">
        <v>1</v>
      </c>
      <c r="C234" s="2" t="s">
        <v>1146</v>
      </c>
      <c r="D234" s="3">
        <v>15800</v>
      </c>
      <c r="E234" s="4">
        <v>0</v>
      </c>
      <c r="F234" t="s">
        <v>23</v>
      </c>
      <c r="G234" s="3">
        <f t="shared" si="15"/>
        <v>15800</v>
      </c>
      <c r="H234" s="3">
        <v>0</v>
      </c>
      <c r="I234" s="3">
        <f t="shared" si="16"/>
        <v>15800</v>
      </c>
      <c r="J234" s="2" t="s">
        <v>27</v>
      </c>
      <c r="K234" s="5">
        <v>46289.583333333343</v>
      </c>
      <c r="L234">
        <v>1</v>
      </c>
      <c r="M234" s="3">
        <f t="shared" si="17"/>
        <v>15800</v>
      </c>
      <c r="N234" t="str">
        <f t="shared" si="18"/>
        <v>ставка</v>
      </c>
      <c r="O234" s="3">
        <f t="shared" si="19"/>
        <v>309.8</v>
      </c>
      <c r="P234" s="5">
        <v>46290.5</v>
      </c>
      <c r="Q234" t="s">
        <v>23</v>
      </c>
      <c r="R234" s="2" t="s">
        <v>45</v>
      </c>
      <c r="S234">
        <v>53</v>
      </c>
      <c r="T234">
        <v>2</v>
      </c>
    </row>
    <row r="235" spans="1:20" ht="30" hidden="1" x14ac:dyDescent="0.25">
      <c r="A235" t="s">
        <v>1168</v>
      </c>
      <c r="B235">
        <v>1</v>
      </c>
      <c r="C235" s="2" t="s">
        <v>1169</v>
      </c>
      <c r="D235" s="3">
        <v>13400</v>
      </c>
      <c r="E235" s="4">
        <v>0</v>
      </c>
      <c r="F235" t="s">
        <v>23</v>
      </c>
      <c r="G235" s="3">
        <f t="shared" si="15"/>
        <v>13400</v>
      </c>
      <c r="H235" s="3">
        <v>0</v>
      </c>
      <c r="I235" s="3">
        <f t="shared" si="16"/>
        <v>13400</v>
      </c>
      <c r="J235" s="2" t="s">
        <v>27</v>
      </c>
      <c r="K235" s="5">
        <v>46251.583333333343</v>
      </c>
      <c r="L235">
        <v>1</v>
      </c>
      <c r="M235" s="3">
        <f t="shared" si="17"/>
        <v>13400</v>
      </c>
      <c r="N235" t="str">
        <f t="shared" si="18"/>
        <v>ставка</v>
      </c>
      <c r="O235" s="3">
        <f t="shared" si="19"/>
        <v>262.75</v>
      </c>
      <c r="P235" s="5">
        <v>46252.5</v>
      </c>
      <c r="Q235" t="s">
        <v>23</v>
      </c>
      <c r="R235" s="2" t="s">
        <v>24</v>
      </c>
      <c r="S235">
        <v>59</v>
      </c>
      <c r="T235">
        <v>2</v>
      </c>
    </row>
    <row r="236" spans="1:20" hidden="1" x14ac:dyDescent="0.25">
      <c r="A236" t="s">
        <v>1208</v>
      </c>
      <c r="B236">
        <v>1</v>
      </c>
      <c r="C236" s="2" t="s">
        <v>1209</v>
      </c>
      <c r="D236" s="3">
        <v>14500</v>
      </c>
      <c r="E236" s="4">
        <v>0</v>
      </c>
      <c r="F236" t="s">
        <v>23</v>
      </c>
      <c r="G236" s="3">
        <f t="shared" si="15"/>
        <v>14500</v>
      </c>
      <c r="H236" s="3">
        <v>0</v>
      </c>
      <c r="I236" s="3">
        <f t="shared" si="16"/>
        <v>14500</v>
      </c>
      <c r="J236" s="2"/>
      <c r="K236" s="5">
        <v>46204.583333333343</v>
      </c>
      <c r="L236">
        <v>1</v>
      </c>
      <c r="M236" s="3">
        <f t="shared" si="17"/>
        <v>14500</v>
      </c>
      <c r="N236" t="str">
        <f t="shared" si="18"/>
        <v>ставка</v>
      </c>
      <c r="O236" s="3">
        <f t="shared" si="19"/>
        <v>284.31</v>
      </c>
      <c r="P236" s="5">
        <v>46205.5</v>
      </c>
      <c r="Q236" t="s">
        <v>23</v>
      </c>
      <c r="R236" s="2" t="s">
        <v>45</v>
      </c>
      <c r="S236">
        <v>54</v>
      </c>
      <c r="T236">
        <v>2</v>
      </c>
    </row>
    <row r="237" spans="1:20" hidden="1" x14ac:dyDescent="0.25">
      <c r="A237" t="s">
        <v>1215</v>
      </c>
      <c r="B237">
        <v>1</v>
      </c>
      <c r="C237" s="2" t="s">
        <v>1216</v>
      </c>
      <c r="D237" s="3">
        <v>17800</v>
      </c>
      <c r="E237" s="4">
        <v>0</v>
      </c>
      <c r="F237" t="s">
        <v>23</v>
      </c>
      <c r="G237" s="3">
        <f t="shared" si="15"/>
        <v>17800</v>
      </c>
      <c r="H237" s="3">
        <v>0</v>
      </c>
      <c r="I237" s="3">
        <f t="shared" si="16"/>
        <v>17800</v>
      </c>
      <c r="J237" s="2" t="s">
        <v>27</v>
      </c>
      <c r="K237" s="5">
        <v>46293.583333333343</v>
      </c>
      <c r="L237">
        <v>1</v>
      </c>
      <c r="M237" s="3">
        <f t="shared" si="17"/>
        <v>17800</v>
      </c>
      <c r="N237" t="str">
        <f t="shared" si="18"/>
        <v>ставка</v>
      </c>
      <c r="O237" s="3">
        <f t="shared" si="19"/>
        <v>349.02</v>
      </c>
      <c r="P237" s="5">
        <v>46294.5</v>
      </c>
      <c r="Q237" t="s">
        <v>23</v>
      </c>
      <c r="R237" s="2" t="s">
        <v>45</v>
      </c>
      <c r="S237">
        <v>54</v>
      </c>
      <c r="T237">
        <v>2</v>
      </c>
    </row>
    <row r="238" spans="1:20" ht="30" x14ac:dyDescent="0.25">
      <c r="A238" t="s">
        <v>1221</v>
      </c>
      <c r="B238">
        <v>1</v>
      </c>
      <c r="C238" s="2" t="s">
        <v>1222</v>
      </c>
      <c r="D238" s="3">
        <v>13350</v>
      </c>
      <c r="E238" s="4">
        <v>0</v>
      </c>
      <c r="F238" t="s">
        <v>23</v>
      </c>
      <c r="G238" s="3">
        <f t="shared" si="15"/>
        <v>13350</v>
      </c>
      <c r="H238" s="3">
        <v>0</v>
      </c>
      <c r="I238" s="3">
        <f t="shared" si="16"/>
        <v>13350</v>
      </c>
      <c r="J238" s="2" t="s">
        <v>27</v>
      </c>
      <c r="K238" s="5">
        <v>46214.583333333343</v>
      </c>
      <c r="L238">
        <v>1</v>
      </c>
      <c r="M238" s="21">
        <f t="shared" si="17"/>
        <v>13350</v>
      </c>
      <c r="N238" t="str">
        <f t="shared" si="18"/>
        <v>ставка</v>
      </c>
      <c r="O238" s="3">
        <f t="shared" si="19"/>
        <v>261.76</v>
      </c>
      <c r="P238" s="5">
        <v>46215.5</v>
      </c>
      <c r="Q238" t="s">
        <v>23</v>
      </c>
      <c r="R238" s="2" t="s">
        <v>40</v>
      </c>
      <c r="S238">
        <v>52</v>
      </c>
      <c r="T238">
        <v>2</v>
      </c>
    </row>
    <row r="239" spans="1:20" ht="75" x14ac:dyDescent="0.25">
      <c r="A239" t="s">
        <v>1301</v>
      </c>
      <c r="B239">
        <v>1</v>
      </c>
      <c r="C239" s="2" t="s">
        <v>1302</v>
      </c>
      <c r="D239" s="3">
        <v>52020</v>
      </c>
      <c r="E239" s="4">
        <v>0</v>
      </c>
      <c r="F239" t="s">
        <v>23</v>
      </c>
      <c r="G239" s="3">
        <f t="shared" si="15"/>
        <v>52020</v>
      </c>
      <c r="H239" s="3">
        <v>28625</v>
      </c>
      <c r="I239" s="3">
        <f t="shared" si="16"/>
        <v>80645</v>
      </c>
      <c r="J239" s="2" t="s">
        <v>1303</v>
      </c>
      <c r="K239" s="5">
        <v>46232.583333333343</v>
      </c>
      <c r="L239">
        <v>4</v>
      </c>
      <c r="M239" s="21">
        <f t="shared" si="17"/>
        <v>20161.25</v>
      </c>
      <c r="N239" t="str">
        <f t="shared" si="18"/>
        <v>ставка</v>
      </c>
      <c r="O239" s="3">
        <f t="shared" si="19"/>
        <v>1581.27</v>
      </c>
      <c r="P239" s="5">
        <v>46236.8125</v>
      </c>
      <c r="Q239" t="s">
        <v>23</v>
      </c>
      <c r="R239" s="2" t="s">
        <v>772</v>
      </c>
      <c r="S239">
        <v>51</v>
      </c>
      <c r="T239">
        <v>2</v>
      </c>
    </row>
    <row r="240" spans="1:20" ht="30" x14ac:dyDescent="0.25">
      <c r="A240" t="s">
        <v>1304</v>
      </c>
      <c r="B240">
        <v>1</v>
      </c>
      <c r="C240" s="2" t="s">
        <v>1305</v>
      </c>
      <c r="D240" s="3">
        <v>18841</v>
      </c>
      <c r="E240" s="4">
        <v>0</v>
      </c>
      <c r="F240" t="s">
        <v>23</v>
      </c>
      <c r="G240" s="3">
        <f t="shared" si="15"/>
        <v>18841</v>
      </c>
      <c r="H240" s="3">
        <v>0</v>
      </c>
      <c r="I240" s="3">
        <f t="shared" si="16"/>
        <v>18841</v>
      </c>
      <c r="J240" s="2" t="s">
        <v>27</v>
      </c>
      <c r="K240" s="5">
        <v>46214.583333333343</v>
      </c>
      <c r="L240">
        <v>2</v>
      </c>
      <c r="M240" s="21">
        <f t="shared" si="17"/>
        <v>9420.5</v>
      </c>
      <c r="N240" t="str">
        <f t="shared" si="18"/>
        <v>ставка</v>
      </c>
      <c r="O240" s="3">
        <f t="shared" si="19"/>
        <v>369.43</v>
      </c>
      <c r="P240" s="5">
        <v>46216.5</v>
      </c>
      <c r="Q240" t="s">
        <v>23</v>
      </c>
      <c r="R240" s="2" t="s">
        <v>40</v>
      </c>
      <c r="S240">
        <v>58</v>
      </c>
      <c r="T240">
        <v>2</v>
      </c>
    </row>
    <row r="241" spans="1:20" ht="30" hidden="1" x14ac:dyDescent="0.25">
      <c r="A241" t="s">
        <v>1333</v>
      </c>
      <c r="B241">
        <v>1</v>
      </c>
      <c r="C241" s="2" t="s">
        <v>1334</v>
      </c>
      <c r="D241" s="3">
        <v>40200</v>
      </c>
      <c r="E241" s="4">
        <v>0</v>
      </c>
      <c r="F241" t="s">
        <v>23</v>
      </c>
      <c r="G241" s="3">
        <f t="shared" si="15"/>
        <v>40200</v>
      </c>
      <c r="H241" s="3">
        <v>0</v>
      </c>
      <c r="I241" s="3">
        <f t="shared" si="16"/>
        <v>40200</v>
      </c>
      <c r="J241" s="2" t="s">
        <v>27</v>
      </c>
      <c r="K241" s="5">
        <v>46226.583333333343</v>
      </c>
      <c r="L241">
        <v>3</v>
      </c>
      <c r="M241" s="3">
        <f t="shared" si="17"/>
        <v>13400</v>
      </c>
      <c r="N241" t="str">
        <f t="shared" si="18"/>
        <v>ставка</v>
      </c>
      <c r="O241" s="3">
        <f t="shared" si="19"/>
        <v>788.24</v>
      </c>
      <c r="P241" s="5">
        <v>46229.5</v>
      </c>
      <c r="Q241" t="s">
        <v>23</v>
      </c>
      <c r="R241" s="2" t="s">
        <v>24</v>
      </c>
      <c r="S241">
        <v>59</v>
      </c>
      <c r="T241">
        <v>2</v>
      </c>
    </row>
    <row r="242" spans="1:20" ht="60" x14ac:dyDescent="0.25">
      <c r="A242" t="s">
        <v>1355</v>
      </c>
      <c r="B242">
        <v>1</v>
      </c>
      <c r="C242" s="2" t="s">
        <v>1356</v>
      </c>
      <c r="D242" s="3">
        <v>40460</v>
      </c>
      <c r="E242" s="4">
        <v>0</v>
      </c>
      <c r="F242" t="s">
        <v>23</v>
      </c>
      <c r="G242" s="3">
        <f t="shared" si="15"/>
        <v>40460</v>
      </c>
      <c r="H242" s="3">
        <v>19800</v>
      </c>
      <c r="I242" s="3">
        <f t="shared" si="16"/>
        <v>60260</v>
      </c>
      <c r="J242" s="2" t="s">
        <v>1357</v>
      </c>
      <c r="K242" s="5">
        <v>46251.583333333343</v>
      </c>
      <c r="L242">
        <v>3</v>
      </c>
      <c r="M242" s="21">
        <f t="shared" si="17"/>
        <v>20086.666666666668</v>
      </c>
      <c r="N242" t="str">
        <f t="shared" si="18"/>
        <v>ставка</v>
      </c>
      <c r="O242" s="3">
        <f t="shared" si="19"/>
        <v>1181.57</v>
      </c>
      <c r="P242" s="5">
        <v>46254.5</v>
      </c>
      <c r="Q242" t="s">
        <v>23</v>
      </c>
      <c r="R242" s="2" t="s">
        <v>87</v>
      </c>
      <c r="S242">
        <v>51</v>
      </c>
      <c r="T242">
        <v>2</v>
      </c>
    </row>
    <row r="243" spans="1:20" x14ac:dyDescent="0.25">
      <c r="A243" t="s">
        <v>1368</v>
      </c>
      <c r="B243">
        <v>1</v>
      </c>
      <c r="C243" s="2" t="s">
        <v>1369</v>
      </c>
      <c r="D243" s="3">
        <v>14240</v>
      </c>
      <c r="E243" s="4">
        <v>0</v>
      </c>
      <c r="F243" t="s">
        <v>23</v>
      </c>
      <c r="G243" s="3">
        <f t="shared" si="15"/>
        <v>14240</v>
      </c>
      <c r="H243" s="3">
        <v>0</v>
      </c>
      <c r="I243" s="3">
        <f t="shared" si="16"/>
        <v>14240</v>
      </c>
      <c r="J243" s="2" t="s">
        <v>27</v>
      </c>
      <c r="K243" s="5">
        <v>46205.583333333343</v>
      </c>
      <c r="L243">
        <v>1</v>
      </c>
      <c r="M243" s="21">
        <f t="shared" si="17"/>
        <v>14240</v>
      </c>
      <c r="N243" t="str">
        <f t="shared" si="18"/>
        <v>ставка</v>
      </c>
      <c r="O243" s="3">
        <f t="shared" si="19"/>
        <v>279.22000000000003</v>
      </c>
      <c r="P243" s="5">
        <v>46206.5</v>
      </c>
      <c r="Q243" t="s">
        <v>23</v>
      </c>
      <c r="R243" s="2" t="s">
        <v>45</v>
      </c>
      <c r="S243">
        <v>53</v>
      </c>
      <c r="T243">
        <v>2</v>
      </c>
    </row>
    <row r="244" spans="1:20" ht="45" x14ac:dyDescent="0.25">
      <c r="A244" t="s">
        <v>1400</v>
      </c>
      <c r="B244">
        <v>1</v>
      </c>
      <c r="C244" s="2" t="s">
        <v>1401</v>
      </c>
      <c r="D244" s="3">
        <v>27720</v>
      </c>
      <c r="E244" s="4">
        <v>0</v>
      </c>
      <c r="F244" t="s">
        <v>23</v>
      </c>
      <c r="G244" s="3">
        <f t="shared" si="15"/>
        <v>27720</v>
      </c>
      <c r="H244" s="3">
        <v>1520</v>
      </c>
      <c r="I244" s="3">
        <f t="shared" si="16"/>
        <v>29240</v>
      </c>
      <c r="J244" s="2" t="s">
        <v>1402</v>
      </c>
      <c r="K244" s="5">
        <v>46271.583333333343</v>
      </c>
      <c r="L244">
        <v>2</v>
      </c>
      <c r="M244" s="21">
        <f t="shared" si="17"/>
        <v>14620</v>
      </c>
      <c r="N244" t="str">
        <f t="shared" si="18"/>
        <v>ставка</v>
      </c>
      <c r="O244" s="3">
        <f t="shared" si="19"/>
        <v>573.33000000000004</v>
      </c>
      <c r="P244" s="5">
        <v>46273.5</v>
      </c>
      <c r="Q244" t="s">
        <v>23</v>
      </c>
      <c r="R244" s="2" t="s">
        <v>24</v>
      </c>
      <c r="S244">
        <v>56</v>
      </c>
      <c r="T244">
        <v>2</v>
      </c>
    </row>
    <row r="245" spans="1:20" ht="30" x14ac:dyDescent="0.25">
      <c r="A245" t="s">
        <v>1469</v>
      </c>
      <c r="B245">
        <v>1</v>
      </c>
      <c r="C245" s="2" t="s">
        <v>1470</v>
      </c>
      <c r="D245" s="3">
        <v>30645</v>
      </c>
      <c r="E245" s="4">
        <v>0</v>
      </c>
      <c r="F245" t="s">
        <v>23</v>
      </c>
      <c r="G245" s="3">
        <f t="shared" si="15"/>
        <v>30645</v>
      </c>
      <c r="H245" s="3">
        <v>0</v>
      </c>
      <c r="I245" s="3">
        <f t="shared" si="16"/>
        <v>30645</v>
      </c>
      <c r="J245" s="2" t="s">
        <v>27</v>
      </c>
      <c r="K245" s="5">
        <v>46226.583333333343</v>
      </c>
      <c r="L245">
        <v>3</v>
      </c>
      <c r="M245" s="21">
        <f t="shared" si="17"/>
        <v>10215</v>
      </c>
      <c r="N245" t="str">
        <f t="shared" si="18"/>
        <v>ставка</v>
      </c>
      <c r="O245" s="3">
        <f t="shared" si="19"/>
        <v>600.88</v>
      </c>
      <c r="P245" s="5">
        <v>46229.5</v>
      </c>
      <c r="Q245" t="s">
        <v>23</v>
      </c>
      <c r="R245" s="2" t="s">
        <v>40</v>
      </c>
      <c r="S245">
        <v>58</v>
      </c>
      <c r="T245">
        <v>2</v>
      </c>
    </row>
    <row r="246" spans="1:20" ht="30" x14ac:dyDescent="0.25">
      <c r="A246" t="s">
        <v>1473</v>
      </c>
      <c r="B246">
        <v>1</v>
      </c>
      <c r="C246" s="2" t="s">
        <v>1474</v>
      </c>
      <c r="D246" s="3">
        <v>30000</v>
      </c>
      <c r="E246" s="4">
        <v>0</v>
      </c>
      <c r="F246" t="s">
        <v>23</v>
      </c>
      <c r="G246" s="3">
        <f t="shared" si="15"/>
        <v>30000</v>
      </c>
      <c r="H246" s="3">
        <v>0</v>
      </c>
      <c r="I246" s="3">
        <f t="shared" si="16"/>
        <v>30000</v>
      </c>
      <c r="J246" s="2" t="s">
        <v>27</v>
      </c>
      <c r="K246" s="5">
        <v>46209.583333333343</v>
      </c>
      <c r="L246">
        <v>2</v>
      </c>
      <c r="M246" s="21">
        <f t="shared" si="17"/>
        <v>15000</v>
      </c>
      <c r="N246" t="str">
        <f t="shared" si="18"/>
        <v>ставка</v>
      </c>
      <c r="O246" s="3">
        <f t="shared" si="19"/>
        <v>588.24</v>
      </c>
      <c r="P246" s="5">
        <v>46211.5</v>
      </c>
      <c r="Q246" t="s">
        <v>23</v>
      </c>
      <c r="R246" s="2" t="s">
        <v>40</v>
      </c>
      <c r="S246">
        <v>55</v>
      </c>
      <c r="T246">
        <v>2</v>
      </c>
    </row>
    <row r="247" spans="1:20" ht="30" x14ac:dyDescent="0.25">
      <c r="A247" t="s">
        <v>1475</v>
      </c>
      <c r="B247">
        <v>1</v>
      </c>
      <c r="C247" s="2" t="s">
        <v>1476</v>
      </c>
      <c r="D247" s="3">
        <v>83160</v>
      </c>
      <c r="E247" s="4">
        <v>0</v>
      </c>
      <c r="F247" t="s">
        <v>23</v>
      </c>
      <c r="G247" s="3">
        <f t="shared" si="15"/>
        <v>83160</v>
      </c>
      <c r="H247" s="3">
        <v>0</v>
      </c>
      <c r="I247" s="3">
        <f t="shared" si="16"/>
        <v>83160</v>
      </c>
      <c r="J247" s="2" t="s">
        <v>27</v>
      </c>
      <c r="K247" s="5">
        <v>46280.583333333343</v>
      </c>
      <c r="L247">
        <v>6</v>
      </c>
      <c r="M247" s="21">
        <f t="shared" si="17"/>
        <v>13860</v>
      </c>
      <c r="N247" t="str">
        <f t="shared" si="18"/>
        <v>ставка</v>
      </c>
      <c r="O247" s="3">
        <f t="shared" si="19"/>
        <v>1630.59</v>
      </c>
      <c r="P247" s="5">
        <v>46286.5</v>
      </c>
      <c r="Q247" t="s">
        <v>23</v>
      </c>
      <c r="R247" s="2" t="s">
        <v>24</v>
      </c>
      <c r="S247">
        <v>56</v>
      </c>
      <c r="T247">
        <v>2</v>
      </c>
    </row>
    <row r="248" spans="1:20" ht="45" x14ac:dyDescent="0.25">
      <c r="A248" t="s">
        <v>1486</v>
      </c>
      <c r="B248">
        <v>1</v>
      </c>
      <c r="C248" s="2" t="s">
        <v>1487</v>
      </c>
      <c r="D248" s="3">
        <v>12500</v>
      </c>
      <c r="E248" s="4">
        <v>0</v>
      </c>
      <c r="F248" t="s">
        <v>23</v>
      </c>
      <c r="G248" s="3">
        <f t="shared" si="15"/>
        <v>12500</v>
      </c>
      <c r="H248" s="3">
        <v>0</v>
      </c>
      <c r="I248" s="3">
        <f t="shared" si="16"/>
        <v>12500</v>
      </c>
      <c r="J248" s="2" t="s">
        <v>27</v>
      </c>
      <c r="K248" s="5">
        <v>46284.583333333343</v>
      </c>
      <c r="L248">
        <v>1</v>
      </c>
      <c r="M248" s="21">
        <f t="shared" si="17"/>
        <v>12500</v>
      </c>
      <c r="N248" t="str">
        <f t="shared" si="18"/>
        <v>ставка</v>
      </c>
      <c r="O248" s="3">
        <f t="shared" si="19"/>
        <v>245.1</v>
      </c>
      <c r="P248" s="5">
        <v>46285.5</v>
      </c>
      <c r="Q248" t="s">
        <v>23</v>
      </c>
      <c r="R248" s="2" t="s">
        <v>87</v>
      </c>
      <c r="S248">
        <v>51</v>
      </c>
      <c r="T248">
        <v>2</v>
      </c>
    </row>
    <row r="249" spans="1:20" hidden="1" x14ac:dyDescent="0.25">
      <c r="A249" t="s">
        <v>1507</v>
      </c>
      <c r="B249">
        <v>1</v>
      </c>
      <c r="C249" s="2" t="s">
        <v>1508</v>
      </c>
      <c r="D249" s="3">
        <v>17800</v>
      </c>
      <c r="E249" s="4">
        <v>0</v>
      </c>
      <c r="F249" t="s">
        <v>23</v>
      </c>
      <c r="G249" s="3">
        <f t="shared" si="15"/>
        <v>17800</v>
      </c>
      <c r="H249" s="3">
        <v>0</v>
      </c>
      <c r="I249" s="3">
        <f t="shared" si="16"/>
        <v>17800</v>
      </c>
      <c r="J249" s="2" t="s">
        <v>27</v>
      </c>
      <c r="K249" s="5">
        <v>46228.583333333343</v>
      </c>
      <c r="L249">
        <v>1</v>
      </c>
      <c r="M249" s="3">
        <f t="shared" si="17"/>
        <v>17800</v>
      </c>
      <c r="N249" t="str">
        <f t="shared" si="18"/>
        <v>ставка</v>
      </c>
      <c r="O249" s="3">
        <f t="shared" si="19"/>
        <v>349.02</v>
      </c>
      <c r="P249" s="5">
        <v>46229.5</v>
      </c>
      <c r="Q249" t="s">
        <v>23</v>
      </c>
      <c r="R249" s="2" t="s">
        <v>45</v>
      </c>
      <c r="S249">
        <v>53</v>
      </c>
      <c r="T249">
        <v>2</v>
      </c>
    </row>
    <row r="250" spans="1:20" ht="45" x14ac:dyDescent="0.25">
      <c r="A250" t="s">
        <v>1602</v>
      </c>
      <c r="B250">
        <v>1</v>
      </c>
      <c r="C250" s="2" t="s">
        <v>1603</v>
      </c>
      <c r="D250" s="3">
        <v>9315</v>
      </c>
      <c r="E250" s="4">
        <v>0</v>
      </c>
      <c r="F250" t="s">
        <v>23</v>
      </c>
      <c r="G250" s="3">
        <f t="shared" si="15"/>
        <v>9315</v>
      </c>
      <c r="H250" s="3">
        <v>0</v>
      </c>
      <c r="I250" s="3">
        <f t="shared" si="16"/>
        <v>9315</v>
      </c>
      <c r="J250" s="2" t="s">
        <v>27</v>
      </c>
      <c r="K250" s="5">
        <v>46206.583333333343</v>
      </c>
      <c r="L250">
        <v>1</v>
      </c>
      <c r="M250" s="21">
        <f t="shared" si="17"/>
        <v>9315</v>
      </c>
      <c r="N250" t="str">
        <f t="shared" si="18"/>
        <v>ставка</v>
      </c>
      <c r="O250" s="3">
        <f t="shared" si="19"/>
        <v>182.65</v>
      </c>
      <c r="P250" s="5">
        <v>46207.5</v>
      </c>
      <c r="Q250" t="s">
        <v>23</v>
      </c>
      <c r="R250" s="2" t="s">
        <v>87</v>
      </c>
      <c r="S250">
        <v>50</v>
      </c>
      <c r="T250">
        <v>2</v>
      </c>
    </row>
    <row r="251" spans="1:20" x14ac:dyDescent="0.25">
      <c r="A251" t="s">
        <v>1604</v>
      </c>
      <c r="B251">
        <v>1</v>
      </c>
      <c r="C251" s="2" t="s">
        <v>1603</v>
      </c>
      <c r="D251" s="3">
        <v>14220</v>
      </c>
      <c r="E251" s="4">
        <v>0</v>
      </c>
      <c r="F251" t="s">
        <v>23</v>
      </c>
      <c r="G251" s="3">
        <f t="shared" si="15"/>
        <v>14220</v>
      </c>
      <c r="H251" s="3">
        <v>0</v>
      </c>
      <c r="I251" s="3">
        <f t="shared" si="16"/>
        <v>14220</v>
      </c>
      <c r="J251" s="2" t="s">
        <v>27</v>
      </c>
      <c r="K251" s="5">
        <v>46224.583333333343</v>
      </c>
      <c r="L251">
        <v>1</v>
      </c>
      <c r="M251" s="21">
        <f t="shared" si="17"/>
        <v>14220</v>
      </c>
      <c r="N251" t="str">
        <f t="shared" si="18"/>
        <v>ставка</v>
      </c>
      <c r="O251" s="3">
        <f t="shared" si="19"/>
        <v>278.82</v>
      </c>
      <c r="P251" s="5">
        <v>46225.5</v>
      </c>
      <c r="Q251" t="s">
        <v>23</v>
      </c>
      <c r="R251" s="2" t="s">
        <v>45</v>
      </c>
      <c r="S251">
        <v>54</v>
      </c>
      <c r="T251">
        <v>2</v>
      </c>
    </row>
    <row r="252" spans="1:20" x14ac:dyDescent="0.25">
      <c r="A252" t="s">
        <v>1605</v>
      </c>
      <c r="B252">
        <v>1</v>
      </c>
      <c r="C252" s="2" t="s">
        <v>1603</v>
      </c>
      <c r="D252" s="3">
        <v>14220</v>
      </c>
      <c r="E252" s="4">
        <v>0</v>
      </c>
      <c r="F252" t="s">
        <v>23</v>
      </c>
      <c r="G252" s="3">
        <f t="shared" si="15"/>
        <v>14220</v>
      </c>
      <c r="H252" s="3">
        <v>0</v>
      </c>
      <c r="I252" s="3">
        <f t="shared" si="16"/>
        <v>14220</v>
      </c>
      <c r="J252" s="2" t="s">
        <v>27</v>
      </c>
      <c r="K252" s="5">
        <v>46241.583333333343</v>
      </c>
      <c r="L252">
        <v>1</v>
      </c>
      <c r="M252" s="21">
        <f t="shared" si="17"/>
        <v>14220</v>
      </c>
      <c r="N252" t="str">
        <f t="shared" si="18"/>
        <v>ставка</v>
      </c>
      <c r="O252" s="3">
        <f t="shared" si="19"/>
        <v>278.82</v>
      </c>
      <c r="P252" s="5">
        <v>46242.5</v>
      </c>
      <c r="Q252" t="s">
        <v>23</v>
      </c>
      <c r="R252" s="2" t="s">
        <v>45</v>
      </c>
      <c r="S252">
        <v>53</v>
      </c>
      <c r="T252">
        <v>2</v>
      </c>
    </row>
    <row r="253" spans="1:20" ht="45" hidden="1" x14ac:dyDescent="0.25">
      <c r="A253" t="s">
        <v>1606</v>
      </c>
      <c r="B253">
        <v>1</v>
      </c>
      <c r="C253" s="2" t="s">
        <v>1603</v>
      </c>
      <c r="D253" s="3">
        <v>14450</v>
      </c>
      <c r="E253" s="4">
        <v>0</v>
      </c>
      <c r="F253" t="s">
        <v>23</v>
      </c>
      <c r="G253" s="3">
        <f t="shared" si="15"/>
        <v>14450</v>
      </c>
      <c r="H253" s="3">
        <v>0</v>
      </c>
      <c r="I253" s="3">
        <f t="shared" si="16"/>
        <v>14450</v>
      </c>
      <c r="J253" s="2" t="s">
        <v>27</v>
      </c>
      <c r="K253" s="5">
        <v>46282.583333333343</v>
      </c>
      <c r="L253">
        <v>1</v>
      </c>
      <c r="M253" s="3">
        <f t="shared" si="17"/>
        <v>14450</v>
      </c>
      <c r="N253" t="str">
        <f t="shared" si="18"/>
        <v>ставка</v>
      </c>
      <c r="O253" s="3">
        <f t="shared" si="19"/>
        <v>283.33</v>
      </c>
      <c r="P253" s="5">
        <v>46283.5</v>
      </c>
      <c r="Q253" t="s">
        <v>23</v>
      </c>
      <c r="R253" s="2" t="s">
        <v>87</v>
      </c>
      <c r="S253">
        <v>51</v>
      </c>
      <c r="T253">
        <v>2</v>
      </c>
    </row>
    <row r="254" spans="1:20" ht="30" hidden="1" x14ac:dyDescent="0.25">
      <c r="A254" t="s">
        <v>1661</v>
      </c>
      <c r="B254">
        <v>1</v>
      </c>
      <c r="C254" s="2" t="s">
        <v>1662</v>
      </c>
      <c r="D254" s="3">
        <v>15400</v>
      </c>
      <c r="E254" s="4">
        <v>0</v>
      </c>
      <c r="F254" t="s">
        <v>23</v>
      </c>
      <c r="G254" s="3">
        <f t="shared" si="15"/>
        <v>15400</v>
      </c>
      <c r="H254" s="3">
        <v>0</v>
      </c>
      <c r="I254" s="3">
        <f t="shared" si="16"/>
        <v>15400</v>
      </c>
      <c r="J254" s="2" t="s">
        <v>27</v>
      </c>
      <c r="K254" s="5">
        <v>46271.583333333343</v>
      </c>
      <c r="L254">
        <v>1</v>
      </c>
      <c r="M254" s="3">
        <f t="shared" si="17"/>
        <v>15400</v>
      </c>
      <c r="N254" t="str">
        <f t="shared" si="18"/>
        <v>ставка</v>
      </c>
      <c r="O254" s="3">
        <f t="shared" si="19"/>
        <v>301.95999999999998</v>
      </c>
      <c r="P254" s="5">
        <v>46272.5</v>
      </c>
      <c r="Q254" t="s">
        <v>23</v>
      </c>
      <c r="R254" s="2" t="s">
        <v>24</v>
      </c>
      <c r="S254">
        <v>59</v>
      </c>
      <c r="T254">
        <v>2</v>
      </c>
    </row>
    <row r="255" spans="1:20" ht="45" x14ac:dyDescent="0.25">
      <c r="A255" t="s">
        <v>1665</v>
      </c>
      <c r="B255">
        <v>1</v>
      </c>
      <c r="C255" s="2" t="s">
        <v>1666</v>
      </c>
      <c r="D255" s="3">
        <v>8900</v>
      </c>
      <c r="E255" s="4">
        <v>0</v>
      </c>
      <c r="F255" t="s">
        <v>23</v>
      </c>
      <c r="G255" s="3">
        <f t="shared" si="15"/>
        <v>8900</v>
      </c>
      <c r="H255" s="3">
        <v>0</v>
      </c>
      <c r="I255" s="3">
        <f t="shared" si="16"/>
        <v>8900</v>
      </c>
      <c r="J255" s="2" t="s">
        <v>27</v>
      </c>
      <c r="K255" s="5">
        <v>46244.583333333343</v>
      </c>
      <c r="L255">
        <v>1</v>
      </c>
      <c r="M255" s="21">
        <f t="shared" si="17"/>
        <v>8900</v>
      </c>
      <c r="N255" t="str">
        <f t="shared" si="18"/>
        <v>ставка</v>
      </c>
      <c r="O255" s="3">
        <f t="shared" si="19"/>
        <v>174.51</v>
      </c>
      <c r="P255" s="5">
        <v>46245.5</v>
      </c>
      <c r="Q255" t="s">
        <v>23</v>
      </c>
      <c r="R255" s="2" t="s">
        <v>87</v>
      </c>
      <c r="S255">
        <v>51</v>
      </c>
      <c r="T255">
        <v>2</v>
      </c>
    </row>
    <row r="256" spans="1:20" ht="30" hidden="1" x14ac:dyDescent="0.25">
      <c r="A256" t="s">
        <v>1687</v>
      </c>
      <c r="B256">
        <v>1</v>
      </c>
      <c r="C256" s="2" t="s">
        <v>1688</v>
      </c>
      <c r="D256" s="3">
        <v>43350</v>
      </c>
      <c r="E256" s="4">
        <v>0</v>
      </c>
      <c r="F256" t="s">
        <v>23</v>
      </c>
      <c r="G256" s="3">
        <f t="shared" si="15"/>
        <v>43350</v>
      </c>
      <c r="H256" s="3">
        <v>0</v>
      </c>
      <c r="I256" s="3">
        <f t="shared" si="16"/>
        <v>43350</v>
      </c>
      <c r="J256" s="2" t="s">
        <v>27</v>
      </c>
      <c r="K256" s="5">
        <v>46255.583333333343</v>
      </c>
      <c r="L256">
        <v>3</v>
      </c>
      <c r="M256" s="3">
        <f t="shared" si="17"/>
        <v>14450</v>
      </c>
      <c r="N256" t="str">
        <f t="shared" si="18"/>
        <v>ставка</v>
      </c>
      <c r="O256" s="3">
        <f t="shared" si="19"/>
        <v>850</v>
      </c>
      <c r="P256" s="5">
        <v>46258.5</v>
      </c>
      <c r="Q256" t="s">
        <v>23</v>
      </c>
      <c r="R256" s="2" t="s">
        <v>772</v>
      </c>
      <c r="S256">
        <v>50</v>
      </c>
      <c r="T256">
        <v>2</v>
      </c>
    </row>
    <row r="257" spans="1:20" ht="45" hidden="1" x14ac:dyDescent="0.25">
      <c r="A257" t="s">
        <v>1689</v>
      </c>
      <c r="B257">
        <v>1</v>
      </c>
      <c r="C257" s="2" t="s">
        <v>1688</v>
      </c>
      <c r="D257" s="3">
        <v>28900</v>
      </c>
      <c r="E257" s="4">
        <v>0</v>
      </c>
      <c r="F257" t="s">
        <v>23</v>
      </c>
      <c r="G257" s="3">
        <f t="shared" si="15"/>
        <v>28900</v>
      </c>
      <c r="H257" s="3">
        <v>0</v>
      </c>
      <c r="I257" s="3">
        <f t="shared" si="16"/>
        <v>28900</v>
      </c>
      <c r="J257" s="2" t="s">
        <v>27</v>
      </c>
      <c r="K257" s="5">
        <v>46265.583333333343</v>
      </c>
      <c r="L257">
        <v>2</v>
      </c>
      <c r="M257" s="3">
        <f t="shared" si="17"/>
        <v>14450</v>
      </c>
      <c r="N257" t="str">
        <f t="shared" si="18"/>
        <v>ставка</v>
      </c>
      <c r="O257" s="3">
        <f t="shared" si="19"/>
        <v>566.66999999999996</v>
      </c>
      <c r="P257" s="5">
        <v>46267.5</v>
      </c>
      <c r="Q257" t="s">
        <v>23</v>
      </c>
      <c r="R257" s="2" t="s">
        <v>87</v>
      </c>
      <c r="S257">
        <v>50</v>
      </c>
      <c r="T257">
        <v>2</v>
      </c>
    </row>
    <row r="258" spans="1:20" ht="45" hidden="1" x14ac:dyDescent="0.25">
      <c r="A258" t="s">
        <v>1719</v>
      </c>
      <c r="B258">
        <v>1</v>
      </c>
      <c r="C258" s="2" t="s">
        <v>1720</v>
      </c>
      <c r="D258" s="3">
        <v>12450</v>
      </c>
      <c r="E258" s="4">
        <v>0</v>
      </c>
      <c r="F258" t="s">
        <v>23</v>
      </c>
      <c r="G258" s="3">
        <f t="shared" ref="G258:G302" si="20">ROUND(D258/(100-E258)*100,2)</f>
        <v>12450</v>
      </c>
      <c r="H258" s="3">
        <v>0</v>
      </c>
      <c r="I258" s="3">
        <f t="shared" ref="I258:I302" si="21">ROUND(G258+H258,2)</f>
        <v>12450</v>
      </c>
      <c r="J258" s="2" t="s">
        <v>27</v>
      </c>
      <c r="K258" s="5">
        <v>46243.583333333343</v>
      </c>
      <c r="L258">
        <v>1</v>
      </c>
      <c r="M258" s="3">
        <f t="shared" ref="M258:M302" si="22">I258/L258</f>
        <v>12450</v>
      </c>
      <c r="N258" t="str">
        <f t="shared" ref="N258:N302" si="23">IF(M258&gt;=5100,"ставка","мин.ставка")</f>
        <v>ставка</v>
      </c>
      <c r="O258" s="3">
        <f t="shared" ref="O258:O302" si="24">ROUND(IF(N258="мин.ставка",L258*100,I258/102*2),2)</f>
        <v>244.12</v>
      </c>
      <c r="P258" s="5">
        <v>46244.5</v>
      </c>
      <c r="Q258" t="s">
        <v>23</v>
      </c>
      <c r="R258" s="2" t="s">
        <v>87</v>
      </c>
      <c r="S258">
        <v>50</v>
      </c>
      <c r="T258">
        <v>2</v>
      </c>
    </row>
    <row r="259" spans="1:20" ht="45" x14ac:dyDescent="0.25">
      <c r="A259" t="s">
        <v>1729</v>
      </c>
      <c r="B259">
        <v>1</v>
      </c>
      <c r="C259" s="2" t="s">
        <v>1730</v>
      </c>
      <c r="D259" s="3">
        <v>12350</v>
      </c>
      <c r="E259" s="4">
        <v>0</v>
      </c>
      <c r="F259" t="s">
        <v>23</v>
      </c>
      <c r="G259" s="3">
        <f t="shared" si="20"/>
        <v>12350</v>
      </c>
      <c r="H259" s="3">
        <v>0</v>
      </c>
      <c r="I259" s="3">
        <f t="shared" si="21"/>
        <v>12350</v>
      </c>
      <c r="J259" s="2" t="s">
        <v>27</v>
      </c>
      <c r="K259" s="5">
        <v>46205.583333333343</v>
      </c>
      <c r="L259">
        <v>1</v>
      </c>
      <c r="M259" s="21">
        <f t="shared" si="22"/>
        <v>12350</v>
      </c>
      <c r="N259" t="str">
        <f t="shared" si="23"/>
        <v>ставка</v>
      </c>
      <c r="O259" s="3">
        <f t="shared" si="24"/>
        <v>242.16</v>
      </c>
      <c r="P259" s="5">
        <v>46206.5</v>
      </c>
      <c r="Q259" t="s">
        <v>23</v>
      </c>
      <c r="R259" s="2" t="s">
        <v>87</v>
      </c>
      <c r="S259">
        <v>51</v>
      </c>
      <c r="T259">
        <v>2</v>
      </c>
    </row>
    <row r="260" spans="1:20" hidden="1" x14ac:dyDescent="0.25">
      <c r="A260" t="s">
        <v>1731</v>
      </c>
      <c r="B260">
        <v>1</v>
      </c>
      <c r="C260" s="2" t="s">
        <v>1730</v>
      </c>
      <c r="D260" s="3">
        <v>17800</v>
      </c>
      <c r="E260" s="4">
        <v>0</v>
      </c>
      <c r="F260" t="s">
        <v>23</v>
      </c>
      <c r="G260" s="3">
        <f t="shared" si="20"/>
        <v>17800</v>
      </c>
      <c r="H260" s="3">
        <v>0</v>
      </c>
      <c r="I260" s="3">
        <f t="shared" si="21"/>
        <v>17800</v>
      </c>
      <c r="J260" s="2" t="s">
        <v>27</v>
      </c>
      <c r="K260" s="5">
        <v>46211.583333333343</v>
      </c>
      <c r="L260">
        <v>1</v>
      </c>
      <c r="M260" s="3">
        <f t="shared" si="22"/>
        <v>17800</v>
      </c>
      <c r="N260" t="str">
        <f t="shared" si="23"/>
        <v>ставка</v>
      </c>
      <c r="O260" s="3">
        <f t="shared" si="24"/>
        <v>349.02</v>
      </c>
      <c r="P260" s="5">
        <v>46212.5</v>
      </c>
      <c r="Q260" t="s">
        <v>23</v>
      </c>
      <c r="R260" s="2" t="s">
        <v>45</v>
      </c>
      <c r="S260">
        <v>53</v>
      </c>
      <c r="T260">
        <v>2</v>
      </c>
    </row>
    <row r="261" spans="1:20" x14ac:dyDescent="0.25">
      <c r="A261" t="s">
        <v>1732</v>
      </c>
      <c r="B261">
        <v>1</v>
      </c>
      <c r="C261" s="2" t="s">
        <v>1730</v>
      </c>
      <c r="D261" s="3">
        <v>16020</v>
      </c>
      <c r="E261" s="4">
        <v>0</v>
      </c>
      <c r="F261" t="s">
        <v>23</v>
      </c>
      <c r="G261" s="3">
        <f t="shared" si="20"/>
        <v>16020</v>
      </c>
      <c r="H261" s="3">
        <v>0</v>
      </c>
      <c r="I261" s="3">
        <f t="shared" si="21"/>
        <v>16020</v>
      </c>
      <c r="J261" s="2" t="s">
        <v>27</v>
      </c>
      <c r="K261" s="5">
        <v>46240.583333333343</v>
      </c>
      <c r="L261">
        <v>1</v>
      </c>
      <c r="M261" s="21">
        <f t="shared" si="22"/>
        <v>16020</v>
      </c>
      <c r="N261" t="str">
        <f t="shared" si="23"/>
        <v>ставка</v>
      </c>
      <c r="O261" s="3">
        <f t="shared" si="24"/>
        <v>314.12</v>
      </c>
      <c r="P261" s="5">
        <v>46241.5</v>
      </c>
      <c r="Q261" t="s">
        <v>23</v>
      </c>
      <c r="R261" s="2" t="s">
        <v>45</v>
      </c>
      <c r="S261">
        <v>54</v>
      </c>
      <c r="T261">
        <v>2</v>
      </c>
    </row>
    <row r="262" spans="1:20" ht="30" x14ac:dyDescent="0.25">
      <c r="A262" t="s">
        <v>1733</v>
      </c>
      <c r="B262">
        <v>1</v>
      </c>
      <c r="C262" s="2" t="s">
        <v>1730</v>
      </c>
      <c r="D262" s="3">
        <v>9315</v>
      </c>
      <c r="E262" s="4">
        <v>0</v>
      </c>
      <c r="F262" t="s">
        <v>23</v>
      </c>
      <c r="G262" s="3">
        <f t="shared" si="20"/>
        <v>9315</v>
      </c>
      <c r="H262" s="3">
        <v>0</v>
      </c>
      <c r="I262" s="3">
        <f t="shared" si="21"/>
        <v>9315</v>
      </c>
      <c r="J262" s="2" t="s">
        <v>27</v>
      </c>
      <c r="K262" s="5">
        <v>46213.583333333343</v>
      </c>
      <c r="L262">
        <v>1</v>
      </c>
      <c r="M262" s="21">
        <f t="shared" si="22"/>
        <v>9315</v>
      </c>
      <c r="N262" t="str">
        <f t="shared" si="23"/>
        <v>ставка</v>
      </c>
      <c r="O262" s="3">
        <f t="shared" si="24"/>
        <v>182.65</v>
      </c>
      <c r="P262" s="5">
        <v>46214.5</v>
      </c>
      <c r="Q262" t="s">
        <v>23</v>
      </c>
      <c r="R262" s="2" t="s">
        <v>40</v>
      </c>
      <c r="S262">
        <v>58</v>
      </c>
      <c r="T262">
        <v>2</v>
      </c>
    </row>
    <row r="263" spans="1:20" ht="30" x14ac:dyDescent="0.25">
      <c r="A263" t="s">
        <v>1734</v>
      </c>
      <c r="B263">
        <v>1</v>
      </c>
      <c r="C263" s="2" t="s">
        <v>1730</v>
      </c>
      <c r="D263" s="3">
        <v>12015</v>
      </c>
      <c r="E263" s="4">
        <v>0</v>
      </c>
      <c r="F263" t="s">
        <v>23</v>
      </c>
      <c r="G263" s="3">
        <f t="shared" si="20"/>
        <v>12015</v>
      </c>
      <c r="H263" s="3">
        <v>0</v>
      </c>
      <c r="I263" s="3">
        <f t="shared" si="21"/>
        <v>12015</v>
      </c>
      <c r="J263" s="2" t="s">
        <v>27</v>
      </c>
      <c r="K263" s="5">
        <v>46233.583333333343</v>
      </c>
      <c r="L263">
        <v>1</v>
      </c>
      <c r="M263" s="21">
        <f t="shared" si="22"/>
        <v>12015</v>
      </c>
      <c r="N263" t="str">
        <f t="shared" si="23"/>
        <v>ставка</v>
      </c>
      <c r="O263" s="3">
        <f t="shared" si="24"/>
        <v>235.59</v>
      </c>
      <c r="P263" s="5">
        <v>46234.5</v>
      </c>
      <c r="Q263" t="s">
        <v>23</v>
      </c>
      <c r="R263" s="2" t="s">
        <v>40</v>
      </c>
      <c r="S263">
        <v>52</v>
      </c>
      <c r="T263">
        <v>2</v>
      </c>
    </row>
    <row r="264" spans="1:20" ht="30" x14ac:dyDescent="0.25">
      <c r="A264" t="s">
        <v>1735</v>
      </c>
      <c r="B264">
        <v>1</v>
      </c>
      <c r="C264" s="2" t="s">
        <v>1730</v>
      </c>
      <c r="D264" s="3">
        <v>12015</v>
      </c>
      <c r="E264" s="4">
        <v>0</v>
      </c>
      <c r="F264" t="s">
        <v>23</v>
      </c>
      <c r="G264" s="3">
        <f t="shared" si="20"/>
        <v>12015</v>
      </c>
      <c r="H264" s="3">
        <v>0</v>
      </c>
      <c r="I264" s="3">
        <f t="shared" si="21"/>
        <v>12015</v>
      </c>
      <c r="J264" s="2" t="s">
        <v>27</v>
      </c>
      <c r="K264" s="5">
        <v>46235.583333333343</v>
      </c>
      <c r="L264">
        <v>1</v>
      </c>
      <c r="M264" s="21">
        <f t="shared" si="22"/>
        <v>12015</v>
      </c>
      <c r="N264" t="str">
        <f t="shared" si="23"/>
        <v>ставка</v>
      </c>
      <c r="O264" s="3">
        <f t="shared" si="24"/>
        <v>235.59</v>
      </c>
      <c r="P264" s="5">
        <v>46236.5</v>
      </c>
      <c r="Q264" t="s">
        <v>23</v>
      </c>
      <c r="R264" s="2" t="s">
        <v>40</v>
      </c>
      <c r="S264">
        <v>52</v>
      </c>
      <c r="T264">
        <v>2</v>
      </c>
    </row>
    <row r="265" spans="1:20" ht="45" x14ac:dyDescent="0.25">
      <c r="A265" t="s">
        <v>1770</v>
      </c>
      <c r="B265">
        <v>1</v>
      </c>
      <c r="C265" s="2" t="s">
        <v>1771</v>
      </c>
      <c r="D265" s="3">
        <v>9960</v>
      </c>
      <c r="E265" s="4">
        <v>0</v>
      </c>
      <c r="F265" t="s">
        <v>23</v>
      </c>
      <c r="G265" s="3">
        <f t="shared" si="20"/>
        <v>9960</v>
      </c>
      <c r="H265" s="3">
        <v>0</v>
      </c>
      <c r="I265" s="3">
        <f t="shared" si="21"/>
        <v>9960</v>
      </c>
      <c r="J265" s="2" t="s">
        <v>27</v>
      </c>
      <c r="K265" s="5">
        <v>46262.583333333343</v>
      </c>
      <c r="L265">
        <v>1</v>
      </c>
      <c r="M265" s="21">
        <f t="shared" si="22"/>
        <v>9960</v>
      </c>
      <c r="N265" t="str">
        <f t="shared" si="23"/>
        <v>ставка</v>
      </c>
      <c r="O265" s="3">
        <f t="shared" si="24"/>
        <v>195.29</v>
      </c>
      <c r="P265" s="5">
        <v>46263.5</v>
      </c>
      <c r="Q265" t="s">
        <v>23</v>
      </c>
      <c r="R265" s="2" t="s">
        <v>87</v>
      </c>
      <c r="S265">
        <v>50</v>
      </c>
      <c r="T265">
        <v>2</v>
      </c>
    </row>
    <row r="266" spans="1:20" ht="45" x14ac:dyDescent="0.25">
      <c r="A266" t="s">
        <v>1772</v>
      </c>
      <c r="B266">
        <v>1</v>
      </c>
      <c r="C266" s="2" t="s">
        <v>1771</v>
      </c>
      <c r="D266" s="3">
        <v>9000</v>
      </c>
      <c r="E266" s="4">
        <v>0</v>
      </c>
      <c r="F266" t="s">
        <v>23</v>
      </c>
      <c r="G266" s="3">
        <f t="shared" si="20"/>
        <v>9000</v>
      </c>
      <c r="H266" s="3">
        <v>0</v>
      </c>
      <c r="I266" s="3">
        <f t="shared" si="21"/>
        <v>9000</v>
      </c>
      <c r="J266" s="2" t="s">
        <v>27</v>
      </c>
      <c r="K266" s="5">
        <v>46276.583333333343</v>
      </c>
      <c r="L266">
        <v>1</v>
      </c>
      <c r="M266" s="21">
        <f t="shared" si="22"/>
        <v>9000</v>
      </c>
      <c r="N266" t="str">
        <f t="shared" si="23"/>
        <v>ставка</v>
      </c>
      <c r="O266" s="3">
        <f t="shared" si="24"/>
        <v>176.47</v>
      </c>
      <c r="P266" s="5">
        <v>46277.5</v>
      </c>
      <c r="Q266" t="s">
        <v>23</v>
      </c>
      <c r="R266" s="2" t="s">
        <v>87</v>
      </c>
      <c r="S266">
        <v>50</v>
      </c>
      <c r="T266">
        <v>2</v>
      </c>
    </row>
    <row r="267" spans="1:20" hidden="1" x14ac:dyDescent="0.25">
      <c r="A267" t="s">
        <v>1782</v>
      </c>
      <c r="B267">
        <v>1</v>
      </c>
      <c r="C267" s="2" t="s">
        <v>1783</v>
      </c>
      <c r="D267" s="3">
        <v>15800</v>
      </c>
      <c r="E267" s="4">
        <v>0</v>
      </c>
      <c r="F267" t="s">
        <v>23</v>
      </c>
      <c r="G267" s="3">
        <f t="shared" si="20"/>
        <v>15800</v>
      </c>
      <c r="H267" s="3">
        <v>0</v>
      </c>
      <c r="I267" s="3">
        <f t="shared" si="21"/>
        <v>15800</v>
      </c>
      <c r="J267" s="2" t="s">
        <v>27</v>
      </c>
      <c r="K267" s="5">
        <v>46284.583333333343</v>
      </c>
      <c r="L267">
        <v>1</v>
      </c>
      <c r="M267" s="3">
        <f t="shared" si="22"/>
        <v>15800</v>
      </c>
      <c r="N267" t="str">
        <f t="shared" si="23"/>
        <v>ставка</v>
      </c>
      <c r="O267" s="3">
        <f t="shared" si="24"/>
        <v>309.8</v>
      </c>
      <c r="P267" s="5">
        <v>46285.5</v>
      </c>
      <c r="Q267" t="s">
        <v>23</v>
      </c>
      <c r="R267" s="2" t="s">
        <v>45</v>
      </c>
      <c r="S267">
        <v>53</v>
      </c>
      <c r="T267">
        <v>2</v>
      </c>
    </row>
    <row r="268" spans="1:20" ht="45" x14ac:dyDescent="0.25">
      <c r="A268" t="s">
        <v>1796</v>
      </c>
      <c r="B268">
        <v>1</v>
      </c>
      <c r="C268" s="2" t="s">
        <v>1797</v>
      </c>
      <c r="D268" s="3">
        <v>11205</v>
      </c>
      <c r="E268" s="4">
        <v>0</v>
      </c>
      <c r="F268" t="s">
        <v>23</v>
      </c>
      <c r="G268" s="3">
        <f t="shared" si="20"/>
        <v>11205</v>
      </c>
      <c r="H268" s="3">
        <v>0</v>
      </c>
      <c r="I268" s="3">
        <f t="shared" si="21"/>
        <v>11205</v>
      </c>
      <c r="J268" s="2" t="s">
        <v>27</v>
      </c>
      <c r="K268" s="5">
        <v>46288.583333333343</v>
      </c>
      <c r="L268">
        <v>1</v>
      </c>
      <c r="M268" s="21">
        <f t="shared" si="22"/>
        <v>11205</v>
      </c>
      <c r="N268" t="str">
        <f t="shared" si="23"/>
        <v>ставка</v>
      </c>
      <c r="O268" s="3">
        <f t="shared" si="24"/>
        <v>219.71</v>
      </c>
      <c r="P268" s="5">
        <v>46289.5</v>
      </c>
      <c r="Q268" t="s">
        <v>23</v>
      </c>
      <c r="R268" s="2" t="s">
        <v>87</v>
      </c>
      <c r="S268">
        <v>50</v>
      </c>
      <c r="T268">
        <v>2</v>
      </c>
    </row>
    <row r="269" spans="1:20" ht="30" hidden="1" x14ac:dyDescent="0.25">
      <c r="A269" t="s">
        <v>1873</v>
      </c>
      <c r="B269">
        <v>1</v>
      </c>
      <c r="C269" s="2" t="s">
        <v>1874</v>
      </c>
      <c r="D269" s="3">
        <v>13400</v>
      </c>
      <c r="E269" s="4">
        <v>0</v>
      </c>
      <c r="F269" t="s">
        <v>23</v>
      </c>
      <c r="G269" s="3">
        <f t="shared" si="20"/>
        <v>13400</v>
      </c>
      <c r="H269" s="3">
        <v>0</v>
      </c>
      <c r="I269" s="3">
        <f t="shared" si="21"/>
        <v>13400</v>
      </c>
      <c r="J269" s="2" t="s">
        <v>27</v>
      </c>
      <c r="K269" s="5">
        <v>46295.583333333343</v>
      </c>
      <c r="L269">
        <v>1</v>
      </c>
      <c r="M269" s="3">
        <f t="shared" si="22"/>
        <v>13400</v>
      </c>
      <c r="N269" t="str">
        <f t="shared" si="23"/>
        <v>ставка</v>
      </c>
      <c r="O269" s="3">
        <f t="shared" si="24"/>
        <v>262.75</v>
      </c>
      <c r="P269" s="5">
        <v>46296.5</v>
      </c>
      <c r="Q269" t="s">
        <v>23</v>
      </c>
      <c r="R269" s="2" t="s">
        <v>24</v>
      </c>
      <c r="S269">
        <v>59</v>
      </c>
      <c r="T269">
        <v>2</v>
      </c>
    </row>
    <row r="270" spans="1:20" ht="30" x14ac:dyDescent="0.25">
      <c r="A270" t="s">
        <v>1897</v>
      </c>
      <c r="B270">
        <v>1</v>
      </c>
      <c r="C270" s="2" t="s">
        <v>1898</v>
      </c>
      <c r="D270" s="3">
        <v>30000</v>
      </c>
      <c r="E270" s="4">
        <v>0</v>
      </c>
      <c r="F270" t="s">
        <v>23</v>
      </c>
      <c r="G270" s="3">
        <f t="shared" si="20"/>
        <v>30000</v>
      </c>
      <c r="H270" s="3">
        <v>0</v>
      </c>
      <c r="I270" s="3">
        <f t="shared" si="21"/>
        <v>30000</v>
      </c>
      <c r="J270" s="2" t="s">
        <v>27</v>
      </c>
      <c r="K270" s="5">
        <v>46209.583333333343</v>
      </c>
      <c r="L270">
        <v>2</v>
      </c>
      <c r="M270" s="21">
        <f t="shared" si="22"/>
        <v>15000</v>
      </c>
      <c r="N270" t="str">
        <f t="shared" si="23"/>
        <v>ставка</v>
      </c>
      <c r="O270" s="3">
        <f t="shared" si="24"/>
        <v>588.24</v>
      </c>
      <c r="P270" s="5">
        <v>46211.5</v>
      </c>
      <c r="Q270" t="s">
        <v>23</v>
      </c>
      <c r="R270" s="2" t="s">
        <v>40</v>
      </c>
      <c r="S270">
        <v>58</v>
      </c>
      <c r="T270">
        <v>2</v>
      </c>
    </row>
    <row r="271" spans="1:20" x14ac:dyDescent="0.25">
      <c r="A271" t="s">
        <v>1930</v>
      </c>
      <c r="B271">
        <v>1</v>
      </c>
      <c r="C271" s="2" t="s">
        <v>1931</v>
      </c>
      <c r="D271" s="3">
        <v>170880</v>
      </c>
      <c r="E271" s="4">
        <v>0</v>
      </c>
      <c r="F271" t="s">
        <v>23</v>
      </c>
      <c r="G271" s="3">
        <f t="shared" si="20"/>
        <v>170880</v>
      </c>
      <c r="H271" s="3">
        <v>0</v>
      </c>
      <c r="I271" s="3">
        <f t="shared" si="21"/>
        <v>170880</v>
      </c>
      <c r="J271" s="2" t="s">
        <v>27</v>
      </c>
      <c r="K271" s="5">
        <v>46245.583333333343</v>
      </c>
      <c r="L271">
        <v>12</v>
      </c>
      <c r="M271" s="21">
        <f t="shared" si="22"/>
        <v>14240</v>
      </c>
      <c r="N271" t="str">
        <f t="shared" si="23"/>
        <v>ставка</v>
      </c>
      <c r="O271" s="3">
        <f t="shared" si="24"/>
        <v>3350.59</v>
      </c>
      <c r="P271" s="5">
        <v>46257.5</v>
      </c>
      <c r="Q271" t="s">
        <v>23</v>
      </c>
      <c r="R271" s="2" t="s">
        <v>37</v>
      </c>
      <c r="S271">
        <v>57</v>
      </c>
      <c r="T271">
        <v>2</v>
      </c>
    </row>
    <row r="272" spans="1:20" hidden="1" x14ac:dyDescent="0.25">
      <c r="A272" t="s">
        <v>1940</v>
      </c>
      <c r="B272">
        <v>1</v>
      </c>
      <c r="C272" s="2" t="s">
        <v>1941</v>
      </c>
      <c r="D272" s="3">
        <v>17800</v>
      </c>
      <c r="E272" s="4">
        <v>0</v>
      </c>
      <c r="F272" t="s">
        <v>23</v>
      </c>
      <c r="G272" s="3">
        <f t="shared" si="20"/>
        <v>17800</v>
      </c>
      <c r="H272" s="3">
        <v>0</v>
      </c>
      <c r="I272" s="3">
        <f t="shared" si="21"/>
        <v>17800</v>
      </c>
      <c r="J272" s="2" t="s">
        <v>27</v>
      </c>
      <c r="K272" s="5">
        <v>46227.583333333343</v>
      </c>
      <c r="L272">
        <v>1</v>
      </c>
      <c r="M272" s="3">
        <f t="shared" si="22"/>
        <v>17800</v>
      </c>
      <c r="N272" t="str">
        <f t="shared" si="23"/>
        <v>ставка</v>
      </c>
      <c r="O272" s="3">
        <f t="shared" si="24"/>
        <v>349.02</v>
      </c>
      <c r="P272" s="5">
        <v>46228.5</v>
      </c>
      <c r="Q272" t="s">
        <v>23</v>
      </c>
      <c r="R272" s="2" t="s">
        <v>45</v>
      </c>
      <c r="S272">
        <v>57</v>
      </c>
      <c r="T272">
        <v>2</v>
      </c>
    </row>
    <row r="273" spans="1:20" ht="30" x14ac:dyDescent="0.25">
      <c r="A273" t="s">
        <v>38</v>
      </c>
      <c r="B273">
        <v>1</v>
      </c>
      <c r="C273" s="2" t="s">
        <v>39</v>
      </c>
      <c r="D273" s="3">
        <v>7866</v>
      </c>
      <c r="E273" s="4">
        <v>25</v>
      </c>
      <c r="F273" t="s">
        <v>32</v>
      </c>
      <c r="G273" s="3">
        <f t="shared" si="20"/>
        <v>10488</v>
      </c>
      <c r="H273" s="3">
        <v>0</v>
      </c>
      <c r="I273" s="3">
        <f t="shared" si="21"/>
        <v>10488</v>
      </c>
      <c r="J273" s="2" t="s">
        <v>27</v>
      </c>
      <c r="K273" s="5">
        <v>46211.583333333343</v>
      </c>
      <c r="L273">
        <v>1</v>
      </c>
      <c r="M273" s="21">
        <f t="shared" si="22"/>
        <v>10488</v>
      </c>
      <c r="N273" t="str">
        <f t="shared" si="23"/>
        <v>ставка</v>
      </c>
      <c r="O273" s="3">
        <f t="shared" si="24"/>
        <v>205.65</v>
      </c>
      <c r="P273" s="5">
        <v>46212.5</v>
      </c>
      <c r="Q273" t="s">
        <v>32</v>
      </c>
      <c r="R273" s="2" t="s">
        <v>40</v>
      </c>
      <c r="S273">
        <v>52</v>
      </c>
      <c r="T273">
        <v>2</v>
      </c>
    </row>
    <row r="274" spans="1:20" ht="30" x14ac:dyDescent="0.25">
      <c r="A274" t="s">
        <v>133</v>
      </c>
      <c r="B274">
        <v>1</v>
      </c>
      <c r="C274" s="2" t="s">
        <v>134</v>
      </c>
      <c r="D274" s="3">
        <v>49280</v>
      </c>
      <c r="E274" s="4">
        <v>20</v>
      </c>
      <c r="F274" t="s">
        <v>32</v>
      </c>
      <c r="G274" s="3">
        <f t="shared" si="20"/>
        <v>61600</v>
      </c>
      <c r="H274" s="3">
        <v>0</v>
      </c>
      <c r="I274" s="3">
        <f t="shared" si="21"/>
        <v>61600</v>
      </c>
      <c r="J274" s="2" t="s">
        <v>27</v>
      </c>
      <c r="K274" s="5">
        <v>46240.583333333343</v>
      </c>
      <c r="L274">
        <v>4</v>
      </c>
      <c r="M274" s="21">
        <f t="shared" si="22"/>
        <v>15400</v>
      </c>
      <c r="N274" t="str">
        <f t="shared" si="23"/>
        <v>ставка</v>
      </c>
      <c r="O274" s="3">
        <f t="shared" si="24"/>
        <v>1207.8399999999999</v>
      </c>
      <c r="P274" s="5">
        <v>46244.5</v>
      </c>
      <c r="Q274" t="s">
        <v>32</v>
      </c>
      <c r="R274" s="2" t="s">
        <v>24</v>
      </c>
      <c r="S274">
        <v>56</v>
      </c>
      <c r="T274">
        <v>2</v>
      </c>
    </row>
    <row r="275" spans="1:20" ht="30" x14ac:dyDescent="0.25">
      <c r="A275" t="s">
        <v>176</v>
      </c>
      <c r="B275">
        <v>1</v>
      </c>
      <c r="C275" s="2" t="s">
        <v>177</v>
      </c>
      <c r="D275" s="3">
        <v>27556</v>
      </c>
      <c r="E275" s="4">
        <v>17</v>
      </c>
      <c r="F275" t="s">
        <v>32</v>
      </c>
      <c r="G275" s="3">
        <f t="shared" si="20"/>
        <v>33200</v>
      </c>
      <c r="H275" s="3">
        <v>0</v>
      </c>
      <c r="I275" s="3">
        <f t="shared" si="21"/>
        <v>33200</v>
      </c>
      <c r="J275" s="2" t="s">
        <v>27</v>
      </c>
      <c r="K275" s="5">
        <v>46265.583333333343</v>
      </c>
      <c r="L275">
        <v>2</v>
      </c>
      <c r="M275" s="21">
        <f t="shared" si="22"/>
        <v>16600</v>
      </c>
      <c r="N275" t="str">
        <f t="shared" si="23"/>
        <v>ставка</v>
      </c>
      <c r="O275" s="3">
        <f t="shared" si="24"/>
        <v>650.98</v>
      </c>
      <c r="P275" s="5">
        <v>46267.5</v>
      </c>
      <c r="Q275" t="s">
        <v>32</v>
      </c>
      <c r="R275" s="2" t="s">
        <v>45</v>
      </c>
      <c r="S275">
        <v>57</v>
      </c>
      <c r="T275">
        <v>2</v>
      </c>
    </row>
    <row r="276" spans="1:20" ht="30" x14ac:dyDescent="0.25">
      <c r="A276" t="s">
        <v>182</v>
      </c>
      <c r="B276">
        <v>1</v>
      </c>
      <c r="C276" s="2" t="s">
        <v>183</v>
      </c>
      <c r="D276" s="3">
        <v>11120</v>
      </c>
      <c r="E276" s="4">
        <v>20</v>
      </c>
      <c r="F276" t="s">
        <v>32</v>
      </c>
      <c r="G276" s="3">
        <f t="shared" si="20"/>
        <v>13900</v>
      </c>
      <c r="H276" s="3">
        <v>0</v>
      </c>
      <c r="I276" s="3">
        <f t="shared" si="21"/>
        <v>13900</v>
      </c>
      <c r="J276" s="2"/>
      <c r="K276" s="5">
        <v>46239.583333333343</v>
      </c>
      <c r="L276">
        <v>1</v>
      </c>
      <c r="M276" s="21">
        <f t="shared" si="22"/>
        <v>13900</v>
      </c>
      <c r="N276" t="str">
        <f t="shared" si="23"/>
        <v>ставка</v>
      </c>
      <c r="O276" s="3">
        <f t="shared" si="24"/>
        <v>272.55</v>
      </c>
      <c r="P276" s="5">
        <v>46240.5</v>
      </c>
      <c r="Q276" t="s">
        <v>32</v>
      </c>
      <c r="R276" s="2" t="s">
        <v>24</v>
      </c>
      <c r="S276">
        <v>56</v>
      </c>
      <c r="T276">
        <v>2</v>
      </c>
    </row>
    <row r="277" spans="1:20" x14ac:dyDescent="0.25">
      <c r="A277" t="s">
        <v>303</v>
      </c>
      <c r="B277">
        <v>1</v>
      </c>
      <c r="C277" s="2" t="s">
        <v>304</v>
      </c>
      <c r="D277" s="3">
        <v>56960</v>
      </c>
      <c r="E277" s="4">
        <v>20</v>
      </c>
      <c r="F277" t="s">
        <v>32</v>
      </c>
      <c r="G277" s="3">
        <f t="shared" si="20"/>
        <v>71200</v>
      </c>
      <c r="H277" s="3">
        <v>0</v>
      </c>
      <c r="I277" s="3">
        <f t="shared" si="21"/>
        <v>71200</v>
      </c>
      <c r="J277" s="2" t="s">
        <v>27</v>
      </c>
      <c r="K277" s="5">
        <v>46218.583333333343</v>
      </c>
      <c r="L277">
        <v>4</v>
      </c>
      <c r="M277" s="21">
        <f t="shared" si="22"/>
        <v>17800</v>
      </c>
      <c r="N277" t="str">
        <f t="shared" si="23"/>
        <v>ставка</v>
      </c>
      <c r="O277" s="3">
        <f t="shared" si="24"/>
        <v>1396.08</v>
      </c>
      <c r="P277" s="5">
        <v>46222.5</v>
      </c>
      <c r="Q277" t="s">
        <v>32</v>
      </c>
      <c r="R277" s="2" t="s">
        <v>37</v>
      </c>
      <c r="S277">
        <v>57</v>
      </c>
      <c r="T277">
        <v>2</v>
      </c>
    </row>
    <row r="278" spans="1:20" ht="30" x14ac:dyDescent="0.25">
      <c r="A278" t="s">
        <v>344</v>
      </c>
      <c r="B278">
        <v>1</v>
      </c>
      <c r="C278" s="2" t="s">
        <v>345</v>
      </c>
      <c r="D278" s="3">
        <v>12320</v>
      </c>
      <c r="E278" s="4">
        <v>20</v>
      </c>
      <c r="F278" t="s">
        <v>32</v>
      </c>
      <c r="G278" s="3">
        <f t="shared" si="20"/>
        <v>15400</v>
      </c>
      <c r="H278" s="3">
        <v>0</v>
      </c>
      <c r="I278" s="3">
        <f t="shared" si="21"/>
        <v>15400</v>
      </c>
      <c r="J278" s="2" t="s">
        <v>27</v>
      </c>
      <c r="K278" s="5">
        <v>46221.583333333343</v>
      </c>
      <c r="L278">
        <v>1</v>
      </c>
      <c r="M278" s="21">
        <f t="shared" si="22"/>
        <v>15400</v>
      </c>
      <c r="N278" t="str">
        <f t="shared" si="23"/>
        <v>ставка</v>
      </c>
      <c r="O278" s="3">
        <f t="shared" si="24"/>
        <v>301.95999999999998</v>
      </c>
      <c r="P278" s="5">
        <v>46222.5</v>
      </c>
      <c r="Q278" t="s">
        <v>32</v>
      </c>
      <c r="R278" s="2" t="s">
        <v>24</v>
      </c>
      <c r="S278">
        <v>56</v>
      </c>
      <c r="T278">
        <v>2</v>
      </c>
    </row>
    <row r="279" spans="1:20" ht="45" x14ac:dyDescent="0.25">
      <c r="A279" t="s">
        <v>469</v>
      </c>
      <c r="B279">
        <v>1</v>
      </c>
      <c r="C279" s="2" t="s">
        <v>470</v>
      </c>
      <c r="D279" s="3">
        <v>9960</v>
      </c>
      <c r="E279" s="4">
        <v>20</v>
      </c>
      <c r="F279" t="s">
        <v>32</v>
      </c>
      <c r="G279" s="3">
        <f t="shared" si="20"/>
        <v>12450</v>
      </c>
      <c r="H279" s="3">
        <v>0</v>
      </c>
      <c r="I279" s="3">
        <f t="shared" si="21"/>
        <v>12450</v>
      </c>
      <c r="J279" s="2" t="s">
        <v>27</v>
      </c>
      <c r="K279" s="5">
        <v>46267.583333333343</v>
      </c>
      <c r="L279">
        <v>1</v>
      </c>
      <c r="M279" s="21">
        <f t="shared" si="22"/>
        <v>12450</v>
      </c>
      <c r="N279" t="str">
        <f t="shared" si="23"/>
        <v>ставка</v>
      </c>
      <c r="O279" s="3">
        <f t="shared" si="24"/>
        <v>244.12</v>
      </c>
      <c r="P279" s="5">
        <v>46268.5</v>
      </c>
      <c r="Q279" t="s">
        <v>32</v>
      </c>
      <c r="R279" s="2" t="s">
        <v>87</v>
      </c>
      <c r="S279">
        <v>51</v>
      </c>
      <c r="T279">
        <v>2</v>
      </c>
    </row>
    <row r="280" spans="1:20" ht="30" x14ac:dyDescent="0.25">
      <c r="A280" t="s">
        <v>526</v>
      </c>
      <c r="B280">
        <v>1</v>
      </c>
      <c r="C280" s="2" t="s">
        <v>527</v>
      </c>
      <c r="D280" s="3">
        <v>21360</v>
      </c>
      <c r="E280" s="4">
        <v>20</v>
      </c>
      <c r="F280" t="s">
        <v>32</v>
      </c>
      <c r="G280" s="3">
        <f t="shared" si="20"/>
        <v>26700</v>
      </c>
      <c r="H280" s="3">
        <v>0</v>
      </c>
      <c r="I280" s="3">
        <f t="shared" si="21"/>
        <v>26700</v>
      </c>
      <c r="J280" s="2" t="s">
        <v>27</v>
      </c>
      <c r="K280" s="5">
        <v>46220.583333333343</v>
      </c>
      <c r="L280">
        <v>2</v>
      </c>
      <c r="M280" s="21">
        <f t="shared" si="22"/>
        <v>13350</v>
      </c>
      <c r="N280" t="str">
        <f t="shared" si="23"/>
        <v>ставка</v>
      </c>
      <c r="O280" s="3">
        <f t="shared" si="24"/>
        <v>523.53</v>
      </c>
      <c r="P280" s="5">
        <v>46222.5</v>
      </c>
      <c r="Q280" t="s">
        <v>32</v>
      </c>
      <c r="R280" s="2" t="s">
        <v>40</v>
      </c>
      <c r="S280">
        <v>58</v>
      </c>
      <c r="T280">
        <v>2</v>
      </c>
    </row>
    <row r="281" spans="1:20" ht="45" x14ac:dyDescent="0.25">
      <c r="A281" t="s">
        <v>534</v>
      </c>
      <c r="B281">
        <v>1</v>
      </c>
      <c r="C281" s="2" t="s">
        <v>535</v>
      </c>
      <c r="D281" s="3">
        <v>11122</v>
      </c>
      <c r="E281" s="23">
        <v>17</v>
      </c>
      <c r="F281" t="s">
        <v>32</v>
      </c>
      <c r="G281" s="3">
        <f t="shared" si="20"/>
        <v>13400</v>
      </c>
      <c r="H281" s="3">
        <v>2560</v>
      </c>
      <c r="I281" s="3">
        <f t="shared" si="21"/>
        <v>15960</v>
      </c>
      <c r="J281" s="2" t="s">
        <v>536</v>
      </c>
      <c r="K281" s="5">
        <v>46264.583333333343</v>
      </c>
      <c r="L281">
        <v>1</v>
      </c>
      <c r="M281" s="21">
        <f t="shared" si="22"/>
        <v>15960</v>
      </c>
      <c r="N281" t="str">
        <f t="shared" si="23"/>
        <v>ставка</v>
      </c>
      <c r="O281" s="3">
        <f t="shared" si="24"/>
        <v>312.94</v>
      </c>
      <c r="P281" s="5">
        <v>46265.666666666657</v>
      </c>
      <c r="Q281" t="s">
        <v>32</v>
      </c>
      <c r="R281" s="2" t="s">
        <v>45</v>
      </c>
      <c r="S281">
        <v>53</v>
      </c>
      <c r="T281">
        <v>2</v>
      </c>
    </row>
    <row r="282" spans="1:20" ht="45" x14ac:dyDescent="0.25">
      <c r="A282" t="s">
        <v>539</v>
      </c>
      <c r="B282">
        <v>1</v>
      </c>
      <c r="C282" s="2" t="s">
        <v>540</v>
      </c>
      <c r="D282" s="3">
        <v>5880</v>
      </c>
      <c r="E282" s="4">
        <v>20</v>
      </c>
      <c r="F282" t="s">
        <v>32</v>
      </c>
      <c r="G282" s="3">
        <f t="shared" si="20"/>
        <v>7350</v>
      </c>
      <c r="H282" s="3">
        <v>0</v>
      </c>
      <c r="I282" s="3">
        <f t="shared" si="21"/>
        <v>7350</v>
      </c>
      <c r="J282" s="2"/>
      <c r="K282" s="5">
        <v>46206.583333333343</v>
      </c>
      <c r="L282">
        <v>1</v>
      </c>
      <c r="M282" s="21">
        <f t="shared" si="22"/>
        <v>7350</v>
      </c>
      <c r="N282" t="str">
        <f t="shared" si="23"/>
        <v>ставка</v>
      </c>
      <c r="O282" s="3">
        <f t="shared" si="24"/>
        <v>144.12</v>
      </c>
      <c r="P282" s="5">
        <v>46207.5</v>
      </c>
      <c r="Q282" t="s">
        <v>32</v>
      </c>
      <c r="R282" s="2" t="s">
        <v>87</v>
      </c>
      <c r="S282">
        <v>51</v>
      </c>
      <c r="T282">
        <v>2</v>
      </c>
    </row>
    <row r="283" spans="1:20" ht="30" x14ac:dyDescent="0.25">
      <c r="A283" t="s">
        <v>616</v>
      </c>
      <c r="B283">
        <v>1</v>
      </c>
      <c r="C283" s="2" t="s">
        <v>617</v>
      </c>
      <c r="D283" s="3">
        <v>27240</v>
      </c>
      <c r="E283" s="4">
        <v>20</v>
      </c>
      <c r="F283" t="s">
        <v>32</v>
      </c>
      <c r="G283" s="3">
        <f t="shared" si="20"/>
        <v>34050</v>
      </c>
      <c r="H283" s="3">
        <v>960</v>
      </c>
      <c r="I283" s="3">
        <f t="shared" si="21"/>
        <v>35010</v>
      </c>
      <c r="J283" s="2" t="s">
        <v>618</v>
      </c>
      <c r="K283" s="5">
        <v>46224.583333333343</v>
      </c>
      <c r="L283">
        <v>3</v>
      </c>
      <c r="M283" s="21">
        <f t="shared" si="22"/>
        <v>11670</v>
      </c>
      <c r="N283" t="str">
        <f t="shared" si="23"/>
        <v>ставка</v>
      </c>
      <c r="O283" s="3">
        <f t="shared" si="24"/>
        <v>686.47</v>
      </c>
      <c r="P283" s="5">
        <v>46227.5</v>
      </c>
      <c r="Q283" t="s">
        <v>32</v>
      </c>
      <c r="R283" s="2" t="s">
        <v>40</v>
      </c>
      <c r="S283">
        <v>52</v>
      </c>
      <c r="T283">
        <v>2</v>
      </c>
    </row>
    <row r="284" spans="1:20" x14ac:dyDescent="0.25">
      <c r="A284" t="s">
        <v>670</v>
      </c>
      <c r="B284">
        <v>1</v>
      </c>
      <c r="C284" s="2" t="s">
        <v>671</v>
      </c>
      <c r="D284" s="3">
        <v>10375</v>
      </c>
      <c r="E284" s="4">
        <v>17</v>
      </c>
      <c r="F284" t="s">
        <v>32</v>
      </c>
      <c r="G284" s="3">
        <f t="shared" si="20"/>
        <v>12500</v>
      </c>
      <c r="H284" s="3">
        <v>0</v>
      </c>
      <c r="I284" s="3">
        <f t="shared" si="21"/>
        <v>12500</v>
      </c>
      <c r="J284" s="2"/>
      <c r="K284" s="5">
        <v>46253.583333333343</v>
      </c>
      <c r="L284">
        <v>1</v>
      </c>
      <c r="M284" s="21">
        <f t="shared" si="22"/>
        <v>12500</v>
      </c>
      <c r="N284" t="str">
        <f t="shared" si="23"/>
        <v>ставка</v>
      </c>
      <c r="O284" s="3">
        <f t="shared" si="24"/>
        <v>245.1</v>
      </c>
      <c r="P284" s="5">
        <v>46254.5</v>
      </c>
      <c r="Q284" t="s">
        <v>32</v>
      </c>
      <c r="R284" s="2" t="s">
        <v>45</v>
      </c>
      <c r="S284">
        <v>53</v>
      </c>
      <c r="T284">
        <v>2</v>
      </c>
    </row>
    <row r="285" spans="1:20" x14ac:dyDescent="0.25">
      <c r="A285" t="s">
        <v>675</v>
      </c>
      <c r="B285">
        <v>1</v>
      </c>
      <c r="C285" s="2" t="s">
        <v>676</v>
      </c>
      <c r="D285" s="3">
        <v>14774</v>
      </c>
      <c r="E285" s="4">
        <v>17</v>
      </c>
      <c r="F285" t="s">
        <v>32</v>
      </c>
      <c r="G285" s="3">
        <f t="shared" si="20"/>
        <v>17800</v>
      </c>
      <c r="H285" s="3">
        <v>0</v>
      </c>
      <c r="I285" s="3">
        <f t="shared" si="21"/>
        <v>17800</v>
      </c>
      <c r="J285" s="2" t="s">
        <v>27</v>
      </c>
      <c r="K285" s="5">
        <v>46239.583333333343</v>
      </c>
      <c r="L285">
        <v>1</v>
      </c>
      <c r="M285" s="21">
        <f t="shared" si="22"/>
        <v>17800</v>
      </c>
      <c r="N285" t="str">
        <f t="shared" si="23"/>
        <v>ставка</v>
      </c>
      <c r="O285" s="3">
        <f t="shared" si="24"/>
        <v>349.02</v>
      </c>
      <c r="P285" s="5">
        <v>46240.5</v>
      </c>
      <c r="Q285" t="s">
        <v>32</v>
      </c>
      <c r="R285" s="2" t="s">
        <v>45</v>
      </c>
      <c r="S285">
        <v>57</v>
      </c>
      <c r="T285">
        <v>2</v>
      </c>
    </row>
    <row r="286" spans="1:20" ht="45" x14ac:dyDescent="0.25">
      <c r="A286" t="s">
        <v>708</v>
      </c>
      <c r="B286">
        <v>1</v>
      </c>
      <c r="C286" s="2" t="s">
        <v>709</v>
      </c>
      <c r="D286" s="3">
        <v>9375</v>
      </c>
      <c r="E286" s="4">
        <v>25</v>
      </c>
      <c r="F286" t="s">
        <v>32</v>
      </c>
      <c r="G286" s="3">
        <f t="shared" si="20"/>
        <v>12500</v>
      </c>
      <c r="H286" s="3">
        <v>0</v>
      </c>
      <c r="I286" s="3">
        <f t="shared" si="21"/>
        <v>12500</v>
      </c>
      <c r="J286" s="2"/>
      <c r="K286" s="5">
        <v>46283.583333333343</v>
      </c>
      <c r="L286">
        <v>1</v>
      </c>
      <c r="M286" s="21">
        <f t="shared" si="22"/>
        <v>12500</v>
      </c>
      <c r="N286" t="str">
        <f t="shared" si="23"/>
        <v>ставка</v>
      </c>
      <c r="O286" s="3">
        <f t="shared" si="24"/>
        <v>245.1</v>
      </c>
      <c r="P286" s="5">
        <v>46284.5</v>
      </c>
      <c r="Q286" t="s">
        <v>32</v>
      </c>
      <c r="R286" s="2" t="s">
        <v>87</v>
      </c>
      <c r="S286">
        <v>51</v>
      </c>
      <c r="T286">
        <v>2</v>
      </c>
    </row>
    <row r="287" spans="1:20" ht="45" x14ac:dyDescent="0.25">
      <c r="A287" t="s">
        <v>816</v>
      </c>
      <c r="B287">
        <v>1</v>
      </c>
      <c r="C287" s="2" t="s">
        <v>817</v>
      </c>
      <c r="D287" s="3">
        <v>6764</v>
      </c>
      <c r="E287" s="4">
        <v>20</v>
      </c>
      <c r="F287" t="s">
        <v>32</v>
      </c>
      <c r="G287" s="3">
        <f t="shared" si="20"/>
        <v>8455</v>
      </c>
      <c r="H287" s="3">
        <v>0</v>
      </c>
      <c r="I287" s="3">
        <f t="shared" si="21"/>
        <v>8455</v>
      </c>
      <c r="J287" s="2" t="s">
        <v>27</v>
      </c>
      <c r="K287" s="5">
        <v>46226.583333333343</v>
      </c>
      <c r="L287">
        <v>1</v>
      </c>
      <c r="M287" s="21">
        <f t="shared" si="22"/>
        <v>8455</v>
      </c>
      <c r="N287" t="str">
        <f t="shared" si="23"/>
        <v>ставка</v>
      </c>
      <c r="O287" s="3">
        <f t="shared" si="24"/>
        <v>165.78</v>
      </c>
      <c r="P287" s="5">
        <v>46227.5</v>
      </c>
      <c r="Q287" t="s">
        <v>32</v>
      </c>
      <c r="R287" s="2" t="s">
        <v>87</v>
      </c>
      <c r="S287">
        <v>51</v>
      </c>
      <c r="T287">
        <v>2</v>
      </c>
    </row>
    <row r="288" spans="1:20" x14ac:dyDescent="0.25">
      <c r="A288" t="s">
        <v>833</v>
      </c>
      <c r="B288">
        <v>1</v>
      </c>
      <c r="C288" s="2" t="s">
        <v>834</v>
      </c>
      <c r="D288" s="3">
        <v>40050</v>
      </c>
      <c r="E288" s="4">
        <v>25</v>
      </c>
      <c r="F288" t="s">
        <v>32</v>
      </c>
      <c r="G288" s="3">
        <f t="shared" si="20"/>
        <v>53400</v>
      </c>
      <c r="H288" s="3">
        <v>0</v>
      </c>
      <c r="I288" s="3">
        <f t="shared" si="21"/>
        <v>53400</v>
      </c>
      <c r="J288" s="2" t="s">
        <v>27</v>
      </c>
      <c r="K288" s="5">
        <v>46270.583333333343</v>
      </c>
      <c r="L288">
        <v>3</v>
      </c>
      <c r="M288" s="21">
        <f t="shared" si="22"/>
        <v>17800</v>
      </c>
      <c r="N288" t="str">
        <f t="shared" si="23"/>
        <v>ставка</v>
      </c>
      <c r="O288" s="3">
        <f t="shared" si="24"/>
        <v>1047.06</v>
      </c>
      <c r="P288" s="5">
        <v>46273.5</v>
      </c>
      <c r="Q288" t="s">
        <v>32</v>
      </c>
      <c r="R288" s="2" t="s">
        <v>45</v>
      </c>
      <c r="S288">
        <v>54</v>
      </c>
      <c r="T288">
        <v>2</v>
      </c>
    </row>
    <row r="289" spans="1:21" ht="45" x14ac:dyDescent="0.25">
      <c r="A289" t="s">
        <v>921</v>
      </c>
      <c r="B289">
        <v>1</v>
      </c>
      <c r="C289" s="2" t="s">
        <v>922</v>
      </c>
      <c r="D289" s="3">
        <v>9960</v>
      </c>
      <c r="E289" s="4">
        <v>20</v>
      </c>
      <c r="F289" t="s">
        <v>32</v>
      </c>
      <c r="G289" s="3">
        <f t="shared" si="20"/>
        <v>12450</v>
      </c>
      <c r="H289" s="3">
        <v>0</v>
      </c>
      <c r="I289" s="3">
        <f t="shared" si="21"/>
        <v>12450</v>
      </c>
      <c r="J289" s="2" t="s">
        <v>27</v>
      </c>
      <c r="K289" s="5">
        <v>46267.583333333343</v>
      </c>
      <c r="L289">
        <v>1</v>
      </c>
      <c r="M289" s="21">
        <f t="shared" si="22"/>
        <v>12450</v>
      </c>
      <c r="N289" t="str">
        <f t="shared" si="23"/>
        <v>ставка</v>
      </c>
      <c r="O289" s="3">
        <f t="shared" si="24"/>
        <v>244.12</v>
      </c>
      <c r="P289" s="5">
        <v>46268.5</v>
      </c>
      <c r="Q289" t="s">
        <v>32</v>
      </c>
      <c r="R289" s="2" t="s">
        <v>87</v>
      </c>
      <c r="S289">
        <v>50</v>
      </c>
      <c r="T289">
        <v>2</v>
      </c>
    </row>
    <row r="290" spans="1:21" ht="30" x14ac:dyDescent="0.25">
      <c r="A290" t="s">
        <v>924</v>
      </c>
      <c r="B290">
        <v>1</v>
      </c>
      <c r="C290" s="2" t="s">
        <v>925</v>
      </c>
      <c r="D290" s="3">
        <v>53550</v>
      </c>
      <c r="E290" s="4">
        <v>25</v>
      </c>
      <c r="F290" t="s">
        <v>32</v>
      </c>
      <c r="G290" s="3">
        <f t="shared" si="20"/>
        <v>71400</v>
      </c>
      <c r="H290" s="3">
        <v>0</v>
      </c>
      <c r="I290" s="3">
        <f t="shared" si="21"/>
        <v>71400</v>
      </c>
      <c r="J290" s="2"/>
      <c r="K290" s="5">
        <v>46287.583333333343</v>
      </c>
      <c r="L290">
        <v>6</v>
      </c>
      <c r="M290" s="21">
        <f t="shared" si="22"/>
        <v>11900</v>
      </c>
      <c r="N290" t="str">
        <f t="shared" si="23"/>
        <v>ставка</v>
      </c>
      <c r="O290" s="3">
        <f t="shared" si="24"/>
        <v>1400</v>
      </c>
      <c r="P290" s="5">
        <v>46293.5</v>
      </c>
      <c r="Q290" t="s">
        <v>32</v>
      </c>
      <c r="R290" s="2" t="s">
        <v>24</v>
      </c>
      <c r="S290">
        <v>59</v>
      </c>
      <c r="T290">
        <v>2</v>
      </c>
    </row>
    <row r="291" spans="1:21" ht="45" x14ac:dyDescent="0.25">
      <c r="A291" t="s">
        <v>938</v>
      </c>
      <c r="B291">
        <v>1</v>
      </c>
      <c r="C291" s="2" t="s">
        <v>939</v>
      </c>
      <c r="D291" s="3">
        <v>10680</v>
      </c>
      <c r="E291" s="4">
        <v>20</v>
      </c>
      <c r="F291" t="s">
        <v>32</v>
      </c>
      <c r="G291" s="3">
        <f t="shared" si="20"/>
        <v>13350</v>
      </c>
      <c r="H291" s="3">
        <v>2050</v>
      </c>
      <c r="I291" s="3">
        <f t="shared" si="21"/>
        <v>15400</v>
      </c>
      <c r="J291" s="2" t="s">
        <v>940</v>
      </c>
      <c r="K291" s="5">
        <v>46277.583333333343</v>
      </c>
      <c r="L291">
        <v>1</v>
      </c>
      <c r="M291" s="21">
        <f t="shared" si="22"/>
        <v>15400</v>
      </c>
      <c r="N291" t="str">
        <f t="shared" si="23"/>
        <v>ставка</v>
      </c>
      <c r="O291" s="3">
        <f t="shared" si="24"/>
        <v>301.95999999999998</v>
      </c>
      <c r="P291" s="5">
        <v>46278.5</v>
      </c>
      <c r="Q291" t="s">
        <v>32</v>
      </c>
      <c r="R291" s="2" t="s">
        <v>24</v>
      </c>
      <c r="S291">
        <v>56</v>
      </c>
      <c r="T291">
        <v>2</v>
      </c>
    </row>
    <row r="292" spans="1:21" ht="30" x14ac:dyDescent="0.25">
      <c r="A292" t="s">
        <v>948</v>
      </c>
      <c r="B292">
        <v>1</v>
      </c>
      <c r="C292" s="2" t="s">
        <v>949</v>
      </c>
      <c r="D292" s="3">
        <v>36960</v>
      </c>
      <c r="E292" s="4">
        <v>20</v>
      </c>
      <c r="F292" t="s">
        <v>32</v>
      </c>
      <c r="G292" s="3">
        <f t="shared" si="20"/>
        <v>46200</v>
      </c>
      <c r="H292" s="3">
        <v>0</v>
      </c>
      <c r="I292" s="3">
        <f t="shared" si="21"/>
        <v>46200</v>
      </c>
      <c r="J292" s="2" t="s">
        <v>27</v>
      </c>
      <c r="K292" s="5">
        <v>46220.583333333343</v>
      </c>
      <c r="L292">
        <v>3</v>
      </c>
      <c r="M292" s="21">
        <f t="shared" si="22"/>
        <v>15400</v>
      </c>
      <c r="N292" t="str">
        <f t="shared" si="23"/>
        <v>ставка</v>
      </c>
      <c r="O292" s="3">
        <f t="shared" si="24"/>
        <v>905.88</v>
      </c>
      <c r="P292" s="5">
        <v>46223.5</v>
      </c>
      <c r="Q292" t="s">
        <v>32</v>
      </c>
      <c r="R292" s="2" t="s">
        <v>24</v>
      </c>
      <c r="S292">
        <v>59</v>
      </c>
      <c r="T292">
        <v>2</v>
      </c>
    </row>
    <row r="293" spans="1:21" ht="30" x14ac:dyDescent="0.25">
      <c r="A293" t="s">
        <v>1119</v>
      </c>
      <c r="B293">
        <v>1</v>
      </c>
      <c r="C293" s="2" t="s">
        <v>1120</v>
      </c>
      <c r="D293" s="3">
        <v>8626</v>
      </c>
      <c r="E293" s="4">
        <v>20</v>
      </c>
      <c r="F293" t="s">
        <v>32</v>
      </c>
      <c r="G293" s="3">
        <f t="shared" si="20"/>
        <v>10782.5</v>
      </c>
      <c r="H293" s="3">
        <v>0</v>
      </c>
      <c r="I293" s="3">
        <f t="shared" si="21"/>
        <v>10782.5</v>
      </c>
      <c r="J293" s="2" t="s">
        <v>27</v>
      </c>
      <c r="K293" s="5">
        <v>46251.583333333343</v>
      </c>
      <c r="L293">
        <v>1</v>
      </c>
      <c r="M293" s="21">
        <f t="shared" si="22"/>
        <v>10782.5</v>
      </c>
      <c r="N293" t="str">
        <f t="shared" si="23"/>
        <v>ставка</v>
      </c>
      <c r="O293" s="3">
        <f t="shared" si="24"/>
        <v>211.42</v>
      </c>
      <c r="P293" s="5">
        <v>46252.5</v>
      </c>
      <c r="Q293" t="s">
        <v>32</v>
      </c>
      <c r="R293" s="2" t="s">
        <v>40</v>
      </c>
      <c r="S293">
        <v>58</v>
      </c>
      <c r="T293">
        <v>2</v>
      </c>
    </row>
    <row r="294" spans="1:21" ht="30" x14ac:dyDescent="0.25">
      <c r="A294" t="s">
        <v>1180</v>
      </c>
      <c r="B294">
        <v>1</v>
      </c>
      <c r="C294" s="2" t="s">
        <v>1181</v>
      </c>
      <c r="D294" s="3">
        <v>8284</v>
      </c>
      <c r="E294" s="4">
        <v>20</v>
      </c>
      <c r="F294" t="s">
        <v>32</v>
      </c>
      <c r="G294" s="3">
        <f t="shared" si="20"/>
        <v>10355</v>
      </c>
      <c r="H294" s="3">
        <v>0</v>
      </c>
      <c r="I294" s="3">
        <f t="shared" si="21"/>
        <v>10355</v>
      </c>
      <c r="J294" s="2" t="s">
        <v>27</v>
      </c>
      <c r="K294" s="5">
        <v>46230.583333333343</v>
      </c>
      <c r="L294">
        <v>1</v>
      </c>
      <c r="M294" s="21">
        <f t="shared" si="22"/>
        <v>10355</v>
      </c>
      <c r="N294" t="str">
        <f t="shared" si="23"/>
        <v>ставка</v>
      </c>
      <c r="O294" s="3">
        <f t="shared" si="24"/>
        <v>203.04</v>
      </c>
      <c r="P294" s="5">
        <v>46231.5</v>
      </c>
      <c r="Q294" t="s">
        <v>32</v>
      </c>
      <c r="R294" s="2" t="s">
        <v>40</v>
      </c>
      <c r="S294">
        <v>55</v>
      </c>
      <c r="T294">
        <v>2</v>
      </c>
    </row>
    <row r="295" spans="1:21" ht="30" x14ac:dyDescent="0.25">
      <c r="A295" t="s">
        <v>1186</v>
      </c>
      <c r="B295">
        <v>1</v>
      </c>
      <c r="C295" s="2" t="s">
        <v>1187</v>
      </c>
      <c r="D295" s="3">
        <v>21360</v>
      </c>
      <c r="E295" s="4">
        <v>20</v>
      </c>
      <c r="F295" t="s">
        <v>32</v>
      </c>
      <c r="G295" s="3">
        <f t="shared" si="20"/>
        <v>26700</v>
      </c>
      <c r="H295" s="3">
        <v>0</v>
      </c>
      <c r="I295" s="3">
        <f t="shared" si="21"/>
        <v>26700</v>
      </c>
      <c r="J295" s="2" t="s">
        <v>27</v>
      </c>
      <c r="K295" s="5">
        <v>46241.583333333343</v>
      </c>
      <c r="L295">
        <v>2</v>
      </c>
      <c r="M295" s="21">
        <f t="shared" si="22"/>
        <v>13350</v>
      </c>
      <c r="N295" t="str">
        <f t="shared" si="23"/>
        <v>ставка</v>
      </c>
      <c r="O295" s="3">
        <f t="shared" si="24"/>
        <v>523.53</v>
      </c>
      <c r="P295" s="5">
        <v>46243.5</v>
      </c>
      <c r="Q295" t="s">
        <v>32</v>
      </c>
      <c r="R295" s="2" t="s">
        <v>40</v>
      </c>
      <c r="S295">
        <v>58</v>
      </c>
      <c r="T295">
        <v>2</v>
      </c>
    </row>
    <row r="296" spans="1:21" x14ac:dyDescent="0.25">
      <c r="A296" t="s">
        <v>1457</v>
      </c>
      <c r="B296">
        <v>1</v>
      </c>
      <c r="C296" s="2" t="s">
        <v>1458</v>
      </c>
      <c r="D296" s="3">
        <v>26700</v>
      </c>
      <c r="E296" s="4">
        <v>25</v>
      </c>
      <c r="F296" t="s">
        <v>32</v>
      </c>
      <c r="G296" s="3">
        <f t="shared" si="20"/>
        <v>35600</v>
      </c>
      <c r="H296" s="3">
        <v>0</v>
      </c>
      <c r="I296" s="3">
        <f t="shared" si="21"/>
        <v>35600</v>
      </c>
      <c r="J296" s="2" t="s">
        <v>27</v>
      </c>
      <c r="K296" s="5">
        <v>46289.583333333343</v>
      </c>
      <c r="L296">
        <v>2</v>
      </c>
      <c r="M296" s="21">
        <f t="shared" si="22"/>
        <v>17800</v>
      </c>
      <c r="N296" t="str">
        <f t="shared" si="23"/>
        <v>ставка</v>
      </c>
      <c r="O296" s="3">
        <f t="shared" si="24"/>
        <v>698.04</v>
      </c>
      <c r="P296" s="5">
        <v>46291.5</v>
      </c>
      <c r="Q296" t="s">
        <v>32</v>
      </c>
      <c r="R296" s="2" t="s">
        <v>45</v>
      </c>
      <c r="S296">
        <v>54</v>
      </c>
      <c r="T296">
        <v>2</v>
      </c>
    </row>
    <row r="297" spans="1:21" ht="30" x14ac:dyDescent="0.25">
      <c r="A297" t="s">
        <v>1484</v>
      </c>
      <c r="B297">
        <v>1</v>
      </c>
      <c r="C297" s="2" t="s">
        <v>1485</v>
      </c>
      <c r="D297" s="3">
        <v>44325</v>
      </c>
      <c r="E297" s="4">
        <v>25</v>
      </c>
      <c r="F297" t="s">
        <v>32</v>
      </c>
      <c r="G297" s="3">
        <f t="shared" si="20"/>
        <v>59100</v>
      </c>
      <c r="H297" s="3">
        <v>0</v>
      </c>
      <c r="I297" s="3">
        <f t="shared" si="21"/>
        <v>59100</v>
      </c>
      <c r="J297" s="2"/>
      <c r="K297" s="5">
        <v>46287.583333333343</v>
      </c>
      <c r="L297">
        <v>6</v>
      </c>
      <c r="M297" s="21">
        <f t="shared" si="22"/>
        <v>9850</v>
      </c>
      <c r="N297" t="str">
        <f t="shared" si="23"/>
        <v>ставка</v>
      </c>
      <c r="O297" s="3">
        <f t="shared" si="24"/>
        <v>1158.82</v>
      </c>
      <c r="P297" s="5">
        <v>46293.5</v>
      </c>
      <c r="Q297" t="s">
        <v>32</v>
      </c>
      <c r="R297" s="2" t="s">
        <v>40</v>
      </c>
      <c r="S297">
        <v>58</v>
      </c>
      <c r="T297">
        <v>2</v>
      </c>
    </row>
    <row r="298" spans="1:21" ht="30" x14ac:dyDescent="0.25">
      <c r="A298" t="s">
        <v>1667</v>
      </c>
      <c r="B298">
        <v>1</v>
      </c>
      <c r="C298" s="2" t="s">
        <v>1668</v>
      </c>
      <c r="D298" s="3">
        <v>11560</v>
      </c>
      <c r="E298" s="4">
        <v>20</v>
      </c>
      <c r="F298" t="s">
        <v>32</v>
      </c>
      <c r="G298" s="3">
        <f t="shared" si="20"/>
        <v>14450</v>
      </c>
      <c r="H298" s="3">
        <v>0</v>
      </c>
      <c r="I298" s="3">
        <f t="shared" si="21"/>
        <v>14450</v>
      </c>
      <c r="J298" s="2" t="s">
        <v>27</v>
      </c>
      <c r="K298" s="5">
        <v>46213.583333333343</v>
      </c>
      <c r="L298">
        <v>1</v>
      </c>
      <c r="M298" s="21">
        <f t="shared" si="22"/>
        <v>14450</v>
      </c>
      <c r="N298" t="str">
        <f t="shared" si="23"/>
        <v>ставка</v>
      </c>
      <c r="O298" s="3">
        <f t="shared" si="24"/>
        <v>283.33</v>
      </c>
      <c r="P298" s="5">
        <v>46214.5</v>
      </c>
      <c r="Q298" t="s">
        <v>32</v>
      </c>
      <c r="R298" s="2" t="s">
        <v>772</v>
      </c>
      <c r="S298">
        <v>51</v>
      </c>
      <c r="T298">
        <v>2</v>
      </c>
    </row>
    <row r="299" spans="1:21" ht="45" x14ac:dyDescent="0.25">
      <c r="A299" t="s">
        <v>1744</v>
      </c>
      <c r="B299">
        <v>1</v>
      </c>
      <c r="C299" s="2" t="s">
        <v>1745</v>
      </c>
      <c r="D299" s="3">
        <v>40560</v>
      </c>
      <c r="E299" s="4">
        <v>20</v>
      </c>
      <c r="F299" t="s">
        <v>32</v>
      </c>
      <c r="G299" s="3">
        <f t="shared" si="20"/>
        <v>50700</v>
      </c>
      <c r="H299" s="3">
        <v>0</v>
      </c>
      <c r="I299" s="3">
        <f t="shared" si="21"/>
        <v>50700</v>
      </c>
      <c r="J299" s="2" t="s">
        <v>27</v>
      </c>
      <c r="K299" s="5">
        <v>46230.583333333343</v>
      </c>
      <c r="L299">
        <v>4</v>
      </c>
      <c r="M299" s="21">
        <f t="shared" si="22"/>
        <v>12675</v>
      </c>
      <c r="N299" t="str">
        <f t="shared" si="23"/>
        <v>ставка</v>
      </c>
      <c r="O299" s="3">
        <f t="shared" si="24"/>
        <v>994.12</v>
      </c>
      <c r="P299" s="5">
        <v>46234.5</v>
      </c>
      <c r="Q299" t="s">
        <v>32</v>
      </c>
      <c r="R299" s="2" t="s">
        <v>87</v>
      </c>
      <c r="S299">
        <v>50</v>
      </c>
      <c r="T299">
        <v>2</v>
      </c>
    </row>
    <row r="300" spans="1:21" ht="45" x14ac:dyDescent="0.25">
      <c r="A300" t="s">
        <v>1793</v>
      </c>
      <c r="B300">
        <v>1</v>
      </c>
      <c r="C300" s="2" t="s">
        <v>1794</v>
      </c>
      <c r="D300" s="3">
        <v>14240</v>
      </c>
      <c r="E300" s="4">
        <v>20</v>
      </c>
      <c r="F300" t="s">
        <v>32</v>
      </c>
      <c r="G300" s="3">
        <f t="shared" si="20"/>
        <v>17800</v>
      </c>
      <c r="H300" s="3">
        <v>8900</v>
      </c>
      <c r="I300" s="3">
        <f t="shared" si="21"/>
        <v>26700</v>
      </c>
      <c r="J300" s="2" t="s">
        <v>1795</v>
      </c>
      <c r="K300" s="5">
        <v>46234.583333333343</v>
      </c>
      <c r="L300">
        <v>1</v>
      </c>
      <c r="M300" s="21">
        <f t="shared" si="22"/>
        <v>26700</v>
      </c>
      <c r="N300" t="str">
        <f t="shared" si="23"/>
        <v>ставка</v>
      </c>
      <c r="O300" s="3">
        <f t="shared" si="24"/>
        <v>523.53</v>
      </c>
      <c r="P300" s="5">
        <v>46235.791666666657</v>
      </c>
      <c r="Q300" t="s">
        <v>32</v>
      </c>
      <c r="R300" s="2" t="s">
        <v>45</v>
      </c>
      <c r="S300">
        <v>54</v>
      </c>
      <c r="T300">
        <v>2</v>
      </c>
    </row>
    <row r="301" spans="1:21" ht="30" x14ac:dyDescent="0.25">
      <c r="A301" t="s">
        <v>1863</v>
      </c>
      <c r="B301">
        <v>1</v>
      </c>
      <c r="C301" s="2" t="s">
        <v>1864</v>
      </c>
      <c r="D301" s="3">
        <v>11550</v>
      </c>
      <c r="E301" s="4">
        <v>0</v>
      </c>
      <c r="F301" t="s">
        <v>32</v>
      </c>
      <c r="G301" s="3">
        <f t="shared" si="20"/>
        <v>11550</v>
      </c>
      <c r="H301" s="3">
        <v>0</v>
      </c>
      <c r="I301" s="3">
        <f t="shared" si="21"/>
        <v>11550</v>
      </c>
      <c r="J301" s="2" t="s">
        <v>27</v>
      </c>
      <c r="K301" s="5">
        <v>46276.583333333343</v>
      </c>
      <c r="L301">
        <v>1</v>
      </c>
      <c r="M301" s="21">
        <f t="shared" si="22"/>
        <v>11550</v>
      </c>
      <c r="N301" t="str">
        <f t="shared" si="23"/>
        <v>ставка</v>
      </c>
      <c r="O301" s="3">
        <f t="shared" si="24"/>
        <v>226.47</v>
      </c>
      <c r="P301" s="5">
        <v>46277.5</v>
      </c>
      <c r="Q301" t="s">
        <v>32</v>
      </c>
      <c r="R301" s="2" t="s">
        <v>24</v>
      </c>
      <c r="S301">
        <v>56</v>
      </c>
      <c r="T301">
        <v>2</v>
      </c>
    </row>
    <row r="302" spans="1:21" ht="30" x14ac:dyDescent="0.25">
      <c r="A302" t="s">
        <v>1905</v>
      </c>
      <c r="B302">
        <v>1</v>
      </c>
      <c r="C302" s="2" t="s">
        <v>1906</v>
      </c>
      <c r="D302" s="3">
        <v>32040</v>
      </c>
      <c r="E302" s="4">
        <v>20</v>
      </c>
      <c r="F302" t="s">
        <v>32</v>
      </c>
      <c r="G302" s="3">
        <f t="shared" si="20"/>
        <v>40050</v>
      </c>
      <c r="H302" s="3">
        <v>0</v>
      </c>
      <c r="I302" s="3">
        <f t="shared" si="21"/>
        <v>40050</v>
      </c>
      <c r="J302" s="2" t="s">
        <v>27</v>
      </c>
      <c r="K302" s="5">
        <v>46220.583333333343</v>
      </c>
      <c r="L302">
        <v>3</v>
      </c>
      <c r="M302" s="21">
        <f t="shared" si="22"/>
        <v>13350</v>
      </c>
      <c r="N302" t="str">
        <f t="shared" si="23"/>
        <v>ставка</v>
      </c>
      <c r="O302" s="3">
        <f t="shared" si="24"/>
        <v>785.29</v>
      </c>
      <c r="P302" s="5">
        <v>46223.5</v>
      </c>
      <c r="Q302" t="s">
        <v>32</v>
      </c>
      <c r="R302" s="2" t="s">
        <v>40</v>
      </c>
      <c r="S302">
        <v>52</v>
      </c>
      <c r="T302">
        <v>2</v>
      </c>
    </row>
    <row r="303" spans="1:21" x14ac:dyDescent="0.25">
      <c r="A303" s="9"/>
      <c r="B303" s="9">
        <f>SUM(B2:B302)</f>
        <v>301</v>
      </c>
      <c r="C303" s="9" t="s">
        <v>1137</v>
      </c>
      <c r="D303" s="9">
        <f>SUM(D2:D302)</f>
        <v>8428712.8499999996</v>
      </c>
      <c r="E303" s="9"/>
      <c r="F303" s="9"/>
      <c r="G303" s="9">
        <f>SUM(G2:G302)</f>
        <v>9301228.1699999999</v>
      </c>
      <c r="H303" s="9">
        <f>SUM(H2:H302)</f>
        <v>189848</v>
      </c>
      <c r="I303" s="9">
        <f>SUM(I2:I302)</f>
        <v>9482676.1699999999</v>
      </c>
      <c r="J303" s="9"/>
      <c r="K303" s="9"/>
      <c r="L303" s="9">
        <f>SUM(L2:L302)</f>
        <v>693</v>
      </c>
      <c r="M303" s="9"/>
      <c r="N303" s="9"/>
      <c r="O303" s="9">
        <f>SUM(O2:O302)</f>
        <v>185934.89999999982</v>
      </c>
      <c r="P303" s="9"/>
      <c r="Q303" s="9"/>
      <c r="R303" s="9"/>
      <c r="S303" s="9"/>
      <c r="T303" s="9"/>
      <c r="U303" s="9"/>
    </row>
  </sheetData>
  <autoFilter ref="A1:U303" xr:uid="{00000000-0001-0000-0300-000000000000}">
    <filterColumn colId="12">
      <filters blank="1">
        <filter val="10 083,33"/>
        <filter val="10 102,44"/>
        <filter val="10 106,51"/>
        <filter val="10 215,00"/>
        <filter val="10 270,83"/>
        <filter val="10 350,00"/>
        <filter val="10 519,51"/>
        <filter val="10 530,00"/>
        <filter val="10 680,00"/>
        <filter val="10 884,15"/>
        <filter val="10 900,00"/>
        <filter val="11 000,00"/>
        <filter val="11 183,85"/>
        <filter val="11 205,00"/>
        <filter val="11 347,50"/>
        <filter val="11 350,00"/>
        <filter val="11 371,00"/>
        <filter val="11 390,00"/>
        <filter val="11 393,17"/>
        <filter val="11 432,93"/>
        <filter val="11 636,67"/>
        <filter val="11 639,66"/>
        <filter val="11 650,00"/>
        <filter val="11 700,75"/>
        <filter val="11 733,33"/>
        <filter val="11 763,80"/>
        <filter val="11 797,58"/>
        <filter val="11 812,50"/>
        <filter val="11 822,92"/>
        <filter val="11 900,00"/>
        <filter val="12 015,00"/>
        <filter val="12 046,79"/>
        <filter val="12 083,33"/>
        <filter val="12 146,34"/>
        <filter val="12 350,00"/>
        <filter val="12 365,85"/>
        <filter val="12 500,00"/>
        <filter val="12 550,00"/>
        <filter val="12 652,44"/>
        <filter val="12 825,52"/>
        <filter val="12 916,88"/>
        <filter val="13 005,00"/>
        <filter val="13 020,83"/>
        <filter val="13 024,39"/>
        <filter val="13 050,00"/>
        <filter val="13 090,00"/>
        <filter val="13 182,50"/>
        <filter val="13 197,03"/>
        <filter val="13 350,00"/>
        <filter val="13 508,93"/>
        <filter val="13 560,98"/>
        <filter val="13 690,71"/>
        <filter val="13 697,66"/>
        <filter val="13 735,71"/>
        <filter val="13 798,48"/>
        <filter val="13 801,96"/>
        <filter val="13 828,44"/>
        <filter val="13 860,00"/>
        <filter val="14 085,37"/>
        <filter val="14 097,56"/>
        <filter val="14 163,80"/>
        <filter val="14 220,00"/>
        <filter val="14 240,00"/>
        <filter val="14 300,00"/>
        <filter val="14 329,55"/>
        <filter val="14 434,06"/>
        <filter val="14 470,00"/>
        <filter val="14 540,00"/>
        <filter val="14 585,47"/>
        <filter val="14 620,00"/>
        <filter val="14 870,05"/>
        <filter val="14 935,43"/>
        <filter val="15 000,00"/>
        <filter val="15 024,39"/>
        <filter val="15 047,53"/>
        <filter val="15 074,39"/>
        <filter val="15 130,00"/>
        <filter val="15 172,40"/>
        <filter val="15 544,38"/>
        <filter val="15 583,34"/>
        <filter val="15 666,67"/>
        <filter val="15 793,02"/>
        <filter val="15 875,90"/>
        <filter val="15 917,35"/>
        <filter val="15 948,13"/>
        <filter val="15 970,63"/>
        <filter val="15 988,10"/>
        <filter val="16 020,00"/>
        <filter val="16 123,41"/>
        <filter val="16 150,00"/>
        <filter val="16 280,49"/>
        <filter val="16 802,44"/>
        <filter val="16 833,33"/>
        <filter val="16 900,00"/>
        <filter val="17 250,00"/>
        <filter val="17 365,85"/>
        <filter val="17 699,22"/>
        <filter val="17 966,88"/>
        <filter val="18 017,07"/>
        <filter val="18 248,23"/>
        <filter val="18 254,27"/>
        <filter val="18 263,54"/>
        <filter val="18 402,61"/>
        <filter val="18 426,71"/>
        <filter val="18 448,96"/>
        <filter val="18 540,00"/>
        <filter val="18 606,25"/>
        <filter val="18 629,17"/>
        <filter val="19 016,67"/>
        <filter val="19 358,00"/>
        <filter val="20 050,00"/>
        <filter val="20 086,67"/>
        <filter val="20 161,25"/>
        <filter val="20 534,34"/>
        <filter val="20 768,75"/>
        <filter val="21 330,00"/>
        <filter val="26 265,85"/>
        <filter val="7 000,00"/>
        <filter val="7 170,73"/>
        <filter val="7 350,00"/>
        <filter val="8 248,78"/>
        <filter val="8 590,50"/>
        <filter val="8 900,00"/>
        <filter val="8 983,44"/>
        <filter val="9 000,00"/>
        <filter val="9 009,15"/>
        <filter val="9 080,00"/>
        <filter val="9 315,00"/>
        <filter val="9 420,50"/>
        <filter val="9 592,68"/>
        <filter val="9 900,00"/>
        <filter val="9 960,00"/>
      </filters>
    </filterColumn>
    <sortState xmlns:xlrd2="http://schemas.microsoft.com/office/spreadsheetml/2017/richdata2" ref="A2:U303">
      <sortCondition ref="F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1&amp;2</vt:lpstr>
      <vt:lpstr>нет корпуса</vt:lpstr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Рецепция Чайковский</cp:lastModifiedBy>
  <dcterms:created xsi:type="dcterms:W3CDTF">2026-10-13T21:29:15Z</dcterms:created>
  <dcterms:modified xsi:type="dcterms:W3CDTF">2026-10-16T15:03:23Z</dcterms:modified>
</cp:coreProperties>
</file>